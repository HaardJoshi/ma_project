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2512658\hardjoshi-ma\data\raw\"/>
    </mc:Choice>
  </mc:AlternateContent>
  <xr:revisionPtr revIDLastSave="0" documentId="13_ncr:1_{EA49F050-C6EE-4E4C-8953-4EBDFECF9C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LC_201" sheetId="1" r:id="rId1"/>
    <sheet name="SPLC_202" sheetId="2" r:id="rId2"/>
    <sheet name="SPLC_203" sheetId="3" r:id="rId3"/>
    <sheet name="SPLC_204" sheetId="4" r:id="rId4"/>
    <sheet name="SPLC_205" sheetId="5" r:id="rId5"/>
    <sheet name="SPLC_206" sheetId="6" r:id="rId6"/>
    <sheet name="SPLC_207" sheetId="7" r:id="rId7"/>
    <sheet name="SPLC_208" sheetId="8" r:id="rId8"/>
    <sheet name="SPLC_209" sheetId="9" r:id="rId9"/>
    <sheet name="SPLC_210" sheetId="10" r:id="rId10"/>
    <sheet name="SPLC_211" sheetId="11" r:id="rId11"/>
    <sheet name="SPLC_212" sheetId="12" r:id="rId12"/>
    <sheet name="SPLC_213" sheetId="13" r:id="rId13"/>
    <sheet name="SPLC_214" sheetId="14" r:id="rId14"/>
    <sheet name="SPLC_215" sheetId="15" r:id="rId15"/>
    <sheet name="SPLC_216" sheetId="16" r:id="rId16"/>
    <sheet name="SPLC_217" sheetId="17" r:id="rId17"/>
    <sheet name="SPLC_218" sheetId="18" r:id="rId18"/>
    <sheet name="SPLC_219" sheetId="19" r:id="rId19"/>
    <sheet name="SPLC_220" sheetId="20" r:id="rId20"/>
    <sheet name="SPLC_221" sheetId="21" r:id="rId21"/>
    <sheet name="SPLC_222" sheetId="22" r:id="rId22"/>
    <sheet name="SPLC_223" sheetId="23" r:id="rId23"/>
    <sheet name="SPLC_224" sheetId="24" r:id="rId24"/>
    <sheet name="SPLC_225" sheetId="25" r:id="rId25"/>
    <sheet name="SPLC_226" sheetId="26" r:id="rId26"/>
    <sheet name="SPLC_227" sheetId="27" r:id="rId27"/>
    <sheet name="SPLC_228" sheetId="28" r:id="rId28"/>
    <sheet name="SPLC_229" sheetId="29" r:id="rId29"/>
    <sheet name="SPLC_230" sheetId="30" r:id="rId30"/>
    <sheet name="SPLC_231" sheetId="31" r:id="rId31"/>
    <sheet name="SPLC_232" sheetId="32" r:id="rId32"/>
    <sheet name="SPLC_233" sheetId="33" r:id="rId33"/>
    <sheet name="SPLC_234" sheetId="34" r:id="rId34"/>
    <sheet name="SPLC_235" sheetId="35" r:id="rId35"/>
    <sheet name="SPLC_236" sheetId="36" r:id="rId36"/>
    <sheet name="SPLC_237" sheetId="37" r:id="rId37"/>
    <sheet name="SPLC_238" sheetId="38" r:id="rId38"/>
    <sheet name="SPLC_239" sheetId="39" r:id="rId39"/>
    <sheet name="SPLC_240" sheetId="40" r:id="rId40"/>
    <sheet name="SPLC_241" sheetId="41" r:id="rId41"/>
    <sheet name="SPLC_242" sheetId="42" r:id="rId42"/>
    <sheet name="SPLC_243" sheetId="43" r:id="rId43"/>
    <sheet name="SPLC_244" sheetId="44" r:id="rId44"/>
    <sheet name="SPLC_245" sheetId="45" r:id="rId45"/>
    <sheet name="SPLC_246" sheetId="46" r:id="rId46"/>
    <sheet name="SPLC_247" sheetId="47" r:id="rId47"/>
    <sheet name="SPLC_248" sheetId="48" r:id="rId48"/>
    <sheet name="SPLC_249" sheetId="49" r:id="rId49"/>
    <sheet name="SPLC_250" sheetId="50" r:id="rId5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W5" i="12" l="1"/>
  <c r="AS5" i="8"/>
  <c r="QI5" i="3"/>
  <c r="HQ5" i="15"/>
  <c r="TE5" i="6"/>
  <c r="FI5" i="4"/>
  <c r="PE5" i="10"/>
  <c r="QI5" i="23"/>
  <c r="DA5" i="25"/>
  <c r="QW5" i="26"/>
  <c r="OO5" i="18"/>
  <c r="EE5" i="3"/>
  <c r="HC5" i="11"/>
  <c r="O5" i="12"/>
  <c r="UI5" i="6"/>
  <c r="CM5" i="40"/>
  <c r="PS5" i="12"/>
  <c r="EU5" i="6"/>
  <c r="UI5" i="19"/>
  <c r="HQ5" i="28"/>
  <c r="CM5" i="8"/>
  <c r="PS5" i="10"/>
  <c r="OO5" i="23"/>
  <c r="JK5" i="6"/>
  <c r="TE5" i="5"/>
  <c r="PS5" i="2"/>
  <c r="SA5" i="12"/>
  <c r="DA5" i="4"/>
  <c r="UY5" i="26"/>
  <c r="HQ5" i="9"/>
  <c r="EU5" i="3"/>
  <c r="AS5" i="20"/>
  <c r="LC5" i="10"/>
  <c r="AE5" i="12"/>
  <c r="JY5" i="9"/>
  <c r="PS5" i="4"/>
  <c r="OA5" i="13"/>
  <c r="HC5" i="7"/>
  <c r="TE5" i="23"/>
  <c r="HC5" i="15"/>
  <c r="OO5" i="2"/>
  <c r="VM5" i="11"/>
  <c r="FI5" i="11"/>
  <c r="SQ5" i="4"/>
  <c r="OO5" i="10"/>
  <c r="LS5" i="18"/>
  <c r="DA5" i="8"/>
  <c r="AS5" i="25"/>
  <c r="LS5" i="28"/>
  <c r="HQ5" i="11"/>
  <c r="HC5" i="5"/>
  <c r="JY5" i="7"/>
  <c r="PS5" i="3"/>
  <c r="AS5" i="12"/>
  <c r="LC5" i="15"/>
  <c r="HC5" i="17"/>
  <c r="OO5" i="13"/>
  <c r="OO5" i="28"/>
  <c r="OA5" i="17"/>
  <c r="QW5" i="8"/>
  <c r="PS5" i="18"/>
  <c r="FI5" i="2"/>
  <c r="HC5" i="33"/>
  <c r="SQ5" i="5"/>
  <c r="LS5" i="16"/>
  <c r="QI5" i="2"/>
  <c r="FY5" i="1"/>
  <c r="VM5" i="23"/>
  <c r="OO5" i="26"/>
  <c r="EU5" i="4"/>
  <c r="PE5" i="2"/>
  <c r="AE5" i="7"/>
  <c r="FY5" i="2"/>
  <c r="QI5" i="33"/>
  <c r="TU5" i="4"/>
  <c r="EE5" i="1"/>
  <c r="JY5" i="6"/>
  <c r="NK5" i="9"/>
  <c r="UI5" i="23"/>
  <c r="KO5" i="6"/>
  <c r="TU5" i="9"/>
  <c r="OO5" i="25"/>
  <c r="CM5" i="3"/>
  <c r="AS5" i="7"/>
  <c r="FI5" i="3"/>
  <c r="HC5" i="27"/>
  <c r="QW5" i="2"/>
  <c r="PS5" i="22"/>
  <c r="HQ5" i="5"/>
  <c r="HC5" i="1"/>
  <c r="DA5" i="3"/>
  <c r="OO5" i="14"/>
  <c r="HC5" i="9"/>
  <c r="CM5" i="30"/>
  <c r="CM5" i="10"/>
  <c r="GM5" i="1"/>
  <c r="GM5" i="2"/>
  <c r="AS5" i="17"/>
  <c r="OO5" i="9"/>
  <c r="SQ5" i="3"/>
  <c r="OO5" i="17"/>
  <c r="HC5" i="3"/>
  <c r="QW5" i="3"/>
  <c r="JY5" i="27"/>
  <c r="NK5" i="3"/>
  <c r="FI5" i="20"/>
  <c r="OA5" i="15"/>
  <c r="LS5" i="20"/>
  <c r="HQ5" i="4"/>
  <c r="NK5" i="11"/>
  <c r="QW5" i="9"/>
  <c r="VM5" i="5"/>
  <c r="DA5" i="11"/>
  <c r="TE5" i="4"/>
  <c r="LC5" i="21"/>
  <c r="MG5" i="11"/>
  <c r="LC5" i="6"/>
  <c r="QW5" i="22"/>
  <c r="EE5" i="9"/>
  <c r="UI5" i="8"/>
  <c r="GM5" i="7"/>
  <c r="JK5" i="5"/>
  <c r="BW5" i="5"/>
  <c r="DA5" i="10"/>
  <c r="MG5" i="25"/>
  <c r="BW5" i="10"/>
  <c r="OO5" i="16"/>
  <c r="UY5" i="12"/>
  <c r="TE5" i="3"/>
  <c r="O5" i="6"/>
  <c r="UY5" i="28"/>
  <c r="JY5" i="5"/>
  <c r="QI5" i="17"/>
  <c r="AS5" i="19"/>
  <c r="VM5" i="12"/>
  <c r="QW5" i="14"/>
  <c r="OO5" i="15"/>
  <c r="UY5" i="8"/>
  <c r="MG5" i="21"/>
  <c r="HC5" i="35"/>
  <c r="UY5" i="40"/>
  <c r="UY5" i="34"/>
  <c r="UI5" i="4"/>
  <c r="DA5" i="29"/>
  <c r="FI5" i="24"/>
  <c r="MG5" i="8"/>
  <c r="HC5" i="29"/>
  <c r="VM5" i="3"/>
  <c r="MG5" i="6"/>
  <c r="GM5" i="24"/>
  <c r="QI5" i="21"/>
  <c r="AS5" i="23"/>
  <c r="TE5" i="22"/>
  <c r="OA5" i="6"/>
  <c r="MG5" i="3"/>
  <c r="VM5" i="25"/>
  <c r="EE5" i="7"/>
  <c r="UI5" i="17"/>
  <c r="QI5" i="15"/>
  <c r="JK5" i="4"/>
  <c r="JK5" i="10"/>
  <c r="IU5" i="10"/>
  <c r="TU5" i="3"/>
  <c r="GM5" i="12"/>
  <c r="JY5" i="4"/>
  <c r="MG5" i="5"/>
  <c r="HQ5" i="24"/>
  <c r="IU5" i="2"/>
  <c r="AS5" i="4"/>
  <c r="UI5" i="3"/>
  <c r="QI5" i="41"/>
  <c r="BI5" i="1"/>
  <c r="LS5" i="36"/>
  <c r="DA5" i="19"/>
  <c r="KO5" i="5"/>
  <c r="HQ5" i="3"/>
  <c r="HQ5" i="1"/>
  <c r="FI5" i="19"/>
  <c r="LC5" i="5"/>
  <c r="HQ5" i="10"/>
  <c r="CM5" i="42"/>
  <c r="TE5" i="15"/>
  <c r="UY5" i="2"/>
  <c r="JY5" i="1"/>
  <c r="VM5" i="8"/>
  <c r="TE5" i="7"/>
  <c r="QI5" i="29"/>
  <c r="DA5" i="6"/>
  <c r="OA5" i="9"/>
  <c r="EU5" i="13"/>
  <c r="JK5" i="1"/>
  <c r="PS5" i="7"/>
  <c r="AE5" i="4"/>
  <c r="UI5" i="1"/>
  <c r="EE5" i="13"/>
  <c r="AE5" i="6"/>
  <c r="LS5" i="42"/>
  <c r="OO5" i="6"/>
  <c r="FI5" i="6"/>
  <c r="LS5" i="6"/>
  <c r="TU5" i="1"/>
  <c r="AS5" i="26"/>
  <c r="VM5" i="19"/>
  <c r="VM5" i="13"/>
  <c r="FI5" i="7"/>
  <c r="OA5" i="2"/>
  <c r="KO5" i="1"/>
  <c r="HC5" i="19"/>
  <c r="LC5" i="23"/>
  <c r="HQ5" i="17"/>
  <c r="TE5" i="17"/>
  <c r="DA5" i="12"/>
  <c r="OO5" i="4"/>
  <c r="CM5" i="6"/>
  <c r="AS5" i="18"/>
  <c r="IU5" i="12"/>
  <c r="PE5" i="6"/>
  <c r="LC5" i="8"/>
  <c r="VM5" i="2"/>
  <c r="HQ5" i="7"/>
  <c r="AS5" i="6"/>
  <c r="UY5" i="16"/>
  <c r="LC5" i="1"/>
  <c r="AS5" i="11"/>
  <c r="JK5" i="16"/>
  <c r="JK5" i="12"/>
  <c r="LS5" i="32"/>
  <c r="KO5" i="3"/>
  <c r="QI5" i="9"/>
  <c r="EU5" i="24"/>
  <c r="HQ5" i="22"/>
  <c r="DA5" i="9"/>
  <c r="BI5" i="5"/>
  <c r="UY5" i="42"/>
  <c r="EU5" i="17"/>
  <c r="LS5" i="24"/>
  <c r="LS5" i="30"/>
  <c r="QI5" i="27"/>
  <c r="FI5" i="23"/>
  <c r="HQ5" i="19"/>
  <c r="HQ5" i="31"/>
  <c r="UY5" i="36"/>
  <c r="LS5" i="8"/>
  <c r="TE5" i="9"/>
  <c r="PS5" i="6"/>
  <c r="FI5" i="26"/>
  <c r="LC5" i="19"/>
  <c r="CM5" i="16"/>
  <c r="JY5" i="10"/>
  <c r="HC5" i="23"/>
  <c r="OO5" i="24"/>
  <c r="DA5" i="27"/>
  <c r="QW5" i="20"/>
  <c r="QI5" i="43"/>
  <c r="SA5" i="6"/>
  <c r="OO5" i="8"/>
  <c r="TE5" i="11"/>
  <c r="JY5" i="23"/>
  <c r="GM5" i="20"/>
  <c r="EU5" i="15"/>
  <c r="BW5" i="15"/>
  <c r="EE5" i="11"/>
  <c r="JY5" i="16"/>
  <c r="JY5" i="12"/>
  <c r="FI5" i="13"/>
  <c r="QI5" i="37"/>
  <c r="HC5" i="37"/>
  <c r="GM5" i="14"/>
  <c r="QW5" i="24"/>
  <c r="LS5" i="12"/>
  <c r="JY5" i="26"/>
  <c r="CM5" i="22"/>
  <c r="FI5" i="14"/>
  <c r="DA5" i="16"/>
  <c r="HC5" i="31"/>
  <c r="PE5" i="5"/>
  <c r="AE5" i="8"/>
  <c r="BW5" i="1"/>
  <c r="JK5" i="7"/>
  <c r="PE5" i="3"/>
  <c r="QI5" i="31"/>
  <c r="CM5" i="44"/>
  <c r="JY5" i="11"/>
  <c r="AS5" i="28"/>
  <c r="QW5" i="31"/>
  <c r="UY5" i="46"/>
  <c r="BW5" i="4"/>
  <c r="MG5" i="12"/>
  <c r="PS5" i="5"/>
  <c r="BI5" i="4"/>
  <c r="UI5" i="9"/>
  <c r="PE5" i="4"/>
  <c r="CM5" i="4"/>
  <c r="NK5" i="1"/>
  <c r="BW5" i="3"/>
  <c r="HC5" i="45"/>
  <c r="UY5" i="44"/>
  <c r="GM5" i="9"/>
  <c r="BI5" i="3"/>
  <c r="SQ5" i="6"/>
  <c r="FI5" i="15"/>
  <c r="FI5" i="17"/>
  <c r="MG5" i="16"/>
  <c r="HC5" i="47"/>
  <c r="CM5" i="28"/>
  <c r="GM5" i="22"/>
  <c r="VM5" i="9"/>
  <c r="QW5" i="17"/>
  <c r="CM5" i="50"/>
  <c r="EU5" i="11"/>
  <c r="LS5" i="50"/>
  <c r="OO5" i="12"/>
  <c r="LS5" i="48"/>
  <c r="MG5" i="18"/>
  <c r="DA5" i="28"/>
  <c r="QW5" i="21"/>
  <c r="QW5" i="15"/>
  <c r="QI5" i="45"/>
  <c r="MG5" i="30"/>
  <c r="CM5" i="48"/>
  <c r="LS5" i="44"/>
  <c r="HQ5" i="23"/>
  <c r="DA5" i="22"/>
  <c r="HQ5" i="27"/>
  <c r="MG5" i="20"/>
  <c r="QW5" i="27"/>
  <c r="QW5" i="37"/>
  <c r="VM5" i="26"/>
  <c r="VM5" i="28"/>
  <c r="DA5" i="30"/>
  <c r="DQ5" i="32"/>
  <c r="MG5" i="28"/>
  <c r="HQ5" i="29"/>
  <c r="QW5" i="29"/>
  <c r="QW5" i="23"/>
  <c r="QW5" i="43"/>
  <c r="O5" i="23"/>
  <c r="VM5" i="42"/>
  <c r="MG5" i="24"/>
  <c r="HQ5" i="37"/>
  <c r="A5" i="9"/>
  <c r="QW5" i="33"/>
  <c r="MG5" i="36"/>
  <c r="VM5" i="34"/>
  <c r="DA5" i="44"/>
  <c r="DA5" i="42"/>
  <c r="MG5" i="44"/>
  <c r="HQ5" i="33"/>
  <c r="MG5" i="32"/>
  <c r="LC5" i="3"/>
  <c r="VM5" i="32"/>
  <c r="DA5" i="21"/>
  <c r="DA5" i="40"/>
  <c r="QW5" i="41"/>
  <c r="QW5" i="45"/>
  <c r="A5" i="39"/>
  <c r="MG5" i="42"/>
  <c r="MG5" i="50"/>
  <c r="HQ5" i="35"/>
  <c r="MG5" i="46"/>
  <c r="UI5" i="11"/>
  <c r="DA5" i="5"/>
  <c r="VM5" i="40"/>
  <c r="HQ5" i="45"/>
  <c r="HQ5" i="43"/>
  <c r="VM5" i="17"/>
  <c r="VM5" i="36"/>
  <c r="DQ5" i="14"/>
  <c r="O5" i="31"/>
  <c r="EE5" i="24"/>
  <c r="A5" i="19"/>
  <c r="QI5" i="19"/>
  <c r="NK5" i="46"/>
  <c r="UY5" i="48"/>
  <c r="RM5" i="17"/>
  <c r="DA5" i="50"/>
  <c r="HQ5" i="47"/>
  <c r="VM5" i="44"/>
  <c r="VM5" i="16"/>
  <c r="DQ5" i="6"/>
  <c r="A5" i="3"/>
  <c r="DA5" i="48"/>
  <c r="A5" i="37"/>
  <c r="IG5" i="43"/>
  <c r="RM5" i="19"/>
  <c r="A5" i="23"/>
  <c r="MW5" i="46"/>
  <c r="RM5" i="21"/>
  <c r="IG5" i="47"/>
  <c r="LS5" i="40"/>
  <c r="IG5" i="15"/>
  <c r="A5" i="5"/>
  <c r="DQ5" i="8"/>
  <c r="MW5" i="20"/>
  <c r="VM5" i="46"/>
  <c r="A5" i="7"/>
  <c r="IG5" i="7"/>
  <c r="A5" i="13"/>
  <c r="MG5" i="48"/>
  <c r="DQ5" i="28"/>
  <c r="DQ5" i="36"/>
  <c r="IG5" i="37"/>
  <c r="A5" i="31"/>
  <c r="MW5" i="38"/>
  <c r="MW5" i="4"/>
  <c r="MW5" i="14"/>
  <c r="MW5" i="16"/>
  <c r="RM5" i="29"/>
  <c r="DQ5" i="24"/>
  <c r="MW5" i="6"/>
  <c r="QI5" i="35"/>
  <c r="IG5" i="27"/>
  <c r="A5" i="17"/>
  <c r="DQ5" i="18"/>
  <c r="A5" i="29"/>
  <c r="A5" i="15"/>
  <c r="IG5" i="21"/>
  <c r="O5" i="19"/>
  <c r="QW5" i="19"/>
  <c r="IG5" i="31"/>
  <c r="DQ5" i="22"/>
  <c r="O5" i="9"/>
  <c r="JK5" i="9"/>
  <c r="JK5" i="29"/>
  <c r="A5" i="33"/>
  <c r="MW5" i="18"/>
  <c r="OA5" i="5"/>
  <c r="RM5" i="33"/>
  <c r="A5" i="25"/>
  <c r="RM5" i="25"/>
  <c r="MW5" i="32"/>
  <c r="O5" i="5"/>
  <c r="EE5" i="6"/>
  <c r="DQ5" i="20"/>
  <c r="MW5" i="30"/>
  <c r="IG5" i="23"/>
  <c r="DQ5" i="34"/>
  <c r="VM5" i="48"/>
  <c r="SA5" i="17"/>
  <c r="RM5" i="35"/>
  <c r="O5" i="3"/>
  <c r="DQ5" i="42"/>
  <c r="NK5" i="30"/>
  <c r="RM5" i="41"/>
  <c r="IG5" i="41"/>
  <c r="A5" i="41"/>
  <c r="CM5" i="32"/>
  <c r="SA5" i="29"/>
  <c r="SA5" i="47"/>
  <c r="RM5" i="39"/>
  <c r="O5" i="37"/>
  <c r="DQ5" i="50"/>
  <c r="MW5" i="48"/>
  <c r="DQ5" i="48"/>
  <c r="RM5" i="5"/>
  <c r="SQ5" i="31"/>
  <c r="NK5" i="4"/>
  <c r="EE5" i="18"/>
  <c r="O5" i="17"/>
  <c r="IG5" i="39"/>
  <c r="SA5" i="39"/>
  <c r="IG5" i="49"/>
  <c r="IG5" i="1"/>
  <c r="IU5" i="1"/>
  <c r="MW5" i="50"/>
  <c r="CM5" i="14"/>
  <c r="DQ5" i="40"/>
  <c r="DQ5" i="2"/>
  <c r="RM5" i="47"/>
  <c r="A5" i="45"/>
  <c r="NK5" i="6"/>
  <c r="QW5" i="35"/>
  <c r="EE5" i="14"/>
  <c r="MG5" i="40"/>
  <c r="IU5" i="15"/>
  <c r="EE5" i="2"/>
  <c r="O5" i="13"/>
  <c r="EE5" i="8"/>
  <c r="QW5" i="6"/>
  <c r="EE5" i="30"/>
  <c r="NK5" i="18"/>
  <c r="NK5" i="14"/>
  <c r="O5" i="7"/>
  <c r="NK5" i="20"/>
  <c r="EE5" i="22"/>
  <c r="SA5" i="25"/>
  <c r="IU5" i="21"/>
  <c r="SA5" i="19"/>
  <c r="EE5" i="20"/>
  <c r="IU5" i="31"/>
  <c r="IU5" i="7"/>
  <c r="SA5" i="33"/>
  <c r="IU5" i="27"/>
  <c r="OO5" i="5"/>
  <c r="O5" i="15"/>
  <c r="NK5" i="16"/>
  <c r="O5" i="33"/>
  <c r="EE5" i="28"/>
  <c r="SA5" i="35"/>
  <c r="SA5" i="21"/>
  <c r="IU5" i="39"/>
  <c r="IU5" i="23"/>
  <c r="O5" i="39"/>
  <c r="O5" i="45"/>
  <c r="SA5" i="41"/>
  <c r="NK5" i="32"/>
  <c r="EE5" i="34"/>
  <c r="A5" i="47"/>
  <c r="JK5" i="15"/>
  <c r="EE5" i="50"/>
  <c r="O5" i="25"/>
  <c r="EE5" i="32"/>
  <c r="NK5" i="50"/>
  <c r="DA5" i="14"/>
  <c r="O5" i="29"/>
  <c r="EU5" i="26"/>
  <c r="EE5" i="36"/>
  <c r="NK5" i="48"/>
  <c r="NK5" i="38"/>
  <c r="IU5" i="47"/>
  <c r="EE5" i="40"/>
  <c r="EE5" i="42"/>
  <c r="IU5" i="37"/>
  <c r="O5" i="47"/>
  <c r="JY5" i="15"/>
  <c r="OA5" i="24"/>
  <c r="SA5" i="43"/>
  <c r="BW5" i="8"/>
  <c r="IU5" i="41"/>
  <c r="O5" i="41"/>
  <c r="DA5" i="32"/>
  <c r="EE5" i="48"/>
  <c r="SA5" i="5"/>
  <c r="IU5" i="43"/>
  <c r="EE5" i="44"/>
  <c r="FI5" i="27"/>
  <c r="AE5" i="11"/>
  <c r="SQ5" i="7"/>
  <c r="TU5" i="49"/>
  <c r="EU5" i="14"/>
  <c r="SQ5" i="9"/>
  <c r="AE5" i="19"/>
  <c r="KO5" i="45"/>
  <c r="AE5" i="23"/>
  <c r="TU5" i="17"/>
  <c r="OA5" i="10"/>
  <c r="AS5" i="49"/>
  <c r="OA5" i="18"/>
  <c r="SQ5" i="23"/>
  <c r="OA5" i="8"/>
  <c r="OA5" i="16"/>
  <c r="GM5" i="40"/>
  <c r="SQ5" i="33"/>
  <c r="AE5" i="29"/>
  <c r="IU5" i="49"/>
  <c r="SQ5" i="29"/>
  <c r="SQ5" i="11"/>
  <c r="OA5" i="28"/>
  <c r="SQ5" i="17"/>
  <c r="CM5" i="12"/>
  <c r="OA5" i="4"/>
  <c r="OA5" i="14"/>
  <c r="OA5" i="32"/>
  <c r="OA5" i="12"/>
  <c r="AE5" i="25"/>
  <c r="OA5" i="26"/>
  <c r="SQ5" i="15"/>
  <c r="EU5" i="30"/>
  <c r="EU5" i="20"/>
  <c r="AE5" i="17"/>
  <c r="JK5" i="31"/>
  <c r="OA5" i="30"/>
  <c r="JK5" i="33"/>
  <c r="EU5" i="32"/>
  <c r="EU5" i="34"/>
  <c r="TU5" i="5"/>
  <c r="OA5" i="36"/>
  <c r="JK5" i="27"/>
  <c r="JK5" i="35"/>
  <c r="AE5" i="35"/>
  <c r="JK5" i="39"/>
  <c r="EU5" i="42"/>
  <c r="KO5" i="19"/>
  <c r="SQ5" i="37"/>
  <c r="JK5" i="37"/>
  <c r="OA5" i="38"/>
  <c r="EU5" i="38"/>
  <c r="AE5" i="41"/>
  <c r="FI5" i="44"/>
  <c r="SQ5" i="41"/>
  <c r="JK5" i="41"/>
  <c r="OA5" i="42"/>
  <c r="JY5" i="39"/>
  <c r="TU5" i="29"/>
  <c r="AE5" i="43"/>
  <c r="AE5" i="49"/>
  <c r="AE5" i="45"/>
  <c r="TE5" i="29"/>
  <c r="AS5" i="35"/>
  <c r="TE5" i="37"/>
  <c r="OO5" i="38"/>
  <c r="AS5" i="45"/>
  <c r="AE5" i="47"/>
  <c r="EU5" i="46"/>
  <c r="BI5" i="33"/>
  <c r="SQ5" i="45"/>
  <c r="AS5" i="29"/>
  <c r="OA5" i="48"/>
  <c r="A5" i="43"/>
  <c r="JK5" i="47"/>
  <c r="OO5" i="36"/>
  <c r="JY5" i="31"/>
  <c r="JK5" i="49"/>
  <c r="OO5" i="48"/>
  <c r="O5" i="43"/>
  <c r="JY5" i="29"/>
  <c r="FI5" i="30"/>
  <c r="EU5" i="44"/>
  <c r="TE5" i="31"/>
  <c r="JK5" i="45"/>
  <c r="OO5" i="32"/>
  <c r="JY5" i="35"/>
  <c r="TE5" i="33"/>
  <c r="JY5" i="33"/>
  <c r="FI5" i="32"/>
  <c r="FI5" i="34"/>
  <c r="UI5" i="5"/>
  <c r="KO5" i="15"/>
  <c r="FI5" i="42"/>
  <c r="OO5" i="30"/>
  <c r="JY5" i="45"/>
  <c r="PE5" i="30"/>
  <c r="JY5" i="37"/>
  <c r="AS5" i="41"/>
  <c r="FI5" i="38"/>
  <c r="BI5" i="29"/>
  <c r="TE5" i="47"/>
  <c r="HQ5" i="20"/>
  <c r="TE5" i="41"/>
  <c r="JY5" i="41"/>
  <c r="OO5" i="42"/>
  <c r="FY5" i="28"/>
  <c r="TE5" i="45"/>
  <c r="AS5" i="43"/>
  <c r="OO5" i="44"/>
  <c r="EE5" i="12"/>
  <c r="PS5" i="8"/>
  <c r="SA5" i="4"/>
  <c r="OO5" i="46"/>
  <c r="TE5" i="26"/>
  <c r="AS5" i="47"/>
  <c r="JY5" i="47"/>
  <c r="TU5" i="37"/>
  <c r="TU5" i="19"/>
  <c r="FY5" i="14"/>
  <c r="FI5" i="46"/>
  <c r="BI5" i="15"/>
  <c r="FY5" i="46"/>
  <c r="JY5" i="49"/>
  <c r="KO5" i="33"/>
  <c r="FY5" i="26"/>
  <c r="KO5" i="31"/>
  <c r="PE5" i="12"/>
  <c r="PE5" i="18"/>
  <c r="EU5" i="2"/>
  <c r="KO5" i="21"/>
  <c r="TU5" i="27"/>
  <c r="FY5" i="12"/>
  <c r="PE5" i="22"/>
  <c r="KO5" i="23"/>
  <c r="MW5" i="44"/>
  <c r="FY5" i="32"/>
  <c r="FY5" i="20"/>
  <c r="JK5" i="23"/>
  <c r="FY5" i="22"/>
  <c r="PE5" i="28"/>
  <c r="BI5" i="37"/>
  <c r="EU5" i="8"/>
  <c r="TU5" i="23"/>
  <c r="FY5" i="24"/>
  <c r="PE5" i="40"/>
  <c r="BI5" i="43"/>
  <c r="GM5" i="26"/>
  <c r="TU5" i="33"/>
  <c r="BI5" i="35"/>
  <c r="PE5" i="32"/>
  <c r="BI5" i="27"/>
  <c r="FY5" i="34"/>
  <c r="KO5" i="39"/>
  <c r="FY5" i="36"/>
  <c r="TU5" i="39"/>
  <c r="TU5" i="31"/>
  <c r="LC5" i="45"/>
  <c r="PE5" i="36"/>
  <c r="PS5" i="30"/>
  <c r="TU5" i="45"/>
  <c r="TU5" i="41"/>
  <c r="KO5" i="41"/>
  <c r="HC5" i="4"/>
  <c r="FY5" i="44"/>
  <c r="A5" i="21"/>
  <c r="FY5" i="38"/>
  <c r="BI5" i="47"/>
  <c r="PE5" i="38"/>
  <c r="BW5" i="37"/>
  <c r="FI5" i="8"/>
  <c r="PE5" i="44"/>
  <c r="BI5" i="49"/>
  <c r="FY5" i="40"/>
  <c r="PE5" i="48"/>
  <c r="FY5" i="48"/>
  <c r="PS5" i="28"/>
  <c r="PE5" i="50"/>
  <c r="BW5" i="27"/>
  <c r="GM5" i="28"/>
  <c r="LC5" i="39"/>
  <c r="BW5" i="33"/>
  <c r="PS5" i="38"/>
  <c r="BW5" i="29"/>
  <c r="FY5" i="50"/>
  <c r="HC5" i="49"/>
  <c r="UI5" i="31"/>
  <c r="UI5" i="37"/>
  <c r="LC5" i="31"/>
  <c r="PS5" i="36"/>
  <c r="UI5" i="29"/>
  <c r="NK5" i="44"/>
  <c r="GM5" i="32"/>
  <c r="GM5" i="36"/>
  <c r="GM5" i="38"/>
  <c r="PS5" i="40"/>
  <c r="UI5" i="27"/>
  <c r="GM5" i="34"/>
  <c r="LC5" i="33"/>
  <c r="BW5" i="35"/>
  <c r="GM5" i="44"/>
  <c r="O5" i="21"/>
  <c r="UI5" i="33"/>
  <c r="UY5" i="39"/>
  <c r="PS5" i="48"/>
  <c r="UI5" i="39"/>
  <c r="VM5" i="49"/>
  <c r="BW5" i="11"/>
  <c r="HC5" i="30"/>
  <c r="PS5" i="32"/>
  <c r="GM5" i="46"/>
  <c r="UI5" i="45"/>
  <c r="HQ5" i="38"/>
  <c r="HC5" i="43"/>
  <c r="UY5" i="17"/>
  <c r="LC5" i="41"/>
  <c r="CM5" i="11"/>
  <c r="DA5" i="49"/>
  <c r="PS5" i="50"/>
  <c r="GM5" i="50"/>
  <c r="HQ5" i="49"/>
  <c r="BW5" i="47"/>
  <c r="HC5" i="50"/>
  <c r="UI5" i="49"/>
  <c r="LS5" i="5"/>
  <c r="LC5" i="47"/>
  <c r="QW5" i="18"/>
  <c r="QI5" i="14"/>
  <c r="UI5" i="41"/>
  <c r="UY5" i="3"/>
  <c r="BW5" i="49"/>
  <c r="BW5" i="43"/>
  <c r="UY5" i="5"/>
  <c r="TU5" i="11"/>
  <c r="LS5" i="46"/>
  <c r="CM5" i="5"/>
  <c r="PS5" i="44"/>
  <c r="LS5" i="11"/>
  <c r="HC5" i="24"/>
  <c r="DQ5" i="30"/>
  <c r="QI5" i="6"/>
  <c r="LS5" i="3"/>
  <c r="GM5" i="48"/>
  <c r="UY5" i="32"/>
  <c r="CM5" i="21"/>
  <c r="UY5" i="19"/>
  <c r="EU5" i="7"/>
  <c r="HC5" i="10"/>
  <c r="UY5" i="13"/>
  <c r="QI5" i="8"/>
  <c r="UY5" i="11"/>
  <c r="CM5" i="19"/>
  <c r="QI5" i="12"/>
  <c r="LS5" i="21"/>
  <c r="HC5" i="28"/>
  <c r="CM5" i="27"/>
  <c r="QI5" i="20"/>
  <c r="QI5" i="22"/>
  <c r="UY5" i="9"/>
  <c r="UY5" i="23"/>
  <c r="HC5" i="22"/>
  <c r="CM5" i="9"/>
  <c r="UY5" i="47"/>
  <c r="DQ5" i="3"/>
  <c r="UY5" i="35"/>
  <c r="LS5" i="35"/>
  <c r="QI5" i="24"/>
  <c r="QI5" i="50"/>
  <c r="MG5" i="35"/>
  <c r="SQ5" i="47"/>
  <c r="HC5" i="20"/>
  <c r="UY5" i="25"/>
  <c r="QW5" i="44"/>
  <c r="MW5" i="25"/>
  <c r="KO5" i="47"/>
  <c r="QI5" i="18"/>
  <c r="DQ5" i="31"/>
  <c r="CM5" i="41"/>
  <c r="QI5" i="30"/>
  <c r="CM5" i="29"/>
  <c r="HC5" i="41"/>
  <c r="UY5" i="31"/>
  <c r="HC5" i="32"/>
  <c r="HC5" i="42"/>
  <c r="UY5" i="37"/>
  <c r="CM5" i="37"/>
  <c r="A5" i="36"/>
  <c r="QI5" i="26"/>
  <c r="CM5" i="25"/>
  <c r="HC5" i="40"/>
  <c r="HQ5" i="46"/>
  <c r="RM5" i="24"/>
  <c r="CM5" i="31"/>
  <c r="QI5" i="34"/>
  <c r="HC5" i="38"/>
  <c r="VM5" i="37"/>
  <c r="LS5" i="33"/>
  <c r="UY5" i="49"/>
  <c r="BI5" i="11"/>
  <c r="CM5" i="39"/>
  <c r="QW5" i="30"/>
  <c r="UY5" i="45"/>
  <c r="CM5" i="43"/>
  <c r="LS5" i="37"/>
  <c r="LS5" i="45"/>
  <c r="HC5" i="46"/>
  <c r="HC5" i="44"/>
  <c r="DA5" i="37"/>
  <c r="DA5" i="41"/>
  <c r="MG5" i="33"/>
  <c r="LS5" i="47"/>
  <c r="AE5" i="3"/>
  <c r="CM5" i="45"/>
  <c r="HQ5" i="30"/>
  <c r="QI5" i="44"/>
  <c r="UY5" i="41"/>
  <c r="LS5" i="43"/>
  <c r="MG5" i="43"/>
  <c r="HQ5" i="41"/>
  <c r="VM5" i="31"/>
  <c r="CM5" i="49"/>
  <c r="QI5" i="48"/>
  <c r="MW5" i="36"/>
  <c r="CM5" i="33"/>
  <c r="BI5" i="21"/>
  <c r="A5" i="2"/>
  <c r="QI5" i="46"/>
  <c r="RM5" i="9"/>
  <c r="MG5" i="45"/>
  <c r="VM5" i="47"/>
  <c r="DA5" i="31"/>
  <c r="VM5" i="39"/>
  <c r="HQ5" i="42"/>
  <c r="DA5" i="45"/>
  <c r="HQ5" i="32"/>
  <c r="QW5" i="34"/>
  <c r="NK5" i="36"/>
  <c r="DA5" i="33"/>
  <c r="BW5" i="21"/>
  <c r="O5" i="2"/>
  <c r="VM5" i="45"/>
  <c r="HQ5" i="40"/>
  <c r="VM5" i="35"/>
  <c r="DA5" i="43"/>
  <c r="DQ5" i="35"/>
  <c r="IG5" i="2"/>
  <c r="MG5" i="37"/>
  <c r="HQ5" i="50"/>
  <c r="RM5" i="34"/>
  <c r="RM5" i="18"/>
  <c r="MW5" i="15"/>
  <c r="QW5" i="48"/>
  <c r="DA5" i="39"/>
  <c r="VM5" i="41"/>
  <c r="MG5" i="47"/>
  <c r="AS5" i="3"/>
  <c r="DQ5" i="9"/>
  <c r="HQ5" i="44"/>
  <c r="MW5" i="3"/>
  <c r="MW5" i="1"/>
  <c r="DQ5" i="1"/>
  <c r="DQ5" i="7"/>
  <c r="QW5" i="46"/>
  <c r="SA5" i="9"/>
  <c r="OA5" i="44"/>
  <c r="DQ5" i="12"/>
  <c r="PE5" i="8"/>
  <c r="RM5" i="4"/>
  <c r="RM5" i="6"/>
  <c r="IG5" i="22"/>
  <c r="A5" i="12"/>
  <c r="QW5" i="50"/>
  <c r="IG5" i="10"/>
  <c r="DQ5" i="11"/>
  <c r="NK5" i="25"/>
  <c r="RM5" i="12"/>
  <c r="A5" i="26"/>
  <c r="MW5" i="11"/>
  <c r="A5" i="16"/>
  <c r="SQ5" i="10"/>
  <c r="RM5" i="28"/>
  <c r="PE5" i="24"/>
  <c r="A5" i="22"/>
  <c r="A5" i="6"/>
  <c r="EU5" i="22"/>
  <c r="DQ5" i="17"/>
  <c r="RM5" i="22"/>
  <c r="MW5" i="9"/>
  <c r="DQ5" i="13"/>
  <c r="DQ5" i="19"/>
  <c r="MW5" i="43"/>
  <c r="SA5" i="20"/>
  <c r="MW5" i="23"/>
  <c r="IG5" i="12"/>
  <c r="IG5" i="24"/>
  <c r="IU5" i="32"/>
  <c r="DQ5" i="29"/>
  <c r="MW5" i="19"/>
  <c r="A5" i="18"/>
  <c r="IG5" i="20"/>
  <c r="DQ5" i="25"/>
  <c r="RM5" i="38"/>
  <c r="RM5" i="20"/>
  <c r="RM5" i="26"/>
  <c r="MW5" i="27"/>
  <c r="EU5" i="5"/>
  <c r="A5" i="20"/>
  <c r="DQ5" i="23"/>
  <c r="IG5" i="30"/>
  <c r="RM5" i="27"/>
  <c r="IG5" i="28"/>
  <c r="LS5" i="22"/>
  <c r="A5" i="32"/>
  <c r="HC5" i="48"/>
  <c r="DQ5" i="47"/>
  <c r="MW5" i="29"/>
  <c r="QI5" i="16"/>
  <c r="DQ5" i="39"/>
  <c r="UY5" i="38"/>
  <c r="RM5" i="15"/>
  <c r="IG5" i="36"/>
  <c r="DQ5" i="27"/>
  <c r="DQ5" i="33"/>
  <c r="IG5" i="46"/>
  <c r="MW5" i="37"/>
  <c r="A5" i="34"/>
  <c r="O5" i="32"/>
  <c r="MW5" i="35"/>
  <c r="MW5" i="33"/>
  <c r="DQ5" i="41"/>
  <c r="IG5" i="32"/>
  <c r="DQ5" i="46"/>
  <c r="IG5" i="34"/>
  <c r="BI5" i="31"/>
  <c r="MW5" i="26"/>
  <c r="MW5" i="39"/>
  <c r="EE5" i="19"/>
  <c r="IU5" i="50"/>
  <c r="RM5" i="40"/>
  <c r="AE5" i="27"/>
  <c r="DQ5" i="45"/>
  <c r="EU5" i="48"/>
  <c r="IG5" i="40"/>
  <c r="IG5" i="42"/>
  <c r="BI5" i="25"/>
  <c r="IG5" i="44"/>
  <c r="DQ5" i="43"/>
  <c r="A5" i="44"/>
  <c r="MW5" i="45"/>
  <c r="A5" i="48"/>
  <c r="RM5" i="48"/>
  <c r="IG5" i="48"/>
  <c r="MW5" i="47"/>
  <c r="RM5" i="46"/>
  <c r="PS5" i="24"/>
  <c r="O5" i="16"/>
  <c r="TE5" i="10"/>
  <c r="A5" i="50"/>
  <c r="SA5" i="22"/>
  <c r="DQ5" i="49"/>
  <c r="RM5" i="50"/>
  <c r="IG5" i="50"/>
  <c r="O5" i="20"/>
  <c r="FI5" i="22"/>
  <c r="EE5" i="17"/>
  <c r="O5" i="18"/>
  <c r="AE5" i="26"/>
  <c r="SA5" i="18"/>
  <c r="NK5" i="19"/>
  <c r="IU5" i="20"/>
  <c r="O5" i="36"/>
  <c r="EE5" i="23"/>
  <c r="IU5" i="22"/>
  <c r="NK5" i="43"/>
  <c r="IU5" i="24"/>
  <c r="OA5" i="37"/>
  <c r="EE5" i="31"/>
  <c r="QW5" i="16"/>
  <c r="NK5" i="29"/>
  <c r="AS5" i="34"/>
  <c r="EE5" i="43"/>
  <c r="O5" i="22"/>
  <c r="SA5" i="24"/>
  <c r="NK5" i="15"/>
  <c r="EE5" i="29"/>
  <c r="O5" i="26"/>
  <c r="IU5" i="44"/>
  <c r="EE5" i="25"/>
  <c r="FI5" i="48"/>
  <c r="IU5" i="40"/>
  <c r="EE5" i="27"/>
  <c r="SA5" i="28"/>
  <c r="AE5" i="34"/>
  <c r="NK5" i="23"/>
  <c r="NK5" i="27"/>
  <c r="FI5" i="5"/>
  <c r="SQ5" i="22"/>
  <c r="IU5" i="28"/>
  <c r="MG5" i="22"/>
  <c r="SA5" i="27"/>
  <c r="IU5" i="30"/>
  <c r="O5" i="38"/>
  <c r="AS5" i="24"/>
  <c r="IU5" i="4"/>
  <c r="NK5" i="33"/>
  <c r="EE5" i="39"/>
  <c r="VM5" i="38"/>
  <c r="SA5" i="15"/>
  <c r="TE5" i="40"/>
  <c r="MG5" i="38"/>
  <c r="JK5" i="32"/>
  <c r="EU5" i="47"/>
  <c r="AE5" i="48"/>
  <c r="QI5" i="38"/>
  <c r="SA5" i="26"/>
  <c r="JY5" i="38"/>
  <c r="EE5" i="38"/>
  <c r="O5" i="50"/>
  <c r="SA5" i="40"/>
  <c r="AS5" i="27"/>
  <c r="EE5" i="41"/>
  <c r="NK5" i="39"/>
  <c r="EE5" i="35"/>
  <c r="O5" i="34"/>
  <c r="EE5" i="33"/>
  <c r="EE5" i="46"/>
  <c r="IU5" i="34"/>
  <c r="BW5" i="31"/>
  <c r="NK5" i="26"/>
  <c r="NK5" i="37"/>
  <c r="SA5" i="38"/>
  <c r="SA5" i="34"/>
  <c r="EE5" i="45"/>
  <c r="NK5" i="35"/>
  <c r="IU5" i="36"/>
  <c r="IU5" i="46"/>
  <c r="NK5" i="47"/>
  <c r="NK5" i="45"/>
  <c r="O5" i="48"/>
  <c r="SA5" i="46"/>
  <c r="AE5" i="18"/>
  <c r="HQ5" i="48"/>
  <c r="EE5" i="47"/>
  <c r="SA5" i="48"/>
  <c r="O5" i="44"/>
  <c r="AE5" i="20"/>
  <c r="EE5" i="49"/>
  <c r="IU5" i="42"/>
  <c r="BW5" i="25"/>
  <c r="EU5" i="19"/>
  <c r="AE5" i="24"/>
  <c r="IG5" i="4"/>
  <c r="A5" i="38"/>
  <c r="IU5" i="48"/>
  <c r="EU5" i="23"/>
  <c r="SA5" i="50"/>
  <c r="OA5" i="25"/>
  <c r="EU5" i="41"/>
  <c r="AS5" i="30"/>
  <c r="OA5" i="23"/>
  <c r="DQ5" i="44"/>
  <c r="EU5" i="27"/>
  <c r="MW5" i="49"/>
  <c r="OA5" i="43"/>
  <c r="LS5" i="34"/>
  <c r="JK5" i="26"/>
  <c r="OA5" i="31"/>
  <c r="OA5" i="35"/>
  <c r="SQ5" i="32"/>
  <c r="SQ5" i="30"/>
  <c r="OA5" i="46"/>
  <c r="SQ5" i="26"/>
  <c r="OA5" i="33"/>
  <c r="AE5" i="28"/>
  <c r="JK5" i="11"/>
  <c r="EU5" i="33"/>
  <c r="LS5" i="26"/>
  <c r="MW5" i="10"/>
  <c r="EU5" i="39"/>
  <c r="A5" i="1"/>
  <c r="SQ5" i="34"/>
  <c r="AE5" i="30"/>
  <c r="AE5" i="46"/>
  <c r="A5" i="24"/>
  <c r="JK5" i="28"/>
  <c r="SQ5" i="28"/>
  <c r="OA5" i="49"/>
  <c r="JK5" i="34"/>
  <c r="SQ5" i="38"/>
  <c r="UY5" i="6"/>
  <c r="EU5" i="45"/>
  <c r="SQ5" i="48"/>
  <c r="OO5" i="45"/>
  <c r="EE5" i="26"/>
  <c r="OO5" i="20"/>
  <c r="SQ5" i="36"/>
  <c r="SQ5" i="40"/>
  <c r="LS5" i="38"/>
  <c r="AE5" i="40"/>
  <c r="HC5" i="34"/>
  <c r="AE5" i="44"/>
  <c r="SQ5" i="19"/>
  <c r="EU5" i="49"/>
  <c r="AE5" i="36"/>
  <c r="OO5" i="35"/>
  <c r="JK5" i="38"/>
  <c r="DQ5" i="38"/>
  <c r="FI5" i="49"/>
  <c r="AE5" i="50"/>
  <c r="SQ5" i="44"/>
  <c r="EU5" i="43"/>
  <c r="TU5" i="15"/>
  <c r="TE5" i="34"/>
  <c r="TE5" i="28"/>
  <c r="AS5" i="40"/>
  <c r="HQ5" i="34"/>
  <c r="TE5" i="30"/>
  <c r="OA5" i="45"/>
  <c r="DQ5" i="26"/>
  <c r="OA5" i="20"/>
  <c r="OO5" i="31"/>
  <c r="FI5" i="41"/>
  <c r="AS5" i="36"/>
  <c r="SQ5" i="46"/>
  <c r="JY5" i="28"/>
  <c r="JK5" i="50"/>
  <c r="JY5" i="34"/>
  <c r="OO5" i="37"/>
  <c r="OO5" i="33"/>
  <c r="TE5" i="32"/>
  <c r="BW5" i="44"/>
  <c r="NK5" i="49"/>
  <c r="OO5" i="43"/>
  <c r="MG5" i="34"/>
  <c r="LC5" i="49"/>
  <c r="GM5" i="45"/>
  <c r="JY5" i="32"/>
  <c r="TE5" i="46"/>
  <c r="FI5" i="33"/>
  <c r="MG5" i="26"/>
  <c r="NK5" i="10"/>
  <c r="O5" i="24"/>
  <c r="FI5" i="45"/>
  <c r="AS5" i="46"/>
  <c r="TU5" i="6"/>
  <c r="JY5" i="50"/>
  <c r="O5" i="1"/>
  <c r="FI5" i="39"/>
  <c r="FI5" i="43"/>
  <c r="UI5" i="15"/>
  <c r="TE5" i="38"/>
  <c r="VM5" i="6"/>
  <c r="OO5" i="49"/>
  <c r="TE5" i="36"/>
  <c r="FI5" i="47"/>
  <c r="AS5" i="48"/>
  <c r="QW5" i="38"/>
  <c r="AS5" i="50"/>
  <c r="TE5" i="48"/>
  <c r="FY5" i="7"/>
  <c r="KO5" i="8"/>
  <c r="KO5" i="10"/>
  <c r="TE5" i="44"/>
  <c r="RM5" i="43"/>
  <c r="BI5" i="8"/>
  <c r="AS5" i="44"/>
  <c r="TE5" i="19"/>
  <c r="PE5" i="7"/>
  <c r="FY5" i="9"/>
  <c r="FY5" i="15"/>
  <c r="TU5" i="18"/>
  <c r="KO5" i="20"/>
  <c r="PE5" i="21"/>
  <c r="TU5" i="8"/>
  <c r="KO5" i="12"/>
  <c r="TU5" i="16"/>
  <c r="KO5" i="30"/>
  <c r="HC5" i="6"/>
  <c r="KO5" i="16"/>
  <c r="KO5" i="18"/>
  <c r="BI5" i="14"/>
  <c r="TU5" i="38"/>
  <c r="BI5" i="18"/>
  <c r="PE5" i="19"/>
  <c r="KO5" i="22"/>
  <c r="PE5" i="25"/>
  <c r="A5" i="10"/>
  <c r="IG5" i="3"/>
  <c r="BI5" i="22"/>
  <c r="LS5" i="25"/>
  <c r="BI5" i="10"/>
  <c r="KO5" i="32"/>
  <c r="AE5" i="22"/>
  <c r="SQ5" i="21"/>
  <c r="UY5" i="4"/>
  <c r="BI5" i="34"/>
  <c r="PE5" i="23"/>
  <c r="KO5" i="24"/>
  <c r="SQ5" i="2"/>
  <c r="OA5" i="19"/>
  <c r="KO5" i="14"/>
  <c r="BI5" i="24"/>
  <c r="TU5" i="26"/>
  <c r="FY5" i="27"/>
  <c r="BI5" i="26"/>
  <c r="FY5" i="23"/>
  <c r="BI5" i="30"/>
  <c r="PE5" i="47"/>
  <c r="KO5" i="44"/>
  <c r="FY5" i="4"/>
  <c r="KO5" i="28"/>
  <c r="CM5" i="18"/>
  <c r="BW5" i="32"/>
  <c r="TU5" i="22"/>
  <c r="PS5" i="23"/>
  <c r="LC5" i="30"/>
  <c r="HQ5" i="6"/>
  <c r="EU5" i="50"/>
  <c r="TU5" i="28"/>
  <c r="BW5" i="34"/>
  <c r="BI5" i="36"/>
  <c r="PS5" i="35"/>
  <c r="LC5" i="36"/>
  <c r="BI5" i="38"/>
  <c r="FY5" i="31"/>
  <c r="PE5" i="41"/>
  <c r="IG5" i="33"/>
  <c r="BI5" i="32"/>
  <c r="TU5" i="30"/>
  <c r="KO5" i="40"/>
  <c r="BI5" i="42"/>
  <c r="BI5" i="44"/>
  <c r="PE5" i="35"/>
  <c r="UY5" i="33"/>
  <c r="KO5" i="38"/>
  <c r="UY5" i="27"/>
  <c r="TU5" i="40"/>
  <c r="TU5" i="48"/>
  <c r="FY5" i="33"/>
  <c r="PE5" i="45"/>
  <c r="PE5" i="33"/>
  <c r="TU5" i="32"/>
  <c r="KO5" i="42"/>
  <c r="JK5" i="24"/>
  <c r="LC5" i="16"/>
  <c r="TU5" i="42"/>
  <c r="KO5" i="46"/>
  <c r="KO5" i="34"/>
  <c r="KO5" i="36"/>
  <c r="TU5" i="44"/>
  <c r="TU5" i="36"/>
  <c r="PE5" i="27"/>
  <c r="PE5" i="43"/>
  <c r="KO5" i="49"/>
  <c r="FY5" i="45"/>
  <c r="PS5" i="21"/>
  <c r="UI5" i="18"/>
  <c r="GM5" i="33"/>
  <c r="BI5" i="50"/>
  <c r="KO5" i="48"/>
  <c r="BW5" i="14"/>
  <c r="FY5" i="49"/>
  <c r="GM5" i="15"/>
  <c r="OO5" i="19"/>
  <c r="LC5" i="14"/>
  <c r="KO5" i="50"/>
  <c r="GM5" i="27"/>
  <c r="PS5" i="19"/>
  <c r="BW5" i="18"/>
  <c r="PE5" i="49"/>
  <c r="UI5" i="16"/>
  <c r="LC5" i="18"/>
  <c r="BW5" i="22"/>
  <c r="LC5" i="22"/>
  <c r="UI5" i="22"/>
  <c r="TU5" i="50"/>
  <c r="JK5" i="14"/>
  <c r="LC5" i="12"/>
  <c r="GM5" i="23"/>
  <c r="PS5" i="45"/>
  <c r="LC5" i="32"/>
  <c r="VM5" i="4"/>
  <c r="AS5" i="22"/>
  <c r="TE5" i="21"/>
  <c r="FI5" i="50"/>
  <c r="UI5" i="28"/>
  <c r="PS5" i="33"/>
  <c r="UI5" i="32"/>
  <c r="LC5" i="24"/>
  <c r="TE5" i="2"/>
  <c r="LC5" i="20"/>
  <c r="PS5" i="25"/>
  <c r="O5" i="10"/>
  <c r="IU5" i="3"/>
  <c r="BW5" i="38"/>
  <c r="BW5" i="30"/>
  <c r="UI5" i="26"/>
  <c r="LC5" i="28"/>
  <c r="DA5" i="18"/>
  <c r="LC5" i="38"/>
  <c r="VM5" i="27"/>
  <c r="UI5" i="38"/>
  <c r="BW5" i="24"/>
  <c r="BW5" i="26"/>
  <c r="UI5" i="42"/>
  <c r="VM5" i="33"/>
  <c r="UI5" i="40"/>
  <c r="LC5" i="34"/>
  <c r="PS5" i="41"/>
  <c r="IU5" i="33"/>
  <c r="GM5" i="31"/>
  <c r="BW5" i="36"/>
  <c r="LC5" i="42"/>
  <c r="JY5" i="24"/>
  <c r="LC5" i="40"/>
  <c r="UI5" i="30"/>
  <c r="BW5" i="42"/>
  <c r="PS5" i="49"/>
  <c r="LC5" i="44"/>
  <c r="GM5" i="4"/>
  <c r="BW5" i="50"/>
  <c r="UI5" i="36"/>
  <c r="PS5" i="27"/>
  <c r="LC5" i="48"/>
  <c r="LC5" i="46"/>
  <c r="PS5" i="47"/>
  <c r="PS5" i="43"/>
  <c r="UI5" i="48"/>
  <c r="GM5" i="49"/>
  <c r="LC5" i="50"/>
  <c r="UI5" i="50"/>
  <c r="JY5" i="14"/>
  <c r="UI5" i="44"/>
  <c r="BI5" i="41"/>
  <c r="A5" i="11"/>
  <c r="KO5" i="37"/>
  <c r="OA5" i="39"/>
  <c r="OO5" i="7"/>
  <c r="MW5" i="41"/>
  <c r="CM5" i="20"/>
  <c r="BW5" i="41"/>
  <c r="DA5" i="36"/>
  <c r="VM5" i="1"/>
  <c r="UI5" i="25"/>
  <c r="FY5" i="6"/>
  <c r="OA5" i="50"/>
  <c r="CM5" i="23"/>
  <c r="EU5" i="9"/>
  <c r="LS5" i="29"/>
  <c r="MW5" i="13"/>
  <c r="DA5" i="23"/>
  <c r="FI5" i="9"/>
  <c r="PE5" i="31"/>
  <c r="TU5" i="25"/>
  <c r="MG5" i="7"/>
  <c r="HC5" i="36"/>
  <c r="AS5" i="21"/>
  <c r="TE5" i="16"/>
  <c r="AE5" i="21"/>
  <c r="SQ5" i="16"/>
  <c r="LC5" i="26"/>
  <c r="BW5" i="28"/>
  <c r="JK5" i="48"/>
  <c r="AE5" i="9"/>
  <c r="A5" i="4"/>
  <c r="MG5" i="41"/>
  <c r="KO5" i="43"/>
  <c r="EU5" i="40"/>
  <c r="OA5" i="29"/>
  <c r="JK5" i="2"/>
  <c r="PS5" i="46"/>
  <c r="MG5" i="29"/>
  <c r="NK5" i="13"/>
  <c r="JK5" i="3"/>
  <c r="UY5" i="1"/>
  <c r="CM5" i="36"/>
  <c r="SQ5" i="42"/>
  <c r="IG5" i="29"/>
  <c r="BI5" i="19"/>
  <c r="QW5" i="4"/>
  <c r="PE5" i="11"/>
  <c r="JY5" i="48"/>
  <c r="LS5" i="41"/>
  <c r="JY5" i="30"/>
  <c r="IG5" i="11"/>
  <c r="QI5" i="4"/>
  <c r="LS5" i="15"/>
  <c r="QI5" i="13"/>
  <c r="QI5" i="28"/>
  <c r="A5" i="28"/>
  <c r="RM5" i="11"/>
  <c r="QI5" i="40"/>
  <c r="UY5" i="24"/>
  <c r="MW5" i="24"/>
  <c r="IG5" i="8"/>
  <c r="JY5" i="36"/>
  <c r="O5" i="4"/>
  <c r="CM5" i="26"/>
  <c r="PE5" i="20"/>
  <c r="AE5" i="37"/>
  <c r="PS5" i="11"/>
  <c r="KO5" i="27"/>
  <c r="LS5" i="23"/>
  <c r="RM5" i="14"/>
  <c r="HC5" i="13"/>
  <c r="BW5" i="9"/>
  <c r="TE5" i="42"/>
  <c r="IU5" i="29"/>
  <c r="BW5" i="19"/>
  <c r="HC5" i="12"/>
  <c r="RM5" i="30"/>
  <c r="OA5" i="41"/>
  <c r="FY5" i="17"/>
  <c r="HC5" i="26"/>
  <c r="SQ5" i="25"/>
  <c r="FY5" i="3"/>
  <c r="PS5" i="20"/>
  <c r="CM5" i="38"/>
  <c r="SQ5" i="1"/>
  <c r="DQ5" i="15"/>
  <c r="FY5" i="13"/>
  <c r="SQ5" i="14"/>
  <c r="BI5" i="12"/>
  <c r="JY5" i="43"/>
  <c r="SQ5" i="27"/>
  <c r="HQ5" i="26"/>
  <c r="HC5" i="39"/>
  <c r="JK5" i="40"/>
  <c r="GM5" i="17"/>
  <c r="PS5" i="31"/>
  <c r="BI5" i="9"/>
  <c r="DQ5" i="16"/>
  <c r="UY5" i="21"/>
  <c r="RM5" i="7"/>
  <c r="LS5" i="19"/>
  <c r="A5" i="27"/>
  <c r="BI5" i="7"/>
  <c r="TE5" i="49"/>
  <c r="EE5" i="21"/>
  <c r="LC5" i="9"/>
  <c r="PE5" i="9"/>
  <c r="CM5" i="24"/>
  <c r="QI5" i="7"/>
  <c r="RM5" i="32"/>
  <c r="JK5" i="43"/>
  <c r="JK5" i="46"/>
  <c r="JK5" i="8"/>
  <c r="TE5" i="1"/>
  <c r="DA5" i="38"/>
  <c r="SQ5" i="18"/>
  <c r="CM5" i="17"/>
  <c r="QI5" i="36"/>
  <c r="JK5" i="42"/>
  <c r="PE5" i="37"/>
  <c r="MG5" i="19"/>
  <c r="KO5" i="17"/>
  <c r="MW5" i="5"/>
  <c r="TE5" i="18"/>
  <c r="SA5" i="42"/>
  <c r="JY5" i="44"/>
  <c r="VM5" i="15"/>
  <c r="LC5" i="17"/>
  <c r="NK5" i="5"/>
  <c r="IG5" i="19"/>
  <c r="PE5" i="15"/>
  <c r="EU5" i="31"/>
  <c r="OA5" i="11"/>
  <c r="TU5" i="24"/>
  <c r="AE5" i="10"/>
  <c r="RM5" i="8"/>
  <c r="EU5" i="21"/>
  <c r="CM5" i="47"/>
  <c r="CM5" i="34"/>
  <c r="SQ5" i="8"/>
  <c r="AE5" i="2"/>
  <c r="PS5" i="15"/>
  <c r="A5" i="30"/>
  <c r="AE5" i="16"/>
  <c r="QI5" i="49"/>
  <c r="JK5" i="25"/>
  <c r="CM5" i="13"/>
  <c r="AE5" i="13"/>
  <c r="QI5" i="5"/>
  <c r="IG5" i="17"/>
  <c r="JK5" i="36"/>
  <c r="DA5" i="34"/>
  <c r="TE5" i="8"/>
  <c r="AS5" i="2"/>
  <c r="AE5" i="32"/>
  <c r="MW5" i="40"/>
  <c r="BI5" i="48"/>
  <c r="LS5" i="27"/>
  <c r="IG5" i="6"/>
  <c r="AS5" i="33"/>
  <c r="KO5" i="2"/>
  <c r="RM5" i="2"/>
  <c r="JK5" i="13"/>
  <c r="LS5" i="49"/>
  <c r="BW5" i="48"/>
  <c r="BI5" i="17"/>
  <c r="TE5" i="27"/>
  <c r="FY5" i="8"/>
  <c r="BI5" i="2"/>
  <c r="JK5" i="18"/>
  <c r="HC5" i="18"/>
  <c r="IG5" i="9"/>
  <c r="MW5" i="8"/>
  <c r="FY5" i="5"/>
  <c r="FY5" i="16"/>
  <c r="GM5" i="47"/>
  <c r="OO5" i="1"/>
  <c r="SQ5" i="20"/>
  <c r="UI5" i="46"/>
  <c r="SA5" i="45"/>
  <c r="NK5" i="21"/>
  <c r="BW5" i="16"/>
  <c r="GM5" i="11"/>
  <c r="DQ5" i="10"/>
  <c r="A5" i="14"/>
  <c r="UY5" i="22"/>
  <c r="RM5" i="31"/>
  <c r="TE5" i="14"/>
  <c r="O5" i="40"/>
  <c r="DA5" i="47"/>
  <c r="FI5" i="21"/>
  <c r="OA5" i="22"/>
  <c r="SA5" i="13"/>
  <c r="BW5" i="17"/>
  <c r="MW5" i="42"/>
  <c r="SQ5" i="13"/>
  <c r="QI5" i="39"/>
  <c r="IG5" i="5"/>
  <c r="O5" i="14"/>
  <c r="RM5" i="36"/>
  <c r="O5" i="42"/>
  <c r="GM5" i="42"/>
  <c r="JY5" i="17"/>
  <c r="A5" i="35"/>
  <c r="SQ5" i="49"/>
  <c r="DQ5" i="21"/>
  <c r="KO5" i="9"/>
  <c r="JK5" i="44"/>
  <c r="UY5" i="15"/>
  <c r="PE5" i="1"/>
  <c r="RM5" i="42"/>
  <c r="JY5" i="40"/>
  <c r="HQ5" i="39"/>
  <c r="PE5" i="46"/>
  <c r="JY5" i="3"/>
  <c r="IU5" i="19"/>
  <c r="FY5" i="47"/>
  <c r="LS5" i="7"/>
  <c r="SA5" i="7"/>
  <c r="TU5" i="46"/>
  <c r="RM5" i="45"/>
  <c r="MW5" i="21"/>
  <c r="BI5" i="16"/>
  <c r="FY5" i="11"/>
  <c r="VM5" i="21"/>
  <c r="FY5" i="42"/>
  <c r="A5" i="42"/>
  <c r="JK5" i="17"/>
  <c r="TE5" i="24"/>
  <c r="HQ5" i="2"/>
  <c r="NK5" i="42"/>
  <c r="BI5" i="20"/>
  <c r="QI5" i="1"/>
  <c r="LS5" i="9"/>
  <c r="O5" i="35"/>
  <c r="LS5" i="4"/>
  <c r="A5" i="8"/>
  <c r="AS5" i="9"/>
  <c r="EU5" i="10"/>
  <c r="GM5" i="13"/>
  <c r="PE5" i="39"/>
  <c r="EU5" i="35"/>
  <c r="PS5" i="37"/>
  <c r="GM5" i="8"/>
  <c r="BW5" i="2"/>
  <c r="OO5" i="39"/>
  <c r="QW5" i="28"/>
  <c r="O5" i="28"/>
  <c r="SA5" i="11"/>
  <c r="OO5" i="47"/>
  <c r="LC5" i="25"/>
  <c r="O5" i="11"/>
  <c r="BW5" i="7"/>
  <c r="VM5" i="22"/>
  <c r="JY5" i="46"/>
  <c r="JY5" i="8"/>
  <c r="EE5" i="10"/>
  <c r="NK5" i="41"/>
  <c r="DA5" i="20"/>
  <c r="SA5" i="36"/>
  <c r="EE5" i="15"/>
  <c r="MW5" i="12"/>
  <c r="FY5" i="30"/>
  <c r="IG5" i="14"/>
  <c r="DA5" i="17"/>
  <c r="PE5" i="29"/>
  <c r="KO5" i="13"/>
  <c r="TE5" i="25"/>
  <c r="GM5" i="3"/>
  <c r="TE5" i="20"/>
  <c r="AS5" i="38"/>
  <c r="NK5" i="7"/>
  <c r="QW5" i="13"/>
  <c r="GM5" i="16"/>
  <c r="TE5" i="13"/>
  <c r="IU5" i="11"/>
  <c r="AS5" i="37"/>
  <c r="EE5" i="4"/>
  <c r="HQ5" i="36"/>
  <c r="AE5" i="1"/>
  <c r="AE5" i="5"/>
  <c r="BW5" i="12"/>
  <c r="AS5" i="16"/>
  <c r="LC5" i="43"/>
  <c r="FI5" i="40"/>
  <c r="OO5" i="29"/>
  <c r="JY5" i="2"/>
  <c r="GM5" i="30"/>
  <c r="IU5" i="14"/>
  <c r="NK5" i="12"/>
  <c r="PS5" i="39"/>
  <c r="FI5" i="35"/>
  <c r="O5" i="27"/>
  <c r="MG5" i="27"/>
  <c r="IU5" i="6"/>
  <c r="QW5" i="40"/>
  <c r="VM5" i="24"/>
  <c r="NK5" i="24"/>
  <c r="IU5" i="8"/>
  <c r="QW5" i="5"/>
  <c r="SA5" i="32"/>
  <c r="DA5" i="24"/>
  <c r="QW5" i="7"/>
  <c r="FY5" i="25"/>
  <c r="PE5" i="14"/>
  <c r="DQ5" i="37"/>
  <c r="AE5" i="15"/>
  <c r="IG5" i="13"/>
  <c r="EU5" i="1"/>
  <c r="PS5" i="9"/>
  <c r="DA5" i="26"/>
  <c r="OO5" i="50"/>
  <c r="PS5" i="1"/>
  <c r="JY5" i="42"/>
  <c r="QW5" i="36"/>
  <c r="MG5" i="9"/>
  <c r="EU5" i="29"/>
  <c r="NK5" i="40"/>
  <c r="FI5" i="10"/>
  <c r="BI5" i="40"/>
  <c r="FY5" i="29"/>
  <c r="RM5" i="49"/>
  <c r="QW5" i="1"/>
  <c r="QW5" i="39"/>
  <c r="IU5" i="5"/>
  <c r="LS5" i="31"/>
  <c r="UY5" i="18"/>
  <c r="SQ5" i="12"/>
  <c r="DQ5" i="5"/>
  <c r="JK5" i="21"/>
  <c r="QW5" i="49"/>
  <c r="JY5" i="25"/>
  <c r="DA5" i="13"/>
  <c r="AS5" i="13"/>
  <c r="EE5" i="37"/>
  <c r="AS5" i="15"/>
  <c r="IU5" i="13"/>
  <c r="FI5" i="1"/>
  <c r="MG5" i="10"/>
  <c r="IU5" i="45"/>
  <c r="EE5" i="16"/>
  <c r="FI5" i="31"/>
  <c r="OO5" i="11"/>
  <c r="HQ5" i="12"/>
  <c r="IU5" i="17"/>
  <c r="HQ5" i="18"/>
  <c r="IU5" i="9"/>
  <c r="NK5" i="8"/>
  <c r="GM5" i="5"/>
  <c r="SA5" i="31"/>
  <c r="JY5" i="18"/>
  <c r="GM5" i="25"/>
  <c r="PS5" i="14"/>
  <c r="NK5" i="31"/>
  <c r="AS5" i="31"/>
  <c r="AS5" i="32"/>
  <c r="BW5" i="40"/>
  <c r="AS5" i="5"/>
  <c r="KO5" i="7"/>
  <c r="GM5" i="29"/>
  <c r="SA5" i="49"/>
  <c r="FI5" i="29"/>
  <c r="AS5" i="1"/>
  <c r="OA5" i="47"/>
  <c r="KO5" i="25"/>
  <c r="JY5" i="21"/>
  <c r="O5" i="8"/>
  <c r="MG5" i="4"/>
  <c r="MG5" i="31"/>
  <c r="VM5" i="18"/>
  <c r="TE5" i="12"/>
  <c r="EE5" i="5"/>
  <c r="HC5" i="2"/>
  <c r="SQ5" i="24"/>
  <c r="AE5" i="33"/>
  <c r="HC5" i="21"/>
  <c r="BI5" i="46"/>
  <c r="OA5" i="34"/>
  <c r="MW5" i="34"/>
  <c r="IG5" i="26"/>
  <c r="SQ5" i="35"/>
  <c r="OA5" i="1"/>
  <c r="OA5" i="7"/>
  <c r="BI5" i="28"/>
  <c r="KO5" i="26"/>
  <c r="JK5" i="30"/>
  <c r="A5" i="40"/>
  <c r="RM5" i="13"/>
  <c r="TU5" i="10"/>
  <c r="RM5" i="23"/>
  <c r="HC5" i="8"/>
  <c r="LS5" i="1"/>
  <c r="QI5" i="42"/>
  <c r="QI5" i="32"/>
  <c r="FY5" i="18"/>
  <c r="FY5" i="10"/>
  <c r="HC5" i="16"/>
  <c r="LS5" i="10"/>
  <c r="IG5" i="45"/>
  <c r="BW5" i="46"/>
  <c r="OO5" i="34"/>
  <c r="NK5" i="34"/>
  <c r="IU5" i="26"/>
  <c r="IG5" i="38"/>
  <c r="FY5" i="21"/>
  <c r="PE5" i="13"/>
  <c r="PE5" i="26"/>
  <c r="BI5" i="39"/>
  <c r="UY5" i="10"/>
  <c r="UI5" i="10"/>
  <c r="TE5" i="35"/>
  <c r="O5" i="49"/>
  <c r="GM5" i="10"/>
  <c r="QW5" i="42"/>
  <c r="QW5" i="32"/>
  <c r="GM5" i="18"/>
  <c r="GM5" i="21"/>
  <c r="PS5" i="13"/>
  <c r="IU5" i="38"/>
  <c r="HQ5" i="8"/>
  <c r="HQ5" i="21"/>
  <c r="MG5" i="1"/>
  <c r="BW5" i="39"/>
  <c r="VM5" i="10"/>
  <c r="FI5" i="28"/>
  <c r="TU5" i="47"/>
  <c r="PS5" i="26"/>
  <c r="TU5" i="7"/>
  <c r="FY5" i="41"/>
  <c r="MW5" i="17"/>
  <c r="A5" i="46"/>
  <c r="IG5" i="18"/>
  <c r="EU5" i="18"/>
  <c r="TU5" i="13"/>
  <c r="JK5" i="19"/>
  <c r="EU5" i="28"/>
  <c r="SQ5" i="43"/>
  <c r="OA5" i="27"/>
  <c r="PE5" i="42"/>
  <c r="EU5" i="25"/>
  <c r="OA5" i="3"/>
  <c r="RM5" i="3"/>
  <c r="MW5" i="22"/>
  <c r="HC5" i="25"/>
  <c r="UY5" i="14"/>
  <c r="FY5" i="43"/>
  <c r="FY5" i="35"/>
  <c r="SQ5" i="50"/>
  <c r="SA5" i="37"/>
  <c r="RM5" i="37"/>
  <c r="GM5" i="43"/>
  <c r="GM5" i="41"/>
  <c r="GM5" i="39"/>
  <c r="GM5" i="37"/>
  <c r="GM5" i="35"/>
  <c r="UI5" i="34"/>
  <c r="PS5" i="29"/>
  <c r="UI5" i="24"/>
  <c r="UI5" i="20"/>
  <c r="BW5" i="20"/>
  <c r="GM5" i="19"/>
  <c r="PS5" i="17"/>
  <c r="UI5" i="14"/>
  <c r="UI5" i="12"/>
  <c r="FY5" i="39"/>
  <c r="FY5" i="37"/>
  <c r="TU5" i="34"/>
  <c r="TU5" i="20"/>
  <c r="FY5" i="19"/>
  <c r="PE5" i="17"/>
  <c r="TU5" i="14"/>
  <c r="TU5" i="12"/>
  <c r="TE5" i="50"/>
  <c r="AS5" i="42"/>
  <c r="OO5" i="41"/>
  <c r="FI5" i="37"/>
  <c r="AE5" i="42"/>
  <c r="AE5" i="38"/>
  <c r="EU5" i="37"/>
  <c r="JK5" i="22"/>
  <c r="OA5" i="21"/>
  <c r="JK5" i="20"/>
  <c r="O5" i="46"/>
  <c r="SA5" i="44"/>
  <c r="SA5" i="30"/>
  <c r="O5" i="30"/>
  <c r="IU5" i="18"/>
  <c r="NK5" i="17"/>
  <c r="SA5" i="16"/>
  <c r="IU5" i="16"/>
  <c r="SA5" i="14"/>
  <c r="RM5" i="44"/>
  <c r="MW5" i="31"/>
  <c r="RM5" i="16"/>
  <c r="IG5" i="16"/>
  <c r="RM5" i="10"/>
  <c r="MW5" i="7"/>
  <c r="MG5" i="49"/>
  <c r="VM5" i="43"/>
  <c r="MG5" i="39"/>
  <c r="DA5" i="35"/>
  <c r="UY5" i="43"/>
  <c r="LS5" i="39"/>
  <c r="CM5" i="35"/>
  <c r="UY5" i="29"/>
  <c r="LS5" i="17"/>
  <c r="CM5" i="15"/>
  <c r="HC5" i="14"/>
  <c r="LS5" i="13"/>
  <c r="QI5" i="10"/>
  <c r="UY5" i="7"/>
  <c r="CM5" i="7"/>
  <c r="UI5" i="47"/>
  <c r="BW5" i="45"/>
  <c r="UI5" i="43"/>
  <c r="PS5" i="42"/>
  <c r="LC5" i="37"/>
  <c r="UI5" i="35"/>
  <c r="LC5" i="35"/>
  <c r="PS5" i="34"/>
  <c r="LC5" i="29"/>
  <c r="LC5" i="27"/>
  <c r="BI5" i="45"/>
  <c r="TU5" i="43"/>
  <c r="TU5" i="35"/>
  <c r="KO5" i="35"/>
  <c r="PE5" i="34"/>
  <c r="KO5" i="29"/>
  <c r="BI5" i="23"/>
  <c r="TU5" i="21"/>
  <c r="PE5" i="16"/>
  <c r="BI5" i="13"/>
  <c r="TE5" i="43"/>
  <c r="OO5" i="40"/>
  <c r="TE5" i="39"/>
  <c r="AS5" i="39"/>
  <c r="FI5" i="36"/>
  <c r="OA5" i="40"/>
  <c r="SQ5" i="39"/>
  <c r="AE5" i="39"/>
  <c r="EU5" i="36"/>
  <c r="AE5" i="31"/>
  <c r="EU5" i="16"/>
  <c r="EU5" i="12"/>
  <c r="IU5" i="35"/>
  <c r="NK5" i="28"/>
  <c r="IU5" i="25"/>
  <c r="SA5" i="23"/>
  <c r="NK5" i="22"/>
  <c r="SA5" i="3"/>
  <c r="NK5" i="2"/>
  <c r="SA5" i="1"/>
  <c r="A5" i="49"/>
  <c r="IG5" i="35"/>
  <c r="MW5" i="28"/>
  <c r="IG5" i="25"/>
  <c r="DQ5" i="4"/>
  <c r="MW5" i="2"/>
  <c r="RM5" i="1"/>
  <c r="QW5" i="47"/>
  <c r="DA5" i="46"/>
  <c r="VM5" i="30"/>
  <c r="QW5" i="25"/>
  <c r="HQ5" i="25"/>
  <c r="VM5" i="20"/>
  <c r="QI5" i="47"/>
  <c r="CM5" i="46"/>
  <c r="MG5" i="23"/>
  <c r="FI5" i="16"/>
  <c r="HQ5" i="14"/>
  <c r="JY5" i="13"/>
  <c r="CM5" i="1"/>
  <c r="MG5" i="2"/>
  <c r="QW5" i="11"/>
  <c r="UI5" i="7"/>
  <c r="UY5" i="20"/>
  <c r="HQ5" i="13"/>
  <c r="UY5" i="30"/>
  <c r="DA5" i="15"/>
  <c r="FI5" i="18"/>
  <c r="QI5" i="11"/>
  <c r="JY5" i="19"/>
  <c r="VM5" i="14"/>
  <c r="AS5" i="14"/>
  <c r="BW5" i="6"/>
  <c r="LC5" i="4"/>
  <c r="TU5" i="2"/>
  <c r="VM5" i="29"/>
  <c r="OO5" i="27"/>
  <c r="UI5" i="21"/>
  <c r="FI5" i="12"/>
  <c r="LC5" i="2"/>
  <c r="BW5" i="23"/>
  <c r="AE5" i="14"/>
  <c r="BI5" i="6"/>
  <c r="KO5" i="4"/>
  <c r="UI5" i="2"/>
  <c r="BW5" i="13"/>
  <c r="DA5" i="7"/>
  <c r="LS5" i="2"/>
  <c r="JY5" i="20"/>
  <c r="QI5" i="25"/>
  <c r="OO5" i="21"/>
  <c r="UI5" i="13"/>
  <c r="PS5" i="16"/>
  <c r="LC5" i="11"/>
  <c r="CM5" i="2"/>
  <c r="VM5" i="7"/>
  <c r="KO5" i="11"/>
  <c r="SA5" i="2"/>
  <c r="DA5" i="2"/>
  <c r="MG5" i="15"/>
  <c r="SA5" i="10"/>
  <c r="OO5" i="22"/>
  <c r="MG5" i="17"/>
  <c r="MG5" i="14"/>
  <c r="QW5" i="10"/>
  <c r="LC5" i="13"/>
  <c r="GM5" i="6"/>
  <c r="OO5" i="3"/>
  <c r="DA5" i="1"/>
  <c r="FI5" i="25"/>
  <c r="LS5" i="14"/>
  <c r="AS5" i="10"/>
  <c r="SA5" i="8"/>
  <c r="LC5" i="7"/>
  <c r="JY5" i="22"/>
  <c r="HQ5" i="16"/>
  <c r="MG5" i="13"/>
</calcChain>
</file>

<file path=xl/sharedStrings.xml><?xml version="1.0" encoding="utf-8"?>
<sst xmlns="http://schemas.openxmlformats.org/spreadsheetml/2006/main" count="35254" uniqueCount="4394">
  <si>
    <t>Deal 4001</t>
  </si>
  <si>
    <t>Deal 4002</t>
  </si>
  <si>
    <t>Deal 4003</t>
  </si>
  <si>
    <t>Deal 4004</t>
  </si>
  <si>
    <t>Deal 4005</t>
  </si>
  <si>
    <t>Deal 4006</t>
  </si>
  <si>
    <t>Deal 4007</t>
  </si>
  <si>
    <t>Deal 4008</t>
  </si>
  <si>
    <t>Deal 4009</t>
  </si>
  <si>
    <t>Deal 4010</t>
  </si>
  <si>
    <t>Deal 4011</t>
  </si>
  <si>
    <t>Deal 4012</t>
  </si>
  <si>
    <t>Deal 4013</t>
  </si>
  <si>
    <t>Deal 4014</t>
  </si>
  <si>
    <t>Deal 4015</t>
  </si>
  <si>
    <t>Deal 4016</t>
  </si>
  <si>
    <t>Deal 4017</t>
  </si>
  <si>
    <t>Deal 4018</t>
  </si>
  <si>
    <t>Deal 4019</t>
  </si>
  <si>
    <t>Deal 4020</t>
  </si>
  <si>
    <t>BX US Equity</t>
  </si>
  <si>
    <t>FBMS US Equity</t>
  </si>
  <si>
    <t>SEAP US Equity</t>
  </si>
  <si>
    <t>605018Q US Equity</t>
  </si>
  <si>
    <t>HPOL US Equity</t>
  </si>
  <si>
    <t>355488Q US Equity</t>
  </si>
  <si>
    <t>CKEC US Equity</t>
  </si>
  <si>
    <t>8184843Q US Equity</t>
  </si>
  <si>
    <t>KLAC US Equity</t>
  </si>
  <si>
    <t>BKU US Equity</t>
  </si>
  <si>
    <t>PSD US Equity</t>
  </si>
  <si>
    <t>NAL US Equity</t>
  </si>
  <si>
    <t>RLR US Equity</t>
  </si>
  <si>
    <t>AXP US Equity</t>
  </si>
  <si>
    <t>CBFV US Equity</t>
  </si>
  <si>
    <t>2676187Q US Equity</t>
  </si>
  <si>
    <t>RCAPQ US Equity</t>
  </si>
  <si>
    <t>9990253D US Equity</t>
  </si>
  <si>
    <t>DGII US Equity</t>
  </si>
  <si>
    <t>CNVR US Equity</t>
  </si>
  <si>
    <t>Suppliers</t>
  </si>
  <si>
    <t>Customers</t>
  </si>
  <si>
    <t>Entity Ticker</t>
  </si>
  <si>
    <t>Cost Type</t>
  </si>
  <si>
    <t>Revenue %</t>
  </si>
  <si>
    <t>Cost %</t>
  </si>
  <si>
    <t>Rel. Period</t>
  </si>
  <si>
    <t>Rel. Year</t>
  </si>
  <si>
    <t>Source</t>
  </si>
  <si>
    <t>Rel. Date</t>
  </si>
  <si>
    <t>Rel. Count</t>
  </si>
  <si>
    <t>Rel. Amount</t>
  </si>
  <si>
    <t>Company ID</t>
  </si>
  <si>
    <t>Company Name</t>
  </si>
  <si>
    <t>Deal 4021</t>
  </si>
  <si>
    <t>Deal 4022</t>
  </si>
  <si>
    <t>Deal 4023</t>
  </si>
  <si>
    <t>Deal 4024</t>
  </si>
  <si>
    <t>Deal 4025</t>
  </si>
  <si>
    <t>Deal 4026</t>
  </si>
  <si>
    <t>Deal 4027</t>
  </si>
  <si>
    <t>Deal 4028</t>
  </si>
  <si>
    <t>Deal 4029</t>
  </si>
  <si>
    <t>Deal 4030</t>
  </si>
  <si>
    <t>Deal 4031</t>
  </si>
  <si>
    <t>Deal 4032</t>
  </si>
  <si>
    <t>Deal 4033</t>
  </si>
  <si>
    <t>Deal 4034</t>
  </si>
  <si>
    <t>Deal 4035</t>
  </si>
  <si>
    <t>Deal 4036</t>
  </si>
  <si>
    <t>Deal 4037</t>
  </si>
  <si>
    <t>Deal 4038</t>
  </si>
  <si>
    <t>Deal 4039</t>
  </si>
  <si>
    <t>Deal 4040</t>
  </si>
  <si>
    <t>FBA US Equity</t>
  </si>
  <si>
    <t>OLBK US Equity</t>
  </si>
  <si>
    <t>540513Q US Equity</t>
  </si>
  <si>
    <t>ESXB US Equity</t>
  </si>
  <si>
    <t>KBAL US Equity</t>
  </si>
  <si>
    <t>TOBC US Equity</t>
  </si>
  <si>
    <t>GFR US Equity</t>
  </si>
  <si>
    <t>MSI US Equity</t>
  </si>
  <si>
    <t>NTUS US Equity</t>
  </si>
  <si>
    <t>GABC US Equity</t>
  </si>
  <si>
    <t>TFC US Equity</t>
  </si>
  <si>
    <t>NFBK US Equity</t>
  </si>
  <si>
    <t>BVH US Equity</t>
  </si>
  <si>
    <t>LKQ US Equity</t>
  </si>
  <si>
    <t>FJCC US Equity</t>
  </si>
  <si>
    <t>HET US Equity</t>
  </si>
  <si>
    <t>LAMR US Equity</t>
  </si>
  <si>
    <t>FCCO US Equity</t>
  </si>
  <si>
    <t>FTBK US Equity</t>
  </si>
  <si>
    <t>CVOVQ US Equity</t>
  </si>
  <si>
    <t>Deal 4041</t>
  </si>
  <si>
    <t>Deal 4042</t>
  </si>
  <si>
    <t>Deal 4043</t>
  </si>
  <si>
    <t>Deal 4044</t>
  </si>
  <si>
    <t>Deal 4045</t>
  </si>
  <si>
    <t>Deal 4046</t>
  </si>
  <si>
    <t>Deal 4047</t>
  </si>
  <si>
    <t>Deal 4048</t>
  </si>
  <si>
    <t>Deal 4049</t>
  </si>
  <si>
    <t>Deal 4050</t>
  </si>
  <si>
    <t>Deal 4051</t>
  </si>
  <si>
    <t>Deal 4052</t>
  </si>
  <si>
    <t>Deal 4053</t>
  </si>
  <si>
    <t>Deal 4054</t>
  </si>
  <si>
    <t>Deal 4055</t>
  </si>
  <si>
    <t>Deal 4056</t>
  </si>
  <si>
    <t>Deal 4057</t>
  </si>
  <si>
    <t>Deal 4058</t>
  </si>
  <si>
    <t>Deal 4059</t>
  </si>
  <si>
    <t>Deal 4060</t>
  </si>
  <si>
    <t>2310330D US Equity</t>
  </si>
  <si>
    <t>PFBI US Equity</t>
  </si>
  <si>
    <t>RIVE US Equity</t>
  </si>
  <si>
    <t>SBNC US Equity</t>
  </si>
  <si>
    <t>HAE US Equity</t>
  </si>
  <si>
    <t>RCKT US Equity</t>
  </si>
  <si>
    <t>HTBK US Equity</t>
  </si>
  <si>
    <t>FORR US Equity</t>
  </si>
  <si>
    <t>BCAL US Equity</t>
  </si>
  <si>
    <t>679882Q US Equity</t>
  </si>
  <si>
    <t>FCCY US Equity</t>
  </si>
  <si>
    <t>HILL US Equity</t>
  </si>
  <si>
    <t>HWC US Equity</t>
  </si>
  <si>
    <t>HU US Equity</t>
  </si>
  <si>
    <t>3470770Q US Equity</t>
  </si>
  <si>
    <t>EQT US Equity</t>
  </si>
  <si>
    <t>UB US Equity</t>
  </si>
  <si>
    <t>VEXPQ US Equity</t>
  </si>
  <si>
    <t>NWKC US Equity</t>
  </si>
  <si>
    <t>ECL US Equity</t>
  </si>
  <si>
    <t>Deal 4061</t>
  </si>
  <si>
    <t>Deal 4062</t>
  </si>
  <si>
    <t>Deal 4063</t>
  </si>
  <si>
    <t>Deal 4064</t>
  </si>
  <si>
    <t>Deal 4065</t>
  </si>
  <si>
    <t>Deal 4066</t>
  </si>
  <si>
    <t>Deal 4067</t>
  </si>
  <si>
    <t>Deal 4068</t>
  </si>
  <si>
    <t>Deal 4069</t>
  </si>
  <si>
    <t>Deal 4070</t>
  </si>
  <si>
    <t>Deal 4071</t>
  </si>
  <si>
    <t>Deal 4072</t>
  </si>
  <si>
    <t>Deal 4073</t>
  </si>
  <si>
    <t>Deal 4074</t>
  </si>
  <si>
    <t>Deal 4075</t>
  </si>
  <si>
    <t>Deal 4076</t>
  </si>
  <si>
    <t>Deal 4077</t>
  </si>
  <si>
    <t>Deal 4078</t>
  </si>
  <si>
    <t>Deal 4079</t>
  </si>
  <si>
    <t>Deal 4080</t>
  </si>
  <si>
    <t>MOFG US Equity</t>
  </si>
  <si>
    <t>RJET US Equity</t>
  </si>
  <si>
    <t>STXN US Equity</t>
  </si>
  <si>
    <t>IART US Equity</t>
  </si>
  <si>
    <t>IBM US Equity</t>
  </si>
  <si>
    <t>CWLM US Equity</t>
  </si>
  <si>
    <t>PWOD US Equity</t>
  </si>
  <si>
    <t>2598Q US Equity</t>
  </si>
  <si>
    <t>PRK US Equity</t>
  </si>
  <si>
    <t>BCBP US Equity</t>
  </si>
  <si>
    <t>HNBC US Equity</t>
  </si>
  <si>
    <t>COLB US Equity</t>
  </si>
  <si>
    <t>GMST US Equity</t>
  </si>
  <si>
    <t>TTN US Equity</t>
  </si>
  <si>
    <t>PICZQ US Equity</t>
  </si>
  <si>
    <t>SLFI US Equity</t>
  </si>
  <si>
    <t>PCBK US Equity</t>
  </si>
  <si>
    <t>SDAB US Equity</t>
  </si>
  <si>
    <t>3518429Q US Equity</t>
  </si>
  <si>
    <t>WBS US Equity</t>
  </si>
  <si>
    <t>Deal 4081</t>
  </si>
  <si>
    <t>Deal 4082</t>
  </si>
  <si>
    <t>Deal 4083</t>
  </si>
  <si>
    <t>Deal 4084</t>
  </si>
  <si>
    <t>Deal 4085</t>
  </si>
  <si>
    <t>Deal 4086</t>
  </si>
  <si>
    <t>Deal 4087</t>
  </si>
  <si>
    <t>Deal 4088</t>
  </si>
  <si>
    <t>Deal 4089</t>
  </si>
  <si>
    <t>Deal 4090</t>
  </si>
  <si>
    <t>Deal 4091</t>
  </si>
  <si>
    <t>Deal 4092</t>
  </si>
  <si>
    <t>Deal 4093</t>
  </si>
  <si>
    <t>Deal 4094</t>
  </si>
  <si>
    <t>Deal 4095</t>
  </si>
  <si>
    <t>Deal 4096</t>
  </si>
  <si>
    <t>Deal 4097</t>
  </si>
  <si>
    <t>Deal 4098</t>
  </si>
  <si>
    <t>Deal 4099</t>
  </si>
  <si>
    <t>Deal 4100</t>
  </si>
  <si>
    <t>SMMF US Equity</t>
  </si>
  <si>
    <t>3075558Q US Equity</t>
  </si>
  <si>
    <t>FFOH US Equity</t>
  </si>
  <si>
    <t>IEP US Equity</t>
  </si>
  <si>
    <t>MSFG US Equity</t>
  </si>
  <si>
    <t>SBBX US Equity</t>
  </si>
  <si>
    <t>GBBK US Equity</t>
  </si>
  <si>
    <t>2318580D US Equity</t>
  </si>
  <si>
    <t>CARO US Equity</t>
  </si>
  <si>
    <t>APOL US Equity</t>
  </si>
  <si>
    <t>FNIN US Equity</t>
  </si>
  <si>
    <t>ETFC US Equity</t>
  </si>
  <si>
    <t>BMRC US Equity</t>
  </si>
  <si>
    <t>ORCL US Equity</t>
  </si>
  <si>
    <t>KGM US Equity</t>
  </si>
  <si>
    <t>SPLP US Equity</t>
  </si>
  <si>
    <t>CLDA US Equity</t>
  </si>
  <si>
    <t>FNLC US Equity</t>
  </si>
  <si>
    <t>CICN US Equity</t>
  </si>
  <si>
    <t>PGI US Equity</t>
  </si>
  <si>
    <t>Deal 4101</t>
  </si>
  <si>
    <t>Deal 4102</t>
  </si>
  <si>
    <t>Deal 4103</t>
  </si>
  <si>
    <t>Deal 4104</t>
  </si>
  <si>
    <t>Deal 4105</t>
  </si>
  <si>
    <t>Deal 4106</t>
  </si>
  <si>
    <t>Deal 4107</t>
  </si>
  <si>
    <t>Deal 4108</t>
  </si>
  <si>
    <t>Deal 4109</t>
  </si>
  <si>
    <t>Deal 4110</t>
  </si>
  <si>
    <t>Deal 4111</t>
  </si>
  <si>
    <t>Deal 4112</t>
  </si>
  <si>
    <t>Deal 4113</t>
  </si>
  <si>
    <t>Deal 4114</t>
  </si>
  <si>
    <t>Deal 4115</t>
  </si>
  <si>
    <t>Deal 4116</t>
  </si>
  <si>
    <t>Deal 4117</t>
  </si>
  <si>
    <t>Deal 4118</t>
  </si>
  <si>
    <t>Deal 4119</t>
  </si>
  <si>
    <t>Deal 4120</t>
  </si>
  <si>
    <t>CJBK US Equity</t>
  </si>
  <si>
    <t>ANLD US Equity</t>
  </si>
  <si>
    <t>HAIN US Equity</t>
  </si>
  <si>
    <t>ENERQ US Equity</t>
  </si>
  <si>
    <t>NGEN US Equity</t>
  </si>
  <si>
    <t>MCK US Equity</t>
  </si>
  <si>
    <t>NETM US Equity</t>
  </si>
  <si>
    <t>SUSQ US Equity</t>
  </si>
  <si>
    <t>SASR US Equity</t>
  </si>
  <si>
    <t>MCLDQ US Equity</t>
  </si>
  <si>
    <t>ZANYQ US Equity</t>
  </si>
  <si>
    <t>BKH US Equity</t>
  </si>
  <si>
    <t>CNMD US Equity</t>
  </si>
  <si>
    <t>FHI US Equity</t>
  </si>
  <si>
    <t>SJNB US Equity</t>
  </si>
  <si>
    <t>CACI US Equity</t>
  </si>
  <si>
    <t>BSBN US Equity</t>
  </si>
  <si>
    <t>3562186Q US Equity</t>
  </si>
  <si>
    <t>BLKB US Equity</t>
  </si>
  <si>
    <t>PRGS US Equity</t>
  </si>
  <si>
    <t>Deal 4121</t>
  </si>
  <si>
    <t>Deal 4122</t>
  </si>
  <si>
    <t>Deal 4123</t>
  </si>
  <si>
    <t>Deal 4124</t>
  </si>
  <si>
    <t>Deal 4125</t>
  </si>
  <si>
    <t>Deal 4126</t>
  </si>
  <si>
    <t>Deal 4127</t>
  </si>
  <si>
    <t>Deal 4128</t>
  </si>
  <si>
    <t>Deal 4129</t>
  </si>
  <si>
    <t>Deal 4130</t>
  </si>
  <si>
    <t>Deal 4131</t>
  </si>
  <si>
    <t>Deal 4132</t>
  </si>
  <si>
    <t>Deal 4133</t>
  </si>
  <si>
    <t>Deal 4134</t>
  </si>
  <si>
    <t>Deal 4135</t>
  </si>
  <si>
    <t>Deal 4136</t>
  </si>
  <si>
    <t>Deal 4137</t>
  </si>
  <si>
    <t>Deal 4138</t>
  </si>
  <si>
    <t>Deal 4139</t>
  </si>
  <si>
    <t>Deal 4140</t>
  </si>
  <si>
    <t>1448062D US Equity</t>
  </si>
  <si>
    <t>MBCRQ US Equity</t>
  </si>
  <si>
    <t>COHR US Equity</t>
  </si>
  <si>
    <t>UCB US Equity</t>
  </si>
  <si>
    <t>TYPE US Equity</t>
  </si>
  <si>
    <t>RBBN US Equity</t>
  </si>
  <si>
    <t>WTFC US Equity</t>
  </si>
  <si>
    <t>1763635D US Equity</t>
  </si>
  <si>
    <t>ILA US Equity</t>
  </si>
  <si>
    <t>CFR US Equity</t>
  </si>
  <si>
    <t>INVA US Equity</t>
  </si>
  <si>
    <t>CBU US Equity</t>
  </si>
  <si>
    <t>VRSOQ US Equity</t>
  </si>
  <si>
    <t>TLSW US Equity</t>
  </si>
  <si>
    <t>SSB US Equity</t>
  </si>
  <si>
    <t>539355Q US Equity</t>
  </si>
  <si>
    <t>DHMS US Equity</t>
  </si>
  <si>
    <t>NNN US Equity</t>
  </si>
  <si>
    <t>NBTB US Equity</t>
  </si>
  <si>
    <t>Deal 4141</t>
  </si>
  <si>
    <t>Deal 4142</t>
  </si>
  <si>
    <t>Deal 4143</t>
  </si>
  <si>
    <t>Deal 4144</t>
  </si>
  <si>
    <t>Deal 4145</t>
  </si>
  <si>
    <t>Deal 4146</t>
  </si>
  <si>
    <t>Deal 4147</t>
  </si>
  <si>
    <t>Deal 4148</t>
  </si>
  <si>
    <t>Deal 4149</t>
  </si>
  <si>
    <t>Deal 4150</t>
  </si>
  <si>
    <t>Deal 4151</t>
  </si>
  <si>
    <t>Deal 4152</t>
  </si>
  <si>
    <t>Deal 4153</t>
  </si>
  <si>
    <t>Deal 4154</t>
  </si>
  <si>
    <t>Deal 4155</t>
  </si>
  <si>
    <t>Deal 4156</t>
  </si>
  <si>
    <t>Deal 4157</t>
  </si>
  <si>
    <t>Deal 4158</t>
  </si>
  <si>
    <t>Deal 4159</t>
  </si>
  <si>
    <t>Deal 4160</t>
  </si>
  <si>
    <t>MNAT US Equity</t>
  </si>
  <si>
    <t>CFNL US Equity</t>
  </si>
  <si>
    <t>BERK US Equity</t>
  </si>
  <si>
    <t>WASH US Equity</t>
  </si>
  <si>
    <t>AGEN US Equity</t>
  </si>
  <si>
    <t>JKHY US Equity</t>
  </si>
  <si>
    <t>CVBF US Equity</t>
  </si>
  <si>
    <t>QVDX US Equity</t>
  </si>
  <si>
    <t>SFTGQ US Equity</t>
  </si>
  <si>
    <t>SBCF US Equity</t>
  </si>
  <si>
    <t>ISRG US Equity</t>
  </si>
  <si>
    <t>AURU US Equity</t>
  </si>
  <si>
    <t>YDKN US Equity</t>
  </si>
  <si>
    <t>3195391Z US Equity</t>
  </si>
  <si>
    <t>ABCWQ US Equity</t>
  </si>
  <si>
    <t>Deal 4161</t>
  </si>
  <si>
    <t>Deal 4162</t>
  </si>
  <si>
    <t>Deal 4163</t>
  </si>
  <si>
    <t>Deal 4164</t>
  </si>
  <si>
    <t>Deal 4165</t>
  </si>
  <si>
    <t>Deal 4166</t>
  </si>
  <si>
    <t>Deal 4167</t>
  </si>
  <si>
    <t>Deal 4168</t>
  </si>
  <si>
    <t>Deal 4169</t>
  </si>
  <si>
    <t>Deal 4170</t>
  </si>
  <si>
    <t>Deal 4171</t>
  </si>
  <si>
    <t>Deal 4172</t>
  </si>
  <si>
    <t>Deal 4173</t>
  </si>
  <si>
    <t>Deal 4174</t>
  </si>
  <si>
    <t>Deal 4175</t>
  </si>
  <si>
    <t>Deal 4176</t>
  </si>
  <si>
    <t>Deal 4177</t>
  </si>
  <si>
    <t>Deal 4178</t>
  </si>
  <si>
    <t>Deal 4179</t>
  </si>
  <si>
    <t>Deal 4180</t>
  </si>
  <si>
    <t>EBF US Equity</t>
  </si>
  <si>
    <t>RTHM LN Equity</t>
  </si>
  <si>
    <t>FFIC US Equity</t>
  </si>
  <si>
    <t>229195Q US Equity</t>
  </si>
  <si>
    <t>PARA US Equity</t>
  </si>
  <si>
    <t>STL US Equity</t>
  </si>
  <si>
    <t>CZWI US Equity</t>
  </si>
  <si>
    <t>OK US Equity</t>
  </si>
  <si>
    <t>2452714D US Equity</t>
  </si>
  <si>
    <t>1740293D US Equity</t>
  </si>
  <si>
    <t>IBKC US Equity</t>
  </si>
  <si>
    <t>URGP US Equity</t>
  </si>
  <si>
    <t>DDD US Equity</t>
  </si>
  <si>
    <t>2740937Q US Equity</t>
  </si>
  <si>
    <t>SLCT US Equity</t>
  </si>
  <si>
    <t>375689Q US Equity</t>
  </si>
  <si>
    <t>TWRV US Equity</t>
  </si>
  <si>
    <t>SFFS US Equity</t>
  </si>
  <si>
    <t>SEVN US Equity</t>
  </si>
  <si>
    <t>Deal 4181</t>
  </si>
  <si>
    <t>Deal 4182</t>
  </si>
  <si>
    <t>Deal 4183</t>
  </si>
  <si>
    <t>Deal 4184</t>
  </si>
  <si>
    <t>Deal 4185</t>
  </si>
  <si>
    <t>Deal 4186</t>
  </si>
  <si>
    <t>Deal 4187</t>
  </si>
  <si>
    <t>Deal 4188</t>
  </si>
  <si>
    <t>Deal 4189</t>
  </si>
  <si>
    <t>Deal 4190</t>
  </si>
  <si>
    <t>Deal 4191</t>
  </si>
  <si>
    <t>Deal 4192</t>
  </si>
  <si>
    <t>Deal 4193</t>
  </si>
  <si>
    <t>Deal 4194</t>
  </si>
  <si>
    <t>Deal 4195</t>
  </si>
  <si>
    <t>Deal 4196</t>
  </si>
  <si>
    <t>Deal 4197</t>
  </si>
  <si>
    <t>Deal 4198</t>
  </si>
  <si>
    <t>Deal 4199</t>
  </si>
  <si>
    <t>Deal 4200</t>
  </si>
  <si>
    <t>SFNC US Equity</t>
  </si>
  <si>
    <t>3489Q US Equity</t>
  </si>
  <si>
    <t>JAKK US Equity</t>
  </si>
  <si>
    <t>FFWM US Equity</t>
  </si>
  <si>
    <t>FINB US Equity</t>
  </si>
  <si>
    <t>FBMI US Equity</t>
  </si>
  <si>
    <t>41018Q US Equity</t>
  </si>
  <si>
    <t>ARBA US Equity</t>
  </si>
  <si>
    <t>GS US Equity</t>
  </si>
  <si>
    <t>JNJ US Equity</t>
  </si>
  <si>
    <t>TMD US Equity</t>
  </si>
  <si>
    <t>CCBI US Equity</t>
  </si>
  <si>
    <t>NUE US Equity</t>
  </si>
  <si>
    <t>CUNB US Equity</t>
  </si>
  <si>
    <t>2674129Q US Equity</t>
  </si>
  <si>
    <t>KODK US Equity</t>
  </si>
  <si>
    <t>HBEK US Equity</t>
  </si>
  <si>
    <t>PFC US Equity</t>
  </si>
  <si>
    <t>Deal 4201</t>
  </si>
  <si>
    <t>Deal 4202</t>
  </si>
  <si>
    <t>Deal 4203</t>
  </si>
  <si>
    <t>Deal 4204</t>
  </si>
  <si>
    <t>Deal 4205</t>
  </si>
  <si>
    <t>Deal 4206</t>
  </si>
  <si>
    <t>Deal 4207</t>
  </si>
  <si>
    <t>Deal 4208</t>
  </si>
  <si>
    <t>Deal 4209</t>
  </si>
  <si>
    <t>Deal 4210</t>
  </si>
  <si>
    <t>Deal 4211</t>
  </si>
  <si>
    <t>Deal 4212</t>
  </si>
  <si>
    <t>Deal 4213</t>
  </si>
  <si>
    <t>Deal 4214</t>
  </si>
  <si>
    <t>Deal 4215</t>
  </si>
  <si>
    <t>Deal 4216</t>
  </si>
  <si>
    <t>Deal 4217</t>
  </si>
  <si>
    <t>Deal 4218</t>
  </si>
  <si>
    <t>Deal 4219</t>
  </si>
  <si>
    <t>Deal 4220</t>
  </si>
  <si>
    <t>AEGN US Equity</t>
  </si>
  <si>
    <t>PBIP US Equity</t>
  </si>
  <si>
    <t>AYTU US Equity</t>
  </si>
  <si>
    <t>DCLK US Equity</t>
  </si>
  <si>
    <t>PMRY US Equity</t>
  </si>
  <si>
    <t>DRTE US Equity</t>
  </si>
  <si>
    <t>PEBO US Equity</t>
  </si>
  <si>
    <t>FCNB US Equity</t>
  </si>
  <si>
    <t>KROL US Equity</t>
  </si>
  <si>
    <t>BANC US Equity</t>
  </si>
  <si>
    <t>FNB US Equity</t>
  </si>
  <si>
    <t>BKS US Equity</t>
  </si>
  <si>
    <t>2714244Q US Equity</t>
  </si>
  <si>
    <t>NCOG US Equity</t>
  </si>
  <si>
    <t>RBNC US Equity</t>
  </si>
  <si>
    <t>INDB US Equity</t>
  </si>
  <si>
    <t>AMNB US Equity</t>
  </si>
  <si>
    <t>1683351D US Equity</t>
  </si>
  <si>
    <t>IRF US Equity</t>
  </si>
  <si>
    <t>Deal 4221</t>
  </si>
  <si>
    <t>Deal 4222</t>
  </si>
  <si>
    <t>Deal 4223</t>
  </si>
  <si>
    <t>Deal 4224</t>
  </si>
  <si>
    <t>Deal 4225</t>
  </si>
  <si>
    <t>Deal 4226</t>
  </si>
  <si>
    <t>Deal 4227</t>
  </si>
  <si>
    <t>Deal 4228</t>
  </si>
  <si>
    <t>Deal 4229</t>
  </si>
  <si>
    <t>Deal 4230</t>
  </si>
  <si>
    <t>Deal 4231</t>
  </si>
  <si>
    <t>Deal 4232</t>
  </si>
  <si>
    <t>Deal 4233</t>
  </si>
  <si>
    <t>Deal 4234</t>
  </si>
  <si>
    <t>Deal 4235</t>
  </si>
  <si>
    <t>Deal 4236</t>
  </si>
  <si>
    <t>Deal 4237</t>
  </si>
  <si>
    <t>Deal 4238</t>
  </si>
  <si>
    <t>Deal 4239</t>
  </si>
  <si>
    <t>Deal 4240</t>
  </si>
  <si>
    <t>SRCL US Equity</t>
  </si>
  <si>
    <t>GSIC US Equity</t>
  </si>
  <si>
    <t>NEB US Equity</t>
  </si>
  <si>
    <t>PACW US Equity</t>
  </si>
  <si>
    <t>MCOAQ US Equity</t>
  </si>
  <si>
    <t>DRS US Equity</t>
  </si>
  <si>
    <t>RRD US Equity</t>
  </si>
  <si>
    <t>CSBC US Equity</t>
  </si>
  <si>
    <t>UCBHQ US Equity</t>
  </si>
  <si>
    <t>FLXS US Equity</t>
  </si>
  <si>
    <t>WTTR US Equity</t>
  </si>
  <si>
    <t>PVSA US Equity</t>
  </si>
  <si>
    <t>896649Q US Equity</t>
  </si>
  <si>
    <t>LLY US Equity</t>
  </si>
  <si>
    <t>EPAY US Equity</t>
  </si>
  <si>
    <t>TCFC US Equity</t>
  </si>
  <si>
    <t>Deal 4241</t>
  </si>
  <si>
    <t>Deal 4242</t>
  </si>
  <si>
    <t>Deal 4243</t>
  </si>
  <si>
    <t>Deal 4244</t>
  </si>
  <si>
    <t>Deal 4245</t>
  </si>
  <si>
    <t>Deal 4246</t>
  </si>
  <si>
    <t>Deal 4247</t>
  </si>
  <si>
    <t>Deal 4248</t>
  </si>
  <si>
    <t>Deal 4249</t>
  </si>
  <si>
    <t>Deal 4250</t>
  </si>
  <si>
    <t>Deal 4251</t>
  </si>
  <si>
    <t>Deal 4252</t>
  </si>
  <si>
    <t>Deal 4253</t>
  </si>
  <si>
    <t>Deal 4254</t>
  </si>
  <si>
    <t>Deal 4255</t>
  </si>
  <si>
    <t>Deal 4256</t>
  </si>
  <si>
    <t>Deal 4257</t>
  </si>
  <si>
    <t>Deal 4258</t>
  </si>
  <si>
    <t>Deal 4259</t>
  </si>
  <si>
    <t>Deal 4260</t>
  </si>
  <si>
    <t>2464209D US Equity</t>
  </si>
  <si>
    <t>BNCN US Equity</t>
  </si>
  <si>
    <t>AUB US Equity</t>
  </si>
  <si>
    <t>SNA US Equity</t>
  </si>
  <si>
    <t>45445Q US Equity</t>
  </si>
  <si>
    <t>VSB US Equity</t>
  </si>
  <si>
    <t>FCBC US Equity</t>
  </si>
  <si>
    <t>BSX US Equity</t>
  </si>
  <si>
    <t>CIVB US Equity</t>
  </si>
  <si>
    <t>UCFC US Equity</t>
  </si>
  <si>
    <t>FCHDQ US Equity</t>
  </si>
  <si>
    <t>DHR US Equity</t>
  </si>
  <si>
    <t>FMAO US Equity</t>
  </si>
  <si>
    <t>FCBN US Equity</t>
  </si>
  <si>
    <t>TDG US Equity</t>
  </si>
  <si>
    <t>LBAI US Equity</t>
  </si>
  <si>
    <t>KKD US Equity</t>
  </si>
  <si>
    <t>Deal 4261</t>
  </si>
  <si>
    <t>Deal 4262</t>
  </si>
  <si>
    <t>Deal 4263</t>
  </si>
  <si>
    <t>Deal 4264</t>
  </si>
  <si>
    <t>Deal 4265</t>
  </si>
  <si>
    <t>Deal 4266</t>
  </si>
  <si>
    <t>Deal 4267</t>
  </si>
  <si>
    <t>Deal 4268</t>
  </si>
  <si>
    <t>Deal 4269</t>
  </si>
  <si>
    <t>Deal 4270</t>
  </si>
  <si>
    <t>Deal 4271</t>
  </si>
  <si>
    <t>Deal 4272</t>
  </si>
  <si>
    <t>Deal 4273</t>
  </si>
  <si>
    <t>Deal 4274</t>
  </si>
  <si>
    <t>Deal 4275</t>
  </si>
  <si>
    <t>Deal 4276</t>
  </si>
  <si>
    <t>Deal 4277</t>
  </si>
  <si>
    <t>Deal 4278</t>
  </si>
  <si>
    <t>Deal 4279</t>
  </si>
  <si>
    <t>Deal 4280</t>
  </si>
  <si>
    <t>SPPI US Equity</t>
  </si>
  <si>
    <t>2860436Q US Equity</t>
  </si>
  <si>
    <t>BFOH US Equity</t>
  </si>
  <si>
    <t>FCNCA US Equity</t>
  </si>
  <si>
    <t>3111Q US Equity</t>
  </si>
  <si>
    <t>GGG US Equity</t>
  </si>
  <si>
    <t>PDFS US Equity</t>
  </si>
  <si>
    <t>ABCB US Equity</t>
  </si>
  <si>
    <t>1523873D US Equity</t>
  </si>
  <si>
    <t>IHR US Equity</t>
  </si>
  <si>
    <t>EVBN US Equity</t>
  </si>
  <si>
    <t>RVSB US Equity</t>
  </si>
  <si>
    <t>HBCP US Equity</t>
  </si>
  <si>
    <t>1608358D US Equity</t>
  </si>
  <si>
    <t>MBHIQ US Equity</t>
  </si>
  <si>
    <t>SNBC US Equity</t>
  </si>
  <si>
    <t>IXYS US Equity</t>
  </si>
  <si>
    <t>Deal 4281</t>
  </si>
  <si>
    <t>Deal 4282</t>
  </si>
  <si>
    <t>Deal 4283</t>
  </si>
  <si>
    <t>Deal 4284</t>
  </si>
  <si>
    <t>Deal 4285</t>
  </si>
  <si>
    <t>Deal 4286</t>
  </si>
  <si>
    <t>Deal 4287</t>
  </si>
  <si>
    <t>Deal 4288</t>
  </si>
  <si>
    <t>Deal 4289</t>
  </si>
  <si>
    <t>Deal 4290</t>
  </si>
  <si>
    <t>Deal 4291</t>
  </si>
  <si>
    <t>Deal 4292</t>
  </si>
  <si>
    <t>Deal 4293</t>
  </si>
  <si>
    <t>Deal 4294</t>
  </si>
  <si>
    <t>Deal 4295</t>
  </si>
  <si>
    <t>Deal 4296</t>
  </si>
  <si>
    <t>Deal 4297</t>
  </si>
  <si>
    <t>Deal 4298</t>
  </si>
  <si>
    <t>Deal 4299</t>
  </si>
  <si>
    <t>Deal 4300</t>
  </si>
  <si>
    <t>2347450D US Equity</t>
  </si>
  <si>
    <t>CYT US Equity</t>
  </si>
  <si>
    <t>FNWD US Equity</t>
  </si>
  <si>
    <t>ORRF US Equity</t>
  </si>
  <si>
    <t>AREN US Equity</t>
  </si>
  <si>
    <t>INVX US Equity</t>
  </si>
  <si>
    <t>1040983D US Equity</t>
  </si>
  <si>
    <t>1368189D US Equity</t>
  </si>
  <si>
    <t>EFII US Equity</t>
  </si>
  <si>
    <t>0544749D US Equity</t>
  </si>
  <si>
    <t>KNXA US Equity</t>
  </si>
  <si>
    <t>AW US Equity</t>
  </si>
  <si>
    <t>CNR US Equity</t>
  </si>
  <si>
    <t>THFF US Equity</t>
  </si>
  <si>
    <t>CBMD US Equity</t>
  </si>
  <si>
    <t>PCBI US Equity</t>
  </si>
  <si>
    <t>57552Q US Equity</t>
  </si>
  <si>
    <t>IFCB US Equity</t>
  </si>
  <si>
    <t>EWBC US Equity</t>
  </si>
  <si>
    <t>Deal 4301</t>
  </si>
  <si>
    <t>Deal 4302</t>
  </si>
  <si>
    <t>Deal 4303</t>
  </si>
  <si>
    <t>Deal 4304</t>
  </si>
  <si>
    <t>Deal 4305</t>
  </si>
  <si>
    <t>Deal 4306</t>
  </si>
  <si>
    <t>Deal 4307</t>
  </si>
  <si>
    <t>Deal 4308</t>
  </si>
  <si>
    <t>Deal 4309</t>
  </si>
  <si>
    <t>Deal 4310</t>
  </si>
  <si>
    <t>Deal 4311</t>
  </si>
  <si>
    <t>Deal 4312</t>
  </si>
  <si>
    <t>Deal 4313</t>
  </si>
  <si>
    <t>Deal 4314</t>
  </si>
  <si>
    <t>Deal 4315</t>
  </si>
  <si>
    <t>Deal 4316</t>
  </si>
  <si>
    <t>Deal 4317</t>
  </si>
  <si>
    <t>Deal 4318</t>
  </si>
  <si>
    <t>Deal 4319</t>
  </si>
  <si>
    <t>Deal 4320</t>
  </si>
  <si>
    <t>FSNMQ US Equity</t>
  </si>
  <si>
    <t>MFNC US Equity</t>
  </si>
  <si>
    <t>WAFD US Equity</t>
  </si>
  <si>
    <t>DGIT US Equity</t>
  </si>
  <si>
    <t>VTEQ US Equity</t>
  </si>
  <si>
    <t>FULT US Equity</t>
  </si>
  <si>
    <t>HBNC US Equity</t>
  </si>
  <si>
    <t>1367809D US Equity</t>
  </si>
  <si>
    <t>PMORQ US Equity</t>
  </si>
  <si>
    <t>1667208D US Equity</t>
  </si>
  <si>
    <t>FVCB US Equity</t>
  </si>
  <si>
    <t>ACNB US Equity</t>
  </si>
  <si>
    <t>AIV US Equity</t>
  </si>
  <si>
    <t>UNH US Equity</t>
  </si>
  <si>
    <t>BPFH US Equity</t>
  </si>
  <si>
    <t>1348098D US Equity</t>
  </si>
  <si>
    <t>TTWO US Equity</t>
  </si>
  <si>
    <t>Deal 4321</t>
  </si>
  <si>
    <t>Deal 4322</t>
  </si>
  <si>
    <t>Deal 4323</t>
  </si>
  <si>
    <t>Deal 4324</t>
  </si>
  <si>
    <t>Deal 4325</t>
  </si>
  <si>
    <t>Deal 4326</t>
  </si>
  <si>
    <t>Deal 4327</t>
  </si>
  <si>
    <t>Deal 4328</t>
  </si>
  <si>
    <t>Deal 4329</t>
  </si>
  <si>
    <t>Deal 4330</t>
  </si>
  <si>
    <t>Deal 4331</t>
  </si>
  <si>
    <t>Deal 4332</t>
  </si>
  <si>
    <t>Deal 4333</t>
  </si>
  <si>
    <t>Deal 4334</t>
  </si>
  <si>
    <t>Deal 4335</t>
  </si>
  <si>
    <t>Deal 4336</t>
  </si>
  <si>
    <t>Deal 4337</t>
  </si>
  <si>
    <t>Deal 4338</t>
  </si>
  <si>
    <t>Deal 4339</t>
  </si>
  <si>
    <t>Deal 4340</t>
  </si>
  <si>
    <t>AREMQ US Equity</t>
  </si>
  <si>
    <t>PBKS US Equity</t>
  </si>
  <si>
    <t>PSTB US Equity</t>
  </si>
  <si>
    <t>CY US Equity</t>
  </si>
  <si>
    <t>BUSE US Equity</t>
  </si>
  <si>
    <t>2096692D US Equity</t>
  </si>
  <si>
    <t>OPLK US Equity</t>
  </si>
  <si>
    <t>244630Q US Equity</t>
  </si>
  <si>
    <t>SNPS US Equity</t>
  </si>
  <si>
    <t>NWBI US Equity</t>
  </si>
  <si>
    <t>FMNB US Equity</t>
  </si>
  <si>
    <t>NFG US Equity</t>
  </si>
  <si>
    <t>1339658D US Equity</t>
  </si>
  <si>
    <t>MCCK US Equity</t>
  </si>
  <si>
    <t>598014Q US Equity</t>
  </si>
  <si>
    <t>CBCRQ US Equity</t>
  </si>
  <si>
    <t>GBTB US Equity</t>
  </si>
  <si>
    <t>Deal 4341</t>
  </si>
  <si>
    <t>Deal 4342</t>
  </si>
  <si>
    <t>Deal 4343</t>
  </si>
  <si>
    <t>Deal 4344</t>
  </si>
  <si>
    <t>Deal 4345</t>
  </si>
  <si>
    <t>Deal 4346</t>
  </si>
  <si>
    <t>Deal 4347</t>
  </si>
  <si>
    <t>Deal 4348</t>
  </si>
  <si>
    <t>Deal 4349</t>
  </si>
  <si>
    <t>Deal 4350</t>
  </si>
  <si>
    <t>Deal 4351</t>
  </si>
  <si>
    <t>Deal 4352</t>
  </si>
  <si>
    <t>Deal 4353</t>
  </si>
  <si>
    <t>Deal 4354</t>
  </si>
  <si>
    <t>Deal 4355</t>
  </si>
  <si>
    <t>Deal 4356</t>
  </si>
  <si>
    <t>Deal 4357</t>
  </si>
  <si>
    <t>Deal 4358</t>
  </si>
  <si>
    <t>Deal 4359</t>
  </si>
  <si>
    <t>Deal 4360</t>
  </si>
  <si>
    <t>RBCAA US Equity</t>
  </si>
  <si>
    <t>JLL US Equity</t>
  </si>
  <si>
    <t>DDRX US Equity</t>
  </si>
  <si>
    <t>RBI US Equity</t>
  </si>
  <si>
    <t>1506328D US Equity</t>
  </si>
  <si>
    <t>TMO US Equity</t>
  </si>
  <si>
    <t>BORL US Equity</t>
  </si>
  <si>
    <t>COHM US Equity</t>
  </si>
  <si>
    <t>CBC US Equity</t>
  </si>
  <si>
    <t>75158Q US Equity</t>
  </si>
  <si>
    <t>761407Q US Equity</t>
  </si>
  <si>
    <t>KFFB US Equity</t>
  </si>
  <si>
    <t>8277875Q US Equity</t>
  </si>
  <si>
    <t>NCF US Equity</t>
  </si>
  <si>
    <t>UIS US Equity</t>
  </si>
  <si>
    <t>Deal 4361</t>
  </si>
  <si>
    <t>Deal 4362</t>
  </si>
  <si>
    <t>Deal 4363</t>
  </si>
  <si>
    <t>Deal 4364</t>
  </si>
  <si>
    <t>Deal 4365</t>
  </si>
  <si>
    <t>Deal 4366</t>
  </si>
  <si>
    <t>Deal 4367</t>
  </si>
  <si>
    <t>Deal 4368</t>
  </si>
  <si>
    <t>Deal 4369</t>
  </si>
  <si>
    <t>Deal 4370</t>
  </si>
  <si>
    <t>Deal 4371</t>
  </si>
  <si>
    <t>Deal 4372</t>
  </si>
  <si>
    <t>Deal 4373</t>
  </si>
  <si>
    <t>Deal 4374</t>
  </si>
  <si>
    <t>Deal 4375</t>
  </si>
  <si>
    <t>Deal 4376</t>
  </si>
  <si>
    <t>Deal 4377</t>
  </si>
  <si>
    <t>Deal 4378</t>
  </si>
  <si>
    <t>Deal 4379</t>
  </si>
  <si>
    <t>Deal 4380</t>
  </si>
  <si>
    <t>AEIS US Equity</t>
  </si>
  <si>
    <t>FICO US Equity</t>
  </si>
  <si>
    <t>COB US Equity</t>
  </si>
  <si>
    <t>BVFL US Equity</t>
  </si>
  <si>
    <t>PHSB US Equity</t>
  </si>
  <si>
    <t>1477687D US Equity</t>
  </si>
  <si>
    <t>HTLF US Equity</t>
  </si>
  <si>
    <t>BGTHQ US Equity</t>
  </si>
  <si>
    <t>HRBT US Equity</t>
  </si>
  <si>
    <t>PRA US Equity</t>
  </si>
  <si>
    <t>SBCP US Equity</t>
  </si>
  <si>
    <t>TCBK US Equity</t>
  </si>
  <si>
    <t>UBH US Equity</t>
  </si>
  <si>
    <t>LCTX US Equity</t>
  </si>
  <si>
    <t>1893883D US Equity</t>
  </si>
  <si>
    <t>BSRR US Equity</t>
  </si>
  <si>
    <t>1492800D US Equity</t>
  </si>
  <si>
    <t>Deal 4381</t>
  </si>
  <si>
    <t>Deal 4382</t>
  </si>
  <si>
    <t>Deal 4383</t>
  </si>
  <si>
    <t>Deal 4384</t>
  </si>
  <si>
    <t>Deal 4385</t>
  </si>
  <si>
    <t>Deal 4386</t>
  </si>
  <si>
    <t>Deal 4387</t>
  </si>
  <si>
    <t>Deal 4388</t>
  </si>
  <si>
    <t>Deal 4389</t>
  </si>
  <si>
    <t>Deal 4390</t>
  </si>
  <si>
    <t>Deal 4391</t>
  </si>
  <si>
    <t>Deal 4392</t>
  </si>
  <si>
    <t>Deal 4393</t>
  </si>
  <si>
    <t>Deal 4394</t>
  </si>
  <si>
    <t>Deal 4395</t>
  </si>
  <si>
    <t>Deal 4396</t>
  </si>
  <si>
    <t>Deal 4397</t>
  </si>
  <si>
    <t>Deal 4398</t>
  </si>
  <si>
    <t>Deal 4399</t>
  </si>
  <si>
    <t>Deal 4400</t>
  </si>
  <si>
    <t>AMRB US Equity</t>
  </si>
  <si>
    <t>MSA US Equity</t>
  </si>
  <si>
    <t>1978022D US Equity</t>
  </si>
  <si>
    <t>HL US Equity</t>
  </si>
  <si>
    <t>CXDO US Equity</t>
  </si>
  <si>
    <t>CVA US Equity</t>
  </si>
  <si>
    <t>LGND US Equity</t>
  </si>
  <si>
    <t>2894314Q US Equity</t>
  </si>
  <si>
    <t>9474176Q US Equity</t>
  </si>
  <si>
    <t>CLPA US Equity</t>
  </si>
  <si>
    <t>AOILQ US Equity</t>
  </si>
  <si>
    <t>FTNT US Equity</t>
  </si>
  <si>
    <t>1413542D US Equity</t>
  </si>
  <si>
    <t>1518080D US Equity</t>
  </si>
  <si>
    <t>AWBCQ US Equity</t>
  </si>
  <si>
    <t>1500616D US Equity</t>
  </si>
  <si>
    <t>VATE US Equity</t>
  </si>
  <si>
    <t>TCF US Equity</t>
  </si>
  <si>
    <t>TDY US Equity</t>
  </si>
  <si>
    <t>Deal 4401</t>
  </si>
  <si>
    <t>Deal 4402</t>
  </si>
  <si>
    <t>Deal 4403</t>
  </si>
  <si>
    <t>Deal 4404</t>
  </si>
  <si>
    <t>Deal 4405</t>
  </si>
  <si>
    <t>Deal 4406</t>
  </si>
  <si>
    <t>Deal 4407</t>
  </si>
  <si>
    <t>Deal 4408</t>
  </si>
  <si>
    <t>Deal 4409</t>
  </si>
  <si>
    <t>Deal 4410</t>
  </si>
  <si>
    <t>Deal 4411</t>
  </si>
  <si>
    <t>Deal 4412</t>
  </si>
  <si>
    <t>Deal 4413</t>
  </si>
  <si>
    <t>Deal 4414</t>
  </si>
  <si>
    <t>Deal 4415</t>
  </si>
  <si>
    <t>Deal 4416</t>
  </si>
  <si>
    <t>Deal 4417</t>
  </si>
  <si>
    <t>Deal 4418</t>
  </si>
  <si>
    <t>Deal 4419</t>
  </si>
  <si>
    <t>Deal 4420</t>
  </si>
  <si>
    <t>FRBA US Equity</t>
  </si>
  <si>
    <t>UVSP US Equity</t>
  </si>
  <si>
    <t>PFE US Equity</t>
  </si>
  <si>
    <t>CAC US Equity</t>
  </si>
  <si>
    <t>ASYS US Equity</t>
  </si>
  <si>
    <t>BCIC US Equity</t>
  </si>
  <si>
    <t>CTRE US Equity</t>
  </si>
  <si>
    <t>CZNC US Equity</t>
  </si>
  <si>
    <t>VSH US Equity</t>
  </si>
  <si>
    <t>170874Q US Equity</t>
  </si>
  <si>
    <t>BURCA US Equity</t>
  </si>
  <si>
    <t>KTOS US Equity</t>
  </si>
  <si>
    <t>BMTC US Equity</t>
  </si>
  <si>
    <t>Deal 4421</t>
  </si>
  <si>
    <t>Deal 4422</t>
  </si>
  <si>
    <t>Deal 4423</t>
  </si>
  <si>
    <t>Deal 4424</t>
  </si>
  <si>
    <t>Deal 4425</t>
  </si>
  <si>
    <t>Deal 4426</t>
  </si>
  <si>
    <t>Deal 4427</t>
  </si>
  <si>
    <t>Deal 4428</t>
  </si>
  <si>
    <t>Deal 4429</t>
  </si>
  <si>
    <t>Deal 4430</t>
  </si>
  <si>
    <t>Deal 4431</t>
  </si>
  <si>
    <t>Deal 4432</t>
  </si>
  <si>
    <t>Deal 4433</t>
  </si>
  <si>
    <t>Deal 4434</t>
  </si>
  <si>
    <t>Deal 4435</t>
  </si>
  <si>
    <t>Deal 4436</t>
  </si>
  <si>
    <t>Deal 4437</t>
  </si>
  <si>
    <t>Deal 4438</t>
  </si>
  <si>
    <t>Deal 4439</t>
  </si>
  <si>
    <t>Deal 4440</t>
  </si>
  <si>
    <t>1022726D US Equity</t>
  </si>
  <si>
    <t>107436Q US Equity</t>
  </si>
  <si>
    <t>UNTD US Equity</t>
  </si>
  <si>
    <t>UFCS US Equity</t>
  </si>
  <si>
    <t>PBOC US Equity</t>
  </si>
  <si>
    <t>PHWDQ US Equity</t>
  </si>
  <si>
    <t>FCF US Equity</t>
  </si>
  <si>
    <t>SAKL US Equity</t>
  </si>
  <si>
    <t>CMBC US Equity</t>
  </si>
  <si>
    <t>FSCO US Equity</t>
  </si>
  <si>
    <t>BOKF US Equity</t>
  </si>
  <si>
    <t>FTFC US Equity</t>
  </si>
  <si>
    <t>PCBC US Equity</t>
  </si>
  <si>
    <t>TEUM US Equity</t>
  </si>
  <si>
    <t>IDTI US Equity</t>
  </si>
  <si>
    <t>IDT US Equity</t>
  </si>
  <si>
    <t>GWR US Equity</t>
  </si>
  <si>
    <t>Deal 4441</t>
  </si>
  <si>
    <t>Deal 4442</t>
  </si>
  <si>
    <t>Deal 4443</t>
  </si>
  <si>
    <t>Deal 4444</t>
  </si>
  <si>
    <t>Deal 4445</t>
  </si>
  <si>
    <t>Deal 4446</t>
  </si>
  <si>
    <t>Deal 4447</t>
  </si>
  <si>
    <t>Deal 4448</t>
  </si>
  <si>
    <t>Deal 4449</t>
  </si>
  <si>
    <t>Deal 4450</t>
  </si>
  <si>
    <t>Deal 4451</t>
  </si>
  <si>
    <t>Deal 4452</t>
  </si>
  <si>
    <t>Deal 4453</t>
  </si>
  <si>
    <t>Deal 4454</t>
  </si>
  <si>
    <t>Deal 4455</t>
  </si>
  <si>
    <t>Deal 4456</t>
  </si>
  <si>
    <t>Deal 4457</t>
  </si>
  <si>
    <t>Deal 4458</t>
  </si>
  <si>
    <t>Deal 4459</t>
  </si>
  <si>
    <t>Deal 4460</t>
  </si>
  <si>
    <t>ACPIQ US Equity</t>
  </si>
  <si>
    <t>304352Q US Equity</t>
  </si>
  <si>
    <t>COFS US Equity</t>
  </si>
  <si>
    <t>EVRI US Equity</t>
  </si>
  <si>
    <t>3542013Q US Equity</t>
  </si>
  <si>
    <t>MNKTQ US Equity</t>
  </si>
  <si>
    <t>1919709D US Equity</t>
  </si>
  <si>
    <t>CMHDA US Equity</t>
  </si>
  <si>
    <t>STMH US Equity</t>
  </si>
  <si>
    <t>BAC US Equity</t>
  </si>
  <si>
    <t>FFSX US Equity</t>
  </si>
  <si>
    <t>2071296D US Equity</t>
  </si>
  <si>
    <t>LFGRQ US Equity</t>
  </si>
  <si>
    <t>BBT US Equity</t>
  </si>
  <si>
    <t>2636831Q US Equity</t>
  </si>
  <si>
    <t>724309Q US Equity</t>
  </si>
  <si>
    <t>LUCK US Equity</t>
  </si>
  <si>
    <t>Deal 4461</t>
  </si>
  <si>
    <t>Deal 4462</t>
  </si>
  <si>
    <t>Deal 4463</t>
  </si>
  <si>
    <t>Deal 4464</t>
  </si>
  <si>
    <t>Deal 4465</t>
  </si>
  <si>
    <t>Deal 4466</t>
  </si>
  <si>
    <t>Deal 4467</t>
  </si>
  <si>
    <t>Deal 4468</t>
  </si>
  <si>
    <t>Deal 4469</t>
  </si>
  <si>
    <t>Deal 4470</t>
  </si>
  <si>
    <t>Deal 4471</t>
  </si>
  <si>
    <t>Deal 4472</t>
  </si>
  <si>
    <t>Deal 4473</t>
  </si>
  <si>
    <t>Deal 4474</t>
  </si>
  <si>
    <t>Deal 4475</t>
  </si>
  <si>
    <t>Deal 4476</t>
  </si>
  <si>
    <t>Deal 4477</t>
  </si>
  <si>
    <t>Deal 4478</t>
  </si>
  <si>
    <t>Deal 4479</t>
  </si>
  <si>
    <t>Deal 4480</t>
  </si>
  <si>
    <t>ATBA AV Equity</t>
  </si>
  <si>
    <t>OPAY US Equity</t>
  </si>
  <si>
    <t>CLKS US Equity</t>
  </si>
  <si>
    <t>SBN US Equity</t>
  </si>
  <si>
    <t>RPTP US Equity</t>
  </si>
  <si>
    <t>ANIP US Equity</t>
  </si>
  <si>
    <t>BHC CN Equity</t>
  </si>
  <si>
    <t>PREM US Equity</t>
  </si>
  <si>
    <t>BNCL US Equity</t>
  </si>
  <si>
    <t>215254Q US Equity</t>
  </si>
  <si>
    <t>COBZ US Equity</t>
  </si>
  <si>
    <t>1619175D US Equity</t>
  </si>
  <si>
    <t>Deal 4481</t>
  </si>
  <si>
    <t>Deal 4482</t>
  </si>
  <si>
    <t>Deal 4483</t>
  </si>
  <si>
    <t>Deal 4484</t>
  </si>
  <si>
    <t>Deal 4485</t>
  </si>
  <si>
    <t>Deal 4486</t>
  </si>
  <si>
    <t>Deal 4487</t>
  </si>
  <si>
    <t>Deal 4488</t>
  </si>
  <si>
    <t>Deal 4489</t>
  </si>
  <si>
    <t>Deal 4490</t>
  </si>
  <si>
    <t>Deal 4491</t>
  </si>
  <si>
    <t>Deal 4492</t>
  </si>
  <si>
    <t>Deal 4493</t>
  </si>
  <si>
    <t>Deal 4494</t>
  </si>
  <si>
    <t>Deal 4495</t>
  </si>
  <si>
    <t>Deal 4496</t>
  </si>
  <si>
    <t>Deal 4497</t>
  </si>
  <si>
    <t>Deal 4498</t>
  </si>
  <si>
    <t>Deal 4499</t>
  </si>
  <si>
    <t>Deal 4500</t>
  </si>
  <si>
    <t>FCLF US Equity</t>
  </si>
  <si>
    <t>CMTV US Equity</t>
  </si>
  <si>
    <t>HBK US Equity</t>
  </si>
  <si>
    <t>8144537Q US Equity</t>
  </si>
  <si>
    <t>1436513D US Equity</t>
  </si>
  <si>
    <t>GE US Equity</t>
  </si>
  <si>
    <t>MSCC US Equity</t>
  </si>
  <si>
    <t>LHX US Equity</t>
  </si>
  <si>
    <t>VIZY US Equity</t>
  </si>
  <si>
    <t>CHCO US Equity</t>
  </si>
  <si>
    <t>NEBS US Equity</t>
  </si>
  <si>
    <t>0897262D US Equity</t>
  </si>
  <si>
    <t>VFC US Equity</t>
  </si>
  <si>
    <t>Deal 4501</t>
  </si>
  <si>
    <t>Deal 4502</t>
  </si>
  <si>
    <t>Deal 4503</t>
  </si>
  <si>
    <t>Deal 4504</t>
  </si>
  <si>
    <t>Deal 4505</t>
  </si>
  <si>
    <t>Deal 4506</t>
  </si>
  <si>
    <t>Deal 4507</t>
  </si>
  <si>
    <t>Deal 4508</t>
  </si>
  <si>
    <t>Deal 4509</t>
  </si>
  <si>
    <t>Deal 4510</t>
  </si>
  <si>
    <t>Deal 4511</t>
  </si>
  <si>
    <t>Deal 4512</t>
  </si>
  <si>
    <t>Deal 4513</t>
  </si>
  <si>
    <t>Deal 4514</t>
  </si>
  <si>
    <t>Deal 4515</t>
  </si>
  <si>
    <t>Deal 4516</t>
  </si>
  <si>
    <t>Deal 4517</t>
  </si>
  <si>
    <t>Deal 4518</t>
  </si>
  <si>
    <t>Deal 4519</t>
  </si>
  <si>
    <t>Deal 4520</t>
  </si>
  <si>
    <t>STTX US Equity</t>
  </si>
  <si>
    <t>AGN US Equity</t>
  </si>
  <si>
    <t>2966Q US Equity</t>
  </si>
  <si>
    <t>MFSF US Equity</t>
  </si>
  <si>
    <t>SYY US Equity</t>
  </si>
  <si>
    <t>QCOM US Equity</t>
  </si>
  <si>
    <t>0977894D US Equity</t>
  </si>
  <si>
    <t>696119Q US Equity</t>
  </si>
  <si>
    <t>AMZGQ US Equity</t>
  </si>
  <si>
    <t>BRK/A US Equity</t>
  </si>
  <si>
    <t>CWBC US Equity</t>
  </si>
  <si>
    <t>IVIL US Equity</t>
  </si>
  <si>
    <t>DVINQ US Equity</t>
  </si>
  <si>
    <t>SMBC US Equity</t>
  </si>
  <si>
    <t>IHRC US Equity</t>
  </si>
  <si>
    <t>BZBC US Equity</t>
  </si>
  <si>
    <t>MCBF US Equity</t>
  </si>
  <si>
    <t>TGEN US Equity</t>
  </si>
  <si>
    <t>Deal 4521</t>
  </si>
  <si>
    <t>Deal 4522</t>
  </si>
  <si>
    <t>Deal 4523</t>
  </si>
  <si>
    <t>Deal 4524</t>
  </si>
  <si>
    <t>Deal 4525</t>
  </si>
  <si>
    <t>Deal 4526</t>
  </si>
  <si>
    <t>Deal 4527</t>
  </si>
  <si>
    <t>Deal 4528</t>
  </si>
  <si>
    <t>Deal 4529</t>
  </si>
  <si>
    <t>Deal 4530</t>
  </si>
  <si>
    <t>Deal 4531</t>
  </si>
  <si>
    <t>Deal 4532</t>
  </si>
  <si>
    <t>Deal 4533</t>
  </si>
  <si>
    <t>Deal 4534</t>
  </si>
  <si>
    <t>Deal 4535</t>
  </si>
  <si>
    <t>Deal 4536</t>
  </si>
  <si>
    <t>Deal 4537</t>
  </si>
  <si>
    <t>Deal 4538</t>
  </si>
  <si>
    <t>Deal 4539</t>
  </si>
  <si>
    <t>Deal 4540</t>
  </si>
  <si>
    <t>CNOB US Equity</t>
  </si>
  <si>
    <t>NWFL US Equity</t>
  </si>
  <si>
    <t>WCGRQ US Equity</t>
  </si>
  <si>
    <t>RRHI US Equity</t>
  </si>
  <si>
    <t>PRWT US Equity</t>
  </si>
  <si>
    <t>1838147D US Equity</t>
  </si>
  <si>
    <t>CHEV US Equity</t>
  </si>
  <si>
    <t>SPXC US Equity</t>
  </si>
  <si>
    <t>CATM US Equity</t>
  </si>
  <si>
    <t>nan Equity</t>
  </si>
  <si>
    <t>LNCB US Equity</t>
  </si>
  <si>
    <t>STC US Equity</t>
  </si>
  <si>
    <t>0948669D US Equity</t>
  </si>
  <si>
    <t>WCOEQ US Equity</t>
  </si>
  <si>
    <t>VRCC US Equity</t>
  </si>
  <si>
    <t>623366Q US Equity</t>
  </si>
  <si>
    <t>Deal 4541</t>
  </si>
  <si>
    <t>Deal 4542</t>
  </si>
  <si>
    <t>Deal 4543</t>
  </si>
  <si>
    <t>Deal 4544</t>
  </si>
  <si>
    <t>Deal 4545</t>
  </si>
  <si>
    <t>Deal 4546</t>
  </si>
  <si>
    <t>Deal 4547</t>
  </si>
  <si>
    <t>Deal 4548</t>
  </si>
  <si>
    <t>Deal 4549</t>
  </si>
  <si>
    <t>Deal 4550</t>
  </si>
  <si>
    <t>Deal 4551</t>
  </si>
  <si>
    <t>Deal 4552</t>
  </si>
  <si>
    <t>Deal 4553</t>
  </si>
  <si>
    <t>Deal 4554</t>
  </si>
  <si>
    <t>Deal 4555</t>
  </si>
  <si>
    <t>Deal 4556</t>
  </si>
  <si>
    <t>Deal 4557</t>
  </si>
  <si>
    <t>Deal 4558</t>
  </si>
  <si>
    <t>Deal 4559</t>
  </si>
  <si>
    <t>Deal 4560</t>
  </si>
  <si>
    <t>967617Z US Equity</t>
  </si>
  <si>
    <t>DBAI US Equity</t>
  </si>
  <si>
    <t>RILY US Equity</t>
  </si>
  <si>
    <t>BKYF US Equity</t>
  </si>
  <si>
    <t>FMFG US Equity</t>
  </si>
  <si>
    <t>CTED US Equity</t>
  </si>
  <si>
    <t>WFBI US Equity</t>
  </si>
  <si>
    <t>ARTG US Equity</t>
  </si>
  <si>
    <t>CALB US Equity</t>
  </si>
  <si>
    <t>AMCX US Equity</t>
  </si>
  <si>
    <t>NEPF US Equity</t>
  </si>
  <si>
    <t>PSBI US Equity</t>
  </si>
  <si>
    <t>EXAR US Equity</t>
  </si>
  <si>
    <t>Deal 4561</t>
  </si>
  <si>
    <t>Deal 4562</t>
  </si>
  <si>
    <t>Deal 4563</t>
  </si>
  <si>
    <t>Deal 4564</t>
  </si>
  <si>
    <t>Deal 4565</t>
  </si>
  <si>
    <t>Deal 4566</t>
  </si>
  <si>
    <t>Deal 4567</t>
  </si>
  <si>
    <t>Deal 4568</t>
  </si>
  <si>
    <t>Deal 4569</t>
  </si>
  <si>
    <t>Deal 4570</t>
  </si>
  <si>
    <t>Deal 4571</t>
  </si>
  <si>
    <t>Deal 4572</t>
  </si>
  <si>
    <t>Deal 4573</t>
  </si>
  <si>
    <t>Deal 4574</t>
  </si>
  <si>
    <t>Deal 4575</t>
  </si>
  <si>
    <t>Deal 4576</t>
  </si>
  <si>
    <t>Deal 4577</t>
  </si>
  <si>
    <t>Deal 4578</t>
  </si>
  <si>
    <t>Deal 4579</t>
  </si>
  <si>
    <t>Deal 4580</t>
  </si>
  <si>
    <t>FRAF US Equity</t>
  </si>
  <si>
    <t>SBIB US Equity</t>
  </si>
  <si>
    <t>SMLE US Equity</t>
  </si>
  <si>
    <t>9876552D US Equity</t>
  </si>
  <si>
    <t>PII US Equity</t>
  </si>
  <si>
    <t>PPBI US Equity</t>
  </si>
  <si>
    <t>MFA US Equity</t>
  </si>
  <si>
    <t>BLUD US Equity</t>
  </si>
  <si>
    <t>MRVC US Equity</t>
  </si>
  <si>
    <t>0838460D US Equity</t>
  </si>
  <si>
    <t>DGICA US Equity</t>
  </si>
  <si>
    <t>THG US Equity</t>
  </si>
  <si>
    <t>NKTR US Equity</t>
  </si>
  <si>
    <t>PRDO US Equity</t>
  </si>
  <si>
    <t>Deal 4581</t>
  </si>
  <si>
    <t>Deal 4582</t>
  </si>
  <si>
    <t>Deal 4583</t>
  </si>
  <si>
    <t>Deal 4584</t>
  </si>
  <si>
    <t>Deal 4585</t>
  </si>
  <si>
    <t>Deal 4586</t>
  </si>
  <si>
    <t>Deal 4587</t>
  </si>
  <si>
    <t>Deal 4588</t>
  </si>
  <si>
    <t>Deal 4589</t>
  </si>
  <si>
    <t>Deal 4590</t>
  </si>
  <si>
    <t>Deal 4591</t>
  </si>
  <si>
    <t>Deal 4592</t>
  </si>
  <si>
    <t>Deal 4593</t>
  </si>
  <si>
    <t>Deal 4594</t>
  </si>
  <si>
    <t>Deal 4595</t>
  </si>
  <si>
    <t>Deal 4596</t>
  </si>
  <si>
    <t>Deal 4597</t>
  </si>
  <si>
    <t>Deal 4598</t>
  </si>
  <si>
    <t>Deal 4599</t>
  </si>
  <si>
    <t>Deal 4600</t>
  </si>
  <si>
    <t>388103Q US Equity</t>
  </si>
  <si>
    <t>UBOH US Equity</t>
  </si>
  <si>
    <t>CDTI US Equity</t>
  </si>
  <si>
    <t>9990527D US Equity</t>
  </si>
  <si>
    <t>MTSC US Equity</t>
  </si>
  <si>
    <t>CLRO US Equity</t>
  </si>
  <si>
    <t>78651Q US Equity</t>
  </si>
  <si>
    <t>1986522D US Equity</t>
  </si>
  <si>
    <t>KTYB US Equity</t>
  </si>
  <si>
    <t>NOVB US Equity</t>
  </si>
  <si>
    <t>HRLY US Equity</t>
  </si>
  <si>
    <t>PVLY US Equity</t>
  </si>
  <si>
    <t>1927294D US Equity</t>
  </si>
  <si>
    <t>3129880Q US Equity</t>
  </si>
  <si>
    <t>1850925D US Equity</t>
  </si>
  <si>
    <t>Deal 4601</t>
  </si>
  <si>
    <t>Deal 4602</t>
  </si>
  <si>
    <t>Deal 4603</t>
  </si>
  <si>
    <t>Deal 4604</t>
  </si>
  <si>
    <t>Deal 4605</t>
  </si>
  <si>
    <t>Deal 4606</t>
  </si>
  <si>
    <t>Deal 4607</t>
  </si>
  <si>
    <t>Deal 4608</t>
  </si>
  <si>
    <t>Deal 4609</t>
  </si>
  <si>
    <t>Deal 4610</t>
  </si>
  <si>
    <t>Deal 4611</t>
  </si>
  <si>
    <t>Deal 4612</t>
  </si>
  <si>
    <t>Deal 4613</t>
  </si>
  <si>
    <t>Deal 4614</t>
  </si>
  <si>
    <t>Deal 4615</t>
  </si>
  <si>
    <t>Deal 4616</t>
  </si>
  <si>
    <t>Deal 4617</t>
  </si>
  <si>
    <t>Deal 4618</t>
  </si>
  <si>
    <t>Deal 4619</t>
  </si>
  <si>
    <t>Deal 4620</t>
  </si>
  <si>
    <t>RSFC US Equity</t>
  </si>
  <si>
    <t>FBNC US Equity</t>
  </si>
  <si>
    <t>CZFS US Equity</t>
  </si>
  <si>
    <t>HBOS US Equity</t>
  </si>
  <si>
    <t>NUI US Equity</t>
  </si>
  <si>
    <t>WCBO US Equity</t>
  </si>
  <si>
    <t>ABVV US Equity</t>
  </si>
  <si>
    <t>2078185D US Equity</t>
  </si>
  <si>
    <t>GNSC US Equity</t>
  </si>
  <si>
    <t>UBFO US Equity</t>
  </si>
  <si>
    <t>JH US Equity</t>
  </si>
  <si>
    <t>1495307D US Equity</t>
  </si>
  <si>
    <t>CPSS US Equity</t>
  </si>
  <si>
    <t>ATVI US Equity</t>
  </si>
  <si>
    <t>0203524D US Equity</t>
  </si>
  <si>
    <t>SFFB US Equity</t>
  </si>
  <si>
    <t>Deal 4621</t>
  </si>
  <si>
    <t>Deal 4622</t>
  </si>
  <si>
    <t>Deal 4623</t>
  </si>
  <si>
    <t>Deal 4624</t>
  </si>
  <si>
    <t>Deal 4625</t>
  </si>
  <si>
    <t>Deal 4626</t>
  </si>
  <si>
    <t>Deal 4627</t>
  </si>
  <si>
    <t>Deal 4628</t>
  </si>
  <si>
    <t>Deal 4629</t>
  </si>
  <si>
    <t>Deal 4630</t>
  </si>
  <si>
    <t>Deal 4631</t>
  </si>
  <si>
    <t>Deal 4632</t>
  </si>
  <si>
    <t>Deal 4633</t>
  </si>
  <si>
    <t>Deal 4634</t>
  </si>
  <si>
    <t>Deal 4635</t>
  </si>
  <si>
    <t>Deal 4636</t>
  </si>
  <si>
    <t>Deal 4637</t>
  </si>
  <si>
    <t>Deal 4638</t>
  </si>
  <si>
    <t>Deal 4639</t>
  </si>
  <si>
    <t>Deal 4640</t>
  </si>
  <si>
    <t>PFSW US Equity</t>
  </si>
  <si>
    <t>STBA US Equity</t>
  </si>
  <si>
    <t>MNTG US Equity</t>
  </si>
  <si>
    <t>NASB US Equity</t>
  </si>
  <si>
    <t>FVCCQ US Equity</t>
  </si>
  <si>
    <t>LSBG US Equity</t>
  </si>
  <si>
    <t>CMTY US Equity</t>
  </si>
  <si>
    <t>AAME US Equity</t>
  </si>
  <si>
    <t>MCSIQ US Equity</t>
  </si>
  <si>
    <t>CHMG US Equity</t>
  </si>
  <si>
    <t>LUNA US Equity</t>
  </si>
  <si>
    <t>NVTAQ US Equity</t>
  </si>
  <si>
    <t>250642Q US Equity</t>
  </si>
  <si>
    <t>RIBT US Equity</t>
  </si>
  <si>
    <t>HWBK US Equity</t>
  </si>
  <si>
    <t>Deal 4641</t>
  </si>
  <si>
    <t>Deal 4642</t>
  </si>
  <si>
    <t>Deal 4643</t>
  </si>
  <si>
    <t>Deal 4644</t>
  </si>
  <si>
    <t>Deal 4645</t>
  </si>
  <si>
    <t>Deal 4646</t>
  </si>
  <si>
    <t>Deal 4647</t>
  </si>
  <si>
    <t>Deal 4648</t>
  </si>
  <si>
    <t>Deal 4649</t>
  </si>
  <si>
    <t>Deal 4650</t>
  </si>
  <si>
    <t>Deal 4651</t>
  </si>
  <si>
    <t>Deal 4652</t>
  </si>
  <si>
    <t>Deal 4653</t>
  </si>
  <si>
    <t>Deal 4654</t>
  </si>
  <si>
    <t>Deal 4655</t>
  </si>
  <si>
    <t>Deal 4656</t>
  </si>
  <si>
    <t>Deal 4657</t>
  </si>
  <si>
    <t>Deal 4658</t>
  </si>
  <si>
    <t>Deal 4659</t>
  </si>
  <si>
    <t>Deal 4660</t>
  </si>
  <si>
    <t>IOTS US Equity</t>
  </si>
  <si>
    <t>SBLUQ US Equity</t>
  </si>
  <si>
    <t>IHWY US Equity</t>
  </si>
  <si>
    <t>PBCO US Equity</t>
  </si>
  <si>
    <t>WSBA US Equity</t>
  </si>
  <si>
    <t>FPIC US Equity</t>
  </si>
  <si>
    <t>MSBK US Equity</t>
  </si>
  <si>
    <t>CEFC US Equity</t>
  </si>
  <si>
    <t>IESC US Equity</t>
  </si>
  <si>
    <t>MMBI US Equity</t>
  </si>
  <si>
    <t>FISV US Equity</t>
  </si>
  <si>
    <t>797725Q US Equity</t>
  </si>
  <si>
    <t>PB US Equity</t>
  </si>
  <si>
    <t>TNB US Equity</t>
  </si>
  <si>
    <t>SMG US Equity</t>
  </si>
  <si>
    <t>GELX US Equity</t>
  </si>
  <si>
    <t>1255459D US Equity</t>
  </si>
  <si>
    <t>Deal 4661</t>
  </si>
  <si>
    <t>Deal 4662</t>
  </si>
  <si>
    <t>Deal 4663</t>
  </si>
  <si>
    <t>Deal 4664</t>
  </si>
  <si>
    <t>Deal 4665</t>
  </si>
  <si>
    <t>Deal 4666</t>
  </si>
  <si>
    <t>Deal 4667</t>
  </si>
  <si>
    <t>Deal 4668</t>
  </si>
  <si>
    <t>Deal 4669</t>
  </si>
  <si>
    <t>Deal 4670</t>
  </si>
  <si>
    <t>Deal 4671</t>
  </si>
  <si>
    <t>Deal 4672</t>
  </si>
  <si>
    <t>Deal 4673</t>
  </si>
  <si>
    <t>Deal 4674</t>
  </si>
  <si>
    <t>Deal 4675</t>
  </si>
  <si>
    <t>Deal 4676</t>
  </si>
  <si>
    <t>Deal 4677</t>
  </si>
  <si>
    <t>Deal 4678</t>
  </si>
  <si>
    <t>Deal 4679</t>
  </si>
  <si>
    <t>Deal 4680</t>
  </si>
  <si>
    <t>ALB US Equity</t>
  </si>
  <si>
    <t>BAGL US Equity</t>
  </si>
  <si>
    <t>RVLT US Equity</t>
  </si>
  <si>
    <t>BRC US Equity</t>
  </si>
  <si>
    <t>VBFC US Equity</t>
  </si>
  <si>
    <t>CERN US Equity</t>
  </si>
  <si>
    <t>HIND US Equity</t>
  </si>
  <si>
    <t>PABK US Equity</t>
  </si>
  <si>
    <t>BCML US Equity</t>
  </si>
  <si>
    <t>1920486D US Equity</t>
  </si>
  <si>
    <t>AMCS US Equity</t>
  </si>
  <si>
    <t>PGEN US Equity</t>
  </si>
  <si>
    <t>LCNB US Equity</t>
  </si>
  <si>
    <t>235982Q US Equity</t>
  </si>
  <si>
    <t>Deal 4681</t>
  </si>
  <si>
    <t>Deal 4682</t>
  </si>
  <si>
    <t>Deal 4683</t>
  </si>
  <si>
    <t>Deal 4684</t>
  </si>
  <si>
    <t>Deal 4685</t>
  </si>
  <si>
    <t>Deal 4686</t>
  </si>
  <si>
    <t>Deal 4687</t>
  </si>
  <si>
    <t>Deal 4688</t>
  </si>
  <si>
    <t>Deal 4689</t>
  </si>
  <si>
    <t>Deal 4690</t>
  </si>
  <si>
    <t>Deal 4691</t>
  </si>
  <si>
    <t>Deal 4692</t>
  </si>
  <si>
    <t>Deal 4693</t>
  </si>
  <si>
    <t>Deal 4694</t>
  </si>
  <si>
    <t>Deal 4695</t>
  </si>
  <si>
    <t>Deal 4696</t>
  </si>
  <si>
    <t>Deal 4697</t>
  </si>
  <si>
    <t>Deal 4698</t>
  </si>
  <si>
    <t>Deal 4699</t>
  </si>
  <si>
    <t>Deal 4700</t>
  </si>
  <si>
    <t>GEN US Equity</t>
  </si>
  <si>
    <t>SORCQ US Equity</t>
  </si>
  <si>
    <t>0959089D US Equity</t>
  </si>
  <si>
    <t>SNV US Equity</t>
  </si>
  <si>
    <t>SLI US Equity</t>
  </si>
  <si>
    <t>CBKN US Equity</t>
  </si>
  <si>
    <t>NPBC US Equity</t>
  </si>
  <si>
    <t>INHX US Equity</t>
  </si>
  <si>
    <t>KTO US Equity</t>
  </si>
  <si>
    <t>UPLD US Equity</t>
  </si>
  <si>
    <t>CBRI US Equity</t>
  </si>
  <si>
    <t>MCTIQ US Equity</t>
  </si>
  <si>
    <t>GRAN US Equity</t>
  </si>
  <si>
    <t>BCSB US Equity</t>
  </si>
  <si>
    <t>DAEG US Equity</t>
  </si>
  <si>
    <t>TLAG US Equity</t>
  </si>
  <si>
    <t>EXEL US Equity</t>
  </si>
  <si>
    <t>BRKL US Equity</t>
  </si>
  <si>
    <t>OSKY US Equity</t>
  </si>
  <si>
    <t>Deal 4701</t>
  </si>
  <si>
    <t>Deal 4702</t>
  </si>
  <si>
    <t>Deal 4703</t>
  </si>
  <si>
    <t>Deal 4704</t>
  </si>
  <si>
    <t>Deal 4705</t>
  </si>
  <si>
    <t>Deal 4706</t>
  </si>
  <si>
    <t>Deal 4707</t>
  </si>
  <si>
    <t>Deal 4708</t>
  </si>
  <si>
    <t>Deal 4709</t>
  </si>
  <si>
    <t>Deal 4710</t>
  </si>
  <si>
    <t>Deal 4711</t>
  </si>
  <si>
    <t>Deal 4712</t>
  </si>
  <si>
    <t>Deal 4713</t>
  </si>
  <si>
    <t>Deal 4714</t>
  </si>
  <si>
    <t>Deal 4715</t>
  </si>
  <si>
    <t>Deal 4716</t>
  </si>
  <si>
    <t>Deal 4717</t>
  </si>
  <si>
    <t>Deal 4718</t>
  </si>
  <si>
    <t>Deal 4719</t>
  </si>
  <si>
    <t>Deal 4720</t>
  </si>
  <si>
    <t>QCOR US Equity</t>
  </si>
  <si>
    <t>CFOK US Equity</t>
  </si>
  <si>
    <t>ELED US Equity</t>
  </si>
  <si>
    <t>RSYS US Equity</t>
  </si>
  <si>
    <t>PGICQ US Equity</t>
  </si>
  <si>
    <t>DRMO US Equity</t>
  </si>
  <si>
    <t>FIBK US Equity</t>
  </si>
  <si>
    <t>CTWS US Equity</t>
  </si>
  <si>
    <t>HSP US Equity</t>
  </si>
  <si>
    <t>UCBC US Equity</t>
  </si>
  <si>
    <t>0852980D US Equity</t>
  </si>
  <si>
    <t>PDCE US Equity</t>
  </si>
  <si>
    <t>GSON US Equity</t>
  </si>
  <si>
    <t>TIBX US Equity</t>
  </si>
  <si>
    <t>MDT US Equity</t>
  </si>
  <si>
    <t>FCEC US Equity</t>
  </si>
  <si>
    <t>MROI US Equity</t>
  </si>
  <si>
    <t>Deal 4721</t>
  </si>
  <si>
    <t>Deal 4722</t>
  </si>
  <si>
    <t>Deal 4723</t>
  </si>
  <si>
    <t>Deal 4724</t>
  </si>
  <si>
    <t>Deal 4725</t>
  </si>
  <si>
    <t>Deal 4726</t>
  </si>
  <si>
    <t>Deal 4727</t>
  </si>
  <si>
    <t>Deal 4728</t>
  </si>
  <si>
    <t>Deal 4729</t>
  </si>
  <si>
    <t>Deal 4730</t>
  </si>
  <si>
    <t>Deal 4731</t>
  </si>
  <si>
    <t>Deal 4732</t>
  </si>
  <si>
    <t>Deal 4733</t>
  </si>
  <si>
    <t>Deal 4734</t>
  </si>
  <si>
    <t>Deal 4735</t>
  </si>
  <si>
    <t>Deal 4736</t>
  </si>
  <si>
    <t>Deal 4737</t>
  </si>
  <si>
    <t>Deal 4738</t>
  </si>
  <si>
    <t>Deal 4739</t>
  </si>
  <si>
    <t>Deal 4740</t>
  </si>
  <si>
    <t>HRL US Equity</t>
  </si>
  <si>
    <t>NUAN US Equity</t>
  </si>
  <si>
    <t>ZD US Equity</t>
  </si>
  <si>
    <t>LRNS US Equity</t>
  </si>
  <si>
    <t>VIVO US Equity</t>
  </si>
  <si>
    <t>FDC US Equity</t>
  </si>
  <si>
    <t>BTFG US Equity</t>
  </si>
  <si>
    <t>ADRX US Equity</t>
  </si>
  <si>
    <t>OSIP US Equity</t>
  </si>
  <si>
    <t>CRMT US Equity</t>
  </si>
  <si>
    <t>TSICQ US Equity</t>
  </si>
  <si>
    <t>VSNT US Equity</t>
  </si>
  <si>
    <t>UMPQ US Equity</t>
  </si>
  <si>
    <t>PXFG US Equity</t>
  </si>
  <si>
    <t>AVT US Equity</t>
  </si>
  <si>
    <t>HCMC US Equity</t>
  </si>
  <si>
    <t>Deal 4741</t>
  </si>
  <si>
    <t>Deal 4742</t>
  </si>
  <si>
    <t>Deal 4743</t>
  </si>
  <si>
    <t>Deal 4744</t>
  </si>
  <si>
    <t>Deal 4745</t>
  </si>
  <si>
    <t>Deal 4746</t>
  </si>
  <si>
    <t>Deal 4747</t>
  </si>
  <si>
    <t>Deal 4748</t>
  </si>
  <si>
    <t>Deal 4749</t>
  </si>
  <si>
    <t>Deal 4750</t>
  </si>
  <si>
    <t>Deal 4751</t>
  </si>
  <si>
    <t>Deal 4752</t>
  </si>
  <si>
    <t>Deal 4753</t>
  </si>
  <si>
    <t>Deal 4754</t>
  </si>
  <si>
    <t>Deal 4755</t>
  </si>
  <si>
    <t>Deal 4756</t>
  </si>
  <si>
    <t>Deal 4757</t>
  </si>
  <si>
    <t>Deal 4758</t>
  </si>
  <si>
    <t>Deal 4759</t>
  </si>
  <si>
    <t>Deal 4760</t>
  </si>
  <si>
    <t>AUTO US Equity</t>
  </si>
  <si>
    <t>LARK US Equity</t>
  </si>
  <si>
    <t>PFCI US Equity</t>
  </si>
  <si>
    <t>ABNK US Equity</t>
  </si>
  <si>
    <t>EBSB US Equity</t>
  </si>
  <si>
    <t>OAKF US Equity</t>
  </si>
  <si>
    <t>CIA US Equity</t>
  </si>
  <si>
    <t>SFNT US Equity</t>
  </si>
  <si>
    <t>2228652D US Equity</t>
  </si>
  <si>
    <t>EMCF US Equity</t>
  </si>
  <si>
    <t>FWBN US Equity</t>
  </si>
  <si>
    <t>LNWO US Equity</t>
  </si>
  <si>
    <t>Deal 4761</t>
  </si>
  <si>
    <t>Deal 4762</t>
  </si>
  <si>
    <t>Deal 4763</t>
  </si>
  <si>
    <t>Deal 4764</t>
  </si>
  <si>
    <t>Deal 4765</t>
  </si>
  <si>
    <t>Deal 4766</t>
  </si>
  <si>
    <t>Deal 4767</t>
  </si>
  <si>
    <t>Deal 4768</t>
  </si>
  <si>
    <t>Deal 4769</t>
  </si>
  <si>
    <t>Deal 4770</t>
  </si>
  <si>
    <t>Deal 4771</t>
  </si>
  <si>
    <t>Deal 4772</t>
  </si>
  <si>
    <t>Deal 4773</t>
  </si>
  <si>
    <t>Deal 4774</t>
  </si>
  <si>
    <t>Deal 4775</t>
  </si>
  <si>
    <t>Deal 4776</t>
  </si>
  <si>
    <t>Deal 4777</t>
  </si>
  <si>
    <t>Deal 4778</t>
  </si>
  <si>
    <t>Deal 4779</t>
  </si>
  <si>
    <t>Deal 4780</t>
  </si>
  <si>
    <t>QCRH US Equity</t>
  </si>
  <si>
    <t>1822785D US Equity</t>
  </si>
  <si>
    <t>YCB US Equity</t>
  </si>
  <si>
    <t>GADS US Equity</t>
  </si>
  <si>
    <t>WABC US Equity</t>
  </si>
  <si>
    <t>ULB US Equity</t>
  </si>
  <si>
    <t>PCTI US Equity</t>
  </si>
  <si>
    <t>IHC US Equity</t>
  </si>
  <si>
    <t>GRA US Equity</t>
  </si>
  <si>
    <t>IFCJ US Equity</t>
  </si>
  <si>
    <t>FGBI US Equity</t>
  </si>
  <si>
    <t>AVLY US Equity</t>
  </si>
  <si>
    <t>FXNC US Equity</t>
  </si>
  <si>
    <t>Deal 4781</t>
  </si>
  <si>
    <t>Deal 4782</t>
  </si>
  <si>
    <t>Deal 4783</t>
  </si>
  <si>
    <t>Deal 4784</t>
  </si>
  <si>
    <t>Deal 4785</t>
  </si>
  <si>
    <t>Deal 4786</t>
  </si>
  <si>
    <t>Deal 4787</t>
  </si>
  <si>
    <t>Deal 4788</t>
  </si>
  <si>
    <t>Deal 4789</t>
  </si>
  <si>
    <t>Deal 4790</t>
  </si>
  <si>
    <t>Deal 4791</t>
  </si>
  <si>
    <t>Deal 4792</t>
  </si>
  <si>
    <t>Deal 4793</t>
  </si>
  <si>
    <t>Deal 4794</t>
  </si>
  <si>
    <t>Deal 4795</t>
  </si>
  <si>
    <t>Deal 4796</t>
  </si>
  <si>
    <t>Deal 4797</t>
  </si>
  <si>
    <t>Deal 4798</t>
  </si>
  <si>
    <t>Deal 4799</t>
  </si>
  <si>
    <t>Deal 4800</t>
  </si>
  <si>
    <t>ALAB US Equity</t>
  </si>
  <si>
    <t>1284849D US Equity</t>
  </si>
  <si>
    <t>SPGZ US Equity</t>
  </si>
  <si>
    <t>ABBK US Equity</t>
  </si>
  <si>
    <t>LVCI US Equity</t>
  </si>
  <si>
    <t>HBIO US Equity</t>
  </si>
  <si>
    <t>JEF US Equity</t>
  </si>
  <si>
    <t>8184823Q US Equity</t>
  </si>
  <si>
    <t>CTS US Equity</t>
  </si>
  <si>
    <t>CAH US Equity</t>
  </si>
  <si>
    <t>ORXE US Equity</t>
  </si>
  <si>
    <t>Deal 4801</t>
  </si>
  <si>
    <t>Deal 4802</t>
  </si>
  <si>
    <t>Deal 4803</t>
  </si>
  <si>
    <t>Deal 4804</t>
  </si>
  <si>
    <t>Deal 4805</t>
  </si>
  <si>
    <t>Deal 4806</t>
  </si>
  <si>
    <t>Deal 4807</t>
  </si>
  <si>
    <t>Deal 4808</t>
  </si>
  <si>
    <t>Deal 4809</t>
  </si>
  <si>
    <t>Deal 4810</t>
  </si>
  <si>
    <t>Deal 4811</t>
  </si>
  <si>
    <t>Deal 4812</t>
  </si>
  <si>
    <t>Deal 4813</t>
  </si>
  <si>
    <t>Deal 4814</t>
  </si>
  <si>
    <t>Deal 4815</t>
  </si>
  <si>
    <t>Deal 4816</t>
  </si>
  <si>
    <t>Deal 4817</t>
  </si>
  <si>
    <t>Deal 4818</t>
  </si>
  <si>
    <t>Deal 4819</t>
  </si>
  <si>
    <t>Deal 4820</t>
  </si>
  <si>
    <t>MDCO US Equity</t>
  </si>
  <si>
    <t>2447428D US Equity</t>
  </si>
  <si>
    <t>BDX US Equity</t>
  </si>
  <si>
    <t>HTRN US Equity</t>
  </si>
  <si>
    <t>IFHI US Equity</t>
  </si>
  <si>
    <t>NBOH US Equity</t>
  </si>
  <si>
    <t>0569919D LN Equity</t>
  </si>
  <si>
    <t>3523914Q US Equity</t>
  </si>
  <si>
    <t>SYMM US Equity</t>
  </si>
  <si>
    <t>3077Q US Equity</t>
  </si>
  <si>
    <t>9856660D US Equity</t>
  </si>
  <si>
    <t>FSII US Equity</t>
  </si>
  <si>
    <t>ASTV US Equity</t>
  </si>
  <si>
    <t>JFBI US Equity</t>
  </si>
  <si>
    <t>Deal 4821</t>
  </si>
  <si>
    <t>Deal 4822</t>
  </si>
  <si>
    <t>Deal 4823</t>
  </si>
  <si>
    <t>Deal 4824</t>
  </si>
  <si>
    <t>Deal 4825</t>
  </si>
  <si>
    <t>Deal 4826</t>
  </si>
  <si>
    <t>Deal 4827</t>
  </si>
  <si>
    <t>Deal 4828</t>
  </si>
  <si>
    <t>Deal 4829</t>
  </si>
  <si>
    <t>Deal 4830</t>
  </si>
  <si>
    <t>Deal 4831</t>
  </si>
  <si>
    <t>Deal 4832</t>
  </si>
  <si>
    <t>Deal 4833</t>
  </si>
  <si>
    <t>Deal 4834</t>
  </si>
  <si>
    <t>Deal 4835</t>
  </si>
  <si>
    <t>Deal 4836</t>
  </si>
  <si>
    <t>Deal 4837</t>
  </si>
  <si>
    <t>Deal 4838</t>
  </si>
  <si>
    <t>Deal 4839</t>
  </si>
  <si>
    <t>Deal 4840</t>
  </si>
  <si>
    <t>ROMA US Equity</t>
  </si>
  <si>
    <t>PCLE US Equity</t>
  </si>
  <si>
    <t>SCUR US Equity</t>
  </si>
  <si>
    <t>OSIS US Equity</t>
  </si>
  <si>
    <t>FBPI US Equity</t>
  </si>
  <si>
    <t>THRD US Equity</t>
  </si>
  <si>
    <t>ENMC US Equity</t>
  </si>
  <si>
    <t>SLBK US Equity</t>
  </si>
  <si>
    <t>MPB US Equity</t>
  </si>
  <si>
    <t>9876544D US Equity</t>
  </si>
  <si>
    <t>LEBC US Equity</t>
  </si>
  <si>
    <t>IEX US Equity</t>
  </si>
  <si>
    <t>Deal 4841</t>
  </si>
  <si>
    <t>Deal 4842</t>
  </si>
  <si>
    <t>Deal 4843</t>
  </si>
  <si>
    <t>Deal 4844</t>
  </si>
  <si>
    <t>Deal 4845</t>
  </si>
  <si>
    <t>Deal 4846</t>
  </si>
  <si>
    <t>Deal 4847</t>
  </si>
  <si>
    <t>Deal 4848</t>
  </si>
  <si>
    <t>Deal 4849</t>
  </si>
  <si>
    <t>Deal 4850</t>
  </si>
  <si>
    <t>Deal 4851</t>
  </si>
  <si>
    <t>Deal 4852</t>
  </si>
  <si>
    <t>Deal 4853</t>
  </si>
  <si>
    <t>Deal 4854</t>
  </si>
  <si>
    <t>Deal 4855</t>
  </si>
  <si>
    <t>Deal 4856</t>
  </si>
  <si>
    <t>Deal 4857</t>
  </si>
  <si>
    <t>Deal 4858</t>
  </si>
  <si>
    <t>Deal 4859</t>
  </si>
  <si>
    <t>Deal 4860</t>
  </si>
  <si>
    <t>FNBG US Equity</t>
  </si>
  <si>
    <t>ACBA US Equity</t>
  </si>
  <si>
    <t>CBBI US Equity</t>
  </si>
  <si>
    <t>544763Q US Equity</t>
  </si>
  <si>
    <t>GECC US Equity</t>
  </si>
  <si>
    <t>KBH US Equity</t>
  </si>
  <si>
    <t>PARR US Equity</t>
  </si>
  <si>
    <t>GRKA US Equity</t>
  </si>
  <si>
    <t>CVLY US Equity</t>
  </si>
  <si>
    <t>PBCA US Equity</t>
  </si>
  <si>
    <t>FELE US Equity</t>
  </si>
  <si>
    <t>Deal 4861</t>
  </si>
  <si>
    <t>Deal 4862</t>
  </si>
  <si>
    <t>Deal 4863</t>
  </si>
  <si>
    <t>Deal 4864</t>
  </si>
  <si>
    <t>Deal 4865</t>
  </si>
  <si>
    <t>Deal 4866</t>
  </si>
  <si>
    <t>Deal 4867</t>
  </si>
  <si>
    <t>Deal 4868</t>
  </si>
  <si>
    <t>Deal 4869</t>
  </si>
  <si>
    <t>Deal 4870</t>
  </si>
  <si>
    <t>Deal 4871</t>
  </si>
  <si>
    <t>Deal 4872</t>
  </si>
  <si>
    <t>Deal 4873</t>
  </si>
  <si>
    <t>Deal 4874</t>
  </si>
  <si>
    <t>Deal 4875</t>
  </si>
  <si>
    <t>Deal 4876</t>
  </si>
  <si>
    <t>Deal 4877</t>
  </si>
  <si>
    <t>Deal 4878</t>
  </si>
  <si>
    <t>Deal 4879</t>
  </si>
  <si>
    <t>Deal 4880</t>
  </si>
  <si>
    <t>USBU US Equity</t>
  </si>
  <si>
    <t>CKFB US Equity</t>
  </si>
  <si>
    <t>NRIM US Equity</t>
  </si>
  <si>
    <t>PBNI US Equity</t>
  </si>
  <si>
    <t>8374857Q US Equity</t>
  </si>
  <si>
    <t>USEG US Equity</t>
  </si>
  <si>
    <t>BWFG US Equity</t>
  </si>
  <si>
    <t>2412675D US Equity</t>
  </si>
  <si>
    <t>RDMPQ US Equity</t>
  </si>
  <si>
    <t>JUVF US Equity</t>
  </si>
  <si>
    <t>CNQR US Equity</t>
  </si>
  <si>
    <t>ELA US Equity</t>
  </si>
  <si>
    <t>Deal 4881</t>
  </si>
  <si>
    <t>Deal 4882</t>
  </si>
  <si>
    <t>Deal 4883</t>
  </si>
  <si>
    <t>Deal 4884</t>
  </si>
  <si>
    <t>Deal 4885</t>
  </si>
  <si>
    <t>Deal 4886</t>
  </si>
  <si>
    <t>Deal 4887</t>
  </si>
  <si>
    <t>Deal 4888</t>
  </si>
  <si>
    <t>Deal 4889</t>
  </si>
  <si>
    <t>Deal 4890</t>
  </si>
  <si>
    <t>Deal 4891</t>
  </si>
  <si>
    <t>Deal 4892</t>
  </si>
  <si>
    <t>Deal 4893</t>
  </si>
  <si>
    <t>Deal 4894</t>
  </si>
  <si>
    <t>Deal 4895</t>
  </si>
  <si>
    <t>Deal 4896</t>
  </si>
  <si>
    <t>Deal 4897</t>
  </si>
  <si>
    <t>Deal 4898</t>
  </si>
  <si>
    <t>Deal 4899</t>
  </si>
  <si>
    <t>Deal 4900</t>
  </si>
  <si>
    <t>SHPI US Equity</t>
  </si>
  <si>
    <t>ASFN US Equity</t>
  </si>
  <si>
    <t>FNFG US Equity</t>
  </si>
  <si>
    <t>DGX US Equity</t>
  </si>
  <si>
    <t>ENHT US Equity</t>
  </si>
  <si>
    <t>CNSL US Equity</t>
  </si>
  <si>
    <t>1878409D US Equity</t>
  </si>
  <si>
    <t>FOFN US Equity</t>
  </si>
  <si>
    <t>SBFG US Equity</t>
  </si>
  <si>
    <t>GORXQ US Equity</t>
  </si>
  <si>
    <t>2592980D US Equity</t>
  </si>
  <si>
    <t>TODDA US Equity</t>
  </si>
  <si>
    <t>SEELQ US Equity</t>
  </si>
  <si>
    <t>CCLD US Equity</t>
  </si>
  <si>
    <t>862395Q GR Equity</t>
  </si>
  <si>
    <t>WTT US Equity</t>
  </si>
  <si>
    <t>DYNE US Equity</t>
  </si>
  <si>
    <t>Deal 4901</t>
  </si>
  <si>
    <t>Deal 4902</t>
  </si>
  <si>
    <t>Deal 4903</t>
  </si>
  <si>
    <t>Deal 4904</t>
  </si>
  <si>
    <t>Deal 4905</t>
  </si>
  <si>
    <t>Deal 4906</t>
  </si>
  <si>
    <t>Deal 4907</t>
  </si>
  <si>
    <t>Deal 4908</t>
  </si>
  <si>
    <t>Deal 4909</t>
  </si>
  <si>
    <t>Deal 4910</t>
  </si>
  <si>
    <t>Deal 4911</t>
  </si>
  <si>
    <t>Deal 4912</t>
  </si>
  <si>
    <t>Deal 4913</t>
  </si>
  <si>
    <t>Deal 4914</t>
  </si>
  <si>
    <t>Deal 4915</t>
  </si>
  <si>
    <t>Deal 4916</t>
  </si>
  <si>
    <t>Deal 4917</t>
  </si>
  <si>
    <t>Deal 4918</t>
  </si>
  <si>
    <t>Deal 4919</t>
  </si>
  <si>
    <t>Deal 4920</t>
  </si>
  <si>
    <t>LJPC US Equity</t>
  </si>
  <si>
    <t>GHC US Equity</t>
  </si>
  <si>
    <t>MGAM US Equity</t>
  </si>
  <si>
    <t>1638692D US Equity</t>
  </si>
  <si>
    <t>ALNT US Equity</t>
  </si>
  <si>
    <t>PFSL US Equity</t>
  </si>
  <si>
    <t>0700734D US Equity</t>
  </si>
  <si>
    <t>ANGQC US Equity</t>
  </si>
  <si>
    <t>EPEXQ US Equity</t>
  </si>
  <si>
    <t>ALLP US Equity</t>
  </si>
  <si>
    <t>Deal 4921</t>
  </si>
  <si>
    <t>Deal 4922</t>
  </si>
  <si>
    <t>Deal 4923</t>
  </si>
  <si>
    <t>Deal 4924</t>
  </si>
  <si>
    <t>Deal 4925</t>
  </si>
  <si>
    <t>Deal 4926</t>
  </si>
  <si>
    <t>Deal 4927</t>
  </si>
  <si>
    <t>Deal 4928</t>
  </si>
  <si>
    <t>Deal 4929</t>
  </si>
  <si>
    <t>Deal 4930</t>
  </si>
  <si>
    <t>Deal 4931</t>
  </si>
  <si>
    <t>Deal 4932</t>
  </si>
  <si>
    <t>Deal 4933</t>
  </si>
  <si>
    <t>Deal 4934</t>
  </si>
  <si>
    <t>Deal 4935</t>
  </si>
  <si>
    <t>Deal 4936</t>
  </si>
  <si>
    <t>Deal 4937</t>
  </si>
  <si>
    <t>Deal 4938</t>
  </si>
  <si>
    <t>Deal 4939</t>
  </si>
  <si>
    <t>Deal 4940</t>
  </si>
  <si>
    <t>AIII US Equity</t>
  </si>
  <si>
    <t>MJCO US Equity</t>
  </si>
  <si>
    <t>ONFC US Equity</t>
  </si>
  <si>
    <t>VERD US Equity</t>
  </si>
  <si>
    <t>TSA US Equity</t>
  </si>
  <si>
    <t>TUTR US Equity</t>
  </si>
  <si>
    <t>CACB US Equity</t>
  </si>
  <si>
    <t>PRPX US Equity</t>
  </si>
  <si>
    <t>ONVI US Equity</t>
  </si>
  <si>
    <t>KEGS US Equity</t>
  </si>
  <si>
    <t>NATH US Equity</t>
  </si>
  <si>
    <t>ARL US Equity</t>
  </si>
  <si>
    <t>USXP US Equity</t>
  </si>
  <si>
    <t>Deal 4941</t>
  </si>
  <si>
    <t>Deal 4942</t>
  </si>
  <si>
    <t>Deal 4943</t>
  </si>
  <si>
    <t>Deal 4944</t>
  </si>
  <si>
    <t>Deal 4945</t>
  </si>
  <si>
    <t>Deal 4946</t>
  </si>
  <si>
    <t>Deal 4947</t>
  </si>
  <si>
    <t>Deal 4948</t>
  </si>
  <si>
    <t>Deal 4949</t>
  </si>
  <si>
    <t>Deal 4950</t>
  </si>
  <si>
    <t>Deal 4951</t>
  </si>
  <si>
    <t>Deal 4952</t>
  </si>
  <si>
    <t>Deal 4953</t>
  </si>
  <si>
    <t>Deal 4954</t>
  </si>
  <si>
    <t>Deal 4955</t>
  </si>
  <si>
    <t>Deal 4956</t>
  </si>
  <si>
    <t>Deal 4957</t>
  </si>
  <si>
    <t>Deal 4958</t>
  </si>
  <si>
    <t>Deal 4959</t>
  </si>
  <si>
    <t>Deal 4960</t>
  </si>
  <si>
    <t>MSLPQ US Equity</t>
  </si>
  <si>
    <t>UNTC US Equity</t>
  </si>
  <si>
    <t>WWWX US Equity</t>
  </si>
  <si>
    <t>597946Q US Equity</t>
  </si>
  <si>
    <t>MGLD US Equity</t>
  </si>
  <si>
    <t>TRMK US Equity</t>
  </si>
  <si>
    <t>DNDNQ US Equity</t>
  </si>
  <si>
    <t>PCBB US Equity</t>
  </si>
  <si>
    <t>NDN US Equity</t>
  </si>
  <si>
    <t>FTRCQ US Equity</t>
  </si>
  <si>
    <t>CARV US Equity</t>
  </si>
  <si>
    <t>CWBK US Equity</t>
  </si>
  <si>
    <t>HEAL US Equity</t>
  </si>
  <si>
    <t>SSNC US Equity</t>
  </si>
  <si>
    <t>Deal 4961</t>
  </si>
  <si>
    <t>Deal 4962</t>
  </si>
  <si>
    <t>Deal 4963</t>
  </si>
  <si>
    <t>Deal 4964</t>
  </si>
  <si>
    <t>Deal 4965</t>
  </si>
  <si>
    <t>Deal 4966</t>
  </si>
  <si>
    <t>Deal 4967</t>
  </si>
  <si>
    <t>Deal 4968</t>
  </si>
  <si>
    <t>Deal 4969</t>
  </si>
  <si>
    <t>Deal 4970</t>
  </si>
  <si>
    <t>Deal 4971</t>
  </si>
  <si>
    <t>Deal 4972</t>
  </si>
  <si>
    <t>Deal 4973</t>
  </si>
  <si>
    <t>Deal 4974</t>
  </si>
  <si>
    <t>Deal 4975</t>
  </si>
  <si>
    <t>Deal 4976</t>
  </si>
  <si>
    <t>Deal 4977</t>
  </si>
  <si>
    <t>Deal 4978</t>
  </si>
  <si>
    <t>Deal 4979</t>
  </si>
  <si>
    <t>Deal 4980</t>
  </si>
  <si>
    <t>GBCI US Equity</t>
  </si>
  <si>
    <t>NMIL US Equity</t>
  </si>
  <si>
    <t>INVT US Equity</t>
  </si>
  <si>
    <t>CVST US Equity</t>
  </si>
  <si>
    <t>FLMK US Equity</t>
  </si>
  <si>
    <t>LGTY US Equity</t>
  </si>
  <si>
    <t>8277795Q US Equity</t>
  </si>
  <si>
    <t>1917130D US Equity</t>
  </si>
  <si>
    <t>SOFN US Equity</t>
  </si>
  <si>
    <t>KERA US Equity</t>
  </si>
  <si>
    <t>ICUI US Equity</t>
  </si>
  <si>
    <t>ISBC US Equity</t>
  </si>
  <si>
    <t>EVH US Equity</t>
  </si>
  <si>
    <t>Deal 4981</t>
  </si>
  <si>
    <t>Deal 4982</t>
  </si>
  <si>
    <t>Deal 4983</t>
  </si>
  <si>
    <t>Deal 4984</t>
  </si>
  <si>
    <t>Deal 4985</t>
  </si>
  <si>
    <t>Deal 4986</t>
  </si>
  <si>
    <t>Deal 4987</t>
  </si>
  <si>
    <t>Deal 4988</t>
  </si>
  <si>
    <t>Deal 4989</t>
  </si>
  <si>
    <t>Deal 4990</t>
  </si>
  <si>
    <t>Deal 4991</t>
  </si>
  <si>
    <t>Deal 4992</t>
  </si>
  <si>
    <t>Deal 4993</t>
  </si>
  <si>
    <t>Deal 4994</t>
  </si>
  <si>
    <t>Deal 4995</t>
  </si>
  <si>
    <t>Deal 4996</t>
  </si>
  <si>
    <t>Deal 4997</t>
  </si>
  <si>
    <t>Deal 4998</t>
  </si>
  <si>
    <t>Deal 4999</t>
  </si>
  <si>
    <t>UWHR US Equity</t>
  </si>
  <si>
    <t>TSH US Equity</t>
  </si>
  <si>
    <t>MDRR US Equity</t>
  </si>
  <si>
    <t>BCAR US Equity</t>
  </si>
  <si>
    <t>HBMD US Equity</t>
  </si>
  <si>
    <t>MFIN US Equity</t>
  </si>
  <si>
    <t>CRN US Equity</t>
  </si>
  <si>
    <t>THCH US Equity</t>
  </si>
  <si>
    <t>TRB US Equity</t>
  </si>
  <si>
    <t>2652Q US Equity</t>
  </si>
  <si>
    <t>HTB US Equity</t>
  </si>
  <si>
    <t>PRES US Equity</t>
  </si>
  <si>
    <t>VDCY US Equity</t>
  </si>
  <si>
    <t>MCRL US Equity</t>
  </si>
  <si>
    <t>HEOP US Equity</t>
  </si>
  <si>
    <t>Q1</t>
  </si>
  <si>
    <t>2023Q1 CF (1460 TT)</t>
  </si>
  <si>
    <t>Everest Textile Co Ltd</t>
  </si>
  <si>
    <t>3060 TT Equity</t>
  </si>
  <si>
    <t>Q3</t>
  </si>
  <si>
    <t>2022Q3 CF (3060 TT)</t>
  </si>
  <si>
    <t>MIN AIK Technology Co Ltd</t>
  </si>
  <si>
    <t>GOOGL US Equity</t>
  </si>
  <si>
    <t>A</t>
  </si>
  <si>
    <t>2024A CF (RILY US)</t>
  </si>
  <si>
    <t>Alphabet Inc</t>
  </si>
  <si>
    <t>LI FP Equity</t>
  </si>
  <si>
    <t>2022A CF (LI FP)</t>
  </si>
  <si>
    <t>Klepierre SA</t>
  </si>
  <si>
    <t>META US Equity</t>
  </si>
  <si>
    <t>Meta Platforms Inc</t>
  </si>
  <si>
    <t>COGS</t>
  </si>
  <si>
    <t>Q2</t>
  </si>
  <si>
    <t>Estimate (CCC LN)</t>
  </si>
  <si>
    <t>Computacenter PLC</t>
  </si>
  <si>
    <t>NSIT US Equity</t>
  </si>
  <si>
    <t>Q4</t>
  </si>
  <si>
    <t>Estimate (NSIT US)</t>
  </si>
  <si>
    <t>Insight Enterprises Inc</t>
  </si>
  <si>
    <t>069640 KS Equity</t>
  </si>
  <si>
    <t>C3</t>
  </si>
  <si>
    <t>2024C3 CF (069640 KS)</t>
  </si>
  <si>
    <t>Hansae MK Co Ltd</t>
  </si>
  <si>
    <t>AKE FP Equity</t>
  </si>
  <si>
    <t>2022A CF (AKE FP)</t>
  </si>
  <si>
    <t>Arkema SA</t>
  </si>
  <si>
    <t>BKE US Equity</t>
  </si>
  <si>
    <t>2025A CF (BKE US)</t>
  </si>
  <si>
    <t>Buckle Inc/The</t>
  </si>
  <si>
    <t>CDW US Equity</t>
  </si>
  <si>
    <t>Estimate (CDW US)</t>
  </si>
  <si>
    <t>CDW Corp/DE</t>
  </si>
  <si>
    <t>415672Z US Equity</t>
  </si>
  <si>
    <t>Company News (JKHY US)</t>
  </si>
  <si>
    <t>TIB The Independent Bankersbank</t>
  </si>
  <si>
    <t>BLND US Equity</t>
  </si>
  <si>
    <t>Company News (BLND US)</t>
  </si>
  <si>
    <t>Blend Labs Inc</t>
  </si>
  <si>
    <t>SNX US Equity</t>
  </si>
  <si>
    <t>Estimate (SNX US)</t>
  </si>
  <si>
    <t>TD SYNNEX Corp</t>
  </si>
  <si>
    <t>KGF LN Equity</t>
  </si>
  <si>
    <t>Estimate (KGF LN)</t>
  </si>
  <si>
    <t>Kingfisher PLC</t>
  </si>
  <si>
    <t>4726 TT Equity</t>
  </si>
  <si>
    <t>2024A CF (4726 TT)</t>
  </si>
  <si>
    <t>Mycenax Biotech Inc</t>
  </si>
  <si>
    <t>6589 TT Equity</t>
  </si>
  <si>
    <t>2024A CF (6589 TT)</t>
  </si>
  <si>
    <t>EirGenix Inc</t>
  </si>
  <si>
    <t>2024A CF (4195 TT)</t>
  </si>
  <si>
    <t>Genomics BioSci&amp;Tech Co Ltd</t>
  </si>
  <si>
    <t>053030 KS Equity</t>
  </si>
  <si>
    <t>2024A CF (053030 KS)</t>
  </si>
  <si>
    <t>Binex Co Ltd</t>
  </si>
  <si>
    <t>000250 KS Equity</t>
  </si>
  <si>
    <t>2025C3 CF (000250 KS)</t>
  </si>
  <si>
    <t>Sam Chun Dang Pharm Co Ltd</t>
  </si>
  <si>
    <t>002022 CH Equity</t>
  </si>
  <si>
    <t>2024A CF (002022 CH)</t>
  </si>
  <si>
    <t>Shanghai Kehua Bio-Engineering Co Ltd</t>
  </si>
  <si>
    <t>COR US Equity</t>
  </si>
  <si>
    <t>2025A CF (EXEL US)</t>
  </si>
  <si>
    <t>Cencora Inc</t>
  </si>
  <si>
    <t>McKesson Corp</t>
  </si>
  <si>
    <t>CVS US Equity</t>
  </si>
  <si>
    <t>CVS Health Corp</t>
  </si>
  <si>
    <t>CI US Equity</t>
  </si>
  <si>
    <t>Cigna Group/The</t>
  </si>
  <si>
    <t>UnitedHealth Group Inc</t>
  </si>
  <si>
    <t>FLEX US Equity</t>
  </si>
  <si>
    <t>Estimate (FLEX US)</t>
  </si>
  <si>
    <t>Flex Ltd</t>
  </si>
  <si>
    <t>JBL US Equity</t>
  </si>
  <si>
    <t>Estimate (JBL US)</t>
  </si>
  <si>
    <t>Jabil Inc</t>
  </si>
  <si>
    <t>ADI US Equity</t>
  </si>
  <si>
    <t>Estimate (ADI US)</t>
  </si>
  <si>
    <t>Analog Devices Inc</t>
  </si>
  <si>
    <t>Estimate (OSIS US)</t>
  </si>
  <si>
    <t>OSI Systems Inc</t>
  </si>
  <si>
    <t>ADBE US Equity</t>
  </si>
  <si>
    <t>SGA</t>
  </si>
  <si>
    <t>Estimate (ADBE US)</t>
  </si>
  <si>
    <t>Adobe Inc</t>
  </si>
  <si>
    <t>R&amp;D</t>
  </si>
  <si>
    <t>2024A CF (GMAB DC)</t>
  </si>
  <si>
    <t>Genmab A/S</t>
  </si>
  <si>
    <t>ABBV US Equity</t>
  </si>
  <si>
    <t>Estimate (ABBV US)</t>
  </si>
  <si>
    <t>AbbVie Inc</t>
  </si>
  <si>
    <t>HALO US Equity</t>
  </si>
  <si>
    <t>Estimate (HALO US)</t>
  </si>
  <si>
    <t>Halozyme Therapeutics Inc</t>
  </si>
  <si>
    <t>BAYN GR Equity</t>
  </si>
  <si>
    <t>Estimate (BAYN GR)</t>
  </si>
  <si>
    <t>Bayer AG</t>
  </si>
  <si>
    <t>2023Q3 CF (DLX US)</t>
  </si>
  <si>
    <t>Deluxe Corp</t>
  </si>
  <si>
    <t>2023C3 CF (FISV US)</t>
  </si>
  <si>
    <t>Fiserv Inc</t>
  </si>
  <si>
    <t>Estimate (EMR US)</t>
  </si>
  <si>
    <t>Emerson Electric Co</t>
  </si>
  <si>
    <t>Estimate (PFE US)</t>
  </si>
  <si>
    <t>Pfizer Inc</t>
  </si>
  <si>
    <t>FDX US Equity</t>
  </si>
  <si>
    <t>Estimate (FDX US)</t>
  </si>
  <si>
    <t>FedEx Corp</t>
  </si>
  <si>
    <t>Estimate (7751 JP)</t>
  </si>
  <si>
    <t>Canon Inc</t>
  </si>
  <si>
    <t>DELL US Equity</t>
  </si>
  <si>
    <t>Estimate (DELL US)</t>
  </si>
  <si>
    <t>Dell Technologies Inc</t>
  </si>
  <si>
    <t>992 HK Equity</t>
  </si>
  <si>
    <t>Estimate (992 HK)</t>
  </si>
  <si>
    <t>Lenovo Group Ltd</t>
  </si>
  <si>
    <t>Estimate (IBM US)</t>
  </si>
  <si>
    <t>International Business Machines Corp</t>
  </si>
  <si>
    <t>MSFT US Equity</t>
  </si>
  <si>
    <t>Estimate (MSFT US)</t>
  </si>
  <si>
    <t>Microsoft Corp</t>
  </si>
  <si>
    <t>AMKR US Equity</t>
  </si>
  <si>
    <t>Estimate (AMKR US)</t>
  </si>
  <si>
    <t>Amkor Technology Inc</t>
  </si>
  <si>
    <t>2330 TT Equity</t>
  </si>
  <si>
    <t>2025A CF (ALAB US)</t>
  </si>
  <si>
    <t>Taiwan Semiconductor Manufacturing Co Ltd</t>
  </si>
  <si>
    <t>3711 TT Equity</t>
  </si>
  <si>
    <t>ASE Technology Holding Co Ltd</t>
  </si>
  <si>
    <t>AMD US Equity</t>
  </si>
  <si>
    <t>2024A CF (AMD US)</t>
  </si>
  <si>
    <t>Advanced Micro Devices Inc</t>
  </si>
  <si>
    <t>ARM US Equity</t>
  </si>
  <si>
    <t>2026Q3 CF (ARM US)</t>
  </si>
  <si>
    <t>ARM Holdings PLC</t>
  </si>
  <si>
    <t>2025A CF (HSY US)</t>
  </si>
  <si>
    <t>Hershey Co/The</t>
  </si>
  <si>
    <t>TXT US Equity</t>
  </si>
  <si>
    <t>CAPEX</t>
  </si>
  <si>
    <t>Estimate (TXT US)</t>
  </si>
  <si>
    <t>Textron Inc</t>
  </si>
  <si>
    <t>LCII US Equity</t>
  </si>
  <si>
    <t>2025A CF (LCII US)</t>
  </si>
  <si>
    <t>LCI Industries</t>
  </si>
  <si>
    <t>WAB US Equity</t>
  </si>
  <si>
    <t>Estimate (WAB US)</t>
  </si>
  <si>
    <t>Westinghouse Air Brake Technologies Corp</t>
  </si>
  <si>
    <t>ERICB SS Equity</t>
  </si>
  <si>
    <t>Estimate (ERICB SS)</t>
  </si>
  <si>
    <t>Telefonaktiebolaget LM Ericsson</t>
  </si>
  <si>
    <t>PEGA US Equity</t>
  </si>
  <si>
    <t>Estimate (PEGA US)</t>
  </si>
  <si>
    <t>Pegasystems Inc</t>
  </si>
  <si>
    <t>AMS SM Equity</t>
  </si>
  <si>
    <t>Estimate (AMS SM)</t>
  </si>
  <si>
    <t>Amadeus IT Group SA</t>
  </si>
  <si>
    <t>6063 JP Equity</t>
  </si>
  <si>
    <t>2024A CF (6063 JP)</t>
  </si>
  <si>
    <t>Emergency Assistance Japan Co Ltd</t>
  </si>
  <si>
    <t>000997 CH Equity</t>
  </si>
  <si>
    <t>S1</t>
  </si>
  <si>
    <t>2025S1 CF (000997 CH)</t>
  </si>
  <si>
    <t>Newland Digital Technology Co Ltd</t>
  </si>
  <si>
    <t>Estimate (RPRX US)</t>
  </si>
  <si>
    <t>Royalty Pharma PLC</t>
  </si>
  <si>
    <t>ERF FP Equity</t>
  </si>
  <si>
    <t>Estimate (ERF FP)</t>
  </si>
  <si>
    <t>Eurofins Scientific SE</t>
  </si>
  <si>
    <t>Estimate (LGND US)</t>
  </si>
  <si>
    <t>Ligand Pharmaceuticals Inc</t>
  </si>
  <si>
    <t>0730846D US Equity</t>
  </si>
  <si>
    <t>Iconic Therapeutics Inc</t>
  </si>
  <si>
    <t>Estimate (SANM US)</t>
  </si>
  <si>
    <t>Sanmina Corp</t>
  </si>
  <si>
    <t>2454 TT Equity</t>
  </si>
  <si>
    <t>Estimate (2454 TT)</t>
  </si>
  <si>
    <t>MediaTek Inc</t>
  </si>
  <si>
    <t>GFS US Equity</t>
  </si>
  <si>
    <t>Estimate (GFS US)</t>
  </si>
  <si>
    <t>GLOBALFOUNDRIES Inc</t>
  </si>
  <si>
    <t>PTSN IJ Equity</t>
  </si>
  <si>
    <t>2025C3 CF (PTSN IJ)</t>
  </si>
  <si>
    <t>Sat Nusapersada Tbk PT</t>
  </si>
  <si>
    <t>FE US Equity</t>
  </si>
  <si>
    <t>2021A CF (FE US)</t>
  </si>
  <si>
    <t>FirstEnergy Corp</t>
  </si>
  <si>
    <t>Estimate (INFO IN)</t>
  </si>
  <si>
    <t>Infosys Ltd</t>
  </si>
  <si>
    <t>WSR US Equity</t>
  </si>
  <si>
    <t>2024A CF (WSR US)</t>
  </si>
  <si>
    <t>Whitestone REIT</t>
  </si>
  <si>
    <t>IVT US Equity</t>
  </si>
  <si>
    <t>2022A CF (IVT US)</t>
  </si>
  <si>
    <t>InvenTrust Properties Corp</t>
  </si>
  <si>
    <t>OTEX CN Equity</t>
  </si>
  <si>
    <t>2026Q2 CF (OTEX CN)</t>
  </si>
  <si>
    <t>Open Text Corp</t>
  </si>
  <si>
    <t>2022A CF (4569 JP)</t>
  </si>
  <si>
    <t>Kyorin Pharmaceutical Co Ltd</t>
  </si>
  <si>
    <t>3352Z US Equity</t>
  </si>
  <si>
    <t>2025Q3 CF (DRS US)</t>
  </si>
  <si>
    <t>United States of America</t>
  </si>
  <si>
    <t>RTX US Equity</t>
  </si>
  <si>
    <t>Estimate (DRS US)</t>
  </si>
  <si>
    <t>RTX Corp</t>
  </si>
  <si>
    <t>LMT US Equity</t>
  </si>
  <si>
    <t>Lockheed Martin Corp</t>
  </si>
  <si>
    <t>NOC US Equity</t>
  </si>
  <si>
    <t>Northrop Grumman Corp</t>
  </si>
  <si>
    <t>BA/ LN Equity</t>
  </si>
  <si>
    <t>BAE Systems PLC</t>
  </si>
  <si>
    <t>CAT US Equity</t>
  </si>
  <si>
    <t>Estimate (CAT US)</t>
  </si>
  <si>
    <t>Caterpillar Inc</t>
  </si>
  <si>
    <t>ARW US Equity</t>
  </si>
  <si>
    <t>Estimate (ARW US)</t>
  </si>
  <si>
    <t>Arrow Electronics Inc</t>
  </si>
  <si>
    <t>000990 KS Equity</t>
  </si>
  <si>
    <t>Estimate (000990 KS)</t>
  </si>
  <si>
    <t>DB HiTek Co Ltd</t>
  </si>
  <si>
    <t>UPS US Equity</t>
  </si>
  <si>
    <t>Estimate (UPS US)</t>
  </si>
  <si>
    <t>United Parcel Service Inc</t>
  </si>
  <si>
    <t>Estimate (JNJ US)</t>
  </si>
  <si>
    <t>Cardinal Health Inc</t>
  </si>
  <si>
    <t>CA FP Equity</t>
  </si>
  <si>
    <t>Estimate (CA FP)</t>
  </si>
  <si>
    <t>Carrefour SA</t>
  </si>
  <si>
    <t>AEE US Equity</t>
  </si>
  <si>
    <t>2021A CF (AEE US)</t>
  </si>
  <si>
    <t>Ameren Corp</t>
  </si>
  <si>
    <t>AEP US Equity</t>
  </si>
  <si>
    <t>2021A CF (AEP US)</t>
  </si>
  <si>
    <t>American Electric Power Co Inc</t>
  </si>
  <si>
    <t>AES US Equity</t>
  </si>
  <si>
    <t>2021A CF (AES US)</t>
  </si>
  <si>
    <t>AES Corp/The</t>
  </si>
  <si>
    <t>2021A CF (BRK/A US)</t>
  </si>
  <si>
    <t>Berkshire Hathaway Inc</t>
  </si>
  <si>
    <t>DUK US Equity</t>
  </si>
  <si>
    <t>2021A CF (DUK US)</t>
  </si>
  <si>
    <t>Duke Energy Corp</t>
  </si>
  <si>
    <t>7203 JP Equity</t>
  </si>
  <si>
    <t>2025A CF (CTS US)</t>
  </si>
  <si>
    <t>Toyota Motor Corp</t>
  </si>
  <si>
    <t>CMI US Equity</t>
  </si>
  <si>
    <t>Cummins Inc</t>
  </si>
  <si>
    <t>ABBN SW Equity</t>
  </si>
  <si>
    <t>Estimate (CTS US)</t>
  </si>
  <si>
    <t>ABB Ltd</t>
  </si>
  <si>
    <t>GM US Equity</t>
  </si>
  <si>
    <t>General Motors Co</t>
  </si>
  <si>
    <t>HON US Equity</t>
  </si>
  <si>
    <t>Honeywell International Inc</t>
  </si>
  <si>
    <t>MUST SP Equity</t>
  </si>
  <si>
    <t>2024A CF (MUST SP)</t>
  </si>
  <si>
    <t>Manulife US Real Estate Investment Trust</t>
  </si>
  <si>
    <t>2026Q3 CF (3565 JP)</t>
  </si>
  <si>
    <t>Ascentech KK</t>
  </si>
  <si>
    <t>Company News (ARW US)</t>
  </si>
  <si>
    <t>ATO FP Equity</t>
  </si>
  <si>
    <t>2021A CF (ATO FP)</t>
  </si>
  <si>
    <t>Atos SE</t>
  </si>
  <si>
    <t>2022Q3 CF (CDW US)</t>
  </si>
  <si>
    <t>CFLT US Equity</t>
  </si>
  <si>
    <t>2023A CF (CFLT US)</t>
  </si>
  <si>
    <t>Confluent Inc</t>
  </si>
  <si>
    <t>2359 TT Equity</t>
  </si>
  <si>
    <t>2024A CF (2359 TT)</t>
  </si>
  <si>
    <t>Solomon Technology Corp</t>
  </si>
  <si>
    <t>301252 CH Equity</t>
  </si>
  <si>
    <t>2022A CF (301252 CH)</t>
  </si>
  <si>
    <t>Zhejiang Tongxing Technology Co Ltd</t>
  </si>
  <si>
    <t>2025A CF (992 HK)</t>
  </si>
  <si>
    <t>CNXN US Equity</t>
  </si>
  <si>
    <t>2025Q1 CF (CNXN US)</t>
  </si>
  <si>
    <t>PC Connection Inc</t>
  </si>
  <si>
    <t>2024A CF (WTTR US)</t>
  </si>
  <si>
    <t>Killam Oil Co Ltd</t>
  </si>
  <si>
    <t>0752392D US Equity</t>
  </si>
  <si>
    <t>Northeast Natural Energy LLC</t>
  </si>
  <si>
    <t>0820329D US Equity</t>
  </si>
  <si>
    <t>Bayswater Exploration &amp; Production LLC</t>
  </si>
  <si>
    <t>1480650D US Equity</t>
  </si>
  <si>
    <t>2025Q3 CF (WTTR US)</t>
  </si>
  <si>
    <t>Ascent Resources LLC</t>
  </si>
  <si>
    <t>2137259D US Equity</t>
  </si>
  <si>
    <t>2024Q3 CF (WTTR US)</t>
  </si>
  <si>
    <t>Avant Natural Resources LLC</t>
  </si>
  <si>
    <t>AMZN US Equity</t>
  </si>
  <si>
    <t>Amazon.com Inc</t>
  </si>
  <si>
    <t>005930 KS Equity</t>
  </si>
  <si>
    <t>Samsung Electronics Co Ltd</t>
  </si>
  <si>
    <t>CSCO US Equity</t>
  </si>
  <si>
    <t>Cisco Systems Inc</t>
  </si>
  <si>
    <t>2024Q4 CF (BHILQ US)</t>
  </si>
  <si>
    <t>Benson Hill Inc</t>
  </si>
  <si>
    <t>BA US Equity</t>
  </si>
  <si>
    <t>Estimate (TDG US)</t>
  </si>
  <si>
    <t>Boeing Co/The</t>
  </si>
  <si>
    <t>AIR FP Equity</t>
  </si>
  <si>
    <t>Airbus SE</t>
  </si>
  <si>
    <t>UAL US Equity</t>
  </si>
  <si>
    <t>United Airlines Holdings Inc</t>
  </si>
  <si>
    <t>DAL US Equity</t>
  </si>
  <si>
    <t>Delta Air Lines Inc</t>
  </si>
  <si>
    <t>2023A CF (000963 CH)</t>
  </si>
  <si>
    <t>Huadong Medicine Co Ltd</t>
  </si>
  <si>
    <t>EVC US Equity</t>
  </si>
  <si>
    <t>2021A CF (EVC US)</t>
  </si>
  <si>
    <t>Entravision Communications Corp</t>
  </si>
  <si>
    <t>Company News (5158754Z SS)</t>
  </si>
  <si>
    <t>Klarna Holding AB</t>
  </si>
  <si>
    <t>GNL US Equity</t>
  </si>
  <si>
    <t>2023A CF (GNL US)</t>
  </si>
  <si>
    <t>Global Net Lease Inc</t>
  </si>
  <si>
    <t>2024A CF (4104 TT)</t>
  </si>
  <si>
    <t>Excelsior Medical Co Ltd</t>
  </si>
  <si>
    <t>300246 CH Equity</t>
  </si>
  <si>
    <t>2021A CF (300246 CH)</t>
  </si>
  <si>
    <t>Guangdong Biolight Meditech Co Ltd</t>
  </si>
  <si>
    <t>Company News (MDT US)</t>
  </si>
  <si>
    <t>CONMED Corp</t>
  </si>
  <si>
    <t>2022A CF (VIVO US)</t>
  </si>
  <si>
    <t>Meridian Bioscience Inc</t>
  </si>
  <si>
    <t>3079 JP Equity</t>
  </si>
  <si>
    <t>2025A CF (3079 JP)</t>
  </si>
  <si>
    <t>Dvx Inc</t>
  </si>
  <si>
    <t>TGT US Equity</t>
  </si>
  <si>
    <t>2025Q3 CF (JAKK US)</t>
  </si>
  <si>
    <t>Target Corp</t>
  </si>
  <si>
    <t>WMT US Equity</t>
  </si>
  <si>
    <t>Walmart Inc</t>
  </si>
  <si>
    <t>2024A CF (JAKK US)</t>
  </si>
  <si>
    <t>COST US Equity</t>
  </si>
  <si>
    <t>Estimate (JAKK US)</t>
  </si>
  <si>
    <t>Costco Wholesale Corp</t>
  </si>
  <si>
    <t>DLTR US Equity</t>
  </si>
  <si>
    <t>Dollar Tree Inc</t>
  </si>
  <si>
    <t>2024A CF (SDSYA US)</t>
  </si>
  <si>
    <t>South Dakota Soybean Processors LLC</t>
  </si>
  <si>
    <t>Estimate (COHR US)</t>
  </si>
  <si>
    <t>Hewlett Packard Enterprise Co</t>
  </si>
  <si>
    <t>NOKIA FH Equity</t>
  </si>
  <si>
    <t>Nokia Oyj</t>
  </si>
  <si>
    <t>000063 CH Equity</t>
  </si>
  <si>
    <t>ZTE Corp</t>
  </si>
  <si>
    <t>INVE US Equity</t>
  </si>
  <si>
    <t>2022Q3 CF (INVE US)</t>
  </si>
  <si>
    <t>Identiv Inc</t>
  </si>
  <si>
    <t>BABA US Equity</t>
  </si>
  <si>
    <t>Estimate (BABA US)</t>
  </si>
  <si>
    <t>Alibaba Group Holding Ltd</t>
  </si>
  <si>
    <t>BBY US Equity</t>
  </si>
  <si>
    <t>Estimate (BBY US)</t>
  </si>
  <si>
    <t>Best Buy Co Inc</t>
  </si>
  <si>
    <t>002024 CH Equity</t>
  </si>
  <si>
    <t>Estimate (002024 CH)</t>
  </si>
  <si>
    <t>Suning.com Co Ltd</t>
  </si>
  <si>
    <t>CEC GR Equity</t>
  </si>
  <si>
    <t>Estimate (CEC GR)</t>
  </si>
  <si>
    <t>CECONOMY AG</t>
  </si>
  <si>
    <t>2025A CF (MSI US)</t>
  </si>
  <si>
    <t>2427 TT Equity</t>
  </si>
  <si>
    <t>2024A CF (2427 TT)</t>
  </si>
  <si>
    <t>Mercuries Data Systems Ltd</t>
  </si>
  <si>
    <t>2025Q3 CF (INVA US)</t>
  </si>
  <si>
    <t>George Washington University/The</t>
  </si>
  <si>
    <t>24608Z US Equity</t>
  </si>
  <si>
    <t>Massachusetts Institute of Technology</t>
  </si>
  <si>
    <t>3252Z US Equity</t>
  </si>
  <si>
    <t>President and Fellows of Harvard College</t>
  </si>
  <si>
    <t>AZN LN Equity</t>
  </si>
  <si>
    <t>AstraZeneca PLC</t>
  </si>
  <si>
    <t>BSLN SW Equity</t>
  </si>
  <si>
    <t>Basilea Pharmaceutica Ag Allschwil</t>
  </si>
  <si>
    <t>BRX US Equity</t>
  </si>
  <si>
    <t>2024A CF (BRX US)</t>
  </si>
  <si>
    <t>Brixmor Property Group Inc</t>
  </si>
  <si>
    <t>2023Q1 CF (MLNK US)</t>
  </si>
  <si>
    <t>Meridianlink Inc</t>
  </si>
  <si>
    <t>Estimate (354 HK)</t>
  </si>
  <si>
    <t>Chinasoft International Ltd</t>
  </si>
  <si>
    <t>EXTR US Equity</t>
  </si>
  <si>
    <t>Estimate (EXTR US)</t>
  </si>
  <si>
    <t>Extreme Networks Inc</t>
  </si>
  <si>
    <t>4726 JP Equity</t>
  </si>
  <si>
    <t>2024A CF (4726 JP)</t>
  </si>
  <si>
    <t>SB Technology Corp</t>
  </si>
  <si>
    <t>9903653D US Equity</t>
  </si>
  <si>
    <t>2022Q3 CF (9903653D US)</t>
  </si>
  <si>
    <t>TechTarget Inc/old</t>
  </si>
  <si>
    <t>AVGO US Equity</t>
  </si>
  <si>
    <t>2022A CF (GEN US)</t>
  </si>
  <si>
    <t>Broadcom Inc</t>
  </si>
  <si>
    <t>2023A CF (4272 JP)</t>
  </si>
  <si>
    <t>Nippon Kayaku Co Ltd</t>
  </si>
  <si>
    <t>CASIF US Equity</t>
  </si>
  <si>
    <t>2021A CF (CASIF US)</t>
  </si>
  <si>
    <t>CASI Pharmaceuticals Holdings Inc</t>
  </si>
  <si>
    <t>RDNT US Equity</t>
  </si>
  <si>
    <t>2022A CF (RDNT US)</t>
  </si>
  <si>
    <t>RadNet Inc</t>
  </si>
  <si>
    <t>CLS CN Equity</t>
  </si>
  <si>
    <t>Estimate (CLS CN)</t>
  </si>
  <si>
    <t>Celestica Inc</t>
  </si>
  <si>
    <t>TTMI US Equity</t>
  </si>
  <si>
    <t>Estimate (TTMI US)</t>
  </si>
  <si>
    <t>TTM Technologies Inc</t>
  </si>
  <si>
    <t>FII FP Equity</t>
  </si>
  <si>
    <t>Estimate (FII FP)</t>
  </si>
  <si>
    <t>LISI SA</t>
  </si>
  <si>
    <t>Estimate (DCO US)</t>
  </si>
  <si>
    <t>Ducommun Inc</t>
  </si>
  <si>
    <t>HEI US Equity</t>
  </si>
  <si>
    <t>Estimate (HEI US)</t>
  </si>
  <si>
    <t>HEICO Corp</t>
  </si>
  <si>
    <t>AERO SW Equity</t>
  </si>
  <si>
    <t>Estimate (AERO SW)</t>
  </si>
  <si>
    <t>Montana Aerospace AG</t>
  </si>
  <si>
    <t>AIR US Equity</t>
  </si>
  <si>
    <t>Estimate (AIR US)</t>
  </si>
  <si>
    <t>AAR Corp</t>
  </si>
  <si>
    <t>FTG CN Equity</t>
  </si>
  <si>
    <t>Estimate (FTG CN)</t>
  </si>
  <si>
    <t>Firan Technology Group Corp</t>
  </si>
  <si>
    <t>2025Q1 CF (BLND US)</t>
  </si>
  <si>
    <t>MA US Equity</t>
  </si>
  <si>
    <t>2024Q1 CF (MA US)</t>
  </si>
  <si>
    <t>Mastercard Inc</t>
  </si>
  <si>
    <t>2025A CF (PFE US)</t>
  </si>
  <si>
    <t>BMY US Equity</t>
  </si>
  <si>
    <t>2025A CF (BMY US)</t>
  </si>
  <si>
    <t>Bristol-Myers Squibb Co</t>
  </si>
  <si>
    <t>2024A CF (PFE US)</t>
  </si>
  <si>
    <t>Estimate (ALAB US)</t>
  </si>
  <si>
    <t>NVDA US Equity</t>
  </si>
  <si>
    <t>NVIDIA Corp</t>
  </si>
  <si>
    <t>2382 TT Equity</t>
  </si>
  <si>
    <t>Quanta Computer Inc</t>
  </si>
  <si>
    <t>601138 CH Equity</t>
  </si>
  <si>
    <t>Foxconn Industrial Internet Co Ltd</t>
  </si>
  <si>
    <t>3231 TT Equity</t>
  </si>
  <si>
    <t>Wistron Corp</t>
  </si>
  <si>
    <t>AQN CN Equity</t>
  </si>
  <si>
    <t>2021A CF (AQN CN)</t>
  </si>
  <si>
    <t>Algonquin Power &amp; Utilities Corp</t>
  </si>
  <si>
    <t>2021A CF (BKH US)</t>
  </si>
  <si>
    <t>Black Hills Corp</t>
  </si>
  <si>
    <t>2023Q1 CF (SPPI US)</t>
  </si>
  <si>
    <t>University of Texas MD Anderson Cancer Center/The</t>
  </si>
  <si>
    <t>0894439D US Equity</t>
  </si>
  <si>
    <t>2022Q2 CF (SPPI US)</t>
  </si>
  <si>
    <t>ImmunGene Inc</t>
  </si>
  <si>
    <t>128940 KS Equity</t>
  </si>
  <si>
    <t>C1</t>
  </si>
  <si>
    <t>2023C1 CF (128940 KS)</t>
  </si>
  <si>
    <t>Hanmi Pharm Co Ltd</t>
  </si>
  <si>
    <t>9501 JP Equity</t>
  </si>
  <si>
    <t>2022A CF (9501 JP)</t>
  </si>
  <si>
    <t>Tokyo Electric Power Co Holdings Inc</t>
  </si>
  <si>
    <t>EIX US Equity</t>
  </si>
  <si>
    <t>2021A CF (EIX US)</t>
  </si>
  <si>
    <t>Edison International</t>
  </si>
  <si>
    <t>Meisheng Cultural &amp; Creative Corp Ltd</t>
  </si>
  <si>
    <t>7974 JP Equity</t>
  </si>
  <si>
    <t>Estimate (7974 JP)</t>
  </si>
  <si>
    <t>Nintendo Co Ltd</t>
  </si>
  <si>
    <t>SWK US Equity</t>
  </si>
  <si>
    <t>Estimate (SWK US)</t>
  </si>
  <si>
    <t>Stanley Black &amp; Decker Inc</t>
  </si>
  <si>
    <t>EA US Equity</t>
  </si>
  <si>
    <t>Estimate (EA US)</t>
  </si>
  <si>
    <t>Electronic Arts Inc</t>
  </si>
  <si>
    <t>MAT US Equity</t>
  </si>
  <si>
    <t>Estimate (MAT US)</t>
  </si>
  <si>
    <t>Mattel Inc</t>
  </si>
  <si>
    <t>2025S1 CF (000963 CH)</t>
  </si>
  <si>
    <t>OS US Equity</t>
  </si>
  <si>
    <t>2024Q4 CF (OS US)</t>
  </si>
  <si>
    <t>Onestream Inc</t>
  </si>
  <si>
    <t>SALM US Equity</t>
  </si>
  <si>
    <t>Company News (SALM US)</t>
  </si>
  <si>
    <t>Salem Media Group Inc</t>
  </si>
  <si>
    <t>8206440Z LN Equity</t>
  </si>
  <si>
    <t>2025A CF (8206440Z LN)</t>
  </si>
  <si>
    <t>United Kingdom of Great Britain &amp; Northern Ireland Ministry of Defence</t>
  </si>
  <si>
    <t>1560616D US Equity</t>
  </si>
  <si>
    <t>Company News (1560616D US)</t>
  </si>
  <si>
    <t>Boom Technology Inc</t>
  </si>
  <si>
    <t>3315 HK Equity</t>
  </si>
  <si>
    <t>2024A CF (3315 HK)</t>
  </si>
  <si>
    <t>Goldpac Group Ltd</t>
  </si>
  <si>
    <t>ALHYP FP Equity</t>
  </si>
  <si>
    <t>2024A CF (ALHYP FP)</t>
  </si>
  <si>
    <t>HiPay Group SA</t>
  </si>
  <si>
    <t>EVTC US Equity</t>
  </si>
  <si>
    <t>2024A CF (EVTC US)</t>
  </si>
  <si>
    <t>EVERTEC Inc</t>
  </si>
  <si>
    <t>2022A CF (UNTC US)</t>
  </si>
  <si>
    <t>Symmetry Energy Solutions LLC</t>
  </si>
  <si>
    <t>0711696D US Equity</t>
  </si>
  <si>
    <t>2023A CF (UNTC US)</t>
  </si>
  <si>
    <t>Slawson Exploration Co Inc</t>
  </si>
  <si>
    <t>0713670D US Equity</t>
  </si>
  <si>
    <t>Southwest Energy LP</t>
  </si>
  <si>
    <t>0880147D US Equity</t>
  </si>
  <si>
    <t>Koch Energy Services LLC</t>
  </si>
  <si>
    <t>366058Z US Equity</t>
  </si>
  <si>
    <t>Superior Midstream LLC</t>
  </si>
  <si>
    <t>Estimate (VSH US)</t>
  </si>
  <si>
    <t>Vishay Intertechnology Inc</t>
  </si>
  <si>
    <t>DSY FP Equity</t>
  </si>
  <si>
    <t>Estimate (DSY FP)</t>
  </si>
  <si>
    <t>Dassault Systemes SE</t>
  </si>
  <si>
    <t>2024A CF (CPTP US)</t>
  </si>
  <si>
    <t>Capital Properties Inc</t>
  </si>
  <si>
    <t>PERI US Equity</t>
  </si>
  <si>
    <t>2024A CF (PERI US)</t>
  </si>
  <si>
    <t>Perion Network Ltd</t>
  </si>
  <si>
    <t>2024A CF (GNL US)</t>
  </si>
  <si>
    <t>BBOX IN Equity</t>
  </si>
  <si>
    <t>Estimate (BBOX IN)</t>
  </si>
  <si>
    <t>Black Box Ltd</t>
  </si>
  <si>
    <t>2024Q4 CF (IVT US)</t>
  </si>
  <si>
    <t>004800 KS Equity</t>
  </si>
  <si>
    <t>2025C3 CF (004800 KS)</t>
  </si>
  <si>
    <t>Hyosung Corp</t>
  </si>
  <si>
    <t>Estimate (MELE BB)</t>
  </si>
  <si>
    <t>Melexis NV</t>
  </si>
  <si>
    <t>044990 KS Equity</t>
  </si>
  <si>
    <t>C2</t>
  </si>
  <si>
    <t>2024C2 CF (044990 KS)</t>
  </si>
  <si>
    <t>H&amp;S Hightech Corp</t>
  </si>
  <si>
    <t>838 HK Equity</t>
  </si>
  <si>
    <t>2021A CF (838 HK)</t>
  </si>
  <si>
    <t>EVA Precision Industrial Holdings Ltd</t>
  </si>
  <si>
    <t>AEBI US Equity</t>
  </si>
  <si>
    <t>2022Q1 CF (AEBI US)</t>
  </si>
  <si>
    <t>Aebi Schmidt Holding AG</t>
  </si>
  <si>
    <t>000660 KS Equity</t>
  </si>
  <si>
    <t>Estimate (000660 KS)</t>
  </si>
  <si>
    <t>SK hynix Inc</t>
  </si>
  <si>
    <t>KRC US Equity</t>
  </si>
  <si>
    <t>2025A CF (KRC US)</t>
  </si>
  <si>
    <t>Kilroy Realty Corp</t>
  </si>
  <si>
    <t>Estimate (NVDA US)</t>
  </si>
  <si>
    <t>002635 CH Equity</t>
  </si>
  <si>
    <t>Estimate (002635 CH)</t>
  </si>
  <si>
    <t>Suzhou Anjie Technology Co Ltd</t>
  </si>
  <si>
    <t>Company News (SPLP US)</t>
  </si>
  <si>
    <t>White &amp; Case LLP</t>
  </si>
  <si>
    <t>CNP US Equity</t>
  </si>
  <si>
    <t>2021A CF (CNP US)</t>
  </si>
  <si>
    <t>CenterPoint Energy Inc</t>
  </si>
  <si>
    <t>2024A CF (BNTX US)</t>
  </si>
  <si>
    <t>BioNTech SE</t>
  </si>
  <si>
    <t>Estimate (ORCL US)</t>
  </si>
  <si>
    <t>Oracle Corp</t>
  </si>
  <si>
    <t>DIM FP Equity</t>
  </si>
  <si>
    <t>Estimate (DIM FP)</t>
  </si>
  <si>
    <t>Sartorius Stedim Biotech</t>
  </si>
  <si>
    <t>5201 JP Equity</t>
  </si>
  <si>
    <t>Estimate (5201 JP)</t>
  </si>
  <si>
    <t>AGC Inc</t>
  </si>
  <si>
    <t>ARE US Equity</t>
  </si>
  <si>
    <t>2025A CF (ARE US)</t>
  </si>
  <si>
    <t>Alexandria Real Estate Equities Inc</t>
  </si>
  <si>
    <t>NRO FP Equity</t>
  </si>
  <si>
    <t>2022A CF (NRO FP)</t>
  </si>
  <si>
    <t>Neurones</t>
  </si>
  <si>
    <t>UBXN SW Equity</t>
  </si>
  <si>
    <t>2021A CF (UBXN SW)</t>
  </si>
  <si>
    <t>u-blox Holding AG</t>
  </si>
  <si>
    <t>WALLB SS Equity</t>
  </si>
  <si>
    <t>2024A CF (WALLB SS)</t>
  </si>
  <si>
    <t>Wallenstam AB</t>
  </si>
  <si>
    <t>2021A CF (9990253D US)</t>
  </si>
  <si>
    <t>Kelley Williamson Co</t>
  </si>
  <si>
    <t>0220462Z US Equity</t>
  </si>
  <si>
    <t>TREAS Bureau of Engraving &amp; Printing</t>
  </si>
  <si>
    <t>29638Z US Equity</t>
  </si>
  <si>
    <t>United States National Aeronautics &amp; Space Administration</t>
  </si>
  <si>
    <t>3471626Z US Equity</t>
  </si>
  <si>
    <t>DOD United States Department of The Air Force</t>
  </si>
  <si>
    <t>CNR CN Equity</t>
  </si>
  <si>
    <t>Estimate (CNR CN)</t>
  </si>
  <si>
    <t>Canadian National Railway Co</t>
  </si>
  <si>
    <t>ILPT US Equity</t>
  </si>
  <si>
    <t>2023A CF (ILPT US)</t>
  </si>
  <si>
    <t>Industrial Logistics Properties Trust</t>
  </si>
  <si>
    <t>XOM US Equity</t>
  </si>
  <si>
    <t>Company News (PARR US)</t>
  </si>
  <si>
    <t>Exxon Mobil Corp</t>
  </si>
  <si>
    <t>RPR-U CN Equity</t>
  </si>
  <si>
    <t>2024A CF (RPR-U CN)</t>
  </si>
  <si>
    <t>Ravelin Properties REIT</t>
  </si>
  <si>
    <t>VYX US Equity</t>
  </si>
  <si>
    <t>2023Q2 CF (VYX US)</t>
  </si>
  <si>
    <t>NCR Voyix Corp</t>
  </si>
  <si>
    <t>Estimate (AVGO US)</t>
  </si>
  <si>
    <t>3105 TT Equity</t>
  </si>
  <si>
    <t>Estimate (3105 TT)</t>
  </si>
  <si>
    <t>Win Semiconductors Corp</t>
  </si>
  <si>
    <t>TSEM IT Equity</t>
  </si>
  <si>
    <t>Estimate (TSEM IT)</t>
  </si>
  <si>
    <t>Tower Semiconductor Ltd</t>
  </si>
  <si>
    <t>Estimate (KLAC US)</t>
  </si>
  <si>
    <t>KLA Corp</t>
  </si>
  <si>
    <t>ACX SM Equity</t>
  </si>
  <si>
    <t>Estimate (ACX SM)</t>
  </si>
  <si>
    <t>Acerinox SA</t>
  </si>
  <si>
    <t>2025A CF (NCNO US)</t>
  </si>
  <si>
    <t>nCino Inc</t>
  </si>
  <si>
    <t>2025Q1 CF (FISV US)</t>
  </si>
  <si>
    <t>2022Q3 CF (QUIS CN)</t>
  </si>
  <si>
    <t>Quisitive Technology Solutions Inc</t>
  </si>
  <si>
    <t>2024A CF (HE US)</t>
  </si>
  <si>
    <t>Hawaiian Electric Industries Inc</t>
  </si>
  <si>
    <t>2022Q3 CF (COL SM)</t>
  </si>
  <si>
    <t>Colonial SFL Socimi SA</t>
  </si>
  <si>
    <t>Company News (1514239D US)</t>
  </si>
  <si>
    <t>Greenlight Financial Technology Inc</t>
  </si>
  <si>
    <t>2024A CF (BRK/A US)</t>
  </si>
  <si>
    <t>3382 JP Equity</t>
  </si>
  <si>
    <t>Seven &amp; i Holdings Co Ltd</t>
  </si>
  <si>
    <t>YUM US Equity</t>
  </si>
  <si>
    <t>Yum! Brands Inc</t>
  </si>
  <si>
    <t>Estimate (BA US)</t>
  </si>
  <si>
    <t>Estimate (RTX US)</t>
  </si>
  <si>
    <t>GSK LN Equity</t>
  </si>
  <si>
    <t>GSK PLC</t>
  </si>
  <si>
    <t>1952 HK Equity</t>
  </si>
  <si>
    <t>2025Q2 CF (INVA US)</t>
  </si>
  <si>
    <t>Everest Medicines Ltd</t>
  </si>
  <si>
    <t>ZLAB US Equity</t>
  </si>
  <si>
    <t>Zai Lab Ltd</t>
  </si>
  <si>
    <t>0219682Z US Equity</t>
  </si>
  <si>
    <t>2024A CF (INVA US)</t>
  </si>
  <si>
    <t>United States Department of Defense</t>
  </si>
  <si>
    <t>0777586D US Equity</t>
  </si>
  <si>
    <t>HHS NIH National Institute of Allergy &amp; Infectious Diseases</t>
  </si>
  <si>
    <t>2024Q2 CF (ARVINDFA IN)</t>
  </si>
  <si>
    <t>Arvind Fashions Ltd</t>
  </si>
  <si>
    <t>GCO US Equity</t>
  </si>
  <si>
    <t>2025A CF (GCO US)</t>
  </si>
  <si>
    <t>Genesco Inc</t>
  </si>
  <si>
    <t>GIII US Equity</t>
  </si>
  <si>
    <t>2025A CF (GIII US)</t>
  </si>
  <si>
    <t>G-III Apparel Group Ltd</t>
  </si>
  <si>
    <t>ICNT IN Equity</t>
  </si>
  <si>
    <t>2026Q1 CF (ICNT IN)</t>
  </si>
  <si>
    <t>Indo Count Industries Ltd</t>
  </si>
  <si>
    <t>JD/ LN Equity</t>
  </si>
  <si>
    <t>2025A CF (JD/ LN)</t>
  </si>
  <si>
    <t>JD Sports Fashion PLC</t>
  </si>
  <si>
    <t>2023Q3 CF (HL US)</t>
  </si>
  <si>
    <t>Spectral Evolution Inc</t>
  </si>
  <si>
    <t>1643968D US Equity</t>
  </si>
  <si>
    <t>Company News (HL US)</t>
  </si>
  <si>
    <t>Mine Vision Systems Inc</t>
  </si>
  <si>
    <t>2290660D CN Equity</t>
  </si>
  <si>
    <t>GeologicAI Inc</t>
  </si>
  <si>
    <t>EPIA SS Equity</t>
  </si>
  <si>
    <t>Epiroc AB</t>
  </si>
  <si>
    <t>OGD CN Equity</t>
  </si>
  <si>
    <t>2026Q1 CF (OGD CN)</t>
  </si>
  <si>
    <t>Orbit Garant Drilling Inc</t>
  </si>
  <si>
    <t>ETR US Equity</t>
  </si>
  <si>
    <t>2021A CF (ETR US)</t>
  </si>
  <si>
    <t>Entergy Corp</t>
  </si>
  <si>
    <t>551 HK Equity</t>
  </si>
  <si>
    <t>2025Q3 CF (551 HK)</t>
  </si>
  <si>
    <t>Yue Yuen Industrial Holdings Ltd</t>
  </si>
  <si>
    <t>2025Q2 CF (ICNT IN)</t>
  </si>
  <si>
    <t>2022A CF (AYX US)</t>
  </si>
  <si>
    <t>Alteryx Inc</t>
  </si>
  <si>
    <t>WBC AU Equity</t>
  </si>
  <si>
    <t>Company News (SSNC US)</t>
  </si>
  <si>
    <t>Westpac Banking Corp</t>
  </si>
  <si>
    <t>TROW US Equity</t>
  </si>
  <si>
    <t>T Rowe Price Group Inc</t>
  </si>
  <si>
    <t>770665Z US Equity</t>
  </si>
  <si>
    <t>2023A CF (770665Z US)</t>
  </si>
  <si>
    <t>Wesco Aircraft Hardware Corp</t>
  </si>
  <si>
    <t>III US Equity</t>
  </si>
  <si>
    <t>Company News (III US)</t>
  </si>
  <si>
    <t>Information Services Group Inc</t>
  </si>
  <si>
    <t>WCC US Equity</t>
  </si>
  <si>
    <t>2023Q3 CF (WCC US)</t>
  </si>
  <si>
    <t>WESCO International Inc</t>
  </si>
  <si>
    <t>2024A CF (MDRR US)</t>
  </si>
  <si>
    <t>Altitude Trampoline Parks of South Texas LLC</t>
  </si>
  <si>
    <t>519859Z US Equity</t>
  </si>
  <si>
    <t>Ashley Furniture Industries Inc</t>
  </si>
  <si>
    <t>AD NA Equity</t>
  </si>
  <si>
    <t>Koninklijke Ahold Delhaize NV</t>
  </si>
  <si>
    <t>CTRN US Equity</t>
  </si>
  <si>
    <t>Citi Trends Inc</t>
  </si>
  <si>
    <t>3043419Z US Equity</t>
  </si>
  <si>
    <t>Hobby Lobby Stores Inc</t>
  </si>
  <si>
    <t>2024A CF (DCC LN)</t>
  </si>
  <si>
    <t>DCC PLC</t>
  </si>
  <si>
    <t>INFU US Equity</t>
  </si>
  <si>
    <t>2024A CF (INFU US)</t>
  </si>
  <si>
    <t>InfuSystem Holdings Inc</t>
  </si>
  <si>
    <t>MLNI US Equity</t>
  </si>
  <si>
    <t>2023A CF (ICUI US)</t>
  </si>
  <si>
    <t>Medline Industries LP/United States</t>
  </si>
  <si>
    <t>2025Q3 CF (ICUI US)</t>
  </si>
  <si>
    <t>SUN SL Equity</t>
  </si>
  <si>
    <t>2025A CF (SUN SL)</t>
  </si>
  <si>
    <t>Sunshine Holdings PLC</t>
  </si>
  <si>
    <t>2023C3 CF (028260 KS)</t>
  </si>
  <si>
    <t>Samsung C&amp;T Corp</t>
  </si>
  <si>
    <t>207940 KS Equity</t>
  </si>
  <si>
    <t>2025C1 CF (207940 KS)</t>
  </si>
  <si>
    <t>Samsung Biologics Co Ltd</t>
  </si>
  <si>
    <t>4743 TT Equity</t>
  </si>
  <si>
    <t>2025C3 CF (4743 TT)</t>
  </si>
  <si>
    <t>Oneness Biotech Co Ltd</t>
  </si>
  <si>
    <t>6562 TT Equity</t>
  </si>
  <si>
    <t>2024A CF (6562 TT)</t>
  </si>
  <si>
    <t>UBI Pharma Inc</t>
  </si>
  <si>
    <t>ALCLS FP Equity</t>
  </si>
  <si>
    <t>2024A CF (ALCLS FP)</t>
  </si>
  <si>
    <t>Cellectis SA</t>
  </si>
  <si>
    <t>Company News (LNWO US)</t>
  </si>
  <si>
    <t>Entain PLC</t>
  </si>
  <si>
    <t>RGB MK Equity</t>
  </si>
  <si>
    <t>2024A CF (RGB MK)</t>
  </si>
  <si>
    <t>RGB International Bhd</t>
  </si>
  <si>
    <t>LOTO PM Equity</t>
  </si>
  <si>
    <t>2024A CF (LOTO PM)</t>
  </si>
  <si>
    <t>Pacific Online Systems Corp</t>
  </si>
  <si>
    <t>GMR LN Equity</t>
  </si>
  <si>
    <t>2024A CF (GMR LN)</t>
  </si>
  <si>
    <t>Gaming Realms PLC</t>
  </si>
  <si>
    <t>DKNG US Equity</t>
  </si>
  <si>
    <t>2025A CF (DKNG US)</t>
  </si>
  <si>
    <t>DraftKings Inc</t>
  </si>
  <si>
    <t>2022Q1 CF (AUTO US)</t>
  </si>
  <si>
    <t>Urban Science Applications Inc</t>
  </si>
  <si>
    <t>0273304D US Equity</t>
  </si>
  <si>
    <t>2021A CF (AUTO US)</t>
  </si>
  <si>
    <t>Sanctus LLC</t>
  </si>
  <si>
    <t>0441014D US Equity</t>
  </si>
  <si>
    <t>AutoData Solutions Inc</t>
  </si>
  <si>
    <t>4324 JP Equity</t>
  </si>
  <si>
    <t>Dentsu Group Inc</t>
  </si>
  <si>
    <t>Estimate (DE US)</t>
  </si>
  <si>
    <t>Deere &amp; Co</t>
  </si>
  <si>
    <t>2021A CF (102460 KS)</t>
  </si>
  <si>
    <t>Reyon Pharmaceutical Co Ltd</t>
  </si>
  <si>
    <t>1779447D US Equity</t>
  </si>
  <si>
    <t>2022Q1 CF (MNKTQ US)</t>
  </si>
  <si>
    <t>Biomedical Advanced Research &amp; Development Authority</t>
  </si>
  <si>
    <t>2023Q3 CF (MNKTQ US)</t>
  </si>
  <si>
    <t>Company News (FDX US)</t>
  </si>
  <si>
    <t>GNE US Equity</t>
  </si>
  <si>
    <t>2025A CF (IDT US)</t>
  </si>
  <si>
    <t>Genie Energy Ltd</t>
  </si>
  <si>
    <t>RFL US Equity</t>
  </si>
  <si>
    <t>Rafael Holdings Inc</t>
  </si>
  <si>
    <t>SCSC US Equity</t>
  </si>
  <si>
    <t>Estimate (SCSC US)</t>
  </si>
  <si>
    <t>ScanSource Inc</t>
  </si>
  <si>
    <t>0600993D US Equity</t>
  </si>
  <si>
    <t>Company News (IDT US)</t>
  </si>
  <si>
    <t>Bridgepointe Technologies Inc</t>
  </si>
  <si>
    <t>1435497D NA Equity</t>
  </si>
  <si>
    <t>Terra Payment Services Netherlands BV</t>
  </si>
  <si>
    <t>BTB-U CN Equity</t>
  </si>
  <si>
    <t>2023A CF (BTB-U CN)</t>
  </si>
  <si>
    <t>BTB Real Estate Investment Trust</t>
  </si>
  <si>
    <t>7749 JP Equity</t>
  </si>
  <si>
    <t>2025A CF (7749 JP)</t>
  </si>
  <si>
    <t>Medikit Co Ltd</t>
  </si>
  <si>
    <t>2025C3 CF (028300 KS)</t>
  </si>
  <si>
    <t>HLB Inc</t>
  </si>
  <si>
    <t>1378850D IT Equity</t>
  </si>
  <si>
    <t>2021A CF (LCTX US)</t>
  </si>
  <si>
    <t>Cell Cure Neurosciences Ltd</t>
  </si>
  <si>
    <t>1667402D IT Equity</t>
  </si>
  <si>
    <t>Israel Innovation Authority</t>
  </si>
  <si>
    <t>8178289Z US Equity</t>
  </si>
  <si>
    <t>United States Department of Health &amp; Human Services National Institutes of Hlth</t>
  </si>
  <si>
    <t>KPRX US Equity</t>
  </si>
  <si>
    <t>2024A CF (KPRX US)</t>
  </si>
  <si>
    <t>Kiora Pharmaceuticals Inc</t>
  </si>
  <si>
    <t>2023Q4 CF (INVX US)</t>
  </si>
  <si>
    <t>Petroleos Mexicanos</t>
  </si>
  <si>
    <t>2178487D CN Equity</t>
  </si>
  <si>
    <t>2023Q2 CF (INVX US)</t>
  </si>
  <si>
    <t>Strathcona Resources Ltd/Alberta</t>
  </si>
  <si>
    <t>883 HK Equity</t>
  </si>
  <si>
    <t>CNOOC Ltd</t>
  </si>
  <si>
    <t>AEL AU Equity</t>
  </si>
  <si>
    <t>Amplitude Energy Ltd</t>
  </si>
  <si>
    <t>AKSO NO Equity</t>
  </si>
  <si>
    <t>2023A CF (INVX US)</t>
  </si>
  <si>
    <t>Aker Solutions ASA</t>
  </si>
  <si>
    <t>PLUS US Equity</t>
  </si>
  <si>
    <t>Estimate (PLUS US)</t>
  </si>
  <si>
    <t>ePlus Inc</t>
  </si>
  <si>
    <t>0255710D PL Equity</t>
  </si>
  <si>
    <t>Company News (UIS US)</t>
  </si>
  <si>
    <t>Vision Box-Solucoes de Visao Por Computador SA</t>
  </si>
  <si>
    <t>6148 TT Equity</t>
  </si>
  <si>
    <t>2024A CF (6148 TT)</t>
  </si>
  <si>
    <t>Azion Corp</t>
  </si>
  <si>
    <t>8056 JP Equity</t>
  </si>
  <si>
    <t>2025A CF (8056 JP)</t>
  </si>
  <si>
    <t>BIPROGY Inc</t>
  </si>
  <si>
    <t>CG US Equity</t>
  </si>
  <si>
    <t>Carlyle Group Inc/The</t>
  </si>
  <si>
    <t>Avnet Inc</t>
  </si>
  <si>
    <t>005380 KS Equity</t>
  </si>
  <si>
    <t>Hyundai Motor Co</t>
  </si>
  <si>
    <t>3036 TT Equity</t>
  </si>
  <si>
    <t>WT Microelectronics Co Ltd</t>
  </si>
  <si>
    <t>BLIN US Equity</t>
  </si>
  <si>
    <t>Company News (BLIN US)</t>
  </si>
  <si>
    <t>Bridgeline Digital Inc</t>
  </si>
  <si>
    <t>CMS US Equity</t>
  </si>
  <si>
    <t>2021A CF (CMS US)</t>
  </si>
  <si>
    <t>CMS Energy Corp</t>
  </si>
  <si>
    <t>2023A CF (SEELQ US)</t>
  </si>
  <si>
    <t>Regents of the University of California/The</t>
  </si>
  <si>
    <t>7234Z US Equity</t>
  </si>
  <si>
    <t>Duke University</t>
  </si>
  <si>
    <t>IXBIO SP Equity</t>
  </si>
  <si>
    <t>2022A CF (SEELQ US)</t>
  </si>
  <si>
    <t>iX Biopharma Ltd</t>
  </si>
  <si>
    <t>2025Q3 CF (D-U CN)</t>
  </si>
  <si>
    <t>Dream Office Real Estate Investment Trust</t>
  </si>
  <si>
    <t>MINDSPCE IN Equity</t>
  </si>
  <si>
    <t>2026Q1 CF (MINDSPCE IN)</t>
  </si>
  <si>
    <t>Mindspace Business Parks REIT</t>
  </si>
  <si>
    <t>1799784D US Equity</t>
  </si>
  <si>
    <t>Boosted.ai</t>
  </si>
  <si>
    <t>EVRG US Equity</t>
  </si>
  <si>
    <t>2021A CF (EVRG US)</t>
  </si>
  <si>
    <t>Evergy Inc</t>
  </si>
  <si>
    <t>1896544D GR Equity</t>
  </si>
  <si>
    <t>Regnology Germany GmbH</t>
  </si>
  <si>
    <t>2025A CF (CSCO US)</t>
  </si>
  <si>
    <t>2022A CF (CREI LN)</t>
  </si>
  <si>
    <t>Custodian Property Income Reit PLC</t>
  </si>
  <si>
    <t>LITE US Equity</t>
  </si>
  <si>
    <t>2022A CF (LITE US)</t>
  </si>
  <si>
    <t>Lumentum Holdings Inc</t>
  </si>
  <si>
    <t>2023A CF (FCPT US)</t>
  </si>
  <si>
    <t>Four Corners Property Trust Inc</t>
  </si>
  <si>
    <t>IDXX US Equity</t>
  </si>
  <si>
    <t>2024A CF (IDXX US)</t>
  </si>
  <si>
    <t>IDEXX Laboratories Inc</t>
  </si>
  <si>
    <t>IDW Media Holdings Inc</t>
  </si>
  <si>
    <t>036540 KS Equity</t>
  </si>
  <si>
    <t>Estimate (036540 KS)</t>
  </si>
  <si>
    <t>SFA Semicon Co Ltd</t>
  </si>
  <si>
    <t>ZDGE US Equity</t>
  </si>
  <si>
    <t>Zedge Inc</t>
  </si>
  <si>
    <t>IQST US Equity</t>
  </si>
  <si>
    <t>2024A CF (IQST US)</t>
  </si>
  <si>
    <t>iQSTEL Inc</t>
  </si>
  <si>
    <t>Company News (UAA US)</t>
  </si>
  <si>
    <t>Under Armour Inc</t>
  </si>
  <si>
    <t>ED US Equity</t>
  </si>
  <si>
    <t>2021A CF (ED US)</t>
  </si>
  <si>
    <t>Consolidated Edison Inc</t>
  </si>
  <si>
    <t>POR US Equity</t>
  </si>
  <si>
    <t>2021A CF (POR US)</t>
  </si>
  <si>
    <t>Portland General Electric Co</t>
  </si>
  <si>
    <t>PPL US Equity</t>
  </si>
  <si>
    <t>2021A CF (PPL US)</t>
  </si>
  <si>
    <t>PPL Corp</t>
  </si>
  <si>
    <t>Estimate (CAP FP)</t>
  </si>
  <si>
    <t>Capgemini SE</t>
  </si>
  <si>
    <t>0180830Z US Equity</t>
  </si>
  <si>
    <t>Source Health Care Analytics Inc</t>
  </si>
  <si>
    <t>0877599D US Equity</t>
  </si>
  <si>
    <t>Senderra RX Partners LLC</t>
  </si>
  <si>
    <t>0909700D US Equity</t>
  </si>
  <si>
    <t>Pittsburg Tank &amp; Tower Maintenance Co Inc</t>
  </si>
  <si>
    <t>2505298D US Equity</t>
  </si>
  <si>
    <t>Syneos Health Inc</t>
  </si>
  <si>
    <t>2023A CF (ERNA US)</t>
  </si>
  <si>
    <t>Ernexa Therapeutics Inc</t>
  </si>
  <si>
    <t>GERN US Equity</t>
  </si>
  <si>
    <t>2024A CF (GERN US)</t>
  </si>
  <si>
    <t>Geron Corp</t>
  </si>
  <si>
    <t>Estimate (HAS US)</t>
  </si>
  <si>
    <t>Hasbro Inc</t>
  </si>
  <si>
    <t>TACT US Equity</t>
  </si>
  <si>
    <t>2024A CF (TACT US)</t>
  </si>
  <si>
    <t>TransAct Technologies Inc</t>
  </si>
  <si>
    <t>300383 CH Equity</t>
  </si>
  <si>
    <t>2024A CF (300383 CH)</t>
  </si>
  <si>
    <t>Beijing Sinnet Technology Co Ltd</t>
  </si>
  <si>
    <t>T US Equity</t>
  </si>
  <si>
    <t>2023A CF (LNWO US)</t>
  </si>
  <si>
    <t>AT&amp;T Inc</t>
  </si>
  <si>
    <t>AAPL US Equity</t>
  </si>
  <si>
    <t>2024A CF (LNWO US)</t>
  </si>
  <si>
    <t>Apple Inc</t>
  </si>
  <si>
    <t>AIXA GR Equity</t>
  </si>
  <si>
    <t>Estimate (AIXA GR)</t>
  </si>
  <si>
    <t>AIXTRON SE</t>
  </si>
  <si>
    <t>042700 KS Equity</t>
  </si>
  <si>
    <t>Estimate (042700 KS)</t>
  </si>
  <si>
    <t>Hanmi Semiconductor Co Ltd</t>
  </si>
  <si>
    <t>Company News (VSH US)</t>
  </si>
  <si>
    <t>003026 CH Equity</t>
  </si>
  <si>
    <t>2024A CF (003026 CH)</t>
  </si>
  <si>
    <t>Zhejiang MTCN Technology Co Ltd</t>
  </si>
  <si>
    <t>Company News (2269129D CN)</t>
  </si>
  <si>
    <t>Clariti Cloud Inc</t>
  </si>
  <si>
    <t>CXM US Equity</t>
  </si>
  <si>
    <t>2025Q3 CF (CXM US)</t>
  </si>
  <si>
    <t>Sprinklr Inc</t>
  </si>
  <si>
    <t>2023A CF (DELL US)</t>
  </si>
  <si>
    <t>FRSH US Equity</t>
  </si>
  <si>
    <t>2025Q2 CF (FRSH US)</t>
  </si>
  <si>
    <t>Freshworks Inc</t>
  </si>
  <si>
    <t>FTS CN Equity</t>
  </si>
  <si>
    <t>2021A CF (FTS CN)</t>
  </si>
  <si>
    <t>Fortis Inc/Canada</t>
  </si>
  <si>
    <t>OGE US Equity</t>
  </si>
  <si>
    <t>2021A CF (OGE US)</t>
  </si>
  <si>
    <t>OGE Energy Corp</t>
  </si>
  <si>
    <t>SRE US Equity</t>
  </si>
  <si>
    <t>2021A CF (SRE US)</t>
  </si>
  <si>
    <t>Sempra</t>
  </si>
  <si>
    <t>CCRD US Equity</t>
  </si>
  <si>
    <t>2024A CF (CCRD US)</t>
  </si>
  <si>
    <t>CoreCard Corp</t>
  </si>
  <si>
    <t>PRIME SP Equity</t>
  </si>
  <si>
    <t>2024A CF (PRIME SP)</t>
  </si>
  <si>
    <t>Prime US REIT</t>
  </si>
  <si>
    <t>Estimate (RBBN US)</t>
  </si>
  <si>
    <t>Ribbon Communications Inc</t>
  </si>
  <si>
    <t>IDL FP Equity</t>
  </si>
  <si>
    <t>Estimate (IDL FP)</t>
  </si>
  <si>
    <t>ID Logistics Group SACA</t>
  </si>
  <si>
    <t>2023Q3 CF (SFTGQ US)</t>
  </si>
  <si>
    <t>Dominion Voice &amp; Data Inc</t>
  </si>
  <si>
    <t>ATG US Equity</t>
  </si>
  <si>
    <t>AutoTrader.com Inc</t>
  </si>
  <si>
    <t>CRM US Equity</t>
  </si>
  <si>
    <t>Salesforce Inc</t>
  </si>
  <si>
    <t>2024Q2 CF (VYX US)</t>
  </si>
  <si>
    <t>WK US Equity</t>
  </si>
  <si>
    <t>2025A CF (WK US)</t>
  </si>
  <si>
    <t>Workiva Inc</t>
  </si>
  <si>
    <t>Estimate (TSCO LN)</t>
  </si>
  <si>
    <t>Tesco PLC</t>
  </si>
  <si>
    <t>Estimate (CNXN US)</t>
  </si>
  <si>
    <t>0110321D US Equity</t>
  </si>
  <si>
    <t>2023Q1 CF (PRGS US)</t>
  </si>
  <si>
    <t>Discount Tire Co Inc</t>
  </si>
  <si>
    <t>2024A CF (002284 CH)</t>
  </si>
  <si>
    <t>Zhejiang Asia-Pacific Mechanical &amp; Electronic Co Ltd</t>
  </si>
  <si>
    <t>002292 CH Equity</t>
  </si>
  <si>
    <t>2025S1 CF (002292 CH)</t>
  </si>
  <si>
    <t>Alpha Group</t>
  </si>
  <si>
    <t>0613968D US Equity</t>
  </si>
  <si>
    <t>2024Q2 CF (0613968D US)</t>
  </si>
  <si>
    <t>Zachry Holdings Inc</t>
  </si>
  <si>
    <t>1513 TT Equity</t>
  </si>
  <si>
    <t>2024A CF (1513 TT)</t>
  </si>
  <si>
    <t>Chung-Hsin Electric &amp; Machinery Manufacturing Corp</t>
  </si>
  <si>
    <t>2734 TT Equity</t>
  </si>
  <si>
    <t>2022A CF (2734 TT)</t>
  </si>
  <si>
    <t>Ezfly International Travel Agent Co Ltd</t>
  </si>
  <si>
    <t>0170016D US Equity</t>
  </si>
  <si>
    <t>Company News (0170016D US)</t>
  </si>
  <si>
    <t>Stripe LLC</t>
  </si>
  <si>
    <t>BNFT US Equity</t>
  </si>
  <si>
    <t>2021A CF (BNFT US)</t>
  </si>
  <si>
    <t>Benefitfocus Inc</t>
  </si>
  <si>
    <t>2024Q1 CF (SCSC US)</t>
  </si>
  <si>
    <t>STOME1 US Equity</t>
  </si>
  <si>
    <t>Company News (CNSL US)</t>
  </si>
  <si>
    <t>State of Maine</t>
  </si>
  <si>
    <t>Company News (066570 KS)</t>
  </si>
  <si>
    <t>LG Electronics Inc</t>
  </si>
  <si>
    <t>2450 TT Equity</t>
  </si>
  <si>
    <t>2022C3 CF (2450 TT)</t>
  </si>
  <si>
    <t>Senao International Co Ltd</t>
  </si>
  <si>
    <t>2585 JP Equity</t>
  </si>
  <si>
    <t>2026Q2 CF (2585 JP)</t>
  </si>
  <si>
    <t>Lifedrink Co Inc</t>
  </si>
  <si>
    <t>300729 CH Equity</t>
  </si>
  <si>
    <t>2024A CF (300729 CH)</t>
  </si>
  <si>
    <t>Loctek Ergonomic Technology Corp</t>
  </si>
  <si>
    <t>5410 TT Equity</t>
  </si>
  <si>
    <t>2024A CF (5410 TT)</t>
  </si>
  <si>
    <t>Leo Systems Inc</t>
  </si>
  <si>
    <t>2021A CF (RIBT US)</t>
  </si>
  <si>
    <t>AIDP Inc</t>
  </si>
  <si>
    <t>Company News (CERN US)</t>
  </si>
  <si>
    <t>Modoc Medical Center</t>
  </si>
  <si>
    <t>0612785D US Equity</t>
  </si>
  <si>
    <t>St Mary's Medical Center Inc/Huntington WV</t>
  </si>
  <si>
    <t>0704734D US Equity</t>
  </si>
  <si>
    <t>Wills Eye Hospital</t>
  </si>
  <si>
    <t>127159MF US Equity</t>
  </si>
  <si>
    <t>Madison Valley Medical Center</t>
  </si>
  <si>
    <t>50795MF US Equity</t>
  </si>
  <si>
    <t>Mayers Memorial Hospital District</t>
  </si>
  <si>
    <t>0006311D US Equity</t>
  </si>
  <si>
    <t>2022A CF (LGTY US)</t>
  </si>
  <si>
    <t>American Hotel Register Co</t>
  </si>
  <si>
    <t>0008058D US Equity</t>
  </si>
  <si>
    <t>2024A CF (LGTY US)</t>
  </si>
  <si>
    <t>Kelly-Moore Paint Co Inc</t>
  </si>
  <si>
    <t>0047459D US Equity</t>
  </si>
  <si>
    <t>2023A CF (LGTY US)</t>
  </si>
  <si>
    <t>Town &amp; Country Linen Corp</t>
  </si>
  <si>
    <t>2021A CF (3611 TT)</t>
  </si>
  <si>
    <t>TSC Auto ID Technology Co Ltd</t>
  </si>
  <si>
    <t>7646347Z US Equity</t>
  </si>
  <si>
    <t>Company News (7646347Z US)</t>
  </si>
  <si>
    <t>Advarra Inc</t>
  </si>
  <si>
    <t>BAR BB Equity</t>
  </si>
  <si>
    <t>2022Q1 CF (BAR BB)</t>
  </si>
  <si>
    <t>Barco NV</t>
  </si>
  <si>
    <t>EMBASSY IN Equity</t>
  </si>
  <si>
    <t>2022A CF (EMBASSY IN)</t>
  </si>
  <si>
    <t>Embassy Office Parks REIT</t>
  </si>
  <si>
    <t>Company News (HIND US)</t>
  </si>
  <si>
    <t>Motion Informatics Ltd</t>
  </si>
  <si>
    <t>DY US Equity</t>
  </si>
  <si>
    <t>Estimate (DY US)</t>
  </si>
  <si>
    <t>Dycom Industries Inc</t>
  </si>
  <si>
    <t>JNPR US Equity</t>
  </si>
  <si>
    <t>Estimate (JNPR US)</t>
  </si>
  <si>
    <t>Juniper Networks Inc</t>
  </si>
  <si>
    <t>CIEN US Equity</t>
  </si>
  <si>
    <t>Estimate (CIEN US)</t>
  </si>
  <si>
    <t>Ciena Corp</t>
  </si>
  <si>
    <t>2353 TT Equity</t>
  </si>
  <si>
    <t>Estimate (2353 TT)</t>
  </si>
  <si>
    <t>Acer Inc</t>
  </si>
  <si>
    <t>1115L US Equity</t>
  </si>
  <si>
    <t>Latham &amp; Watkins LLP</t>
  </si>
  <si>
    <t>2025A CF (DDOG US)</t>
  </si>
  <si>
    <t>Datadog Inc</t>
  </si>
  <si>
    <t>FROG US Equity</t>
  </si>
  <si>
    <t>2025A CF (FROG US)</t>
  </si>
  <si>
    <t>JFrog Ltd</t>
  </si>
  <si>
    <t>NG/ LN Equity</t>
  </si>
  <si>
    <t>2021A CF (NG/ LN)</t>
  </si>
  <si>
    <t>National Grid PLC</t>
  </si>
  <si>
    <t>QLYS US Equity</t>
  </si>
  <si>
    <t>2022Q3 CF (QLYS US)</t>
  </si>
  <si>
    <t>Qualys Inc</t>
  </si>
  <si>
    <t>UTL US Equity</t>
  </si>
  <si>
    <t>2021A CF (UTL US)</t>
  </si>
  <si>
    <t>Unitil Corp</t>
  </si>
  <si>
    <t>2025S1 CF (000676 CH)</t>
  </si>
  <si>
    <t>Genimous Technology Co Ltd</t>
  </si>
  <si>
    <t>079940 KS Equity</t>
  </si>
  <si>
    <t>2023C2 CF (079940 KS)</t>
  </si>
  <si>
    <t>Gabia Inc</t>
  </si>
  <si>
    <t>123570 KS Equity</t>
  </si>
  <si>
    <t>2021A CF (123570 KS)</t>
  </si>
  <si>
    <t>Emnet Inc</t>
  </si>
  <si>
    <t>1737 TT Equity</t>
  </si>
  <si>
    <t>2024A CF (1737 TT)</t>
  </si>
  <si>
    <t>Taiyen Biotech Co Ltd</t>
  </si>
  <si>
    <t>1993450D US Equity</t>
  </si>
  <si>
    <t>2022A CF (1993450D US)</t>
  </si>
  <si>
    <t>Sportradar Holding AG</t>
  </si>
  <si>
    <t>EGP US Equity</t>
  </si>
  <si>
    <t>2024A CF (EGP US)</t>
  </si>
  <si>
    <t>EastGroup Properties Inc</t>
  </si>
  <si>
    <t>600693 CH Equity</t>
  </si>
  <si>
    <t>2024A CF (600693 CH)</t>
  </si>
  <si>
    <t>Fujian Dongbai Group Co Ltd</t>
  </si>
  <si>
    <t>BE US Equity</t>
  </si>
  <si>
    <t>Estimate (BE US)</t>
  </si>
  <si>
    <t>Bloom Energy Corp</t>
  </si>
  <si>
    <t>ULTP LN Equity</t>
  </si>
  <si>
    <t>Estimate (ULTP LN)</t>
  </si>
  <si>
    <t>Ultimate Products PLC</t>
  </si>
  <si>
    <t>2024C3 CF (003490 KS)</t>
  </si>
  <si>
    <t>Korean Air Lines Co Ltd</t>
  </si>
  <si>
    <t>2025Q3 CF (MUST SP)</t>
  </si>
  <si>
    <t>Estimate (SECIS IN)</t>
  </si>
  <si>
    <t>SIS Ltd</t>
  </si>
  <si>
    <t>BLND LN Equity</t>
  </si>
  <si>
    <t>2026S1 CF (BLND LN)</t>
  </si>
  <si>
    <t>British Land Co PLC/The</t>
  </si>
  <si>
    <t>1817873D US Equity</t>
  </si>
  <si>
    <t>Company News (JLL US)</t>
  </si>
  <si>
    <t>Open Space Labs Inc</t>
  </si>
  <si>
    <t>1972 HK Equity</t>
  </si>
  <si>
    <t>2023A CF (1972 HK)</t>
  </si>
  <si>
    <t>Swire Properties Ltd</t>
  </si>
  <si>
    <t>405 HK Equity</t>
  </si>
  <si>
    <t>2024A CF (405 HK)</t>
  </si>
  <si>
    <t>Yuexiu Real Estate Investment Trust</t>
  </si>
  <si>
    <t>2022A CF (OGEN US)</t>
  </si>
  <si>
    <t>Oragenics Inc</t>
  </si>
  <si>
    <t>TCRT US Equity</t>
  </si>
  <si>
    <t>2024A CF (TCRT US)</t>
  </si>
  <si>
    <t>Alaunos Therapeutics Inc</t>
  </si>
  <si>
    <t>Estimate (ALB US)</t>
  </si>
  <si>
    <t>Umicore SA</t>
  </si>
  <si>
    <t>VOW GR Equity</t>
  </si>
  <si>
    <t>Volkswagen AG</t>
  </si>
  <si>
    <t>F US Equity</t>
  </si>
  <si>
    <t>Ford Motor Co</t>
  </si>
  <si>
    <t>BMW GR Equity</t>
  </si>
  <si>
    <t>Bayerische Motoren Werke AG</t>
  </si>
  <si>
    <t>2023A CF (002221 CH)</t>
  </si>
  <si>
    <t>Oriental Energy Co Ltd</t>
  </si>
  <si>
    <t>688625 CH Equity</t>
  </si>
  <si>
    <t>2025S1 CF (688625 CH)</t>
  </si>
  <si>
    <t>GCH Technology Co Ltd</t>
  </si>
  <si>
    <t>857 HK Equity</t>
  </si>
  <si>
    <t>Company News (857 HK)</t>
  </si>
  <si>
    <t>PetroChina Co Ltd</t>
  </si>
  <si>
    <t>BRKM5 BZ Equity</t>
  </si>
  <si>
    <t>2022A CF (BRKM5 BZ)</t>
  </si>
  <si>
    <t>Braskem SA</t>
  </si>
  <si>
    <t>BSR VN Equity</t>
  </si>
  <si>
    <t>2024C1 CF (BSR VN)</t>
  </si>
  <si>
    <t>Binh Son Refining and Petrochemical JSC</t>
  </si>
  <si>
    <t>2024A CF (ALE PW)</t>
  </si>
  <si>
    <t>Allegro.eu SA</t>
  </si>
  <si>
    <t>0208044D US Equity</t>
  </si>
  <si>
    <t>Company News (FISV US)</t>
  </si>
  <si>
    <t>Inspire Brands Inc</t>
  </si>
  <si>
    <t>0226331D US Equity</t>
  </si>
  <si>
    <t>2023Q3 CF (FISV US)</t>
  </si>
  <si>
    <t>Clearing House Payments Co LLC/The</t>
  </si>
  <si>
    <t>0323050Z US Equity</t>
  </si>
  <si>
    <t>DFCU Financial Group LLC</t>
  </si>
  <si>
    <t>0325098Z US Equity</t>
  </si>
  <si>
    <t>Golden 1 Credit Union/The</t>
  </si>
  <si>
    <t>ACI US Equity</t>
  </si>
  <si>
    <t>Company News (ACI US)</t>
  </si>
  <si>
    <t>Albertsons Cos Inc</t>
  </si>
  <si>
    <t>GROM US Equity</t>
  </si>
  <si>
    <t>Company News (GROM US)</t>
  </si>
  <si>
    <t>Grom Social Enterprises Inc</t>
  </si>
  <si>
    <t>MAPI IJ Equity</t>
  </si>
  <si>
    <t>2023A CF (MAPI IJ)</t>
  </si>
  <si>
    <t>Mitra Adiperkasa Tbk PT</t>
  </si>
  <si>
    <t>Company News (ENGI FP)</t>
  </si>
  <si>
    <t>Engie SA</t>
  </si>
  <si>
    <t>2023A CF (AMCX US)</t>
  </si>
  <si>
    <t>LG Corp</t>
  </si>
  <si>
    <t>2024A CF (AMCX US)</t>
  </si>
  <si>
    <t>1288633D US Equity</t>
  </si>
  <si>
    <t>Philo Inc</t>
  </si>
  <si>
    <t>1994174Z LN Equity</t>
  </si>
  <si>
    <t>Company News (AMCX US)</t>
  </si>
  <si>
    <t>BBC Ventures Group Ltd</t>
  </si>
  <si>
    <t>2352211D SM Equity</t>
  </si>
  <si>
    <t>Rakuten TV Europe SL</t>
  </si>
  <si>
    <t>Company News (3147564Z US)</t>
  </si>
  <si>
    <t>Equilar Inc</t>
  </si>
  <si>
    <t>ALK US Equity</t>
  </si>
  <si>
    <t>2025A CF (ALK US)</t>
  </si>
  <si>
    <t>Alaska Air Group Inc</t>
  </si>
  <si>
    <t>FMCC US Equity</t>
  </si>
  <si>
    <t>Company News (FMCC US)</t>
  </si>
  <si>
    <t>Federal Home Loan Mortgage Corp</t>
  </si>
  <si>
    <t>LUDG US Equity</t>
  </si>
  <si>
    <t>Company News (LUDG US)</t>
  </si>
  <si>
    <t>Ludwig Enterprises Inc</t>
  </si>
  <si>
    <t>2021A CF (USEG US)</t>
  </si>
  <si>
    <t>CML Exploration LLC</t>
  </si>
  <si>
    <t>9889456Z US Equity</t>
  </si>
  <si>
    <t>Zavanna LLC</t>
  </si>
  <si>
    <t>2023Q2 CF (PII US)</t>
  </si>
  <si>
    <t>1732514D US Equity</t>
  </si>
  <si>
    <t>BPS Direct LLC</t>
  </si>
  <si>
    <t>600166 CH Equity</t>
  </si>
  <si>
    <t>2023S1 CF (600166 CH)</t>
  </si>
  <si>
    <t>BAIC Foton Motor Co Ltd</t>
  </si>
  <si>
    <t>2025A CF (BGS US)</t>
  </si>
  <si>
    <t>B&amp;G Foods Inc</t>
  </si>
  <si>
    <t>Company News (AIV US)</t>
  </si>
  <si>
    <t>Harbor Group International LLC</t>
  </si>
  <si>
    <t>2022A CF (SNS AU)</t>
  </si>
  <si>
    <t>SenSen Networks Ltd</t>
  </si>
  <si>
    <t>2024A CF (BHC CN)</t>
  </si>
  <si>
    <t>Estimate (AD NA)</t>
  </si>
  <si>
    <t>300015 CH Equity</t>
  </si>
  <si>
    <t>2024A CF (300015 CH)</t>
  </si>
  <si>
    <t>Aier Eye Hospital Group Co Ltd</t>
  </si>
  <si>
    <t>1730532D US Equity</t>
  </si>
  <si>
    <t>2025Q2 CF (1730532D US)</t>
  </si>
  <si>
    <t>Runitonetime LLC</t>
  </si>
  <si>
    <t>7533852Z CN Equity</t>
  </si>
  <si>
    <t>Company News (EVRI US)</t>
  </si>
  <si>
    <t>British Columbia Lottery Corp</t>
  </si>
  <si>
    <t>APO US Equity</t>
  </si>
  <si>
    <t>Apollo Global Management Inc</t>
  </si>
  <si>
    <t>CHDN US Equity</t>
  </si>
  <si>
    <t>Churchill Downs Inc</t>
  </si>
  <si>
    <t>Light &amp; Wonder Inc</t>
  </si>
  <si>
    <t>2022Q3 CF (ENDPQ US)</t>
  </si>
  <si>
    <t>Endo International PLC</t>
  </si>
  <si>
    <t>Company News (9474176Q US)</t>
  </si>
  <si>
    <t>2024A CF (KODK US)</t>
  </si>
  <si>
    <t>Kodak Alaris Inc</t>
  </si>
  <si>
    <t>2022A CF (002353 CH)</t>
  </si>
  <si>
    <t>Yantai Jereh Oilfield Services Group Co Ltd</t>
  </si>
  <si>
    <t>1761837D US Equity</t>
  </si>
  <si>
    <t>Company News (MGLD US)</t>
  </si>
  <si>
    <t>Incode Technologies Inc</t>
  </si>
  <si>
    <t>1876642D US Equity</t>
  </si>
  <si>
    <t>SardineAI Corp</t>
  </si>
  <si>
    <t>2025A CF (000063 CH)</t>
  </si>
  <si>
    <t>3747 JP Equity</t>
  </si>
  <si>
    <t>2026A CF (3747 JP)</t>
  </si>
  <si>
    <t>Intertrade Co Ltd</t>
  </si>
  <si>
    <t>2026Q2 CF (EMBASSY IN)</t>
  </si>
  <si>
    <t>INW IM Equity</t>
  </si>
  <si>
    <t>2025Q3 CF (INW IM)</t>
  </si>
  <si>
    <t>Infrastrutture Wireless Italiane SpA</t>
  </si>
  <si>
    <t>2023A CF (MUST SP)</t>
  </si>
  <si>
    <t>9506 JP Equity</t>
  </si>
  <si>
    <t>2022A CF (9506 JP)</t>
  </si>
  <si>
    <t>Tohoku Electric Power Co Inc</t>
  </si>
  <si>
    <t>PDM US Equity</t>
  </si>
  <si>
    <t>2024A CF (PDM US)</t>
  </si>
  <si>
    <t>Piedmont Realty Trust Inc</t>
  </si>
  <si>
    <t>PLTR US Equity</t>
  </si>
  <si>
    <t>Estimate (PLTR US)</t>
  </si>
  <si>
    <t>Palantir Technologies Inc</t>
  </si>
  <si>
    <t>2022C1 CF (004800 KS)</t>
  </si>
  <si>
    <t>0899303D US Equity</t>
  </si>
  <si>
    <t>2025Q2 CF (FISV US)</t>
  </si>
  <si>
    <t>Paxos Trust Co LLC</t>
  </si>
  <si>
    <t>Company News (PFSW US)</t>
  </si>
  <si>
    <t>TREAS United States Mint</t>
  </si>
  <si>
    <t>1431978Z LN Equity</t>
  </si>
  <si>
    <t>2022A CF (PFSW US)</t>
  </si>
  <si>
    <t>All England Lawn Tennis Club Wimbledon Ltd/The</t>
  </si>
  <si>
    <t>1620169D US Equity</t>
  </si>
  <si>
    <t>Kosas Cosmetics LLC</t>
  </si>
  <si>
    <t>2023844D US Equity</t>
  </si>
  <si>
    <t>Thrive Causemetics Inc</t>
  </si>
  <si>
    <t>2024A CF (002466 CH)</t>
  </si>
  <si>
    <t>Tianqi Lithium Corp</t>
  </si>
  <si>
    <t>APOT JR Equity</t>
  </si>
  <si>
    <t>2024A CF (APOT JR)</t>
  </si>
  <si>
    <t>Arab Potash/The</t>
  </si>
  <si>
    <t>HIW US Equity</t>
  </si>
  <si>
    <t>2025A CF (HIW US)</t>
  </si>
  <si>
    <t>Highwoods Properties Inc</t>
  </si>
  <si>
    <t>ECVT US Equity</t>
  </si>
  <si>
    <t>Estimate (ECVT US)</t>
  </si>
  <si>
    <t>Ecovyst Inc</t>
  </si>
  <si>
    <t>SO US Equity</t>
  </si>
  <si>
    <t>2021A CF (SO US)</t>
  </si>
  <si>
    <t>Southern Co/The</t>
  </si>
  <si>
    <t>Morgan Stanley</t>
  </si>
  <si>
    <t>TXNM US Equity</t>
  </si>
  <si>
    <t>2021A CF (TXNM US)</t>
  </si>
  <si>
    <t>TXNM Energy Inc</t>
  </si>
  <si>
    <t>2024A CF (300703 CH)</t>
  </si>
  <si>
    <t>Cre8 Direct Ningbo Co Ltd</t>
  </si>
  <si>
    <t>Bluefin Payment Systems LLC</t>
  </si>
  <si>
    <t>8247120Z US Equity</t>
  </si>
  <si>
    <t>Prove Identity Inc</t>
  </si>
  <si>
    <t>NXQ LN Equity</t>
  </si>
  <si>
    <t>2023A CF (NXQ LN)</t>
  </si>
  <si>
    <t>Nexteq PLC</t>
  </si>
  <si>
    <t>WFC US Equity</t>
  </si>
  <si>
    <t>2022A CF (EVRI US)</t>
  </si>
  <si>
    <t>Wells Fargo &amp; Co</t>
  </si>
  <si>
    <t>Company News (66283080 IT)</t>
  </si>
  <si>
    <t>Hi Auto Ltd</t>
  </si>
  <si>
    <t>2023Q2 CF (ECL US)</t>
  </si>
  <si>
    <t>Ecolab Inc</t>
  </si>
  <si>
    <t>LW US Equity</t>
  </si>
  <si>
    <t>Company News (LW US)</t>
  </si>
  <si>
    <t>Lamb Weston Holdings Inc</t>
  </si>
  <si>
    <t>MFON US Equity</t>
  </si>
  <si>
    <t>2024A CF (MFON US)</t>
  </si>
  <si>
    <t>Mobivity Holdings Corp</t>
  </si>
  <si>
    <t>Company News (1764510D US)</t>
  </si>
  <si>
    <t>Snapdocs Inc</t>
  </si>
  <si>
    <t>Estimate (LCII US)</t>
  </si>
  <si>
    <t>BRE IM Equity</t>
  </si>
  <si>
    <t>Estimate (BRE IM)</t>
  </si>
  <si>
    <t>Brembo NV</t>
  </si>
  <si>
    <t>5288 TT Equity</t>
  </si>
  <si>
    <t>2025C3 CF (5288 TT)</t>
  </si>
  <si>
    <t>Eurocharm Holdings Co Ltd</t>
  </si>
  <si>
    <t>DAN US Equity</t>
  </si>
  <si>
    <t>Estimate (DAN US)</t>
  </si>
  <si>
    <t>Dana Inc</t>
  </si>
  <si>
    <t>6902 JP Equity</t>
  </si>
  <si>
    <t>Estimate (6902 JP)</t>
  </si>
  <si>
    <t>Denso Corp</t>
  </si>
  <si>
    <t>ATR US Equity</t>
  </si>
  <si>
    <t>Estimate (ATR US)</t>
  </si>
  <si>
    <t>AptarGroup Inc</t>
  </si>
  <si>
    <t>AMCR US Equity</t>
  </si>
  <si>
    <t>Estimate (AMCR US)</t>
  </si>
  <si>
    <t>Amcor PLC</t>
  </si>
  <si>
    <t>4521 JP Equity</t>
  </si>
  <si>
    <t>2025A CF (4521 JP)</t>
  </si>
  <si>
    <t>Kaken Pharmaceutical Co Ltd</t>
  </si>
  <si>
    <t>4536 JP Equity</t>
  </si>
  <si>
    <t>2025A CF (4536 JP)</t>
  </si>
  <si>
    <t>Santen Pharmaceutical Co Ltd</t>
  </si>
  <si>
    <t>FNOVA17 MM Equity</t>
  </si>
  <si>
    <t>2024A CF (FNOVA17 MM)</t>
  </si>
  <si>
    <t>Proyectos Inmobiliarios Carne Mart SA de CV</t>
  </si>
  <si>
    <t>9502 JP Equity</t>
  </si>
  <si>
    <t>2022A CF (9502 JP)</t>
  </si>
  <si>
    <t>Chubu Electric Power Co Inc</t>
  </si>
  <si>
    <t>2024Q1 CF (ADBE US)</t>
  </si>
  <si>
    <t>BXP US Equity</t>
  </si>
  <si>
    <t>2025Q3 CF (BXP US)</t>
  </si>
  <si>
    <t>BXP Inc</t>
  </si>
  <si>
    <t>2024A CF (4534 TT)</t>
  </si>
  <si>
    <t>Trinity Precision Technology Co Ltd</t>
  </si>
  <si>
    <t>6584 TT Equity</t>
  </si>
  <si>
    <t>2024Q2 CF (6584 TT)</t>
  </si>
  <si>
    <t>Nan Juen International Co Ltd</t>
  </si>
  <si>
    <t>2021Q2 CF (TEUM US)</t>
  </si>
  <si>
    <t>Fon Wireless Ltd</t>
  </si>
  <si>
    <t>1023727D US Equity</t>
  </si>
  <si>
    <t>Databricks Inc</t>
  </si>
  <si>
    <t>3039981Z LN Equity</t>
  </si>
  <si>
    <t>Epiq Systems Ltd</t>
  </si>
  <si>
    <t>6752 JP Equity</t>
  </si>
  <si>
    <t>Panasonic Holdings Corp</t>
  </si>
  <si>
    <t>797585Z US Equity</t>
  </si>
  <si>
    <t>Intelsat Inflight LLC</t>
  </si>
  <si>
    <t>6758 JP Equity</t>
  </si>
  <si>
    <t>Estimate (6758 JP)</t>
  </si>
  <si>
    <t>Sony Group Corp</t>
  </si>
  <si>
    <t>VNO US Equity</t>
  </si>
  <si>
    <t>2024A CF (VNO US)</t>
  </si>
  <si>
    <t>Vornado Realty Trust</t>
  </si>
  <si>
    <t>2279065D US Equity</t>
  </si>
  <si>
    <t>Anthem Sports &amp; Entertainment Inc</t>
  </si>
  <si>
    <t>2024A CF (AX-U CN)</t>
  </si>
  <si>
    <t>Artis Real Estate Investment Trust</t>
  </si>
  <si>
    <t>002150 CH Equity</t>
  </si>
  <si>
    <t>2021A CF (002150 CH)</t>
  </si>
  <si>
    <t>Jiangsu Chint Power Technology Co Ltd</t>
  </si>
  <si>
    <t>096640 KS Equity</t>
  </si>
  <si>
    <t>2025C3 CF (096640 KS)</t>
  </si>
  <si>
    <t>Melfas Inc</t>
  </si>
  <si>
    <t>2468 TT Equity</t>
  </si>
  <si>
    <t>2021A CF (2468 TT)</t>
  </si>
  <si>
    <t>Fortune Information Systems Corp/Taiwan</t>
  </si>
  <si>
    <t>2025A CF (LHX US)</t>
  </si>
  <si>
    <t>Estimate (LHX US)</t>
  </si>
  <si>
    <t>Company News (EPAY US)</t>
  </si>
  <si>
    <t>Coupa Software Inc</t>
  </si>
  <si>
    <t>DOV US Equity</t>
  </si>
  <si>
    <t>Company News (DOV US)</t>
  </si>
  <si>
    <t>Dover Corp</t>
  </si>
  <si>
    <t>2026Q3 CF (PLUS US)</t>
  </si>
  <si>
    <t>Company News (NMRK US)</t>
  </si>
  <si>
    <t>Newmark Group Inc</t>
  </si>
  <si>
    <t>2024A CF (GTN US)</t>
  </si>
  <si>
    <t>Gray Media Inc</t>
  </si>
  <si>
    <t>ROKU US Equity</t>
  </si>
  <si>
    <t>Estimate (ROKU US)</t>
  </si>
  <si>
    <t>Roku Inc</t>
  </si>
  <si>
    <t>DLB US Equity</t>
  </si>
  <si>
    <t>Estimate (DLB US)</t>
  </si>
  <si>
    <t>Dolby Laboratories Inc</t>
  </si>
  <si>
    <t>GAM FP Equity</t>
  </si>
  <si>
    <t>2024A CF (GAM FP)</t>
  </si>
  <si>
    <t>Gaumont SA</t>
  </si>
  <si>
    <t>PGRE US Equity</t>
  </si>
  <si>
    <t>2024A CF (PGRE US)</t>
  </si>
  <si>
    <t>Paramount Group Inc</t>
  </si>
  <si>
    <t>Company News (COR US)</t>
  </si>
  <si>
    <t>2023Q1 CF (DCO US)</t>
  </si>
  <si>
    <t>EXC US Equity</t>
  </si>
  <si>
    <t>2021A CF (EXC US)</t>
  </si>
  <si>
    <t>Exelon Corp</t>
  </si>
  <si>
    <t>LNT US Equity</t>
  </si>
  <si>
    <t>2021A CF (LNT US)</t>
  </si>
  <si>
    <t>Alliant Energy Corp</t>
  </si>
  <si>
    <t>MGEE US Equity</t>
  </si>
  <si>
    <t>2021A CF (MGEE US)</t>
  </si>
  <si>
    <t>MGE Energy Inc</t>
  </si>
  <si>
    <t>Estimate (LXS GR)</t>
  </si>
  <si>
    <t>LANXESS AG</t>
  </si>
  <si>
    <t>3097Z US Equity</t>
  </si>
  <si>
    <t>Company News (SLI CN)</t>
  </si>
  <si>
    <t>Koch Industries LLC</t>
  </si>
  <si>
    <t>AAX AU Equity</t>
  </si>
  <si>
    <t>Ausenco Ltd</t>
  </si>
  <si>
    <t>2022A CF (HBIO US)</t>
  </si>
  <si>
    <t>0140739D LN Equity</t>
  </si>
  <si>
    <t>2024A CF (HBIO US)</t>
  </si>
  <si>
    <t>Imperial College London</t>
  </si>
  <si>
    <t>0219834Z US Equity</t>
  </si>
  <si>
    <t>DOD United States Army</t>
  </si>
  <si>
    <t>0424410D US Equity</t>
  </si>
  <si>
    <t>University of Texas at Austin/The</t>
  </si>
  <si>
    <t>0711044D US Equity</t>
  </si>
  <si>
    <t>Stanford University School of Medicine</t>
  </si>
  <si>
    <t>2025C3 CF (950220 KS)</t>
  </si>
  <si>
    <t>NeoImmuneTech Inc</t>
  </si>
  <si>
    <t>0247409Z US Equity</t>
  </si>
  <si>
    <t>Company News (DGX US)</t>
  </si>
  <si>
    <t>HHS Centers for Disease Control &amp; Prevention</t>
  </si>
  <si>
    <t>1511892D US Equity</t>
  </si>
  <si>
    <t>Hound Labs Inc</t>
  </si>
  <si>
    <t>1865581D US Equity</t>
  </si>
  <si>
    <t>Cleveland Diagnostics Inc</t>
  </si>
  <si>
    <t>300244 CH Equity</t>
  </si>
  <si>
    <t>2024A CF (300244 CH)</t>
  </si>
  <si>
    <t>Dian Diagnostics Group Co Ltd</t>
  </si>
  <si>
    <t>3669 TT Equity</t>
  </si>
  <si>
    <t>2023A CF (3669 TT)</t>
  </si>
  <si>
    <t>AVer Information Inc</t>
  </si>
  <si>
    <t>6201 JP Equity</t>
  </si>
  <si>
    <t>Estimate (6201 JP)</t>
  </si>
  <si>
    <t>Toyota Industries Corp</t>
  </si>
  <si>
    <t>1052024D US Equity</t>
  </si>
  <si>
    <t>Health Gorilla Inc</t>
  </si>
  <si>
    <t>2069787D US Equity</t>
  </si>
  <si>
    <t>Company News (2069787D US)</t>
  </si>
  <si>
    <t>Ultima Genomics Inc</t>
  </si>
  <si>
    <t>1401611D US Equity</t>
  </si>
  <si>
    <t>Company News (ZD US)</t>
  </si>
  <si>
    <t>TikTok Inc</t>
  </si>
  <si>
    <t>1502052D US Equity</t>
  </si>
  <si>
    <t>Company News (1502052D US)</t>
  </si>
  <si>
    <t>Qlik Parent Inc</t>
  </si>
  <si>
    <t>BIOGB SS Equity</t>
  </si>
  <si>
    <t>2024A CF (BIOGB SS)</t>
  </si>
  <si>
    <t>BioGaia AB</t>
  </si>
  <si>
    <t>2024A CF (300326 CH)</t>
  </si>
  <si>
    <t>Shanghai Kinetic Medical Co Ltd</t>
  </si>
  <si>
    <t>170900 KS Equity</t>
  </si>
  <si>
    <t>2025C3 CF (170900 KS)</t>
  </si>
  <si>
    <t>Dong-A ST Co Ltd</t>
  </si>
  <si>
    <t>195940 KS Equity</t>
  </si>
  <si>
    <t>2025C3 CF (195940 KS)</t>
  </si>
  <si>
    <t>HK inno N Corp</t>
  </si>
  <si>
    <t>161890 KS Equity</t>
  </si>
  <si>
    <t>2025C3 CF (161890 KS)</t>
  </si>
  <si>
    <t>Kolmar Korea Co Ltd</t>
  </si>
  <si>
    <t>4142 TT Equity</t>
  </si>
  <si>
    <t>2024A CF (4142 TT)</t>
  </si>
  <si>
    <t>Adimmune Corp</t>
  </si>
  <si>
    <t>2024A CF (AYTU US)</t>
  </si>
  <si>
    <t>Cedars-Sinai Medical Center</t>
  </si>
  <si>
    <t>2021A CF (HCMC US)</t>
  </si>
  <si>
    <t>ES US Equity</t>
  </si>
  <si>
    <t>2021A CF (ES US)</t>
  </si>
  <si>
    <t>Eversource Energy</t>
  </si>
  <si>
    <t>IBE SM Equity</t>
  </si>
  <si>
    <t>2021A CF (IBE SM)</t>
  </si>
  <si>
    <t>Iberdrola SA</t>
  </si>
  <si>
    <t>PCG US Equity</t>
  </si>
  <si>
    <t>2021A CF (PCG US)</t>
  </si>
  <si>
    <t>PG&amp;E Corp</t>
  </si>
  <si>
    <t>2023Q1 CF (NICE IT)</t>
  </si>
  <si>
    <t>Nice Ltd</t>
  </si>
  <si>
    <t>2026Q3 CF (ADFL IN)</t>
  </si>
  <si>
    <t>ADF Foods Ltd</t>
  </si>
  <si>
    <t>IMB LN Equity</t>
  </si>
  <si>
    <t>Imperial Brands PLC</t>
  </si>
  <si>
    <t>ANET US Equity</t>
  </si>
  <si>
    <t>2025Q1 CF (ANET US)</t>
  </si>
  <si>
    <t>Arista Networks Inc</t>
  </si>
  <si>
    <t>BRZE US Equity</t>
  </si>
  <si>
    <t>2025Q3 CF (BRZE US)</t>
  </si>
  <si>
    <t>Braze Inc</t>
  </si>
  <si>
    <t>2025Q2 CF (BXP US)</t>
  </si>
  <si>
    <t>2025Q3 CF (CFLT US)</t>
  </si>
  <si>
    <t>DTE GR Equity</t>
  </si>
  <si>
    <t>2024Q3 CF (DTE GR)</t>
  </si>
  <si>
    <t>Deutsche Telekom AG</t>
  </si>
  <si>
    <t>Estimate (HON US)</t>
  </si>
  <si>
    <t>GRMN US Equity</t>
  </si>
  <si>
    <t>Estimate (GRMN US)</t>
  </si>
  <si>
    <t>Garmin Ltd</t>
  </si>
  <si>
    <t>MRCY US Equity</t>
  </si>
  <si>
    <t>Estimate (MRCY US)</t>
  </si>
  <si>
    <t>Mercury Systems Inc</t>
  </si>
  <si>
    <t>Estimate (TDY US)</t>
  </si>
  <si>
    <t>Teledyne Technologies Inc</t>
  </si>
  <si>
    <t>Estimate (300979 CH)</t>
  </si>
  <si>
    <t>Huali Industrial Group Co Ltd</t>
  </si>
  <si>
    <t>Estimate (551 HK)</t>
  </si>
  <si>
    <t>1836 HK Equity</t>
  </si>
  <si>
    <t>Estimate (1836 HK)</t>
  </si>
  <si>
    <t>Stella International Holdings Ltd</t>
  </si>
  <si>
    <t>JRSH US Equity</t>
  </si>
  <si>
    <t>2026Q3 CF (JRSH US)</t>
  </si>
  <si>
    <t>Jerash Holdings US Inc</t>
  </si>
  <si>
    <t>2025A CF (7702 JP)</t>
  </si>
  <si>
    <t>JMS Co Ltd</t>
  </si>
  <si>
    <t>D US Equity</t>
  </si>
  <si>
    <t>2021A CF (D US)</t>
  </si>
  <si>
    <t>Dominion Energy Inc</t>
  </si>
  <si>
    <t>2025A CF (REG US)</t>
  </si>
  <si>
    <t>Regency Centers Corp</t>
  </si>
  <si>
    <t>URW FP Equity</t>
  </si>
  <si>
    <t>2021A CF (URW FP)</t>
  </si>
  <si>
    <t>Unibail-Rodamco-Westfield</t>
  </si>
  <si>
    <t>VICI US Equity</t>
  </si>
  <si>
    <t>2024A CF (VICI US)</t>
  </si>
  <si>
    <t>VICI Properties Inc</t>
  </si>
  <si>
    <t>2025Q2 CF (RIGL US)</t>
  </si>
  <si>
    <t>Rigel Pharmaceuticals Inc</t>
  </si>
  <si>
    <t>INCY US Equity</t>
  </si>
  <si>
    <t>2025A CF (INCY US)</t>
  </si>
  <si>
    <t>Incyte Corp</t>
  </si>
  <si>
    <t>13 HK Equity</t>
  </si>
  <si>
    <t>2024A CF (13 HK)</t>
  </si>
  <si>
    <t>HUTCHMED China Ltd</t>
  </si>
  <si>
    <t>CRL US Equity</t>
  </si>
  <si>
    <t>Estimate (CRL US)</t>
  </si>
  <si>
    <t>Charles River Laboratories International Inc</t>
  </si>
  <si>
    <t>Company News (QTWO US)</t>
  </si>
  <si>
    <t>Q2 Holdings Inc</t>
  </si>
  <si>
    <t>2022A CF (SGREIT SP)</t>
  </si>
  <si>
    <t>Starhill Global REIT</t>
  </si>
  <si>
    <t>2024A CF (PRV-U CN)</t>
  </si>
  <si>
    <t>PRO Real Estate Investment Trust</t>
  </si>
  <si>
    <t>ADV GR Equity</t>
  </si>
  <si>
    <t>Estimate (ADV GR)</t>
  </si>
  <si>
    <t>Adtran Networks SE</t>
  </si>
  <si>
    <t>2066750D BB Equity</t>
  </si>
  <si>
    <t>Company News (RBBN US)</t>
  </si>
  <si>
    <t>Destilink BV</t>
  </si>
  <si>
    <t>688205 CH Equity</t>
  </si>
  <si>
    <t>2025S1 CF (688205 CH)</t>
  </si>
  <si>
    <t>Wuxi Taclink Optoelectronics Technology Co Ltd</t>
  </si>
  <si>
    <t>2024A CF (EYPT US)</t>
  </si>
  <si>
    <t>EyePoint Inc</t>
  </si>
  <si>
    <t>4581 JP Equity</t>
  </si>
  <si>
    <t>2023A CF (ANIP US)</t>
  </si>
  <si>
    <t>Taisho Pharmaceutical Holdings Co Ltd</t>
  </si>
  <si>
    <t>2024A CF (ANIP US)</t>
  </si>
  <si>
    <t>CPH CN Equity</t>
  </si>
  <si>
    <t>2025Q3 CF (CPH CN)</t>
  </si>
  <si>
    <t>Cipher Pharmaceuticals Inc</t>
  </si>
  <si>
    <t>NOVN SW Equity</t>
  </si>
  <si>
    <t>Novartis AG</t>
  </si>
  <si>
    <t>2024A CF (KIM US)</t>
  </si>
  <si>
    <t>Kimco Realty Corp</t>
  </si>
  <si>
    <t>CBL US Equity</t>
  </si>
  <si>
    <t>2024A CF (CBL US)</t>
  </si>
  <si>
    <t>CBL &amp; Associates Properties Inc</t>
  </si>
  <si>
    <t>CTO US Equity</t>
  </si>
  <si>
    <t>2025Q3 CF (CTO US)</t>
  </si>
  <si>
    <t>CTO Realty Growth Inc</t>
  </si>
  <si>
    <t>SITC US Equity</t>
  </si>
  <si>
    <t>2024A CF (SITC US)</t>
  </si>
  <si>
    <t>SITE Centers Corp</t>
  </si>
  <si>
    <t>2024A CF (CDP US)</t>
  </si>
  <si>
    <t>COPT Defense Properties</t>
  </si>
  <si>
    <t>Company News (CACI US)</t>
  </si>
  <si>
    <t>BB CN Equity</t>
  </si>
  <si>
    <t>2024Q1 CF (BB CN)</t>
  </si>
  <si>
    <t>BlackBerry Ltd</t>
  </si>
  <si>
    <t>SMP US Equity</t>
  </si>
  <si>
    <t>Estimate (SMP US)</t>
  </si>
  <si>
    <t>Standard Motor Products Inc</t>
  </si>
  <si>
    <t>5110 JP Equity</t>
  </si>
  <si>
    <t>Estimate (5110 JP)</t>
  </si>
  <si>
    <t>Sumitomo Rubber Industries Ltd</t>
  </si>
  <si>
    <t>ML FP Equity</t>
  </si>
  <si>
    <t>Estimate (ML FP)</t>
  </si>
  <si>
    <t>Cie Generale des Etablissements Michelin SCA</t>
  </si>
  <si>
    <t>PIRC IM Equity</t>
  </si>
  <si>
    <t>Estimate (PIRC IM)</t>
  </si>
  <si>
    <t>Pirelli &amp; C SpA</t>
  </si>
  <si>
    <t>CON GR Equity</t>
  </si>
  <si>
    <t>Estimate (CON GR)</t>
  </si>
  <si>
    <t>Continental AG</t>
  </si>
  <si>
    <t>Estimate (CLN SW)</t>
  </si>
  <si>
    <t>Clariant AG</t>
  </si>
  <si>
    <t>GTLS US Equity</t>
  </si>
  <si>
    <t>Estimate (GTLS US)</t>
  </si>
  <si>
    <t>Chart Industries Inc</t>
  </si>
  <si>
    <t>XPO US Equity</t>
  </si>
  <si>
    <t>Estimate (XPO US)</t>
  </si>
  <si>
    <t>XPO Inc</t>
  </si>
  <si>
    <t>104460 KS Equity</t>
  </si>
  <si>
    <t>2025C3 CF (104460 KS)</t>
  </si>
  <si>
    <t>DYPNF Co Ltd</t>
  </si>
  <si>
    <t>300437 CH Equity</t>
  </si>
  <si>
    <t>2022S1 CF (300437 CH)</t>
  </si>
  <si>
    <t>Henan Qing Shui Yuan Technology Co Ltd</t>
  </si>
  <si>
    <t>2024A CF (EVH US)</t>
  </si>
  <si>
    <t>Humana Inc</t>
  </si>
  <si>
    <t>MOH US Equity</t>
  </si>
  <si>
    <t>Molina Healthcare Inc</t>
  </si>
  <si>
    <t>2079609D US Equity</t>
  </si>
  <si>
    <t>Cook County Bureau of Health Services</t>
  </si>
  <si>
    <t>0407310D US Equity</t>
  </si>
  <si>
    <t>2022A CF (EVH US)</t>
  </si>
  <si>
    <t>Lessans Family Holdings Inc</t>
  </si>
  <si>
    <t>1450060D US Equity</t>
  </si>
  <si>
    <t>Bright Health Management Inc</t>
  </si>
  <si>
    <t>Company News (MJCO US)</t>
  </si>
  <si>
    <t>Boston Mutual Life Insurance Co</t>
  </si>
  <si>
    <t>1684951D CN Equity</t>
  </si>
  <si>
    <t>Splice Software Inc</t>
  </si>
  <si>
    <t>AV/ LN Equity</t>
  </si>
  <si>
    <t>Aviva PLC</t>
  </si>
  <si>
    <t>LTM IN Equity</t>
  </si>
  <si>
    <t>2025A CF (LTM IN)</t>
  </si>
  <si>
    <t>LTIMindtree Ltd</t>
  </si>
  <si>
    <t>2024A CF (GHC US)</t>
  </si>
  <si>
    <t>HHS Centers for Medicare &amp; Medicaid Services</t>
  </si>
  <si>
    <t>BCC US Equity</t>
  </si>
  <si>
    <t>2025Q3 CF (BCC US)</t>
  </si>
  <si>
    <t>Boise Cascade Co</t>
  </si>
  <si>
    <t>LULU US Equity</t>
  </si>
  <si>
    <t>Company News (LULU US)</t>
  </si>
  <si>
    <t>Lululemon Athletica Inc</t>
  </si>
  <si>
    <t>MSM US Equity</t>
  </si>
  <si>
    <t>2025Q2 CF (MSM US)</t>
  </si>
  <si>
    <t>MSC Industrial Direct Co Inc</t>
  </si>
  <si>
    <t>2022A CF (WTT US)</t>
  </si>
  <si>
    <t>301318 CH Equity</t>
  </si>
  <si>
    <t>2025S1 CF (301318 CH)</t>
  </si>
  <si>
    <t>ValueHD Corp</t>
  </si>
  <si>
    <t>Lupin Ltd</t>
  </si>
  <si>
    <t>TEVA IT Equity</t>
  </si>
  <si>
    <t>Teva Pharmaceutical Industries Ltd</t>
  </si>
  <si>
    <t>2024Q2 CF (VIEWQ US)</t>
  </si>
  <si>
    <t>View Operations LLC</t>
  </si>
  <si>
    <t>2025A CF (CAH US)</t>
  </si>
  <si>
    <t>1339564D US Equity</t>
  </si>
  <si>
    <t>Estimate (CAH US)</t>
  </si>
  <si>
    <t>Vizient Inc</t>
  </si>
  <si>
    <t>PINC US Equity</t>
  </si>
  <si>
    <t>Premier Inc</t>
  </si>
  <si>
    <t>KR US Equity</t>
  </si>
  <si>
    <t>Kroger Co/The</t>
  </si>
  <si>
    <t>2024A CF (NKTR US)</t>
  </si>
  <si>
    <t>UCB Pharma Inc</t>
  </si>
  <si>
    <t>4502 JP Equity</t>
  </si>
  <si>
    <t>Takeda Pharmaceutical Co Ltd</t>
  </si>
  <si>
    <t>ROG SW Equity</t>
  </si>
  <si>
    <t>Roche Holding AG</t>
  </si>
  <si>
    <t>Estimate (005930 KS)</t>
  </si>
  <si>
    <t>Estimate (000063 CH)</t>
  </si>
  <si>
    <t>920978 CH Equity</t>
  </si>
  <si>
    <t>2024A CF (920978 CH)</t>
  </si>
  <si>
    <t>Hubei Kait Automotive Electronic &amp; Electrical Systems Co Ltd</t>
  </si>
  <si>
    <t>211270 KS Equity</t>
  </si>
  <si>
    <t>2025C3 CF (211270 KS)</t>
  </si>
  <si>
    <t>Asia Pacific Satellite Inc</t>
  </si>
  <si>
    <t>3025 TT Equity</t>
  </si>
  <si>
    <t>2024A CF (3025 TT)</t>
  </si>
  <si>
    <t>Loop Telecommunication International Inc</t>
  </si>
  <si>
    <t>2023A CF (ADVANC TB)</t>
  </si>
  <si>
    <t>Advanced Info Service PCL</t>
  </si>
  <si>
    <t>2024A CF (2324 TT)</t>
  </si>
  <si>
    <t>Compal Electronics Inc</t>
  </si>
  <si>
    <t>8234 TT Equity</t>
  </si>
  <si>
    <t>2022A CF (8234 TT)</t>
  </si>
  <si>
    <t>Nexcom International Co Ltd</t>
  </si>
  <si>
    <t>Company News (FTRCQ US)</t>
  </si>
  <si>
    <t>Nile Secure</t>
  </si>
  <si>
    <t>AIRG US Equity</t>
  </si>
  <si>
    <t>2021A CF (AIRG US)</t>
  </si>
  <si>
    <t>Airgain Inc</t>
  </si>
  <si>
    <t>2023Q1 CF (DY US)</t>
  </si>
  <si>
    <t>SEAC US Equity</t>
  </si>
  <si>
    <t>2022A CF (SEAC US)</t>
  </si>
  <si>
    <t>SeaChange International Inc</t>
  </si>
  <si>
    <t>2024A CF (AGEN US)</t>
  </si>
  <si>
    <t>DOD DODSEC Defense Threat Reduction Agency</t>
  </si>
  <si>
    <t>1445381D LN Equity</t>
  </si>
  <si>
    <t>2022A CF (AGEN US)</t>
  </si>
  <si>
    <t>Merck Sharpe &amp; Dohme Ltd</t>
  </si>
  <si>
    <t>2436327D FP Equity</t>
  </si>
  <si>
    <t>Company News (AGEN US)</t>
  </si>
  <si>
    <t>Invivogen SAS</t>
  </si>
  <si>
    <t>300558 CH Equity</t>
  </si>
  <si>
    <t>Betta Pharmaceuticals Co Ltd</t>
  </si>
  <si>
    <t>Godb Tech Inc</t>
  </si>
  <si>
    <t>2025C1 CF (069510 KS)</t>
  </si>
  <si>
    <t>ESTec Corp/Republic of Korea</t>
  </si>
  <si>
    <t>XEL US Equity</t>
  </si>
  <si>
    <t>2021A CF (XEL US)</t>
  </si>
  <si>
    <t>Xcel Energy Inc</t>
  </si>
  <si>
    <t>Estimate (QCOM US)</t>
  </si>
  <si>
    <t>1810 HK Equity</t>
  </si>
  <si>
    <t>Xiaomi Corp</t>
  </si>
  <si>
    <t>Estimate (LLY US)</t>
  </si>
  <si>
    <t>Eli Lilly &amp; Co</t>
  </si>
  <si>
    <t>Johnson &amp; Johnson</t>
  </si>
  <si>
    <t>GILD US Equity</t>
  </si>
  <si>
    <t>2025A CF (GILD US)</t>
  </si>
  <si>
    <t>Gilead Sciences Inc</t>
  </si>
  <si>
    <t>Ludwig Institute for Cancer Research Ltd</t>
  </si>
  <si>
    <t>2025A CF (LGND US)</t>
  </si>
  <si>
    <t>XOMA US Equity</t>
  </si>
  <si>
    <t>2024A CF (XOMA US)</t>
  </si>
  <si>
    <t>XOMA Royalty Corp</t>
  </si>
  <si>
    <t>ZYDUSLIF IN Equity</t>
  </si>
  <si>
    <t>Company News (ZYDUSLIF IN)</t>
  </si>
  <si>
    <t>Zydus Lifesciences Ltd</t>
  </si>
  <si>
    <t>Hovione FarmaCiencia SA</t>
  </si>
  <si>
    <t>Agenus Inc</t>
  </si>
  <si>
    <t>2024Q3 CF (LGND US)</t>
  </si>
  <si>
    <t>Estimate (NTGR US)</t>
  </si>
  <si>
    <t>NETGEAR Inc</t>
  </si>
  <si>
    <t>Estimate (2330 TT)</t>
  </si>
  <si>
    <t>2025A CF (AMKR US)</t>
  </si>
  <si>
    <t>Estimate (3711 TT)</t>
  </si>
  <si>
    <t>Company News (GHC US)</t>
  </si>
  <si>
    <t>Kia Corp</t>
  </si>
  <si>
    <t>1664Z CN Equity</t>
  </si>
  <si>
    <t>2023A CF (GHC US)</t>
  </si>
  <si>
    <t>Canadian Broadcasting Corp</t>
  </si>
  <si>
    <t>7267 JP Equity</t>
  </si>
  <si>
    <t>Honda Motor Co Ltd</t>
  </si>
  <si>
    <t>2021A CF (PA8 GR)</t>
  </si>
  <si>
    <t>Paion AG</t>
  </si>
  <si>
    <t>2023A CF (PDFS US)</t>
  </si>
  <si>
    <t>Voltaiq Inc</t>
  </si>
  <si>
    <t>1707740D IT Equity</t>
  </si>
  <si>
    <t>ProteanTecs Ltd</t>
  </si>
  <si>
    <t>6857 JP Equity</t>
  </si>
  <si>
    <t>Advantest Corp</t>
  </si>
  <si>
    <t>KLIC US Equity</t>
  </si>
  <si>
    <t>Kulicke &amp; Soffa Industries Inc</t>
  </si>
  <si>
    <t>SAP GR Equity</t>
  </si>
  <si>
    <t>SAP SE</t>
  </si>
  <si>
    <t>2025A CF (NXPI US)</t>
  </si>
  <si>
    <t>NXP Semiconductors NV</t>
  </si>
  <si>
    <t>Estimate (AVT US)</t>
  </si>
  <si>
    <t>ETN US Equity</t>
  </si>
  <si>
    <t>Estimate (ETN US)</t>
  </si>
  <si>
    <t>Eaton Corp PLC</t>
  </si>
  <si>
    <t>2025A CF (OSIS US)</t>
  </si>
  <si>
    <t>16453Z QD Equity</t>
  </si>
  <si>
    <t>QatarEnergy</t>
  </si>
  <si>
    <t>HCA US Equity</t>
  </si>
  <si>
    <t>HCA Healthcare Inc</t>
  </si>
  <si>
    <t>DG FP Equity</t>
  </si>
  <si>
    <t>Vinci SA</t>
  </si>
  <si>
    <t>0228856Z US Equity</t>
  </si>
  <si>
    <t>2024Q2 CF (UPLD US)</t>
  </si>
  <si>
    <t>DOD United States Department of Navy</t>
  </si>
  <si>
    <t>0533479D US Equity</t>
  </si>
  <si>
    <t>Human Rights Campaign Foundation</t>
  </si>
  <si>
    <t>3477406Z US Equity</t>
  </si>
  <si>
    <t>2022A CF (UPLD US)</t>
  </si>
  <si>
    <t>American National Red Cross/The</t>
  </si>
  <si>
    <t>2022A CF (NVTAQ US)</t>
  </si>
  <si>
    <t>2025A CF (SMG US)</t>
  </si>
  <si>
    <t>Home Depot Inc/The</t>
  </si>
  <si>
    <t>LOW US Equity</t>
  </si>
  <si>
    <t>Lowe's Cos Inc</t>
  </si>
  <si>
    <t>Estimate (SMG US)</t>
  </si>
  <si>
    <t>2675B US Equity</t>
  </si>
  <si>
    <t>Ace Hardware Corp</t>
  </si>
  <si>
    <t>TSCO US Equity</t>
  </si>
  <si>
    <t>Estimate (TSCO US)</t>
  </si>
  <si>
    <t>Tractor Supply Co</t>
  </si>
  <si>
    <t>2022A CF (ATVI US)</t>
  </si>
  <si>
    <t>Valve Corp</t>
  </si>
  <si>
    <t>2024Q1 CF (ARM US)</t>
  </si>
  <si>
    <t>CERT US Equity</t>
  </si>
  <si>
    <t>Estimate (CERT US)</t>
  </si>
  <si>
    <t>Certara Inc</t>
  </si>
  <si>
    <t>005690 KS Equity</t>
  </si>
  <si>
    <t>2023C1 CF (005690 KS)</t>
  </si>
  <si>
    <t>Pharmicell Co Ltd</t>
  </si>
  <si>
    <t>1965036D US Equity</t>
  </si>
  <si>
    <t>Biolojic Design Inc</t>
  </si>
  <si>
    <t>Company News (NKTR US)</t>
  </si>
  <si>
    <t>2021A CF (PCTI US)</t>
  </si>
  <si>
    <t>Talley Inc</t>
  </si>
  <si>
    <t>2265129D GR Equity</t>
  </si>
  <si>
    <t>Welotec GmbH</t>
  </si>
  <si>
    <t>7537 JP Equity</t>
  </si>
  <si>
    <t>2024S1 CF (7537 JP)</t>
  </si>
  <si>
    <t>Marubun Corp</t>
  </si>
  <si>
    <t>ALATI FP Equity</t>
  </si>
  <si>
    <t>Actia Group</t>
  </si>
  <si>
    <t>Estimate (VREX US)</t>
  </si>
  <si>
    <t>Varex Imaging Corp</t>
  </si>
  <si>
    <t>SCAN CN Equity</t>
  </si>
  <si>
    <t>Company News (SCAN CN)</t>
  </si>
  <si>
    <t>Liberty Defense Holdings Ltd</t>
  </si>
  <si>
    <t>AVG LN Equity</t>
  </si>
  <si>
    <t>2025A CF (AVG LN)</t>
  </si>
  <si>
    <t>Avingtrans PLC</t>
  </si>
  <si>
    <t>2022Q4 CF (KNTK US)</t>
  </si>
  <si>
    <t>Kinetik Holdings Inc</t>
  </si>
  <si>
    <t>Estimate (ECL US)</t>
  </si>
  <si>
    <t>0006157D US Equity</t>
  </si>
  <si>
    <t>2024Q1 CF (NVTAQ US)</t>
  </si>
  <si>
    <t>Acco Engineered Systems Inc</t>
  </si>
  <si>
    <t>0034912D US Equity</t>
  </si>
  <si>
    <t>GBF Inc</t>
  </si>
  <si>
    <t>0485547D US Equity</t>
  </si>
  <si>
    <t>Selig Holdings Co LLC</t>
  </si>
  <si>
    <t>1200353D US Equity</t>
  </si>
  <si>
    <t>Hohbach Realty Co LP</t>
  </si>
  <si>
    <t>SLGN US Equity</t>
  </si>
  <si>
    <t>Estimate (SLGN US)</t>
  </si>
  <si>
    <t>Silgan Holdings Inc</t>
  </si>
  <si>
    <t>0374933Z US Equity</t>
  </si>
  <si>
    <t>Company News (0374933Z US)</t>
  </si>
  <si>
    <t>TeamSnap Inc</t>
  </si>
  <si>
    <t>2025A CF (UFPT US)</t>
  </si>
  <si>
    <t>UFP Technologies Inc</t>
  </si>
  <si>
    <t>656 HK Equity</t>
  </si>
  <si>
    <t>2024A CF (656 HK)</t>
  </si>
  <si>
    <t>Fosun International Ltd</t>
  </si>
  <si>
    <t>Estimate (NTAP US)</t>
  </si>
  <si>
    <t>NetApp Inc</t>
  </si>
  <si>
    <t>6702 JP Equity</t>
  </si>
  <si>
    <t>Company News (6702 JP)</t>
  </si>
  <si>
    <t>Fujitsu Ltd</t>
  </si>
  <si>
    <t>Company News (FICO US)</t>
  </si>
  <si>
    <t>BASE US Equity</t>
  </si>
  <si>
    <t>2024Q1 CF (BASE US)</t>
  </si>
  <si>
    <t>Couchbase Inc</t>
  </si>
  <si>
    <t>2022Q4 CF (FROG US)</t>
  </si>
  <si>
    <t>Estimate (HUN US)</t>
  </si>
  <si>
    <t>Huntsman Corp</t>
  </si>
  <si>
    <t>9507 JP Equity</t>
  </si>
  <si>
    <t>2022A CF (9507 JP)</t>
  </si>
  <si>
    <t>Shikoku Electric Power Co Inc</t>
  </si>
  <si>
    <t>2022A CF (DHC US)</t>
  </si>
  <si>
    <t>Diversified Healthcare Trust</t>
  </si>
  <si>
    <t>JBGS US Equity</t>
  </si>
  <si>
    <t>2022A CF (JBGS US)</t>
  </si>
  <si>
    <t>JBG SMITH Properties</t>
  </si>
  <si>
    <t>Estimate (TSN US)</t>
  </si>
  <si>
    <t>Tyson Foods Inc</t>
  </si>
  <si>
    <t>KHC US Equity</t>
  </si>
  <si>
    <t>Estimate (KHC US)</t>
  </si>
  <si>
    <t>Kraft Heinz Co/The</t>
  </si>
  <si>
    <t>POST US Equity</t>
  </si>
  <si>
    <t>Estimate (POST US)</t>
  </si>
  <si>
    <t>Post Holdings Inc</t>
  </si>
  <si>
    <t>SFD US Equity</t>
  </si>
  <si>
    <t>Estimate (SFD US)</t>
  </si>
  <si>
    <t>Smithfield Foods Inc</t>
  </si>
  <si>
    <t>288 HK Equity</t>
  </si>
  <si>
    <t>Estimate (SYY US)</t>
  </si>
  <si>
    <t>WH Group Ltd</t>
  </si>
  <si>
    <t>DTE US Equity</t>
  </si>
  <si>
    <t>2021A CF (DTE US)</t>
  </si>
  <si>
    <t>DTE Energy Co</t>
  </si>
  <si>
    <t>2023A CF (JBL US)</t>
  </si>
  <si>
    <t>1369953D IJ Equity</t>
  </si>
  <si>
    <t>Company News (LUNA US)</t>
  </si>
  <si>
    <t>Freeport Indonesia PT</t>
  </si>
  <si>
    <t>2022A CF (LUNA US)</t>
  </si>
  <si>
    <t>ATS CN Equity</t>
  </si>
  <si>
    <t>ATS Corp</t>
  </si>
  <si>
    <t>HDC SJ Equity</t>
  </si>
  <si>
    <t>2024A CF (HDC SJ)</t>
  </si>
  <si>
    <t>Hudaco Industries Ltd</t>
  </si>
  <si>
    <t>Accenture PLC</t>
  </si>
  <si>
    <t>002564 CH Equity</t>
  </si>
  <si>
    <t>2022A CF (002564 CH)</t>
  </si>
  <si>
    <t>Suzhou Thvow Technology Co Ltd</t>
  </si>
  <si>
    <t>300157 CH Equity</t>
  </si>
  <si>
    <t>2023A CF (300157 CH)</t>
  </si>
  <si>
    <t>New JCM Group Co Ltd</t>
  </si>
  <si>
    <t>600839 CH Equity</t>
  </si>
  <si>
    <t>2024A CF (600839 CH)</t>
  </si>
  <si>
    <t>Sichuan Changhong Electric Co Ltd</t>
  </si>
  <si>
    <t>AIT US Equity</t>
  </si>
  <si>
    <t>2024A CF (AIT US)</t>
  </si>
  <si>
    <t>Applied Industrial Technologies Inc</t>
  </si>
  <si>
    <t>FIX US Equity</t>
  </si>
  <si>
    <t>2025A CF (FIX US)</t>
  </si>
  <si>
    <t>Comfort Systems USA Inc</t>
  </si>
  <si>
    <t>Company News (CXDO US)</t>
  </si>
  <si>
    <t>NUSO LLC</t>
  </si>
  <si>
    <t>2023A CF (2426 TT)</t>
  </si>
  <si>
    <t>Tyntek Corp</t>
  </si>
  <si>
    <t>3583 TT Equity</t>
  </si>
  <si>
    <t>2021A CF (3583 TT)</t>
  </si>
  <si>
    <t>Scientech Corp</t>
  </si>
  <si>
    <t>600023 CH Equity</t>
  </si>
  <si>
    <t>2023S1 CF (600023 CH)</t>
  </si>
  <si>
    <t>Zhejiang Zheneng Electric Power Co Ltd</t>
  </si>
  <si>
    <t>603380 CH Equity</t>
  </si>
  <si>
    <t>2023A CF (603380 CH)</t>
  </si>
  <si>
    <t>Suzhou Etron Technologies Co Ltd</t>
  </si>
  <si>
    <t>8374 TT Equity</t>
  </si>
  <si>
    <t>2024A CF (8374 TT)</t>
  </si>
  <si>
    <t>Ace Pillar Co Ltd</t>
  </si>
  <si>
    <t>2022A CF (CNXN US)</t>
  </si>
  <si>
    <t>2026Q2 CF (CACI US)</t>
  </si>
  <si>
    <t>0006698D US Equity</t>
  </si>
  <si>
    <t>DHS US Immigration &amp; Customs Enforcement</t>
  </si>
  <si>
    <t>0053520D US Equity</t>
  </si>
  <si>
    <t>United States National Security Agency / Central Security Service</t>
  </si>
  <si>
    <t>0053963D US Equity</t>
  </si>
  <si>
    <t>United States Defense Advanced Research Projects Agency</t>
  </si>
  <si>
    <t>0212721Z US Equity</t>
  </si>
  <si>
    <t>Naval Surface Warfare Center</t>
  </si>
  <si>
    <t>2022A CF (KBAL US)</t>
  </si>
  <si>
    <t>9485MF US Equity</t>
  </si>
  <si>
    <t>United States General Services Administration</t>
  </si>
  <si>
    <t>Company News (0216067D US)</t>
  </si>
  <si>
    <t>Rfmw Ltd</t>
  </si>
  <si>
    <t>Company News (2464209D US)</t>
  </si>
  <si>
    <t>0232325Z US Equity</t>
  </si>
  <si>
    <t>North Atlantic Treaty Organization</t>
  </si>
  <si>
    <t>0244620Z US Equity</t>
  </si>
  <si>
    <t>United States Marine Corps</t>
  </si>
  <si>
    <t>1183Z CN Equity</t>
  </si>
  <si>
    <t>City of Sault Ste Marie Ontario</t>
  </si>
  <si>
    <t>2024A CF (CNMD US)</t>
  </si>
  <si>
    <t>496388Z US Equity</t>
  </si>
  <si>
    <t>Musculoskeletal Transplant Foundation Inc</t>
  </si>
  <si>
    <t>Estimate (LW US)</t>
  </si>
  <si>
    <t>0035143D US Equity</t>
  </si>
  <si>
    <t>2025A CF (NATH US)</t>
  </si>
  <si>
    <t>Green Bay Packers Inc</t>
  </si>
  <si>
    <t>0219900D US Equity</t>
  </si>
  <si>
    <t>Dallas Cowboys Football Club Ltd</t>
  </si>
  <si>
    <t>0677087D US Equity</t>
  </si>
  <si>
    <t>New York Yankees Partnership</t>
  </si>
  <si>
    <t>0960400D US Equity</t>
  </si>
  <si>
    <t>GrubHub Holdings Inc</t>
  </si>
  <si>
    <t>Estimate (RAIL US)</t>
  </si>
  <si>
    <t>FreightCar America Inc</t>
  </si>
  <si>
    <t>300380 CH Equity</t>
  </si>
  <si>
    <t>2023A CF (300380 CH)</t>
  </si>
  <si>
    <t>Shanghai Amarsoft Information &amp; Technology Co Ltd</t>
  </si>
  <si>
    <t>2025C2 CF (AIR FP)</t>
  </si>
  <si>
    <t>EMBJ3 BZ Equity</t>
  </si>
  <si>
    <t>2024A CF (EMBJ3 BZ)</t>
  </si>
  <si>
    <t>Embraer SA</t>
  </si>
  <si>
    <t>GBX US Equity</t>
  </si>
  <si>
    <t>2024Q1 CF (GBX US)</t>
  </si>
  <si>
    <t>Greenbrier Cos Inc/The</t>
  </si>
  <si>
    <t>MU US Equity</t>
  </si>
  <si>
    <t>Micron Technology Inc</t>
  </si>
  <si>
    <t>INTC US Equity</t>
  </si>
  <si>
    <t>Intel Corp</t>
  </si>
  <si>
    <t>Coherent Corp</t>
  </si>
  <si>
    <t>VACN SW Equity</t>
  </si>
  <si>
    <t>Estimate (VACN SW)</t>
  </si>
  <si>
    <t>VAT Group AG</t>
  </si>
  <si>
    <t>UCTT US Equity</t>
  </si>
  <si>
    <t>Estimate (UCTT US)</t>
  </si>
  <si>
    <t>Ultra Clean Holdings Inc</t>
  </si>
  <si>
    <t>MKSI US Equity</t>
  </si>
  <si>
    <t>Estimate (MKSI US)</t>
  </si>
  <si>
    <t>MKS Inc</t>
  </si>
  <si>
    <t>Estimate (LITE US)</t>
  </si>
  <si>
    <t>2021A CF (066910 KS)</t>
  </si>
  <si>
    <t>Sonokong Co Ltd</t>
  </si>
  <si>
    <t>0776079D US Equity</t>
  </si>
  <si>
    <t>Company News (ATVI US)</t>
  </si>
  <si>
    <t>Coda Payments Inc</t>
  </si>
  <si>
    <t>1860868D SP Equity</t>
  </si>
  <si>
    <t>Volopay Co Pte Ltd</t>
  </si>
  <si>
    <t>1993838D US Equity</t>
  </si>
  <si>
    <t>Redpanda Data Inc</t>
  </si>
  <si>
    <t>547 HK Equity</t>
  </si>
  <si>
    <t>2021A CF (547 HK)</t>
  </si>
  <si>
    <t>Digital Domain Holdings Ltd</t>
  </si>
  <si>
    <t>2025Q1 CF (NDN US)</t>
  </si>
  <si>
    <t>Producers Dairy Foods Inc</t>
  </si>
  <si>
    <t>0116705D US Equity</t>
  </si>
  <si>
    <t>Mayflower Distributing Co Inc</t>
  </si>
  <si>
    <t>0215933D US Equity</t>
  </si>
  <si>
    <t>Promatech Inc</t>
  </si>
  <si>
    <t>0424237D US Equity</t>
  </si>
  <si>
    <t>Ciuti International Inc</t>
  </si>
  <si>
    <t>0492120D HK Equity</t>
  </si>
  <si>
    <t>DSL Holding Ltd</t>
  </si>
  <si>
    <t>2025A CF (HRL US)</t>
  </si>
  <si>
    <t>Estimate (HRL US)</t>
  </si>
  <si>
    <t>PFGC US Equity</t>
  </si>
  <si>
    <t>Performance Food Group Co</t>
  </si>
  <si>
    <t>Sysco Corp</t>
  </si>
  <si>
    <t>2177736D US Equity</t>
  </si>
  <si>
    <t>Saratoga Food Specialties LLC</t>
  </si>
  <si>
    <t>Company News (BRC US)</t>
  </si>
  <si>
    <t>PAXAFE Inc</t>
  </si>
  <si>
    <t>MATR CN Equity</t>
  </si>
  <si>
    <t>2023Q3 CF (MATR CN)</t>
  </si>
  <si>
    <t>Mattr Corp</t>
  </si>
  <si>
    <t>Estimate (CSCO US)</t>
  </si>
  <si>
    <t>0564173D US Equity</t>
  </si>
  <si>
    <t>Media News (CXDO US)</t>
  </si>
  <si>
    <t>AppDirect Inc</t>
  </si>
  <si>
    <t>300628 CH Equity</t>
  </si>
  <si>
    <t>2021A CF (CXDO US)</t>
  </si>
  <si>
    <t>Yealink Network Technology Corp Ltd</t>
  </si>
  <si>
    <t>303 HK Equity</t>
  </si>
  <si>
    <t>VTech Holdings Ltd</t>
  </si>
  <si>
    <t>ABB AU Equity</t>
  </si>
  <si>
    <t>Aussie Broadband Ltd</t>
  </si>
  <si>
    <t>2021A CF (LUNA US)</t>
  </si>
  <si>
    <t>Coherent Inc</t>
  </si>
  <si>
    <t>Estimate (AMD US)</t>
  </si>
  <si>
    <t>Estimate (ANET US)</t>
  </si>
  <si>
    <t>WDC US Equity</t>
  </si>
  <si>
    <t>Estimate (WDC US)</t>
  </si>
  <si>
    <t>Western Digital Corp</t>
  </si>
  <si>
    <t>2024A CF (AEIS US)</t>
  </si>
  <si>
    <t>Applied Materials Inc</t>
  </si>
  <si>
    <t>LRCX US Equity</t>
  </si>
  <si>
    <t>Lam Research Corp</t>
  </si>
  <si>
    <t>Estimate (AEIS US)</t>
  </si>
  <si>
    <t>Estimate (CRS US)</t>
  </si>
  <si>
    <t>Carpenter Technology Corp</t>
  </si>
  <si>
    <t>2024A CF (002564 CH)</t>
  </si>
  <si>
    <t>2023A CF (004800 KS)</t>
  </si>
  <si>
    <t>2026Q3 CF (SODI US)</t>
  </si>
  <si>
    <t>Solitron Devices Inc</t>
  </si>
  <si>
    <t>1898990D ID Equity</t>
  </si>
  <si>
    <t>Company News (CNMD US)</t>
  </si>
  <si>
    <t>Palliare</t>
  </si>
  <si>
    <t>2025Q2 CF (OSPN US)</t>
  </si>
  <si>
    <t>OneSpan Inc</t>
  </si>
  <si>
    <t>4549 JP Equity</t>
  </si>
  <si>
    <t>Eiken Chemical Co Ltd</t>
  </si>
  <si>
    <t>Medtronic PLC</t>
  </si>
  <si>
    <t>NEE US Equity</t>
  </si>
  <si>
    <t>2021A CF (NEE US)</t>
  </si>
  <si>
    <t>NextEra Energy Inc</t>
  </si>
  <si>
    <t>2025A CF (REXR US)</t>
  </si>
  <si>
    <t>Rexford Industrial Realty Inc</t>
  </si>
  <si>
    <t>0326104D LN Equity</t>
  </si>
  <si>
    <t>Easytrip Ltd</t>
  </si>
  <si>
    <t>6091895Z ID Equity</t>
  </si>
  <si>
    <t>An Post</t>
  </si>
  <si>
    <t>CSGS US Equity</t>
  </si>
  <si>
    <t>2026Q4 CF (CSGS US)</t>
  </si>
  <si>
    <t>CSG Systems International Inc</t>
  </si>
  <si>
    <t>CVGI US Equity</t>
  </si>
  <si>
    <t>2024Q2 CF (CVGI US)</t>
  </si>
  <si>
    <t>Commercial Vehicle Group Inc</t>
  </si>
  <si>
    <t>Estimate (3231 TT)</t>
  </si>
  <si>
    <t>2345 TT Equity</t>
  </si>
  <si>
    <t>Estimate (2345 TT)</t>
  </si>
  <si>
    <t>Accton Technology Corp</t>
  </si>
  <si>
    <t>GOOD IJ Equity</t>
  </si>
  <si>
    <t>2025C3 CF (GOOD IJ)</t>
  </si>
  <si>
    <t>Garudafood Putra Putri Jaya Tbk PT</t>
  </si>
  <si>
    <t>002726 CH Equity</t>
  </si>
  <si>
    <t>2024A CF (002726 CH)</t>
  </si>
  <si>
    <t>Shandong Longda Meishi Co Ltd</t>
  </si>
  <si>
    <t>Estimate (OC US)</t>
  </si>
  <si>
    <t>Owens Corning</t>
  </si>
  <si>
    <t>WLK US Equity</t>
  </si>
  <si>
    <t>Estimate (WLK US)</t>
  </si>
  <si>
    <t>Westlake Corp</t>
  </si>
  <si>
    <t>MHK US Equity</t>
  </si>
  <si>
    <t>Estimate (MHK US)</t>
  </si>
  <si>
    <t>Mohawk Industries Inc</t>
  </si>
  <si>
    <t>WHR US Equity</t>
  </si>
  <si>
    <t>Estimate (WHR US)</t>
  </si>
  <si>
    <t>Whirlpool Corp</t>
  </si>
  <si>
    <t>SHW US Equity</t>
  </si>
  <si>
    <t>Estimate (SHW US)</t>
  </si>
  <si>
    <t>Sherwin-Williams Co/The</t>
  </si>
  <si>
    <t>Estimate (TTWO US)</t>
  </si>
  <si>
    <t>Estimate (IFX GR)</t>
  </si>
  <si>
    <t>Infineon Technologies AG</t>
  </si>
  <si>
    <t>002735 CH Equity</t>
  </si>
  <si>
    <t>2022A CF (002735 CH)</t>
  </si>
  <si>
    <t>Shenzhen Prince New Materials Co Ltd</t>
  </si>
  <si>
    <t>002815 CH Equity</t>
  </si>
  <si>
    <t>2022S1 CF (002815 CH)</t>
  </si>
  <si>
    <t>Suntak Technology Co Ltd</t>
  </si>
  <si>
    <t>300814 CH Equity</t>
  </si>
  <si>
    <t>2025S1 CF (300814 CH)</t>
  </si>
  <si>
    <t>Shenzhen Jove Enterprise Ltd</t>
  </si>
  <si>
    <t>301566 CH Equity</t>
  </si>
  <si>
    <t>2024A CF (301566 CH)</t>
  </si>
  <si>
    <t>Dalian Dalicap Technology Co Ltd</t>
  </si>
  <si>
    <t>2023A CF (FMGI IN)</t>
  </si>
  <si>
    <t>Federal-Mogul Goetze India Ltd</t>
  </si>
  <si>
    <t>1789 TT Equity</t>
  </si>
  <si>
    <t>2022A CF (1789 TT)</t>
  </si>
  <si>
    <t>ScinoPharm Taiwan Ltd</t>
  </si>
  <si>
    <t>Company News (CCLD US)</t>
  </si>
  <si>
    <t>Bedrock Management Services LLC</t>
  </si>
  <si>
    <t>127297MF US Equity</t>
  </si>
  <si>
    <t>Memorial Hospital and Manor</t>
  </si>
  <si>
    <t>2209056D US Equity</t>
  </si>
  <si>
    <t>Interstate Health Systems LLC</t>
  </si>
  <si>
    <t>3705747Z US Equity</t>
  </si>
  <si>
    <t>La Paz Regional Hospital Inc</t>
  </si>
  <si>
    <t>6767721Z US Equity</t>
  </si>
  <si>
    <t>Cornerstone Hospital of West Monroe LLC</t>
  </si>
  <si>
    <t>2025A CF (GOLD US)</t>
  </si>
  <si>
    <t>Gold.com Inc</t>
  </si>
  <si>
    <t>Estimate (PCAR US)</t>
  </si>
  <si>
    <t>PACCAR Inc</t>
  </si>
  <si>
    <t>270660 KS Equity</t>
  </si>
  <si>
    <t>2025C3 CF (270660 KS)</t>
  </si>
  <si>
    <t>Everybot Inc</t>
  </si>
  <si>
    <t>300201 CH Equity</t>
  </si>
  <si>
    <t>2024A CF (300201 CH)</t>
  </si>
  <si>
    <t>Xuzhou Handler Special Vehicle Co Ltd</t>
  </si>
  <si>
    <t>4599690Z US Equity</t>
  </si>
  <si>
    <t>2023A CF (4599690Z US)</t>
  </si>
  <si>
    <t>Hayes Pump Inc</t>
  </si>
  <si>
    <t>605133 CH Equity</t>
  </si>
  <si>
    <t>2024A CF (605133 CH)</t>
  </si>
  <si>
    <t>Jiangsu Rongtai Industry Co Ltd</t>
  </si>
  <si>
    <t>2024A CF (EPMT IJ)</t>
  </si>
  <si>
    <t>Enseval Putera Megatrading Tbk PT</t>
  </si>
  <si>
    <t>Company News (TGEN US)</t>
  </si>
  <si>
    <t>Clover Corp</t>
  </si>
  <si>
    <t>STOCT1 US Equity</t>
  </si>
  <si>
    <t>State of Connecticut</t>
  </si>
  <si>
    <t>2024Q3 CF (FUBO US)</t>
  </si>
  <si>
    <t>fuboTV Inc</t>
  </si>
  <si>
    <t>Medical Information Technology Inc</t>
  </si>
  <si>
    <t>2023Q4 CF (CCLD US)</t>
  </si>
  <si>
    <t>2024A CF (USIO US)</t>
  </si>
  <si>
    <t>Usio Inc</t>
  </si>
  <si>
    <t>Company News (535959Z US)</t>
  </si>
  <si>
    <t>Oak Hill Advisors LP</t>
  </si>
  <si>
    <t>Progress Software Corp</t>
  </si>
  <si>
    <t>2025A CF (GPE LN)</t>
  </si>
  <si>
    <t>Great Portland Estates PLC</t>
  </si>
  <si>
    <t>2023A CF (MARK US)</t>
  </si>
  <si>
    <t>Remark Holdings Inc</t>
  </si>
  <si>
    <t>2024Q2 CF (COST US)</t>
  </si>
  <si>
    <t>WGO US Equity</t>
  </si>
  <si>
    <t>2023Q3 CF (WGO US)</t>
  </si>
  <si>
    <t>Winnebago Industries Inc</t>
  </si>
  <si>
    <t>2021A CF (SNX US)</t>
  </si>
  <si>
    <t>001940 KS Equity</t>
  </si>
  <si>
    <t>2024C1 CF (001940 KS)</t>
  </si>
  <si>
    <t>KISCO Holdings Co Ltd</t>
  </si>
  <si>
    <t>0131012D US Equity</t>
  </si>
  <si>
    <t>2024Q1 CF (GGG US)</t>
  </si>
  <si>
    <t>Bijur Products Inc</t>
  </si>
  <si>
    <t>1777841D LX Equity</t>
  </si>
  <si>
    <t>Wagner Finance Holding Sarl</t>
  </si>
  <si>
    <t>300161 CH Equity</t>
  </si>
  <si>
    <t>2023S1 CF (300161 CH)</t>
  </si>
  <si>
    <t>Wuhan Huazhong Numerical Control Co Ltd</t>
  </si>
  <si>
    <t>Estimate (CULP US)</t>
  </si>
  <si>
    <t>Culp Inc</t>
  </si>
  <si>
    <t>SNDR US Equity</t>
  </si>
  <si>
    <t>Estimate (SNDR US)</t>
  </si>
  <si>
    <t>Schneider National Inc</t>
  </si>
  <si>
    <t>UFI US Equity</t>
  </si>
  <si>
    <t>Estimate (UFI US)</t>
  </si>
  <si>
    <t>Unifi Inc</t>
  </si>
  <si>
    <t>2024Q1 CF (PDFS US)</t>
  </si>
  <si>
    <t>2303 TT Equity</t>
  </si>
  <si>
    <t>United Microelectronics Corp</t>
  </si>
  <si>
    <t>2317 TT Equity</t>
  </si>
  <si>
    <t>Hon Hai Precision Industry Co Ltd</t>
  </si>
  <si>
    <t>2025A CF (LION US)</t>
  </si>
  <si>
    <t>Lionsgate Studios Corp</t>
  </si>
  <si>
    <t>XONI US Equity</t>
  </si>
  <si>
    <t>Company News (XONI US)</t>
  </si>
  <si>
    <t>Xtreme One Entertainment Inc</t>
  </si>
  <si>
    <t>ZIP US Equity</t>
  </si>
  <si>
    <t>2025Q3 CF (ZIP US)</t>
  </si>
  <si>
    <t>ZipRecruiter Inc</t>
  </si>
  <si>
    <t>2023Q1 CF (AREN US)</t>
  </si>
  <si>
    <t>Paanini Inc</t>
  </si>
  <si>
    <t>2306416D US Equity</t>
  </si>
  <si>
    <t>Jasper Ai Inc</t>
  </si>
  <si>
    <t>CRTO US Equity</t>
  </si>
  <si>
    <t>2022Q3 CF (CRTO US)</t>
  </si>
  <si>
    <t>Criteo SA</t>
  </si>
  <si>
    <t>Amgen Inc</t>
  </si>
  <si>
    <t>REC IM Equity</t>
  </si>
  <si>
    <t>Recordati Industria Chimica e Farmaceutica SpA</t>
  </si>
  <si>
    <t>MRK US Equity</t>
  </si>
  <si>
    <t>Merck &amp; Co Inc</t>
  </si>
  <si>
    <t>TVTX US Equity</t>
  </si>
  <si>
    <t>Travere Therapeutics Inc</t>
  </si>
  <si>
    <t>JAZZ US Equity</t>
  </si>
  <si>
    <t>Jazz Pharmaceuticals PLC</t>
  </si>
  <si>
    <t>600196 CH Equity</t>
  </si>
  <si>
    <t>2025S1 CF (600196 CH)</t>
  </si>
  <si>
    <t>Shanghai Fosun Pharmaceutical Group Co Ltd</t>
  </si>
  <si>
    <t>000516 CH Equity</t>
  </si>
  <si>
    <t>2021A CF (000516 CH)</t>
  </si>
  <si>
    <t>Xian International Medical Investment Co Ltd</t>
  </si>
  <si>
    <t>603648 CH Equity</t>
  </si>
  <si>
    <t>2024S1 CF (603648 CH)</t>
  </si>
  <si>
    <t>Shanghai Shine-Link International Logistics Co Ltd</t>
  </si>
  <si>
    <t>Luna Innovations Inc</t>
  </si>
  <si>
    <t>Estimate (EGLA IM)</t>
  </si>
  <si>
    <t>Eurogroup Laminations SpA</t>
  </si>
  <si>
    <t>603617 CH Equity</t>
  </si>
  <si>
    <t>2025S1 CF (603617 CH)</t>
  </si>
  <si>
    <t>Junhe Pumps Holding Co Ltd</t>
  </si>
  <si>
    <t>Estimate (ARMK US)</t>
  </si>
  <si>
    <t>Aramark</t>
  </si>
  <si>
    <t>0219250Z US Equity</t>
  </si>
  <si>
    <t>2025A CF (SYY US)</t>
  </si>
  <si>
    <t>United States Department of Veterans Affairs</t>
  </si>
  <si>
    <t>2021A CF (1972 HK)</t>
  </si>
  <si>
    <t>5460 TT Equity</t>
  </si>
  <si>
    <t>2024A CF (5460 TT)</t>
  </si>
  <si>
    <t>Mustang Industrial Corp</t>
  </si>
  <si>
    <t>3584357Z US Equity</t>
  </si>
  <si>
    <t>2025A CF (TTWO US)</t>
  </si>
  <si>
    <t>ZMC Advisors LP</t>
  </si>
  <si>
    <t>003300 KS Equity</t>
  </si>
  <si>
    <t>2022A CF (003300 KS)</t>
  </si>
  <si>
    <t>Hanil Holdings Co Ltd</t>
  </si>
  <si>
    <t>0194368D US Equity</t>
  </si>
  <si>
    <t>2025Q2 CF (TTWO US)</t>
  </si>
  <si>
    <t>PGA Tour Inc</t>
  </si>
  <si>
    <t>Company News (SFTGQ US)</t>
  </si>
  <si>
    <t>Fenris Inc</t>
  </si>
  <si>
    <t>1923749D CN Equity</t>
  </si>
  <si>
    <t>BOXX Insurance Inc</t>
  </si>
  <si>
    <t>AFSI US Equity</t>
  </si>
  <si>
    <t>AmTrust Financial Services Inc</t>
  </si>
  <si>
    <t>SPNS US Equity</t>
  </si>
  <si>
    <t>2023Q3 CF (SPNS US)</t>
  </si>
  <si>
    <t>Sapiens International Corp NV</t>
  </si>
  <si>
    <t>Company News (1646058D US)</t>
  </si>
  <si>
    <t>Albertsons Investor Holdings LLC</t>
  </si>
  <si>
    <t>6507Z US Equity</t>
  </si>
  <si>
    <t>Company News (RRD US)</t>
  </si>
  <si>
    <t>United States Postal Service</t>
  </si>
  <si>
    <t>6523 JP Equity</t>
  </si>
  <si>
    <t>2025A CF (6523 JP)</t>
  </si>
  <si>
    <t>PHC Holdings Corp</t>
  </si>
  <si>
    <t>2023A CF (AAPL US)</t>
  </si>
  <si>
    <t>004690 KS Equity</t>
  </si>
  <si>
    <t>2025C3 CF (004690 KS)</t>
  </si>
  <si>
    <t>Samchully Co Ltd</t>
  </si>
  <si>
    <t>1009 HK Equity</t>
  </si>
  <si>
    <t>2025A CF (1009 HK)</t>
  </si>
  <si>
    <t>International Entertainment Corp</t>
  </si>
  <si>
    <t>1066999D US Equity</t>
  </si>
  <si>
    <t>Capital Commercial Investments Inc</t>
  </si>
  <si>
    <t>1313161D US Equity</t>
  </si>
  <si>
    <t>Emerus Holdings Inc</t>
  </si>
  <si>
    <t>2025A CF (RBBN US)</t>
  </si>
  <si>
    <t>Verizon Communications Inc</t>
  </si>
  <si>
    <t>BTL IN Equity</t>
  </si>
  <si>
    <t>2025Q3 CF (RBBN US)</t>
  </si>
  <si>
    <t>Bharti Telecom Ltd</t>
  </si>
  <si>
    <t>BHARTI IN Equity</t>
  </si>
  <si>
    <t>Bharti Airtel Ltd</t>
  </si>
  <si>
    <t>2021A CF (MAPI IJ)</t>
  </si>
  <si>
    <t>920112 CH Equity</t>
  </si>
  <si>
    <t>2024A CF (920112 CH)</t>
  </si>
  <si>
    <t>Shanghai Balance Automotive Equipment Co Ltd</t>
  </si>
  <si>
    <t>MMM US Equity</t>
  </si>
  <si>
    <t>Estimate (MMM US)</t>
  </si>
  <si>
    <t>3M Co</t>
  </si>
  <si>
    <t>2025A CF (MCK US)</t>
  </si>
  <si>
    <t>Estimate (MCK US)</t>
  </si>
  <si>
    <t>BW US Equity</t>
  </si>
  <si>
    <t>Company News (BW US)</t>
  </si>
  <si>
    <t>Babcock &amp; Wilcox Enterprises Inc</t>
  </si>
  <si>
    <t>2025Q3 CF (AIT US)</t>
  </si>
  <si>
    <t>CAR PW Equity</t>
  </si>
  <si>
    <t>2022Q2 CF (CAR PW)</t>
  </si>
  <si>
    <t>Inter Cars SA</t>
  </si>
  <si>
    <t>CLT AU Equity</t>
  </si>
  <si>
    <t>2022A CF (CLT AU)</t>
  </si>
  <si>
    <t>Cellnet Group Ltd</t>
  </si>
  <si>
    <t>SFM US Equity</t>
  </si>
  <si>
    <t>Estimate (SFM US)</t>
  </si>
  <si>
    <t>Sprouts Farmers Market Inc</t>
  </si>
  <si>
    <t>Estimate (GE US)</t>
  </si>
  <si>
    <t>General Electric Co</t>
  </si>
  <si>
    <t>SARO US Equity</t>
  </si>
  <si>
    <t>Estimate (SARO US)</t>
  </si>
  <si>
    <t>StandardAero Inc</t>
  </si>
  <si>
    <t>CAE CN Equity</t>
  </si>
  <si>
    <t>Estimate (CAE CN)</t>
  </si>
  <si>
    <t>CAE Inc</t>
  </si>
  <si>
    <t>0882617D US Equity</t>
  </si>
  <si>
    <t>2024A CF (RJET US)</t>
  </si>
  <si>
    <t>Ascent Aviation Services Corp</t>
  </si>
  <si>
    <t>2024A CF (NEWT US)</t>
  </si>
  <si>
    <t>NewtekOne Inc</t>
  </si>
  <si>
    <t>002212 CH Equity</t>
  </si>
  <si>
    <t>2021A CF (002212 CH)</t>
  </si>
  <si>
    <t>Topsec Technologies Group Inc</t>
  </si>
  <si>
    <t>1332923D SS Equity</t>
  </si>
  <si>
    <t>Company News (DDD US)</t>
  </si>
  <si>
    <t>WeMatter AB</t>
  </si>
  <si>
    <t>1920703D US Equity</t>
  </si>
  <si>
    <t>Company News (1920703D US)</t>
  </si>
  <si>
    <t>6K Inc</t>
  </si>
  <si>
    <t>2023Q3 CF (FRSH US)</t>
  </si>
  <si>
    <t>Company News (1319133D US)</t>
  </si>
  <si>
    <t>SheerID Inc</t>
  </si>
  <si>
    <t>1742183D US Equity</t>
  </si>
  <si>
    <t>Company News (1742183D US)</t>
  </si>
  <si>
    <t>Stylitics Inc</t>
  </si>
  <si>
    <t>GTM US Equity</t>
  </si>
  <si>
    <t>2025Q4 CF (GTM US)</t>
  </si>
  <si>
    <t>ZoomInfo Technologies Inc</t>
  </si>
  <si>
    <t>KEYS US Equity</t>
  </si>
  <si>
    <t>Company News (FORR US)</t>
  </si>
  <si>
    <t>Keysight Technologies Inc</t>
  </si>
  <si>
    <t>NET US Equity</t>
  </si>
  <si>
    <t>Company News (NET US)</t>
  </si>
  <si>
    <t>Cloudflare Inc</t>
  </si>
  <si>
    <t>2025A CF (UAL US)</t>
  </si>
  <si>
    <t>Morris &amp; Dickson Co Ltd</t>
  </si>
  <si>
    <t>0875634D US Equity</t>
  </si>
  <si>
    <t>Asembia Health Care LLC</t>
  </si>
  <si>
    <t>11630Z US Equity</t>
  </si>
  <si>
    <t>Kaiser Foundation Health Plan Inc</t>
  </si>
  <si>
    <t>1660622D US Equity</t>
  </si>
  <si>
    <t>RX Sourcing Strategies LLC</t>
  </si>
  <si>
    <t>1684072D US Equity</t>
  </si>
  <si>
    <t>Premiere Group/The</t>
  </si>
  <si>
    <t>Estimate (JD/ LN)</t>
  </si>
  <si>
    <t>Estimate (VFC US)</t>
  </si>
  <si>
    <t>DKS US Equity</t>
  </si>
  <si>
    <t>Dick's Sporting Goods Inc</t>
  </si>
  <si>
    <t>2025Q2 CF (WIX US)</t>
  </si>
  <si>
    <t>Wix.com Ltd</t>
  </si>
  <si>
    <t>2021A CF (BUC LN)</t>
  </si>
  <si>
    <t>Built Cybernetics PLC</t>
  </si>
  <si>
    <t>KNOS LN Equity</t>
  </si>
  <si>
    <t>2022A CF (KNOS LN)</t>
  </si>
  <si>
    <t>Kainos Group PLC</t>
  </si>
  <si>
    <t>Estimate (NEM US)</t>
  </si>
  <si>
    <t>Newmont Corp</t>
  </si>
  <si>
    <t>ALLE US Equity</t>
  </si>
  <si>
    <t>Allegion plc</t>
  </si>
  <si>
    <t>ATKR US Equity</t>
  </si>
  <si>
    <t>Atkore Inc</t>
  </si>
  <si>
    <t>BLD US Equity</t>
  </si>
  <si>
    <t>TopBuild Corp</t>
  </si>
  <si>
    <t>Estimate (MT NA)</t>
  </si>
  <si>
    <t>ArcelorMittal SA</t>
  </si>
  <si>
    <t>48835Z US Equity</t>
  </si>
  <si>
    <t>2022Q2 CF (48835Z US)</t>
  </si>
  <si>
    <t>Talen Energy Supply LLC</t>
  </si>
  <si>
    <t>CRN AU Equity</t>
  </si>
  <si>
    <t>2023A CF (CRN AU)</t>
  </si>
  <si>
    <t>Coronado Global Resources Inc</t>
  </si>
  <si>
    <t>Estimate (FICO US)</t>
  </si>
  <si>
    <t>Experian PLC</t>
  </si>
  <si>
    <t>EFX US Equity</t>
  </si>
  <si>
    <t>Equifax Inc</t>
  </si>
  <si>
    <t>TRU US Equity</t>
  </si>
  <si>
    <t>TransUnion</t>
  </si>
  <si>
    <t>2021A CF (002293 CH)</t>
  </si>
  <si>
    <t>Luolai Lifestyle Technology Co Ltd</t>
  </si>
  <si>
    <t>015760 KS Equity</t>
  </si>
  <si>
    <t>2024C2 CF (015760 KS)</t>
  </si>
  <si>
    <t>Korea Electric Power Corp</t>
  </si>
  <si>
    <t>0197446Z US Equity</t>
  </si>
  <si>
    <t>Company News (PARA US)</t>
  </si>
  <si>
    <t>Nielsen Co US LLC/The</t>
  </si>
  <si>
    <t>051600 KS Equity</t>
  </si>
  <si>
    <t>2024A CF (051600 KS)</t>
  </si>
  <si>
    <t>KEPCO Plant Service &amp; Engineering Co Ltd</t>
  </si>
  <si>
    <t>1026Z US Equity</t>
  </si>
  <si>
    <t>Company News (1026Z US)</t>
  </si>
  <si>
    <t>Cox Enterprises Inc</t>
  </si>
  <si>
    <t>2025Q3 CF (CTRE US)</t>
  </si>
  <si>
    <t>Ensign Group Inc/The</t>
  </si>
  <si>
    <t>PACS US Equity</t>
  </si>
  <si>
    <t>2025Q1 CF (CTRE US)</t>
  </si>
  <si>
    <t>PACS Group Inc</t>
  </si>
  <si>
    <t>1971006D LN Equity</t>
  </si>
  <si>
    <t>Minster Care Group Ltd</t>
  </si>
  <si>
    <t>303194Z US Equity</t>
  </si>
  <si>
    <t>Covenant Care Inc</t>
  </si>
  <si>
    <t>1400526D US Equity</t>
  </si>
  <si>
    <t>Cascadia Healthcare LLC</t>
  </si>
  <si>
    <t>CSX US Equity</t>
  </si>
  <si>
    <t>Estimate (CSX US)</t>
  </si>
  <si>
    <t>CSX Corp</t>
  </si>
  <si>
    <t>NRP US Equity</t>
  </si>
  <si>
    <t>2025Q3 CF (NRP US)</t>
  </si>
  <si>
    <t>Natural Resource Partners LP</t>
  </si>
  <si>
    <t>2025A CF (EQT US)</t>
  </si>
  <si>
    <t>Blue Racer Midstream LLC</t>
  </si>
  <si>
    <t>MPLX US Equity</t>
  </si>
  <si>
    <t>MPLX LP</t>
  </si>
  <si>
    <t>WMB US Equity</t>
  </si>
  <si>
    <t>Williams Cos Inc/The</t>
  </si>
  <si>
    <t>2024A CF (NFG US)</t>
  </si>
  <si>
    <t>National Fuel Gas Co</t>
  </si>
  <si>
    <t>Gotransverse LLC</t>
  </si>
  <si>
    <t>AKAM US Equity</t>
  </si>
  <si>
    <t>Company News (AKAM US)</t>
  </si>
  <si>
    <t>Akamai Technologies Inc</t>
  </si>
  <si>
    <t>EXAI IM Equity</t>
  </si>
  <si>
    <t>2024A CF (EXAI IM)</t>
  </si>
  <si>
    <t>Expert.ai SpA</t>
  </si>
  <si>
    <t>WPP AU Equity</t>
  </si>
  <si>
    <t>2021A CF (WPP AU)</t>
  </si>
  <si>
    <t>WPP AUNZ Pty Ltd</t>
  </si>
  <si>
    <t>2023Q1 CF (1725219D US)</t>
  </si>
  <si>
    <t>Heritage Power LLC</t>
  </si>
  <si>
    <t>ETRN US Equity</t>
  </si>
  <si>
    <t>2023A CF (ETRN US)</t>
  </si>
  <si>
    <t>Equitrans Midstream Corp</t>
  </si>
  <si>
    <t>2024A CF (GNE US)</t>
  </si>
  <si>
    <t>8416 TT Equity</t>
  </si>
  <si>
    <t>2024A CF (8416 TT)</t>
  </si>
  <si>
    <t>Solidwizard Technology Co Ltd</t>
  </si>
  <si>
    <t>002031 CH Equity</t>
  </si>
  <si>
    <t>2024A CF (002031 CH)</t>
  </si>
  <si>
    <t>Greatoo Intelligent Equipment Inc</t>
  </si>
  <si>
    <t>039310 KS Equity</t>
  </si>
  <si>
    <t>2022C3 CF (039310 KS)</t>
  </si>
  <si>
    <t>Sejoong Co Ltd</t>
  </si>
  <si>
    <t>2022A CF (GFR US)</t>
  </si>
  <si>
    <t>Trafigura Group Pte Ltd</t>
  </si>
  <si>
    <t>1195789D CN Equity</t>
  </si>
  <si>
    <t>Trafigura Canada GP</t>
  </si>
  <si>
    <t>2021A CF (SQNS US)</t>
  </si>
  <si>
    <t>Sequans Communications SA</t>
  </si>
  <si>
    <t>2024A CF (GFR US)</t>
  </si>
  <si>
    <t>Alberta Electric System Operator</t>
  </si>
  <si>
    <t>2026Z CN Equity</t>
  </si>
  <si>
    <t>Province of Alberta Canada</t>
  </si>
  <si>
    <t>TRP CN Equity</t>
  </si>
  <si>
    <t>TC Energy Corp</t>
  </si>
  <si>
    <t>2023Q3 CF (BWXT US)</t>
  </si>
  <si>
    <t>BWX Technologies Inc</t>
  </si>
  <si>
    <t>2023A CF (CNR CN)</t>
  </si>
  <si>
    <t>FCT IM Equity</t>
  </si>
  <si>
    <t>2024A CF (FCT IM)</t>
  </si>
  <si>
    <t>Fincantieri SpA</t>
  </si>
  <si>
    <t>GMEXICOB MM Equity</t>
  </si>
  <si>
    <t>2024A CF (GMEXICOB MM)</t>
  </si>
  <si>
    <t>Grupo Mexico SAB de CV</t>
  </si>
  <si>
    <t>HAV NO Equity</t>
  </si>
  <si>
    <t>2022Q1 CF (HAV NO)</t>
  </si>
  <si>
    <t>HAV Group ASA</t>
  </si>
  <si>
    <t>2025C3 CF (038340 KS)</t>
  </si>
  <si>
    <t>Mugunghwa Information Technolo</t>
  </si>
  <si>
    <t>Tenaska Marketing Ventures GP</t>
  </si>
  <si>
    <t>9888092Z US Equity</t>
  </si>
  <si>
    <t>Vitol Inc</t>
  </si>
  <si>
    <t>CNA LN Equity</t>
  </si>
  <si>
    <t>Company News (NFG US)</t>
  </si>
  <si>
    <t>Centrica PLC</t>
  </si>
  <si>
    <t>CVX US Equity</t>
  </si>
  <si>
    <t>2025A CF (NFG US)</t>
  </si>
  <si>
    <t>Chevron Corp</t>
  </si>
  <si>
    <t>Company News (CBC US)</t>
  </si>
  <si>
    <t>Sagent M&amp;C LLC</t>
  </si>
  <si>
    <t>TCS IN Equity</t>
  </si>
  <si>
    <t>Company News (TCS IN)</t>
  </si>
  <si>
    <t>Tata Consultancy Services Ltd</t>
  </si>
  <si>
    <t>2022A CF (6109 TT)</t>
  </si>
  <si>
    <t>Atech OEM Inc</t>
  </si>
  <si>
    <t>600586 CH Equity</t>
  </si>
  <si>
    <t>2024A CF (600586 CH)</t>
  </si>
  <si>
    <t>Shandong Jinjing Science &amp; Technology Co Ltd</t>
  </si>
  <si>
    <t>0003038D US Equity</t>
  </si>
  <si>
    <t>2022Q3 CF (LKQ US)</t>
  </si>
  <si>
    <t>Seawide Marine Distribution Inc</t>
  </si>
  <si>
    <t>0067090D US Equity</t>
  </si>
  <si>
    <t>FAB Fours Inc</t>
  </si>
  <si>
    <t>1354560D US Equity</t>
  </si>
  <si>
    <t>Company News (1354560D US)</t>
  </si>
  <si>
    <t>Autosales Inc</t>
  </si>
  <si>
    <t>CTTEA US Equity</t>
  </si>
  <si>
    <t>2024Q2 CF (CTTEA US)</t>
  </si>
  <si>
    <t>True Value Co LLC</t>
  </si>
  <si>
    <t>2021A CF (036460 KS)</t>
  </si>
  <si>
    <t>Korea Gas Corp</t>
  </si>
  <si>
    <t>285130 KS Equity</t>
  </si>
  <si>
    <t>2023C3 CF (285130 KS)</t>
  </si>
  <si>
    <t>SK Chemicals Co Ltd</t>
  </si>
  <si>
    <t>4919 TT Equity</t>
  </si>
  <si>
    <t>2021A CF (4919 TT)</t>
  </si>
  <si>
    <t>Nuvoton Technology Corp</t>
  </si>
  <si>
    <t>6176 TT Equity</t>
  </si>
  <si>
    <t>2024A CF (6176 TT)</t>
  </si>
  <si>
    <t>Radiant Opto-Electronics Corp</t>
  </si>
  <si>
    <t>2023C1 CF (000720 KS)</t>
  </si>
  <si>
    <t>Hyundai Engineering &amp; Construction Co Ltd</t>
  </si>
  <si>
    <t>Company News (MSA US)</t>
  </si>
  <si>
    <t>0230497Z US Equity</t>
  </si>
  <si>
    <t>DHS US Coast Guard</t>
  </si>
  <si>
    <t>0706379D US Equity</t>
  </si>
  <si>
    <t>Los Angeles County Fire Department</t>
  </si>
  <si>
    <t>2023A CF (MSA US)</t>
  </si>
  <si>
    <t>1013650D SM Equity</t>
  </si>
  <si>
    <t>2024A CF (RCKT US)</t>
  </si>
  <si>
    <t>Centro de Investigaciones Energeticas Medioambientales y Tecnologicas</t>
  </si>
  <si>
    <t>1028964D SM Equity</t>
  </si>
  <si>
    <t>Centro de Investigacion Biomedica EN Red</t>
  </si>
  <si>
    <t>1642224Z LN Equity</t>
  </si>
  <si>
    <t>Ucl Business Ltd</t>
  </si>
  <si>
    <t>20479MF US Equity</t>
  </si>
  <si>
    <t>2022A CF (RCKT US)</t>
  </si>
  <si>
    <t>University of Minnesota</t>
  </si>
  <si>
    <t>2024A CF (TGEN US)</t>
  </si>
  <si>
    <t>University of Wisconsin System/The</t>
  </si>
  <si>
    <t>Edenred SE</t>
  </si>
  <si>
    <t>KNOW SS Equity</t>
  </si>
  <si>
    <t>Company News (KNOW SS)</t>
  </si>
  <si>
    <t>KNOW IT AB</t>
  </si>
  <si>
    <t>Estimate (TEN IM)</t>
  </si>
  <si>
    <t>Tenaris SA</t>
  </si>
  <si>
    <t>TT US Equity</t>
  </si>
  <si>
    <t>Estimate (TT US)</t>
  </si>
  <si>
    <t>Trane Technologies PLC</t>
  </si>
  <si>
    <t>002171 CH Equity</t>
  </si>
  <si>
    <t>2024A CF (002171 CH)</t>
  </si>
  <si>
    <t>Anhui Truchum Advanced Materials &amp; Technology Co Ltd</t>
  </si>
  <si>
    <t>2025A CF (ATKR US)</t>
  </si>
  <si>
    <t>2024Q1 CF (BLKB US)</t>
  </si>
  <si>
    <t>Sarcoma Foundation of America Inc/The</t>
  </si>
  <si>
    <t>0327378Z US Equity</t>
  </si>
  <si>
    <t>ALS Association</t>
  </si>
  <si>
    <t>0432484D US Equity</t>
  </si>
  <si>
    <t>Christian Rockford Education Association</t>
  </si>
  <si>
    <t>1819908D US Equity</t>
  </si>
  <si>
    <t>Company News (BLKB US)</t>
  </si>
  <si>
    <t>Almabase Inc</t>
  </si>
  <si>
    <t>1904811D US Equity</t>
  </si>
  <si>
    <t>PairSoft Technologies Inc</t>
  </si>
  <si>
    <t>2025A CF (HAE US)</t>
  </si>
  <si>
    <t>Octapharma AG</t>
  </si>
  <si>
    <t>7575 JP Equity</t>
  </si>
  <si>
    <t>2025A CF (7575 JP)</t>
  </si>
  <si>
    <t>Japan Lifeline Co Ltd</t>
  </si>
  <si>
    <t>CSL AU Equity</t>
  </si>
  <si>
    <t>CSL Ltd</t>
  </si>
  <si>
    <t>GRF SM Equity</t>
  </si>
  <si>
    <t>Grifols SA</t>
  </si>
  <si>
    <t>Estimate (ERA FP)</t>
  </si>
  <si>
    <t>Eramet SA</t>
  </si>
  <si>
    <t>5411 JP Equity</t>
  </si>
  <si>
    <t>Estimate (5411 JP)</t>
  </si>
  <si>
    <t>JFE Holdings Inc</t>
  </si>
  <si>
    <t>NVRI US Equity</t>
  </si>
  <si>
    <t>Estimate (NVRI US)</t>
  </si>
  <si>
    <t>Enviri Corp</t>
  </si>
  <si>
    <t>VSVS LN Equity</t>
  </si>
  <si>
    <t>Estimate (VSVS LN)</t>
  </si>
  <si>
    <t>Vesuvius PLC</t>
  </si>
  <si>
    <t>Company News (CWLM US)</t>
  </si>
  <si>
    <t>Eastern Pacific Shipping Pte Ltd</t>
  </si>
  <si>
    <t>2022A CF (6189 TT)</t>
  </si>
  <si>
    <t>Promate Electronic Co Ltd</t>
  </si>
  <si>
    <t>FIEE US Equity</t>
  </si>
  <si>
    <t>2022A CF (FIEE US)</t>
  </si>
  <si>
    <t>FiEE Inc</t>
  </si>
  <si>
    <t>Estimate (PWR US)</t>
  </si>
  <si>
    <t>Quanta Services Inc</t>
  </si>
  <si>
    <t>SND US Equity</t>
  </si>
  <si>
    <t>2024A CF (SND US)</t>
  </si>
  <si>
    <t>Smart Sand Inc</t>
  </si>
  <si>
    <t>MTZ US Equity</t>
  </si>
  <si>
    <t>Estimate (MTZ US)</t>
  </si>
  <si>
    <t>MasTec Inc</t>
  </si>
  <si>
    <t>Company News (SRE US)</t>
  </si>
  <si>
    <t>STOWV1 US Equity</t>
  </si>
  <si>
    <t>2025Q3 CF (EQT US)</t>
  </si>
  <si>
    <t>State of West Virginia</t>
  </si>
  <si>
    <t>BING GR Equity</t>
  </si>
  <si>
    <t>Boehringer Ingelheim GmbH</t>
  </si>
  <si>
    <t>7459 JP Equity</t>
  </si>
  <si>
    <t>Medipal Holdings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</si>
</sst>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003366"/>
      <name val="Calibri"/>
    </font>
    <font>
      <b/>
      <sz val="10"/>
      <color rgb="FF003366"/>
      <name val="Calibri"/>
    </font>
    <font>
      <b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BDS|10841559295094768255</stp>
        <tr r="AS5" s="35"/>
      </tp>
      <tp t="s">
        <v>#N/A N/A</v>
        <stp/>
        <stp>BDS|12018170783641725098</stp>
        <tr r="EE5" s="42"/>
      </tp>
      <tp t="s">
        <v>#N/A N/A</v>
        <stp/>
        <stp>BDS|18059636159599655865</stp>
        <tr r="PE5" s="47"/>
      </tp>
      <tp t="s">
        <v>#N/A N/A</v>
        <stp/>
        <stp>BDS|10233424043573976900</stp>
        <tr r="JY5" s="34"/>
      </tp>
      <tp t="s">
        <v>#N/A N/A</v>
        <stp/>
        <stp>BDS|11547759243158131096</stp>
        <tr r="SA5" s="36"/>
      </tp>
      <tp t="s">
        <v>#N/A N/A</v>
        <stp/>
        <stp>BDS|13999927967815161357</stp>
        <tr r="DA5" s="31"/>
      </tp>
      <tp t="s">
        <v>#N/A N/A</v>
        <stp/>
        <stp>BDS|11357358788541970191</stp>
        <tr r="OO5" s="2"/>
      </tp>
      <tp t="s">
        <v>#N/A N/A</v>
        <stp/>
        <stp>BDS|12001081018338790198</stp>
        <tr r="OO5" s="37"/>
      </tp>
      <tp t="s">
        <v>#N/A N/A</v>
        <stp/>
        <stp>BDS|10185916179833220752</stp>
        <tr r="SQ5" s="23"/>
      </tp>
      <tp t="s">
        <v>#N/A N/A</v>
        <stp/>
        <stp>BDS|13192985017578948987</stp>
        <tr r="TE5" s="46"/>
      </tp>
      <tp t="s">
        <v>#N/A N/A</v>
        <stp/>
        <stp>BDS|13345725196400158792</stp>
        <tr r="FI5" s="21"/>
        <tr r="DA5" s="47"/>
      </tp>
      <tp t="s">
        <v>#N/A N/A</v>
        <stp/>
        <stp>BDS|16378377388025207214</stp>
        <tr r="PS5" s="32"/>
      </tp>
      <tp t="s">
        <v>#N/A N/A</v>
        <stp/>
        <stp>BDS|17954173418704889923</stp>
        <tr r="NK5" s="38"/>
      </tp>
      <tp t="s">
        <v>#N/A N/A</v>
        <stp/>
        <stp>BDS|11670820340947190092</stp>
        <tr r="IG5" s="19"/>
      </tp>
      <tp t="s">
        <v>#N/A N/A</v>
        <stp/>
        <stp>BDS|17983187312939941466</stp>
        <tr r="JY5" s="9"/>
      </tp>
      <tp t="s">
        <v>#N/A N/A</v>
        <stp/>
        <stp>BDS|17519882876806205444</stp>
        <tr r="FY5" s="35"/>
        <tr r="FY5" s="43"/>
      </tp>
      <tp t="s">
        <v>#N/A N/A</v>
        <stp/>
        <stp>BDS|13855162633569653261</stp>
        <tr r="BI5" s="48"/>
      </tp>
      <tp t="s">
        <v>#N/A N/A</v>
        <stp/>
        <stp>BDS|13796620091246150071</stp>
        <tr r="EU5" s="17"/>
      </tp>
      <tp t="s">
        <v>#N/A N/A</v>
        <stp/>
        <stp>BDS|15175673091122599213</stp>
        <tr r="DA5" s="21"/>
        <tr r="VM5" s="32"/>
      </tp>
      <tp t="s">
        <v>#N/A N/A</v>
        <stp/>
        <stp>BDS|14689740974989172749</stp>
        <tr r="PS5" s="31"/>
      </tp>
      <tp t="s">
        <v>#N/A N/A</v>
        <stp/>
        <stp>BDS|15555861555677398566</stp>
        <tr r="HQ5" s="21"/>
      </tp>
      <tp t="s">
        <v>#N/A N/A</v>
        <stp/>
        <stp>BDS|16602955284965134852</stp>
        <tr r="LS5" s="22"/>
        <tr r="IG5" s="28"/>
      </tp>
      <tp t="s">
        <v>#N/A N/A</v>
        <stp/>
        <stp>BDS|12697265199094304790</stp>
        <tr r="QI5" s="47"/>
        <tr r="EU5" s="12"/>
        <tr r="EU5" s="36"/>
        <tr r="SQ5" s="39"/>
        <tr r="LS5" s="13"/>
        <tr r="HC5" s="14"/>
        <tr r="LS5" s="17"/>
        <tr r="RM5" s="44"/>
        <tr r="FY5" s="37"/>
      </tp>
      <tp t="s">
        <v>#N/A N/A</v>
        <stp/>
        <stp>BDS|16550929145952262332</stp>
        <tr r="GM5" s="23"/>
      </tp>
      <tp t="s">
        <v>#N/A N/A</v>
        <stp/>
        <stp>BDS|14448467599342110194</stp>
        <tr r="IU5" s="7"/>
      </tp>
      <tp t="s">
        <v>#N/A N/A</v>
        <stp/>
        <stp>BDS|10648020691956110547</stp>
        <tr r="UY5" s="25"/>
      </tp>
      <tp t="s">
        <v>#N/A N/A</v>
        <stp/>
        <stp>BDS|15783177784772320473</stp>
        <tr r="RM5" s="1"/>
      </tp>
      <tp t="s">
        <v>#N/A N/A</v>
        <stp/>
        <stp>BDS|12616997206119029898</stp>
        <tr r="NK5" s="42"/>
      </tp>
      <tp t="s">
        <v>#N/A N/A</v>
        <stp/>
        <stp>BDS|12464745292137190136</stp>
        <tr r="VM5" s="40"/>
      </tp>
      <tp t="s">
        <v>#N/A N/A</v>
        <stp/>
        <stp>BDS|18009787277887601592</stp>
        <tr r="SQ5" s="33"/>
      </tp>
      <tp t="s">
        <v>#N/A N/A</v>
        <stp/>
        <stp>BDS|12490065938373277884</stp>
        <tr r="TU5" s="33"/>
      </tp>
      <tp t="s">
        <v>#N/A N/A</v>
        <stp/>
        <stp>BDS|17480447193563482375</stp>
        <tr r="JY5" s="50"/>
      </tp>
      <tp t="s">
        <v>#N/A N/A</v>
        <stp/>
        <stp>BDS|13160679884975532263</stp>
        <tr r="RM5" s="4"/>
        <tr r="PE5" s="8"/>
        <tr r="DQ5" s="12"/>
        <tr r="OA5" s="44"/>
      </tp>
      <tp t="s">
        <v>#N/A N/A</v>
        <stp/>
        <stp>BDS|11740541017189602649</stp>
        <tr r="AE5" s="2"/>
        <tr r="SQ5" s="8"/>
        <tr r="CM5" s="34"/>
      </tp>
      <tp t="s">
        <v>#N/A N/A</v>
        <stp/>
        <stp>BDS|18281446604904068241</stp>
        <tr r="VM5" s="9"/>
      </tp>
      <tp t="s">
        <v>#N/A N/A</v>
        <stp/>
        <stp>BDS|14577721833973616949</stp>
        <tr r="EU5" s="41"/>
      </tp>
      <tp t="s">
        <v>#N/A N/A</v>
        <stp/>
        <stp>BDS|12121133292780261047</stp>
        <tr r="UI5" s="15"/>
        <tr r="FI5" s="43"/>
      </tp>
      <tp t="s">
        <v>#N/A N/A</v>
        <stp/>
        <stp>BDS|13956582585133561775</stp>
        <tr r="FI5" s="8"/>
        <tr r="BW5" s="37"/>
      </tp>
      <tp t="s">
        <v>#N/A N/A</v>
        <stp/>
        <stp>BDS|17529856000627603219</stp>
        <tr r="PE5" s="19"/>
      </tp>
      <tp t="s">
        <v>#N/A N/A</v>
        <stp/>
        <stp>BDS|13126237938390887855</stp>
        <tr r="TU5" s="44"/>
      </tp>
      <tp t="s">
        <v>#N/A N/A</v>
        <stp/>
        <stp>BDS|17141754529529336199</stp>
        <tr r="MW5" s="38"/>
      </tp>
      <tp t="s">
        <v>#N/A N/A</v>
        <stp/>
        <stp>BDS|10363056284591637337</stp>
        <tr r="OO5" s="31"/>
      </tp>
      <tp t="s">
        <v>#N/A N/A</v>
        <stp/>
        <stp>BDS|15417043647133241826</stp>
        <tr r="AE5" s="18"/>
      </tp>
      <tp t="s">
        <v>#N/A N/A</v>
        <stp/>
        <stp>BDS|17920894233496665022</stp>
        <tr r="NK5" s="12"/>
      </tp>
      <tp t="s">
        <v>#N/A N/A</v>
        <stp/>
        <stp>BDS|17180515488523207202</stp>
        <tr r="GM5" s="4"/>
        <tr r="LC5" s="44"/>
      </tp>
      <tp t="s">
        <v>#N/A N/A</v>
        <stp/>
        <stp>BDS|14808018042439169208</stp>
        <tr r="DQ5" s="22"/>
      </tp>
      <tp t="s">
        <v>#N/A N/A</v>
        <stp/>
        <stp>BDS|16899199238168572761</stp>
        <tr r="PS5" s="26"/>
      </tp>
      <tp t="s">
        <v>#N/A N/A</v>
        <stp/>
        <stp>BDS|17612490610980706936</stp>
        <tr r="A5" s="13"/>
      </tp>
      <tp t="s">
        <v>#N/A N/A</v>
        <stp/>
        <stp>BDS|17764879756094405592</stp>
        <tr r="TU5" s="47"/>
      </tp>
      <tp t="s">
        <v>#N/A N/A</v>
        <stp/>
        <stp>BDS|11899557443459280272</stp>
        <tr r="FY5" s="3"/>
        <tr r="SQ5" s="25"/>
      </tp>
      <tp t="s">
        <v>#N/A N/A</v>
        <stp/>
        <stp>BDS|17927529544158255569</stp>
        <tr r="PE5" s="48"/>
      </tp>
      <tp t="s">
        <v>#N/A N/A</v>
        <stp/>
        <stp>BDS|11532362669208690744</stp>
        <tr r="BI5" s="22"/>
      </tp>
      <tp t="s">
        <v>#N/A N/A</v>
        <stp/>
        <stp>BDS|13462177249228635541</stp>
        <tr r="UY5" s="34"/>
      </tp>
      <tp t="s">
        <v>#N/A N/A</v>
        <stp/>
        <stp>BDS|12763905105226206690</stp>
        <tr r="PS5" s="50"/>
      </tp>
      <tp t="s">
        <v>#N/A N/A</v>
        <stp/>
        <stp>BDS|16017502943978817455</stp>
        <tr r="OA5" s="41"/>
        <tr r="RM5" s="30"/>
      </tp>
      <tp t="s">
        <v>#N/A N/A</v>
        <stp/>
        <stp>BDS|11287160597506824453</stp>
        <tr r="IG5" s="10"/>
      </tp>
      <tp t="s">
        <v>#N/A N/A</v>
        <stp/>
        <stp>BDS|14644496781342279127</stp>
        <tr r="FY5" s="31"/>
      </tp>
      <tp t="s">
        <v>#N/A N/A</v>
        <stp/>
        <stp>BDS|14409377618319393469</stp>
        <tr r="FY5" s="39"/>
      </tp>
      <tp t="s">
        <v>#N/A N/A</v>
        <stp/>
        <stp>BDS|12880404356991997983</stp>
        <tr r="TU5" s="21"/>
      </tp>
      <tp t="s">
        <v>#N/A N/A</v>
        <stp/>
        <stp>BDS|17337535790805711582</stp>
        <tr r="IG5" s="43"/>
      </tp>
      <tp t="s">
        <v>#N/A N/A</v>
        <stp/>
        <stp>BDS|12373420034649247784</stp>
        <tr r="GM5" s="38"/>
      </tp>
      <tp t="s">
        <v>#N/A N/A</v>
        <stp/>
        <stp>BDS|10094905930437852647</stp>
        <tr r="MG5" s="42"/>
      </tp>
      <tp t="s">
        <v>#N/A N/A</v>
        <stp/>
        <stp>BDS|17683953325687260086</stp>
        <tr r="PS5" s="48"/>
      </tp>
      <tp t="s">
        <v>#N/A N/A</v>
        <stp/>
        <stp>BDS|10002505969759190159</stp>
        <tr r="MG5" s="33"/>
      </tp>
      <tp t="s">
        <v>#N/A N/A</v>
        <stp/>
        <stp>BDS|12590796578129004099</stp>
        <tr r="AS5" s="46"/>
        <tr r="O5" s="24"/>
      </tp>
      <tp t="s">
        <v>#N/A N/A</v>
        <stp/>
        <stp>BDS|17605832901962172689</stp>
        <tr r="HQ5" s="30"/>
      </tp>
      <tp t="s">
        <v>#N/A N/A</v>
        <stp/>
        <stp>BDS|13496324125399075011</stp>
        <tr r="DA5" s="30"/>
      </tp>
      <tp t="s">
        <v>#N/A N/A</v>
        <stp/>
        <stp>BDS|11396739031987268911</stp>
        <tr r="DQ5" s="31"/>
      </tp>
      <tp t="s">
        <v>#N/A N/A</v>
        <stp/>
        <stp>BDS|15741608155228518552</stp>
        <tr r="PS5" s="15"/>
      </tp>
      <tp t="s">
        <v>#N/A N/A</v>
        <stp/>
        <stp>BDS|18016753420477305147</stp>
        <tr r="SA5" s="5"/>
        <tr r="EE5" s="48"/>
      </tp>
      <tp t="s">
        <v>#N/A N/A</v>
        <stp/>
        <stp>BDS|10762380819271520811</stp>
        <tr r="PS5" s="40"/>
      </tp>
      <tp t="s">
        <v>#N/A N/A</v>
        <stp/>
        <stp>BDS|15165823724247788335</stp>
        <tr r="AS5" s="37"/>
      </tp>
      <tp t="s">
        <v>#N/A N/A</v>
        <stp/>
        <stp>BDS|13290768578078840073</stp>
        <tr r="NK5" s="18"/>
      </tp>
      <tp t="s">
        <v>#N/A N/A</v>
        <stp/>
        <stp>BDS|10929815517096636495</stp>
        <tr r="PS5" s="46"/>
      </tp>
      <tp t="s">
        <v>#N/A N/A</v>
        <stp/>
        <stp>BDS|18423964987606677429</stp>
        <tr r="DA5" s="4"/>
      </tp>
      <tp t="s">
        <v>#N/A N/A</v>
        <stp/>
        <stp>BDS|18097463666868370928</stp>
        <tr r="EU5" s="15"/>
      </tp>
      <tp t="s">
        <v>#N/A N/A</v>
        <stp/>
        <stp>BDS|17057734562648306532</stp>
        <tr r="GM5" s="2"/>
      </tp>
      <tp t="s">
        <v>#N/A N/A</v>
        <stp/>
        <stp>BDS|14650163736715233821</stp>
        <tr r="JK5" s="21"/>
      </tp>
      <tp t="s">
        <v>#N/A N/A</v>
        <stp/>
        <stp>BDS|18034451121355153033</stp>
        <tr r="GM5" s="1"/>
      </tp>
      <tp t="s">
        <v>#N/A N/A</v>
        <stp/>
        <stp>BDS|10472874917774256605</stp>
        <tr r="A5" s="9"/>
      </tp>
      <tp t="s">
        <v>#N/A N/A</v>
        <stp/>
        <stp>BDS|12595674305619058607</stp>
        <tr r="IU5" s="36"/>
      </tp>
      <tp t="s">
        <v>#N/A N/A</v>
        <stp/>
        <stp>BDS|13640298185563469197</stp>
        <tr r="LC5" s="29"/>
        <tr r="UI5" s="20"/>
      </tp>
      <tp t="s">
        <v>#N/A N/A</v>
        <stp/>
        <stp>BDS|15111953867402436307</stp>
        <tr r="TU5" s="19"/>
      </tp>
      <tp t="s">
        <v>#N/A N/A</v>
        <stp/>
        <stp>BDS|11208927543730721734</stp>
        <tr r="MG5" s="3"/>
      </tp>
      <tp t="s">
        <v>#N/A N/A</v>
        <stp/>
        <stp>BDS|11513063856949973686</stp>
        <tr r="A5" s="29"/>
      </tp>
      <tp t="s">
        <v>#N/A N/A</v>
        <stp/>
        <stp>BDS|15394378476189602302</stp>
        <tr r="A5" s="25"/>
      </tp>
      <tp t="s">
        <v>#N/A N/A</v>
        <stp/>
        <stp>BDS|13381659758792824922</stp>
        <tr r="OA5" s="20"/>
        <tr r="DQ5" s="26"/>
        <tr r="OA5" s="45"/>
      </tp>
      <tp t="s">
        <v>#N/A N/A</v>
        <stp/>
        <stp>BDS|14573686096036407557</stp>
        <tr r="NK5" s="2"/>
      </tp>
      <tp t="s">
        <v>#N/A N/A</v>
        <stp/>
        <stp>BDS|14200117640239801008</stp>
        <tr r="BW5" s="2"/>
        <tr r="GM5" s="8"/>
      </tp>
      <tp t="s">
        <v>#N/A N/A</v>
        <stp/>
        <stp>BDS|10812953153557309367</stp>
        <tr r="MG5" s="6"/>
      </tp>
      <tp t="s">
        <v>#N/A N/A</v>
        <stp/>
        <stp>BDS|10857907800291356031</stp>
        <tr r="RM5" s="41"/>
      </tp>
      <tp t="s">
        <v>#N/A N/A</v>
        <stp/>
        <stp>BDS|15116935654774779583</stp>
        <tr r="PE5" s="40"/>
      </tp>
      <tp t="s">
        <v>#N/A N/A</v>
        <stp/>
        <stp>BDS|11875473321658654712</stp>
        <tr r="SQ5" s="48"/>
      </tp>
      <tp t="s">
        <v>#N/A N/A</v>
        <stp/>
        <stp>BDS|11558867699578211065</stp>
        <tr r="DA5" s="22"/>
      </tp>
      <tp t="s">
        <v>#N/A N/A</v>
        <stp/>
        <stp>BDS|17947199350112430993</stp>
        <tr r="VM5" s="2"/>
      </tp>
      <tp t="s">
        <v>#N/A N/A</v>
        <stp/>
        <stp>BDS|18325423217370323582</stp>
        <tr r="EU5" s="32"/>
      </tp>
      <tp t="s">
        <v>#N/A N/A</v>
        <stp/>
        <stp>BDS|10702808168837326112</stp>
        <tr r="EE5" s="33"/>
      </tp>
      <tp t="s">
        <v>#N/A N/A</v>
        <stp/>
        <stp>BDS|18034270280803509909</stp>
        <tr r="OO5" s="21"/>
        <tr r="GM5" s="19"/>
      </tp>
      <tp t="s">
        <v>#N/A N/A</v>
        <stp/>
        <stp>BDS|11700686838469116543</stp>
        <tr r="A5" s="26"/>
      </tp>
      <tp t="s">
        <v>#N/A N/A</v>
        <stp/>
        <stp>BDS|10410920340764415103</stp>
        <tr r="IU5" s="8"/>
        <tr r="NK5" s="24"/>
        <tr r="VM5" s="24"/>
        <tr r="QW5" s="40"/>
      </tp>
      <tp t="s">
        <v>#N/A N/A</v>
        <stp/>
        <stp>BDS|12496917515151301306</stp>
        <tr r="UY5" s="10"/>
      </tp>
      <tp t="s">
        <v>#N/A N/A</v>
        <stp/>
        <stp>BDS|18274342921120430103</stp>
        <tr r="HQ5" s="5"/>
      </tp>
      <tp t="s">
        <v>#N/A N/A</v>
        <stp/>
        <stp>BDS|11281554277829212211</stp>
        <tr r="AS5" s="19"/>
      </tp>
      <tp t="s">
        <v>#N/A N/A</v>
        <stp/>
        <stp>BDS|16515042014498026753</stp>
        <tr r="SA5" s="38"/>
      </tp>
      <tp t="s">
        <v>#N/A N/A</v>
        <stp/>
        <stp>BDS|17569313391394540104</stp>
        <tr r="JY5" s="26"/>
      </tp>
      <tp t="s">
        <v>#N/A N/A</v>
        <stp/>
        <stp>BDS|10294680575451895870</stp>
        <tr r="MW5" s="43"/>
      </tp>
      <tp t="s">
        <v>#N/A N/A</v>
        <stp/>
        <stp>BDS|13757681580341753490</stp>
        <tr r="DQ5" s="19"/>
      </tp>
      <tp t="s">
        <v>#N/A N/A</v>
        <stp/>
        <stp>BDS|10758785672590805845</stp>
        <tr r="JY5" s="2"/>
        <tr r="OO5" s="29"/>
        <tr r="FI5" s="40"/>
        <tr r="LC5" s="43"/>
      </tp>
      <tp t="s">
        <v>#N/A N/A</v>
        <stp/>
        <stp>BDS|16594543280666083503</stp>
        <tr r="IU5" s="49"/>
      </tp>
      <tp t="s">
        <v>#N/A N/A</v>
        <stp/>
        <stp>BDS|17961684922853789829</stp>
        <tr r="AS5" s="11"/>
      </tp>
      <tp t="s">
        <v>#N/A N/A</v>
        <stp/>
        <stp>BDS|12690428596525369278</stp>
        <tr r="FI5" s="4"/>
      </tp>
      <tp t="s">
        <v>#N/A N/A</v>
        <stp/>
        <stp>BDS|10162130991641606138</stp>
        <tr r="FI5" s="46"/>
      </tp>
      <tp t="s">
        <v>#N/A N/A</v>
        <stp/>
        <stp>BDS|10400798456139954341</stp>
        <tr r="PE5" s="4"/>
      </tp>
      <tp t="s">
        <v>#N/A N/A</v>
        <stp/>
        <stp>BDS|10046836774730385736</stp>
        <tr r="KO5" s="31"/>
      </tp>
      <tp t="s">
        <v>#N/A N/A</v>
        <stp/>
        <stp>BDS|16999257267589904351</stp>
        <tr r="CM5" s="21"/>
        <tr r="UY5" s="32"/>
      </tp>
      <tp t="s">
        <v>#N/A N/A</v>
        <stp/>
        <stp>BDS|15371018247308703150</stp>
        <tr r="TU5" s="39"/>
      </tp>
      <tp t="s">
        <v>#N/A N/A</v>
        <stp/>
        <stp>BDS|16070179921215792867</stp>
        <tr r="HC5" s="30"/>
      </tp>
      <tp t="s">
        <v>#N/A N/A</v>
        <stp/>
        <stp>BDS|11209885090438913044</stp>
        <tr r="PE5" s="34"/>
      </tp>
      <tp t="s">
        <v>#N/A N/A</v>
        <stp/>
        <stp>BDS|10162673330014691944</stp>
        <tr r="SA5" s="42"/>
      </tp>
      <tp t="s">
        <v>#N/A N/A</v>
        <stp/>
        <stp>BDS|10212193737138081285</stp>
        <tr r="BI5" s="33"/>
      </tp>
      <tp t="s">
        <v>#N/A N/A</v>
        <stp/>
        <stp>BDS|10957499051391026858</stp>
        <tr r="A5" s="21"/>
        <tr r="FY5" s="44"/>
      </tp>
      <tp t="s">
        <v>#N/A N/A</v>
        <stp/>
        <stp>BDS|11968659777680859864</stp>
        <tr r="JY5" s="47"/>
      </tp>
      <tp t="s">
        <v>#N/A N/A</v>
        <stp/>
        <stp>BDS|15647574052325655808</stp>
        <tr r="SQ5" s="15"/>
      </tp>
      <tp t="s">
        <v>#N/A N/A</v>
        <stp/>
        <stp>BDS|17200681569427364851</stp>
        <tr r="OA5" s="33"/>
      </tp>
      <tp t="s">
        <v>#N/A N/A</v>
        <stp/>
        <stp>BDS|11500826033630574243</stp>
        <tr r="UY5" s="28"/>
      </tp>
      <tp t="s">
        <v>#N/A N/A</v>
        <stp/>
        <stp>BDS|15163633968728057402</stp>
        <tr r="SA5" s="18"/>
      </tp>
      <tp t="s">
        <v>#N/A N/A</v>
        <stp/>
        <stp>BDS|15368171389854478121</stp>
        <tr r="TE5" s="28"/>
      </tp>
      <tp t="s">
        <v>#N/A N/A</v>
        <stp/>
        <stp>BDS|13110995711172597045</stp>
        <tr r="LS5" s="5"/>
      </tp>
      <tp t="s">
        <v>#N/A N/A</v>
        <stp/>
        <stp>BDS|17845252955528517150</stp>
        <tr r="A5" s="11"/>
      </tp>
      <tp t="s">
        <v>#N/A N/A</v>
        <stp/>
        <stp>BDS|16385210670479225391</stp>
        <tr r="DA5" s="40"/>
      </tp>
      <tp t="s">
        <v>#N/A N/A</v>
        <stp/>
        <stp>BDS|15952021376469620221</stp>
        <tr r="QI5" s="9"/>
      </tp>
      <tp t="s">
        <v>#N/A N/A</v>
        <stp/>
        <stp>BDS|12111808901997129483</stp>
        <tr r="TU5" s="28"/>
        <tr r="EU5" s="50"/>
      </tp>
      <tp t="s">
        <v>#N/A N/A</v>
        <stp/>
        <stp>BDS|16009141661571883937</stp>
        <tr r="DA5" s="38"/>
        <tr r="TE5" s="1"/>
      </tp>
      <tp t="s">
        <v>#N/A N/A</v>
        <stp/>
        <stp>BDS|17960456502649358331</stp>
        <tr r="JK5" s="6"/>
      </tp>
      <tp t="s">
        <v>#N/A N/A</v>
        <stp/>
        <stp>BDS|10062902745515902121</stp>
        <tr r="IU5" s="10"/>
      </tp>
      <tp t="s">
        <v>#N/A N/A</v>
        <stp/>
        <stp>BDS|10709907851236984318</stp>
        <tr r="AS5" s="6"/>
      </tp>
      <tp t="s">
        <v>#N/A N/A</v>
        <stp/>
        <stp>BDS|15549930620101043697</stp>
        <tr r="SA5" s="39"/>
      </tp>
      <tp t="s">
        <v>#N/A N/A</v>
        <stp/>
        <stp>BDS|17350429232708451188</stp>
        <tr r="JY5" s="36"/>
      </tp>
      <tp t="s">
        <v>#N/A N/A</v>
        <stp/>
        <stp>BDS|14863482489275113459</stp>
        <tr r="JY5" s="35"/>
      </tp>
      <tp t="s">
        <v>#N/A N/A</v>
        <stp/>
        <stp>BDS|11401126142835004893</stp>
        <tr r="KO5" s="16"/>
      </tp>
      <tp t="s">
        <v>#N/A N/A</v>
        <stp/>
        <stp>BDS|15270713591834477646</stp>
        <tr r="JK5" s="24"/>
        <tr r="KO5" s="42"/>
      </tp>
      <tp t="s">
        <v>#N/A N/A</v>
        <stp/>
        <stp>BDS|15918915329204621354</stp>
        <tr r="CM5" s="11"/>
      </tp>
      <tp t="s">
        <v>#N/A N/A</v>
        <stp/>
        <stp>BDS|11449476993893115620</stp>
        <tr r="A5" s="4"/>
      </tp>
      <tp t="s">
        <v>#N/A N/A</v>
        <stp/>
        <stp>BDS|12536932994878881397</stp>
        <tr r="RM5" s="16"/>
      </tp>
      <tp t="s">
        <v>#N/A N/A</v>
        <stp/>
        <stp>BDS|12345533064930610819</stp>
        <tr r="VM5" s="1"/>
      </tp>
      <tp t="s">
        <v>#N/A N/A</v>
        <stp/>
        <stp>BDS|13650757006735105873</stp>
        <tr r="VM5" s="5"/>
      </tp>
      <tp t="s">
        <v>#N/A N/A</v>
        <stp/>
        <stp>BDS|13243304819191141990</stp>
        <tr r="JK5" s="40"/>
        <tr r="HC5" s="39"/>
      </tp>
      <tp t="s">
        <v>#N/A N/A</v>
        <stp/>
        <stp>BDS|15050136482007492250</stp>
        <tr r="IG5" s="48"/>
      </tp>
      <tp t="s">
        <v>#N/A N/A</v>
        <stp/>
        <stp>BDS|12088546249658878250</stp>
        <tr r="VM5" s="21"/>
      </tp>
      <tp t="s">
        <v>#N/A N/A</v>
        <stp/>
        <stp>BDS|14529322625474461861</stp>
        <tr r="DA5" s="35"/>
      </tp>
      <tp t="s">
        <v>#N/A N/A</v>
        <stp/>
        <stp>BDS|18124691946723933076</stp>
        <tr r="JK5" s="29"/>
      </tp>
      <tp t="s">
        <v>#N/A N/A</v>
        <stp/>
        <stp>BDS|16872482670178426451</stp>
        <tr r="JY5" s="15"/>
        <tr r="O5" s="47"/>
      </tp>
      <tp t="s">
        <v>#N/A N/A</v>
        <stp/>
        <stp>BDS|16321324496500686573</stp>
        <tr r="DA5" s="9"/>
        <tr r="HQ5" s="22"/>
      </tp>
      <tp t="s">
        <v>#N/A N/A</v>
        <stp/>
        <stp>BDS|15992473922462284885</stp>
        <tr r="O5" s="31"/>
      </tp>
      <tp t="s">
        <v>#N/A N/A</v>
        <stp/>
        <stp>BDS|12066466307767531825</stp>
        <tr r="PS5" s="11"/>
      </tp>
      <tp t="s">
        <v>#N/A N/A</v>
        <stp/>
        <stp>BDS|16833515520471674991</stp>
        <tr r="BW5" s="34"/>
      </tp>
      <tp t="s">
        <v>#N/A N/A</v>
        <stp/>
        <stp>BDS|13084751282116948392</stp>
        <tr r="BI5" s="29"/>
      </tp>
      <tp t="s">
        <v>#N/A N/A</v>
        <stp/>
        <stp>BDS|14724791391521197291</stp>
        <tr r="UI5" s="13"/>
        <tr r="FI5" s="18"/>
        <tr r="IU5" s="18"/>
        <tr r="O5" s="46"/>
      </tp>
      <tp t="s">
        <v>#N/A N/A</v>
        <stp/>
        <stp>BDS|17594950936481278537</stp>
        <tr r="IG5" s="50"/>
      </tp>
      <tp t="s">
        <v>#N/A N/A</v>
        <stp/>
        <stp>BDS|12767067387057356422</stp>
        <tr r="SQ5" s="29"/>
      </tp>
      <tp t="s">
        <v>#N/A N/A</v>
        <stp/>
        <stp>BDS|13250257646944324865</stp>
        <tr r="RM5" s="26"/>
      </tp>
      <tp t="s">
        <v>#N/A N/A</v>
        <stp/>
        <stp>BDS|17418817637551456437</stp>
        <tr r="KO5" s="12"/>
      </tp>
      <tp t="s">
        <v>#N/A N/A</v>
        <stp/>
        <stp>BDS|12116092934050835811</stp>
        <tr r="PS5" s="7"/>
      </tp>
      <tp t="s">
        <v>#N/A N/A</v>
        <stp/>
        <stp>BDS|10156255251819860070</stp>
        <tr r="JK5" s="50"/>
      </tp>
      <tp t="s">
        <v>#N/A N/A</v>
        <stp/>
        <stp>BDS|18024486986652589801</stp>
        <tr r="IU5" s="24"/>
      </tp>
      <tp t="s">
        <v>#N/A N/A</v>
        <stp/>
        <stp>BDS|12810618276628163555</stp>
        <tr r="LC5" s="31"/>
      </tp>
      <tp t="s">
        <v>#N/A N/A</v>
        <stp/>
        <stp>BDS|17946813166970334752</stp>
        <tr r="UY5" s="2"/>
      </tp>
      <tp t="s">
        <v>#N/A N/A</v>
        <stp/>
        <stp>BDS|14334717802484670988</stp>
        <tr r="TU5" s="18"/>
      </tp>
      <tp t="s">
        <v>#N/A N/A</v>
        <stp/>
        <stp>BDS|16241874222552024091</stp>
        <tr r="OA5" s="38"/>
      </tp>
      <tp t="s">
        <v>#N/A N/A</v>
        <stp/>
        <stp>BDS|13907917196495078801</stp>
        <tr r="UY5" s="21"/>
      </tp>
      <tp t="s">
        <v>#N/A N/A</v>
        <stp/>
        <stp>BDS|17040637520034853949</stp>
        <tr r="KO5" s="19"/>
      </tp>
      <tp t="s">
        <v>#N/A N/A</v>
        <stp/>
        <stp>BDS|10094823766772355285</stp>
        <tr r="OO5" s="33"/>
      </tp>
      <tp t="s">
        <v>#N/A N/A</v>
        <stp/>
        <stp>BDS|11132930378485002456</stp>
        <tr r="MG5" s="14"/>
        <tr r="DA5" s="7"/>
        <tr r="DA5" s="46"/>
      </tp>
      <tp t="s">
        <v>#N/A N/A</v>
        <stp/>
        <stp>BDS|13556435195367400783</stp>
        <tr r="RM5" s="50"/>
      </tp>
      <tp t="s">
        <v>#N/A N/A</v>
        <stp/>
        <stp>BDS|14461737995284969042</stp>
        <tr r="PE5" s="17"/>
      </tp>
      <tp t="s">
        <v>#N/A N/A</v>
        <stp/>
        <stp>BDS|17770148492164327505</stp>
        <tr r="BI5" s="26"/>
      </tp>
      <tp t="s">
        <v>#N/A N/A</v>
        <stp/>
        <stp>BDS|18352561652615759327</stp>
        <tr r="SA5" s="31"/>
      </tp>
      <tp t="s">
        <v>#N/A N/A</v>
        <stp/>
        <stp>BDS|10781153407639129675</stp>
        <tr r="HQ5" s="8"/>
      </tp>
      <tp t="s">
        <v>#N/A N/A</v>
        <stp/>
        <stp>BDS|14470827027966042620</stp>
        <tr r="EE5" s="40"/>
      </tp>
      <tp t="s">
        <v>#N/A N/A</v>
        <stp/>
        <stp>BDS|17493817876415078301</stp>
        <tr r="UI5" s="29"/>
      </tp>
      <tp t="s">
        <v>#N/A N/A</v>
        <stp/>
        <stp>BDS|11841186564360172865</stp>
        <tr r="NK5" s="26"/>
        <tr r="BW5" s="31"/>
        <tr r="IU5" s="34"/>
        <tr r="EE5" s="46"/>
      </tp>
      <tp t="s">
        <v>#N/A N/A</v>
        <stp/>
        <stp>BDS|12811027866289957365</stp>
        <tr r="FI5" s="14"/>
      </tp>
      <tp t="s">
        <v>#N/A N/A</v>
        <stp/>
        <stp>BDS|12528117793475302148</stp>
        <tr r="LC5" s="15"/>
      </tp>
      <tp t="s">
        <v>#N/A N/A</v>
        <stp/>
        <stp>BDS|13026539156264210971</stp>
        <tr r="CM5" s="40"/>
      </tp>
      <tp t="s">
        <v>#N/A N/A</v>
        <stp/>
        <stp>BDS|16282369826659533075</stp>
        <tr r="JY5" s="12"/>
        <tr r="JY5" s="16"/>
      </tp>
      <tp t="s">
        <v>#N/A N/A</v>
        <stp/>
        <stp>BDS|16473147863527535861</stp>
        <tr r="JY5" s="24"/>
        <tr r="LC5" s="42"/>
      </tp>
      <tp t="s">
        <v>#N/A N/A</v>
        <stp/>
        <stp>BDS|12473351190880726677</stp>
        <tr r="RM5" s="48"/>
      </tp>
      <tp t="s">
        <v>#N/A N/A</v>
        <stp/>
        <stp>BDS|12512118198774462094</stp>
        <tr r="IG5" s="15"/>
        <tr r="LS5" s="40"/>
      </tp>
      <tp t="s">
        <v>#N/A N/A</v>
        <stp/>
        <stp>BDS|17559733563988063022</stp>
        <tr r="AS5" s="7"/>
      </tp>
      <tp t="s">
        <v>#N/A N/A</v>
        <stp/>
        <stp>BDS|11100603845014578967</stp>
        <tr r="AS5" s="17"/>
      </tp>
      <tp t="s">
        <v>#N/A N/A</v>
        <stp/>
        <stp>BDS|13447195459900701949</stp>
        <tr r="HC5" s="34"/>
        <tr r="AE5" s="40"/>
      </tp>
      <tp t="s">
        <v>#N/A N/A</v>
        <stp/>
        <stp>BDS|14911866125478629888</stp>
        <tr r="OO5" s="9"/>
      </tp>
      <tp t="s">
        <v>#N/A N/A</v>
        <stp/>
        <stp>BDS|12851482898504540594</stp>
        <tr r="AS5" s="32"/>
      </tp>
      <tp t="s">
        <v>#N/A N/A</v>
        <stp/>
        <stp>BDS|18217132015402894574</stp>
        <tr r="SA5" s="12"/>
      </tp>
      <tp t="s">
        <v>#N/A N/A</v>
        <stp/>
        <stp>BDS|13669907808297283277</stp>
        <tr r="PE5" s="21"/>
      </tp>
      <tp t="s">
        <v>#N/A N/A</v>
        <stp/>
        <stp>BDS|16382138388663393303</stp>
        <tr r="DA5" s="17"/>
      </tp>
      <tp t="s">
        <v>#N/A N/A</v>
        <stp/>
        <stp>BDS|13723875006362988649</stp>
        <tr r="IG5" s="21"/>
      </tp>
      <tp t="s">
        <v>#N/A N/A</v>
        <stp/>
        <stp>BDS|15804202102669692145</stp>
        <tr r="RM5" s="11"/>
        <tr r="A5" s="28"/>
        <tr r="QI5" s="28"/>
      </tp>
      <tp t="s">
        <v>#N/A N/A</v>
        <stp/>
        <stp>BDS|11484564687482976140</stp>
        <tr r="FI5" s="44"/>
      </tp>
      <tp t="s">
        <v>#N/A N/A</v>
        <stp/>
        <stp>BDS|11773527001908855355</stp>
        <tr r="HC5" s="27"/>
      </tp>
      <tp t="s">
        <v>#N/A N/A</v>
        <stp/>
        <stp>BDS|16893877953810563403</stp>
        <tr r="RM5" s="46"/>
      </tp>
      <tp t="s">
        <v>#N/A N/A</v>
        <stp/>
        <stp>BDS|18151415829966325744</stp>
        <tr r="CM5" s="48"/>
      </tp>
      <tp t="s">
        <v>#N/A N/A</v>
        <stp/>
        <stp>BDS|10097138270989596083</stp>
        <tr r="RM5" s="15"/>
        <tr r="UY5" s="38"/>
        <tr r="DQ5" s="39"/>
      </tp>
      <tp t="s">
        <v>#N/A N/A</v>
        <stp/>
        <stp>BDS|17274962109038572970</stp>
        <tr r="DQ5" s="29"/>
      </tp>
      <tp t="s">
        <v>#N/A N/A</v>
        <stp/>
        <stp>BDS|17637824799309621046</stp>
        <tr r="AS5" s="50"/>
      </tp>
      <tp t="s">
        <v>#N/A N/A</v>
        <stp/>
        <stp>BDS|14334262098295582554</stp>
        <tr r="VM5" s="20"/>
      </tp>
      <tp t="s">
        <v>#N/A N/A</v>
        <stp/>
        <stp>BDS|18288844964190218925</stp>
        <tr r="FY5" s="48"/>
      </tp>
      <tp t="s">
        <v>#N/A N/A</v>
        <stp/>
        <stp>BDS|11734189891266983057</stp>
        <tr r="NK5" s="23"/>
      </tp>
      <tp t="s">
        <v>#N/A N/A</v>
        <stp/>
        <stp>BDS|18185250004041441472</stp>
        <tr r="EU5" s="9"/>
        <tr r="CM5" s="23"/>
      </tp>
      <tp t="s">
        <v>#N/A N/A</v>
        <stp/>
        <stp>BDS|12783346796705259240</stp>
        <tr r="VM5" s="26"/>
      </tp>
      <tp t="s">
        <v>#N/A N/A</v>
        <stp/>
        <stp>BDS|15723930570286356246</stp>
        <tr r="FY5" s="32"/>
        <tr r="MW5" s="44"/>
      </tp>
      <tp t="s">
        <v>#N/A N/A</v>
        <stp/>
        <stp>BDS|18417410250407501136</stp>
        <tr r="EE5" s="50"/>
      </tp>
      <tp t="s">
        <v>#N/A N/A</v>
        <stp/>
        <stp>BDS|13179089906949577597</stp>
        <tr r="KO5" s="2"/>
      </tp>
      <tp t="s">
        <v>#N/A N/A</v>
        <stp/>
        <stp>BDS|13732829272555631602</stp>
        <tr r="UY5" s="46"/>
      </tp>
      <tp t="s">
        <v>#N/A N/A</v>
        <stp/>
        <stp>BDS|14902538988255639357</stp>
        <tr r="IG5" s="46"/>
      </tp>
      <tp t="s">
        <v>#N/A N/A</v>
        <stp/>
        <stp>BDS|18240184433953810604</stp>
        <tr r="UY5" s="31"/>
        <tr r="HC5" s="41"/>
      </tp>
      <tp t="s">
        <v>#N/A N/A</v>
        <stp/>
        <stp>BDS|13000734260428362511</stp>
        <tr r="GM5" s="36"/>
      </tp>
      <tp t="s">
        <v>#N/A N/A</v>
        <stp/>
        <stp>BDS|10579638525792259977</stp>
        <tr r="AE5" s="45"/>
      </tp>
      <tp t="s">
        <v>#N/A N/A</v>
        <stp/>
        <stp>BDS|13702257276781054828</stp>
        <tr r="EE5" s="16"/>
      </tp>
      <tp t="s">
        <v>#N/A N/A</v>
        <stp/>
        <stp>BDS|15798273146258778478</stp>
        <tr r="GM5" s="27"/>
      </tp>
      <tp t="s">
        <v>#N/A N/A</v>
        <stp/>
        <stp>BDS|11156428996533676074</stp>
        <tr r="SQ5" s="2"/>
        <tr r="KO5" s="24"/>
      </tp>
      <tp t="s">
        <v>#N/A N/A</v>
        <stp/>
        <stp>BDS|12750969032907087076</stp>
        <tr r="MG5" s="18"/>
      </tp>
      <tp t="s">
        <v>#N/A N/A</v>
        <stp/>
        <stp>BDS|14473078894742746042</stp>
        <tr r="FI5" s="11"/>
      </tp>
      <tp t="s">
        <v>#N/A N/A</v>
        <stp/>
        <stp>BDS|14443071720000447930</stp>
        <tr r="LS5" s="14"/>
        <tr r="CM5" s="46"/>
        <tr r="CM5" s="7"/>
      </tp>
      <tp t="s">
        <v>#N/A N/A</v>
        <stp/>
        <stp>BDS|16049207221288308178</stp>
        <tr r="FY5" s="17"/>
      </tp>
      <tp t="s">
        <v>#N/A N/A</v>
        <stp/>
        <stp>BDS|13934878670734323786</stp>
        <tr r="QI5" s="6"/>
        <tr r="DQ5" s="30"/>
      </tp>
      <tp t="s">
        <v>#N/A N/A</v>
        <stp/>
        <stp>BDS|16800395654566263920</stp>
        <tr r="TE5" s="6"/>
      </tp>
      <tp t="s">
        <v>#N/A N/A</v>
        <stp/>
        <stp>BDS|10570271339624621978</stp>
        <tr r="MW5" s="37"/>
      </tp>
      <tp t="s">
        <v>#N/A N/A</v>
        <stp/>
        <stp>BDS|16889441194763772450</stp>
        <tr r="TE5" s="41"/>
      </tp>
      <tp t="s">
        <v>#N/A N/A</v>
        <stp/>
        <stp>BDS|12986436026079607107</stp>
        <tr r="OO5" s="42"/>
      </tp>
      <tp t="s">
        <v>#N/A N/A</v>
        <stp/>
        <stp>BDS|10471786689397807470</stp>
        <tr r="LS5" s="12"/>
      </tp>
      <tp t="s">
        <v>#N/A N/A</v>
        <stp/>
        <stp>BDS|13385835907832840550</stp>
        <tr r="IG5" s="11"/>
      </tp>
      <tp t="s">
        <v>#N/A N/A</v>
        <stp/>
        <stp>BDS|13259800772370809030</stp>
        <tr r="SQ5" s="18"/>
      </tp>
      <tp t="s">
        <v>#N/A N/A</v>
        <stp/>
        <stp>BDS|11302658682537855448</stp>
        <tr r="MW5" s="39"/>
      </tp>
      <tp t="s">
        <v>#N/A N/A</v>
        <stp/>
        <stp>BDS|10755345329364397903</stp>
        <tr r="UY5" s="1"/>
      </tp>
      <tp t="s">
        <v>#N/A N/A</v>
        <stp/>
        <stp>BDS|15979916660827824193</stp>
        <tr r="QI5" s="13"/>
      </tp>
      <tp t="s">
        <v>#N/A N/A</v>
        <stp/>
        <stp>BDS|17529218687724339598</stp>
        <tr r="UI5" s="32"/>
      </tp>
      <tp t="s">
        <v>#N/A N/A</v>
        <stp/>
        <stp>BDS|12192522569375461804</stp>
        <tr r="LS5" s="20"/>
      </tp>
      <tp t="s">
        <v>#N/A N/A</v>
        <stp/>
        <stp>BDS|15114686985946116125</stp>
        <tr r="QW5" s="20"/>
        <tr r="DA5" s="27"/>
      </tp>
      <tp t="s">
        <v>#N/A N/A</v>
        <stp/>
        <stp>BDS|11166816000237882273</stp>
        <tr r="PE5" s="33"/>
      </tp>
      <tp t="s">
        <v>#N/A N/A</v>
        <stp/>
        <stp>BDS|11282772020928950036</stp>
        <tr r="SQ5" s="41"/>
      </tp>
      <tp t="s">
        <v>#N/A N/A</v>
        <stp/>
        <stp>BDS|13800421590991503336</stp>
        <tr r="EU5" s="7"/>
        <tr r="UY5" s="19"/>
      </tp>
      <tp t="s">
        <v>#N/A N/A</v>
        <stp/>
        <stp>BDS|17225549330784214994</stp>
        <tr r="OO5" s="12"/>
      </tp>
      <tp t="s">
        <v>#N/A N/A</v>
        <stp/>
        <stp>BDS|10196667024179847166</stp>
        <tr r="KO5" s="10"/>
      </tp>
      <tp t="s">
        <v>#N/A N/A</v>
        <stp/>
        <stp>BDS|16027914638117624724</stp>
        <tr r="HC5" s="4"/>
      </tp>
      <tp t="s">
        <v>#N/A N/A</v>
        <stp/>
        <stp>BDS|16502172481375840697</stp>
        <tr r="FY5" s="24"/>
      </tp>
      <tp t="s">
        <v>#N/A N/A</v>
        <stp/>
        <stp>BDS|10547680971529649483</stp>
        <tr r="QW5" s="5"/>
      </tp>
      <tp t="s">
        <v>#N/A N/A</v>
        <stp/>
        <stp>BDS|16613670682251878590</stp>
        <tr r="HQ5" s="24"/>
      </tp>
      <tp t="s">
        <v>#N/A N/A</v>
        <stp/>
        <stp>BDS|13628780391899931850</stp>
        <tr r="LS5" s="9"/>
      </tp>
      <tp t="s">
        <v>#N/A N/A</v>
        <stp/>
        <stp>BDS|13579354296373170644</stp>
        <tr r="O5" s="7"/>
      </tp>
      <tp t="s">
        <v>#N/A N/A</v>
        <stp/>
        <stp>BDS|15205359370644155959</stp>
        <tr r="EE5" s="36"/>
      </tp>
      <tp t="s">
        <v>#N/A N/A</v>
        <stp/>
        <stp>BDS|12273875346676569453</stp>
        <tr r="O5" s="45"/>
      </tp>
      <tp t="s">
        <v>#N/A N/A</v>
        <stp/>
        <stp>BDS|13768222651440614814</stp>
        <tr r="LS5" s="24"/>
      </tp>
      <tp t="s">
        <v>#N/A N/A</v>
        <stp/>
        <stp>BDS|17715736606334136838</stp>
        <tr r="OA5" s="36"/>
      </tp>
      <tp t="s">
        <v>#N/A N/A</v>
        <stp/>
        <stp>BDS|15882870772525936340</stp>
        <tr r="OA5" s="18"/>
      </tp>
      <tp t="s">
        <v>#N/A N/A</v>
        <stp/>
        <stp>BDS|13726611446324027906</stp>
        <tr r="LS5" s="21"/>
      </tp>
      <tp t="s">
        <v>#N/A N/A</v>
        <stp/>
        <stp>BDS|12199767760138618705</stp>
        <tr r="MG5" s="5"/>
      </tp>
      <tp t="s">
        <v>#N/A N/A</v>
        <stp/>
        <stp>BDS|17101612728946137983</stp>
        <tr r="BW5" s="3"/>
      </tp>
      <tp t="s">
        <v>#N/A N/A</v>
        <stp/>
        <stp>BDS|10295888462936951407</stp>
        <tr r="KO5" s="9"/>
        <tr r="DQ5" s="21"/>
        <tr r="SQ5" s="49"/>
      </tp>
      <tp t="s">
        <v>#N/A N/A</v>
        <stp/>
        <stp>BDS|16433054882076314419</stp>
        <tr r="CM5" s="50"/>
      </tp>
      <tp t="s">
        <v>#N/A N/A</v>
        <stp/>
        <stp>BDS|13494318093753476632</stp>
        <tr r="DA5" s="18"/>
        <tr r="LC5" s="28"/>
      </tp>
      <tp t="s">
        <v>#N/A N/A</v>
        <stp/>
        <stp>BDS|11747813331215014367</stp>
        <tr r="OO5" s="17"/>
      </tp>
      <tp t="s">
        <v>#N/A N/A</v>
        <stp/>
        <stp>BDS|13972756788004100428</stp>
        <tr r="PE5" s="38"/>
      </tp>
      <tp t="s">
        <v>#N/A N/A</v>
        <stp/>
        <stp>BDS|15899963348594054013</stp>
        <tr r="QW5" s="21"/>
      </tp>
      <tp t="s">
        <v>#N/A N/A</v>
        <stp/>
        <stp>BDS|14445789363319824003</stp>
        <tr r="UY5" s="39"/>
      </tp>
      <tp t="s">
        <v>#N/A N/A</v>
        <stp/>
        <stp>BDS|11183020437728529663</stp>
        <tr r="GM5" s="35"/>
        <tr r="GM5" s="43"/>
      </tp>
      <tp t="s">
        <v>#N/A N/A</v>
        <stp/>
        <stp>BDS|12706974055830270205</stp>
        <tr r="QW5" s="17"/>
      </tp>
      <tp t="s">
        <v>#N/A N/A</v>
        <stp/>
        <stp>BDS|11988256922335028893</stp>
        <tr r="MG5" s="20"/>
      </tp>
      <tp t="s">
        <v>#N/A N/A</v>
        <stp/>
        <stp>BDS|13846849599496691846</stp>
        <tr r="OA5" s="35"/>
      </tp>
      <tp t="s">
        <v>#N/A N/A</v>
        <stp/>
        <stp>BDS|16528624491143185624</stp>
        <tr r="TE5" s="13"/>
      </tp>
      <tp t="s">
        <v>#N/A N/A</v>
        <stp/>
        <stp>BDS|17417155698541403283</stp>
        <tr r="TE5" s="14"/>
      </tp>
      <tp t="s">
        <v>#N/A N/A</v>
        <stp/>
        <stp>BDS|13873582621518406006</stp>
        <tr r="UY5" s="9"/>
      </tp>
      <tp t="s">
        <v>#N/A N/A</v>
        <stp/>
        <stp>BDS|12027991583749554743</stp>
        <tr r="UY5" s="30"/>
        <tr r="BI5" s="23"/>
      </tp>
      <tp t="s">
        <v>#N/A N/A</v>
        <stp/>
        <stp>BDS|13464447614389614294</stp>
        <tr r="IG5" s="20"/>
      </tp>
      <tp t="s">
        <v>#N/A N/A</v>
        <stp/>
        <stp>BDS|16617598192566490122</stp>
        <tr r="IG5" s="14"/>
        <tr r="FY5" s="30"/>
      </tp>
      <tp t="s">
        <v>#N/A N/A</v>
        <stp/>
        <stp>BDS|14936515095142115773</stp>
        <tr r="KO5" s="35"/>
      </tp>
      <tp t="s">
        <v>#N/A N/A</v>
        <stp/>
        <stp>BDS|13083499260308559444</stp>
        <tr r="NK5" s="29"/>
        <tr r="QW5" s="16"/>
      </tp>
      <tp t="s">
        <v>#N/A N/A</v>
        <stp/>
        <stp>BDS|14115941622295860772</stp>
        <tr r="RM5" s="36"/>
      </tp>
      <tp t="s">
        <v>#N/A N/A</v>
        <stp/>
        <stp>BDS|10044719479215645874</stp>
        <tr r="SA5" s="3"/>
      </tp>
      <tp t="s">
        <v>#N/A N/A</v>
        <stp/>
        <stp>BDS|16800990104391587396</stp>
        <tr r="OO5" s="6"/>
      </tp>
      <tp t="s">
        <v>#N/A N/A</v>
        <stp/>
        <stp>BDS|12867447837838297001</stp>
        <tr r="JK5" s="39"/>
      </tp>
      <tp t="s">
        <v>#N/A N/A</v>
        <stp/>
        <stp>BDS|13706506602033865839</stp>
        <tr r="TE5" s="31"/>
      </tp>
      <tp t="s">
        <v>#N/A N/A</v>
        <stp/>
        <stp>BDS|10036801162824400784</stp>
        <tr r="QI5" s="48"/>
      </tp>
      <tp t="s">
        <v>#N/A N/A</v>
        <stp/>
        <stp>BDS|12074903166848994815</stp>
        <tr r="SQ5" s="9"/>
      </tp>
      <tp t="s">
        <v>#N/A N/A</v>
        <stp/>
        <stp>BDS|18193339062201860164</stp>
        <tr r="QI5" s="2"/>
      </tp>
      <tp t="s">
        <v>#N/A N/A</v>
        <stp/>
        <stp>BDS|15984428421348053641</stp>
        <tr r="FY5" s="46"/>
      </tp>
      <tp t="s">
        <v>#N/A N/A</v>
        <stp/>
        <stp>BDS|14912715087115635367</stp>
        <tr r="A5" s="33"/>
      </tp>
      <tp t="s">
        <v>#N/A N/A</v>
        <stp/>
        <stp>BDS|16144793643201217963</stp>
        <tr r="SQ5" s="45"/>
      </tp>
      <tp t="s">
        <v>#N/A N/A</v>
        <stp/>
        <stp>BDS|17966956420808287915</stp>
        <tr r="KO5" s="48"/>
      </tp>
      <tp t="s">
        <v>#N/A N/A</v>
        <stp/>
        <stp>BDS|15784299022929313133</stp>
        <tr r="TU5" s="48"/>
      </tp>
      <tp t="s">
        <v>#N/A N/A</v>
        <stp/>
        <stp>BDS|17071831868794243058</stp>
        <tr r="BW5" s="38"/>
      </tp>
      <tp t="s">
        <v>#N/A N/A</v>
        <stp/>
        <stp>BDS|15708406602795988908</stp>
        <tr r="A5" s="37"/>
      </tp>
      <tp t="s">
        <v>#N/A N/A</v>
        <stp/>
        <stp>BDS|18358593917793041215</stp>
        <tr r="VM5" s="25"/>
      </tp>
      <tp t="s">
        <v>#N/A N/A</v>
        <stp/>
        <stp>BDS|12891639062899412602</stp>
        <tr r="MW5" s="11"/>
      </tp>
      <tp t="s">
        <v>#N/A N/A</v>
        <stp/>
        <stp>BDS|16269439784886065189</stp>
        <tr r="MG5" s="2"/>
        <tr r="FI5" s="37"/>
      </tp>
      <tp t="s">
        <v>#N/A N/A</v>
        <stp/>
        <stp>BDS|18376293975628621843</stp>
        <tr r="EE5" s="31"/>
      </tp>
      <tp t="s">
        <v>#N/A N/A</v>
        <stp/>
        <stp>BDS|16963631656448462053</stp>
        <tr r="PE5" s="11"/>
      </tp>
      <tp t="s">
        <v>#N/A N/A</v>
        <stp/>
        <stp>BDS|15495393789381548230</stp>
        <tr r="MG5" s="48"/>
      </tp>
      <tp t="s">
        <v>#N/A N/A</v>
        <stp/>
        <stp>BDS|12721381462399830371</stp>
        <tr r="CM5" s="9"/>
        <tr r="HC5" s="22"/>
      </tp>
      <tp t="s">
        <v>#N/A N/A</v>
        <stp/>
        <stp>BDS|18133607147745120250</stp>
        <tr r="NK5" s="5"/>
        <tr r="LC5" s="17"/>
      </tp>
      <tp t="s">
        <v>#N/A N/A</v>
        <stp/>
        <stp>BDS|11007633546897055978</stp>
        <tr r="RM5" s="8"/>
        <tr r="AE5" s="10"/>
        <tr r="TU5" s="24"/>
      </tp>
      <tp t="s">
        <v>#N/A N/A</v>
        <stp/>
        <stp>BDS|17755402949239793397</stp>
        <tr r="JK5" s="32"/>
      </tp>
      <tp t="s">
        <v>#N/A N/A</v>
        <stp/>
        <stp>BDS|13499417709739405384</stp>
        <tr r="BW5" s="43"/>
      </tp>
      <tp t="s">
        <v>#N/A N/A</v>
        <stp/>
        <stp>BDS|15435111084820987180</stp>
        <tr r="LS5" s="44"/>
      </tp>
      <tp t="s">
        <v>#N/A N/A</v>
        <stp/>
        <stp>BDS|11999597886872363357</stp>
        <tr r="JK5" s="1"/>
      </tp>
      <tp t="s">
        <v>#N/A N/A</v>
        <stp/>
        <stp>BDS|17906758488270697530</stp>
        <tr r="MG5" s="11"/>
      </tp>
      <tp t="s">
        <v>#N/A N/A</v>
        <stp/>
        <stp>BDS|15356638275838303174</stp>
        <tr r="JK5" s="19"/>
      </tp>
      <tp t="s">
        <v>#N/A N/A</v>
        <stp/>
        <stp>BDS|17664573281206301120</stp>
        <tr r="RM5" s="47"/>
      </tp>
      <tp t="s">
        <v>#N/A N/A</v>
        <stp/>
        <stp>BDS|13266752455444462870</stp>
        <tr r="UY5" s="11"/>
      </tp>
      <tp t="s">
        <v>#N/A N/A</v>
        <stp/>
        <stp>BDS|11967999520445023277</stp>
        <tr r="BW5" s="22"/>
      </tp>
      <tp t="s">
        <v>#N/A N/A</v>
        <stp/>
        <stp>BDS|17841581435895095917</stp>
        <tr r="GM5" s="12"/>
      </tp>
      <tp t="s">
        <v>#N/A N/A</v>
        <stp/>
        <stp>BDS|10590046680180789520</stp>
        <tr r="DA5" s="49"/>
      </tp>
      <tp t="s">
        <v>#N/A N/A</v>
        <stp/>
        <stp>BDS|11399334694000230635</stp>
        <tr r="A5" s="40"/>
      </tp>
      <tp t="s">
        <v>#N/A N/A</v>
        <stp/>
        <stp>BDS|17825332916658987017</stp>
        <tr r="UI5" s="33"/>
      </tp>
      <tp t="s">
        <v>#N/A N/A</v>
        <stp/>
        <stp>BDS|14136266779775212668</stp>
        <tr r="JY5" s="43"/>
      </tp>
      <tp t="s">
        <v>#N/A N/A</v>
        <stp/>
        <stp>BDS|17884651237777725774</stp>
        <tr r="TU5" s="26"/>
      </tp>
      <tp t="s">
        <v>#N/A N/A</v>
        <stp/>
        <stp>BDS|11820907358676984935</stp>
        <tr r="SA5" s="6"/>
      </tp>
      <tp t="s">
        <v>#N/A N/A</v>
        <stp/>
        <stp>BDS|10809518645447251444</stp>
        <tr r="QI5" s="22"/>
      </tp>
      <tp t="s">
        <v>#N/A N/A</v>
        <stp/>
        <stp>BDS|15901112398996950922</stp>
        <tr r="CM5" s="1"/>
      </tp>
      <tp t="s">
        <v>#N/A N/A</v>
        <stp/>
        <stp>BDS|15445335530050870740</stp>
        <tr r="HQ5" s="23"/>
      </tp>
      <tp t="s">
        <v>#N/A N/A</v>
        <stp/>
        <stp>BDS|16958500401808254922</stp>
        <tr r="O5" s="18"/>
      </tp>
      <tp t="s">
        <v>#N/A N/A</v>
        <stp/>
        <stp>BDS|11998091829563616278</stp>
        <tr r="FI5" s="42"/>
      </tp>
      <tp t="s">
        <v>#N/A N/A</v>
        <stp/>
        <stp>BDS|15819680932405861738</stp>
        <tr r="HC5" s="24"/>
      </tp>
      <tp t="s">
        <v>#N/A N/A</v>
        <stp/>
        <stp>BDS|11653071768341765479</stp>
        <tr r="BW5" s="17"/>
      </tp>
      <tp t="s">
        <v>#N/A N/A</v>
        <stp/>
        <stp>BDS|14652573478650238420</stp>
        <tr r="PE5" s="2"/>
      </tp>
      <tp t="s">
        <v>#N/A N/A</v>
        <stp/>
        <stp>BDS|10187244259510419563</stp>
        <tr r="SA5" s="35"/>
      </tp>
      <tp t="s">
        <v>#N/A N/A</v>
        <stp/>
        <stp>BDS|18280250727173805968</stp>
        <tr r="BW5" s="10"/>
        <tr r="MG5" s="25"/>
      </tp>
      <tp t="s">
        <v>#N/A N/A</v>
        <stp/>
        <stp>BDS|17224168608235187130</stp>
        <tr r="BI5" s="8"/>
        <tr r="RM5" s="43"/>
      </tp>
      <tp t="s">
        <v>#N/A N/A</v>
        <stp/>
        <stp>BDS|12223034874035872227</stp>
        <tr r="QI5" s="18"/>
        <tr r="KO5" s="47"/>
      </tp>
      <tp t="s">
        <v>#N/A N/A</v>
        <stp/>
        <stp>BDS|16836781459306163071</stp>
        <tr r="JK5" s="43"/>
      </tp>
      <tp t="s">
        <v>#N/A N/A</v>
        <stp/>
        <stp>BDS|13123222302752869159</stp>
        <tr r="EU5" s="5"/>
        <tr r="MW5" s="27"/>
      </tp>
      <tp t="s">
        <v>#N/A N/A</v>
        <stp/>
        <stp>BDS|10787386301201172033</stp>
        <tr r="BW5" s="36"/>
      </tp>
      <tp t="s">
        <v>#N/A N/A</v>
        <stp/>
        <stp>BDS|13296001198049115176</stp>
        <tr r="DQ5" s="16"/>
      </tp>
      <tp t="s">
        <v>#N/A N/A</v>
        <stp/>
        <stp>BDS|16339743720102373384</stp>
        <tr r="NK5" s="35"/>
      </tp>
      <tp t="s">
        <v>#N/A N/A</v>
        <stp/>
        <stp>BDS|17763309175805881468</stp>
        <tr r="UY5" s="6"/>
        <tr r="SQ5" s="38"/>
        <tr r="OA5" s="49"/>
      </tp>
      <tp t="s">
        <v>#N/A N/A</v>
        <stp/>
        <stp>BDS|10844349517603106370</stp>
        <tr r="O5" s="26"/>
      </tp>
      <tp t="s">
        <v>#N/A N/A</v>
        <stp/>
        <stp>BDS|14240097274986268702</stp>
        <tr r="TU5" s="2"/>
      </tp>
      <tp t="s">
        <v>#N/A N/A</v>
        <stp/>
        <stp>BDS|16811732747325697282</stp>
        <tr r="FI5" s="25"/>
        <tr r="OO5" s="3"/>
      </tp>
      <tp t="s">
        <v>#N/A N/A</v>
        <stp/>
        <stp>BDS|12603448425605126345</stp>
        <tr r="RM5" s="32"/>
        <tr r="QI5" s="7"/>
        <tr r="CM5" s="24"/>
      </tp>
      <tp t="s">
        <v>#N/A N/A</v>
        <stp/>
        <stp>BDS|10075307311985346503</stp>
        <tr r="JK5" s="8"/>
        <tr r="JK5" s="46"/>
      </tp>
      <tp t="s">
        <v>#N/A N/A</v>
        <stp/>
        <stp>BDS|14892293702475167106</stp>
        <tr r="KO5" s="21"/>
      </tp>
      <tp t="s">
        <v>#N/A N/A</v>
        <stp/>
        <stp>BDS|15571794406925055582</stp>
        <tr r="CM5" s="14"/>
        <tr r="MW5" s="50"/>
      </tp>
      <tp t="s">
        <v>#N/A N/A</v>
        <stp/>
        <stp>BDS|11026908950528396714</stp>
        <tr r="NK5" s="10"/>
        <tr r="MG5" s="26"/>
        <tr r="FI5" s="33"/>
      </tp>
      <tp t="s">
        <v>#N/A N/A</v>
        <stp/>
        <stp>BDS|16455461546500794400</stp>
        <tr r="AE5" s="41"/>
      </tp>
      <tp t="s">
        <v>#N/A N/A</v>
        <stp/>
        <stp>BDS|14362364332235275368</stp>
        <tr r="FY5" s="13"/>
      </tp>
      <tp t="s">
        <v>#N/A N/A</v>
        <stp/>
        <stp>BDS|15908879909638536711</stp>
        <tr r="FY5" s="5"/>
        <tr r="MW5" s="8"/>
        <tr r="IG5" s="9"/>
        <tr r="HC5" s="18"/>
      </tp>
      <tp t="s">
        <v>#N/A N/A</v>
        <stp/>
        <stp>BDS|11627008763067093260</stp>
        <tr r="FY5" s="26"/>
      </tp>
      <tp t="s">
        <v>#N/A N/A</v>
        <stp/>
        <stp>BDS|14853598523875972480</stp>
        <tr r="UY5" s="13"/>
      </tp>
      <tp t="s">
        <v>#N/A N/A</v>
        <stp/>
        <stp>BDS|11505587250464763797</stp>
        <tr r="CM5" s="22"/>
      </tp>
      <tp t="s">
        <v>#N/A N/A</v>
        <stp/>
        <stp>BDS|10536150834506746605</stp>
        <tr r="NK5" s="11"/>
      </tp>
      <tp t="s">
        <v>#N/A N/A</v>
        <stp/>
        <stp>BDS|11550271186391528823</stp>
        <tr r="BI5" s="2"/>
        <tr r="FY5" s="8"/>
      </tp>
      <tp t="s">
        <v>#N/A N/A</v>
        <stp/>
        <stp>BDS|11354392339775750647</stp>
        <tr r="CM5" s="6"/>
      </tp>
      <tp t="s">
        <v>#N/A N/A</v>
        <stp/>
        <stp>BDS|13310405153096457640</stp>
        <tr r="DA5" s="2"/>
      </tp>
      <tp t="s">
        <v>#N/A N/A</v>
        <stp/>
        <stp>BDS|10126748738165925355</stp>
        <tr r="TE5" s="4"/>
      </tp>
      <tp t="s">
        <v>#N/A N/A</v>
        <stp/>
        <stp>BDS|13600053176164213262</stp>
        <tr r="UI5" s="14"/>
      </tp>
      <tp t="s">
        <v>#N/A N/A</v>
        <stp/>
        <stp>BDS|12688474178446987510</stp>
        <tr r="PS5" s="17"/>
      </tp>
      <tp t="s">
        <v>#N/A N/A</v>
        <stp/>
        <stp>BDS|13269900296353086227</stp>
        <tr r="UI5" s="35"/>
      </tp>
      <tp t="s">
        <v>#N/A N/A</v>
        <stp/>
        <stp>BDS|16253013742250720005</stp>
        <tr r="NK5" s="14"/>
      </tp>
      <tp t="s">
        <v>#N/A N/A</v>
        <stp/>
        <stp>BDS|17598507285809393140</stp>
        <tr r="TU5" s="9"/>
      </tp>
      <tp t="s">
        <v>#N/A N/A</v>
        <stp/>
        <stp>BDS|13197564915261102441</stp>
        <tr r="IU5" s="27"/>
      </tp>
      <tp t="s">
        <v>#N/A N/A</v>
        <stp/>
        <stp>BDS|11028032755686517044</stp>
        <tr r="FI5" s="9"/>
        <tr r="DA5" s="23"/>
      </tp>
      <tp t="s">
        <v>#N/A N/A</v>
        <stp/>
        <stp>BDS|16145264732801586472</stp>
        <tr r="MG5" s="9"/>
      </tp>
      <tp t="s">
        <v>#N/A N/A</v>
        <stp/>
        <stp>BDS|11232679914320061468</stp>
        <tr r="A5" s="2"/>
        <tr r="BI5" s="21"/>
        <tr r="CM5" s="33"/>
        <tr r="MW5" s="36"/>
      </tp>
      <tp t="s">
        <v>#N/A N/A</v>
        <stp/>
        <stp>BDS|12636781920860211584</stp>
        <tr r="HQ5" s="28"/>
      </tp>
      <tp t="s">
        <v>#N/A N/A</v>
        <stp/>
        <stp>BDS|18174776097923102747</stp>
        <tr r="PS5" s="10"/>
      </tp>
      <tp t="s">
        <v>#N/A N/A</v>
        <stp/>
        <stp>BDS|13767229404270457315</stp>
        <tr r="BI5" s="11"/>
        <tr r="UY5" s="49"/>
      </tp>
      <tp t="s">
        <v>#N/A N/A</v>
        <stp/>
        <stp>BDS|12044284961623456794</stp>
        <tr r="PS5" s="16"/>
      </tp>
      <tp t="s">
        <v>#N/A N/A</v>
        <stp/>
        <stp>BDS|16781630902091522360</stp>
        <tr r="TU5" s="40"/>
        <tr r="UY5" s="33"/>
      </tp>
      <tp t="s">
        <v>#N/A N/A</v>
        <stp/>
        <stp>BDS|11462537924657116378</stp>
        <tr r="JY5" s="37"/>
      </tp>
      <tp t="s">
        <v>#N/A N/A</v>
        <stp/>
        <stp>BDS|12548713433897032320</stp>
        <tr r="HC5" s="28"/>
      </tp>
      <tp t="s">
        <v>#N/A N/A</v>
        <stp/>
        <stp>BDS|15539483778524111015</stp>
        <tr r="RM5" s="27"/>
        <tr r="IG5" s="30"/>
      </tp>
      <tp t="s">
        <v>#N/A N/A</v>
        <stp/>
        <stp>BDS|11375526635477255234</stp>
        <tr r="NK5" s="39"/>
      </tp>
      <tp t="s">
        <v>#N/A N/A</v>
        <stp/>
        <stp>BDS|15567344695685848961</stp>
        <tr r="JK5" s="28"/>
      </tp>
      <tp t="s">
        <v>#N/A N/A</v>
        <stp/>
        <stp>BDS|13820142642200605535</stp>
        <tr r="IU5" s="14"/>
        <tr r="GM5" s="30"/>
      </tp>
      <tp t="s">
        <v>#N/A N/A</v>
        <stp/>
        <stp>BDS|14335671012622519280</stp>
        <tr r="GM5" s="20"/>
        <tr r="JY5" s="23"/>
      </tp>
      <tp t="s">
        <v>#N/A N/A</v>
        <stp/>
        <stp>BDS|11459601412426998373</stp>
        <tr r="TE5" s="19"/>
        <tr r="AS5" s="44"/>
      </tp>
      <tp t="s">
        <v>#N/A N/A</v>
        <stp/>
        <stp>BDS|10469185713922342146</stp>
        <tr r="EU5" s="2"/>
        <tr r="PE5" s="18"/>
      </tp>
      <tp t="s">
        <v>#N/A N/A</v>
        <stp/>
        <stp>BDS|12708388726787402750</stp>
        <tr r="TU5" s="5"/>
        <tr r="EU5" s="34"/>
      </tp>
      <tp t="s">
        <v>#N/A N/A</v>
        <stp/>
        <stp>BDS|16596049524514926349</stp>
        <tr r="RM5" s="6"/>
      </tp>
      <tp t="s">
        <v>#N/A N/A</v>
        <stp/>
        <stp>BDS|12956792215461569689</stp>
        <tr r="GM5" s="33"/>
      </tp>
      <tp t="s">
        <v>#N/A N/A</v>
        <stp/>
        <stp>BDS|13842358535265370538</stp>
        <tr r="UI5" s="19"/>
      </tp>
      <tp t="s">
        <v>#N/A N/A</v>
        <stp/>
        <stp>BDS|10373274029427239469</stp>
        <tr r="CM5" s="4"/>
      </tp>
      <tp t="s">
        <v>#N/A N/A</v>
        <stp/>
        <stp>BDS|12707912888010728002</stp>
        <tr r="AS5" s="41"/>
      </tp>
      <tp t="s">
        <v>#N/A N/A</v>
        <stp/>
        <stp>BDS|11535091317570647343</stp>
        <tr r="EE5" s="10"/>
      </tp>
      <tp t="s">
        <v>#N/A N/A</v>
        <stp/>
        <stp>BDS|10315007894582801812</stp>
        <tr r="A5" s="14"/>
      </tp>
      <tp t="s">
        <v>#N/A N/A</v>
        <stp/>
        <stp>BDS|16291914883370982476</stp>
        <tr r="RM5" s="23"/>
      </tp>
      <tp t="s">
        <v>#N/A N/A</v>
        <stp/>
        <stp>BDS|12624273183033817840</stp>
        <tr r="HC5" s="45"/>
      </tp>
      <tp t="s">
        <v>#N/A N/A</v>
        <stp/>
        <stp>BDS|13892918709470652985</stp>
        <tr r="OA5" s="25"/>
      </tp>
      <tp t="s">
        <v>#N/A N/A</v>
        <stp/>
        <stp>BDS|11168518639445665107</stp>
        <tr r="HC5" s="44"/>
      </tp>
      <tp t="s">
        <v>#N/A N/A</v>
        <stp/>
        <stp>BDS|11458973374838999418</stp>
        <tr r="LC5" s="48"/>
      </tp>
      <tp t="s">
        <v>#N/A N/A</v>
        <stp/>
        <stp>BDS|12629535209583047738</stp>
        <tr r="BW5" s="7"/>
      </tp>
      <tp t="s">
        <v>#N/A N/A</v>
        <stp/>
        <stp>BDS|11430492157693199048</stp>
        <tr r="IG5" s="45"/>
        <tr r="LS5" s="10"/>
      </tp>
      <tp t="s">
        <v>#N/A N/A</v>
        <stp/>
        <stp>BDS|15071284643429136969</stp>
        <tr r="NK5" s="4"/>
      </tp>
      <tp t="s">
        <v>#N/A N/A</v>
        <stp/>
        <stp>BDS|13973049920073646176</stp>
        <tr r="DA5" s="48"/>
      </tp>
      <tp t="s">
        <v>#N/A N/A</v>
        <stp/>
        <stp>BDS|11538410038067018207</stp>
        <tr r="OA5" s="15"/>
      </tp>
      <tp t="s">
        <v>#N/A N/A</v>
        <stp/>
        <stp>BDS|17933219341071288364</stp>
        <tr r="FI5" s="20"/>
      </tp>
      <tp t="s">
        <v>#N/A N/A</v>
        <stp/>
        <stp>BDS|17454521348562959759</stp>
        <tr r="HC5" s="35"/>
      </tp>
      <tp t="s">
        <v>#N/A N/A</v>
        <stp/>
        <stp>BDS|14151370859771599087</stp>
        <tr r="UI5" s="5"/>
        <tr r="FI5" s="34"/>
      </tp>
      <tp t="s">
        <v>#N/A N/A</v>
        <stp/>
        <stp>BDS|16938690601967593465</stp>
        <tr r="LS5" s="6"/>
      </tp>
      <tp t="s">
        <v>#N/A N/A</v>
        <stp/>
        <stp>BDS|13674068434694275753</stp>
        <tr r="MW5" s="40"/>
      </tp>
      <tp t="s">
        <v>#N/A N/A</v>
        <stp/>
        <stp>BDS|13110486768942519047</stp>
        <tr r="PE5" s="9"/>
      </tp>
      <tp t="s">
        <v>#N/A N/A</v>
        <stp/>
        <stp>BDS|11908757374593971119</stp>
        <tr r="HQ5" s="4"/>
      </tp>
      <tp t="s">
        <v>#N/A N/A</v>
        <stp/>
        <stp>BDS|10849030086002964942</stp>
        <tr r="O5" s="32"/>
      </tp>
      <tp t="s">
        <v>#N/A N/A</v>
        <stp/>
        <stp>BDS|16176508664434259279</stp>
        <tr r="RM5" s="22"/>
      </tp>
      <tp t="s">
        <v>#N/A N/A</v>
        <stp/>
        <stp>BDS|15208305030140171636</stp>
        <tr r="LC5" s="2"/>
      </tp>
      <tp t="s">
        <v>#N/A N/A</v>
        <stp/>
        <stp>BDS|14623566477861703410</stp>
        <tr r="OA5" s="12"/>
      </tp>
      <tp t="s">
        <v>#N/A N/A</v>
        <stp/>
        <stp>BDS|12122150677387403061</stp>
        <tr r="SA5" s="49"/>
      </tp>
      <tp t="s">
        <v>#N/A N/A</v>
        <stp/>
        <stp>BDS|15208170249755932643</stp>
        <tr r="SQ5" s="37"/>
      </tp>
      <tp t="s">
        <v>#N/A N/A</v>
        <stp/>
        <stp>BDS|15985460075214802149</stp>
        <tr r="NK5" s="48"/>
      </tp>
      <tp t="s">
        <v>#N/A N/A</v>
        <stp/>
        <stp>BDS|13722357551680189653</stp>
        <tr r="FI5" s="30"/>
      </tp>
      <tp t="s">
        <v>#N/A N/A</v>
        <stp/>
        <stp>BDS|11692331401535770444</stp>
        <tr r="O5" s="3"/>
      </tp>
      <tp t="s">
        <v>#N/A N/A</v>
        <stp/>
        <stp>BDS|16199612541180742712</stp>
        <tr r="MW5" s="15"/>
      </tp>
      <tp t="s">
        <v>#N/A N/A</v>
        <stp/>
        <stp>BDS|13652403859226063784</stp>
        <tr r="FY5" s="29"/>
      </tp>
      <tp t="s">
        <v>#N/A N/A</v>
        <stp/>
        <stp>BDS|16969149656236692796</stp>
        <tr r="PE5" s="10"/>
      </tp>
      <tp t="s">
        <v>#N/A N/A</v>
        <stp/>
        <stp>BDS|10416154773784072162</stp>
        <tr r="RM5" s="9"/>
        <tr r="QI5" s="46"/>
      </tp>
      <tp t="s">
        <v>#N/A N/A</v>
        <stp/>
        <stp>BDS|12770182966334819247</stp>
        <tr r="IU5" s="41"/>
      </tp>
      <tp t="s">
        <v>#N/A N/A</v>
        <stp/>
        <stp>BDS|12990678645141842197</stp>
        <tr r="UY5" s="27"/>
        <tr r="KO5" s="38"/>
      </tp>
      <tp t="s">
        <v>#N/A N/A</v>
        <stp/>
        <stp>BDS|10726818461837978944</stp>
        <tr r="NK5" s="32"/>
      </tp>
      <tp t="s">
        <v>#N/A N/A</v>
        <stp/>
        <stp>BDS|14461693011553287049</stp>
        <tr r="NK5" s="25"/>
      </tp>
      <tp t="s">
        <v>#N/A N/A</v>
        <stp/>
        <stp>BDS|15443096902764328174</stp>
        <tr r="IG5" s="40"/>
        <tr r="EU5" s="48"/>
      </tp>
      <tp t="s">
        <v>#N/A N/A</v>
        <stp/>
        <stp>BDS|16829952206508971790</stp>
        <tr r="LS5" s="8"/>
      </tp>
      <tp t="s">
        <v>#N/A N/A</v>
        <stp/>
        <stp>BDS|14555482281470164862</stp>
        <tr r="TU5" s="7"/>
      </tp>
      <tp t="s">
        <v>#N/A N/A</v>
        <stp/>
        <stp>BDS|12283399110089359905</stp>
        <tr r="DQ5" s="5"/>
        <tr r="SQ5" s="12"/>
        <tr r="UY5" s="18"/>
        <tr r="LS5" s="31"/>
      </tp>
      <tp t="s">
        <v>#N/A N/A</v>
        <stp/>
        <stp>BDS|15552271111805227385</stp>
        <tr r="A5" s="50"/>
      </tp>
      <tp t="s">
        <v>#N/A N/A</v>
        <stp/>
        <stp>BDS|10362676719800025742</stp>
        <tr r="TU5" s="13"/>
        <tr r="EU5" s="18"/>
        <tr r="IG5" s="18"/>
        <tr r="A5" s="46"/>
      </tp>
      <tp t="s">
        <v>#N/A N/A</v>
        <stp/>
        <stp>BDS|14404648524496469697</stp>
        <tr r="LC5" s="1"/>
      </tp>
      <tp t="s">
        <v>#N/A N/A</v>
        <stp/>
        <stp>BDS|14057248548624672631</stp>
        <tr r="O5" s="39"/>
      </tp>
      <tp t="s">
        <v>#N/A N/A</v>
        <stp/>
        <stp>BDS|17855558965501903584</stp>
        <tr r="MW5" s="13"/>
        <tr r="LS5" s="29"/>
      </tp>
      <tp t="s">
        <v>#N/A N/A</v>
        <stp/>
        <stp>BDS|10229614998017412863</stp>
        <tr r="UY5" s="4"/>
        <tr r="SQ5" s="21"/>
        <tr r="AE5" s="22"/>
        <tr r="KO5" s="32"/>
      </tp>
      <tp t="s">
        <v>#N/A N/A</v>
        <stp/>
        <stp>BDS|12964179996593587946</stp>
        <tr r="HQ5" s="16"/>
      </tp>
      <tp t="s">
        <v>#N/A N/A</v>
        <stp/>
        <stp>BDS|17841189948952240040</stp>
        <tr r="HC5" s="15"/>
      </tp>
      <tp t="s">
        <v>#N/A N/A</v>
        <stp/>
        <stp>BDS|10639134668273661456</stp>
        <tr r="UI5" s="42"/>
      </tp>
      <tp t="s">
        <v>#N/A N/A</v>
        <stp/>
        <stp>BDS|10636295656450760717</stp>
        <tr r="DA5" s="3"/>
      </tp>
      <tp t="s">
        <v>#N/A N/A</v>
        <stp/>
        <stp>BDS|10669267003306965452</stp>
        <tr r="UY5" s="12"/>
      </tp>
      <tp t="s">
        <v>#N/A N/A</v>
        <stp/>
        <stp>BDS|13634638872596810424</stp>
        <tr r="BW5" s="44"/>
      </tp>
      <tp t="s">
        <v>#N/A N/A</v>
        <stp/>
        <stp>BDS|17245857402637096885</stp>
        <tr r="FI5" s="28"/>
      </tp>
      <tp t="s">
        <v>#N/A N/A</v>
        <stp/>
        <stp>BDS|14258378779910197001</stp>
        <tr r="AE5" s="5"/>
      </tp>
      <tp t="s">
        <v>#N/A N/A</v>
        <stp/>
        <stp>BDS|11108395666505495175</stp>
        <tr r="EE5" s="24"/>
      </tp>
      <tp t="s">
        <v>#N/A N/A</v>
        <stp/>
        <stp>BDS|16462323618120276411</stp>
        <tr r="BI5" s="6"/>
      </tp>
      <tp t="s">
        <v>#N/A N/A</v>
        <stp/>
        <stp>BDS|11931747448602971014</stp>
        <tr r="NK5" s="9"/>
      </tp>
      <tp t="s">
        <v>#N/A N/A</v>
        <stp/>
        <stp>BDS|10408172973547494198</stp>
        <tr r="A5" s="27"/>
      </tp>
      <tp t="s">
        <v>#N/A N/A</v>
        <stp/>
        <stp>BDS|12756427047374694662</stp>
        <tr r="PE5" s="24"/>
        <tr r="SQ5" s="10"/>
        <tr r="A5" s="16"/>
      </tp>
      <tp t="s">
        <v>#N/A N/A</v>
        <stp/>
        <stp>BDS|14266413936043231051</stp>
        <tr r="O5" s="37"/>
      </tp>
      <tp t="s">
        <v>#N/A N/A</v>
        <stp/>
        <stp>BDS|13278546015293601475</stp>
        <tr r="OO5" s="1"/>
      </tp>
      <tp t="s">
        <v>#N/A N/A</v>
        <stp/>
        <stp>BDS|14987484527142069052</stp>
        <tr r="KO5" s="15"/>
      </tp>
      <tp t="s">
        <v>#N/A N/A</v>
        <stp/>
        <stp>BDS|12405462201533692554</stp>
        <tr r="FY5" s="18"/>
        <tr r="QI5" s="32"/>
        <tr r="QI5" s="42"/>
      </tp>
      <tp t="s">
        <v>#N/A N/A</v>
        <stp/>
        <stp>BDS|15277809413758322426</stp>
        <tr r="HC5" s="1"/>
      </tp>
      <tp t="s">
        <v>#N/A N/A</v>
        <stp/>
        <stp>BDS|14569425053566126351</stp>
        <tr r="QW5" s="19"/>
        <tr r="O5" s="19"/>
      </tp>
      <tp t="s">
        <v>#N/A N/A</v>
        <stp/>
        <stp>BDS|14772977674953525901</stp>
        <tr r="AE5" s="25"/>
      </tp>
      <tp t="s">
        <v>#N/A N/A</v>
        <stp/>
        <stp>BDS|11654018025144170721</stp>
        <tr r="MG5" s="35"/>
      </tp>
      <tp t="s">
        <v>#N/A N/A</v>
        <stp/>
        <stp>BDS|17592721755155045032</stp>
        <tr r="LS5" s="16"/>
      </tp>
      <tp t="s">
        <v>#N/A N/A</v>
        <stp/>
        <stp>BDS|10968840003120947819</stp>
        <tr r="RM5" s="13"/>
      </tp>
      <tp t="s">
        <v>#N/A N/A</v>
        <stp/>
        <stp>BDS|15927489210355202557</stp>
        <tr r="JY5" s="33"/>
      </tp>
      <tp t="s">
        <v>#N/A N/A</v>
        <stp/>
        <stp>BDS|17858764622016282487</stp>
        <tr r="SQ5" s="14"/>
      </tp>
      <tp t="s">
        <v>#N/A N/A</v>
        <stp/>
        <stp>BDS|14077573245940568518</stp>
        <tr r="UY5" s="8"/>
      </tp>
      <tp t="s">
        <v>#N/A N/A</v>
        <stp/>
        <stp>BDS|15922420942716610391</stp>
        <tr r="QW5" s="3"/>
      </tp>
      <tp t="s">
        <v>#N/A N/A</v>
        <stp/>
        <stp>BDS|16460389987504913952</stp>
        <tr r="IG5" s="12"/>
      </tp>
      <tp t="s">
        <v>#N/A N/A</v>
        <stp/>
        <stp>BDS|14176365294688090677</stp>
        <tr r="VM5" s="17"/>
        <tr r="HQ5" s="43"/>
      </tp>
      <tp t="s">
        <v>#N/A N/A</v>
        <stp/>
        <stp>BDS|10852180860447698024</stp>
        <tr r="HQ5" s="10"/>
      </tp>
      <tp t="s">
        <v>#N/A N/A</v>
        <stp/>
        <stp>BDS|10662422736963143475</stp>
        <tr r="MW5" s="10"/>
        <tr r="LS5" s="26"/>
        <tr r="EU5" s="33"/>
      </tp>
      <tp t="s">
        <v>#N/A N/A</v>
        <stp/>
        <stp>BDS|17257257223076936194</stp>
        <tr r="BW5" s="26"/>
      </tp>
      <tp t="s">
        <v>#N/A N/A</v>
        <stp/>
        <stp>BDS|14032669631945772441</stp>
        <tr r="JK5" s="48"/>
      </tp>
      <tp t="s">
        <v>#N/A N/A</v>
        <stp/>
        <stp>BDS|17517603978361855701</stp>
        <tr r="IU5" s="31"/>
      </tp>
      <tp t="s">
        <v>#N/A N/A</v>
        <stp/>
        <stp>BDS|10752944904318743152</stp>
        <tr r="AE5" s="43"/>
      </tp>
      <tp t="s">
        <v>#N/A N/A</v>
        <stp/>
        <stp>BDS|10532562578124296730</stp>
        <tr r="PS5" s="21"/>
      </tp>
      <tp t="s">
        <v>#N/A N/A</v>
        <stp/>
        <stp>BDS|10683328562872407686</stp>
        <tr r="BI5" s="12"/>
      </tp>
      <tp t="s">
        <v>#N/A N/A</v>
        <stp/>
        <stp>BDS|11938813805669796102</stp>
        <tr r="TE5" s="50"/>
      </tp>
      <tp t="s">
        <v>#N/A N/A</v>
        <stp/>
        <stp>BDS|12045146905734905626</stp>
        <tr r="BW5" s="9"/>
      </tp>
      <tp t="s">
        <v>#N/A N/A</v>
        <stp/>
        <stp>BDS|14473619420142743389</stp>
        <tr r="UI5" s="41"/>
      </tp>
      <tp t="s">
        <v>#N/A N/A</v>
        <stp/>
        <stp>BDS|12848456706987830084</stp>
        <tr r="LC5" s="19"/>
      </tp>
      <tp t="s">
        <v>#N/A N/A</v>
        <stp/>
        <stp>BDS|16094343447807131792</stp>
        <tr r="FY5" s="49"/>
      </tp>
      <tp t="s">
        <v>#N/A N/A</v>
        <stp/>
        <stp>BDS|11508288034822741351</stp>
        <tr r="HQ5" s="20"/>
        <tr r="TE5" s="47"/>
      </tp>
      <tp t="s">
        <v>#N/A N/A</v>
        <stp/>
        <stp>BDS|12976226371835725352</stp>
        <tr r="JK5" s="3"/>
      </tp>
      <tp t="s">
        <v>#N/A N/A</v>
        <stp/>
        <stp>BDS|18130000942098288598</stp>
        <tr r="GM5" s="34"/>
      </tp>
      <tp t="s">
        <v>#N/A N/A</v>
        <stp/>
        <stp>BDS|17815807298213959409</stp>
        <tr r="VM5" s="29"/>
      </tp>
      <tp t="s">
        <v>#N/A N/A</v>
        <stp/>
        <stp>BDS|17930229737156429118</stp>
        <tr r="IU5" s="20"/>
      </tp>
      <tp t="s">
        <v>#N/A N/A</v>
        <stp/>
        <stp>BDS|16751416629253046217</stp>
        <tr r="AE5" s="20"/>
      </tp>
      <tp t="s">
        <v>#N/A N/A</v>
        <stp/>
        <stp>BDS|11248764331103891723</stp>
        <tr r="PS5" s="12"/>
      </tp>
      <tp t="s">
        <v>#N/A N/A</v>
        <stp/>
        <stp>BDS|10352742420633172793</stp>
        <tr r="MW5" s="46"/>
      </tp>
      <tp t="s">
        <v>#N/A N/A</v>
        <stp/>
        <stp>BDS|15993228172090166173</stp>
        <tr r="IU5" s="12"/>
      </tp>
      <tp t="s">
        <v>#N/A N/A</v>
        <stp/>
        <stp>BDS|11652953157979912515</stp>
        <tr r="FI5" s="7"/>
        <tr r="VM5" s="19"/>
      </tp>
      <tp t="s">
        <v>#N/A N/A</v>
        <stp/>
        <stp>BDS|11992676721382018637</stp>
        <tr r="QW5" s="38"/>
        <tr r="AS5" s="48"/>
      </tp>
      <tp t="s">
        <v>#N/A N/A</v>
        <stp/>
        <stp>BDS|10346293986212694963</stp>
        <tr r="MG5" s="19"/>
      </tp>
      <tp t="s">
        <v>#N/A N/A</v>
        <stp/>
        <stp>BDS|12385941599447381419</stp>
        <tr r="RM5" s="29"/>
      </tp>
      <tp t="s">
        <v>#N/A N/A</v>
        <stp/>
        <stp>BDS|12403104149750636675</stp>
        <tr r="DQ5" s="10"/>
      </tp>
      <tp t="s">
        <v>#N/A N/A</v>
        <stp/>
        <stp>BDS|13638892044809564735</stp>
        <tr r="AE5" s="3"/>
        <tr r="LS5" s="47"/>
      </tp>
      <tp t="s">
        <v>#N/A N/A</v>
        <stp/>
        <stp>BDS|11499918132948800224</stp>
        <tr r="DA5" s="10"/>
      </tp>
      <tp t="s">
        <v>#N/A N/A</v>
        <stp/>
        <stp>BDS|13032967085043663080</stp>
        <tr r="IG5" s="3"/>
        <tr r="A5" s="10"/>
        <tr r="PE5" s="25"/>
      </tp>
      <tp t="s">
        <v>#N/A N/A</v>
        <stp/>
        <stp>BDS|10329336762675929167</stp>
        <tr r="JK5" s="22"/>
      </tp>
      <tp t="s">
        <v>#N/A N/A</v>
        <stp/>
        <stp>BDS|12829531973848378992</stp>
        <tr r="PS5" s="4"/>
      </tp>
      <tp t="s">
        <v>#N/A N/A</v>
        <stp/>
        <stp>BDS|17871207233620035796</stp>
        <tr r="OO5" s="10"/>
      </tp>
      <tp t="s">
        <v>#N/A N/A</v>
        <stp/>
        <stp>BDS|17335027190537415872</stp>
        <tr r="IG5" s="41"/>
      </tp>
      <tp t="s">
        <v>#N/A N/A</v>
        <stp/>
        <stp>BDS|17104297728525614345</stp>
        <tr r="IG5" s="1"/>
      </tp>
      <tp t="s">
        <v>#N/A N/A</v>
        <stp/>
        <stp>BDS|13882011170290885537</stp>
        <tr r="O5" s="17"/>
      </tp>
      <tp t="s">
        <v>#N/A N/A</v>
        <stp/>
        <stp>BDS|11589380320602822378</stp>
        <tr r="FY5" s="47"/>
      </tp>
      <tp t="s">
        <v>#N/A N/A</v>
        <stp/>
        <stp>BDS|13114008059307338081</stp>
        <tr r="DA5" s="20"/>
        <tr r="NK5" s="41"/>
      </tp>
      <tp t="s">
        <v>#N/A N/A</v>
        <stp/>
        <stp>BDS|12180336660403662573</stp>
        <tr r="VM5" s="8"/>
      </tp>
      <tp t="s">
        <v>#N/A N/A</v>
        <stp/>
        <stp>BDS|16176818871091022911</stp>
        <tr r="DA5" s="6"/>
      </tp>
      <tp t="s">
        <v>#N/A N/A</v>
        <stp/>
        <stp>BDS|15465421205520229012</stp>
        <tr r="TU5" s="23"/>
      </tp>
      <tp t="s">
        <v>#N/A N/A</v>
        <stp/>
        <stp>BDS|16654995794244328385</stp>
        <tr r="EU5" s="46"/>
      </tp>
      <tp t="s">
        <v>#N/A N/A</v>
        <stp/>
        <stp>BDS|10707018064766136139</stp>
        <tr r="GM5" s="6"/>
      </tp>
      <tp t="s">
        <v>#N/A N/A</v>
        <stp/>
        <stp>BDS|14700883628067113878</stp>
        <tr r="PE5" s="26"/>
      </tp>
      <tp t="s">
        <v>#N/A N/A</v>
        <stp/>
        <stp>BDS|12596723573263008054</stp>
        <tr r="OA5" s="21"/>
        <tr r="FY5" s="19"/>
      </tp>
      <tp t="s">
        <v>#N/A N/A</v>
        <stp/>
        <stp>BDS|17038457926798793859</stp>
        <tr r="JK5" s="26"/>
      </tp>
      <tp t="s">
        <v>#N/A N/A</v>
        <stp/>
        <stp>BDS|13253566854544016615</stp>
        <tr r="JY5" s="13"/>
        <tr r="MG5" s="49"/>
      </tp>
      <tp t="s">
        <v>#N/A N/A</v>
        <stp/>
        <stp>BDS|17640472177162902791</stp>
        <tr r="UI5" s="7"/>
      </tp>
      <tp t="s">
        <v>#N/A N/A</v>
        <stp/>
        <stp>BDS|12626200073224350210</stp>
        <tr r="GM5" s="49"/>
      </tp>
      <tp t="s">
        <v>#N/A N/A</v>
        <stp/>
        <stp>BDS|12923351064714535298</stp>
        <tr r="LC5" s="18"/>
      </tp>
      <tp t="s">
        <v>#N/A N/A</v>
        <stp/>
        <stp>BDS|14022491531270536291</stp>
        <tr r="JY5" s="41"/>
      </tp>
      <tp t="s">
        <v>#N/A N/A</v>
        <stp/>
        <stp>BDS|15761702409677801421</stp>
        <tr r="FI5" s="29"/>
      </tp>
      <tp t="s">
        <v>#N/A N/A</v>
        <stp/>
        <stp>BDS|13938802587151338392</stp>
        <tr r="DA5" s="37"/>
      </tp>
      <tp t="s">
        <v>#N/A N/A</v>
        <stp/>
        <stp>BDS|15061441561282490458</stp>
        <tr r="AE5" s="32"/>
      </tp>
      <tp t="s">
        <v>#N/A N/A</v>
        <stp/>
        <stp>BDS|15089557667294071377</stp>
        <tr r="UY5" s="29"/>
      </tp>
      <tp t="s">
        <v>#N/A N/A</v>
        <stp/>
        <stp>BDS|15355039132443970316</stp>
        <tr r="SA5" s="1"/>
      </tp>
      <tp t="s">
        <v>#N/A N/A</v>
        <stp/>
        <stp>BDS|17147740242802577085</stp>
        <tr r="EE5" s="45"/>
      </tp>
      <tp t="s">
        <v>#N/A N/A</v>
        <stp/>
        <stp>BDS|10871948115007632951</stp>
        <tr r="VM5" s="46"/>
      </tp>
      <tp t="s">
        <v>#N/A N/A</v>
        <stp/>
        <stp>BDS|14758592535300020414</stp>
        <tr r="O5" s="14"/>
      </tp>
      <tp t="s">
        <v>#N/A N/A</v>
        <stp/>
        <stp>BDS|17824495769051507275</stp>
        <tr r="CM5" s="29"/>
      </tp>
      <tp t="s">
        <v>#N/A N/A</v>
        <stp/>
        <stp>BDS|12994540949536881364</stp>
        <tr r="FY5" s="15"/>
      </tp>
      <tp t="s">
        <v>#N/A N/A</v>
        <stp/>
        <stp>BDS|12862374660796160759</stp>
        <tr r="DA5" s="25"/>
      </tp>
      <tp t="s">
        <v>#N/A N/A</v>
        <stp/>
        <stp>BDS|15512651231881243785</stp>
        <tr r="UI5" s="22"/>
      </tp>
      <tp t="s">
        <v>#N/A N/A</v>
        <stp/>
        <stp>BDS|16084538470873935112</stp>
        <tr r="FY5" s="14"/>
      </tp>
      <tp t="s">
        <v>#N/A N/A</v>
        <stp/>
        <stp>BDS|15393134299722109905</stp>
        <tr r="MG5" s="4"/>
        <tr r="O5" s="8"/>
      </tp>
      <tp t="s">
        <v>#N/A N/A</v>
        <stp/>
        <stp>BDS|11443752907496636682</stp>
        <tr r="PS5" s="3"/>
        <tr r="JY5" s="7"/>
      </tp>
      <tp t="s">
        <v>#N/A N/A</v>
        <stp/>
        <stp>BDS|17119470748611421027</stp>
        <tr r="A5" s="7"/>
      </tp>
      <tp t="s">
        <v>#N/A N/A</v>
        <stp/>
        <stp>BDS|15871201732202650059</stp>
        <tr r="QW5" s="11"/>
        <tr r="UI5" s="12"/>
      </tp>
      <tp t="s">
        <v>#N/A N/A</v>
        <stp/>
        <stp>BDS|15050014229679230832</stp>
        <tr r="DA5" s="29"/>
      </tp>
      <tp t="s">
        <v>#N/A N/A</v>
        <stp/>
        <stp>BDS|16830268251605559241</stp>
        <tr r="O5" s="20"/>
      </tp>
      <tp t="s">
        <v>#N/A N/A</v>
        <stp/>
        <stp>BDS|13509219889876081937</stp>
        <tr r="AS5" s="9"/>
      </tp>
      <tp t="s">
        <v>#N/A N/A</v>
        <stp/>
        <stp>BDS|17582412420785371284</stp>
        <tr r="TU5" s="14"/>
      </tp>
      <tp t="s">
        <v>#N/A N/A</v>
        <stp/>
        <stp>BDS|12083774353763227599</stp>
        <tr r="O5" s="15"/>
      </tp>
      <tp t="s">
        <v>#N/A N/A</v>
        <stp/>
        <stp>BDS|10550089721804537061</stp>
        <tr r="IG5" s="37"/>
      </tp>
      <tp t="s">
        <v>#N/A N/A</v>
        <stp/>
        <stp>BDS|17113743353733887024</stp>
        <tr r="AE5" s="9"/>
      </tp>
      <tp t="s">
        <v>#N/A N/A</v>
        <stp/>
        <stp>BDS|11533438929467483671</stp>
        <tr r="OA5" s="28"/>
      </tp>
      <tp t="s">
        <v>#N/A N/A</v>
        <stp/>
        <stp>BDS|13938140552001536074</stp>
        <tr r="JY5" s="27"/>
      </tp>
      <tp t="s">
        <v>#N/A N/A</v>
        <stp/>
        <stp>BDS|16904841695437995631</stp>
        <tr r="EE5" s="9"/>
      </tp>
      <tp t="s">
        <v>#N/A N/A</v>
        <stp/>
        <stp>BDS|11038105923846378236</stp>
        <tr r="FI5" s="38"/>
      </tp>
      <tp t="s">
        <v>#N/A N/A</v>
        <stp/>
        <stp>BDS|12871322023142976736</stp>
        <tr r="DQ5" s="36"/>
      </tp>
      <tp t="s">
        <v>#N/A N/A</v>
        <stp/>
        <stp>BDS|17513060127476659514</stp>
        <tr r="BW5" s="47"/>
      </tp>
      <tp t="s">
        <v>#N/A N/A</v>
        <stp/>
        <stp>BDS|15879339274794803371</stp>
        <tr r="CM5" s="10"/>
      </tp>
      <tp t="s">
        <v>#N/A N/A</v>
        <stp/>
        <stp>BDS|10341725432103096139</stp>
        <tr r="EE5" s="29"/>
      </tp>
      <tp t="s">
        <v>#N/A N/A</v>
        <stp/>
        <stp>BDS|18413553480464497758</stp>
        <tr r="KO5" s="13"/>
        <tr r="PE5" s="29"/>
      </tp>
      <tp t="s">
        <v>#N/A N/A</v>
        <stp/>
        <stp>BDS|14799454153275931694</stp>
        <tr r="AE5" s="13"/>
        <tr r="CM5" s="13"/>
        <tr r="JK5" s="25"/>
        <tr r="QI5" s="49"/>
      </tp>
      <tp t="s">
        <v>#N/A N/A</v>
        <stp/>
        <stp>BDS|10349654690008394146</stp>
        <tr r="TE5" s="7"/>
      </tp>
      <tp t="s">
        <v>#N/A N/A</v>
        <stp/>
        <stp>BDS|16449910149974990949</stp>
        <tr r="JK5" s="42"/>
        <tr r="QI5" s="36"/>
      </tp>
      <tp t="s">
        <v>#N/A N/A</v>
        <stp/>
        <stp>BDS|16233333460254472148</stp>
        <tr r="MW5" s="9"/>
      </tp>
      <tp t="s">
        <v>#N/A N/A</v>
        <stp/>
        <stp>BDS|13075462957766892288</stp>
        <tr r="HC5" s="49"/>
        <tr r="FY5" s="50"/>
      </tp>
      <tp t="s">
        <v>#N/A N/A</v>
        <stp/>
        <stp>BDS|11524856533165319914</stp>
        <tr r="IU5" s="22"/>
      </tp>
      <tp t="s">
        <v>#N/A N/A</v>
        <stp/>
        <stp>BDS|11303054066271743064</stp>
        <tr r="OO5" s="11"/>
        <tr r="FI5" s="31"/>
      </tp>
      <tp t="s">
        <v>#N/A N/A</v>
        <stp/>
        <stp>BDS|13350519755314143100</stp>
        <tr r="LC5" s="25"/>
        <tr r="OO5" s="47"/>
      </tp>
      <tp t="s">
        <v>#N/A N/A</v>
        <stp/>
        <stp>BDS|17839454641445806423</stp>
        <tr r="IU5" s="25"/>
        <tr r="NK5" s="28"/>
        <tr r="AS5" s="42"/>
      </tp>
      <tp t="s">
        <v>#N/A N/A</v>
        <stp/>
        <stp>BDS|14497109836577212764</stp>
        <tr r="QI5" s="50"/>
      </tp>
      <tp t="s">
        <v>#N/A N/A</v>
        <stp/>
        <stp>BDS|10626165173428562805</stp>
        <tr r="IG5" s="8"/>
        <tr r="MW5" s="24"/>
        <tr r="UY5" s="24"/>
        <tr r="QI5" s="40"/>
      </tp>
      <tp t="s">
        <v>#N/A N/A</v>
        <stp/>
        <stp>BDS|16481789561647202697</stp>
        <tr r="QW5" s="23"/>
      </tp>
      <tp t="s">
        <v>#N/A N/A</v>
        <stp/>
        <stp>BDS|16319281550316933158</stp>
        <tr r="LC5" s="3"/>
        <tr r="MG5" s="32"/>
      </tp>
      <tp t="s">
        <v>#N/A N/A</v>
        <stp/>
        <stp>BDS|17095924880132724222</stp>
        <tr r="TU5" s="41"/>
      </tp>
      <tp t="s">
        <v>#N/A N/A</v>
        <stp/>
        <stp>BDS|10616547083278760315</stp>
        <tr r="OO5" s="50"/>
      </tp>
      <tp t="s">
        <v>#N/A N/A</v>
        <stp/>
        <stp>BDS|15992013520595996460</stp>
        <tr r="MG5" s="8"/>
      </tp>
      <tp t="s">
        <v>#N/A N/A</v>
        <stp/>
        <stp>BDS|13657475706065145412</stp>
        <tr r="BW5" s="20"/>
      </tp>
      <tp t="s">
        <v>#N/A N/A</v>
        <stp/>
        <stp>BDS|10346993398825613305</stp>
        <tr r="RM5" s="3"/>
      </tp>
      <tp t="s">
        <v>#N/A N/A</v>
        <stp/>
        <stp>BDS|16714260588543536989</stp>
        <tr r="EE5" s="4"/>
      </tp>
      <tp t="s">
        <v>#N/A N/A</v>
        <stp/>
        <stp>BDS|10396837864118027008</stp>
        <tr r="IU5" s="33"/>
        <tr r="PS5" s="41"/>
      </tp>
      <tp t="s">
        <v>#N/A N/A</v>
        <stp/>
        <stp>BDS|10911757424365852659</stp>
        <tr r="OA5" s="16"/>
      </tp>
      <tp t="s">
        <v>#N/A N/A</v>
        <stp/>
        <stp>BDS|10970698430124408716</stp>
        <tr r="KO5" s="25"/>
        <tr r="OA5" s="47"/>
      </tp>
      <tp t="s">
        <v>#N/A N/A</v>
        <stp/>
        <stp>BDS|15539139921666640646</stp>
        <tr r="NK5" s="45"/>
      </tp>
      <tp t="s">
        <v>#N/A N/A</v>
        <stp/>
        <stp>BDS|17579220973512135604</stp>
        <tr r="HQ5" s="26"/>
      </tp>
      <tp t="s">
        <v>#N/A N/A</v>
        <stp/>
        <stp>BDS|17415547585068759589</stp>
        <tr r="SA5" s="13"/>
      </tp>
      <tp t="s">
        <v>#N/A N/A</v>
        <stp/>
        <stp>BDS|18406944074128942971</stp>
        <tr r="KO5" s="3"/>
        <tr r="LS5" s="32"/>
      </tp>
      <tp t="s">
        <v>#N/A N/A</v>
        <stp/>
        <stp>BDS|11585690029896605496</stp>
        <tr r="EU5" s="16"/>
      </tp>
      <tp t="s">
        <v>#N/A N/A</v>
        <stp/>
        <stp>BDS|10277278577265184793</stp>
        <tr r="NK5" s="20"/>
      </tp>
      <tp t="s">
        <v>#N/A N/A</v>
        <stp/>
        <stp>BDS|10190726703576878637</stp>
        <tr r="DQ5" s="33"/>
      </tp>
      <tp t="s">
        <v>#N/A N/A</v>
        <stp/>
        <stp>BDS|16860725467208405828</stp>
        <tr r="SA5" s="16"/>
      </tp>
      <tp t="s">
        <v>#N/A N/A</v>
        <stp/>
        <stp>BDS|17877993145208628595</stp>
        <tr r="DQ5" s="13"/>
      </tp>
      <tp t="s">
        <v>#N/A N/A</v>
        <stp/>
        <stp>BDS|15014038757175796286</stp>
        <tr r="LS5" s="42"/>
      </tp>
      <tp t="s">
        <v>#N/A N/A</v>
        <stp/>
        <stp>BDS|17933096022444825616</stp>
        <tr r="QW5" s="2"/>
      </tp>
      <tp t="s">
        <v>#N/A N/A</v>
        <stp/>
        <stp>BDS|15234096369772335691</stp>
        <tr r="PE5" s="14"/>
        <tr r="FY5" s="25"/>
      </tp>
      <tp t="s">
        <v>#N/A N/A</v>
        <stp/>
        <stp>BDS|10188648057770246484</stp>
        <tr r="TU5" s="30"/>
      </tp>
      <tp t="s">
        <v>#N/A N/A</v>
        <stp/>
        <stp>BDS|11608824886501223792</stp>
        <tr r="UI5" s="17"/>
      </tp>
      <tp t="s">
        <v>#N/A N/A</v>
        <stp/>
        <stp>BDS|16850811856629318554</stp>
        <tr r="CM5" s="45"/>
      </tp>
      <tp t="s">
        <v>#N/A N/A</v>
        <stp/>
        <stp>BDS|15886913597751367320</stp>
        <tr r="HC5" s="33"/>
      </tp>
      <tp t="s">
        <v>#N/A N/A</v>
        <stp/>
        <stp>BDS|18202599891472518100</stp>
        <tr r="QI5" s="33"/>
      </tp>
      <tp t="s">
        <v>#N/A N/A</v>
        <stp/>
        <stp>BDS|15870625153816287778</stp>
        <tr r="HC5" s="38"/>
      </tp>
      <tp t="s">
        <v>#N/A N/A</v>
        <stp/>
        <stp>BDS|16144623268330329142</stp>
        <tr r="IG5" s="22"/>
      </tp>
      <tp t="s">
        <v>#N/A N/A</v>
        <stp/>
        <stp>BDS|15910223577264035318</stp>
        <tr r="LS5" s="48"/>
      </tp>
      <tp t="s">
        <v>#N/A N/A</v>
        <stp/>
        <stp>BDS|10219489357051861787</stp>
        <tr r="JY5" s="17"/>
        <tr r="GM5" s="42"/>
        <tr r="O5" s="42"/>
      </tp>
      <tp t="s">
        <v>#N/A N/A</v>
        <stp/>
        <stp>BDS|17619513428676052129</stp>
        <tr r="RM5" s="7"/>
      </tp>
      <tp t="s">
        <v>#N/A N/A</v>
        <stp/>
        <stp>BDS|15551334405747721698</stp>
        <tr r="VM5" s="31"/>
        <tr r="HQ5" s="41"/>
      </tp>
      <tp t="s">
        <v>#N/A N/A</v>
        <stp/>
        <stp>BDS|10155836452138404260</stp>
        <tr r="SQ5" s="5"/>
      </tp>
      <tp t="s">
        <v>#N/A N/A</v>
        <stp/>
        <stp>BDS|14955107731670860122</stp>
        <tr r="JK5" s="15"/>
        <tr r="A5" s="47"/>
      </tp>
      <tp t="s">
        <v>#N/A N/A</v>
        <stp/>
        <stp>BDS|14380342510301752028</stp>
        <tr r="SA5" s="47"/>
      </tp>
      <tp t="s">
        <v>#N/A N/A</v>
        <stp/>
        <stp>BDS|16644132176067198012</stp>
        <tr r="CM5" s="39"/>
      </tp>
      <tp t="s">
        <v>#N/A N/A</v>
        <stp/>
        <stp>BDS|16684555494348404503</stp>
        <tr r="IG5" s="25"/>
        <tr r="MW5" s="28"/>
        <tr r="AE5" s="42"/>
      </tp>
      <tp t="s">
        <v>#N/A N/A</v>
        <stp/>
        <stp>BDS|10092207159390867029</stp>
        <tr r="UI5" s="23"/>
      </tp>
      <tp t="s">
        <v>#N/A N/A</v>
        <stp/>
        <stp>BDS|10437495911455703780</stp>
        <tr r="AE5" s="47"/>
      </tp>
      <tp t="s">
        <v>#N/A N/A</v>
        <stp/>
        <stp>BDS|10365585385412786896</stp>
        <tr r="PS5" s="43"/>
      </tp>
      <tp t="s">
        <v>#N/A N/A</v>
        <stp/>
        <stp>BDS|10678499061314827161</stp>
        <tr r="JK5" s="47"/>
      </tp>
      <tp t="s">
        <v>#N/A N/A</v>
        <stp/>
        <stp>BDS|11244351849792802363</stp>
        <tr r="RM5" s="38"/>
      </tp>
      <tp t="s">
        <v>#N/A N/A</v>
        <stp/>
        <stp>BDS|12684717360135391147</stp>
        <tr r="SA5" s="4"/>
        <tr r="PS5" s="8"/>
        <tr r="EE5" s="12"/>
        <tr r="OO5" s="44"/>
      </tp>
      <tp t="s">
        <v>#N/A N/A</v>
        <stp/>
        <stp>BDS|14617650142607635671</stp>
        <tr r="SA5" s="2"/>
      </tp>
      <tp t="s">
        <v>#N/A N/A</v>
        <stp/>
        <stp>BDS|17543253880612997881</stp>
        <tr r="JK5" s="5"/>
      </tp>
      <tp t="s">
        <v>#N/A N/A</v>
        <stp/>
        <stp>BDS|12794475823562718151</stp>
        <tr r="PE5" s="32"/>
      </tp>
      <tp t="s">
        <v>#N/A N/A</v>
        <stp/>
        <stp>BDS|17096047670504416314</stp>
        <tr r="BI5" s="40"/>
      </tp>
      <tp t="s">
        <v>#N/A N/A</v>
        <stp/>
        <stp>BDS|10179058208847953045</stp>
        <tr r="IU5" s="47"/>
      </tp>
      <tp t="s">
        <v>#N/A N/A</v>
        <stp/>
        <stp>BDS|13070259049080974232</stp>
        <tr r="EE5" s="35"/>
      </tp>
      <tp t="s">
        <v>#N/A N/A</v>
        <stp/>
        <stp>BDS|13387798409701700224</stp>
        <tr r="KO5" s="4"/>
        <tr r="JK5" s="20"/>
      </tp>
      <tp t="s">
        <v>#N/A N/A</v>
        <stp/>
        <stp>BDS|11630002361489021910</stp>
        <tr r="JK5" s="17"/>
        <tr r="A5" s="42"/>
        <tr r="FY5" s="42"/>
      </tp>
      <tp t="s">
        <v>#N/A N/A</v>
        <stp/>
        <stp>BDS|12794190276714992768</stp>
        <tr r="SA5" s="8"/>
        <tr r="AS5" s="10"/>
        <tr r="UI5" s="24"/>
      </tp>
      <tp t="s">
        <v>#N/A N/A</v>
        <stp/>
        <stp>BDS|13378209173691772002</stp>
        <tr r="LS5" s="35"/>
      </tp>
      <tp t="s">
        <v>#N/A N/A</v>
        <stp/>
        <stp>BDS|14433959134201762852</stp>
        <tr r="EE5" s="3"/>
      </tp>
      <tp t="s">
        <v>#N/A N/A</v>
        <stp/>
        <stp>BDS|18336208005795013820</stp>
        <tr r="AE5" s="39"/>
        <tr r="QI5" s="10"/>
      </tp>
      <tp t="s">
        <v>#N/A N/A</v>
        <stp/>
        <stp>BDS|16856739758131479237</stp>
        <tr r="PS5" s="45"/>
      </tp>
      <tp t="s">
        <v>#N/A N/A</v>
        <stp/>
        <stp>BDS|14447052870495425112</stp>
        <tr r="O5" s="27"/>
      </tp>
      <tp t="s">
        <v>#N/A N/A</v>
        <stp/>
        <stp>BDS|14427598421970010482</stp>
        <tr r="BW5" s="29"/>
      </tp>
      <tp t="s">
        <v>#N/A N/A</v>
        <stp/>
        <stp>BDS|11192715567023289413</stp>
        <tr r="HQ5" s="15"/>
      </tp>
      <tp t="s">
        <v>#N/A N/A</v>
        <stp/>
        <stp>BDS|10297228574665030703</stp>
        <tr r="FY5" s="40"/>
      </tp>
      <tp t="s">
        <v>#N/A N/A</v>
        <stp/>
        <stp>BDS|15333949096633087152</stp>
        <tr r="FY5" s="4"/>
        <tr r="KO5" s="44"/>
      </tp>
      <tp t="s">
        <v>#N/A N/A</v>
        <stp/>
        <stp>BDS|13993851017854753981</stp>
        <tr r="CM5" s="2"/>
      </tp>
      <tp t="s">
        <v>#N/A N/A</v>
        <stp/>
        <stp>BDS|17122446910133964690</stp>
        <tr r="A5" s="48"/>
      </tp>
      <tp t="s">
        <v>#N/A N/A</v>
        <stp/>
        <stp>BDS|17618510656677653720</stp>
        <tr r="HQ5" s="31"/>
      </tp>
      <tp t="s">
        <v>#N/A N/A</v>
        <stp/>
        <stp>BDS|10113621815795130521</stp>
        <tr r="HC5" s="9"/>
      </tp>
      <tp t="s">
        <v>#N/A N/A</v>
        <stp/>
        <stp>BDS|16857651551850559137</stp>
        <tr r="VM5" s="11"/>
      </tp>
      <tp t="s">
        <v>#N/A N/A</v>
        <stp/>
        <stp>BDS|13448382445697642759</stp>
        <tr r="LC5" s="33"/>
      </tp>
      <tp t="s">
        <v>#N/A N/A</v>
        <stp/>
        <stp>BDS|10957559636420177213</stp>
        <tr r="SQ5" s="1"/>
        <tr r="CM5" s="38"/>
      </tp>
      <tp t="s">
        <v>#N/A N/A</v>
        <stp/>
        <stp>BDS|16827500276344058447</stp>
        <tr r="IG5" s="47"/>
      </tp>
      <tp t="s">
        <v>#N/A N/A</v>
        <stp/>
        <stp>BDS|14349301172274824037</stp>
        <tr r="KO5" s="6"/>
      </tp>
      <tp t="s">
        <v>#N/A N/A</v>
        <stp/>
        <stp>BDS|12942243805856160239</stp>
        <tr r="UY5" s="15"/>
        <tr r="JK5" s="44"/>
      </tp>
      <tp t="s">
        <v>#N/A N/A</v>
        <stp/>
        <stp>BDS|10974930558849181197</stp>
        <tr r="QI5" s="31"/>
      </tp>
      <tp t="s">
        <v>#N/A N/A</v>
        <stp/>
        <stp>BDS|15211582318837944219</stp>
        <tr r="KO5" s="37"/>
      </tp>
      <tp t="s">
        <v>#N/A N/A</v>
        <stp/>
        <stp>BDS|15093048725747859428</stp>
        <tr r="EE5" s="28"/>
      </tp>
      <tp t="s">
        <v>#N/A N/A</v>
        <stp/>
        <stp>BDS|15826206365097359254</stp>
        <tr r="LS5" s="43"/>
      </tp>
      <tp t="s">
        <v>#N/A N/A</v>
        <stp/>
        <stp>BDS|14168093690298426170</stp>
        <tr r="A5" s="34"/>
      </tp>
      <tp t="s">
        <v>#N/A N/A</v>
        <stp/>
        <stp>BDS|14535533508616488327</stp>
        <tr r="LC5" s="39"/>
      </tp>
      <tp t="s">
        <v>#N/A N/A</v>
        <stp/>
        <stp>BDS|15913765931912073776</stp>
        <tr r="QW5" s="41"/>
      </tp>
      <tp t="s">
        <v>#N/A N/A</v>
        <stp/>
        <stp>BDS|11010136328793632539</stp>
        <tr r="JK5" s="49"/>
      </tp>
      <tp t="s">
        <v>#N/A N/A</v>
        <stp/>
        <stp>BDS|10588182551913119329</stp>
        <tr r="TU5" s="42"/>
      </tp>
      <tp t="s">
        <v>#N/A N/A</v>
        <stp/>
        <stp>BDS|13346576707233505191</stp>
        <tr r="FY5" s="23"/>
      </tp>
      <tp t="s">
        <v>#N/A N/A</v>
        <stp/>
        <stp>BDS|12616180553664215606</stp>
        <tr r="MW5" s="4"/>
      </tp>
      <tp t="s">
        <v>#N/A N/A</v>
        <stp/>
        <stp>BDS|11112884935259948799</stp>
        <tr r="AE5" s="17"/>
      </tp>
      <tp t="s">
        <v>#N/A N/A</v>
        <stp/>
        <stp>BDS|11391973825889558789</stp>
        <tr r="CM5" s="37"/>
      </tp>
      <tp t="s">
        <v>#N/A N/A</v>
        <stp/>
        <stp>BDS|16514418643600360289</stp>
        <tr r="PE5" s="22"/>
      </tp>
      <tp t="s">
        <v>#N/A N/A</v>
        <stp/>
        <stp>BDS|12495200147084677499</stp>
        <tr r="BI5" s="27"/>
      </tp>
      <tp t="s">
        <v>#N/A N/A</v>
        <stp/>
        <stp>BDS|12149296712965733007</stp>
        <tr r="QI5" s="27"/>
      </tp>
      <tp t="s">
        <v>#N/A N/A</v>
        <stp/>
        <stp>BDS|12082853393667272098</stp>
        <tr r="CM5" s="31"/>
      </tp>
      <tp t="s">
        <v>#N/A N/A</v>
        <stp/>
        <stp>BDS|12772904601746350980</stp>
        <tr r="PS5" s="47"/>
      </tp>
      <tp t="s">
        <v>#N/A N/A</v>
        <stp/>
        <stp>BDS|17394347776377485083</stp>
        <tr r="OA5" s="23"/>
      </tp>
      <tp t="s">
        <v>#N/A N/A</v>
        <stp/>
        <stp>BDS|14643438518385897083</stp>
        <tr r="LC5" s="6"/>
      </tp>
      <tp t="s">
        <v>#N/A N/A</v>
        <stp/>
        <stp>BDS|18252315373580567878</stp>
        <tr r="OO5" s="22"/>
      </tp>
      <tp t="s">
        <v>#N/A N/A</v>
        <stp/>
        <stp>BDS|15666216706050722349</stp>
        <tr r="QI5" s="24"/>
      </tp>
      <tp t="s">
        <v>#N/A N/A</v>
        <stp/>
        <stp>BDS|14017476265847368537</stp>
        <tr r="DQ5" s="38"/>
        <tr r="JK5" s="38"/>
      </tp>
      <tp t="s">
        <v>#N/A N/A</v>
        <stp/>
        <stp>BDS|12591336817764290012</stp>
        <tr r="HQ5" s="19"/>
      </tp>
      <tp t="s">
        <v>#N/A N/A</v>
        <stp/>
        <stp>BDS|11455409737431804383</stp>
        <tr r="VM5" s="23"/>
      </tp>
      <tp t="s">
        <v>#N/A N/A</v>
        <stp/>
        <stp>BDS|17262687108236424355</stp>
        <tr r="TE5" s="23"/>
      </tp>
      <tp t="s">
        <v>#N/A N/A</v>
        <stp/>
        <stp>BDS|18430150764903675835</stp>
        <tr r="HC5" s="40"/>
      </tp>
      <tp t="s">
        <v>#N/A N/A</v>
        <stp/>
        <stp>BDS|17277344947815048113</stp>
        <tr r="FI5" s="49"/>
      </tp>
      <tp t="s">
        <v>#N/A N/A</v>
        <stp/>
        <stp>BDS|14481214923852556232</stp>
        <tr r="TE5" s="30"/>
      </tp>
      <tp t="s">
        <v>#N/A N/A</v>
        <stp/>
        <stp>BDS|17492043320476958799</stp>
        <tr r="IU5" s="45"/>
        <tr r="MG5" s="10"/>
      </tp>
      <tp t="s">
        <v>#N/A N/A</v>
        <stp/>
        <stp>BDS|17405206951673335763</stp>
        <tr r="OO5" s="49"/>
        <tr r="VM5" s="6"/>
        <tr r="TE5" s="38"/>
      </tp>
      <tp t="s">
        <v>#N/A N/A</v>
        <stp/>
        <stp>BDS|13848258269063296060</stp>
        <tr r="RM5" s="34"/>
      </tp>
      <tp t="s">
        <v>#N/A N/A</v>
        <stp/>
        <stp>BDS|12441541160742151712</stp>
        <tr r="HC5" s="21"/>
      </tp>
      <tp t="s">
        <v>#N/A N/A</v>
        <stp/>
        <stp>BDS|12949787910669874980</stp>
        <tr r="EE5" s="11"/>
      </tp>
      <tp t="s">
        <v>#N/A N/A</v>
        <stp/>
        <stp>BDS|12078204155750635121</stp>
        <tr r="SQ5" s="32"/>
      </tp>
      <tp t="s">
        <v>#N/A N/A</v>
        <stp/>
        <stp>BDS|12100332863341708208</stp>
        <tr r="MW5" s="1"/>
      </tp>
      <tp t="s">
        <v>#N/A N/A</v>
        <stp/>
        <stp>BDS|14038728874247265726</stp>
        <tr r="FY5" s="33"/>
      </tp>
      <tp t="s">
        <v>#N/A N/A</v>
        <stp/>
        <stp>BDS|15586175844636159216</stp>
        <tr r="BI5" s="38"/>
      </tp>
      <tp t="s">
        <v>#N/A N/A</v>
        <stp/>
        <stp>BDS|12341306844908837995</stp>
        <tr r="EU5" s="26"/>
      </tp>
      <tp t="s">
        <v>#N/A N/A</v>
        <stp/>
        <stp>BDS|17205074212525870791</stp>
        <tr r="DA5" s="32"/>
        <tr r="O5" s="41"/>
      </tp>
      <tp t="s">
        <v>#N/A N/A</v>
        <stp/>
        <stp>BDS|13354319039647944049</stp>
        <tr r="SA5" s="15"/>
        <tr r="VM5" s="38"/>
        <tr r="EE5" s="39"/>
      </tp>
      <tp t="s">
        <v>#N/A N/A</v>
        <stp/>
        <stp>BDS|11357038734865028322</stp>
        <tr r="QW5" s="50"/>
      </tp>
      <tp t="s">
        <v>#N/A N/A</v>
        <stp/>
        <stp>BDS|15062243933604328425</stp>
        <tr r="NK5" s="47"/>
      </tp>
      <tp t="s">
        <v>#N/A N/A</v>
        <stp/>
        <stp>BDS|13898396631860429738</stp>
        <tr r="QI5" s="26"/>
      </tp>
      <tp t="s">
        <v>#N/A N/A</v>
        <stp/>
        <stp>BDS|16500872795831015206</stp>
        <tr r="PE5" s="3"/>
        <tr r="JK5" s="7"/>
      </tp>
      <tp t="s">
        <v>#N/A N/A</v>
        <stp/>
        <stp>BDS|12622452461690194448</stp>
        <tr r="GM5" s="32"/>
        <tr r="NK5" s="44"/>
      </tp>
      <tp t="s">
        <v>#N/A N/A</v>
        <stp/>
        <stp>BDS|10046549236962777026</stp>
        <tr r="GM5" s="29"/>
      </tp>
      <tp t="s">
        <v>#N/A N/A</v>
        <stp/>
        <stp>BDS|15185337937962102309</stp>
        <tr r="TU5" s="16"/>
      </tp>
      <tp t="s">
        <v>#N/A N/A</v>
        <stp/>
        <stp>BDS|15239886930192725898</stp>
        <tr r="HC5" s="50"/>
      </tp>
      <tp t="s">
        <v>#N/A N/A</v>
        <stp/>
        <stp>BDS|14038264133630075117</stp>
        <tr r="AS5" s="36"/>
      </tp>
      <tp t="s">
        <v>#N/A N/A</v>
        <stp/>
        <stp>BDS|13510607338370970207</stp>
        <tr r="EE5" s="23"/>
      </tp>
      <tp t="s">
        <v>#N/A N/A</v>
        <stp/>
        <stp>BDS|10484461766570121604</stp>
        <tr r="HQ5" s="11"/>
      </tp>
      <tp t="s">
        <v>#N/A N/A</v>
        <stp/>
        <stp>BDS|12027697208902046246</stp>
        <tr r="SA5" s="22"/>
      </tp>
      <tp t="s">
        <v>#N/A N/A</v>
        <stp/>
        <stp>BDS|15437247724953338223</stp>
        <tr r="HC5" s="8"/>
      </tp>
      <tp t="s">
        <v>#N/A N/A</v>
        <stp/>
        <stp>BDS|17646173650977314185</stp>
        <tr r="PS5" s="37"/>
      </tp>
      <tp t="s">
        <v>#N/A N/A</v>
        <stp/>
        <stp>BDS|10911455617353790360</stp>
        <tr r="IU5" s="43"/>
      </tp>
      <tp t="s">
        <v>#N/A N/A</v>
        <stp/>
        <stp>BDS|16786533363873433392</stp>
        <tr r="A5" s="3"/>
      </tp>
      <tp t="s">
        <v>#N/A N/A</v>
        <stp/>
        <stp>BDS|15998472504777258329</stp>
        <tr r="A5" s="36"/>
      </tp>
      <tp t="s">
        <v>#N/A N/A</v>
        <stp/>
        <stp>BDS|16499570519340382737</stp>
        <tr r="CM5" s="43"/>
      </tp>
      <tp t="s">
        <v>#N/A N/A</v>
        <stp/>
        <stp>BDS|15797596361680401300</stp>
        <tr r="GM5" s="13"/>
      </tp>
      <tp t="s">
        <v>#N/A N/A</v>
        <stp/>
        <stp>BDS|10361369993308821751</stp>
        <tr r="BW5" s="6"/>
      </tp>
      <tp t="s">
        <v>#N/A N/A</v>
        <stp/>
        <stp>BDS|12889324766873645112</stp>
        <tr r="UI5" s="48"/>
      </tp>
      <tp t="s">
        <v>#N/A N/A</v>
        <stp/>
        <stp>BDS|14217060703430478184</stp>
        <tr r="SA5" s="25"/>
      </tp>
      <tp t="s">
        <v>#N/A N/A</v>
        <stp/>
        <stp>BDS|14689574958259453852</stp>
        <tr r="SA5" s="24"/>
      </tp>
      <tp t="s">
        <v>#N/A N/A</v>
        <stp/>
        <stp>BDS|10056759503793940170</stp>
        <tr r="TE5" s="5"/>
      </tp>
      <tp t="s">
        <v>#N/A N/A</v>
        <stp/>
        <stp>BDS|16729492483027150842</stp>
        <tr r="AE5" s="7"/>
      </tp>
      <tp t="s">
        <v>#N/A N/A</v>
        <stp/>
        <stp>BDS|12853243347416163720</stp>
        <tr r="PS5" s="14"/>
        <tr r="GM5" s="25"/>
      </tp>
      <tp t="s">
        <v>#N/A N/A</v>
        <stp/>
        <stp>BDS|17812548981397450804</stp>
        <tr r="TU5" s="27"/>
      </tp>
      <tp t="s">
        <v>#N/A N/A</v>
        <stp/>
        <stp>BDS|13358535268935171007</stp>
        <tr r="O5" s="21"/>
        <tr r="GM5" s="44"/>
      </tp>
      <tp t="s">
        <v>#N/A N/A</v>
        <stp/>
        <stp>BDS|11644523178101571702</stp>
        <tr r="OA5" s="1"/>
      </tp>
      <tp t="s">
        <v>#N/A N/A</v>
        <stp/>
        <stp>BDS|10969301553222582115</stp>
        <tr r="FY5" s="27"/>
      </tp>
      <tp t="s">
        <v>#N/A N/A</v>
        <stp/>
        <stp>BDS|14802855691106626647</stp>
        <tr r="KO5" s="8"/>
      </tp>
      <tp t="s">
        <v>#N/A N/A</v>
        <stp/>
        <stp>BDS|16189163537653876270</stp>
        <tr r="EE5" s="1"/>
      </tp>
      <tp t="s">
        <v>#N/A N/A</v>
        <stp/>
        <stp>BDS|13363903845369813219</stp>
        <tr r="BI5" s="3"/>
      </tp>
      <tp t="s">
        <v>#N/A N/A</v>
        <stp/>
        <stp>BDS|14005218455793359584</stp>
        <tr r="JK5" s="31"/>
      </tp>
      <tp t="s">
        <v>#N/A N/A</v>
        <stp/>
        <stp>BDS|11096172856555856567</stp>
        <tr r="AS5" s="2"/>
        <tr r="TE5" s="8"/>
        <tr r="DA5" s="34"/>
      </tp>
      <tp t="s">
        <v>#N/A N/A</v>
        <stp/>
        <stp>BDS|16905598770933901264</stp>
        <tr r="AS5" s="1"/>
      </tp>
      <tp t="s">
        <v>#N/A N/A</v>
        <stp/>
        <stp>BDS|18042890936923798549</stp>
        <tr r="QW5" s="22"/>
      </tp>
      <tp t="s">
        <v>#N/A N/A</v>
        <stp/>
        <stp>BDS|14857539001173458728</stp>
        <tr r="PS5" s="2"/>
      </tp>
      <tp t="s">
        <v>#N/A N/A</v>
        <stp/>
        <stp>BDS|18111603502449887278</stp>
        <tr r="A5" s="6"/>
      </tp>
      <tp t="s">
        <v>#N/A N/A</v>
        <stp/>
        <stp>BDS|17862905651309242768</stp>
        <tr r="LS5" s="45"/>
      </tp>
      <tp t="s">
        <v>#N/A N/A</v>
        <stp/>
        <stp>BDS|17773782725832446538</stp>
        <tr r="BW5" s="45"/>
      </tp>
      <tp t="s">
        <v>#N/A N/A</v>
        <stp/>
        <stp>BDS|14631627703590633739</stp>
        <tr r="SQ5" s="11"/>
      </tp>
      <tp t="s">
        <v>#N/A N/A</v>
        <stp/>
        <stp>BDS|16874389352127770270</stp>
        <tr r="GM5" s="10"/>
      </tp>
      <tp t="s">
        <v>#N/A N/A</v>
        <stp/>
        <stp>BDS|17593927084761146203</stp>
        <tr r="AS5" s="25"/>
      </tp>
      <tp t="s">
        <v>#N/A N/A</v>
        <stp/>
        <stp>BDS|10956783151797042029</stp>
        <tr r="DA5" s="1"/>
      </tp>
      <tp t="s">
        <v>#N/A N/A</v>
        <stp/>
        <stp>BDS|14885226122498379986</stp>
        <tr r="BI5" s="24"/>
      </tp>
      <tp t="s">
        <v>#N/A N/A</v>
        <stp/>
        <stp>BDS|10474702399928643382</stp>
        <tr r="RM5" s="20"/>
      </tp>
      <tp t="s">
        <v>#N/A N/A</v>
        <stp/>
        <stp>BDS|14767777150097298417</stp>
        <tr r="HC5" s="17"/>
      </tp>
      <tp t="s">
        <v>#N/A N/A</v>
        <stp/>
        <stp>BDS|17640054402160385216</stp>
        <tr r="HC5" s="5"/>
      </tp>
      <tp t="s">
        <v>#N/A N/A</v>
        <stp/>
        <stp>BDS|13541155382396819997</stp>
        <tr r="IU5" s="37"/>
      </tp>
      <tp t="s">
        <v>#N/A N/A</v>
        <stp/>
        <stp>BDS|13172604932466251519</stp>
        <tr r="HQ5" s="46"/>
      </tp>
      <tp t="s">
        <v>#N/A N/A</v>
        <stp/>
        <stp>BDS|12098254297929208503</stp>
        <tr r="VM5" s="7"/>
      </tp>
      <tp t="s">
        <v>#N/A N/A</v>
        <stp/>
        <stp>BDS|10042668939925635589</stp>
        <tr r="PS5" s="20"/>
      </tp>
      <tp t="s">
        <v>#N/A N/A</v>
        <stp/>
        <stp>BDS|11241583704364949567</stp>
        <tr r="RM5" s="5"/>
        <tr r="DQ5" s="48"/>
      </tp>
      <tp t="s">
        <v>#N/A N/A</v>
        <stp/>
        <stp>BDS|15939156121772391180</stp>
        <tr r="IU5" s="50"/>
      </tp>
      <tp t="s">
        <v>#N/A N/A</v>
        <stp/>
        <stp>BDS|18021086585845983025</stp>
        <tr r="DQ5" s="25"/>
      </tp>
      <tp t="s">
        <v>#N/A N/A</v>
        <stp/>
        <stp>BDS|12574636040600243527</stp>
        <tr r="OA5" s="27"/>
        <tr r="SQ5" s="43"/>
      </tp>
      <tp t="s">
        <v>#N/A N/A</v>
        <stp/>
        <stp>BDS|14094891098188104870</stp>
        <tr r="OA5" s="37"/>
      </tp>
      <tp t="s">
        <v>#N/A N/A</v>
        <stp/>
        <stp>BDS|17641898362869985535</stp>
        <tr r="MG5" s="16"/>
      </tp>
      <tp t="s">
        <v>#N/A N/A</v>
        <stp/>
        <stp>BDS|15552033742952705671</stp>
        <tr r="FI5" s="1"/>
        <tr r="IU5" s="13"/>
        <tr r="AS5" s="15"/>
        <tr r="EE5" s="37"/>
      </tp>
      <tp t="s">
        <v>#N/A N/A</v>
        <stp/>
        <stp>BDS|16551290911921982109</stp>
        <tr r="KO5" s="26"/>
        <tr r="BI5" s="28"/>
      </tp>
      <tp t="s">
        <v>#N/A N/A</v>
        <stp/>
        <stp>BDS|10332810992383412707</stp>
        <tr r="A5" s="20"/>
      </tp>
      <tp t="s">
        <v>#N/A N/A</v>
        <stp/>
        <stp>BDS|17884222242044439097</stp>
        <tr r="LC5" s="5"/>
      </tp>
    </main>
    <main first="bofaddin.rtdserver">
      <tp t="s">
        <v>#N/A N/A</v>
        <stp/>
        <stp>BDS|5334598996228491</stp>
        <tr r="CM5" s="30"/>
      </tp>
      <tp t="s">
        <v>#N/A N/A</v>
        <stp/>
        <stp>BDS|5491230068742899</stp>
        <tr r="OA5" s="32"/>
      </tp>
      <tp t="s">
        <v>#N/A N/A</v>
        <stp/>
        <stp>BDS|9896432192491149920</stp>
        <tr r="EU5" s="49"/>
      </tp>
      <tp t="s">
        <v>#N/A N/A</v>
        <stp/>
        <stp>BDS|9094713407647527595</stp>
        <tr r="AS5" s="43"/>
      </tp>
      <tp t="s">
        <v>#N/A N/A</v>
        <stp/>
        <stp>BDS|3940816153893042116</stp>
        <tr r="TU5" s="49"/>
      </tp>
      <tp t="s">
        <v>#N/A N/A</v>
        <stp/>
        <stp>BDS|5357363430520631993</stp>
        <tr r="TE5" s="35"/>
      </tp>
      <tp t="s">
        <v>#N/A N/A</v>
        <stp/>
        <stp>BDS|9557402155531932531</stp>
        <tr r="JK5" s="35"/>
      </tp>
      <tp t="s">
        <v>#N/A N/A</v>
        <stp/>
        <stp>BDS|7680728635716903926</stp>
        <tr r="FI5" s="16"/>
      </tp>
      <tp t="s">
        <v>#N/A N/A</v>
        <stp/>
        <stp>BDS|8593364959187735578</stp>
        <tr r="MW5" s="19"/>
      </tp>
      <tp t="s">
        <v>#N/A N/A</v>
        <stp/>
        <stp>BDS|6167884721779762948</stp>
        <tr r="HQ5" s="17"/>
      </tp>
      <tp t="s">
        <v>#N/A N/A</v>
        <stp/>
        <stp>BDS|4778385344706630966</stp>
        <tr r="HC5" s="23"/>
      </tp>
      <tp t="s">
        <v>#N/A N/A</v>
        <stp/>
        <stp>BDS|7274275388908550904</stp>
        <tr r="KO5" s="5"/>
      </tp>
      <tp t="s">
        <v>#N/A N/A</v>
        <stp/>
        <stp>BDS|7909758944288497048</stp>
        <tr r="JY5" s="19"/>
      </tp>
      <tp t="s">
        <v>#N/A N/A</v>
        <stp/>
        <stp>BDS|6681181385634027730</stp>
        <tr r="DA5" s="19"/>
      </tp>
      <tp t="s">
        <v>#N/A N/A</v>
        <stp/>
        <stp>BDS|9211373238486535305</stp>
        <tr r="UY5" s="41"/>
      </tp>
      <tp t="s">
        <v>#N/A N/A</v>
        <stp/>
        <stp>BDS|3502263589364003141</stp>
        <tr r="MW5" s="20"/>
      </tp>
      <tp t="s">
        <v>#N/A N/A</v>
        <stp/>
        <stp>BDS|3198073295131889754</stp>
        <tr r="OO5" s="23"/>
      </tp>
      <tp t="s">
        <v>#N/A N/A</v>
        <stp/>
        <stp>BDS|5354941577221969677</stp>
        <tr r="PS5" s="5"/>
      </tp>
      <tp t="s">
        <v>#N/A N/A</v>
        <stp/>
        <stp>BDS|6229167929331693846</stp>
        <tr r="MG5" s="28"/>
      </tp>
      <tp t="s">
        <v>#N/A N/A</v>
        <stp/>
        <stp>BDS|1566989765317083579</stp>
        <tr r="CM5" s="17"/>
      </tp>
      <tp t="s">
        <v>#N/A N/A</v>
        <stp/>
        <stp>BDS|8714695227555092551</stp>
        <tr r="HC5" s="19"/>
      </tp>
      <tp t="s">
        <v>#N/A N/A</v>
        <stp/>
        <stp>BDS|6903839446846428042</stp>
        <tr r="KO5" s="46"/>
      </tp>
      <tp t="s">
        <v>#N/A N/A</v>
        <stp/>
        <stp>BDS|1998607450468578614</stp>
        <tr r="JK5" s="2"/>
        <tr r="OA5" s="29"/>
        <tr r="EU5" s="40"/>
        <tr r="KO5" s="43"/>
      </tp>
      <tp t="s">
        <v>#N/A N/A</v>
        <stp/>
        <stp>BDS|9726903507898420494</stp>
        <tr r="HQ5" s="36"/>
      </tp>
      <tp t="s">
        <v>#N/A N/A</v>
        <stp/>
        <stp>BDS|1361392381235426328</stp>
        <tr r="QW5" s="9"/>
      </tp>
      <tp t="s">
        <v>#N/A N/A</v>
        <stp/>
        <stp>BDS|8458122513885136190</stp>
        <tr r="GM5" s="48"/>
      </tp>
      <tp t="s">
        <v>#N/A N/A</v>
        <stp/>
        <stp>BDS|4918869612645670465</stp>
        <tr r="MW5" s="22"/>
      </tp>
      <tp t="s">
        <v>#N/A N/A</v>
        <stp/>
        <stp>BDS|6795816812592170175</stp>
        <tr r="BI5" s="17"/>
      </tp>
      <tp t="s">
        <v>#N/A N/A</v>
        <stp/>
        <stp>BDS|5145514028926919830</stp>
        <tr r="NK5" s="43"/>
      </tp>
      <tp t="s">
        <v>#N/A N/A</v>
        <stp/>
        <stp>BDS|4883664949989048359</stp>
        <tr r="EE5" s="15"/>
      </tp>
      <tp t="s">
        <v>#N/A N/A</v>
        <stp/>
        <stp>BDS|5678946925761030356</stp>
        <tr r="BW5" s="15"/>
      </tp>
      <tp t="s">
        <v>#N/A N/A</v>
        <stp/>
        <stp>BDS|9472799178277412227</stp>
        <tr r="LS5" s="33"/>
      </tp>
      <tp t="s">
        <v>#N/A N/A</v>
        <stp/>
        <stp>BDS|6944288404069624106</stp>
        <tr r="SA5" s="7"/>
      </tp>
      <tp t="s">
        <v>#N/A N/A</v>
        <stp/>
        <stp>BDS|3510018537788261426</stp>
        <tr r="DA5" s="26"/>
      </tp>
      <tp t="s">
        <v>#N/A N/A</v>
        <stp/>
        <stp>BDS|8607520920805119669</stp>
        <tr r="SQ5" s="6"/>
      </tp>
      <tp t="s">
        <v>#N/A N/A</v>
        <stp/>
        <stp>BDS|5517282112948974259</stp>
        <tr r="BW5" s="13"/>
      </tp>
      <tp t="s">
        <v>#N/A N/A</v>
        <stp/>
        <stp>BDS|9578573497630404911</stp>
        <tr r="AS5" s="33"/>
      </tp>
      <tp t="s">
        <v>#N/A N/A</v>
        <stp/>
        <stp>BDS|2358367696646621256</stp>
        <tr r="O5" s="50"/>
      </tp>
      <tp t="s">
        <v>#N/A N/A</v>
        <stp/>
        <stp>BDS|9262216187397126855</stp>
        <tr r="AE5" s="12"/>
      </tp>
      <tp t="s">
        <v>#N/A N/A</v>
        <stp/>
        <stp>BDS|6716604402954271866</stp>
        <tr r="AS5" s="12"/>
      </tp>
      <tp t="s">
        <v>#N/A N/A</v>
        <stp/>
        <stp>BDS|3960403124340429987</stp>
        <tr r="NK5" s="13"/>
        <tr r="MG5" s="29"/>
      </tp>
      <tp t="s">
        <v>#N/A N/A</v>
        <stp/>
        <stp>BDS|8403197548000637122</stp>
        <tr r="UI5" s="16"/>
      </tp>
      <tp t="s">
        <v>#N/A N/A</v>
        <stp/>
        <stp>BDS|5301709266698183052</stp>
        <tr r="RM5" s="18"/>
      </tp>
      <tp t="s">
        <v>#N/A N/A</v>
        <stp/>
        <stp>BDS|9629483567185825279</stp>
        <tr r="UI5" s="44"/>
      </tp>
      <tp t="s">
        <v>#N/A N/A</v>
        <stp/>
        <stp>BDS|6626798414355992944</stp>
        <tr r="AE5" s="26"/>
      </tp>
      <tp t="s">
        <v>#N/A N/A</v>
        <stp/>
        <stp>BDS|1125823168392520199</stp>
        <tr r="PS5" s="44"/>
      </tp>
      <tp t="s">
        <v>#N/A N/A</v>
        <stp/>
        <stp>BDS|9527418225694501732</stp>
        <tr r="EE5" s="13"/>
      </tp>
      <tp t="s">
        <v>#N/A N/A</v>
        <stp/>
        <stp>BDS|5675013401078093126</stp>
        <tr r="LC5" s="8"/>
      </tp>
      <tp t="s">
        <v>#N/A N/A</v>
        <stp/>
        <stp>BDS|1568336428334897823</stp>
        <tr r="AE5" s="4"/>
      </tp>
      <tp t="s">
        <v>#N/A N/A</v>
        <stp/>
        <stp>BDS|2478258081660457402</stp>
        <tr r="NK5" s="33"/>
      </tp>
      <tp t="s">
        <v>#N/A N/A</v>
        <stp/>
        <stp>BDS|2392847168163924320</stp>
        <tr r="NK5" s="7"/>
        <tr r="AS5" s="38"/>
      </tp>
      <tp t="s">
        <v>#N/A N/A</v>
        <stp/>
        <stp>BDS|3917243245418875159</stp>
        <tr r="JK5" s="30"/>
      </tp>
      <tp t="s">
        <v>#N/A N/A</v>
        <stp/>
        <stp>BDS|9703198659096426767</stp>
        <tr r="HQ5" s="6"/>
        <tr r="LC5" s="30"/>
      </tp>
      <tp t="s">
        <v>#N/A N/A</v>
        <stp/>
        <stp>BDS|1724727295391024257</stp>
        <tr r="LC5" s="14"/>
        <tr r="OO5" s="19"/>
      </tp>
      <tp t="s">
        <v>#N/A N/A</v>
        <stp/>
        <stp>BDS|8970586273802555428</stp>
        <tr r="AS5" s="34"/>
      </tp>
      <tp t="s">
        <v>#N/A N/A</v>
        <stp/>
        <stp>BDS|6635736376872944903</stp>
        <tr r="IG5" s="35"/>
        <tr r="UY5" s="43"/>
      </tp>
      <tp t="s">
        <v>#N/A N/A</v>
        <stp/>
        <stp>BDS|3753594383334627718</stp>
        <tr r="SA5" s="11"/>
        <tr r="O5" s="28"/>
        <tr r="QW5" s="28"/>
      </tp>
      <tp t="s">
        <v>#N/A N/A</v>
        <stp/>
        <stp>BDS|8027893733456639862</stp>
        <tr r="DQ5" s="9"/>
      </tp>
      <tp t="s">
        <v>#N/A N/A</v>
        <stp/>
        <stp>BDS|6323084400929513254</stp>
        <tr r="O5" s="5"/>
      </tp>
      <tp t="s">
        <v>#N/A N/A</v>
        <stp/>
        <stp>BDS|1877515797690556008</stp>
        <tr r="JY5" s="49"/>
      </tp>
      <tp t="s">
        <v>#N/A N/A</v>
        <stp/>
        <stp>BDS|2066469118122748825</stp>
        <tr r="QW5" s="34"/>
      </tp>
      <tp t="s">
        <v>#N/A N/A</v>
        <stp/>
        <stp>BDS|2451974717256611193</stp>
        <tr r="JK5" s="34"/>
      </tp>
      <tp t="s">
        <v>#N/A N/A</v>
        <stp/>
        <stp>BDS|7570352649485751853</stp>
        <tr r="PS5" s="6"/>
      </tp>
      <tp t="s">
        <v>#N/A N/A</v>
        <stp/>
        <stp>BDS|7560389922712679917</stp>
        <tr r="JY5" s="10"/>
      </tp>
      <tp t="s">
        <v>#N/A N/A</v>
        <stp/>
        <stp>BDS|3398448879924388957</stp>
        <tr r="BI5" s="1"/>
      </tp>
      <tp t="s">
        <v>#N/A N/A</v>
        <stp/>
        <stp>BDS|3939810553717206473</stp>
        <tr r="TU5" s="4"/>
      </tp>
      <tp t="s">
        <v>#N/A N/A</v>
        <stp/>
        <stp>BDS|4334842209951132006</stp>
        <tr r="CM5" s="5"/>
        <tr r="LS5" s="46"/>
        <tr r="TU5" s="11"/>
      </tp>
      <tp t="s">
        <v>#N/A N/A</v>
        <stp/>
        <stp>BDS|3970227261512143843</stp>
        <tr r="MW5" s="32"/>
      </tp>
      <tp t="s">
        <v>#N/A N/A</v>
        <stp/>
        <stp>BDS|6916864518667955515</stp>
        <tr r="TU5" s="22"/>
      </tp>
      <tp t="s">
        <v>#N/A N/A</v>
        <stp/>
        <stp>BDS|8531687885668713339</stp>
        <tr r="QI5" s="44"/>
      </tp>
      <tp t="s">
        <v>#N/A N/A</v>
        <stp/>
        <stp>BDS|6783112597853985046</stp>
        <tr r="QW5" s="12"/>
      </tp>
      <tp t="s">
        <v>#N/A N/A</v>
        <stp/>
        <stp>BDS|1028564490391487107</stp>
        <tr r="TU5" s="10"/>
      </tp>
      <tp t="s">
        <v>#N/A N/A</v>
        <stp/>
        <stp>BDS|1293425702198052003</stp>
        <tr r="LC5" s="20"/>
      </tp>
      <tp t="s">
        <v>#N/A N/A</v>
        <stp/>
        <stp>BDS|9447178847200226144</stp>
        <tr r="HC5" s="16"/>
      </tp>
      <tp t="s">
        <v>#N/A N/A</v>
        <stp/>
        <stp>BDS|8877392104445796307</stp>
        <tr r="VM5" s="35"/>
      </tp>
      <tp t="s">
        <v>#N/A N/A</v>
        <stp/>
        <stp>BDS|6661300111451058854</stp>
        <tr r="QI5" s="37"/>
      </tp>
      <tp t="s">
        <v>#N/A N/A</v>
        <stp/>
        <stp>BDS|4661623878849889173</stp>
        <tr r="FY5" s="11"/>
        <tr r="BI5" s="16"/>
        <tr r="MW5" s="21"/>
        <tr r="RM5" s="45"/>
        <tr r="TU5" s="46"/>
      </tp>
      <tp t="s">
        <v>#N/A N/A</v>
        <stp/>
        <stp>BDS|4337614450132725862</stp>
        <tr r="FY5" s="34"/>
      </tp>
      <tp t="s">
        <v>#N/A N/A</v>
        <stp/>
        <stp>BDS|5113979637851004324</stp>
        <tr r="DQ5" s="27"/>
      </tp>
      <tp t="s">
        <v>#N/A N/A</v>
        <stp/>
        <stp>BDS|7622975932814781447</stp>
        <tr r="AE5" s="16"/>
      </tp>
      <tp t="s">
        <v>#N/A N/A</v>
        <stp/>
        <stp>BDS|2022743798504522590</stp>
        <tr r="IG5" s="27"/>
      </tp>
      <tp t="s">
        <v>#N/A N/A</v>
        <stp/>
        <stp>BDS|1413338447489319225</stp>
        <tr r="BW5" s="35"/>
      </tp>
      <tp t="s">
        <v>#N/A N/A</v>
        <stp/>
        <stp>BDS|2046815626674447123</stp>
        <tr r="BW5" s="25"/>
        <tr r="IU5" s="42"/>
      </tp>
      <tp t="s">
        <v>#N/A N/A</v>
        <stp/>
        <stp>BDS|2029855865584266531</stp>
        <tr r="QI5" s="17"/>
      </tp>
      <tp t="s">
        <v>#N/A N/A</v>
        <stp/>
        <stp>BDS|5860921903336784786</stp>
        <tr r="NK5" s="22"/>
      </tp>
      <tp t="s">
        <v>#N/A N/A</v>
        <stp/>
        <stp>BDS|2913105771821605887</stp>
        <tr r="QW5" s="37"/>
      </tp>
      <tp t="s">
        <v>#N/A N/A</v>
        <stp/>
        <stp>BDS|2591978477607716647</stp>
        <tr r="HC5" s="10"/>
      </tp>
      <tp t="s">
        <v>#N/A N/A</v>
        <stp/>
        <stp>BDS|3298165298953900530</stp>
        <tr r="O5" s="13"/>
      </tp>
      <tp t="s">
        <v>#N/A N/A</v>
        <stp/>
        <stp>BDS|6832266509828611167</stp>
        <tr r="TE5" s="48"/>
      </tp>
      <tp t="s">
        <v>#N/A N/A</v>
        <stp/>
        <stp>BDS|2629948411230211767</stp>
        <tr r="BW5" s="18"/>
      </tp>
      <tp t="s">
        <v>#N/A N/A</v>
        <stp/>
        <stp>BDS|7761550417738136630</stp>
        <tr r="MG5" s="7"/>
      </tp>
      <tp t="s">
        <v>#N/A N/A</v>
        <stp/>
        <stp>BDS|3950434252209710682</stp>
        <tr r="TE5" s="44"/>
      </tp>
      <tp t="s">
        <v>#N/A N/A</v>
        <stp/>
        <stp>BDS|7343066786130363272</stp>
        <tr r="O5" s="49"/>
      </tp>
      <tp t="s">
        <v>#N/A N/A</v>
        <stp/>
        <stp>BDS|9311048131627138008</stp>
        <tr r="EU5" s="1"/>
        <tr r="IG5" s="13"/>
        <tr r="AE5" s="15"/>
        <tr r="DQ5" s="37"/>
      </tp>
      <tp t="s">
        <v>#N/A N/A</v>
        <stp/>
        <stp>BDS|1098786315023940903</stp>
        <tr r="OA5" s="31"/>
      </tp>
      <tp t="s">
        <v>#N/A N/A</v>
        <stp/>
        <stp>BDS|1351626987380184234</stp>
        <tr r="KO5" s="45"/>
      </tp>
      <tp t="s">
        <v>#N/A N/A</v>
        <stp/>
        <stp>BDS|8062206735005499155</stp>
        <tr r="MG5" s="1"/>
      </tp>
      <tp t="s">
        <v>#N/A N/A</v>
        <stp/>
        <stp>BDS|6183178382332679068</stp>
        <tr r="AS5" s="4"/>
      </tp>
      <tp t="s">
        <v>#N/A N/A</v>
        <stp/>
        <stp>BDS|8233809605949634456</stp>
        <tr r="UY5" s="37"/>
      </tp>
      <tp t="s">
        <v>#N/A N/A</v>
        <stp/>
        <stp>BDS|2201946032234620160</stp>
        <tr r="SQ5" s="13"/>
      </tp>
      <tp t="s">
        <v>#N/A N/A</v>
        <stp/>
        <stp>BDS|8309229306732624544</stp>
        <tr r="PS5" s="1"/>
      </tp>
      <tp t="s">
        <v>#N/A N/A</v>
        <stp/>
        <stp>BDS|6225781371783638884</stp>
        <tr r="BI5" s="34"/>
      </tp>
      <tp t="s">
        <v>#N/A N/A</v>
        <stp/>
        <stp>BDS|4645296328860418968</stp>
        <tr r="GM5" s="31"/>
      </tp>
      <tp t="s">
        <v>#N/A N/A</v>
        <stp/>
        <stp>BDS|8715301393117563843</stp>
        <tr r="QW5" s="48"/>
      </tp>
      <tp t="s">
        <v>#N/A N/A</v>
        <stp/>
        <stp>BDS|4915685284405827287</stp>
        <tr r="BI5" s="4"/>
      </tp>
      <tp t="s">
        <v>#N/A N/A</v>
        <stp/>
        <stp>BDS|7448609570418961076</stp>
        <tr r="HQ5" s="44"/>
      </tp>
      <tp t="s">
        <v>#N/A N/A</v>
        <stp/>
        <stp>BDS|3122913793895188880</stp>
        <tr r="SQ5" s="46"/>
      </tp>
      <tp t="s">
        <v>#N/A N/A</v>
        <stp/>
        <stp>BDS|5253288074277655933</stp>
        <tr r="BI5" s="14"/>
      </tp>
      <tp t="s">
        <v>#N/A N/A</v>
        <stp/>
        <stp>BDS|5849876414866307435</stp>
        <tr r="FY5" s="16"/>
      </tp>
      <tp t="s">
        <v>#N/A N/A</v>
        <stp/>
        <stp>BDS|8751785137480242210</stp>
        <tr r="QI5" s="30"/>
      </tp>
      <tp t="s">
        <v>#N/A N/A</v>
        <stp/>
        <stp>BDS|4498912248492641534</stp>
        <tr r="FI5" s="19"/>
      </tp>
      <tp t="s">
        <v>#N/A N/A</v>
        <stp/>
        <stp>BDS|1211478537729322191</stp>
        <tr r="QW5" s="27"/>
      </tp>
      <tp t="s">
        <v>#N/A N/A</v>
        <stp/>
        <stp>BDS|7138091689785896400</stp>
        <tr r="SQ5" s="28"/>
      </tp>
      <tp t="s">
        <v>#N/A N/A</v>
        <stp/>
        <stp>BDS|5079117543028823632</stp>
        <tr r="EE5" s="19"/>
      </tp>
      <tp t="s">
        <v>#N/A N/A</v>
        <stp/>
        <stp>BDS|3876991721981988701</stp>
        <tr r="EU5" s="44"/>
      </tp>
      <tp t="s">
        <v>#N/A N/A</v>
        <stp/>
        <stp>BDS|5884847516806615451</stp>
        <tr r="QW5" s="31"/>
      </tp>
      <tp t="s">
        <v>#N/A N/A</v>
        <stp/>
        <stp>BDS|8615346671562947033</stp>
        <tr r="HQ5" s="1"/>
      </tp>
      <tp t="s">
        <v>#N/A N/A</v>
        <stp/>
        <stp>BDS|3788111516935704898</stp>
        <tr r="JK5" s="36"/>
      </tp>
      <tp t="s">
        <v>#N/A N/A</v>
        <stp/>
        <stp>BDS|1278840407482690593</stp>
        <tr r="GM5" s="5"/>
        <tr r="NK5" s="8"/>
        <tr r="IU5" s="9"/>
        <tr r="HQ5" s="18"/>
      </tp>
      <tp t="s">
        <v>#N/A N/A</v>
        <stp/>
        <stp>BDS|3477024368848466354</stp>
        <tr r="OO5" s="25"/>
      </tp>
      <tp t="s">
        <v>#N/A N/A</v>
        <stp/>
        <stp>BDS|3651852709941729417</stp>
        <tr r="OO5" s="32"/>
      </tp>
      <tp t="s">
        <v>#N/A N/A</v>
        <stp/>
        <stp>BDS|5407536831885343896</stp>
        <tr r="DQ5" s="50"/>
      </tp>
      <tp t="s">
        <v>#N/A N/A</v>
        <stp/>
        <stp>BDS|4542961614263387183</stp>
        <tr r="SA5" s="48"/>
      </tp>
      <tp t="s">
        <v>#N/A N/A</v>
        <stp/>
        <stp>BDS|5127141376204958963</stp>
        <tr r="BI5" s="13"/>
      </tp>
      <tp t="s">
        <v>#N/A N/A</v>
        <stp/>
        <stp>BDS|1254400476008953414</stp>
        <tr r="KO5" s="7"/>
      </tp>
      <tp t="s">
        <v>#N/A N/A</v>
        <stp/>
        <stp>BDS|1337801265653971236</stp>
        <tr r="PS5" s="34"/>
      </tp>
      <tp t="s">
        <v>#N/A N/A</v>
        <stp/>
        <stp>BDS|5174995127171594174</stp>
        <tr r="FI5" s="3"/>
      </tp>
      <tp t="s">
        <v>#N/A N/A</v>
        <stp/>
        <stp>BDS|3786554789448714816</stp>
        <tr r="PS5" s="28"/>
      </tp>
      <tp t="s">
        <v>#N/A N/A</v>
        <stp/>
        <stp>BDS|3089739607648465229</stp>
        <tr r="KO5" s="1"/>
      </tp>
      <tp t="s">
        <v>#N/A N/A</v>
        <stp/>
        <stp>BDS|1560908665435246510</stp>
        <tr r="PS5" s="33"/>
      </tp>
      <tp t="s">
        <v>#N/A N/A</v>
        <stp/>
        <stp>BDS|2515391019529688702</stp>
        <tr r="GM5" s="3"/>
        <tr r="TE5" s="25"/>
      </tp>
      <tp t="s">
        <v>#N/A N/A</v>
        <stp/>
        <stp>BDS|9353677559813608785</stp>
        <tr r="FI5" s="23"/>
      </tp>
      <tp t="s">
        <v>#N/A N/A</v>
        <stp/>
        <stp>BDS|4383868879613650696</stp>
        <tr r="BI5" s="7"/>
      </tp>
      <tp t="s">
        <v>#N/A N/A</v>
        <stp/>
        <stp>BDS|6390146986594749567</stp>
        <tr r="BW5" s="1"/>
      </tp>
      <tp t="s">
        <v>#N/A N/A</v>
        <stp/>
        <stp>BDS|4512101830889136144</stp>
        <tr r="BW5" s="23"/>
        <tr r="VM5" s="30"/>
      </tp>
      <tp t="s">
        <v>#N/A N/A</v>
        <stp/>
        <stp>BDS|3744007551029170176</stp>
        <tr r="KO5" s="33"/>
      </tp>
      <tp t="s">
        <v>#N/A N/A</v>
        <stp/>
        <stp>BDS|3314722676394062971</stp>
        <tr r="SA5" s="20"/>
      </tp>
      <tp t="s">
        <v>#N/A N/A</v>
        <stp/>
        <stp>BDS|1303311609134340880</stp>
        <tr r="TU5" s="37"/>
      </tp>
      <tp t="s">
        <v>#N/A N/A</v>
        <stp/>
        <stp>BDS|8450111568231569090</stp>
        <tr r="EU5" s="29"/>
      </tp>
      <tp t="s">
        <v>#N/A N/A</v>
        <stp/>
        <stp>BDS|9515147932063114630</stp>
        <tr r="CM5" s="18"/>
        <tr r="KO5" s="28"/>
      </tp>
      <tp t="s">
        <v>#N/A N/A</v>
        <stp/>
        <stp>BDS|4204033563135185973</stp>
        <tr r="QW5" s="30"/>
      </tp>
      <tp t="s">
        <v>#N/A N/A</v>
        <stp/>
        <stp>BDS|8127219127383638556</stp>
        <tr r="PS5" s="38"/>
      </tp>
      <tp t="s">
        <v>#N/A N/A</v>
        <stp/>
        <stp>BDS|9328371693945117829</stp>
        <tr r="RM5" s="28"/>
      </tp>
      <tp t="s">
        <v>#N/A N/A</v>
        <stp/>
        <stp>BDS|5784968336885096437</stp>
        <tr r="A5" s="17"/>
      </tp>
      <tp t="s">
        <v>#N/A N/A</v>
        <stp/>
        <stp>BDS|5647130720820726869</stp>
        <tr r="TU5" s="15"/>
        <tr r="EU5" s="43"/>
      </tp>
      <tp t="s">
        <v>#N/A N/A</v>
        <stp/>
        <stp>BDS|1290508225898520075</stp>
        <tr r="OO5" s="38"/>
      </tp>
      <tp t="s">
        <v>#N/A N/A</v>
        <stp/>
        <stp>BDS|9634061578649935947</stp>
        <tr r="PE5" s="15"/>
      </tp>
      <tp t="s">
        <v>#N/A N/A</v>
        <stp/>
        <stp>BDS|2010897338450148757</stp>
        <tr r="PE5" s="30"/>
      </tp>
      <tp t="s">
        <v>#N/A N/A</v>
        <stp/>
        <stp>BDS|2790707311033956851</stp>
        <tr r="JY5" s="48"/>
      </tp>
      <tp t="s">
        <v>#N/A N/A</v>
        <stp/>
        <stp>BDS|4699011036331372983</stp>
        <tr r="UY5" s="35"/>
      </tp>
      <tp t="s">
        <v>#N/A N/A</v>
        <stp/>
        <stp>BDS|6772022149025471824</stp>
        <tr r="AE5" s="50"/>
      </tp>
      <tp t="s">
        <v>#N/A N/A</v>
        <stp/>
        <stp>BDS|3865421729208828212</stp>
        <tr r="DQ5" s="2"/>
      </tp>
      <tp t="s">
        <v>#N/A N/A</v>
        <stp/>
        <stp>BDS|8632658076105668382</stp>
        <tr r="UY5" s="7"/>
      </tp>
      <tp t="s">
        <v>#N/A N/A</v>
        <stp/>
        <stp>BDS|4621537089350380643</stp>
        <tr r="JY5" s="28"/>
      </tp>
      <tp t="s">
        <v>#N/A N/A</v>
        <stp/>
        <stp>BDS|9533398646995603448</stp>
        <tr r="VM5" s="13"/>
      </tp>
      <tp t="s">
        <v>#N/A N/A</v>
        <stp/>
        <stp>BDS|7869337955879240745</stp>
        <tr r="LS5" s="3"/>
      </tp>
      <tp t="s">
        <v>#N/A N/A</v>
        <stp/>
        <stp>BDS|9665683257964406152</stp>
        <tr r="MW5" s="3"/>
      </tp>
      <tp t="s">
        <v>#N/A N/A</v>
        <stp/>
        <stp>BDS|6522911324316192494</stp>
        <tr r="O5" s="22"/>
      </tp>
      <tp t="s">
        <v>#N/A N/A</v>
        <stp/>
        <stp>BDS|8291139856785704693</stp>
        <tr r="QI5" s="3"/>
      </tp>
      <tp t="s">
        <v>#N/A N/A</v>
        <stp/>
        <stp>BDS|3628899253829767857</stp>
        <tr r="LS5" s="41"/>
      </tp>
      <tp t="s">
        <v>#N/A N/A</v>
        <stp/>
        <stp>BDS|1032263949050569841</stp>
        <tr r="TE5" s="3"/>
      </tp>
      <tp t="s">
        <v>#N/A N/A</v>
        <stp/>
        <stp>BDS|9628550978910353475</stp>
        <tr r="IU5" s="6"/>
        <tr r="MG5" s="27"/>
      </tp>
      <tp t="s">
        <v>#N/A N/A</v>
        <stp/>
        <stp>BDS|6351311188227083557</stp>
        <tr r="QW5" s="4"/>
      </tp>
      <tp t="s">
        <v>#N/A N/A</v>
        <stp/>
        <stp>BDS|4207565887602562497</stp>
        <tr r="IU5" s="30"/>
        <tr r="SA5" s="27"/>
      </tp>
      <tp t="s">
        <v>#N/A N/A</v>
        <stp/>
        <stp>BDS|8577680737015057764</stp>
        <tr r="OO5" s="20"/>
        <tr r="EE5" s="26"/>
        <tr r="OO5" s="45"/>
      </tp>
      <tp t="s">
        <v>#N/A N/A</v>
        <stp/>
        <stp>BDS|8651158472230502193</stp>
        <tr r="BW5" s="49"/>
      </tp>
      <tp t="s">
        <v>#N/A N/A</v>
        <stp/>
        <stp>BDS|9626329542721664021</stp>
        <tr r="BI5" s="15"/>
      </tp>
      <tp t="s">
        <v>#N/A N/A</v>
        <stp/>
        <stp>BDS|8465601735663282117</stp>
        <tr r="HQ5" s="42"/>
      </tp>
      <tp t="s">
        <v>#N/A N/A</v>
        <stp/>
        <stp>BDS|9006816426458640439</stp>
        <tr r="AS5" s="18"/>
      </tp>
      <tp t="s">
        <v>#N/A N/A</v>
        <stp/>
        <stp>BDS|6203465391931267557</stp>
        <tr r="QI5" s="23"/>
      </tp>
      <tp t="s">
        <v>#N/A N/A</v>
        <stp/>
        <stp>BDS|7023905324036455527</stp>
        <tr r="CM5" s="32"/>
        <tr r="A5" s="41"/>
      </tp>
      <tp t="s">
        <v>#N/A N/A</v>
        <stp/>
        <stp>BDS|9870138742322974133</stp>
        <tr r="LC5" s="9"/>
        <tr r="EE5" s="21"/>
        <tr r="TE5" s="49"/>
      </tp>
      <tp t="s">
        <v>#N/A N/A</v>
        <stp/>
        <stp>BDS|2420896004756866328</stp>
        <tr r="AS5" s="30"/>
      </tp>
      <tp t="s">
        <v>#N/A N/A</v>
        <stp/>
        <stp>BDS|3648607446597352901</stp>
        <tr r="TE5" s="11"/>
      </tp>
      <tp t="s">
        <v>#N/A N/A</v>
        <stp/>
        <stp>BDS|9256598077253998765</stp>
        <tr r="SQ5" s="19"/>
        <tr r="AE5" s="44"/>
      </tp>
      <tp t="s">
        <v>#N/A N/A</v>
        <stp/>
        <stp>BDS|7486038785599795968</stp>
        <tr r="JK5" s="33"/>
      </tp>
      <tp t="s">
        <v>#N/A N/A</v>
        <stp/>
        <stp>BDS|7933076422913410984</stp>
        <tr r="FI5" s="45"/>
      </tp>
      <tp t="s">
        <v>#N/A N/A</v>
        <stp/>
        <stp>BDS|5113994695109420394</stp>
        <tr r="DQ5" s="32"/>
      </tp>
      <tp t="s">
        <v>#N/A N/A</v>
        <stp/>
        <stp>BDS|2445189816334259988</stp>
        <tr r="MW5" s="30"/>
      </tp>
      <tp t="s">
        <v>#N/A N/A</v>
        <stp/>
        <stp>BDS|7754210496005506653</stp>
        <tr r="KO5" s="29"/>
        <tr r="TU5" s="20"/>
      </tp>
      <tp t="s">
        <v>#N/A N/A</v>
        <stp/>
        <stp>BDS|2760096481120902565</stp>
        <tr r="IU5" s="5"/>
        <tr r="QW5" s="39"/>
      </tp>
      <tp t="s">
        <v>#N/A N/A</v>
        <stp/>
        <stp>BDS|3511756636688672018</stp>
        <tr r="HC5" s="6"/>
        <tr r="KO5" s="30"/>
      </tp>
      <tp t="s">
        <v>#N/A N/A</v>
        <stp/>
        <stp>BDS|9166496530256988708</stp>
        <tr r="DQ5" s="11"/>
      </tp>
      <tp t="s">
        <v>#N/A N/A</v>
        <stp/>
        <stp>BDS|4944215931922145898</stp>
        <tr r="CM5" s="26"/>
      </tp>
      <tp t="s">
        <v>#N/A N/A</v>
        <stp/>
        <stp>BDS|9920869712539878627</stp>
        <tr r="HQ5" s="2"/>
        <tr r="TE5" s="24"/>
      </tp>
      <tp t="s">
        <v>#N/A N/A</v>
        <stp/>
        <stp>BDS|1794471924770165827</stp>
        <tr r="O5" s="35"/>
      </tp>
      <tp t="s">
        <v>#N/A N/A</v>
        <stp/>
        <stp>BDS|4767014471929438545</stp>
        <tr r="VM5" s="44"/>
      </tp>
      <tp t="s">
        <v>#N/A N/A</v>
        <stp/>
        <stp>BDS|9009574715533042153</stp>
        <tr r="FI5" s="13"/>
      </tp>
      <tp t="s">
        <v>#N/A N/A</v>
        <stp/>
        <stp>BDS|5616072101893523911</stp>
        <tr r="IU5" s="44"/>
      </tp>
      <tp t="s">
        <v>#N/A N/A</v>
        <stp/>
        <stp>BDS|8390090708851499627</stp>
        <tr r="BW5" s="50"/>
      </tp>
      <tp t="s">
        <v>#N/A N/A</v>
        <stp/>
        <stp>BDS|9282002023592415613</stp>
        <tr r="VM5" s="3"/>
      </tp>
      <tp t="s">
        <v>#N/A N/A</v>
        <stp/>
        <stp>BDS|9897342603010820527</stp>
        <tr r="QI5" s="43"/>
      </tp>
      <tp t="s">
        <v>#N/A N/A</v>
        <stp/>
        <stp>BDS|7711400461908556263</stp>
        <tr r="SQ5" s="24"/>
        <tr r="HC5" s="2"/>
      </tp>
      <tp t="s">
        <v>#N/A N/A</v>
        <stp/>
        <stp>BDS|8689762301289394977</stp>
        <tr r="FY5" s="36"/>
      </tp>
      <tp t="s">
        <v>#N/A N/A</v>
        <stp/>
        <stp>BDS|4323093934229192651</stp>
        <tr r="IG5" s="31"/>
      </tp>
      <tp t="s">
        <v>#N/A N/A</v>
        <stp/>
        <stp>BDS|8844039067054706207</stp>
        <tr r="JY5" s="32"/>
      </tp>
      <tp t="s">
        <v>#N/A N/A</v>
        <stp/>
        <stp>BDS|5487816525921374682</stp>
        <tr r="TU5" s="32"/>
      </tp>
      <tp t="s">
        <v>#N/A N/A</v>
        <stp/>
        <stp>BDS|8790876299043682244</stp>
        <tr r="LS5" s="38"/>
        <tr r="SQ5" s="40"/>
      </tp>
      <tp t="s">
        <v>#N/A N/A</v>
        <stp/>
        <stp>BDS|7920436578814952809</stp>
        <tr r="O5" s="25"/>
      </tp>
      <tp t="s">
        <v>#N/A N/A</v>
        <stp/>
        <stp>BDS|7527803443791807251</stp>
        <tr r="QW5" s="18"/>
        <tr r="LC5" s="47"/>
      </tp>
      <tp t="s">
        <v>#N/A N/A</v>
        <stp/>
        <stp>BDS|2816288850465020887</stp>
        <tr r="SA5" s="17"/>
        <tr r="VM5" s="48"/>
      </tp>
      <tp t="s">
        <v>#N/A N/A</v>
        <stp/>
        <stp>BDS|8685309476085021186</stp>
        <tr r="AE5" s="33"/>
      </tp>
      <tp t="s">
        <v>#N/A N/A</v>
        <stp/>
        <stp>BDS|8734854758878744540</stp>
        <tr r="TU5" s="25"/>
      </tp>
      <tp t="s">
        <v>#N/A N/A</v>
        <stp/>
        <stp>BDS|5250288220374658923</stp>
        <tr r="A5" s="43"/>
        <tr r="OA5" s="48"/>
      </tp>
      <tp t="s">
        <v>#N/A N/A</v>
        <stp/>
        <stp>BDS|9699695472277796748</stp>
        <tr r="OA5" s="13"/>
      </tp>
      <tp t="s">
        <v>#N/A N/A</v>
        <stp/>
        <stp>BDS|6205049581757179188</stp>
        <tr r="GM5" s="46"/>
      </tp>
      <tp t="s">
        <v>#N/A N/A</v>
        <stp/>
        <stp>BDS|9163402428494733302</stp>
        <tr r="EU5" s="30"/>
      </tp>
      <tp t="s">
        <v>#N/A N/A</v>
        <stp/>
        <stp>BDS|7062025797330846633</stp>
        <tr r="LS5" s="34"/>
        <tr r="OA5" s="43"/>
        <tr r="MW5" s="49"/>
      </tp>
      <tp t="s">
        <v>#N/A N/A</v>
        <stp/>
        <stp>BDS|4681627619258495358</stp>
        <tr r="RM5" s="31"/>
      </tp>
      <tp t="s">
        <v>#N/A N/A</v>
        <stp/>
        <stp>BDS|6160896730912106759</stp>
        <tr r="SQ5" s="3"/>
      </tp>
      <tp t="s">
        <v>#N/A N/A</v>
        <stp/>
        <stp>BDS|9421440179546457416</stp>
        <tr r="GM5" s="24"/>
      </tp>
      <tp t="s">
        <v>#N/A N/A</v>
        <stp/>
        <stp>BDS|8116686014682141519</stp>
        <tr r="GM5" s="47"/>
      </tp>
      <tp t="s">
        <v>#N/A N/A</v>
        <stp/>
        <stp>BDS|6189185091910330664</stp>
        <tr r="FI5" s="2"/>
        <tr r="PS5" s="18"/>
      </tp>
      <tp t="s">
        <v>#N/A N/A</v>
        <stp/>
        <stp>BDS|1767089600820738955</stp>
        <tr r="AS5" s="13"/>
        <tr r="DA5" s="13"/>
        <tr r="JY5" s="25"/>
        <tr r="QW5" s="49"/>
      </tp>
      <tp t="s">
        <v>#N/A N/A</v>
        <stp/>
        <stp>BDS|1067984509809473971</stp>
        <tr r="JK5" s="4"/>
      </tp>
      <tp t="s">
        <v>#N/A N/A</v>
        <stp/>
        <stp>BDS|4585753832738222028</stp>
        <tr r="DA5" s="50"/>
      </tp>
      <tp t="s">
        <v>#N/A N/A</v>
        <stp/>
        <stp>BDS|7635804574913838392</stp>
        <tr r="HQ5" s="39"/>
        <tr r="JY5" s="40"/>
      </tp>
      <tp t="s">
        <v>#N/A N/A</v>
        <stp/>
        <stp>BDS|9754255725907621628</stp>
        <tr r="MG5" s="12"/>
      </tp>
      <tp t="s">
        <v>#N/A N/A</v>
        <stp/>
        <stp>BDS|1363981925675804757</stp>
        <tr r="FI5" s="35"/>
        <tr r="PS5" s="39"/>
      </tp>
      <tp t="s">
        <v>#N/A N/A</v>
        <stp/>
        <stp>BDS|8580736436096761270</stp>
        <tr r="HC5" s="20"/>
        <tr r="SQ5" s="47"/>
      </tp>
      <tp t="s">
        <v>#N/A N/A</v>
        <stp/>
        <stp>BDS|3696647012575570959</stp>
        <tr r="BW5" s="32"/>
      </tp>
      <tp t="s">
        <v>#N/A N/A</v>
        <stp/>
        <stp>BDS|7702950094659240658</stp>
        <tr r="HC5" s="29"/>
      </tp>
      <tp t="s">
        <v>#N/A N/A</v>
        <stp/>
        <stp>BDS|6575151903667506872</stp>
        <tr r="NK5" s="19"/>
      </tp>
      <tp t="s">
        <v>#N/A N/A</v>
        <stp/>
        <stp>BDS|9153444634543208526</stp>
        <tr r="TU5" s="45"/>
      </tp>
      <tp t="s">
        <v>#N/A N/A</v>
        <stp/>
        <stp>BDS|4987877096939120481</stp>
        <tr r="LC5" s="40"/>
      </tp>
      <tp t="s">
        <v>#N/A N/A</v>
        <stp/>
        <stp>BDS|3662622097291224577</stp>
        <tr r="GM5" s="45"/>
        <tr r="LC5" s="49"/>
      </tp>
      <tp t="s">
        <v>#N/A N/A</v>
        <stp/>
        <stp>BDS|5673437112330318826</stp>
        <tr r="CM5" s="20"/>
        <tr r="MW5" s="41"/>
      </tp>
      <tp t="s">
        <v>#N/A N/A</v>
        <stp/>
        <stp>BDS|7217880777731871134</stp>
        <tr r="AE5" s="29"/>
      </tp>
      <tp t="s">
        <v>#N/A N/A</v>
        <stp/>
        <stp>BDS|2606750020859340645</stp>
        <tr r="QI5" s="19"/>
        <tr r="A5" s="19"/>
      </tp>
      <tp t="s">
        <v>#N/A N/A</v>
        <stp/>
        <stp>BDS|6518022969340846823</stp>
        <tr r="AE5" s="31"/>
        <tr r="MW5" s="31"/>
      </tp>
      <tp t="s">
        <v>#N/A N/A</v>
        <stp/>
        <stp>BDS|6790515303923553858</stp>
        <tr r="UI5" s="39"/>
      </tp>
      <tp t="s">
        <v>#N/A N/A</v>
        <stp/>
        <stp>BDS|3703369720198294268</stp>
        <tr r="MW5" s="7"/>
        <tr r="AE5" s="38"/>
      </tp>
      <tp t="s">
        <v>#N/A N/A</v>
        <stp/>
        <stp>BDS|8154687126254376090</stp>
        <tr r="CM5" s="42"/>
      </tp>
      <tp t="s">
        <v>#N/A N/A</v>
        <stp/>
        <stp>BDS|7979846228080549552</stp>
        <tr r="RM5" s="21"/>
      </tp>
      <tp t="s">
        <v>#N/A N/A</v>
        <stp/>
        <stp>BDS|2852640662132185951</stp>
        <tr r="EU5" s="19"/>
      </tp>
      <tp t="s">
        <v>#N/A N/A</v>
        <stp/>
        <stp>BDS|4303910957551906078</stp>
        <tr r="QW5" s="26"/>
      </tp>
      <tp t="s">
        <v>#N/A N/A</v>
        <stp/>
        <stp>BDS|2316785143119125121</stp>
        <tr r="HQ5" s="50"/>
      </tp>
      <tp t="s">
        <v>#N/A N/A</v>
        <stp/>
        <stp>BDS|2755995324260564079</stp>
        <tr r="TE5" s="45"/>
      </tp>
      <tp t="s">
        <v>#N/A N/A</v>
        <stp/>
        <stp>BDS|1236550329628024767</stp>
        <tr r="AS5" s="29"/>
      </tp>
      <tp t="s">
        <v>#N/A N/A</v>
        <stp/>
        <stp>BDS|9726477661493023193</stp>
        <tr r="JY5" s="22"/>
      </tp>
      <tp t="s">
        <v>#N/A N/A</v>
        <stp/>
        <stp>BDS|9763506732193850550</stp>
        <tr r="DA5" s="14"/>
        <tr r="NK5" s="50"/>
      </tp>
      <tp t="s">
        <v>#N/A N/A</v>
        <stp/>
        <stp>BDS|1631187731072367859</stp>
        <tr r="HQ5" s="34"/>
        <tr r="AS5" s="40"/>
      </tp>
      <tp t="s">
        <v>#N/A N/A</v>
        <stp/>
        <stp>BDS|6544832472809817950</stp>
        <tr r="A5" s="38"/>
        <tr r="IG5" s="4"/>
        <tr r="AE5" s="24"/>
      </tp>
      <tp t="s">
        <v>#N/A N/A</v>
        <stp/>
        <stp>BDS|2123811278803640770</stp>
        <tr r="TE5" s="26"/>
        <tr r="OO5" s="46"/>
      </tp>
      <tp t="s">
        <v>#N/A N/A</v>
        <stp/>
        <stp>BDS|7884767551238010463</stp>
        <tr r="GM5" s="39"/>
      </tp>
      <tp t="s">
        <v>#N/A N/A</v>
        <stp/>
        <stp>BDS|1110328088540059328</stp>
        <tr r="DQ5" s="20"/>
      </tp>
      <tp t="s">
        <v>#N/A N/A</v>
        <stp/>
        <stp>BDS|5235505596272875256</stp>
        <tr r="SQ5" s="44"/>
      </tp>
      <tp t="s">
        <v>#N/A N/A</v>
        <stp/>
        <stp>BDS|2560780983236176209</stp>
        <tr r="DQ5" s="40"/>
      </tp>
      <tp t="s">
        <v>#N/A N/A</v>
        <stp/>
        <stp>BDS|2737625450010027898</stp>
        <tr r="PE5" s="13"/>
        <tr r="FY5" s="21"/>
        <tr r="IG5" s="38"/>
      </tp>
      <tp t="s">
        <v>#N/A N/A</v>
        <stp/>
        <stp>BDS|5628636038621720867</stp>
        <tr r="QW5" s="1"/>
      </tp>
      <tp t="s">
        <v>#N/A N/A</v>
        <stp/>
        <stp>BDS|1106732140989858272</stp>
        <tr r="HC5" s="7"/>
      </tp>
      <tp t="s">
        <v>#N/A N/A</v>
        <stp/>
        <stp>BDS|9861755305031113646</stp>
        <tr r="O5" s="2"/>
        <tr r="BW5" s="21"/>
        <tr r="DA5" s="33"/>
        <tr r="NK5" s="36"/>
      </tp>
      <tp t="s">
        <v>#N/A N/A</v>
        <stp/>
        <stp>BDS|4420471120559992294</stp>
        <tr r="LS5" s="30"/>
      </tp>
      <tp t="s">
        <v>#N/A N/A</v>
        <stp/>
        <stp>BDS|1014268893291300254</stp>
        <tr r="PE5" s="43"/>
      </tp>
      <tp t="s">
        <v>#N/A N/A</v>
        <stp/>
        <stp>BDS|4556131202914479835</stp>
        <tr r="TU5" s="38"/>
      </tp>
      <tp t="s">
        <v>#N/A N/A</v>
        <stp/>
        <stp>BDS|3639493810467433887</stp>
        <tr r="BI5" s="47"/>
      </tp>
      <tp t="s">
        <v>#N/A N/A</v>
        <stp/>
        <stp>BDS|6103362127098471673</stp>
        <tr r="IG5" s="36"/>
      </tp>
      <tp t="s">
        <v>#N/A N/A</v>
        <stp/>
        <stp>BDS|5363831135492711515</stp>
        <tr r="EU5" s="6"/>
      </tp>
      <tp t="s">
        <v>#N/A N/A</v>
        <stp/>
        <stp>BDS|5348947115051283502</stp>
        <tr r="AE5" s="19"/>
      </tp>
      <tp t="s">
        <v>#N/A N/A</v>
        <stp/>
        <stp>BDS|5103463364756392800</stp>
        <tr r="QW5" s="13"/>
      </tp>
      <tp t="s">
        <v>#N/A N/A</v>
        <stp/>
        <stp>BDS|3728200272966530908</stp>
        <tr r="QW5" s="36"/>
        <tr r="JY5" s="42"/>
      </tp>
      <tp t="s">
        <v>#N/A N/A</v>
        <stp/>
        <stp>BDS|1620777748822815904</stp>
        <tr r="KO5" s="50"/>
      </tp>
      <tp t="s">
        <v>#N/A N/A</v>
        <stp/>
        <stp>BDS|4209200946192279975</stp>
        <tr r="IU5" s="46"/>
      </tp>
      <tp t="s">
        <v>#N/A N/A</v>
        <stp/>
        <stp>BDS|5892397519779831719</stp>
        <tr r="EU5" s="38"/>
      </tp>
      <tp t="s">
        <v>#N/A N/A</v>
        <stp/>
        <stp>BDS|9188669112500142753</stp>
        <tr r="BW5" s="27"/>
      </tp>
      <tp t="s">
        <v>#N/A N/A</v>
        <stp/>
        <stp>BDS|2599629685005674025</stp>
        <tr r="QW5" s="29"/>
      </tp>
      <tp t="s">
        <v>#N/A N/A</v>
        <stp/>
        <stp>BDS|8839278218355812799</stp>
        <tr r="JY5" s="21"/>
      </tp>
      <tp t="s">
        <v>#N/A N/A</v>
        <stp/>
        <stp>BDS|4268918688644908857</stp>
        <tr r="GM5" s="28"/>
      </tp>
      <tp t="s">
        <v>#N/A N/A</v>
        <stp/>
        <stp>BDS|1614889109284025407</stp>
        <tr r="BW5" s="30"/>
      </tp>
      <tp t="s">
        <v>#N/A N/A</v>
        <stp/>
        <stp>BDS|4764853226735069204</stp>
        <tr r="QI5" s="35"/>
        <tr r="MW5" s="6"/>
      </tp>
      <tp t="s">
        <v>#N/A N/A</v>
        <stp/>
        <stp>BDS|6529013786454605301</stp>
        <tr r="KO5" s="14"/>
        <tr r="OA5" s="19"/>
      </tp>
      <tp t="s">
        <v>#N/A N/A</v>
        <stp/>
        <stp>BDS|8080810483746476731</stp>
        <tr r="PE5" s="16"/>
      </tp>
      <tp t="s">
        <v>#N/A N/A</v>
        <stp/>
        <stp>BDS|9029654755233047056</stp>
        <tr r="OA5" s="17"/>
      </tp>
      <tp t="s">
        <v>#N/A N/A</v>
        <stp/>
        <stp>BDS|8993602162805899792</stp>
        <tr r="TE5" s="37"/>
      </tp>
      <tp t="s">
        <v>#N/A N/A</v>
        <stp/>
        <stp>BDS|9752662338871529762</stp>
        <tr r="RM5" s="35"/>
      </tp>
      <tp t="s">
        <v>#N/A N/A</v>
        <stp/>
        <stp>BDS|6990659282345237765</stp>
        <tr r="OO5" s="18"/>
      </tp>
      <tp t="s">
        <v>#N/A N/A</v>
        <stp/>
        <stp>BDS|3231859824577104496</stp>
        <tr r="SA5" s="21"/>
      </tp>
      <tp t="s">
        <v>#N/A N/A</v>
        <stp/>
        <stp>BDS|2948089733313815825</stp>
        <tr r="BI5" s="45"/>
      </tp>
      <tp t="s">
        <v>#N/A N/A</v>
        <stp/>
        <stp>BDS|1901029939888343097</stp>
        <tr r="EU5" s="23"/>
      </tp>
      <tp t="s">
        <v>#N/A N/A</v>
        <stp/>
        <stp>BDS|9609571929202428658</stp>
        <tr r="AE5" s="8"/>
      </tp>
      <tp t="s">
        <v>#N/A N/A</v>
        <stp/>
        <stp>BDS|3268505485040868467</stp>
        <tr r="TE5" s="27"/>
      </tp>
      <tp t="s">
        <v>#N/A N/A</v>
        <stp/>
        <stp>BDS|4089527347008845722</stp>
        <tr r="GM5" s="17"/>
      </tp>
      <tp t="s">
        <v>#N/A N/A</v>
        <stp/>
        <stp>BDS|6346634184985909727</stp>
        <tr r="MG5" s="22"/>
        <tr r="IU5" s="28"/>
      </tp>
      <tp t="s">
        <v>#N/A N/A</v>
        <stp/>
        <stp>BDS|7663407689419527854</stp>
        <tr r="BI5" s="42"/>
      </tp>
      <tp t="s">
        <v>#N/A N/A</v>
        <stp/>
        <stp>BDS|9256310449430508405</stp>
        <tr r="HQ5" s="9"/>
      </tp>
      <tp t="s">
        <v>#N/A N/A</v>
        <stp/>
        <stp>BDS|8136660869782776058</stp>
        <tr r="SA5" s="30"/>
        <tr r="OO5" s="41"/>
      </tp>
      <tp t="s">
        <v>#N/A N/A</v>
        <stp/>
        <stp>BDS|8918576198359922737</stp>
        <tr r="OA5" s="7"/>
      </tp>
      <tp t="s">
        <v>#N/A N/A</v>
        <stp/>
        <stp>BDS|5980957018143021493</stp>
        <tr r="VM5" s="39"/>
      </tp>
      <tp t="s">
        <v>#N/A N/A</v>
        <stp/>
        <stp>BDS|8683660957562658335</stp>
        <tr r="SQ5" s="34"/>
      </tp>
      <tp t="s">
        <v>#N/A N/A</v>
        <stp/>
        <stp>BDS|8761770139046882039</stp>
        <tr r="O5" s="44"/>
      </tp>
      <tp t="s">
        <v>#N/A N/A</v>
        <stp/>
        <stp>BDS|2267724273491864988</stp>
        <tr r="TE5" s="36"/>
      </tp>
      <tp t="s">
        <v>#N/A N/A</v>
        <stp/>
        <stp>BDS|5477364839389182694</stp>
        <tr r="LS5" s="11"/>
      </tp>
      <tp t="s">
        <v>#N/A N/A</v>
        <stp/>
        <stp>BDS|8953694106635411123</stp>
        <tr r="UI5" s="9"/>
      </tp>
      <tp t="s">
        <v>#N/A N/A</v>
        <stp/>
        <stp>BDS|3535196751318810544</stp>
        <tr r="HC5" s="46"/>
      </tp>
      <tp t="s">
        <v>#N/A N/A</v>
        <stp/>
        <stp>BDS|9092786148714040467</stp>
        <tr r="FI5" s="17"/>
      </tp>
      <tp t="s">
        <v>#N/A N/A</v>
        <stp/>
        <stp>BDS|9227986210399584293</stp>
        <tr r="LS5" s="2"/>
        <tr r="EU5" s="37"/>
      </tp>
      <tp t="s">
        <v>#N/A N/A</v>
        <stp/>
        <stp>BDS|8356599421481984447</stp>
        <tr r="QW5" s="14"/>
      </tp>
      <tp t="s">
        <v>#N/A N/A</v>
        <stp/>
        <stp>BDS|8059373164420578700</stp>
        <tr r="LC5" s="7"/>
      </tp>
      <tp t="s">
        <v>#N/A N/A</v>
        <stp/>
        <stp>BDS|2244587027877250883</stp>
        <tr r="SA5" s="9"/>
        <tr r="QW5" s="46"/>
      </tp>
      <tp t="s">
        <v>#N/A N/A</v>
        <stp/>
        <stp>BDS|4018403115709500270</stp>
        <tr r="UY5" s="20"/>
      </tp>
      <tp t="s">
        <v>#N/A N/A</v>
        <stp/>
        <stp>BDS|5904739186012959217</stp>
        <tr r="A5" s="8"/>
        <tr r="LS5" s="4"/>
      </tp>
      <tp t="s">
        <v>#N/A N/A</v>
        <stp/>
        <stp>BDS|4257561354896532817</stp>
        <tr r="UI5" s="4"/>
      </tp>
      <tp t="s">
        <v>#N/A N/A</v>
        <stp/>
        <stp>BDS|3532447771733261967</stp>
        <tr r="QW5" s="44"/>
      </tp>
      <tp t="s">
        <v>#N/A N/A</v>
        <stp/>
        <stp>BDS|9608854892261616334</stp>
        <tr r="EU5" s="20"/>
      </tp>
      <tp t="s">
        <v>#N/A N/A</v>
        <stp/>
        <stp>BDS|4984432183662964056</stp>
        <tr r="QW5" s="7"/>
        <tr r="DA5" s="24"/>
        <tr r="SA5" s="32"/>
      </tp>
      <tp t="s">
        <v>#N/A N/A</v>
        <stp/>
        <stp>BDS|7146483487839575915</stp>
        <tr r="UY5" s="44"/>
      </tp>
      <tp t="s">
        <v>#N/A N/A</v>
        <stp/>
        <stp>BDS|5685844463400335090</stp>
        <tr r="VM5" s="27"/>
        <tr r="LC5" s="38"/>
      </tp>
      <tp t="s">
        <v>#N/A N/A</v>
        <stp/>
        <stp>BDS|9201678439241507624</stp>
        <tr r="MW5" s="35"/>
      </tp>
      <tp t="s">
        <v>#N/A N/A</v>
        <stp/>
        <stp>BDS|3813872656664529178</stp>
        <tr r="RM5" s="39"/>
      </tp>
      <tp t="s">
        <v>#N/A N/A</v>
        <stp/>
        <stp>BDS|9086396315818427836</stp>
        <tr r="SQ5" s="35"/>
      </tp>
      <tp t="s">
        <v>#N/A N/A</v>
        <stp/>
        <stp>BDS|3412236015878233384</stp>
        <tr r="OA5" s="26"/>
      </tp>
      <tp t="s">
        <v>#N/A N/A</v>
        <stp/>
        <stp>BDS|5462878133814993105</stp>
        <tr r="EU5" s="42"/>
      </tp>
      <tp t="s">
        <v>#N/A N/A</v>
        <stp/>
        <stp>BDS|2544759802976952859</stp>
        <tr r="RM5" s="49"/>
      </tp>
      <tp t="s">
        <v>#N/A N/A</v>
        <stp/>
        <stp>BDS|6099295755898784250</stp>
        <tr r="UY5" s="14"/>
        <tr r="HC5" s="25"/>
      </tp>
      <tp t="s">
        <v>#N/A N/A</v>
        <stp/>
        <stp>BDS|1430073005599836306</stp>
        <tr r="KO5" s="39"/>
      </tp>
      <tp t="s">
        <v>#N/A N/A</v>
        <stp/>
        <stp>BDS|4314420716559890300</stp>
        <tr r="AS5" s="5"/>
      </tp>
      <tp t="s">
        <v>#N/A N/A</v>
        <stp/>
        <stp>BDS|9964111827016118716</stp>
        <tr r="BW5" s="39"/>
      </tp>
      <tp t="s">
        <v>#N/A N/A</v>
        <stp/>
        <stp>BDS|7275017185330175483</stp>
        <tr r="QI5" s="8"/>
      </tp>
      <tp t="s">
        <v>#N/A N/A</v>
        <stp/>
        <stp>BDS|2277618597317819105</stp>
        <tr r="JK5" s="11"/>
        <tr r="AE5" s="28"/>
      </tp>
      <tp t="s">
        <v>#N/A N/A</v>
        <stp/>
        <stp>BDS|8563707877827993478</stp>
        <tr r="BI5" s="35"/>
      </tp>
      <tp t="s">
        <v>#N/A N/A</v>
        <stp/>
        <stp>BDS|3678847501672733281</stp>
        <tr r="A5" s="15"/>
      </tp>
      <tp t="s">
        <v>#N/A N/A</v>
        <stp/>
        <stp>BDS|6978439880165751401</stp>
        <tr r="OA5" s="24"/>
      </tp>
      <tp t="s">
        <v>#N/A N/A</v>
        <stp/>
        <stp>BDS|9266382681970049967</stp>
        <tr r="KO5" s="20"/>
      </tp>
      <tp t="s">
        <v>#N/A N/A</v>
        <stp/>
        <stp>BDS|9294232129840648238</stp>
        <tr r="VM5" s="36"/>
      </tp>
      <tp t="s">
        <v>#N/A N/A</v>
        <stp/>
        <stp>BDS|6223508388885267554</stp>
        <tr r="HQ5" s="35"/>
      </tp>
      <tp t="s">
        <v>#N/A N/A</v>
        <stp/>
        <stp>BDS|6076909920695052323</stp>
        <tr r="UI5" s="3"/>
      </tp>
      <tp t="s">
        <v>#N/A N/A</v>
        <stp/>
        <stp>BDS|3774148374187660937</stp>
        <tr r="MG5" s="15"/>
      </tp>
      <tp t="s">
        <v>#N/A N/A</v>
        <stp/>
        <stp>BDS|2072046639692657891</stp>
        <tr r="BI5" s="5"/>
      </tp>
      <tp t="s">
        <v>#N/A N/A</v>
        <stp/>
        <stp>BDS|1839376791537965750</stp>
        <tr r="LC5" s="50"/>
      </tp>
      <tp t="s">
        <v>#N/A N/A</v>
        <stp/>
        <stp>BDS|2386826567603505402</stp>
        <tr r="QI5" s="34"/>
      </tp>
      <tp t="s">
        <v>#N/A N/A</v>
        <stp/>
        <stp>BDS|2462867027934160749</stp>
        <tr r="A5" s="45"/>
      </tp>
      <tp t="s">
        <v>#N/A N/A</v>
        <stp/>
        <stp>BDS|7307365299222462499</stp>
        <tr r="JY5" s="39"/>
      </tp>
      <tp t="s">
        <v>#N/A N/A</v>
        <stp/>
        <stp>BDS|8141171183459109350</stp>
        <tr r="TU5" s="29"/>
      </tp>
      <tp t="s">
        <v>#N/A N/A</v>
        <stp/>
        <stp>BDS|6721931813331752464</stp>
        <tr r="EU5" s="35"/>
        <tr r="PE5" s="39"/>
      </tp>
      <tp t="s">
        <v>#N/A N/A</v>
        <stp/>
        <stp>BDS|2872849176221417791</stp>
        <tr r="JY5" s="18"/>
      </tp>
      <tp t="s">
        <v>#N/A N/A</v>
        <stp/>
        <stp>BDS|8418673232441555736</stp>
        <tr r="CM5" s="3"/>
      </tp>
      <tp t="s">
        <v>#N/A N/A</v>
        <stp/>
        <stp>BDS|7010942506376182370</stp>
        <tr r="MW5" s="17"/>
        <tr r="FY5" s="41"/>
      </tp>
      <tp t="s">
        <v>#N/A N/A</v>
        <stp/>
        <stp>BDS|9128308752743261753</stp>
        <tr r="QI5" s="41"/>
      </tp>
      <tp t="s">
        <v>#N/A N/A</v>
        <stp/>
        <stp>BDS|9002819255727673865</stp>
        <tr r="KO5" s="41"/>
      </tp>
      <tp t="s">
        <v>#N/A N/A</v>
        <stp/>
        <stp>BDS|9584349508786802754</stp>
        <tr r="SA5" s="26"/>
      </tp>
      <tp t="s">
        <v>#N/A N/A</v>
        <stp/>
        <stp>BDS|6042370627399279560</stp>
        <tr r="AE5" s="27"/>
        <tr r="RM5" s="40"/>
      </tp>
      <tp t="s">
        <v>#N/A N/A</v>
        <stp/>
        <stp>BDS|7994585824182644979</stp>
        <tr r="NK5" s="16"/>
      </tp>
      <tp t="s">
        <v>#N/A N/A</v>
        <stp/>
        <stp>BDS|3721951211885675518</stp>
        <tr r="PE5" s="45"/>
      </tp>
      <tp t="s">
        <v>#N/A N/A</v>
        <stp/>
        <stp>BDS|5077868853635191619</stp>
        <tr r="HQ5" s="33"/>
      </tp>
      <tp t="s">
        <v>#N/A N/A</v>
        <stp/>
        <stp>BDS|3898122438183725906</stp>
        <tr r="MG5" s="43"/>
      </tp>
      <tp t="s">
        <v>#N/A N/A</v>
        <stp/>
        <stp>BDS|4399080682736964154</stp>
        <tr r="AE5" s="37"/>
      </tp>
      <tp t="s">
        <v>#N/A N/A</v>
        <stp/>
        <stp>BDS|1200954939217149858</stp>
        <tr r="UI5" s="45"/>
      </tp>
      <tp t="s">
        <v>#N/A N/A</v>
        <stp/>
        <stp>BDS|3817327193674496974</stp>
        <tr r="MW5" s="45"/>
      </tp>
      <tp t="s">
        <v>#N/A N/A</v>
        <stp/>
        <stp>BDS|8622058128038645679</stp>
        <tr r="HC5" s="13"/>
        <tr r="RM5" s="14"/>
        <tr r="LS5" s="23"/>
        <tr r="KO5" s="27"/>
      </tp>
      <tp t="s">
        <v>#N/A N/A</v>
        <stp/>
        <stp>BDS|8522464084878805841</stp>
        <tr r="HQ5" s="40"/>
      </tp>
      <tp t="s">
        <v>#N/A N/A</v>
        <stp/>
        <stp>BDS|3786505820594955450</stp>
        <tr r="DQ5" s="34"/>
      </tp>
      <tp t="s">
        <v>#N/A N/A</v>
        <stp/>
        <stp>BDS|6357816555456550992</stp>
        <tr r="FY5" s="6"/>
      </tp>
      <tp t="s">
        <v>#N/A N/A</v>
        <stp/>
        <stp>BDS|6317171233532953255</stp>
        <tr r="SQ5" s="50"/>
      </tp>
      <tp t="s">
        <v>#N/A N/A</v>
        <stp/>
        <stp>BDS|7050804699016589446</stp>
        <tr r="A5" s="18"/>
      </tp>
      <tp t="s">
        <v>#N/A N/A</v>
        <stp/>
        <stp>BDS|8257844249293454335</stp>
        <tr r="UI5" s="18"/>
      </tp>
      <tp t="s">
        <v>#N/A N/A</v>
        <stp/>
        <stp>BDS|3799694476100339638</stp>
        <tr r="BI5" s="25"/>
        <tr r="IG5" s="42"/>
      </tp>
      <tp t="s">
        <v>#N/A N/A</v>
        <stp/>
        <stp>BDS|1777711927276041695</stp>
        <tr r="UY5" s="23"/>
      </tp>
      <tp t="s">
        <v>#N/A N/A</v>
        <stp/>
        <stp>BDS|9984389290797894005</stp>
        <tr r="SQ5" s="27"/>
      </tp>
      <tp t="s">
        <v>#N/A N/A</v>
        <stp/>
        <stp>BDS|1357866899507784327</stp>
        <tr r="JK5" s="18"/>
      </tp>
      <tp t="s">
        <v>#N/A N/A</v>
        <stp/>
        <stp>BDS|6264280266771558703</stp>
        <tr r="EU5" s="10"/>
      </tp>
      <tp t="s">
        <v>#N/A N/A</v>
        <stp/>
        <stp>BDS|9823912650202914396</stp>
        <tr r="EE5" s="5"/>
        <tr r="TE5" s="12"/>
        <tr r="VM5" s="18"/>
        <tr r="MG5" s="31"/>
      </tp>
      <tp t="s">
        <v>#N/A N/A</v>
        <stp/>
        <stp>BDS|4453515138651153725</stp>
        <tr r="UI5" s="2"/>
      </tp>
      <tp t="s">
        <v>#N/A N/A</v>
        <stp/>
        <stp>BDS|4264583381138055556</stp>
        <tr r="KO5" s="23"/>
      </tp>
      <tp t="s">
        <v>#N/A N/A</v>
        <stp/>
        <stp>BDS|1697416276457613181</stp>
        <tr r="O5" s="23"/>
      </tp>
      <tp t="s">
        <v>#N/A N/A</v>
        <stp/>
        <stp>BDS|6259097094262893982</stp>
        <tr r="SA5" s="50"/>
      </tp>
      <tp t="s">
        <v>#N/A N/A</v>
        <stp/>
        <stp>BDS|6503783429330990720</stp>
        <tr r="DQ5" s="6"/>
      </tp>
      <tp t="s">
        <v>#N/A N/A</v>
        <stp/>
        <stp>BDS|3162017518044021271</stp>
        <tr r="LC5" s="12"/>
      </tp>
      <tp t="s">
        <v>#N/A N/A</v>
        <stp/>
        <stp>BDS|6463446042321526384</stp>
        <tr r="HQ5" s="45"/>
      </tp>
      <tp t="s">
        <v>#N/A N/A</v>
        <stp/>
        <stp>BDS|2376669400198823815</stp>
        <tr r="BI5" s="10"/>
        <tr r="LS5" s="25"/>
      </tp>
      <tp t="s">
        <v>#N/A N/A</v>
        <stp/>
        <stp>BDS|4074673962640960009</stp>
        <tr r="FI5" s="5"/>
        <tr r="NK5" s="27"/>
      </tp>
      <tp t="s">
        <v>#N/A N/A</v>
        <stp/>
        <stp>BDS|3204829580786813154</stp>
        <tr r="EU5" s="28"/>
      </tp>
      <tp t="s">
        <v>#N/A N/A</v>
        <stp/>
        <stp>BDS|8505021998421067426</stp>
        <tr r="JK5" s="27"/>
      </tp>
      <tp t="s">
        <v>#N/A N/A</v>
        <stp/>
        <stp>BDS|9891537759088123503</stp>
        <tr r="TE5" s="9"/>
      </tp>
      <tp t="s">
        <v>#N/A N/A</v>
        <stp/>
        <stp>BDS|9133206586202212564</stp>
        <tr r="UY5" s="42"/>
      </tp>
      <tp t="s">
        <v>#N/A N/A</v>
        <stp/>
        <stp>BDS|5648124352431715424</stp>
        <tr r="UI5" s="47"/>
      </tp>
      <tp t="s">
        <v>#N/A N/A</v>
        <stp/>
        <stp>BDS|9236984215296804376</stp>
        <tr r="FI5" s="6"/>
      </tp>
      <tp t="s">
        <v>#N/A N/A</v>
        <stp/>
        <stp>BDS|4983221208993459175</stp>
        <tr r="QI5" s="25"/>
      </tp>
      <tp t="s">
        <v>#N/A N/A</v>
        <stp/>
        <stp>BDS|4181820533889887291</stp>
        <tr r="BW5" s="28"/>
        <tr r="LC5" s="26"/>
      </tp>
      <tp t="s">
        <v>#N/A N/A</v>
        <stp/>
        <stp>BDS|7045654144933176218</stp>
        <tr r="QW5" s="15"/>
      </tp>
      <tp t="s">
        <v>#N/A N/A</v>
        <stp/>
        <stp>BDS|7062924294722088107</stp>
        <tr r="FY5" s="2"/>
      </tp>
      <tp t="s">
        <v>#N/A N/A</v>
        <stp/>
        <stp>BDS|4302063983161208931</stp>
        <tr r="FY5" s="1"/>
      </tp>
      <tp t="s">
        <v>#N/A N/A</v>
        <stp/>
        <stp>BDS|9897457797803831350</stp>
        <tr r="AE5" s="14"/>
        <tr r="LS5" s="39"/>
        <tr r="TU5" s="34"/>
      </tp>
      <tp t="s">
        <v>#N/A N/A</v>
        <stp/>
        <stp>BDS|4322689636177850217</stp>
        <tr r="DA5" s="44"/>
      </tp>
      <tp t="s">
        <v>#N/A N/A</v>
        <stp/>
        <stp>BDS|4732776958404876647</stp>
        <tr r="PE5" s="37"/>
      </tp>
      <tp t="s">
        <v>#N/A N/A</v>
        <stp/>
        <stp>BDS|5098842766829058662</stp>
        <tr r="PE5" s="1"/>
      </tp>
      <tp t="s">
        <v>#N/A N/A</v>
        <stp/>
        <stp>BDS|7766008214784109679</stp>
        <tr r="PE5" s="31"/>
      </tp>
      <tp t="s">
        <v>#N/A N/A</v>
        <stp/>
        <stp>BDS|7154705896998296500</stp>
        <tr r="EE5" s="30"/>
        <tr r="QW5" s="6"/>
      </tp>
      <tp t="s">
        <v>#N/A N/A</v>
        <stp/>
        <stp>BDS|9103545566548438625</stp>
        <tr r="HQ5" s="27"/>
      </tp>
      <tp t="s">
        <v>#N/A N/A</v>
        <stp/>
        <stp>BDS|7006694196118787526</stp>
        <tr r="HC5" s="31"/>
      </tp>
      <tp t="s">
        <v>#N/A N/A</v>
        <stp/>
        <stp>BDS|8831311387056185058</stp>
        <tr r="EU5" s="11"/>
      </tp>
      <tp t="s">
        <v>#N/A N/A</v>
        <stp/>
        <stp>BDS|8121926076852989163</stp>
        <tr r="QW5" s="43"/>
      </tp>
      <tp t="s">
        <v>#N/A N/A</v>
        <stp/>
        <stp>BDS|5039439436903742480</stp>
        <tr r="QI5" s="16"/>
        <tr r="MW5" s="29"/>
      </tp>
      <tp t="s">
        <v>#N/A N/A</v>
        <stp/>
        <stp>BDS|4839765771596741738</stp>
        <tr r="RM5" s="37"/>
      </tp>
      <tp t="s">
        <v>#N/A N/A</v>
        <stp/>
        <stp>BDS|9332698889161921315</stp>
        <tr r="MW5" s="14"/>
      </tp>
      <tp t="s">
        <v>#N/A N/A</v>
        <stp/>
        <stp>BDS|4168464809207231274</stp>
        <tr r="MG5" s="24"/>
      </tp>
      <tp t="s">
        <v>#N/A N/A</v>
        <stp/>
        <stp>BDS|9426715637820275880</stp>
        <tr r="MW5" s="25"/>
      </tp>
      <tp t="s">
        <v>#N/A N/A</v>
        <stp/>
        <stp>BDS|6853156121151144157</stp>
        <tr r="VM5" s="28"/>
      </tp>
      <tp t="s">
        <v>#N/A N/A</v>
        <stp/>
        <stp>BDS|7155549048603578008</stp>
        <tr r="PS5" s="36"/>
      </tp>
      <tp t="s">
        <v>#N/A N/A</v>
        <stp/>
        <stp>BDS|5143298974146148341</stp>
        <tr r="UY5" s="36"/>
      </tp>
      <tp t="s">
        <v>#N/A N/A</v>
        <stp/>
        <stp>BDS|9085626026879551181</stp>
        <tr r="OO5" s="5"/>
        <tr r="SA5" s="33"/>
      </tp>
      <tp t="s">
        <v>#N/A N/A</v>
        <stp/>
        <stp>BDS|7516361608522568373</stp>
        <tr r="FY5" s="12"/>
      </tp>
      <tp t="s">
        <v>#N/A N/A</v>
        <stp/>
        <stp>BDS|7591712859579255919</stp>
        <tr r="GM5" s="26"/>
      </tp>
      <tp t="s">
        <v>#N/A N/A</v>
        <stp/>
        <stp>BDS|5939476823630067634</stp>
        <tr r="EU5" s="4"/>
      </tp>
      <tp t="s">
        <v>#N/A N/A</v>
        <stp/>
        <stp>BDS|5595998207799123043</stp>
        <tr r="TE5" s="33"/>
      </tp>
      <tp t="s">
        <v>#N/A N/A</v>
        <stp/>
        <stp>BDS|6185434737343984723</stp>
        <tr r="O5" s="36"/>
      </tp>
      <tp t="s">
        <v>#N/A N/A</v>
        <stp/>
        <stp>BDS|7225655039732493552</stp>
        <tr r="AE5" s="6"/>
      </tp>
      <tp t="s">
        <v>#N/A N/A</v>
        <stp/>
        <stp>BDS|5844730109506806159</stp>
        <tr r="BW5" s="8"/>
        <tr r="SA5" s="43"/>
      </tp>
      <tp t="s">
        <v>#N/A N/A</v>
        <stp/>
        <stp>BDS|8016839516584874023</stp>
        <tr r="UI5" s="40"/>
        <tr r="VM5" s="33"/>
      </tp>
      <tp t="s">
        <v>#N/A N/A</v>
        <stp/>
        <stp>BDS|6566340412070702188</stp>
        <tr r="LC5" s="11"/>
        <tr r="OO5" s="40"/>
      </tp>
      <tp t="s">
        <v>#N/A N/A</v>
        <stp/>
        <stp>BDS|2017328886649156599</stp>
        <tr r="LC5" s="22"/>
      </tp>
      <tp t="s">
        <v>#N/A N/A</v>
        <stp/>
        <stp>BDS|8943744793460074322</stp>
        <tr r="QW5" s="25"/>
      </tp>
      <tp t="s">
        <v>#N/A N/A</v>
        <stp/>
        <stp>BDS|1808024969764728686</stp>
        <tr r="VM5" s="12"/>
      </tp>
      <tp t="s">
        <v>#N/A N/A</v>
        <stp/>
        <stp>BDS|8853514081165105554</stp>
        <tr r="BI5" s="19"/>
        <tr r="IG5" s="29"/>
        <tr r="SQ5" s="42"/>
      </tp>
      <tp t="s">
        <v>#N/A N/A</v>
        <stp/>
        <stp>BDS|4489485748427111683</stp>
        <tr r="IU5" s="26"/>
        <tr r="NK5" s="34"/>
        <tr r="OO5" s="34"/>
        <tr r="BW5" s="46"/>
      </tp>
      <tp t="s">
        <v>#N/A N/A</v>
        <stp/>
        <stp>BDS|6059618747412922326</stp>
        <tr r="CM5" s="25"/>
      </tp>
      <tp t="s">
        <v>#N/A N/A</v>
        <stp/>
        <stp>BDS|2441723269186044020</stp>
        <tr r="SA5" s="46"/>
      </tp>
      <tp t="s">
        <v>#N/A N/A</v>
        <stp/>
        <stp>BDS|5561671463253882348</stp>
        <tr r="PS5" s="35"/>
      </tp>
      <tp t="s">
        <v>#N/A N/A</v>
        <stp/>
        <stp>BDS|8797203542158443337</stp>
        <tr r="LC5" s="37"/>
      </tp>
      <tp t="s">
        <v>#N/A N/A</v>
        <stp/>
        <stp>BDS|8159522243844410866</stp>
        <tr r="JK5" s="9"/>
      </tp>
      <tp t="s">
        <v>#N/A N/A</v>
        <stp/>
        <stp>BDS|6901570138476331375</stp>
        <tr r="SQ5" s="4"/>
      </tp>
      <tp t="s">
        <v>#N/A N/A</v>
        <stp/>
        <stp>BDS|5790303347572591568</stp>
        <tr r="PE5" s="5"/>
      </tp>
      <tp t="s">
        <v>#N/A N/A</v>
        <stp/>
        <stp>BDS|4279000075480401602</stp>
        <tr r="LS5" s="7"/>
      </tp>
      <tp t="s">
        <v>#N/A N/A</v>
        <stp/>
        <stp>BDS|2317567934834465569</stp>
        <tr r="EE5" s="47"/>
        <tr r="HQ5" s="48"/>
      </tp>
      <tp t="s">
        <v>#N/A N/A</v>
        <stp/>
        <stp>BDS|2232378977112099128</stp>
        <tr r="AE5" s="36"/>
      </tp>
      <tp t="s">
        <v>#N/A N/A</v>
        <stp/>
        <stp>BDS|5501176413447980787</stp>
        <tr r="A5" s="23"/>
      </tp>
      <tp t="s">
        <v>#N/A N/A</v>
        <stp/>
        <stp>BDS|6573305104787724764</stp>
        <tr r="VM5" s="42"/>
      </tp>
      <tp t="s">
        <v>#N/A N/A</v>
        <stp/>
        <stp>BDS|3226517353464920293</stp>
        <tr r="NK5" s="46"/>
      </tp>
      <tp t="s">
        <v>#N/A N/A</v>
        <stp/>
        <stp>BDS|6444941371808557551</stp>
        <tr r="GM5" s="16"/>
      </tp>
      <tp t="s">
        <v>#N/A N/A</v>
        <stp/>
        <stp>BDS|8748818211580082468</stp>
        <tr r="A5" s="24"/>
        <tr r="AE5" s="46"/>
      </tp>
      <tp t="s">
        <v>#N/A N/A</v>
        <stp/>
        <stp>BDS|2298714124962792013</stp>
        <tr r="TU5" s="17"/>
      </tp>
      <tp t="s">
        <v>#N/A N/A</v>
        <stp/>
        <stp>BDS|7757905985252607150</stp>
        <tr r="HC5" s="12"/>
      </tp>
      <tp t="s">
        <v>#N/A N/A</v>
        <stp/>
        <stp>BDS|1651511936881436331</stp>
        <tr r="O5" s="12"/>
      </tp>
      <tp t="s">
        <v>#N/A N/A</v>
        <stp/>
        <stp>BDS|5341761201774499365</stp>
        <tr r="PE5" s="7"/>
      </tp>
      <tp t="s">
        <v>#N/A N/A</v>
        <stp/>
        <stp>BDS|6610048957152774441</stp>
        <tr r="EU5" s="3"/>
      </tp>
      <tp t="s">
        <v>#N/A N/A</v>
        <stp/>
        <stp>BDS|8108543286307670737</stp>
        <tr r="TU5" s="43"/>
        <tr r="IG5" s="16"/>
      </tp>
      <tp t="s">
        <v>#N/A N/A</v>
        <stp/>
        <stp>BDS|6638260285188749147</stp>
        <tr r="EE5" s="20"/>
      </tp>
      <tp t="s">
        <v>#N/A N/A</v>
        <stp/>
        <stp>BDS|5643351473571011566</stp>
        <tr r="FY5" s="45"/>
        <tr r="KO5" s="49"/>
      </tp>
      <tp t="s">
        <v>#N/A N/A</v>
        <stp/>
        <stp>BDS|2700780054654848157</stp>
        <tr r="IU5" s="40"/>
        <tr r="FI5" s="48"/>
      </tp>
      <tp t="s">
        <v>#N/A N/A</v>
        <stp/>
        <stp>BDS|2742209300837264229</stp>
        <tr r="PS5" s="42"/>
      </tp>
      <tp t="s">
        <v>#N/A N/A</v>
        <stp/>
        <stp>BDS|9325111284392726768</stp>
        <tr r="O5" s="48"/>
      </tp>
      <tp t="s">
        <v>#N/A N/A</v>
        <stp/>
        <stp>BDS|6350150970681922489</stp>
        <tr r="NK5" s="3"/>
      </tp>
      <tp t="s">
        <v>#N/A N/A</v>
        <stp/>
        <stp>BDS|1163511524160787341</stp>
        <tr r="FI5" s="27"/>
        <tr r="EE5" s="44"/>
      </tp>
      <tp t="s">
        <v>#N/A N/A</v>
        <stp/>
        <stp>BDS|4275605842982181161</stp>
        <tr r="A5" s="49"/>
      </tp>
      <tp t="s">
        <v>#N/A N/A</v>
        <stp/>
        <stp>BDS|1455536981648561141</stp>
        <tr r="CM5" s="36"/>
      </tp>
      <tp t="s">
        <v>#N/A N/A</v>
        <stp/>
        <stp>BDS|3340851945658146254</stp>
        <tr r="IU5" s="32"/>
      </tp>
      <tp t="s">
        <v>#N/A N/A</v>
        <stp/>
        <stp>BDS|7317282400976857677</stp>
        <tr r="PE5" s="36"/>
      </tp>
      <tp t="s">
        <v>#N/A N/A</v>
        <stp/>
        <stp>BDS|7048275001976603648</stp>
        <tr r="JK5" s="45"/>
      </tp>
      <tp t="s">
        <v>#N/A N/A</v>
        <stp/>
        <stp>BDS|8887516497353229295</stp>
        <tr r="QI5" s="38"/>
        <tr r="AE5" s="48"/>
      </tp>
      <tp t="s">
        <v>#N/A N/A</v>
        <stp/>
        <stp>BDS|6023309802464742408</stp>
        <tr r="OA5" s="11"/>
        <tr r="EU5" s="31"/>
      </tp>
      <tp t="s">
        <v>#N/A N/A</v>
        <stp/>
        <stp>BDS|4709003411732546266</stp>
        <tr r="UI5" s="21"/>
      </tp>
      <tp t="s">
        <v>#N/A N/A</v>
        <stp/>
        <stp>BDS|4860319578132134758</stp>
        <tr r="PS5" s="27"/>
        <tr r="UI5" s="36"/>
      </tp>
      <tp t="s">
        <v>#N/A N/A</v>
        <stp/>
        <stp>BDS|5478466850206116497</stp>
        <tr r="QI5" s="12"/>
      </tp>
      <tp t="s">
        <v>#N/A N/A</v>
        <stp/>
        <stp>BDS|4870050132742694327</stp>
        <tr r="IU5" s="21"/>
      </tp>
      <tp t="s">
        <v>#N/A N/A</v>
        <stp/>
        <stp>BDS|5017097540723650444</stp>
        <tr r="OA5" s="4"/>
        <tr r="CM5" s="12"/>
        <tr r="SQ5" s="17"/>
      </tp>
      <tp t="s">
        <v>#N/A N/A</v>
        <stp/>
        <stp>BDS|2448952910659312596</stp>
        <tr r="TU5" s="3"/>
      </tp>
      <tp t="s">
        <v>#N/A N/A</v>
        <stp/>
        <stp>BDS|2365781433205139523</stp>
        <tr r="AS5" s="14"/>
        <tr r="MG5" s="39"/>
        <tr r="UI5" s="34"/>
      </tp>
      <tp t="s">
        <v>#N/A N/A</v>
        <stp/>
        <stp>BDS|6347493035420280751</stp>
        <tr r="SA5" s="28"/>
      </tp>
      <tp t="s">
        <v>#N/A N/A</v>
        <stp/>
        <stp>BDS|4056196526822570327</stp>
        <tr r="IG5" s="17"/>
      </tp>
      <tp t="s">
        <v>#N/A N/A</v>
        <stp/>
        <stp>BDS|3100688002995447679</stp>
        <tr r="JK5" s="10"/>
      </tp>
      <tp t="s">
        <v>#N/A N/A</v>
        <stp/>
        <stp>BDS|5395888092077217535</stp>
        <tr r="IG5" s="2"/>
      </tp>
      <tp t="s">
        <v>#N/A N/A</v>
        <stp/>
        <stp>BDS|2078863699916792301</stp>
        <tr r="DQ5" s="43"/>
      </tp>
      <tp t="s">
        <v>#N/A N/A</v>
        <stp/>
        <stp>BDS|6541677330324910128</stp>
        <tr r="EE5" s="8"/>
      </tp>
      <tp t="s">
        <v>#N/A N/A</v>
        <stp/>
        <stp>BDS|2848327923634795106</stp>
        <tr r="RM5" s="42"/>
      </tp>
      <tp t="s">
        <v>#N/A N/A</v>
        <stp/>
        <stp>BDS|3746081999259069581</stp>
        <tr r="IU5" s="35"/>
        <tr r="VM5" s="43"/>
      </tp>
      <tp t="s">
        <v>#N/A N/A</v>
        <stp/>
        <stp>BDS|3688720177602463799</stp>
        <tr r="LS5" s="19"/>
      </tp>
      <tp t="s">
        <v>#N/A N/A</v>
        <stp/>
        <stp>BDS|8873949413035214320</stp>
        <tr r="OA5" s="50"/>
      </tp>
      <tp t="s">
        <v>#N/A N/A</v>
        <stp/>
        <stp>BDS|1945584569511652528</stp>
        <tr r="KO5" s="36"/>
      </tp>
      <tp t="s">
        <v>#N/A N/A</v>
        <stp/>
        <stp>BDS|3522777466215816101</stp>
        <tr r="UY5" s="17"/>
        <tr r="HC5" s="43"/>
      </tp>
      <tp t="s">
        <v>#N/A N/A</v>
        <stp/>
        <stp>BDS|1336354174313647085</stp>
        <tr r="BW5" s="5"/>
      </tp>
      <tp t="s">
        <v>#N/A N/A</v>
        <stp/>
        <stp>BDS|2558767686869164294</stp>
        <tr r="O5" s="4"/>
      </tp>
      <tp t="s">
        <v>#N/A N/A</v>
        <stp/>
        <stp>BDS|4294647855547607683</stp>
        <tr r="MG5" s="36"/>
      </tp>
      <tp t="s">
        <v>#N/A N/A</v>
        <stp/>
        <stp>BDS|1939003285327206831</stp>
        <tr r="AS5" s="23"/>
      </tp>
      <tp t="s">
        <v>#N/A N/A</v>
        <stp/>
        <stp>BDS|1747224834546228015</stp>
        <tr r="SA5" s="23"/>
      </tp>
      <tp t="s">
        <v>#N/A N/A</v>
        <stp/>
        <stp>BDS|7432861232538740255</stp>
        <tr r="MW5" s="47"/>
      </tp>
      <tp t="s">
        <v>#N/A N/A</v>
        <stp/>
        <stp>BDS|7032935760156931883</stp>
        <tr r="GM5" s="15"/>
      </tp>
      <tp t="s">
        <v>#N/A N/A</v>
        <stp/>
        <stp>BDS|7997640410822928479</stp>
        <tr r="EE5" s="6"/>
      </tp>
      <tp t="s">
        <v>#N/A N/A</v>
        <stp/>
        <stp>BDS|9655246054039618133</stp>
        <tr r="TE5" s="18"/>
      </tp>
      <tp t="s">
        <v>#N/A N/A</v>
        <stp/>
        <stp>BDS|3285431520487667471</stp>
        <tr r="JK5" s="12"/>
        <tr r="JK5" s="16"/>
      </tp>
      <tp t="s">
        <v>#N/A N/A</v>
        <stp/>
        <stp>BDS|5078406536034625008</stp>
        <tr r="IG5" s="26"/>
        <tr r="MW5" s="34"/>
        <tr r="OA5" s="34"/>
        <tr r="BI5" s="46"/>
      </tp>
      <tp t="s">
        <v>#N/A N/A</v>
        <stp/>
        <stp>BDS|1749864882421150623</stp>
        <tr r="IG5" s="49"/>
      </tp>
      <tp t="s">
        <v>#N/A N/A</v>
        <stp/>
        <stp>BDS|2978262709500124673</stp>
        <tr r="OO5" s="16"/>
      </tp>
      <tp t="s">
        <v>#N/A N/A</v>
        <stp/>
        <stp>BDS|3371025073232403079</stp>
        <tr r="LS5" s="49"/>
        <tr r="JK5" s="13"/>
      </tp>
      <tp t="s">
        <v>#N/A N/A</v>
        <stp/>
        <stp>BDS|4028964577995607962</stp>
        <tr r="OO5" s="26"/>
      </tp>
      <tp t="s">
        <v>#N/A N/A</v>
        <stp/>
        <stp>BDS|5896109181073134994</stp>
        <tr r="JY5" s="6"/>
      </tp>
      <tp t="s">
        <v>#N/A N/A</v>
        <stp/>
        <stp>BDS|3950559928754544676</stp>
        <tr r="BW5" s="11"/>
        <tr r="VM5" s="49"/>
      </tp>
      <tp t="s">
        <v>#N/A N/A</v>
        <stp/>
        <stp>BDS|5175884387503988011</stp>
        <tr r="AE5" s="23"/>
      </tp>
      <tp t="s">
        <v>#N/A N/A</v>
        <stp/>
        <stp>BDS|4571892457607468898</stp>
        <tr r="DQ5" s="8"/>
      </tp>
      <tp t="s">
        <v>#N/A N/A</v>
        <stp/>
        <stp>BDS|6417462432401206642</stp>
        <tr r="HC5" s="26"/>
      </tp>
      <tp t="s">
        <v>#N/A N/A</v>
        <stp/>
        <stp>BDS|6587845941739220552</stp>
        <tr r="UI5" s="6"/>
      </tp>
      <tp t="s">
        <v>#N/A N/A</v>
        <stp/>
        <stp>BDS|9443202018795955924</stp>
        <tr r="EE5" s="14"/>
      </tp>
      <tp t="s">
        <v>#N/A N/A</v>
        <stp/>
        <stp>BDS|6160189421393896073</stp>
        <tr r="FI5" s="24"/>
      </tp>
      <tp t="s">
        <v>#N/A N/A</v>
        <stp/>
        <stp>BDS|7989294252757083154</stp>
        <tr r="JY5" s="20"/>
        <tr r="LC5" s="4"/>
      </tp>
      <tp t="s">
        <v>#N/A N/A</v>
        <stp/>
        <stp>BDS|1982625428477613416</stp>
        <tr r="AE5" s="1"/>
      </tp>
      <tp t="s">
        <v>#N/A N/A</v>
        <stp/>
        <stp>BDS|9117463333461754973</stp>
        <tr r="DA5" s="39"/>
      </tp>
      <tp t="s">
        <v>#N/A N/A</v>
        <stp/>
        <stp>BDS|9594224683352092719</stp>
        <tr r="DQ5" s="7"/>
      </tp>
      <tp t="s">
        <v>#N/A N/A</v>
        <stp/>
        <stp>BDS|1939417108491357266</stp>
        <tr r="LC5" s="16"/>
      </tp>
      <tp t="s">
        <v>#N/A N/A</v>
        <stp/>
        <stp>BDS|7823668767915973454</stp>
        <tr r="VM5" s="41"/>
      </tp>
      <tp t="s">
        <v>#N/A N/A</v>
        <stp/>
        <stp>BDS|6007900081067717637</stp>
        <tr r="EE5" s="32"/>
      </tp>
      <tp t="s">
        <v>#N/A N/A</v>
        <stp/>
        <stp>BDS|9317997191846913978</stp>
        <tr r="NK5" s="30"/>
      </tp>
      <tp t="s">
        <v>#N/A N/A</v>
        <stp/>
        <stp>BDS|4652550789036936898</stp>
        <tr r="VM5" s="16"/>
      </tp>
      <tp t="s">
        <v>#N/A N/A</v>
        <stp/>
        <stp>BDS|7908707649216353593</stp>
        <tr r="LS5" s="1"/>
      </tp>
      <tp t="s">
        <v>#N/A N/A</v>
        <stp/>
        <stp>BDS|5142358317003875301</stp>
        <tr r="EU5" s="24"/>
      </tp>
      <tp t="s">
        <v>#N/A N/A</v>
        <stp/>
        <stp>BDS|7912321477920630415</stp>
        <tr r="AS5" s="31"/>
        <tr r="NK5" s="31"/>
      </tp>
      <tp t="s">
        <v>#N/A N/A</v>
        <stp/>
        <stp>BDS|8195862066278918904</stp>
        <tr r="IU5" s="4"/>
        <tr r="AS5" s="24"/>
        <tr r="O5" s="38"/>
      </tp>
      <tp t="s">
        <v>#N/A N/A</v>
        <stp/>
        <stp>BDS|5086496521911062504</stp>
        <tr r="DA5" s="45"/>
      </tp>
      <tp t="s">
        <v>#N/A N/A</v>
        <stp/>
        <stp>BDS|4628728218043489614</stp>
        <tr r="EU5" s="14"/>
      </tp>
      <tp t="s">
        <v>#N/A N/A</v>
        <stp/>
        <stp>BDS|4289598107297584176</stp>
        <tr r="O5" s="11"/>
      </tp>
      <tp t="s">
        <v>#N/A N/A</v>
        <stp/>
        <stp>BDS|6817047384499350057</stp>
        <tr r="BW5" s="12"/>
      </tp>
      <tp t="s">
        <v>#N/A N/A</v>
        <stp/>
        <stp>BDS|6512073549584214177</stp>
        <tr r="EE5" s="22"/>
      </tp>
      <tp t="s">
        <v>#N/A N/A</v>
        <stp/>
        <stp>BDS|2866249041527105433</stp>
        <tr r="PE5" s="35"/>
      </tp>
      <tp t="s">
        <v>#N/A N/A</v>
        <stp/>
        <stp>BDS|3100347979793303307</stp>
        <tr r="QW5" s="10"/>
        <tr r="AS5" s="39"/>
      </tp>
      <tp t="s">
        <v>#N/A N/A</v>
        <stp/>
        <stp>BDS|9580781974109009752</stp>
        <tr r="SA5" s="34"/>
      </tp>
      <tp t="s">
        <v>#N/A N/A</v>
        <stp/>
        <stp>BDS|5171043726355771589</stp>
        <tr r="LC5" s="36"/>
      </tp>
      <tp t="s">
        <v>#N/A N/A</v>
        <stp/>
        <stp>BDS|6516396812703448065</stp>
        <tr r="LC5" s="45"/>
      </tp>
      <tp t="s">
        <v>#N/A N/A</v>
        <stp/>
        <stp>BDS|4881345692840223918</stp>
        <tr r="CM5" s="8"/>
      </tp>
      <tp t="s">
        <v>#N/A N/A</v>
        <stp/>
        <stp>BDS|5102232879665006268</stp>
        <tr r="GM5" s="11"/>
        <tr r="BW5" s="16"/>
        <tr r="NK5" s="21"/>
        <tr r="SA5" s="45"/>
        <tr r="UI5" s="46"/>
      </tp>
      <tp t="s">
        <v>#N/A N/A</v>
        <stp/>
        <stp>BDS|2728629778517652369</stp>
        <tr r="VM5" s="15"/>
        <tr r="JY5" s="44"/>
      </tp>
      <tp t="s">
        <v>#N/A N/A</v>
        <stp/>
        <stp>BDS|5086824281936852466</stp>
        <tr r="OO5" s="27"/>
        <tr r="TE5" s="43"/>
      </tp>
      <tp t="s">
        <v>#N/A N/A</v>
        <stp/>
        <stp>BDS|2874154203417987355</stp>
        <tr r="OO5" s="14"/>
      </tp>
      <tp t="s">
        <v>#N/A N/A</v>
        <stp/>
        <stp>BDS|8874216075198754297</stp>
        <tr r="TE5" s="16"/>
        <tr r="AS5" s="21"/>
      </tp>
      <tp t="s">
        <v>#N/A N/A</v>
        <stp/>
        <stp>BDS|1193568473783694713</stp>
        <tr r="LS5" s="37"/>
      </tp>
      <tp t="s">
        <v>#N/A N/A</v>
        <stp/>
        <stp>BDS|3665730877764604073</stp>
        <tr r="IU5" s="38"/>
        <tr r="PS5" s="13"/>
        <tr r="GM5" s="21"/>
      </tp>
      <tp t="s">
        <v>#N/A N/A</v>
        <stp/>
        <stp>BDS|9290968913502717435</stp>
        <tr r="CM5" s="16"/>
      </tp>
      <tp t="s">
        <v>#N/A N/A</v>
        <stp/>
        <stp>BDS|2325831274362617817</stp>
        <tr r="TU5" s="6"/>
      </tp>
      <tp t="s">
        <v>#N/A N/A</v>
        <stp/>
        <stp>BDS|7336048060146282066</stp>
        <tr r="A5" s="5"/>
      </tp>
      <tp t="s">
        <v>#N/A N/A</v>
        <stp/>
        <stp>BDS|3664451635244670709</stp>
        <tr r="DQ5" s="28"/>
      </tp>
      <tp t="s">
        <v>#N/A N/A</v>
        <stp/>
        <stp>BDS|2477194093718837564</stp>
        <tr r="SQ5" s="30"/>
      </tp>
      <tp t="s">
        <v>#N/A N/A</v>
        <stp/>
        <stp>BDS|9350968277097485764</stp>
        <tr r="NK5" s="17"/>
        <tr r="GM5" s="41"/>
      </tp>
      <tp t="s">
        <v>#N/A N/A</v>
        <stp/>
        <stp>BDS|2285892483180962575</stp>
        <tr r="EE5" s="41"/>
      </tp>
      <tp t="s">
        <v>#N/A N/A</v>
        <stp/>
        <stp>BDS|3042444054186340353</stp>
        <tr r="QW5" s="33"/>
      </tp>
      <tp t="s">
        <v>#N/A N/A</v>
        <stp/>
        <stp>BDS|7313478455798378951</stp>
        <tr r="SQ5" s="20"/>
      </tp>
      <tp t="s">
        <v>#N/A N/A</v>
        <stp/>
        <stp>BDS|2822083537570331639</stp>
        <tr r="RM5" s="33"/>
        <tr r="OA5" s="5"/>
      </tp>
      <tp t="s">
        <v>#N/A N/A</v>
        <stp/>
        <stp>BDS|5816085977221519458</stp>
        <tr r="RM5" s="10"/>
      </tp>
      <tp t="s">
        <v>#N/A N/A</v>
        <stp/>
        <stp>BDS|8497978121636571200</stp>
        <tr r="PS5" s="9"/>
      </tp>
      <tp t="s">
        <v>#N/A N/A</v>
        <stp/>
        <stp>BDS|1745216747635408522</stp>
        <tr r="UI5" s="49"/>
      </tp>
      <tp t="s">
        <v>#N/A N/A</v>
        <stp/>
        <stp>BDS|7429058171631433638</stp>
        <tr r="OO5" s="8"/>
      </tp>
      <tp t="s">
        <v>#N/A N/A</v>
        <stp/>
        <stp>BDS|7919354051104891211</stp>
        <tr r="PS5" s="30"/>
      </tp>
      <tp t="s">
        <v>#N/A N/A</v>
        <stp/>
        <stp>BDS|5181264909884345491</stp>
        <tr r="MG5" s="34"/>
        <tr r="OO5" s="43"/>
        <tr r="NK5" s="49"/>
      </tp>
      <tp t="s">
        <v>#N/A N/A</v>
        <stp/>
        <stp>BDS|3682739956411565739</stp>
        <tr r="CM5" s="15"/>
      </tp>
      <tp t="s">
        <v>#N/A N/A</v>
        <stp/>
        <stp>BDS|7633807746809132544</stp>
        <tr r="BI5" s="30"/>
      </tp>
      <tp t="s">
        <v>#N/A N/A</v>
        <stp/>
        <stp>BDS|2802734014613866028</stp>
        <tr r="MG5" s="38"/>
        <tr r="TE5" s="40"/>
      </tp>
      <tp t="s">
        <v>#N/A N/A</v>
        <stp/>
        <stp>BDS|7897187508968870952</stp>
        <tr r="LC5" s="34"/>
      </tp>
      <tp t="s">
        <v>#N/A N/A</v>
        <stp/>
        <stp>BDS|3305983018484104875</stp>
        <tr r="HC5" s="3"/>
      </tp>
      <tp t="s">
        <v>#N/A N/A</v>
        <stp/>
        <stp>BDS|2548039301837778255</stp>
        <tr r="HQ5" s="38"/>
      </tp>
      <tp t="s">
        <v>#N/A N/A</v>
        <stp/>
        <stp>BDS|2632650023654160547</stp>
        <tr r="PS5" s="49"/>
      </tp>
      <tp t="s">
        <v>#N/A N/A</v>
        <stp/>
        <stp>BDS|9159950363855504479</stp>
        <tr r="TE5" s="10"/>
        <tr r="O5" s="16"/>
        <tr r="PS5" s="24"/>
      </tp>
      <tp t="s">
        <v>#N/A N/A</v>
        <stp/>
        <stp>BDS|2059320716869739994</stp>
        <tr r="EU5" s="27"/>
        <tr r="DQ5" s="44"/>
      </tp>
      <tp t="s">
        <v>#N/A N/A</v>
        <stp/>
        <stp>BDS|4286149039191411710</stp>
        <tr r="EE5" s="18"/>
      </tp>
      <tp t="s">
        <v>#N/A N/A</v>
        <stp/>
        <stp>BDS|2636233459780607502</stp>
        <tr r="KO5" s="11"/>
        <tr r="OA5" s="40"/>
      </tp>
      <tp t="s">
        <v>#N/A N/A</v>
        <stp/>
        <stp>BDS|2981529558934143697</stp>
        <tr r="MG5" s="37"/>
      </tp>
      <tp t="s">
        <v>#N/A N/A</v>
        <stp/>
        <stp>BDS|6222358025066808112</stp>
        <tr r="HQ5" s="49"/>
        <tr r="GM5" s="50"/>
      </tp>
      <tp t="s">
        <v>#N/A N/A</v>
        <stp/>
        <stp>BDS|8335364270665680987</stp>
        <tr r="BW5" s="40"/>
      </tp>
      <tp t="s">
        <v>#N/A N/A</v>
        <stp/>
        <stp>BDS|3126893437979407107</stp>
        <tr r="DQ5" s="45"/>
      </tp>
      <tp t="s">
        <v>#N/A N/A</v>
        <stp/>
        <stp>BDS|7956498562494176189</stp>
        <tr r="VM5" s="37"/>
      </tp>
      <tp t="s">
        <v>#N/A N/A</v>
        <stp/>
        <stp>BDS|1455747959583633041</stp>
        <tr r="LS5" s="15"/>
      </tp>
      <tp t="s">
        <v>#N/A N/A</v>
        <stp/>
        <stp>BDS|5125193675395120649</stp>
        <tr r="DQ5" s="42"/>
      </tp>
      <tp t="s">
        <v>#N/A N/A</v>
        <stp/>
        <stp>BDS|8799333539669168147</stp>
        <tr r="HC5" s="32"/>
      </tp>
      <tp t="s">
        <v>#N/A N/A</v>
        <stp/>
        <stp>BDS|8127893037284698718</stp>
        <tr r="NK5" s="1"/>
      </tp>
      <tp t="s">
        <v>#N/A N/A</v>
        <stp/>
        <stp>BDS|8124755099223696539</stp>
        <tr r="BW5" s="24"/>
      </tp>
      <tp t="s">
        <v>#N/A N/A</v>
        <stp/>
        <stp>BDS|9562494787972334719</stp>
        <tr r="UI5" s="30"/>
      </tp>
      <tp t="s">
        <v>#N/A N/A</v>
        <stp/>
        <stp>BDS|6210400220368325881</stp>
        <tr r="UY5" s="22"/>
      </tp>
      <tp t="s">
        <v>#N/A N/A</v>
        <stp/>
        <stp>BDS|4450021270233850077</stp>
        <tr r="MW5" s="26"/>
        <tr r="BI5" s="31"/>
        <tr r="IG5" s="34"/>
        <tr r="DQ5" s="46"/>
      </tp>
      <tp t="s">
        <v>#N/A N/A</v>
        <stp/>
        <stp>BDS|7260454511590771284</stp>
        <tr r="MG5" s="30"/>
      </tp>
      <tp t="s">
        <v>#N/A N/A</v>
        <stp/>
        <stp>BDS|6140284905760312414</stp>
        <tr r="MG5" s="50"/>
      </tp>
      <tp t="s">
        <v>#N/A N/A</v>
        <stp/>
        <stp>BDS|6939178151093229123</stp>
        <tr r="MW5" s="12"/>
      </tp>
      <tp t="s">
        <v>#N/A N/A</v>
        <stp/>
        <stp>BDS|1275686871503077349</stp>
        <tr r="RM5" s="17"/>
        <tr r="UY5" s="48"/>
      </tp>
      <tp t="s">
        <v>#N/A N/A</v>
        <stp/>
        <stp>BDS|5786096957152221247</stp>
        <tr r="AS5" s="3"/>
        <tr r="MG5" s="47"/>
      </tp>
      <tp t="s">
        <v>#N/A N/A</v>
        <stp/>
        <stp>BDS|6842352921354324308</stp>
        <tr r="MG5" s="13"/>
        <tr r="MG5" s="17"/>
        <tr r="FI5" s="12"/>
        <tr r="HQ5" s="14"/>
        <tr r="QW5" s="47"/>
        <tr r="FI5" s="36"/>
        <tr r="TE5" s="39"/>
        <tr r="SA5" s="44"/>
        <tr r="GM5" s="37"/>
      </tp>
      <tp t="s">
        <v>#N/A N/A</v>
        <stp/>
        <stp>BDS|5443683501457388417</stp>
        <tr r="UY5" s="3"/>
      </tp>
      <tp t="s">
        <v>#N/A N/A</v>
        <stp/>
        <stp>BDS|1399406082884945972</stp>
        <tr r="TE5" s="29"/>
      </tp>
      <tp t="s">
        <v>#N/A N/A</v>
        <stp/>
        <stp>BDS|8918838047134822092</stp>
        <tr r="TE5" s="2"/>
        <tr r="LC5" s="24"/>
      </tp>
      <tp t="s">
        <v>#N/A N/A</v>
        <stp/>
        <stp>BDS|1670386557475576203</stp>
        <tr r="A5" s="35"/>
      </tp>
      <tp t="s">
        <v>#N/A N/A</v>
        <stp/>
        <stp>BDS|8390460762288805227</stp>
        <tr r="QI5" s="45"/>
      </tp>
      <tp t="s">
        <v>#N/A N/A</v>
        <stp/>
        <stp>BDS|8252255897681487293</stp>
        <tr r="LC5" s="46"/>
      </tp>
      <tp t="s">
        <v>#N/A N/A</v>
        <stp/>
        <stp>BDS|4892444798631303858</stp>
        <tr r="O5" s="40"/>
      </tp>
      <tp t="s">
        <v>#N/A N/A</v>
        <stp/>
        <stp>BDS|8323543644911285833</stp>
        <tr r="IG5" s="23"/>
      </tp>
      <tp t="s">
        <v>#N/A N/A</v>
        <stp/>
        <stp>BDS|4019543283848275163</stp>
        <tr r="MG5" s="45"/>
      </tp>
      <tp t="s">
        <v>#N/A N/A</v>
        <stp/>
        <stp>BDS|6029652636215338631</stp>
        <tr r="QI5" s="1"/>
      </tp>
      <tp t="s">
        <v>#N/A N/A</v>
        <stp/>
        <stp>BDS|8792429225746533860</stp>
        <tr r="IU5" s="2"/>
      </tp>
      <tp t="s">
        <v>#N/A N/A</v>
        <stp/>
        <stp>BDS|3391403973685044513</stp>
        <tr r="FY5" s="38"/>
      </tp>
      <tp t="s">
        <v>#N/A N/A</v>
        <stp/>
        <stp>BDS|2712066577097748205</stp>
        <tr r="A5" s="12"/>
      </tp>
      <tp t="s">
        <v>#N/A N/A</v>
        <stp/>
        <stp>BDS|5166510472882595563</stp>
        <tr r="OO5" s="36"/>
      </tp>
      <tp t="s">
        <v>#N/A N/A</v>
        <stp/>
        <stp>BDS|9250965812953507253</stp>
        <tr r="QI5" s="20"/>
        <tr r="CM5" s="27"/>
      </tp>
      <tp t="s">
        <v>#N/A N/A</v>
        <stp/>
        <stp>BDS|8812260996366975579</stp>
        <tr r="O5" s="43"/>
        <tr r="OO5" s="48"/>
      </tp>
      <tp t="s">
        <v>#N/A N/A</v>
        <stp/>
        <stp>BDS|9877352688095650756</stp>
        <tr r="QI5" s="15"/>
      </tp>
      <tp t="s">
        <v>#N/A N/A</v>
        <stp/>
        <stp>BDS|6127441361664579075</stp>
        <tr r="UI5" s="1"/>
      </tp>
      <tp t="s">
        <v>#N/A N/A</v>
        <stp/>
        <stp>BDS|1045751058066962527</stp>
        <tr r="EE5" s="25"/>
      </tp>
      <tp t="s">
        <v>#N/A N/A</v>
        <stp/>
        <stp>BDS|2680753264771544254</stp>
        <tr r="BI5" s="50"/>
      </tp>
      <tp t="s">
        <v>#N/A N/A</v>
        <stp/>
        <stp>BDS|5190408877653517544</stp>
        <tr r="UI5" s="10"/>
      </tp>
      <tp t="s">
        <v>#N/A N/A</v>
        <stp/>
        <stp>BDS|8980448587716954271</stp>
        <tr r="SA5" s="29"/>
      </tp>
      <tp t="s">
        <v>#N/A N/A</v>
        <stp/>
        <stp>BDS|6099122162642768323</stp>
        <tr r="DQ5" s="23"/>
      </tp>
      <tp t="s">
        <v>#N/A N/A</v>
        <stp/>
        <stp>BDS|9904332082192982042</stp>
        <tr r="FY5" s="22"/>
      </tp>
      <tp t="s">
        <v>#N/A N/A</v>
        <stp/>
        <stp>BDS|6362590406421048298</stp>
        <tr r="DA5" s="5"/>
        <tr r="UI5" s="11"/>
        <tr r="MG5" s="46"/>
      </tp>
      <tp t="s">
        <v>#N/A N/A</v>
        <stp/>
        <stp>BDS|9451912363754732241</stp>
        <tr r="PE5" s="42"/>
      </tp>
      <tp t="s">
        <v>#N/A N/A</v>
        <stp/>
        <stp>BDS|2395491760668999864</stp>
        <tr r="LC5" s="35"/>
      </tp>
      <tp t="s">
        <v>#N/A N/A</v>
        <stp/>
        <stp>BDS|9944859901758407832</stp>
        <tr r="OA5" s="42"/>
      </tp>
      <tp t="s">
        <v>#N/A N/A</v>
        <stp/>
        <stp>BDS|6303925659529223204</stp>
        <tr r="RM5" s="25"/>
      </tp>
      <tp t="s">
        <v>#N/A N/A</v>
        <stp/>
        <stp>BDS|4133332626032905674</stp>
        <tr r="IG5" s="5"/>
        <tr r="QI5" s="39"/>
      </tp>
      <tp t="s">
        <v>#N/A N/A</v>
        <stp/>
        <stp>BDS|4955558573056151155</stp>
        <tr r="HC5" s="47"/>
      </tp>
      <tp t="s">
        <v>#N/A N/A</v>
        <stp/>
        <stp>BDS|8318696196564306279</stp>
        <tr r="LS5" s="28"/>
      </tp>
      <tp t="s">
        <v>#N/A N/A</v>
        <stp/>
        <stp>BDS|3856886789623971199</stp>
        <tr r="VM5" s="22"/>
      </tp>
      <tp t="s">
        <v>#N/A N/A</v>
        <stp/>
        <stp>BDS|9485660820825958928</stp>
        <tr r="IU5" s="15"/>
        <tr r="MG5" s="40"/>
      </tp>
      <tp t="s">
        <v>#N/A N/A</v>
        <stp/>
        <stp>BDS|2784122805430112282</stp>
        <tr r="EE5" s="7"/>
      </tp>
      <tp t="s">
        <v>#N/A N/A</v>
        <stp/>
        <stp>BDS|8035391687441619316</stp>
        <tr r="OO5" s="4"/>
        <tr r="DA5" s="12"/>
        <tr r="TE5" s="17"/>
      </tp>
      <tp t="s">
        <v>#N/A N/A</v>
        <stp/>
        <stp>BDS|1756922854039865504</stp>
        <tr r="AS5" s="27"/>
        <tr r="SA5" s="40"/>
      </tp>
      <tp t="s">
        <v>#N/A N/A</v>
        <stp/>
        <stp>BDS|6639335658459535868</stp>
        <tr r="TE5" s="15"/>
      </tp>
      <tp t="s">
        <v>#N/A N/A</v>
        <stp/>
        <stp>BDS|3921240065205130372</stp>
        <tr r="QI5" s="11"/>
        <tr r="TU5" s="12"/>
      </tp>
      <tp t="s">
        <v>#N/A N/A</v>
        <stp/>
        <stp>BDS|7675443123920990076</stp>
        <tr r="TE5" s="34"/>
      </tp>
      <tp t="s">
        <v>#N/A N/A</v>
        <stp/>
        <stp>BDS|7807043380977589961</stp>
        <tr r="PE5" s="28"/>
      </tp>
      <tp t="s">
        <v>#N/A N/A</v>
        <stp/>
        <stp>BDS|6857235106640267507</stp>
        <tr r="UI5" s="27"/>
      </tp>
      <tp t="s">
        <v>#N/A N/A</v>
        <stp/>
        <stp>BDS|1657287257650621702</stp>
        <tr r="DQ5" s="35"/>
      </tp>
      <tp t="s">
        <v>#N/A N/A</v>
        <stp/>
        <stp>BDS|9939236435371540869</stp>
        <tr r="HQ5" s="12"/>
      </tp>
      <tp t="s">
        <v>#N/A N/A</v>
        <stp/>
        <stp>BDS|9382737474318185088</stp>
        <tr r="KO5" s="18"/>
      </tp>
      <tp t="s">
        <v>#N/A N/A</v>
        <stp/>
        <stp>BDS|5480449995551688816</stp>
        <tr r="FI5" s="41"/>
      </tp>
      <tp t="s">
        <v>#N/A N/A</v>
        <stp/>
        <stp>BDS|9787300244736278933</stp>
        <tr r="JY5" s="31"/>
      </tp>
      <tp t="s">
        <v>#N/A N/A</v>
        <stp/>
        <stp>BDS|3206528946914528714</stp>
        <tr r="HQ5" s="29"/>
      </tp>
      <tp t="s">
        <v>#N/A N/A</v>
        <stp/>
        <stp>BDS|4617150756336769700</stp>
        <tr r="GM5" s="9"/>
      </tp>
      <tp t="s">
        <v>#N/A N/A</v>
        <stp/>
        <stp>BDS|2103354007008196813</stp>
        <tr r="BW5" s="41"/>
      </tp>
      <tp t="s">
        <v>#N/A N/A</v>
        <stp/>
        <stp>BDS|6893119300032915432</stp>
        <tr r="UY5" s="47"/>
      </tp>
      <tp t="s">
        <v>#N/A N/A</v>
        <stp/>
        <stp>BDS|6194079199576577892</stp>
        <tr r="UI5" s="8"/>
      </tp>
      <tp t="s">
        <v>#N/A N/A</v>
        <stp/>
        <stp>BDS|3875985339389186182</stp>
        <tr r="DQ5" s="4"/>
      </tp>
      <tp t="s">
        <v>#N/A N/A</v>
        <stp/>
        <stp>BDS|6085689358852583658</stp>
        <tr r="TE5" s="20"/>
      </tp>
      <tp t="s">
        <v>#N/A N/A</v>
        <stp/>
        <stp>BDS|6621841077801417917</stp>
        <tr r="FI5" s="47"/>
      </tp>
      <tp t="s">
        <v>#N/A N/A</v>
        <stp/>
        <stp>BDS|5061824357610037954</stp>
        <tr r="UY5" s="45"/>
      </tp>
      <tp t="s">
        <v>#N/A N/A</v>
        <stp/>
        <stp>BDS|5334197108214314110</stp>
        <tr r="VM5" s="14"/>
        <tr r="HQ5" s="25"/>
      </tp>
      <tp t="s">
        <v>#N/A N/A</v>
        <stp/>
        <stp>BDS|2603477081597157813</stp>
        <tr r="QW5" s="8"/>
      </tp>
      <tp t="s">
        <v>#N/A N/A</v>
        <stp/>
        <stp>BDS|4566364742175831795</stp>
        <tr r="TU5" s="35"/>
      </tp>
      <tp t="s">
        <v>#N/A N/A</v>
        <stp/>
        <stp>BDS|1305054006083489355</stp>
        <tr r="KO5" s="40"/>
      </tp>
      <tp t="s">
        <v>#N/A N/A</v>
        <stp/>
        <stp>BDS|8023493019259185507</stp>
        <tr r="UY5" s="26"/>
      </tp>
      <tp t="s">
        <v>#N/A N/A</v>
        <stp/>
        <stp>BDS|6357330925822018441</stp>
        <tr r="EU5" s="47"/>
      </tp>
      <tp t="s">
        <v>#N/A N/A</v>
        <stp/>
        <stp>BDS|4108565510332032366</stp>
        <tr r="DA5" s="28"/>
      </tp>
      <tp t="s">
        <v>#N/A N/A</v>
        <stp/>
        <stp>BDS|7262507633806909698</stp>
        <tr r="GM5" s="22"/>
      </tp>
      <tp t="s">
        <v>#N/A N/A</v>
        <stp/>
        <stp>BDS|3046487500347053193</stp>
        <tr r="DA5" s="42"/>
      </tp>
      <tp t="s">
        <v>#N/A N/A</v>
        <stp/>
        <stp>BDS|7831607177925122284</stp>
        <tr r="JY5" s="45"/>
      </tp>
      <tp t="s">
        <v>#N/A N/A</v>
        <stp/>
        <stp>BDS|5103799113701432392</stp>
        <tr r="PE5" s="20"/>
      </tp>
      <tp t="s">
        <v>#N/A N/A</v>
        <stp/>
        <stp>BDS|1288656107833281542</stp>
        <tr r="AE5" s="34"/>
      </tp>
      <tp t="s">
        <v>#N/A N/A</v>
        <stp/>
        <stp>BDS|4083263571276697673</stp>
        <tr r="SA5" s="19"/>
      </tp>
      <tp t="s">
        <v>#N/A N/A</v>
        <stp/>
        <stp>BDS|7746640357147419262</stp>
        <tr r="IG5" s="32"/>
      </tp>
      <tp t="s">
        <v>#N/A N/A</v>
        <stp/>
        <stp>BDS|6341119592827035878</stp>
        <tr r="PS5" s="23"/>
      </tp>
      <tp t="s">
        <v>#N/A N/A</v>
        <stp/>
        <stp>BDS|6456793310606252785</stp>
        <tr r="MW5" s="33"/>
      </tp>
      <tp t="s">
        <v>#N/A N/A</v>
        <stp/>
        <stp>BDS|3912763156158717896</stp>
        <tr r="AS5" s="8"/>
      </tp>
      <tp t="s">
        <v>#N/A N/A</v>
        <stp/>
        <stp>BDS|3806705173617790582</stp>
        <tr r="HQ5" s="47"/>
      </tp>
      <tp t="s">
        <v>#N/A N/A</v>
        <stp/>
        <stp>BDS|8244407064589472269</stp>
        <tr r="JY5" s="1"/>
      </tp>
      <tp t="s">
        <v>#N/A N/A</v>
        <stp/>
        <stp>BDS|4191595411254575587</stp>
        <tr r="UY5" s="16"/>
      </tp>
      <tp t="s">
        <v>#N/A N/A</v>
        <stp/>
        <stp>BDS|7766110192558848684</stp>
        <tr r="A5" s="44"/>
      </tp>
      <tp t="s">
        <v>#N/A N/A</v>
        <stp/>
        <stp>BDS|9952160690063972325</stp>
        <tr r="QW5" s="35"/>
        <tr r="NK5" s="6"/>
      </tp>
      <tp t="s">
        <v>#N/A N/A</v>
        <stp/>
        <stp>BDS|3618727551161874180</stp>
        <tr r="A5" s="31"/>
      </tp>
      <tp t="s">
        <v>#N/A N/A</v>
        <stp/>
        <stp>BDS|6080099322017801260</stp>
        <tr r="MW5" s="18"/>
      </tp>
      <tp t="s">
        <v>#N/A N/A</v>
        <stp/>
        <stp>BDS|3661731352037030720</stp>
        <tr r="AE5" s="49"/>
      </tp>
      <tp t="s">
        <v>#N/A N/A</v>
        <stp/>
        <stp>BDS|4694745245227472297</stp>
        <tr r="OA5" s="30"/>
      </tp>
      <tp t="s">
        <v>#N/A N/A</v>
        <stp/>
        <stp>BDS|1839547106485557356</stp>
        <tr r="IU5" s="3"/>
        <tr r="O5" s="10"/>
        <tr r="PS5" s="25"/>
      </tp>
      <tp t="s">
        <v>#N/A N/A</v>
        <stp/>
        <stp>BDS|2287892240495666963</stp>
        <tr r="EU5" s="45"/>
      </tp>
      <tp t="s">
        <v>#N/A N/A</v>
        <stp/>
        <stp>BDS|9044066019163083944</stp>
        <tr r="SQ5" s="26"/>
        <tr r="OA5" s="46"/>
      </tp>
      <tp t="s">
        <v>#N/A N/A</v>
        <stp/>
        <stp>BDS|6987402430416222508</stp>
        <tr r="CM5" s="41"/>
      </tp>
      <tp t="s">
        <v>#N/A N/A</v>
        <stp/>
        <stp>BDS|6654142049959235813</stp>
        <tr r="QI5" s="4"/>
      </tp>
      <tp t="s">
        <v>#N/A N/A</v>
        <stp/>
        <stp>BDS|1844655818395455195</stp>
        <tr r="PE5" s="12"/>
      </tp>
      <tp t="s">
        <v>#N/A N/A</v>
        <stp/>
        <stp>BDS|4604546887078854352</stp>
        <tr r="AS5" s="45"/>
      </tp>
      <tp t="s">
        <v>#N/A N/A</v>
        <stp/>
        <stp>BDS|3756357014184936764</stp>
        <tr r="FY5" s="10"/>
      </tp>
      <tp t="s">
        <v>#N/A N/A</v>
        <stp/>
        <stp>BDS|1950466765085355402</stp>
        <tr r="TE5" s="21"/>
        <tr r="AS5" s="22"/>
        <tr r="VM5" s="4"/>
        <tr r="LC5" s="32"/>
      </tp>
      <tp t="s">
        <v>#N/A N/A</v>
        <stp/>
        <stp>BDS|7886279743127708425</stp>
        <tr r="UI5" s="26"/>
      </tp>
      <tp t="s">
        <v>#N/A N/A</v>
        <stp/>
        <stp>BDS|2941499005495342185</stp>
        <tr r="LC5" s="23"/>
      </tp>
      <tp t="s">
        <v>#N/A N/A</v>
        <stp/>
        <stp>BDS|3233758214035436295</stp>
        <tr r="DQ5" s="17"/>
        <tr r="EU5" s="22"/>
      </tp>
      <tp t="s">
        <v>#N/A N/A</v>
        <stp/>
        <stp>BDS|2203898474918153703</stp>
        <tr r="DQ5" s="1"/>
      </tp>
      <tp t="s">
        <v>#N/A N/A</v>
        <stp/>
        <stp>BDS|3552918314631657894</stp>
        <tr r="O5" s="34"/>
      </tp>
      <tp t="s">
        <v>#N/A N/A</v>
        <stp/>
        <stp>BDS|1746343796801227882</stp>
        <tr r="FI5" s="32"/>
      </tp>
      <tp t="s">
        <v>#N/A N/A</v>
        <stp/>
        <stp>BDS|3398337620525699590</stp>
        <tr r="GM5" s="40"/>
      </tp>
      <tp t="s">
        <v>#N/A N/A</v>
        <stp/>
        <stp>BDS|1967776246238471830</stp>
        <tr r="TU5" s="31"/>
      </tp>
      <tp t="s">
        <v>#N/A N/A</v>
        <stp/>
        <stp>BDS|5597149008052102441</stp>
        <tr r="DQ5" s="14"/>
      </tp>
      <tp t="s">
        <v>#N/A N/A</v>
        <stp/>
        <stp>BDS|8768085043287736976</stp>
        <tr r="RM5" s="19"/>
      </tp>
      <tp t="s">
        <v>#N/A N/A</v>
        <stp/>
        <stp>BDS|6337372643392924124</stp>
        <tr r="UI5" s="28"/>
        <tr r="FI5" s="50"/>
      </tp>
      <tp t="s">
        <v>#N/A N/A</v>
        <stp/>
        <stp>BDS|7083739979702240747</stp>
        <tr r="AS5" s="49"/>
      </tp>
      <tp t="s">
        <v>#N/A N/A</v>
        <stp/>
        <stp>BDS|2698133714539459986</stp>
        <tr r="PE5" s="50"/>
      </tp>
      <tp t="s">
        <v>#N/A N/A</v>
        <stp/>
        <stp>BDS|6306126361526543583</stp>
        <tr r="EE5" s="17"/>
        <tr r="FI5" s="22"/>
      </tp>
      <tp t="s">
        <v>#N/A N/A</v>
        <stp/>
        <stp>BDS|4151217149261175153</stp>
        <tr r="FI5" s="15"/>
      </tp>
      <tp t="s">
        <v>#N/A N/A</v>
        <stp/>
        <stp>BDS|4781652913025795449</stp>
        <tr r="TU5" s="8"/>
      </tp>
      <tp t="s">
        <v>#N/A N/A</v>
        <stp/>
        <stp>BDS|3843454819325686104</stp>
        <tr r="FY5" s="7"/>
      </tp>
      <tp t="s">
        <v>#N/A N/A</v>
        <stp/>
        <stp>BDS|5168124978516939708</stp>
        <tr r="IU5" s="19"/>
      </tp>
      <tp t="s">
        <v>#N/A N/A</v>
        <stp/>
        <stp>BDS|9130545841498485228</stp>
        <tr r="AE5" s="11"/>
      </tp>
      <tp t="s">
        <v>#N/A N/A</v>
        <stp/>
        <stp>BDS|7737578204636497627</stp>
        <tr r="IG5" s="33"/>
        <tr r="PE5" s="41"/>
      </tp>
      <tp t="s">
        <v>#N/A N/A</v>
        <stp/>
        <stp>BDS|6681043130126655175</stp>
        <tr r="LC5" s="41"/>
      </tp>
      <tp t="s">
        <v>#N/A N/A</v>
        <stp/>
        <stp>BDS|3608965301191148939</stp>
        <tr r="PE5" s="27"/>
        <tr r="TU5" s="36"/>
      </tp>
      <tp t="s">
        <v>#N/A N/A</v>
        <stp/>
        <stp>BDS|9641510947389572361</stp>
        <tr r="FY5" s="9"/>
      </tp>
      <tp t="s">
        <v>#N/A N/A</v>
        <stp/>
        <stp>BDS|2969185501904049501</stp>
        <tr r="EE5" s="38"/>
        <tr r="JY5" s="38"/>
      </tp>
      <tp t="s">
        <v>#N/A N/A</v>
        <stp/>
        <stp>BDS|5324665209012416387</stp>
        <tr r="DQ5" s="15"/>
      </tp>
      <tp t="s">
        <v>#N/A N/A</v>
        <stp/>
        <stp>BDS|8521526942609571203</stp>
        <tr r="FY5" s="28"/>
      </tp>
      <tp t="s">
        <v>#N/A N/A</v>
        <stp/>
        <stp>BDS|4371313407282098741</stp>
        <tr r="GM5" s="18"/>
        <tr r="QW5" s="32"/>
        <tr r="QW5" s="42"/>
      </tp>
      <tp t="s">
        <v>#N/A N/A</v>
        <stp/>
        <stp>BDS|1819199573676272316</stp>
        <tr r="MW5" s="5"/>
        <tr r="KO5" s="17"/>
      </tp>
      <tp t="s">
        <v>#N/A N/A</v>
        <stp/>
        <stp>BDS|9841813309580242330</stp>
        <tr r="PE5" s="46"/>
      </tp>
      <tp t="s">
        <v>#N/A N/A</v>
        <stp/>
        <stp>BDS|4038768839731932306</stp>
        <tr r="OO5" s="15"/>
      </tp>
      <tp t="s">
        <v>#N/A N/A</v>
        <stp/>
        <stp>BDS|5363253467695681615</stp>
        <tr r="A5" s="32"/>
      </tp>
      <tp t="s">
        <v>#N/A N/A</v>
        <stp/>
        <stp>BDS|6565980389087638247</stp>
        <tr r="QI5" s="14"/>
      </tp>
      <tp t="s">
        <v>#N/A N/A</v>
        <stp/>
        <stp>BDS|3662632719454277284</stp>
        <tr r="OA5" s="39"/>
      </tp>
      <tp t="s">
        <v>#N/A N/A</v>
        <stp/>
        <stp>BDS|9927493772170527817</stp>
        <tr r="A5" s="1"/>
        <tr r="EU5" s="39"/>
      </tp>
      <tp t="s">
        <v>#N/A N/A</v>
        <stp/>
        <stp>BDS|7312466782239172019</stp>
        <tr r="DA5" s="16"/>
      </tp>
      <tp t="s">
        <v>#N/A N/A</v>
        <stp/>
        <stp>BDS|7237216574000496044</stp>
        <tr r="GM5" s="14"/>
      </tp>
      <tp t="s">
        <v>#N/A N/A</v>
        <stp/>
        <stp>BDS|2588013952666658370</stp>
        <tr r="UI5" s="43"/>
        <tr r="IU5" s="16"/>
      </tp>
      <tp t="s">
        <v>#N/A N/A</v>
        <stp/>
        <stp>BDS|8343649682582692643</stp>
        <tr r="OA5" s="9"/>
      </tp>
      <tp t="s">
        <v>#N/A N/A</v>
        <stp/>
        <stp>BDS|9803973105056403490</stp>
        <tr r="DA5" s="36"/>
      </tp>
      <tp t="s">
        <v>#N/A N/A</v>
        <stp/>
        <stp>BDS|1328554992196060932</stp>
        <tr r="QI5" s="5"/>
      </tp>
      <tp t="s">
        <v>#N/A N/A</v>
        <stp/>
        <stp>BDS|7165086477837987504</stp>
        <tr r="BI5" s="9"/>
      </tp>
      <tp t="s">
        <v>#N/A N/A</v>
        <stp/>
        <stp>BDS|2740300378743962727</stp>
        <tr r="BI5" s="20"/>
      </tp>
      <tp t="s">
        <v>#N/A N/A</v>
        <stp/>
        <stp>BDS|5464623402758317933</stp>
        <tr r="IU5" s="17"/>
      </tp>
      <tp t="s">
        <v>#N/A N/A</v>
        <stp/>
        <stp>BDS|6416239877237689627</stp>
        <tr r="UI5" s="31"/>
      </tp>
      <tp t="s">
        <v>#N/A N/A</v>
        <stp/>
        <stp>BDS|4016344531810518649</stp>
        <tr r="O5" s="33"/>
      </tp>
      <tp t="s">
        <v>#N/A N/A</v>
        <stp/>
        <stp>BDS|4851738626527861402</stp>
        <tr r="RM5" s="2"/>
      </tp>
      <tp t="s">
        <v>#N/A N/A</v>
        <stp/>
        <stp>BDS|4110457961697700376</stp>
        <tr r="HQ5" s="3"/>
      </tp>
      <tp t="s">
        <v>#N/A N/A</v>
        <stp/>
        <stp>BDS|9987926498153870912</stp>
        <tr r="O5" s="9"/>
      </tp>
      <tp t="s">
        <v>#N/A N/A</v>
        <stp/>
        <stp>BDS|4656441409174383724</stp>
        <tr r="EE5" s="27"/>
      </tp>
      <tp t="s">
        <v>#N/A N/A</v>
        <stp/>
        <stp>BDS|2029041364387299097</stp>
        <tr r="BW5" s="4"/>
      </tp>
      <tp t="s">
        <v>#N/A N/A</v>
        <stp/>
        <stp>BDS|5095736630824856605</stp>
        <tr r="TE5" s="32"/>
      </tp>
      <tp t="s">
        <v>#N/A N/A</v>
        <stp/>
        <stp>BDS|8729146219722104938</stp>
        <tr r="UY5" s="5"/>
      </tp>
      <tp t="s">
        <v>#N/A N/A</v>
        <stp/>
        <stp>BDS|9716981367031380437</stp>
        <tr r="UI5" s="25"/>
      </tp>
      <tp t="s">
        <v>#N/A N/A</v>
        <stp/>
        <stp>BDS|6996603565440232569</stp>
        <tr r="O5" s="6"/>
      </tp>
      <tp t="s">
        <v>#N/A N/A</v>
        <stp/>
        <stp>BDS|9249483911906604945</stp>
        <tr r="AE5" s="35"/>
      </tp>
      <tp t="s">
        <v>#N/A N/A</v>
        <stp/>
        <stp>BDS|5879061700847713107</stp>
        <tr r="DQ5" s="3"/>
      </tp>
      <tp t="s">
        <v>#N/A N/A</v>
        <stp/>
        <stp>BDS|4157980657669505225</stp>
        <tr r="TE5" s="22"/>
      </tp>
      <tp t="s">
        <v>#N/A N/A</v>
        <stp/>
        <stp>BDS|5434017196497264880</stp>
        <tr r="JK5" s="23"/>
        <tr r="FY5" s="20"/>
      </tp>
      <tp t="s">
        <v>#N/A N/A</v>
        <stp/>
        <stp>BDS|7743114119650459427</stp>
        <tr r="AS5" s="16"/>
      </tp>
      <tp t="s">
        <v>#N/A N/A</v>
        <stp/>
        <stp>BDS|7005874035399458689</stp>
        <tr r="OA5" s="10"/>
      </tp>
      <tp t="s">
        <v>#N/A N/A</v>
        <stp/>
        <stp>BDS|8340924967486988211</stp>
        <tr r="OO5" s="13"/>
      </tp>
      <tp t="s">
        <v>#N/A N/A</v>
        <stp/>
        <stp>BDS|6901375208226919013</stp>
        <tr r="RM5" s="24"/>
      </tp>
      <tp t="s">
        <v>#N/A N/A</v>
        <stp/>
        <stp>BDS|3299550918044279026</stp>
        <tr r="DA5" s="11"/>
      </tp>
      <tp t="s">
        <v>#N/A N/A</v>
        <stp/>
        <stp>BDS|4119451929286522773</stp>
        <tr r="VM5" s="34"/>
      </tp>
      <tp t="s">
        <v>#N/A N/A</v>
        <stp/>
        <stp>BDS|5811588057897169197</stp>
        <tr r="MW5" s="48"/>
      </tp>
      <tp t="s">
        <v>#N/A N/A</v>
        <stp/>
        <stp>BDS|5630617037120579398</stp>
        <tr r="A5" s="22"/>
      </tp>
      <tp t="s">
        <v>#N/A N/A</v>
        <stp/>
        <stp>BDS|1397291247130330427</stp>
        <tr r="JY5" s="29"/>
      </tp>
      <tp t="s">
        <v>#N/A N/A</v>
        <stp/>
        <stp>BDS|1272066638233298229</stp>
        <tr r="IU5" s="11"/>
      </tp>
      <tp t="s">
        <v>#N/A N/A</v>
        <stp/>
        <stp>BDS|9642721129439739663</stp>
        <tr r="OO5" s="30"/>
      </tp>
      <tp t="s">
        <v>#N/A N/A</v>
        <stp/>
        <stp>BDS|5398666759981616463</stp>
        <tr r="OA5" s="14"/>
      </tp>
      <tp t="s">
        <v>#N/A N/A</v>
        <stp/>
        <stp>BDS|2599141534071014283</stp>
        <tr r="JY5" s="30"/>
      </tp>
      <tp t="s">
        <v>#N/A N/A</v>
        <stp/>
        <stp>BDS|2316020262245794294</stp>
        <tr r="KO5" s="34"/>
      </tp>
      <tp t="s">
        <v>#N/A N/A</v>
        <stp/>
        <stp>BDS|4663230457952160212</stp>
        <tr r="DQ5" s="47"/>
        <tr r="HC5" s="48"/>
      </tp>
      <tp t="s">
        <v>#N/A N/A</v>
        <stp/>
        <stp>BDS|9828928228384239521</stp>
        <tr r="EU5" s="13"/>
      </tp>
      <tp t="s">
        <v>#N/A N/A</v>
        <stp/>
        <stp>BDS|5428784275180242695</stp>
        <tr r="A5" s="30"/>
      </tp>
      <tp t="s">
        <v>#N/A N/A</v>
        <stp/>
        <stp>BDS|5800143837343972703</stp>
        <tr r="TU5" s="1"/>
      </tp>
      <tp t="s">
        <v>#N/A N/A</v>
        <stp/>
        <stp>BDS|8237668722497367860</stp>
        <tr r="JY5" s="3"/>
      </tp>
      <tp t="s">
        <v>#N/A N/A</v>
        <stp/>
        <stp>BDS|8625915504461711349</stp>
        <tr r="OA5" s="6"/>
      </tp>
      <tp t="s">
        <v>#N/A N/A</v>
        <stp/>
        <stp>BDS|2814817799285387537</stp>
        <tr r="LS5" s="36"/>
      </tp>
      <tp t="s">
        <v>#N/A N/A</v>
        <stp/>
        <stp>BDS|3449254106142409038</stp>
        <tr r="BI5" s="39"/>
      </tp>
      <tp t="s">
        <v>#N/A N/A</v>
        <stp/>
        <stp>BDS|9739492869150789805</stp>
        <tr r="PS5" s="22"/>
      </tp>
      <tp t="s">
        <v>#N/A N/A</v>
        <stp/>
        <stp>BDS|7078987799571016516</stp>
        <tr r="CM5" s="35"/>
      </tp>
      <tp t="s">
        <v>#N/A N/A</v>
        <stp/>
        <stp>BDS|9272205034098453327</stp>
        <tr r="JK5" s="14"/>
        <tr r="TU5" s="50"/>
      </tp>
      <tp t="s">
        <v>#N/A N/A</v>
        <stp/>
        <stp>BDS|7636457423172177013</stp>
        <tr r="DQ5" s="41"/>
      </tp>
      <tp t="s">
        <v>#N/A N/A</v>
        <stp/>
        <stp>BDS|3533083998019656031</stp>
        <tr r="PE5" s="49"/>
      </tp>
      <tp t="s">
        <v>#N/A N/A</v>
        <stp/>
        <stp>BDS|9655834950771253668</stp>
        <tr r="LC5" s="13"/>
        <tr r="PS5" s="29"/>
      </tp>
      <tp t="s">
        <v>#N/A N/A</v>
        <stp/>
        <stp>BDS|1000005502826426471</stp>
        <tr r="DQ5" s="24"/>
      </tp>
      <tp t="s">
        <v>#N/A N/A</v>
        <stp/>
        <stp>BDS|3280518173814415624</stp>
        <tr r="AS5" s="47"/>
      </tp>
      <tp t="s">
        <v>#N/A N/A</v>
        <stp/>
        <stp>BDS|3929906167956938913</stp>
        <tr r="LC5" s="10"/>
      </tp>
      <tp t="s">
        <v>#N/A N/A</v>
        <stp/>
        <stp>BDS|1521062531577777633</stp>
        <tr r="DA5" s="41"/>
      </tp>
      <tp t="s">
        <v>#N/A N/A</v>
        <stp/>
        <stp>BDS|3671356066050257513</stp>
        <tr r="BW5" s="14"/>
      </tp>
      <tp t="s">
        <v>#N/A N/A</v>
        <stp/>
        <stp>BDS|6248129704111058533</stp>
        <tr r="OO5" s="28"/>
      </tp>
      <tp t="s">
        <v>#N/A N/A</v>
        <stp/>
        <stp>BDS|1378198946901244699</stp>
        <tr r="LC5" s="21"/>
      </tp>
      <tp t="s">
        <v>#N/A N/A</v>
        <stp/>
        <stp>BDS|9768404282002055428</stp>
        <tr r="EE5" s="2"/>
      </tp>
      <tp t="s">
        <v>#N/A N/A</v>
        <stp/>
        <stp>BDS|6630132927780425619</stp>
        <tr r="BI5" s="44"/>
      </tp>
      <tp t="s">
        <v>#N/A N/A</v>
        <stp/>
        <stp>BDS|2387531964170846287</stp>
        <tr r="FI5" s="39"/>
        <tr r="O5" s="1"/>
      </tp>
      <tp t="s">
        <v>#N/A N/A</v>
        <stp/>
        <stp>BDS|9998366280363904222</stp>
        <tr r="QW5" s="24"/>
      </tp>
      <tp t="s">
        <v>#N/A N/A</v>
        <stp/>
        <stp>BDS|9890332399193309357</stp>
        <tr r="BI5" s="18"/>
      </tp>
      <tp t="s">
        <v>#N/A N/A</v>
        <stp/>
        <stp>BDS|9531111190161013300</stp>
        <tr r="BW5" s="19"/>
        <tr r="IU5" s="29"/>
        <tr r="TE5" s="42"/>
      </tp>
      <tp t="s">
        <v>#N/A N/A</v>
        <stp/>
        <stp>BDS|3004320117417929580</stp>
        <tr r="SQ5" s="7"/>
      </tp>
      <tp t="s">
        <v>#N/A N/A</v>
        <stp/>
        <stp>BDS|2316573464591183359</stp>
        <tr r="SQ5" s="16"/>
        <tr r="AE5" s="21"/>
      </tp>
      <tp t="s">
        <v>#N/A N/A</v>
        <stp/>
        <stp>BDS|8075977233489446846</stp>
        <tr r="IG5" s="7"/>
      </tp>
      <tp t="s">
        <v>#N/A N/A</v>
        <stp/>
        <stp>BDS|4485741194831152813</stp>
        <tr r="NK5" s="37"/>
      </tp>
      <tp t="s">
        <v>#N/A N/A</v>
        <stp/>
        <stp>BDS|1661254747140793461</stp>
        <tr r="A5" s="39"/>
      </tp>
      <tp t="s">
        <v>#N/A N/A</v>
        <stp/>
        <stp>BDS|3078635961719786901</stp>
        <tr r="CM5" s="49"/>
      </tp>
      <tp t="s">
        <v>#N/A N/A</v>
        <stp/>
        <stp>BDS|1221899161044875870</stp>
        <tr r="LS5" s="50"/>
      </tp>
      <tp t="s">
        <v>#N/A N/A</v>
        <stp/>
        <stp>BDS|1992246182989312195</stp>
        <tr r="DQ5" s="18"/>
      </tp>
      <tp t="s">
        <v>#N/A N/A</v>
        <stp/>
        <stp>BDS|6656214215112416431</stp>
        <tr r="DA5" s="43"/>
      </tp>
      <tp t="s">
        <v>#N/A N/A</v>
        <stp/>
        <stp>BDS|35968584148749072</stp>
        <tr r="BI5" s="49"/>
      </tp>
      <tp t="s">
        <v>#N/A N/A</v>
        <stp/>
        <stp>BDS|43845533871622688</stp>
        <tr r="MW5" s="2"/>
      </tp>
      <tp t="s">
        <v>#N/A N/A</v>
        <stp/>
        <stp>BDS|10892893251194773</stp>
        <tr r="OO5" s="39"/>
      </tp>
      <tp t="s">
        <v>#N/A N/A</v>
        <stp/>
        <stp>BDS|25485854102006646</stp>
        <tr r="OO5" s="7"/>
      </tp>
      <tp t="s">
        <v>#N/A N/A</v>
        <stp/>
        <stp>BDS|82996115029326469</stp>
        <tr r="LS5" s="18"/>
      </tp>
      <tp t="s">
        <v>#N/A N/A</v>
        <stp/>
        <stp>BDS|381873486052970764</stp>
        <tr r="CM5" s="19"/>
      </tp>
      <tp t="s">
        <v>#N/A N/A</v>
        <stp/>
        <stp>BDS|673232771159350920</stp>
        <tr r="BW5" s="48"/>
      </tp>
      <tp t="s">
        <v>#N/A N/A</v>
        <stp/>
        <stp>BDS|284072175285204749</stp>
        <tr r="IU5" s="23"/>
      </tp>
      <tp t="s">
        <v>#N/A N/A</v>
        <stp/>
        <stp>BDS|439677073203625710</stp>
        <tr r="JY5" s="14"/>
        <tr r="UI5" s="50"/>
      </tp>
      <tp t="s">
        <v>#N/A N/A</v>
        <stp/>
        <stp>BDS|215377069758277907</stp>
        <tr r="DQ5" s="49"/>
      </tp>
      <tp t="s">
        <v>#N/A N/A</v>
        <stp/>
        <stp>BDS|952297459495271628</stp>
        <tr r="CM5" s="47"/>
        <tr r="EU5" s="21"/>
      </tp>
      <tp t="s">
        <v>#N/A N/A</v>
        <stp/>
        <stp>BDS|784364878648008839</stp>
        <tr r="JY5" s="8"/>
        <tr r="JY5" s="46"/>
      </tp>
      <tp t="s">
        <v>#N/A N/A</v>
        <stp/>
        <stp>BDS|734540564752642556</stp>
        <tr r="HC5" s="42"/>
      </tp>
      <tp t="s">
        <v>#N/A N/A</v>
        <stp/>
        <stp>BDS|779443746845727152</stp>
        <tr r="BI5" s="36"/>
      </tp>
      <tp t="s">
        <v>#N/A N/A</v>
        <stp/>
        <stp>BDS|266384899108669676</stp>
        <tr r="EE5" s="34"/>
      </tp>
      <tp t="s">
        <v>#N/A N/A</v>
        <stp/>
        <stp>BDS|413377140355378623</stp>
        <tr r="QI5" s="21"/>
      </tp>
      <tp t="s">
        <v>#N/A N/A</v>
        <stp/>
        <stp>BDS|168888493584281243</stp>
        <tr r="DA5" s="15"/>
      </tp>
      <tp t="s">
        <v>#N/A N/A</v>
        <stp/>
        <stp>BDS|666131494127513882</stp>
        <tr r="OO5" s="35"/>
      </tp>
      <tp t="s">
        <v>#N/A N/A</v>
        <stp/>
        <stp>BDS|284032350235196796</stp>
        <tr r="OA5" s="22"/>
      </tp>
      <tp t="s">
        <v>#N/A N/A</v>
        <stp/>
        <stp>BDS|550971497364099313</stp>
        <tr r="VM5" s="45"/>
      </tp>
      <tp t="s">
        <v>#N/A N/A</v>
        <stp/>
        <stp>BDS|870454928236715766</stp>
        <tr r="PE5" s="44"/>
      </tp>
      <tp t="s">
        <v>#N/A N/A</v>
        <stp/>
        <stp>BDS|113569311632689177</stp>
        <tr r="BW5" s="33"/>
      </tp>
      <tp t="s">
        <v>#N/A N/A</v>
        <stp/>
        <stp>BDS|554365824076806108</stp>
        <tr r="BI5" s="32"/>
      </tp>
      <tp t="s">
        <v>#N/A N/A</v>
        <stp/>
        <stp>BDS|112740958165349112</stp>
        <tr r="MW5" s="23"/>
      </tp>
      <tp t="s">
        <v>#N/A N/A</v>
        <stp/>
        <stp>BDS|745950484964138332</stp>
        <tr r="MW5" s="16"/>
      </tp>
      <tp t="s">
        <v>#N/A N/A</v>
        <stp/>
        <stp>BDS|442640681081696912</stp>
        <tr r="SQ5" s="36"/>
      </tp>
      <tp t="s">
        <v>#N/A N/A</v>
        <stp/>
        <stp>BDS|785162972279423947</stp>
        <tr r="QI5" s="29"/>
      </tp>
      <tp t="s">
        <v>#N/A N/A</v>
        <stp/>
        <stp>BDS|271208465381851416</stp>
        <tr r="OA5" s="2"/>
      </tp>
      <tp t="s">
        <v>#N/A N/A</v>
        <stp/>
        <stp>BDS|860250314230200257</stp>
        <tr r="AE5" s="30"/>
      </tp>
      <tp t="s">
        <v>#N/A N/A</v>
        <stp/>
        <stp>BDS|860704291958987781</stp>
        <tr r="HQ5" s="13"/>
        <tr r="MG5" s="23"/>
        <tr r="LC5" s="27"/>
        <tr r="SA5" s="14"/>
      </tp>
      <tp t="s">
        <v>#N/A N/A</v>
        <stp/>
        <stp>BDS|863669171388304852</stp>
        <tr r="BI5" s="41"/>
      </tp>
      <tp t="s">
        <v>#N/A N/A</v>
        <stp/>
        <stp>BDS|981145255886016329</stp>
        <tr r="O5" s="30"/>
      </tp>
      <tp t="s">
        <v>#N/A N/A</v>
        <stp/>
        <stp>BDS|257256086633272896</stp>
        <tr r="UI5" s="38"/>
      </tp>
      <tp t="s">
        <v>#N/A N/A</v>
        <stp/>
        <stp>BDS|390421760057562458</stp>
        <tr r="FI5" s="26"/>
      </tp>
      <tp t="s">
        <v>#N/A N/A</v>
        <stp/>
        <stp>BDS|336021202478921998</stp>
        <tr r="GM5" s="7"/>
      </tp>
      <tp t="s">
        <v>#N/A N/A</v>
        <stp/>
        <stp>BDS|948264787579003372</stp>
        <tr r="IU5" s="1"/>
      </tp>
      <tp t="s">
        <v>#N/A N/A</v>
        <stp/>
        <stp>BDS|416513661066944554</stp>
        <tr r="AS5" s="28"/>
        <tr r="JY5" s="11"/>
      </tp>
      <tp t="s">
        <v>#N/A N/A</v>
        <stp/>
        <stp>BDS|830872964496811897</stp>
        <tr r="OO5" s="24"/>
      </tp>
      <tp t="s">
        <v>#N/A N/A</v>
        <stp/>
        <stp>BDS|573475161260577224</stp>
        <tr r="IG5" s="44"/>
      </tp>
      <tp t="s">
        <v>#N/A N/A</v>
        <stp/>
        <stp>BDS|896085664172125432</stp>
        <tr r="CM5" s="28"/>
      </tp>
      <tp t="s">
        <v>#N/A N/A</v>
        <stp/>
        <stp>BDS|549326027044301554</stp>
        <tr r="VM5" s="47"/>
      </tp>
      <tp t="s">
        <v>#N/A N/A</v>
        <stp/>
        <stp>BDS|320091264086952007</stp>
        <tr r="SQ5" s="31"/>
      </tp>
      <tp t="s">
        <v>#N/A N/A</v>
        <stp/>
        <stp>BDS|867259551432651671</stp>
        <tr r="UY5" s="40"/>
      </tp>
      <tp t="s">
        <v>#N/A N/A</v>
        <stp/>
        <stp>BDS|250590775959709840</stp>
        <tr r="PE5" s="23"/>
      </tp>
      <tp t="s">
        <v>#N/A N/A</v>
        <stp/>
        <stp>BDS|797072149366424155</stp>
        <tr r="SQ5" s="22"/>
      </tp>
      <tp t="s">
        <v>#N/A N/A</v>
        <stp/>
        <stp>BDS|947351906038201818</stp>
        <tr r="FI5" s="10"/>
      </tp>
      <tp t="s">
        <v>#N/A N/A</v>
        <stp/>
        <stp>BDS|969156820584035475</stp>
        <tr r="SA5" s="37"/>
      </tp>
      <tp t="s">
        <v>#N/A N/A</v>
        <stp/>
        <stp>BDS|203256116676591612</stp>
        <tr r="HC5" s="37"/>
      </tp>
      <tp t="s">
        <v>#N/A N/A</v>
        <stp/>
        <stp>BDS|734558962134637407</stp>
        <tr r="EE5" s="43"/>
      </tp>
      <tp t="s">
        <v>#N/A N/A</v>
        <stp/>
        <stp>BDS|914035423571786089</stp>
        <tr r="UI5" s="37"/>
      </tp>
      <tp t="s">
        <v>#N/A N/A</v>
        <stp/>
        <stp>BDS|825049281069965245</stp>
        <tr r="SA5" s="10"/>
      </tp>
      <tp t="s">
        <v>#N/A N/A</v>
        <stp/>
        <stp>BDS|446752144747285760</stp>
        <tr r="JK5" s="41"/>
      </tp>
      <tp t="s">
        <v>#N/A N/A</v>
        <stp/>
        <stp>BDS|761917053896138963</stp>
        <tr r="MG5" s="41"/>
      </tp>
      <tp t="s">
        <v>#N/A N/A</v>
        <stp/>
        <stp>BDS|563709089889838566</stp>
        <tr r="VM5" s="10"/>
      </tp>
      <tp t="s">
        <v>#N/A N/A</v>
        <stp/>
        <stp>BDS|798475722264814026</stp>
        <tr r="HC5" s="36"/>
      </tp>
      <tp t="s">
        <v>#N/A N/A</v>
        <stp/>
        <stp>BDS|209737579227668574</stp>
        <tr r="IG5" s="24"/>
      </tp>
      <tp t="s">
        <v>#N/A N/A</v>
        <stp/>
        <stp>BDS|788565483216066991</stp>
        <tr r="BW5" s="42"/>
      </tp>
      <tp t="s">
        <v>#N/A N/A</v>
        <stp/>
        <stp>BDS|384116098486451322</stp>
        <tr r="MG5" s="44"/>
      </tp>
      <tp t="s">
        <v>#N/A N/A</v>
        <stp/>
        <stp>BDS|971962487518111473</stp>
        <tr r="SA5" s="41"/>
      </tp>
      <tp t="s">
        <v>#N/A N/A</v>
        <stp/>
        <stp>BDS|692463380533078290</stp>
        <tr r="PE5" s="6"/>
      </tp>
      <tp t="s">
        <v>#N/A N/A</v>
        <stp/>
        <stp>BDS|434448117881438996</stp>
        <tr r="IG5" s="39"/>
      </tp>
      <tp t="s">
        <v>#N/A N/A</v>
        <stp/>
        <stp>BDS|285461797480060059</stp>
        <tr r="DA5" s="8"/>
      </tp>
      <tp t="s">
        <v>#N/A N/A</v>
        <stp/>
        <stp>BDS|918100938697765812</stp>
        <tr r="HQ5" s="7"/>
      </tp>
      <tp t="s">
        <v>#N/A N/A</v>
        <stp/>
        <stp>BDS|555685522469751119</stp>
        <tr r="IU5" s="48"/>
      </tp>
      <tp t="s">
        <v>#N/A N/A</v>
        <stp/>
        <stp>BDS|138758790062472091</stp>
        <tr r="IU5" s="39"/>
      </tp>
      <tp t="s">
        <v>#N/A N/A</v>
        <stp/>
        <stp>BDS|400591247628241535</stp>
        <tr r="BI5" s="43"/>
      </tp>
      <tp t="s">
        <v>#N/A N/A</v>
        <stp/>
        <stp>BDS|335954103872657728</stp>
        <tr r="CM5" s="44"/>
      </tp>
      <tp t="s">
        <v>#N/A N/A</v>
        <stp/>
        <stp>BDS|511591173829853768</stp>
        <tr r="JY5" s="4"/>
      </tp>
      <tp t="s">
        <v>#N/A N/A</v>
        <stp/>
        <stp>BDS|973595389558237995</stp>
        <tr r="NK5" s="40"/>
      </tp>
      <tp t="s">
        <v>#N/A N/A</v>
        <stp/>
        <stp>BDS|161591104402271895</stp>
        <tr r="RM5" s="12"/>
      </tp>
      <tp t="s">
        <v>#N/A N/A</v>
        <stp/>
        <stp>BDS|821439097281991359</stp>
        <tr r="NK5" s="15"/>
      </tp>
      <tp t="s">
        <v>#N/A N/A</v>
        <stp/>
        <stp>BDS|118155498074724272</stp>
        <tr r="HC5" s="11"/>
      </tp>
      <tp t="s">
        <v>#N/A N/A</v>
        <stp/>
        <stp>BDS|868971427605343067</stp>
        <tr r="IG5" s="6"/>
        <tr r="LS5" s="27"/>
      </tp>
      <tp t="s">
        <v>#N/A N/A</v>
        <stp/>
        <stp>BDS|968935808757245062</stp>
        <tr r="PS5" s="19"/>
      </tp>
      <tp t="s">
        <v>#N/A N/A</v>
        <stp/>
        <stp>BDS|623398530668029683</stp>
        <tr r="OA5" s="8"/>
      </tp>
      <tp t="s">
        <v>#N/A N/A</v>
        <stp/>
        <stp>BDS|554239098825894747</stp>
        <tr r="MW5" s="42"/>
      </tp>
      <tp t="s">
        <v>#N/A N/A</v>
        <stp/>
        <stp>BDS|446486555930400902</stp>
        <tr r="JK5" s="37"/>
      </tp>
      <tp t="s">
        <v>#N/A N/A</v>
        <stp/>
        <stp>BDS|165397095781726352</stp>
        <tr r="HQ5" s="37"/>
      </tp>
      <tp t="s">
        <v>#N/A N/A</v>
        <stp/>
        <stp>BDS|990554247800870978</stp>
        <tr r="AS5" s="20"/>
      </tp>
      <tp t="s">
        <v>#N/A N/A</v>
        <stp/>
        <stp>BDS|877907025236817521</stp>
        <tr r="QW5" s="45"/>
      </tp>
      <tp t="s">
        <v>#N/A N/A</v>
        <stp/>
        <stp>BDS|286871526804685653</stp>
        <tr r="AS5" s="26"/>
      </tp>
      <tp t="s">
        <v>#N/A N/A</v>
        <stp/>
        <stp>BDS|163464051030059962</stp>
        <tr r="OA5" s="3"/>
        <tr r="EU5" s="25"/>
      </tp>
      <tp t="s">
        <v>#N/A N/A</v>
        <stp/>
        <stp>BDS|875170492097181401</stp>
        <tr r="JY5" s="5"/>
      </tp>
      <tp t="s">
        <v>#N/A N/A</v>
        <stp/>
        <stp>BDS|372915071672600714</stp>
        <tr r="KO5" s="22"/>
      </tp>
      <tp t="s">
        <v>#N/A N/A</v>
        <stp/>
        <stp>BDS|620847806215310664</stp>
        <tr r="MG5" s="21"/>
      </tp>
      <tp t="s">
        <v>#N/A N/A</v>
        <stp/>
        <stp>BDS|631808084808988270</stp>
        <tr r="EE5" s="49"/>
      </tp>
      <tp t="s">
        <v>#N/A N/A</v>
        <stp/>
        <stp>BDS|662742581676238399</stp>
        <tr r="O5" s="29"/>
      </tp>
      <tp t="s">
        <v>#N/A N/A</v>
        <stp/>
        <stp>BDS|198597568531958823</stp>
        <tr r="EU5" s="8"/>
        <tr r="BI5" s="37"/>
      </tp>
      <tp t="s">
        <v>#N/A N/A</v>
        <stp/>
        <stp>BDS|178810232690352152</stp>
        <tr r="HQ5" s="32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volatileDependencies" Target="volatileDependenci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B9"/>
  <sheetViews>
    <sheetView tabSelected="1"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20</v>
      </c>
      <c r="AE2" s="3" t="s">
        <v>21</v>
      </c>
      <c r="BI2" s="3" t="s">
        <v>22</v>
      </c>
      <c r="CM2" s="3" t="s">
        <v>23</v>
      </c>
      <c r="DQ2" s="3" t="s">
        <v>24</v>
      </c>
      <c r="EU2" s="3" t="s">
        <v>25</v>
      </c>
      <c r="FY2" s="3" t="s">
        <v>26</v>
      </c>
      <c r="HC2" s="3" t="s">
        <v>27</v>
      </c>
      <c r="IG2" s="3" t="s">
        <v>28</v>
      </c>
      <c r="JK2" s="3" t="s">
        <v>29</v>
      </c>
      <c r="KO2" s="3" t="s">
        <v>30</v>
      </c>
      <c r="LS2" s="3" t="s">
        <v>31</v>
      </c>
      <c r="MW2" s="3" t="s">
        <v>32</v>
      </c>
      <c r="OA2" s="3" t="s">
        <v>33</v>
      </c>
      <c r="PE2" s="3" t="s">
        <v>34</v>
      </c>
      <c r="QI2" s="3" t="s">
        <v>35</v>
      </c>
      <c r="RM2" s="3" t="s">
        <v>36</v>
      </c>
      <c r="SQ2" s="3" t="s">
        <v>37</v>
      </c>
      <c r="TU2" s="3" t="s">
        <v>38</v>
      </c>
      <c r="UY2" s="3" t="s">
        <v>39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_xll.BDS("BX US Equity","SUPPLY_CHAIN_SUPPLIERS_ALL_DATA","cols=12;rows=5")</f>
        <v>ORCL US Equity</v>
      </c>
      <c r="B5" t="s">
        <v>1822</v>
      </c>
      <c r="C5">
        <v>3.7003000000000001E-2</v>
      </c>
      <c r="D5">
        <v>0.33128000000000002</v>
      </c>
      <c r="E5" t="s">
        <v>1827</v>
      </c>
      <c r="F5">
        <v>2025</v>
      </c>
      <c r="G5" t="s">
        <v>2368</v>
      </c>
      <c r="H5" s="6">
        <v>45848</v>
      </c>
      <c r="I5">
        <v>5</v>
      </c>
      <c r="J5">
        <v>5884587</v>
      </c>
      <c r="K5">
        <v>101752</v>
      </c>
      <c r="L5" t="s">
        <v>2369</v>
      </c>
      <c r="O5" t="str">
        <f>_xll.BDS("BX US Equity","SUPPLY_CHAIN_CUSTOMERS_ALL_DATA","cols=12;rows=5")</f>
        <v>002284 CH Equity</v>
      </c>
      <c r="P5">
        <v>-2.4245362661989844E-14</v>
      </c>
      <c r="R5">
        <v>-2.4245362661989844E-14</v>
      </c>
      <c r="S5" t="s">
        <v>1814</v>
      </c>
      <c r="T5">
        <v>2024</v>
      </c>
      <c r="U5" t="s">
        <v>2772</v>
      </c>
      <c r="V5" s="6">
        <v>45744</v>
      </c>
      <c r="W5">
        <v>5</v>
      </c>
      <c r="X5">
        <v>-2.4245362661989844E-14</v>
      </c>
      <c r="Y5">
        <v>15069854</v>
      </c>
      <c r="Z5" t="s">
        <v>2773</v>
      </c>
      <c r="AE5" t="str">
        <f>_xll.BDS("FBMS US Equity","SUPPLY_CHAIN_SUPPLIERS_ALL_DATA")</f>
        <v>#N/A N/A</v>
      </c>
      <c r="AS5" t="str">
        <f>_xll.BDS("FBMS US Equity","SUPPLY_CHAIN_CUSTOMERS_ALL_DATA")</f>
        <v>#N/A N/A</v>
      </c>
      <c r="BI5" t="str">
        <f>_xll.BDS("SEAP US Equity","SUPPLY_CHAIN_SUPPLIERS_ALL_DATA")</f>
        <v>#N/A N/A</v>
      </c>
      <c r="BW5" t="str">
        <f>_xll.BDS("SEAP US Equity","SUPPLY_CHAIN_CUSTOMERS_ALL_DATA")</f>
        <v>#N/A N/A</v>
      </c>
      <c r="CM5" t="str">
        <f>_xll.BDS("605018Q US Equity","SUPPLY_CHAIN_SUPPLIERS_ALL_DATA")</f>
        <v>#N/A N/A</v>
      </c>
      <c r="DA5" t="str">
        <f>_xll.BDS("605018Q US Equity","SUPPLY_CHAIN_CUSTOMERS_ALL_DATA")</f>
        <v>#N/A N/A</v>
      </c>
      <c r="DQ5" t="str">
        <f>_xll.BDS("HPOL US Equity","SUPPLY_CHAIN_SUPPLIERS_ALL_DATA")</f>
        <v>#N/A N/A</v>
      </c>
      <c r="EE5" t="str">
        <f>_xll.BDS("HPOL US Equity","SUPPLY_CHAIN_CUSTOMERS_ALL_DATA")</f>
        <v>#N/A N/A</v>
      </c>
      <c r="EU5" t="str">
        <f>_xll.BDS("355488Q US Equity","SUPPLY_CHAIN_SUPPLIERS_ALL_DATA")</f>
        <v>#N/A N/A</v>
      </c>
      <c r="FI5" t="str">
        <f>_xll.BDS("355488Q US Equity","SUPPLY_CHAIN_CUSTOMERS_ALL_DATA")</f>
        <v>#N/A N/A</v>
      </c>
      <c r="FY5" t="str">
        <f>_xll.BDS("CKEC US Equity","SUPPLY_CHAIN_SUPPLIERS_ALL_DATA")</f>
        <v>#N/A N/A</v>
      </c>
      <c r="GM5" t="str">
        <f>_xll.BDS("CKEC US Equity","SUPPLY_CHAIN_CUSTOMERS_ALL_DATA")</f>
        <v>#N/A N/A</v>
      </c>
      <c r="HC5" t="str">
        <f>_xll.BDS("8184843Q US Equity","SUPPLY_CHAIN_SUPPLIERS_ALL_DATA")</f>
        <v>#N/A N/A</v>
      </c>
      <c r="HQ5" t="str">
        <f>_xll.BDS("8184843Q US Equity","SUPPLY_CHAIN_CUSTOMERS_ALL_DATA")</f>
        <v>#N/A N/A</v>
      </c>
      <c r="IG5" t="str">
        <f>_xll.BDS("KLAC US Equity","SUPPLY_CHAIN_SUPPLIERS_ALL_DATA","cols=12;rows=5")</f>
        <v>COHR US Equity</v>
      </c>
      <c r="IH5" t="s">
        <v>1822</v>
      </c>
      <c r="II5">
        <v>0.72727600000000003</v>
      </c>
      <c r="IJ5">
        <v>0.92522099999999996</v>
      </c>
      <c r="IK5" t="s">
        <v>1806</v>
      </c>
      <c r="IL5">
        <v>2026</v>
      </c>
      <c r="IM5" t="s">
        <v>2152</v>
      </c>
      <c r="IN5" s="6">
        <v>45967</v>
      </c>
      <c r="IO5">
        <v>5</v>
      </c>
      <c r="IP5">
        <v>11501143</v>
      </c>
      <c r="IQ5">
        <v>104637</v>
      </c>
      <c r="IR5" t="s">
        <v>3767</v>
      </c>
      <c r="IU5" t="str">
        <f>_xll.BDS("KLAC US Equity","SUPPLY_CHAIN_CUSTOMERS_ALL_DATA","cols=12;rows=5")</f>
        <v>2330 TT Equity</v>
      </c>
      <c r="IV5">
        <v>17.002452999999999</v>
      </c>
      <c r="IW5" t="s">
        <v>1949</v>
      </c>
      <c r="IX5">
        <v>4.8760450000000004</v>
      </c>
      <c r="IY5" t="s">
        <v>1823</v>
      </c>
      <c r="IZ5">
        <v>2026</v>
      </c>
      <c r="JA5" t="s">
        <v>2418</v>
      </c>
      <c r="JB5" s="6">
        <v>46063</v>
      </c>
      <c r="JC5">
        <v>5</v>
      </c>
      <c r="JD5">
        <v>560595648</v>
      </c>
      <c r="JE5">
        <v>153737</v>
      </c>
      <c r="JF5" t="s">
        <v>1937</v>
      </c>
      <c r="JK5" t="str">
        <f>_xll.BDS("BKU US Equity","SUPPLY_CHAIN_SUPPLIERS_ALL_DATA","cols=12;rows=1")</f>
        <v>NEWT US Equity</v>
      </c>
      <c r="JM5">
        <v>-2.4245362661989844E-14</v>
      </c>
      <c r="JN5">
        <v>-2.4245362661989844E-14</v>
      </c>
      <c r="JO5" t="s">
        <v>1814</v>
      </c>
      <c r="JP5">
        <v>2024</v>
      </c>
      <c r="JQ5" t="s">
        <v>4107</v>
      </c>
      <c r="JR5" s="6">
        <v>45733</v>
      </c>
      <c r="JS5">
        <v>1</v>
      </c>
      <c r="JT5">
        <v>-2.4245362661989844E-14</v>
      </c>
      <c r="JU5">
        <v>1183488</v>
      </c>
      <c r="JV5" t="s">
        <v>4108</v>
      </c>
      <c r="JY5" t="str">
        <f>_xll.BDS("BKU US Equity","SUPPLY_CHAIN_CUSTOMERS_ALL_DATA")</f>
        <v>#N/A N/A</v>
      </c>
      <c r="KO5" t="str">
        <f>_xll.BDS("PSD US Equity","SUPPLY_CHAIN_SUPPLIERS_ALL_DATA")</f>
        <v>#N/A N/A</v>
      </c>
      <c r="LC5" t="str">
        <f>_xll.BDS("PSD US Equity","SUPPLY_CHAIN_CUSTOMERS_ALL_DATA")</f>
        <v>#N/A N/A</v>
      </c>
      <c r="LS5" t="str">
        <f>_xll.BDS("NAL US Equity","SUPPLY_CHAIN_SUPPLIERS_ALL_DATA")</f>
        <v>#N/A N/A</v>
      </c>
      <c r="MG5" t="str">
        <f>_xll.BDS("NAL US Equity","SUPPLY_CHAIN_CUSTOMERS_ALL_DATA")</f>
        <v>#N/A N/A</v>
      </c>
      <c r="MW5" t="str">
        <f>_xll.BDS("RLR US Equity","SUPPLY_CHAIN_SUPPLIERS_ALL_DATA")</f>
        <v>#N/A N/A</v>
      </c>
      <c r="NK5" t="str">
        <f>_xll.BDS("RLR US Equity","SUPPLY_CHAIN_CUSTOMERS_ALL_DATA")</f>
        <v>#N/A N/A</v>
      </c>
      <c r="OA5" t="str">
        <f>_xll.BDS("AXP US Equity","SUPPLY_CHAIN_SUPPLIERS_ALL_DATA","cols=12;rows=5")</f>
        <v>ADBE US Equity</v>
      </c>
      <c r="OB5" t="s">
        <v>1893</v>
      </c>
      <c r="OC5">
        <v>0.32120500000000002</v>
      </c>
      <c r="OD5">
        <v>0.15107200000000001</v>
      </c>
      <c r="OE5" t="s">
        <v>1823</v>
      </c>
      <c r="OF5">
        <v>2025</v>
      </c>
      <c r="OG5" t="s">
        <v>1894</v>
      </c>
      <c r="OH5" s="6">
        <v>45838</v>
      </c>
      <c r="OI5">
        <v>5</v>
      </c>
      <c r="OJ5">
        <v>18864370</v>
      </c>
      <c r="OK5">
        <v>101689</v>
      </c>
      <c r="OL5" t="s">
        <v>1895</v>
      </c>
      <c r="OO5" t="str">
        <f>_xll.BDS("AXP US Equity","SUPPLY_CHAIN_CUSTOMERS_ALL_DATA","cols=12;rows=5")</f>
        <v>8206440Z LN Equity</v>
      </c>
      <c r="OP5">
        <v>0.12788099999999999</v>
      </c>
      <c r="OQ5" t="s">
        <v>1949</v>
      </c>
      <c r="OR5">
        <v>-2.4245362661989844E-14</v>
      </c>
      <c r="OS5" t="s">
        <v>1814</v>
      </c>
      <c r="OT5">
        <v>2025</v>
      </c>
      <c r="OU5" t="s">
        <v>2296</v>
      </c>
      <c r="OV5" s="6">
        <v>45925</v>
      </c>
      <c r="OW5">
        <v>5</v>
      </c>
      <c r="OX5">
        <v>24244000</v>
      </c>
      <c r="OY5">
        <v>340053</v>
      </c>
      <c r="OZ5" t="s">
        <v>2297</v>
      </c>
      <c r="PE5" t="str">
        <f>_xll.BDS("CBFV US Equity","SUPPLY_CHAIN_SUPPLIERS_ALL_DATA","cols=12;rows=1")</f>
        <v>MLNK US Equity</v>
      </c>
      <c r="PG5">
        <v>-2.4245362661989844E-14</v>
      </c>
      <c r="PH5">
        <v>-2.4245362661989844E-14</v>
      </c>
      <c r="PI5" t="s">
        <v>1806</v>
      </c>
      <c r="PJ5">
        <v>2023</v>
      </c>
      <c r="PK5" t="s">
        <v>2190</v>
      </c>
      <c r="PL5" s="6">
        <v>45048</v>
      </c>
      <c r="PM5">
        <v>1</v>
      </c>
      <c r="PN5">
        <v>-2.4245362661989844E-14</v>
      </c>
      <c r="PO5">
        <v>19523261</v>
      </c>
      <c r="PP5" t="s">
        <v>2191</v>
      </c>
      <c r="PS5" t="str">
        <f>_xll.BDS("CBFV US Equity","SUPPLY_CHAIN_CUSTOMERS_ALL_DATA")</f>
        <v>#N/A N/A</v>
      </c>
      <c r="QI5" t="str">
        <f>_xll.BDS("2676187Q US Equity","SUPPLY_CHAIN_SUPPLIERS_ALL_DATA")</f>
        <v>#N/A N/A</v>
      </c>
      <c r="QW5" t="str">
        <f>_xll.BDS("2676187Q US Equity","SUPPLY_CHAIN_CUSTOMERS_ALL_DATA")</f>
        <v>#N/A N/A</v>
      </c>
      <c r="RM5" t="str">
        <f>_xll.BDS("RCAPQ US Equity","SUPPLY_CHAIN_SUPPLIERS_ALL_DATA")</f>
        <v>#N/A N/A</v>
      </c>
      <c r="SA5" t="str">
        <f>_xll.BDS("RCAPQ US Equity","SUPPLY_CHAIN_CUSTOMERS_ALL_DATA")</f>
        <v>#N/A N/A</v>
      </c>
      <c r="SQ5" t="str">
        <f>_xll.BDS("9990253D US Equity","SUPPLY_CHAIN_SUPPLIERS_ALL_DATA","cols=12;rows=1")</f>
        <v>FE US Equity</v>
      </c>
      <c r="SS5">
        <v>-2.4245362661989844E-14</v>
      </c>
      <c r="ST5">
        <v>-2.4245362661989844E-14</v>
      </c>
      <c r="SU5" t="s">
        <v>1814</v>
      </c>
      <c r="SV5">
        <v>2021</v>
      </c>
      <c r="SW5" t="s">
        <v>1995</v>
      </c>
      <c r="SX5" s="6">
        <v>44693</v>
      </c>
      <c r="SY5">
        <v>1</v>
      </c>
      <c r="SZ5">
        <v>-2.4245362661989844E-14</v>
      </c>
      <c r="TA5">
        <v>302916</v>
      </c>
      <c r="TB5" t="s">
        <v>1996</v>
      </c>
      <c r="TE5" t="str">
        <f>_xll.BDS("9990253D US Equity","SUPPLY_CHAIN_CUSTOMERS_ALL_DATA","cols=12;rows=5")</f>
        <v>0065069D US Equity</v>
      </c>
      <c r="TF5">
        <v>-2.4245362661989844E-14</v>
      </c>
      <c r="TH5">
        <v>-2.4245362661989844E-14</v>
      </c>
      <c r="TI5" t="s">
        <v>1814</v>
      </c>
      <c r="TJ5">
        <v>2021</v>
      </c>
      <c r="TK5" t="s">
        <v>2388</v>
      </c>
      <c r="TL5" s="6">
        <v>44650</v>
      </c>
      <c r="TM5">
        <v>5</v>
      </c>
      <c r="TN5">
        <v>-2.4245362661989844E-14</v>
      </c>
      <c r="TO5">
        <v>28515817</v>
      </c>
      <c r="TP5" t="s">
        <v>2389</v>
      </c>
      <c r="TU5" t="str">
        <f>_xll.BDS("DGII US Equity","SUPPLY_CHAIN_SUPPLIERS_ALL_DATA")</f>
        <v>#N/A N/A</v>
      </c>
      <c r="UI5" t="str">
        <f>_xll.BDS("DGII US Equity","SUPPLY_CHAIN_CUSTOMERS_ALL_DATA","cols=12;rows=5")</f>
        <v>SNX US Equity</v>
      </c>
      <c r="UJ5">
        <v>1.1346540000000001</v>
      </c>
      <c r="UK5" t="s">
        <v>1822</v>
      </c>
      <c r="UL5">
        <v>8.0160000000000006E-3</v>
      </c>
      <c r="UM5" t="s">
        <v>1827</v>
      </c>
      <c r="UN5">
        <v>2025</v>
      </c>
      <c r="UO5" t="s">
        <v>1850</v>
      </c>
      <c r="UP5" s="6">
        <v>46056</v>
      </c>
      <c r="UQ5">
        <v>5</v>
      </c>
      <c r="UR5">
        <v>1297341</v>
      </c>
      <c r="US5">
        <v>1499717</v>
      </c>
      <c r="UT5" t="s">
        <v>1851</v>
      </c>
      <c r="UY5" t="str">
        <f>_xll.BDS("CNVR US Equity","SUPPLY_CHAIN_SUPPLIERS_ALL_DATA")</f>
        <v>#N/A N/A</v>
      </c>
      <c r="VM5" t="str">
        <f>_xll.BDS("CNVR US Equity","SUPPLY_CHAIN_CUSTOMERS_ALL_DATA")</f>
        <v>#N/A N/A</v>
      </c>
    </row>
    <row r="6" spans="1:600" x14ac:dyDescent="0.25">
      <c r="A6" t="s">
        <v>2886</v>
      </c>
      <c r="B6" t="s">
        <v>1893</v>
      </c>
      <c r="C6">
        <v>0.597939</v>
      </c>
      <c r="D6">
        <v>5.9714000000000003E-2</v>
      </c>
      <c r="E6" t="s">
        <v>1814</v>
      </c>
      <c r="F6">
        <v>2024</v>
      </c>
      <c r="G6" t="s">
        <v>2887</v>
      </c>
      <c r="H6" s="6">
        <v>45694</v>
      </c>
      <c r="I6">
        <v>5</v>
      </c>
      <c r="J6">
        <v>957052.25</v>
      </c>
      <c r="K6">
        <v>103579</v>
      </c>
      <c r="L6" t="s">
        <v>2888</v>
      </c>
      <c r="O6" t="s">
        <v>2774</v>
      </c>
      <c r="P6">
        <v>-2.4245362661989844E-14</v>
      </c>
      <c r="R6">
        <v>-2.4245362661989844E-14</v>
      </c>
      <c r="S6" t="s">
        <v>1971</v>
      </c>
      <c r="T6">
        <v>2025</v>
      </c>
      <c r="U6" t="s">
        <v>2775</v>
      </c>
      <c r="V6" s="6">
        <v>45894</v>
      </c>
      <c r="W6">
        <v>5</v>
      </c>
      <c r="X6">
        <v>-2.4245362661989844E-14</v>
      </c>
      <c r="Y6">
        <v>15149577</v>
      </c>
      <c r="Z6" t="s">
        <v>2776</v>
      </c>
      <c r="IG6" t="s">
        <v>3768</v>
      </c>
      <c r="IH6" t="s">
        <v>1822</v>
      </c>
      <c r="II6">
        <v>3.0951559999999998</v>
      </c>
      <c r="IJ6">
        <v>0.73112999999999995</v>
      </c>
      <c r="IK6" t="s">
        <v>1823</v>
      </c>
      <c r="IL6">
        <v>2025</v>
      </c>
      <c r="IM6" t="s">
        <v>3769</v>
      </c>
      <c r="IN6" s="6">
        <v>45882</v>
      </c>
      <c r="IO6">
        <v>5</v>
      </c>
      <c r="IP6">
        <v>8821383.5199999996</v>
      </c>
      <c r="IQ6">
        <v>49328078</v>
      </c>
      <c r="IR6" t="s">
        <v>3770</v>
      </c>
      <c r="IU6" t="s">
        <v>2102</v>
      </c>
      <c r="IV6">
        <v>11.000161</v>
      </c>
      <c r="IW6" t="s">
        <v>1949</v>
      </c>
      <c r="IX6">
        <v>4.6528710000000002</v>
      </c>
      <c r="IY6" t="s">
        <v>1823</v>
      </c>
      <c r="IZ6">
        <v>2026</v>
      </c>
      <c r="JA6" t="s">
        <v>2418</v>
      </c>
      <c r="JB6" s="6">
        <v>46063</v>
      </c>
      <c r="JC6">
        <v>5</v>
      </c>
      <c r="JD6">
        <v>362691360</v>
      </c>
      <c r="JE6">
        <v>117929</v>
      </c>
      <c r="JF6" t="s">
        <v>2103</v>
      </c>
      <c r="OA6" t="s">
        <v>1961</v>
      </c>
      <c r="OB6" t="s">
        <v>1893</v>
      </c>
      <c r="OC6">
        <v>0.46759099999999998</v>
      </c>
      <c r="OD6">
        <v>1.7811E-2</v>
      </c>
      <c r="OE6" t="s">
        <v>1806</v>
      </c>
      <c r="OF6">
        <v>2025</v>
      </c>
      <c r="OG6" t="s">
        <v>1962</v>
      </c>
      <c r="OH6" s="6">
        <v>45855</v>
      </c>
      <c r="OI6">
        <v>5</v>
      </c>
      <c r="OJ6">
        <v>2224017</v>
      </c>
      <c r="OK6">
        <v>171977</v>
      </c>
      <c r="OL6" t="s">
        <v>1963</v>
      </c>
      <c r="OO6" t="s">
        <v>2298</v>
      </c>
      <c r="OP6">
        <v>-2.4245362661989844E-14</v>
      </c>
      <c r="OR6">
        <v>-2.4245362661989844E-14</v>
      </c>
      <c r="OS6" t="s">
        <v>1814</v>
      </c>
      <c r="OT6">
        <v>2022</v>
      </c>
      <c r="OU6" t="s">
        <v>2299</v>
      </c>
      <c r="OV6" s="6">
        <v>44827</v>
      </c>
      <c r="OW6">
        <v>5</v>
      </c>
      <c r="OX6">
        <v>-2.4245362661989844E-14</v>
      </c>
      <c r="OY6">
        <v>57293770</v>
      </c>
      <c r="OZ6" t="s">
        <v>2300</v>
      </c>
      <c r="TE6" t="s">
        <v>2390</v>
      </c>
      <c r="TF6">
        <v>-2.4245362661989844E-14</v>
      </c>
      <c r="TH6">
        <v>-2.4245362661989844E-14</v>
      </c>
      <c r="TI6" t="s">
        <v>1814</v>
      </c>
      <c r="TJ6">
        <v>2021</v>
      </c>
      <c r="TK6" t="s">
        <v>2388</v>
      </c>
      <c r="TL6" s="6">
        <v>44650</v>
      </c>
      <c r="TM6">
        <v>5</v>
      </c>
      <c r="TN6">
        <v>-2.4245362661989844E-14</v>
      </c>
      <c r="TO6">
        <v>908570</v>
      </c>
      <c r="TP6" t="s">
        <v>2391</v>
      </c>
      <c r="UI6" t="s">
        <v>1840</v>
      </c>
      <c r="UJ6">
        <v>0.409385</v>
      </c>
      <c r="UK6" t="s">
        <v>1822</v>
      </c>
      <c r="UL6">
        <v>1.0494E-2</v>
      </c>
      <c r="UM6" t="s">
        <v>1806</v>
      </c>
      <c r="UN6">
        <v>2025</v>
      </c>
      <c r="UO6" t="s">
        <v>1841</v>
      </c>
      <c r="UP6" s="6">
        <v>45820</v>
      </c>
      <c r="UQ6">
        <v>5</v>
      </c>
      <c r="UR6">
        <v>427819</v>
      </c>
      <c r="US6">
        <v>12129192</v>
      </c>
      <c r="UT6" t="s">
        <v>1842</v>
      </c>
    </row>
    <row r="7" spans="1:600" x14ac:dyDescent="0.25">
      <c r="A7" t="s">
        <v>2889</v>
      </c>
      <c r="B7" t="s">
        <v>1822</v>
      </c>
      <c r="C7">
        <v>7.4065000000000006E-2</v>
      </c>
      <c r="D7">
        <v>2.879E-3</v>
      </c>
      <c r="E7" t="s">
        <v>1814</v>
      </c>
      <c r="F7">
        <v>2024</v>
      </c>
      <c r="G7" t="s">
        <v>2890</v>
      </c>
      <c r="H7" s="6">
        <v>45758</v>
      </c>
      <c r="I7">
        <v>5</v>
      </c>
      <c r="J7">
        <v>46697.46</v>
      </c>
      <c r="K7">
        <v>130878</v>
      </c>
      <c r="L7" t="s">
        <v>2891</v>
      </c>
      <c r="O7" t="s">
        <v>2777</v>
      </c>
      <c r="P7">
        <v>-2.4245362661989844E-14</v>
      </c>
      <c r="R7">
        <v>-2.4245362661989844E-14</v>
      </c>
      <c r="S7" t="s">
        <v>1823</v>
      </c>
      <c r="T7">
        <v>2024</v>
      </c>
      <c r="U7" t="s">
        <v>2778</v>
      </c>
      <c r="V7" s="6">
        <v>45433</v>
      </c>
      <c r="W7">
        <v>5</v>
      </c>
      <c r="X7">
        <v>-2.4245362661989844E-14</v>
      </c>
      <c r="Y7">
        <v>27196144</v>
      </c>
      <c r="Z7" t="s">
        <v>2779</v>
      </c>
      <c r="IG7" t="s">
        <v>3771</v>
      </c>
      <c r="IH7" t="s">
        <v>1822</v>
      </c>
      <c r="II7">
        <v>1.640188</v>
      </c>
      <c r="IJ7">
        <v>0.67292700000000005</v>
      </c>
      <c r="IK7" t="s">
        <v>1810</v>
      </c>
      <c r="IL7">
        <v>2025</v>
      </c>
      <c r="IM7" t="s">
        <v>3772</v>
      </c>
      <c r="IN7" s="6">
        <v>46036</v>
      </c>
      <c r="IO7">
        <v>5</v>
      </c>
      <c r="IP7">
        <v>8364959</v>
      </c>
      <c r="IQ7">
        <v>8597928</v>
      </c>
      <c r="IR7" t="s">
        <v>3773</v>
      </c>
      <c r="IU7" t="s">
        <v>3763</v>
      </c>
      <c r="IV7">
        <v>4.9560279999999999</v>
      </c>
      <c r="IW7" t="s">
        <v>1949</v>
      </c>
      <c r="IX7">
        <v>3.032241</v>
      </c>
      <c r="IY7" t="s">
        <v>1823</v>
      </c>
      <c r="IZ7">
        <v>2026</v>
      </c>
      <c r="JA7" t="s">
        <v>2418</v>
      </c>
      <c r="JB7" s="6">
        <v>46063</v>
      </c>
      <c r="JC7">
        <v>5</v>
      </c>
      <c r="JD7">
        <v>163407472</v>
      </c>
      <c r="JE7">
        <v>100995</v>
      </c>
      <c r="JF7" t="s">
        <v>3764</v>
      </c>
      <c r="OA7" t="s">
        <v>1964</v>
      </c>
      <c r="OB7" t="s">
        <v>1822</v>
      </c>
      <c r="OC7">
        <v>8.9721999999999996E-2</v>
      </c>
      <c r="OD7">
        <v>1.2179000000000001E-2</v>
      </c>
      <c r="OE7" t="s">
        <v>1823</v>
      </c>
      <c r="OF7">
        <v>2025</v>
      </c>
      <c r="OG7" t="s">
        <v>1965</v>
      </c>
      <c r="OH7" s="6">
        <v>45910</v>
      </c>
      <c r="OI7">
        <v>5</v>
      </c>
      <c r="OJ7">
        <v>1570528.27</v>
      </c>
      <c r="OK7">
        <v>18686622</v>
      </c>
      <c r="OL7" t="s">
        <v>1966</v>
      </c>
      <c r="OO7" t="s">
        <v>2301</v>
      </c>
      <c r="OP7">
        <v>-2.4245362661989844E-14</v>
      </c>
      <c r="OR7">
        <v>-2.4245362661989844E-14</v>
      </c>
      <c r="OS7" t="s">
        <v>1814</v>
      </c>
      <c r="OT7">
        <v>2024</v>
      </c>
      <c r="OU7" t="s">
        <v>2302</v>
      </c>
      <c r="OV7" s="6">
        <v>45772</v>
      </c>
      <c r="OW7">
        <v>5</v>
      </c>
      <c r="OX7">
        <v>-2.4245362661989844E-14</v>
      </c>
      <c r="OY7">
        <v>38114240</v>
      </c>
      <c r="OZ7" t="s">
        <v>2303</v>
      </c>
      <c r="TE7" t="s">
        <v>2392</v>
      </c>
      <c r="TF7">
        <v>-2.4245362661989844E-14</v>
      </c>
      <c r="TH7">
        <v>-2.4245362661989844E-14</v>
      </c>
      <c r="TI7" t="s">
        <v>1814</v>
      </c>
      <c r="TJ7">
        <v>2021</v>
      </c>
      <c r="TK7" t="s">
        <v>2388</v>
      </c>
      <c r="TL7" s="6">
        <v>44650</v>
      </c>
      <c r="TM7">
        <v>5</v>
      </c>
      <c r="TN7">
        <v>-2.4245362661989844E-14</v>
      </c>
      <c r="TO7">
        <v>7334430</v>
      </c>
      <c r="TP7" t="s">
        <v>2393</v>
      </c>
      <c r="UI7" t="s">
        <v>1378</v>
      </c>
      <c r="UJ7">
        <v>0.35539399999999999</v>
      </c>
      <c r="UK7" t="s">
        <v>1822</v>
      </c>
      <c r="UL7">
        <v>7.6949999999999996E-3</v>
      </c>
      <c r="UM7" t="s">
        <v>1823</v>
      </c>
      <c r="UN7">
        <v>2026</v>
      </c>
      <c r="UO7" t="s">
        <v>3555</v>
      </c>
      <c r="UP7" s="6">
        <v>46063</v>
      </c>
      <c r="UQ7">
        <v>5</v>
      </c>
      <c r="UR7">
        <v>435223</v>
      </c>
      <c r="US7">
        <v>100142</v>
      </c>
      <c r="UT7" t="s">
        <v>2627</v>
      </c>
    </row>
    <row r="8" spans="1:600" x14ac:dyDescent="0.25">
      <c r="A8" t="s">
        <v>2892</v>
      </c>
      <c r="B8" t="s">
        <v>1949</v>
      </c>
      <c r="C8">
        <v>2.0240000000000002E-3</v>
      </c>
      <c r="D8">
        <v>2.6168E-2</v>
      </c>
      <c r="E8" t="s">
        <v>1810</v>
      </c>
      <c r="F8">
        <v>2025</v>
      </c>
      <c r="G8" t="s">
        <v>2893</v>
      </c>
      <c r="H8" s="6">
        <v>45964</v>
      </c>
      <c r="I8">
        <v>5</v>
      </c>
      <c r="J8">
        <v>10506</v>
      </c>
      <c r="K8">
        <v>16546862</v>
      </c>
      <c r="L8" t="s">
        <v>2894</v>
      </c>
      <c r="O8" t="s">
        <v>2780</v>
      </c>
      <c r="P8">
        <v>-2.4245362661989844E-14</v>
      </c>
      <c r="R8">
        <v>-2.4245362661989844E-14</v>
      </c>
      <c r="S8" t="s">
        <v>1814</v>
      </c>
      <c r="T8">
        <v>2024</v>
      </c>
      <c r="U8" t="s">
        <v>2781</v>
      </c>
      <c r="V8" s="6">
        <v>45771</v>
      </c>
      <c r="W8">
        <v>5</v>
      </c>
      <c r="X8">
        <v>-2.4245362661989844E-14</v>
      </c>
      <c r="Y8">
        <v>135686</v>
      </c>
      <c r="Z8" t="s">
        <v>2782</v>
      </c>
      <c r="IG8" t="s">
        <v>3774</v>
      </c>
      <c r="IH8" t="s">
        <v>1822</v>
      </c>
      <c r="II8">
        <v>0.83339099999999999</v>
      </c>
      <c r="IJ8">
        <v>0.66348700000000005</v>
      </c>
      <c r="IK8" t="s">
        <v>1806</v>
      </c>
      <c r="IL8">
        <v>2025</v>
      </c>
      <c r="IM8" t="s">
        <v>3775</v>
      </c>
      <c r="IN8" s="6">
        <v>45813</v>
      </c>
      <c r="IO8">
        <v>5</v>
      </c>
      <c r="IP8">
        <v>7800540</v>
      </c>
      <c r="IQ8">
        <v>302946</v>
      </c>
      <c r="IR8" t="s">
        <v>3776</v>
      </c>
      <c r="IU8" t="s">
        <v>3765</v>
      </c>
      <c r="IV8">
        <v>4.8534379999999997</v>
      </c>
      <c r="IW8" t="s">
        <v>1949</v>
      </c>
      <c r="IX8">
        <v>4.5878709999999998</v>
      </c>
      <c r="IY8" t="s">
        <v>1823</v>
      </c>
      <c r="IZ8">
        <v>2026</v>
      </c>
      <c r="JA8" t="s">
        <v>2418</v>
      </c>
      <c r="JB8" s="6">
        <v>46063</v>
      </c>
      <c r="JC8">
        <v>5</v>
      </c>
      <c r="JD8">
        <v>160024944</v>
      </c>
      <c r="JE8">
        <v>101729</v>
      </c>
      <c r="JF8" t="s">
        <v>3766</v>
      </c>
      <c r="OA8" t="s">
        <v>1967</v>
      </c>
      <c r="OB8" t="s">
        <v>1893</v>
      </c>
      <c r="OC8">
        <v>12.430016</v>
      </c>
      <c r="OD8">
        <v>4.9849999999999998E-3</v>
      </c>
      <c r="OE8" t="s">
        <v>1814</v>
      </c>
      <c r="OF8">
        <v>2024</v>
      </c>
      <c r="OG8" t="s">
        <v>1968</v>
      </c>
      <c r="OH8" s="6">
        <v>45744</v>
      </c>
      <c r="OI8">
        <v>5</v>
      </c>
      <c r="OJ8">
        <v>597183.17000000004</v>
      </c>
      <c r="OK8">
        <v>30757740</v>
      </c>
      <c r="OL8" t="s">
        <v>1969</v>
      </c>
      <c r="OO8" t="s">
        <v>2304</v>
      </c>
      <c r="OP8">
        <v>-2.4245362661989844E-14</v>
      </c>
      <c r="OR8">
        <v>-2.4245362661989844E-14</v>
      </c>
      <c r="OS8" t="s">
        <v>1814</v>
      </c>
      <c r="OT8">
        <v>2024</v>
      </c>
      <c r="OU8" t="s">
        <v>2305</v>
      </c>
      <c r="OV8" s="6">
        <v>45761</v>
      </c>
      <c r="OW8">
        <v>5</v>
      </c>
      <c r="OX8">
        <v>-2.4245362661989844E-14</v>
      </c>
      <c r="OY8">
        <v>45811457</v>
      </c>
      <c r="OZ8" t="s">
        <v>2306</v>
      </c>
      <c r="TE8" t="s">
        <v>2010</v>
      </c>
      <c r="TF8">
        <v>-2.4245362661989844E-14</v>
      </c>
      <c r="TH8">
        <v>-2.4245362661989844E-14</v>
      </c>
      <c r="TI8" t="s">
        <v>1814</v>
      </c>
      <c r="TJ8">
        <v>2021</v>
      </c>
      <c r="TK8" t="s">
        <v>2388</v>
      </c>
      <c r="TL8" s="6">
        <v>44650</v>
      </c>
      <c r="TM8">
        <v>5</v>
      </c>
      <c r="TN8">
        <v>-2.4245362661989844E-14</v>
      </c>
      <c r="TO8">
        <v>218252</v>
      </c>
      <c r="TP8" t="s">
        <v>2012</v>
      </c>
      <c r="UI8" t="s">
        <v>4093</v>
      </c>
      <c r="UJ8">
        <v>0.16187799999999999</v>
      </c>
      <c r="UK8" t="s">
        <v>1822</v>
      </c>
      <c r="UL8">
        <v>1.2815999999999999E-2</v>
      </c>
      <c r="UM8" t="s">
        <v>1823</v>
      </c>
      <c r="UN8">
        <v>2025</v>
      </c>
      <c r="UO8" t="s">
        <v>4094</v>
      </c>
      <c r="UP8" s="6">
        <v>45898</v>
      </c>
      <c r="UQ8">
        <v>5</v>
      </c>
      <c r="UR8">
        <v>174042</v>
      </c>
      <c r="US8">
        <v>18196193</v>
      </c>
      <c r="UT8" t="s">
        <v>4095</v>
      </c>
    </row>
    <row r="9" spans="1:600" x14ac:dyDescent="0.25">
      <c r="A9" t="s">
        <v>2895</v>
      </c>
      <c r="B9" t="s">
        <v>1822</v>
      </c>
      <c r="C9">
        <v>1.2467000000000001E-2</v>
      </c>
      <c r="D9">
        <v>4.5800000000000002E-4</v>
      </c>
      <c r="E9" t="s">
        <v>1823</v>
      </c>
      <c r="F9">
        <v>2025</v>
      </c>
      <c r="G9" t="s">
        <v>2896</v>
      </c>
      <c r="H9" s="6">
        <v>45744</v>
      </c>
      <c r="I9">
        <v>5</v>
      </c>
      <c r="J9">
        <v>6232.4</v>
      </c>
      <c r="K9">
        <v>28653435</v>
      </c>
      <c r="L9" t="s">
        <v>2897</v>
      </c>
      <c r="O9" t="s">
        <v>2783</v>
      </c>
      <c r="P9">
        <v>-2.4245362661989844E-14</v>
      </c>
      <c r="R9">
        <v>-2.4245362661989844E-14</v>
      </c>
      <c r="S9" t="s">
        <v>1814</v>
      </c>
      <c r="T9">
        <v>2022</v>
      </c>
      <c r="U9" t="s">
        <v>2784</v>
      </c>
      <c r="V9" s="6">
        <v>45083</v>
      </c>
      <c r="W9">
        <v>5</v>
      </c>
      <c r="X9">
        <v>-2.4245362661989844E-14</v>
      </c>
      <c r="Y9">
        <v>34532225</v>
      </c>
      <c r="Z9" t="s">
        <v>2785</v>
      </c>
      <c r="IG9" t="s">
        <v>2660</v>
      </c>
      <c r="IH9" t="s">
        <v>1822</v>
      </c>
      <c r="II9">
        <v>0.17536599999999999</v>
      </c>
      <c r="IJ9">
        <v>7.5305999999999998E-2</v>
      </c>
      <c r="IK9" t="s">
        <v>1806</v>
      </c>
      <c r="IL9">
        <v>2026</v>
      </c>
      <c r="IM9" t="s">
        <v>3777</v>
      </c>
      <c r="IN9" s="6">
        <v>45967</v>
      </c>
      <c r="IO9">
        <v>5</v>
      </c>
      <c r="IP9">
        <v>936104</v>
      </c>
      <c r="IQ9">
        <v>42186257</v>
      </c>
      <c r="IR9" t="s">
        <v>2662</v>
      </c>
      <c r="IU9" t="s">
        <v>2351</v>
      </c>
      <c r="IV9">
        <v>3.2340970000000002</v>
      </c>
      <c r="IW9" t="s">
        <v>1949</v>
      </c>
      <c r="IX9">
        <v>2.9382419999999998</v>
      </c>
      <c r="IY9" t="s">
        <v>1823</v>
      </c>
      <c r="IZ9">
        <v>2026</v>
      </c>
      <c r="JA9" t="s">
        <v>2418</v>
      </c>
      <c r="JB9" s="6">
        <v>46063</v>
      </c>
      <c r="JC9">
        <v>5</v>
      </c>
      <c r="JD9">
        <v>106632896</v>
      </c>
      <c r="JE9">
        <v>193974</v>
      </c>
      <c r="JF9" t="s">
        <v>2353</v>
      </c>
      <c r="OA9" t="s">
        <v>1970</v>
      </c>
      <c r="OC9">
        <v>-2.4245362661989844E-14</v>
      </c>
      <c r="OD9">
        <v>-2.4245362661989844E-14</v>
      </c>
      <c r="OE9" t="s">
        <v>1971</v>
      </c>
      <c r="OF9">
        <v>2025</v>
      </c>
      <c r="OG9" t="s">
        <v>1972</v>
      </c>
      <c r="OH9" s="6">
        <v>45894</v>
      </c>
      <c r="OI9">
        <v>5</v>
      </c>
      <c r="OJ9">
        <v>-2.4245362661989844E-14</v>
      </c>
      <c r="OK9">
        <v>1456451</v>
      </c>
      <c r="OL9" t="s">
        <v>1973</v>
      </c>
      <c r="OO9" t="s">
        <v>2307</v>
      </c>
      <c r="OP9">
        <v>-2.4245362661989844E-14</v>
      </c>
      <c r="OR9">
        <v>-2.4245362661989844E-14</v>
      </c>
      <c r="OS9" t="s">
        <v>1814</v>
      </c>
      <c r="OT9">
        <v>2024</v>
      </c>
      <c r="OU9" t="s">
        <v>2308</v>
      </c>
      <c r="OV9" s="6">
        <v>45719</v>
      </c>
      <c r="OW9">
        <v>5</v>
      </c>
      <c r="OX9">
        <v>-2.4245362661989844E-14</v>
      </c>
      <c r="OY9">
        <v>34968231</v>
      </c>
      <c r="OZ9" t="s">
        <v>2309</v>
      </c>
      <c r="TE9" t="s">
        <v>2394</v>
      </c>
      <c r="TF9">
        <v>-2.4245362661989844E-14</v>
      </c>
      <c r="TH9">
        <v>-2.4245362661989844E-14</v>
      </c>
      <c r="TI9" t="s">
        <v>1814</v>
      </c>
      <c r="TJ9">
        <v>2021</v>
      </c>
      <c r="TK9" t="s">
        <v>2388</v>
      </c>
      <c r="TL9" s="6">
        <v>44650</v>
      </c>
      <c r="TM9">
        <v>5</v>
      </c>
      <c r="TN9">
        <v>-2.4245362661989844E-14</v>
      </c>
      <c r="TO9">
        <v>214099</v>
      </c>
      <c r="TP9" t="s">
        <v>2395</v>
      </c>
      <c r="UI9" t="s">
        <v>2025</v>
      </c>
      <c r="UJ9">
        <v>0.128807</v>
      </c>
      <c r="UK9" t="s">
        <v>1822</v>
      </c>
      <c r="UL9">
        <v>2.215E-3</v>
      </c>
      <c r="UM9" t="s">
        <v>1806</v>
      </c>
      <c r="UN9">
        <v>2025</v>
      </c>
      <c r="UO9" t="s">
        <v>2026</v>
      </c>
      <c r="UP9" s="6">
        <v>45784</v>
      </c>
      <c r="UQ9">
        <v>5</v>
      </c>
      <c r="UR9">
        <v>133787</v>
      </c>
      <c r="US9">
        <v>100115</v>
      </c>
      <c r="UT9" t="s">
        <v>2027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73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74</v>
      </c>
      <c r="AE2" s="3" t="s">
        <v>75</v>
      </c>
      <c r="BI2" s="3" t="s">
        <v>76</v>
      </c>
      <c r="CM2" s="3" t="s">
        <v>77</v>
      </c>
      <c r="DQ2" s="3" t="s">
        <v>78</v>
      </c>
      <c r="EU2" s="3" t="s">
        <v>79</v>
      </c>
      <c r="FY2" s="3" t="s">
        <v>80</v>
      </c>
      <c r="HC2" s="3" t="s">
        <v>81</v>
      </c>
      <c r="IG2" s="3" t="s">
        <v>82</v>
      </c>
      <c r="JK2" s="3" t="s">
        <v>83</v>
      </c>
      <c r="KO2" s="3" t="s">
        <v>84</v>
      </c>
      <c r="LS2" s="3" t="s">
        <v>85</v>
      </c>
      <c r="MW2" s="3" t="s">
        <v>86</v>
      </c>
      <c r="OA2" s="3" t="s">
        <v>87</v>
      </c>
      <c r="PE2" s="3" t="s">
        <v>88</v>
      </c>
      <c r="QI2" s="3" t="s">
        <v>89</v>
      </c>
      <c r="RM2" s="3" t="s">
        <v>90</v>
      </c>
      <c r="SQ2" s="3" t="s">
        <v>91</v>
      </c>
      <c r="TU2" s="3" t="s">
        <v>92</v>
      </c>
      <c r="UY2" s="3" t="s">
        <v>93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_xll.BDS("FBA US Equity","SUPPLY_CHAIN_SUPPLIERS_ALL_DATA")</f>
        <v>#N/A N/A</v>
      </c>
      <c r="O5" t="str">
        <f>_xll.BDS("FBA US Equity","SUPPLY_CHAIN_CUSTOMERS_ALL_DATA")</f>
        <v>#N/A N/A</v>
      </c>
      <c r="AE5" t="str">
        <f>_xll.BDS("OLBK US Equity","SUPPLY_CHAIN_SUPPLIERS_ALL_DATA")</f>
        <v>#N/A N/A</v>
      </c>
      <c r="AS5" t="str">
        <f>_xll.BDS("OLBK US Equity","SUPPLY_CHAIN_CUSTOMERS_ALL_DATA")</f>
        <v>#N/A N/A</v>
      </c>
      <c r="BI5" t="str">
        <f>_xll.BDS("540513Q US Equity","SUPPLY_CHAIN_SUPPLIERS_ALL_DATA")</f>
        <v>#N/A N/A</v>
      </c>
      <c r="BW5" t="str">
        <f>_xll.BDS("540513Q US Equity","SUPPLY_CHAIN_CUSTOMERS_ALL_DATA")</f>
        <v>#N/A N/A</v>
      </c>
      <c r="CM5" t="str">
        <f>_xll.BDS("ESXB US Equity","SUPPLY_CHAIN_SUPPLIERS_ALL_DATA")</f>
        <v>#N/A N/A</v>
      </c>
      <c r="DA5" t="str">
        <f>_xll.BDS("ESXB US Equity","SUPPLY_CHAIN_CUSTOMERS_ALL_DATA")</f>
        <v>#N/A N/A</v>
      </c>
      <c r="DQ5" t="str">
        <f>_xll.BDS("KBAL US Equity","SUPPLY_CHAIN_SUPPLIERS_ALL_DATA","cols=12;rows=5")</f>
        <v>CNP US Equity</v>
      </c>
      <c r="DS5">
        <v>-2.4245362661989844E-14</v>
      </c>
      <c r="DT5">
        <v>-2.4245362661989844E-14</v>
      </c>
      <c r="DU5" t="s">
        <v>1814</v>
      </c>
      <c r="DV5">
        <v>2021</v>
      </c>
      <c r="DW5" t="s">
        <v>2364</v>
      </c>
      <c r="DX5" s="6">
        <v>44693</v>
      </c>
      <c r="DY5">
        <v>5</v>
      </c>
      <c r="DZ5">
        <v>-2.4245362661989844E-14</v>
      </c>
      <c r="EA5">
        <v>100760</v>
      </c>
      <c r="EB5" t="s">
        <v>2365</v>
      </c>
      <c r="EE5" t="str">
        <f>_xll.BDS("KBAL US Equity","SUPPLY_CHAIN_CUSTOMERS_ALL_DATA","cols=12;rows=2")</f>
        <v>3352Z US Equity</v>
      </c>
      <c r="EF5">
        <v>-2.4245362661989844E-14</v>
      </c>
      <c r="EH5">
        <v>-2.4245362661989844E-14</v>
      </c>
      <c r="EI5" t="s">
        <v>1814</v>
      </c>
      <c r="EJ5">
        <v>2022</v>
      </c>
      <c r="EK5" t="s">
        <v>3726</v>
      </c>
      <c r="EL5" s="6">
        <v>44805</v>
      </c>
      <c r="EM5">
        <v>2</v>
      </c>
      <c r="EN5">
        <v>-2.4245362661989844E-14</v>
      </c>
      <c r="EO5">
        <v>218252</v>
      </c>
      <c r="EP5" t="s">
        <v>2012</v>
      </c>
      <c r="EU5" t="str">
        <f>_xll.BDS("TOBC US Equity","SUPPLY_CHAIN_SUPPLIERS_ALL_DATA")</f>
        <v>#N/A N/A</v>
      </c>
      <c r="FI5" t="str">
        <f>_xll.BDS("TOBC US Equity","SUPPLY_CHAIN_CUSTOMERS_ALL_DATA")</f>
        <v>#N/A N/A</v>
      </c>
      <c r="FY5" t="str">
        <f>_xll.BDS("GFR US Equity","SUPPLY_CHAIN_SUPPLIERS_ALL_DATA","cols=12;rows=3")</f>
        <v>1817971D CN Equity</v>
      </c>
      <c r="GA5">
        <v>-2.4245362661989844E-14</v>
      </c>
      <c r="GB5">
        <v>-2.4245362661989844E-14</v>
      </c>
      <c r="GC5" t="s">
        <v>1814</v>
      </c>
      <c r="GD5">
        <v>2024</v>
      </c>
      <c r="GE5" t="s">
        <v>4246</v>
      </c>
      <c r="GF5" s="6">
        <v>45736</v>
      </c>
      <c r="GG5">
        <v>3</v>
      </c>
      <c r="GH5">
        <v>-2.4245362661989844E-14</v>
      </c>
      <c r="GI5">
        <v>17683119</v>
      </c>
      <c r="GJ5" t="s">
        <v>4247</v>
      </c>
      <c r="GM5" t="str">
        <f>_xll.BDS("GFR US Equity","SUPPLY_CHAIN_CUSTOMERS_ALL_DATA","cols=12;rows=2")</f>
        <v>1188058D SP Equity</v>
      </c>
      <c r="GN5">
        <v>-2.4245362661989844E-14</v>
      </c>
      <c r="GP5">
        <v>-2.4245362661989844E-14</v>
      </c>
      <c r="GQ5" t="s">
        <v>1814</v>
      </c>
      <c r="GR5">
        <v>2022</v>
      </c>
      <c r="GS5" t="s">
        <v>4240</v>
      </c>
      <c r="GT5" s="6">
        <v>45149</v>
      </c>
      <c r="GU5">
        <v>2</v>
      </c>
      <c r="GV5">
        <v>-2.4245362661989844E-14</v>
      </c>
      <c r="GW5">
        <v>38748648</v>
      </c>
      <c r="GX5" t="s">
        <v>4241</v>
      </c>
      <c r="HC5" t="str">
        <f>_xll.BDS("MSI US Equity","SUPPLY_CHAIN_SUPPLIERS_ALL_DATA","cols=12;rows=5")</f>
        <v>SANM US Equity</v>
      </c>
      <c r="HD5" t="s">
        <v>1822</v>
      </c>
      <c r="HE5">
        <v>11.295623000000001</v>
      </c>
      <c r="HF5">
        <v>18.250340999999999</v>
      </c>
      <c r="HG5" t="s">
        <v>1823</v>
      </c>
      <c r="HH5">
        <v>2025</v>
      </c>
      <c r="HI5" t="s">
        <v>1983</v>
      </c>
      <c r="HJ5" s="6">
        <v>45791</v>
      </c>
      <c r="HK5">
        <v>5</v>
      </c>
      <c r="HL5">
        <v>224114192</v>
      </c>
      <c r="HM5">
        <v>116988</v>
      </c>
      <c r="HN5" t="s">
        <v>1984</v>
      </c>
      <c r="HQ5" t="str">
        <f>_xll.BDS("MSI US Equity","SUPPLY_CHAIN_CUSTOMERS_ALL_DATA","cols=12;rows=5")</f>
        <v>3352Z US Equity</v>
      </c>
      <c r="HR5">
        <v>8</v>
      </c>
      <c r="HT5">
        <v>-2.4245362661989844E-14</v>
      </c>
      <c r="HU5" t="s">
        <v>1814</v>
      </c>
      <c r="HV5">
        <v>2025</v>
      </c>
      <c r="HW5" t="s">
        <v>2173</v>
      </c>
      <c r="HX5" s="6">
        <v>46065</v>
      </c>
      <c r="HY5">
        <v>5</v>
      </c>
      <c r="HZ5">
        <v>233640000</v>
      </c>
      <c r="IA5">
        <v>218252</v>
      </c>
      <c r="IB5" t="s">
        <v>2012</v>
      </c>
      <c r="IG5" t="str">
        <f>_xll.BDS("NTUS US Equity","SUPPLY_CHAIN_SUPPLIERS_ALL_DATA","cols=12;rows=5")</f>
        <v>DCO US Equity</v>
      </c>
      <c r="II5">
        <v>-2.4245362661989844E-14</v>
      </c>
      <c r="IJ5">
        <v>-2.4245362661989844E-14</v>
      </c>
      <c r="IK5" t="s">
        <v>1806</v>
      </c>
      <c r="IL5">
        <v>2023</v>
      </c>
      <c r="IM5" t="s">
        <v>3196</v>
      </c>
      <c r="IN5" s="6">
        <v>45051</v>
      </c>
      <c r="IO5">
        <v>5</v>
      </c>
      <c r="IP5">
        <v>-2.4245362661989844E-14</v>
      </c>
      <c r="IQ5">
        <v>103317</v>
      </c>
      <c r="IR5" t="s">
        <v>2224</v>
      </c>
      <c r="IU5" t="str">
        <f>_xll.BDS("NTUS US Equity","SUPPLY_CHAIN_CUSTOMERS_ALL_DATA")</f>
        <v>#N/A N/A</v>
      </c>
      <c r="JK5" t="str">
        <f>_xll.BDS("GABC US Equity","SUPPLY_CHAIN_SUPPLIERS_ALL_DATA")</f>
        <v>#N/A N/A</v>
      </c>
      <c r="JY5" t="str">
        <f>_xll.BDS("GABC US Equity","SUPPLY_CHAIN_CUSTOMERS_ALL_DATA")</f>
        <v>#N/A N/A</v>
      </c>
      <c r="KO5" t="str">
        <f>_xll.BDS("TFC US Equity","SUPPLY_CHAIN_SUPPLIERS_ALL_DATA","cols=12;rows=5")</f>
        <v>ADBE US Equity</v>
      </c>
      <c r="KP5" t="s">
        <v>1893</v>
      </c>
      <c r="KQ5">
        <v>9.3438999999999994E-2</v>
      </c>
      <c r="KR5">
        <v>0.18883900000000001</v>
      </c>
      <c r="KS5" t="s">
        <v>1823</v>
      </c>
      <c r="KT5">
        <v>2025</v>
      </c>
      <c r="KU5" t="s">
        <v>1894</v>
      </c>
      <c r="KV5" s="6">
        <v>45838</v>
      </c>
      <c r="KW5">
        <v>5</v>
      </c>
      <c r="KX5">
        <v>5487672</v>
      </c>
      <c r="KY5">
        <v>101689</v>
      </c>
      <c r="KZ5" t="s">
        <v>1895</v>
      </c>
      <c r="LC5" t="str">
        <f>_xll.BDS("TFC US Equity","SUPPLY_CHAIN_CUSTOMERS_ALL_DATA")</f>
        <v>RENG IN Equity</v>
      </c>
      <c r="LS5" t="str">
        <f>_xll.BDS("NFBK US Equity","SUPPLY_CHAIN_SUPPLIERS_ALL_DATA")</f>
        <v>#N/A N/A</v>
      </c>
      <c r="MG5" t="str">
        <f>_xll.BDS("NFBK US Equity","SUPPLY_CHAIN_CUSTOMERS_ALL_DATA")</f>
        <v>#N/A N/A</v>
      </c>
      <c r="MW5" t="str">
        <f>_xll.BDS("BVH US Equity","SUPPLY_CHAIN_SUPPLIERS_ALL_DATA")</f>
        <v>ECL US Equity</v>
      </c>
      <c r="NK5" t="str">
        <f>_xll.BDS("BVH US Equity","SUPPLY_CHAIN_CUSTOMERS_ALL_DATA")</f>
        <v>#N/A N/A</v>
      </c>
      <c r="OA5" t="str">
        <f>_xll.BDS("LKQ US Equity","SUPPLY_CHAIN_SUPPLIERS_ALL_DATA","cols=12;rows=5")</f>
        <v>INFO IN Equity</v>
      </c>
      <c r="OB5" t="s">
        <v>1893</v>
      </c>
      <c r="OC5">
        <v>0.38285400000000003</v>
      </c>
      <c r="OD5">
        <v>1.872989</v>
      </c>
      <c r="OE5" t="s">
        <v>1823</v>
      </c>
      <c r="OF5">
        <v>2026</v>
      </c>
      <c r="OG5" t="s">
        <v>1997</v>
      </c>
      <c r="OH5" s="6">
        <v>46022</v>
      </c>
      <c r="OI5">
        <v>5</v>
      </c>
      <c r="OJ5">
        <v>17950504.309999999</v>
      </c>
      <c r="OK5">
        <v>174545</v>
      </c>
      <c r="OL5" t="s">
        <v>1998</v>
      </c>
      <c r="OO5" t="str">
        <f>_xll.BDS("LKQ US Equity","SUPPLY_CHAIN_CUSTOMERS_ALL_DATA","cols=12;rows=5")</f>
        <v>CEC GR Equity</v>
      </c>
      <c r="OP5">
        <v>1.7556780000000001</v>
      </c>
      <c r="OQ5" t="s">
        <v>1822</v>
      </c>
      <c r="OR5">
        <v>1.4288920000000001</v>
      </c>
      <c r="OS5" t="s">
        <v>1810</v>
      </c>
      <c r="OT5">
        <v>2025</v>
      </c>
      <c r="OU5" t="s">
        <v>2171</v>
      </c>
      <c r="OV5" s="6">
        <v>45926</v>
      </c>
      <c r="OW5">
        <v>5</v>
      </c>
      <c r="OX5">
        <v>63916270.450000003</v>
      </c>
      <c r="OY5">
        <v>191315</v>
      </c>
      <c r="OZ5" t="s">
        <v>2172</v>
      </c>
      <c r="PE5" t="str">
        <f>_xll.BDS("FJCC US Equity","SUPPLY_CHAIN_SUPPLIERS_ALL_DATA","cols=12;rows=1")</f>
        <v>038340 KS Equity</v>
      </c>
      <c r="PG5">
        <v>-2.4245362661989844E-14</v>
      </c>
      <c r="PH5">
        <v>-2.4245362661989844E-14</v>
      </c>
      <c r="PI5" t="s">
        <v>1831</v>
      </c>
      <c r="PJ5">
        <v>2025</v>
      </c>
      <c r="PK5" t="s">
        <v>4264</v>
      </c>
      <c r="PL5" s="6">
        <v>45973</v>
      </c>
      <c r="PM5">
        <v>1</v>
      </c>
      <c r="PN5">
        <v>-2.4245362661989844E-14</v>
      </c>
      <c r="PO5">
        <v>7575131</v>
      </c>
      <c r="PP5" t="s">
        <v>4265</v>
      </c>
      <c r="PS5" t="str">
        <f>_xll.BDS("FJCC US Equity","SUPPLY_CHAIN_CUSTOMERS_ALL_DATA")</f>
        <v>#N/A N/A</v>
      </c>
      <c r="QI5" t="str">
        <f>_xll.BDS("HET US Equity","SUPPLY_CHAIN_SUPPLIERS_ALL_DATA")</f>
        <v>#N/A N/A</v>
      </c>
      <c r="QW5" t="str">
        <f>_xll.BDS("HET US Equity","SUPPLY_CHAIN_CUSTOMERS_ALL_DATA")</f>
        <v>#N/A N/A</v>
      </c>
      <c r="RM5" t="str">
        <f>_xll.BDS("LAMR US Equity","SUPPLY_CHAIN_SUPPLIERS_ALL_DATA","cols=12;rows=2")</f>
        <v>CPTP US Equity</v>
      </c>
      <c r="RN5" t="s">
        <v>1893</v>
      </c>
      <c r="RO5">
        <v>21.596160999999999</v>
      </c>
      <c r="RP5">
        <v>0.34428399999999998</v>
      </c>
      <c r="RQ5" t="s">
        <v>1814</v>
      </c>
      <c r="RR5">
        <v>2024</v>
      </c>
      <c r="RS5" t="s">
        <v>2326</v>
      </c>
      <c r="RT5" s="6">
        <v>45695</v>
      </c>
      <c r="RU5">
        <v>2</v>
      </c>
      <c r="RV5">
        <v>303750</v>
      </c>
      <c r="RW5">
        <v>148353</v>
      </c>
      <c r="RX5" t="s">
        <v>2327</v>
      </c>
      <c r="SA5" t="str">
        <f>_xll.BDS("LAMR US Equity","SUPPLY_CHAIN_CUSTOMERS_ALL_DATA")</f>
        <v>1414936D US Equity</v>
      </c>
      <c r="SQ5" t="str">
        <f>_xll.BDS("FCCO US Equity","SUPPLY_CHAIN_SUPPLIERS_ALL_DATA")</f>
        <v>#N/A N/A</v>
      </c>
      <c r="TE5" t="str">
        <f>_xll.BDS("FCCO US Equity","SUPPLY_CHAIN_CUSTOMERS_ALL_DATA")</f>
        <v>#N/A N/A</v>
      </c>
      <c r="TU5" t="str">
        <f>_xll.BDS("FTBK US Equity","SUPPLY_CHAIN_SUPPLIERS_ALL_DATA")</f>
        <v>#N/A N/A</v>
      </c>
      <c r="UI5" t="str">
        <f>_xll.BDS("FTBK US Equity","SUPPLY_CHAIN_CUSTOMERS_ALL_DATA")</f>
        <v>#N/A N/A</v>
      </c>
      <c r="UY5" t="str">
        <f>_xll.BDS("CVOVQ US Equity","SUPPLY_CHAIN_SUPPLIERS_ALL_DATA","cols=12;rows=1")</f>
        <v>FRSH US Equity</v>
      </c>
      <c r="VA5">
        <v>-2.4245362661989844E-14</v>
      </c>
      <c r="VB5">
        <v>-2.4245362661989844E-14</v>
      </c>
      <c r="VC5" t="s">
        <v>1810</v>
      </c>
      <c r="VD5">
        <v>2023</v>
      </c>
      <c r="VE5" t="s">
        <v>4118</v>
      </c>
      <c r="VF5" s="6">
        <v>45230</v>
      </c>
      <c r="VG5">
        <v>1</v>
      </c>
      <c r="VH5">
        <v>-2.4245362661989844E-14</v>
      </c>
      <c r="VI5">
        <v>28498368</v>
      </c>
      <c r="VJ5" t="s">
        <v>2735</v>
      </c>
      <c r="VM5" t="str">
        <f>_xll.BDS("CVOVQ US Equity","SUPPLY_CHAIN_CUSTOMERS_ALL_DATA")</f>
        <v>#N/A N/A</v>
      </c>
    </row>
    <row r="6" spans="1:600" x14ac:dyDescent="0.25">
      <c r="DQ6" t="s">
        <v>2050</v>
      </c>
      <c r="DS6">
        <v>-2.4245362661989844E-14</v>
      </c>
      <c r="DT6">
        <v>-2.4245362661989844E-14</v>
      </c>
      <c r="DU6" t="s">
        <v>1814</v>
      </c>
      <c r="DV6">
        <v>2021</v>
      </c>
      <c r="DW6" t="s">
        <v>2051</v>
      </c>
      <c r="DX6" s="6">
        <v>44693</v>
      </c>
      <c r="DY6">
        <v>5</v>
      </c>
      <c r="DZ6">
        <v>-2.4245362661989844E-14</v>
      </c>
      <c r="EA6">
        <v>100481</v>
      </c>
      <c r="EB6" t="s">
        <v>2052</v>
      </c>
      <c r="EE6" t="s">
        <v>3727</v>
      </c>
      <c r="EF6">
        <v>-2.4245362661989844E-14</v>
      </c>
      <c r="EH6">
        <v>-2.4245362661989844E-14</v>
      </c>
      <c r="EI6" t="s">
        <v>1814</v>
      </c>
      <c r="EJ6">
        <v>2022</v>
      </c>
      <c r="EK6" t="s">
        <v>3726</v>
      </c>
      <c r="EL6" s="6">
        <v>44805</v>
      </c>
      <c r="EM6">
        <v>2</v>
      </c>
      <c r="EN6">
        <v>-2.4245362661989844E-14</v>
      </c>
      <c r="EO6">
        <v>196643</v>
      </c>
      <c r="EP6" t="s">
        <v>3728</v>
      </c>
      <c r="FY6" t="s">
        <v>4248</v>
      </c>
      <c r="GA6">
        <v>-2.4245362661989844E-14</v>
      </c>
      <c r="GB6">
        <v>-2.4245362661989844E-14</v>
      </c>
      <c r="GC6" t="s">
        <v>1814</v>
      </c>
      <c r="GD6">
        <v>2022</v>
      </c>
      <c r="GE6" t="s">
        <v>4240</v>
      </c>
      <c r="GF6" s="6">
        <v>45149</v>
      </c>
      <c r="GG6">
        <v>3</v>
      </c>
      <c r="GH6">
        <v>-2.4245362661989844E-14</v>
      </c>
      <c r="GI6">
        <v>186292</v>
      </c>
      <c r="GJ6" t="s">
        <v>4249</v>
      </c>
      <c r="GM6" t="s">
        <v>4242</v>
      </c>
      <c r="GN6">
        <v>-2.4245362661989844E-14</v>
      </c>
      <c r="GP6">
        <v>-2.4245362661989844E-14</v>
      </c>
      <c r="GQ6" t="s">
        <v>1814</v>
      </c>
      <c r="GR6">
        <v>2022</v>
      </c>
      <c r="GS6" t="s">
        <v>4240</v>
      </c>
      <c r="GT6" s="6">
        <v>45149</v>
      </c>
      <c r="GU6">
        <v>2</v>
      </c>
      <c r="GV6">
        <v>-2.4245362661989844E-14</v>
      </c>
      <c r="GW6">
        <v>9850073</v>
      </c>
      <c r="GX6" t="s">
        <v>4243</v>
      </c>
      <c r="HC6" t="s">
        <v>1881</v>
      </c>
      <c r="HD6" t="s">
        <v>1822</v>
      </c>
      <c r="HE6">
        <v>0.46781499999999998</v>
      </c>
      <c r="HF6">
        <v>2.0978080000000001</v>
      </c>
      <c r="HG6" t="s">
        <v>1810</v>
      </c>
      <c r="HH6">
        <v>2025</v>
      </c>
      <c r="HI6" t="s">
        <v>1882</v>
      </c>
      <c r="HJ6" s="6">
        <v>45763</v>
      </c>
      <c r="HK6">
        <v>5</v>
      </c>
      <c r="HL6">
        <v>30669952</v>
      </c>
      <c r="HM6">
        <v>136547</v>
      </c>
      <c r="HN6" t="s">
        <v>1883</v>
      </c>
      <c r="HQ6" t="s">
        <v>1849</v>
      </c>
      <c r="HR6">
        <v>2.7820800000000001</v>
      </c>
      <c r="HS6" t="s">
        <v>1822</v>
      </c>
      <c r="HT6">
        <v>0.51724400000000004</v>
      </c>
      <c r="HU6" t="s">
        <v>1827</v>
      </c>
      <c r="HV6">
        <v>2025</v>
      </c>
      <c r="HW6" t="s">
        <v>1850</v>
      </c>
      <c r="HX6" s="6">
        <v>46056</v>
      </c>
      <c r="HY6">
        <v>5</v>
      </c>
      <c r="HZ6">
        <v>83712784</v>
      </c>
      <c r="IA6">
        <v>1499717</v>
      </c>
      <c r="IB6" t="s">
        <v>1851</v>
      </c>
      <c r="IG6" t="s">
        <v>3197</v>
      </c>
      <c r="II6">
        <v>-2.4245362661989844E-14</v>
      </c>
      <c r="IJ6">
        <v>-2.4245362661989844E-14</v>
      </c>
      <c r="IK6" t="s">
        <v>1814</v>
      </c>
      <c r="IL6">
        <v>2021</v>
      </c>
      <c r="IM6" t="s">
        <v>3198</v>
      </c>
      <c r="IN6" s="6">
        <v>44693</v>
      </c>
      <c r="IO6">
        <v>5</v>
      </c>
      <c r="IP6">
        <v>-2.4245362661989844E-14</v>
      </c>
      <c r="IQ6">
        <v>101170</v>
      </c>
      <c r="IR6" t="s">
        <v>3199</v>
      </c>
      <c r="KO6" t="s">
        <v>2124</v>
      </c>
      <c r="KP6" t="s">
        <v>1893</v>
      </c>
      <c r="KQ6">
        <v>1.151538</v>
      </c>
      <c r="KR6">
        <v>7.7191999999999997E-2</v>
      </c>
      <c r="KS6" t="s">
        <v>1814</v>
      </c>
      <c r="KT6">
        <v>2024</v>
      </c>
      <c r="KU6" t="s">
        <v>2331</v>
      </c>
      <c r="KV6" s="6">
        <v>45716</v>
      </c>
      <c r="KW6">
        <v>5</v>
      </c>
      <c r="KX6">
        <v>2317499</v>
      </c>
      <c r="KY6">
        <v>35300053</v>
      </c>
      <c r="KZ6" t="s">
        <v>2126</v>
      </c>
      <c r="OA6" t="s">
        <v>3885</v>
      </c>
      <c r="OB6" t="s">
        <v>1822</v>
      </c>
      <c r="OC6">
        <v>7.3687000000000002E-2</v>
      </c>
      <c r="OD6">
        <v>0.20865300000000001</v>
      </c>
      <c r="OE6" t="s">
        <v>1823</v>
      </c>
      <c r="OF6">
        <v>2025</v>
      </c>
      <c r="OG6" t="s">
        <v>3886</v>
      </c>
      <c r="OH6" s="6">
        <v>45869</v>
      </c>
      <c r="OI6">
        <v>5</v>
      </c>
      <c r="OJ6">
        <v>4652966</v>
      </c>
      <c r="OK6">
        <v>101341</v>
      </c>
      <c r="OL6" t="s">
        <v>3887</v>
      </c>
      <c r="OO6" t="s">
        <v>4282</v>
      </c>
      <c r="OP6">
        <v>1.5629999999999999E-3</v>
      </c>
      <c r="OQ6" t="s">
        <v>1822</v>
      </c>
      <c r="OR6">
        <v>2.862E-2</v>
      </c>
      <c r="OS6" t="s">
        <v>1814</v>
      </c>
      <c r="OT6">
        <v>2024</v>
      </c>
      <c r="OU6" t="s">
        <v>4283</v>
      </c>
      <c r="OV6" s="6">
        <v>45765</v>
      </c>
      <c r="OW6">
        <v>5</v>
      </c>
      <c r="OX6">
        <v>55309.75</v>
      </c>
      <c r="OY6">
        <v>7818572</v>
      </c>
      <c r="OZ6" t="s">
        <v>4284</v>
      </c>
      <c r="RM6" t="s">
        <v>2328</v>
      </c>
      <c r="RO6">
        <v>-2.4245362661989844E-14</v>
      </c>
      <c r="RP6">
        <v>-2.4245362661989844E-14</v>
      </c>
      <c r="RQ6" t="s">
        <v>1814</v>
      </c>
      <c r="RR6">
        <v>2024</v>
      </c>
      <c r="RS6" t="s">
        <v>2329</v>
      </c>
      <c r="RT6" s="6">
        <v>45741</v>
      </c>
      <c r="RU6">
        <v>2</v>
      </c>
      <c r="RV6">
        <v>-2.4245362661989844E-14</v>
      </c>
      <c r="RW6">
        <v>10097481</v>
      </c>
      <c r="RX6" t="s">
        <v>2330</v>
      </c>
    </row>
    <row r="7" spans="1:600" x14ac:dyDescent="0.25">
      <c r="DQ7" t="s">
        <v>1994</v>
      </c>
      <c r="DS7">
        <v>-2.4245362661989844E-14</v>
      </c>
      <c r="DT7">
        <v>-2.4245362661989844E-14</v>
      </c>
      <c r="DU7" t="s">
        <v>1814</v>
      </c>
      <c r="DV7">
        <v>2021</v>
      </c>
      <c r="DW7" t="s">
        <v>1995</v>
      </c>
      <c r="DX7" s="6">
        <v>44693</v>
      </c>
      <c r="DY7">
        <v>5</v>
      </c>
      <c r="DZ7">
        <v>-2.4245362661989844E-14</v>
      </c>
      <c r="EA7">
        <v>302916</v>
      </c>
      <c r="EB7" t="s">
        <v>1996</v>
      </c>
      <c r="FY7" t="s">
        <v>4250</v>
      </c>
      <c r="GA7">
        <v>-2.4245362661989844E-14</v>
      </c>
      <c r="GB7">
        <v>-2.4245362661989844E-14</v>
      </c>
      <c r="GC7" t="s">
        <v>1814</v>
      </c>
      <c r="GD7">
        <v>2022</v>
      </c>
      <c r="GE7" t="s">
        <v>4240</v>
      </c>
      <c r="GF7" s="6">
        <v>45149</v>
      </c>
      <c r="GG7">
        <v>3</v>
      </c>
      <c r="GH7">
        <v>-2.4245362661989844E-14</v>
      </c>
      <c r="GI7">
        <v>101499</v>
      </c>
      <c r="GJ7" t="s">
        <v>4251</v>
      </c>
      <c r="HC7" t="s">
        <v>1985</v>
      </c>
      <c r="HD7" t="s">
        <v>1822</v>
      </c>
      <c r="HE7">
        <v>0.39923900000000001</v>
      </c>
      <c r="HF7">
        <v>1.515544</v>
      </c>
      <c r="HG7" t="s">
        <v>1806</v>
      </c>
      <c r="HH7">
        <v>2025</v>
      </c>
      <c r="HI7" t="s">
        <v>1986</v>
      </c>
      <c r="HJ7" s="6">
        <v>45866</v>
      </c>
      <c r="HK7">
        <v>5</v>
      </c>
      <c r="HL7">
        <v>18607183.170000002</v>
      </c>
      <c r="HM7">
        <v>7359591</v>
      </c>
      <c r="HN7" t="s">
        <v>1987</v>
      </c>
      <c r="HQ7" t="s">
        <v>2164</v>
      </c>
      <c r="HR7">
        <v>0.49351600000000001</v>
      </c>
      <c r="HS7" t="s">
        <v>1822</v>
      </c>
      <c r="HT7">
        <v>0.16125400000000001</v>
      </c>
      <c r="HU7" t="s">
        <v>1823</v>
      </c>
      <c r="HV7">
        <v>2026</v>
      </c>
      <c r="HW7" t="s">
        <v>2165</v>
      </c>
      <c r="HX7" s="6">
        <v>45932</v>
      </c>
      <c r="HY7">
        <v>5</v>
      </c>
      <c r="HZ7">
        <v>13645717</v>
      </c>
      <c r="IA7">
        <v>100197</v>
      </c>
      <c r="IB7" t="s">
        <v>2166</v>
      </c>
      <c r="IG7" t="s">
        <v>3200</v>
      </c>
      <c r="II7">
        <v>-2.4245362661989844E-14</v>
      </c>
      <c r="IJ7">
        <v>-2.4245362661989844E-14</v>
      </c>
      <c r="IK7" t="s">
        <v>1814</v>
      </c>
      <c r="IL7">
        <v>2021</v>
      </c>
      <c r="IM7" t="s">
        <v>3201</v>
      </c>
      <c r="IN7" s="6">
        <v>44693</v>
      </c>
      <c r="IO7">
        <v>5</v>
      </c>
      <c r="IP7">
        <v>-2.4245362661989844E-14</v>
      </c>
      <c r="IQ7">
        <v>101674</v>
      </c>
      <c r="IR7" t="s">
        <v>3202</v>
      </c>
      <c r="KO7" t="s">
        <v>2332</v>
      </c>
      <c r="KP7" t="s">
        <v>1893</v>
      </c>
      <c r="KQ7">
        <v>0.492811</v>
      </c>
      <c r="KR7">
        <v>2.9784000000000001E-2</v>
      </c>
      <c r="KS7" t="s">
        <v>1806</v>
      </c>
      <c r="KT7">
        <v>2026</v>
      </c>
      <c r="KU7" t="s">
        <v>2333</v>
      </c>
      <c r="KV7" s="6">
        <v>45898</v>
      </c>
      <c r="KW7">
        <v>5</v>
      </c>
      <c r="KX7">
        <v>889383.69</v>
      </c>
      <c r="KY7">
        <v>178651</v>
      </c>
      <c r="KZ7" t="s">
        <v>2334</v>
      </c>
      <c r="OA7" t="s">
        <v>3383</v>
      </c>
      <c r="OB7" t="s">
        <v>1822</v>
      </c>
      <c r="OC7">
        <v>0.66653099999999998</v>
      </c>
      <c r="OD7">
        <v>0.14760899999999999</v>
      </c>
      <c r="OE7" t="s">
        <v>1823</v>
      </c>
      <c r="OF7">
        <v>2025</v>
      </c>
      <c r="OG7" t="s">
        <v>3384</v>
      </c>
      <c r="OH7" s="6">
        <v>45908</v>
      </c>
      <c r="OI7">
        <v>5</v>
      </c>
      <c r="OJ7">
        <v>3291683</v>
      </c>
      <c r="OK7">
        <v>101392</v>
      </c>
      <c r="OL7" t="s">
        <v>3385</v>
      </c>
      <c r="OO7" t="s">
        <v>4285</v>
      </c>
      <c r="OP7">
        <v>-2.4245362661989844E-14</v>
      </c>
      <c r="OR7">
        <v>-2.4245362661989844E-14</v>
      </c>
      <c r="OS7" t="s">
        <v>1810</v>
      </c>
      <c r="OT7">
        <v>2022</v>
      </c>
      <c r="OU7" t="s">
        <v>4286</v>
      </c>
      <c r="OV7" s="6">
        <v>44881</v>
      </c>
      <c r="OW7">
        <v>5</v>
      </c>
      <c r="OX7">
        <v>-2.4245362661989844E-14</v>
      </c>
      <c r="OY7">
        <v>25020910</v>
      </c>
      <c r="OZ7" t="s">
        <v>4287</v>
      </c>
    </row>
    <row r="8" spans="1:600" x14ac:dyDescent="0.25">
      <c r="DQ8" t="s">
        <v>2685</v>
      </c>
      <c r="DS8">
        <v>-2.4245362661989844E-14</v>
      </c>
      <c r="DT8">
        <v>-2.4245362661989844E-14</v>
      </c>
      <c r="DU8" t="s">
        <v>1814</v>
      </c>
      <c r="DV8">
        <v>2021</v>
      </c>
      <c r="DW8" t="s">
        <v>2686</v>
      </c>
      <c r="DX8" s="6">
        <v>44693</v>
      </c>
      <c r="DY8">
        <v>5</v>
      </c>
      <c r="DZ8">
        <v>-2.4245362661989844E-14</v>
      </c>
      <c r="EA8">
        <v>101153</v>
      </c>
      <c r="EB8" t="s">
        <v>2687</v>
      </c>
      <c r="HC8" t="s">
        <v>1988</v>
      </c>
      <c r="HD8" t="s">
        <v>1822</v>
      </c>
      <c r="HE8">
        <v>0.52334800000000004</v>
      </c>
      <c r="HF8">
        <v>0.67549400000000004</v>
      </c>
      <c r="HG8" t="s">
        <v>1806</v>
      </c>
      <c r="HH8">
        <v>2025</v>
      </c>
      <c r="HI8" t="s">
        <v>1989</v>
      </c>
      <c r="HJ8" s="6">
        <v>45792</v>
      </c>
      <c r="HK8">
        <v>5</v>
      </c>
      <c r="HL8">
        <v>8295066</v>
      </c>
      <c r="HM8">
        <v>15242973</v>
      </c>
      <c r="HN8" t="s">
        <v>1990</v>
      </c>
      <c r="HQ8" t="s">
        <v>1840</v>
      </c>
      <c r="HR8">
        <v>0.48504599999999998</v>
      </c>
      <c r="HS8" t="s">
        <v>1822</v>
      </c>
      <c r="HT8">
        <v>0.30077399999999999</v>
      </c>
      <c r="HU8" t="s">
        <v>1806</v>
      </c>
      <c r="HV8">
        <v>2025</v>
      </c>
      <c r="HW8" t="s">
        <v>1841</v>
      </c>
      <c r="HX8" s="6">
        <v>45820</v>
      </c>
      <c r="HY8">
        <v>5</v>
      </c>
      <c r="HZ8">
        <v>12261954</v>
      </c>
      <c r="IA8">
        <v>12129192</v>
      </c>
      <c r="IB8" t="s">
        <v>1842</v>
      </c>
      <c r="IG8" t="s">
        <v>3203</v>
      </c>
      <c r="II8">
        <v>-2.4245362661989844E-14</v>
      </c>
      <c r="IJ8">
        <v>-2.4245362661989844E-14</v>
      </c>
      <c r="IK8" t="s">
        <v>1814</v>
      </c>
      <c r="IL8">
        <v>2021</v>
      </c>
      <c r="IM8" t="s">
        <v>3204</v>
      </c>
      <c r="IN8" s="6">
        <v>44693</v>
      </c>
      <c r="IO8">
        <v>5</v>
      </c>
      <c r="IP8">
        <v>-2.4245362661989844E-14</v>
      </c>
      <c r="IQ8">
        <v>105284</v>
      </c>
      <c r="IR8" t="s">
        <v>3205</v>
      </c>
      <c r="KO8" t="s">
        <v>2002</v>
      </c>
      <c r="KQ8">
        <v>0.44397199999999998</v>
      </c>
      <c r="KR8">
        <v>-2.4245362661989844E-14</v>
      </c>
      <c r="KS8" t="s">
        <v>1827</v>
      </c>
      <c r="KT8">
        <v>2024</v>
      </c>
      <c r="KU8" t="s">
        <v>2335</v>
      </c>
      <c r="KV8" s="6">
        <v>45699</v>
      </c>
      <c r="KW8">
        <v>5</v>
      </c>
      <c r="KX8">
        <v>316250</v>
      </c>
      <c r="KY8">
        <v>10086577</v>
      </c>
      <c r="KZ8" t="s">
        <v>2004</v>
      </c>
      <c r="OA8" t="s">
        <v>4075</v>
      </c>
      <c r="OB8" t="s">
        <v>1949</v>
      </c>
      <c r="OC8">
        <v>2.42</v>
      </c>
      <c r="OD8">
        <v>1.303024</v>
      </c>
      <c r="OE8" t="s">
        <v>1814</v>
      </c>
      <c r="OF8">
        <v>2024</v>
      </c>
      <c r="OG8" t="s">
        <v>4076</v>
      </c>
      <c r="OH8" s="6">
        <v>45884</v>
      </c>
      <c r="OI8">
        <v>5</v>
      </c>
      <c r="OJ8">
        <v>888323.88</v>
      </c>
      <c r="OK8">
        <v>24565921</v>
      </c>
      <c r="OL8" t="s">
        <v>4077</v>
      </c>
      <c r="OO8" t="s">
        <v>4288</v>
      </c>
      <c r="OP8">
        <v>-2.4245362661989844E-14</v>
      </c>
      <c r="OR8">
        <v>-2.4245362661989844E-14</v>
      </c>
      <c r="OS8" t="s">
        <v>1810</v>
      </c>
      <c r="OT8">
        <v>2022</v>
      </c>
      <c r="OU8" t="s">
        <v>4286</v>
      </c>
      <c r="OV8" s="6">
        <v>44881</v>
      </c>
      <c r="OW8">
        <v>5</v>
      </c>
      <c r="OX8">
        <v>-2.4245362661989844E-14</v>
      </c>
      <c r="OY8">
        <v>24968913</v>
      </c>
      <c r="OZ8" t="s">
        <v>4289</v>
      </c>
    </row>
    <row r="9" spans="1:600" x14ac:dyDescent="0.25">
      <c r="DQ9" t="s">
        <v>2742</v>
      </c>
      <c r="DS9">
        <v>-2.4245362661989844E-14</v>
      </c>
      <c r="DT9">
        <v>-2.4245362661989844E-14</v>
      </c>
      <c r="DU9" t="s">
        <v>1814</v>
      </c>
      <c r="DV9">
        <v>2021</v>
      </c>
      <c r="DW9" t="s">
        <v>2743</v>
      </c>
      <c r="DX9" s="6">
        <v>44693</v>
      </c>
      <c r="DY9">
        <v>5</v>
      </c>
      <c r="DZ9">
        <v>-2.4245362661989844E-14</v>
      </c>
      <c r="EA9">
        <v>350245</v>
      </c>
      <c r="EB9" t="s">
        <v>2744</v>
      </c>
      <c r="HC9" t="s">
        <v>1991</v>
      </c>
      <c r="HD9" t="s">
        <v>1822</v>
      </c>
      <c r="HE9">
        <v>12.54</v>
      </c>
      <c r="HF9">
        <v>0.54083499999999995</v>
      </c>
      <c r="HG9" t="s">
        <v>1831</v>
      </c>
      <c r="HH9">
        <v>2025</v>
      </c>
      <c r="HI9" t="s">
        <v>1992</v>
      </c>
      <c r="HJ9" s="6">
        <v>45954</v>
      </c>
      <c r="HK9">
        <v>5</v>
      </c>
      <c r="HL9">
        <v>7432423.6699999999</v>
      </c>
      <c r="HM9">
        <v>13138644</v>
      </c>
      <c r="HN9" t="s">
        <v>1993</v>
      </c>
      <c r="HQ9" t="s">
        <v>2174</v>
      </c>
      <c r="HR9">
        <v>0.42185099999999998</v>
      </c>
      <c r="HS9" t="s">
        <v>1822</v>
      </c>
      <c r="HT9">
        <v>43.740009000000001</v>
      </c>
      <c r="HU9" t="s">
        <v>1814</v>
      </c>
      <c r="HV9">
        <v>2024</v>
      </c>
      <c r="HW9" t="s">
        <v>2175</v>
      </c>
      <c r="HX9" s="6">
        <v>45798</v>
      </c>
      <c r="HY9">
        <v>5</v>
      </c>
      <c r="HZ9">
        <v>11679674.470000001</v>
      </c>
      <c r="IA9">
        <v>812726</v>
      </c>
      <c r="IB9" t="s">
        <v>2176</v>
      </c>
      <c r="IG9" t="s">
        <v>2863</v>
      </c>
      <c r="II9">
        <v>-2.4245362661989844E-14</v>
      </c>
      <c r="IJ9">
        <v>-2.4245362661989844E-14</v>
      </c>
      <c r="IK9" t="s">
        <v>1814</v>
      </c>
      <c r="IL9">
        <v>2021</v>
      </c>
      <c r="IM9" t="s">
        <v>2864</v>
      </c>
      <c r="IN9" s="6">
        <v>44693</v>
      </c>
      <c r="IO9">
        <v>5</v>
      </c>
      <c r="IP9">
        <v>-2.4245362661989844E-14</v>
      </c>
      <c r="IQ9">
        <v>179563</v>
      </c>
      <c r="IR9" t="s">
        <v>2865</v>
      </c>
      <c r="KO9" t="s">
        <v>2336</v>
      </c>
      <c r="KQ9">
        <v>-2.4245362661989844E-14</v>
      </c>
      <c r="KR9">
        <v>-2.4245362661989844E-14</v>
      </c>
      <c r="KS9" t="s">
        <v>1831</v>
      </c>
      <c r="KT9">
        <v>2025</v>
      </c>
      <c r="KU9" t="s">
        <v>2337</v>
      </c>
      <c r="KV9" s="6">
        <v>45974</v>
      </c>
      <c r="KW9">
        <v>5</v>
      </c>
      <c r="KX9">
        <v>-2.4245362661989844E-14</v>
      </c>
      <c r="KY9">
        <v>118099</v>
      </c>
      <c r="KZ9" t="s">
        <v>2338</v>
      </c>
      <c r="OA9" t="s">
        <v>4078</v>
      </c>
      <c r="OB9" t="s">
        <v>1822</v>
      </c>
      <c r="OC9">
        <v>1.4506E-2</v>
      </c>
      <c r="OD9">
        <v>4.2903999999999998E-2</v>
      </c>
      <c r="OE9" t="s">
        <v>1827</v>
      </c>
      <c r="OF9">
        <v>2024</v>
      </c>
      <c r="OG9" t="s">
        <v>4079</v>
      </c>
      <c r="OH9" s="6">
        <v>45712</v>
      </c>
      <c r="OI9">
        <v>5</v>
      </c>
      <c r="OJ9">
        <v>871811</v>
      </c>
      <c r="OK9">
        <v>101001</v>
      </c>
      <c r="OL9" t="s">
        <v>4080</v>
      </c>
      <c r="OO9" t="s">
        <v>4290</v>
      </c>
      <c r="OP9">
        <v>-2.4245362661989844E-14</v>
      </c>
      <c r="OR9">
        <v>-2.4245362661989844E-14</v>
      </c>
      <c r="OS9" t="s">
        <v>1814</v>
      </c>
      <c r="OT9">
        <v>2023</v>
      </c>
      <c r="OU9" t="s">
        <v>4291</v>
      </c>
      <c r="OV9" s="6">
        <v>45180</v>
      </c>
      <c r="OW9">
        <v>5</v>
      </c>
      <c r="OX9">
        <v>-2.4245362661989844E-14</v>
      </c>
      <c r="OY9">
        <v>17075175</v>
      </c>
      <c r="OZ9" t="s">
        <v>4292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110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114</v>
      </c>
      <c r="AE2" s="3" t="s">
        <v>115</v>
      </c>
      <c r="BI2" s="3" t="s">
        <v>116</v>
      </c>
      <c r="CM2" s="3" t="s">
        <v>117</v>
      </c>
      <c r="DQ2" s="3" t="s">
        <v>118</v>
      </c>
      <c r="EU2" s="3" t="s">
        <v>119</v>
      </c>
      <c r="FY2" s="3" t="s">
        <v>120</v>
      </c>
      <c r="HC2" s="3" t="s">
        <v>121</v>
      </c>
      <c r="IG2" s="3" t="s">
        <v>122</v>
      </c>
      <c r="JK2" s="3" t="s">
        <v>123</v>
      </c>
      <c r="KO2" s="3" t="s">
        <v>124</v>
      </c>
      <c r="LS2" s="3" t="s">
        <v>125</v>
      </c>
      <c r="MW2" s="3" t="s">
        <v>126</v>
      </c>
      <c r="OA2" s="3" t="s">
        <v>127</v>
      </c>
      <c r="PE2" s="3" t="s">
        <v>128</v>
      </c>
      <c r="QI2" s="3" t="s">
        <v>129</v>
      </c>
      <c r="RM2" s="3" t="s">
        <v>130</v>
      </c>
      <c r="SQ2" s="3" t="s">
        <v>131</v>
      </c>
      <c r="TU2" s="3" t="s">
        <v>132</v>
      </c>
      <c r="UY2" s="3" t="s">
        <v>133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_xll.BDS("2310330D US Equity","SUPPLY_CHAIN_SUPPLIERS_ALL_DATA")</f>
        <v>#N/A N/A</v>
      </c>
      <c r="O5" t="str">
        <f>_xll.BDS("2310330D US Equity","SUPPLY_CHAIN_CUSTOMERS_ALL_DATA")</f>
        <v>#N/A N/A</v>
      </c>
      <c r="AE5" t="str">
        <f>_xll.BDS("PFBI US Equity","SUPPLY_CHAIN_SUPPLIERS_ALL_DATA")</f>
        <v>#N/A N/A</v>
      </c>
      <c r="AS5" t="str">
        <f>_xll.BDS("PFBI US Equity","SUPPLY_CHAIN_CUSTOMERS_ALL_DATA")</f>
        <v>#N/A N/A</v>
      </c>
      <c r="BI5" t="str">
        <f>_xll.BDS("RIVE US Equity","SUPPLY_CHAIN_SUPPLIERS_ALL_DATA")</f>
        <v>#N/A N/A</v>
      </c>
      <c r="BW5" t="str">
        <f>_xll.BDS("RIVE US Equity","SUPPLY_CHAIN_CUSTOMERS_ALL_DATA")</f>
        <v>#N/A N/A</v>
      </c>
      <c r="CM5" t="str">
        <f>_xll.BDS("SBNC US Equity","SUPPLY_CHAIN_SUPPLIERS_ALL_DATA")</f>
        <v>#N/A N/A</v>
      </c>
      <c r="DA5" t="str">
        <f>_xll.BDS("SBNC US Equity","SUPPLY_CHAIN_CUSTOMERS_ALL_DATA")</f>
        <v>#N/A N/A</v>
      </c>
      <c r="DQ5" t="str">
        <f>_xll.BDS("HAE US Equity","SUPPLY_CHAIN_SUPPLIERS_ALL_DATA","cols=12;rows=5")</f>
        <v>7702 JP Equity</v>
      </c>
      <c r="DR5" t="s">
        <v>1822</v>
      </c>
      <c r="DS5">
        <v>12.7</v>
      </c>
      <c r="DT5">
        <v>9.5162010000000006</v>
      </c>
      <c r="DU5" t="s">
        <v>1814</v>
      </c>
      <c r="DV5">
        <v>2025</v>
      </c>
      <c r="DW5" t="s">
        <v>3316</v>
      </c>
      <c r="DX5" s="6">
        <v>45833</v>
      </c>
      <c r="DY5">
        <v>5</v>
      </c>
      <c r="DZ5">
        <v>14572301.23</v>
      </c>
      <c r="EA5">
        <v>113832</v>
      </c>
      <c r="EB5" t="s">
        <v>3317</v>
      </c>
      <c r="EE5" t="str">
        <f>_xll.BDS("HAE US Equity","SUPPLY_CHAIN_CUSTOMERS_ALL_DATA","cols=12;rows=5")</f>
        <v>1130495Z SW Equity</v>
      </c>
      <c r="EF5">
        <v>-2.4245362661989844E-14</v>
      </c>
      <c r="EH5">
        <v>-2.4245362661989844E-14</v>
      </c>
      <c r="EI5" t="s">
        <v>1814</v>
      </c>
      <c r="EJ5">
        <v>2025</v>
      </c>
      <c r="EK5" t="s">
        <v>4351</v>
      </c>
      <c r="EL5" s="6">
        <v>45798</v>
      </c>
      <c r="EM5">
        <v>5</v>
      </c>
      <c r="EN5">
        <v>-2.4245362661989844E-14</v>
      </c>
      <c r="EO5">
        <v>11532878</v>
      </c>
      <c r="EP5" t="s">
        <v>4352</v>
      </c>
      <c r="EU5" t="str">
        <f>_xll.BDS("RCKT US Equity","SUPPLY_CHAIN_SUPPLIERS_ALL_DATA","cols=12;rows=5")</f>
        <v>5201 JP Equity</v>
      </c>
      <c r="EV5" t="s">
        <v>1822</v>
      </c>
      <c r="EW5">
        <v>1.5582E-2</v>
      </c>
      <c r="EX5">
        <v>0.75149500000000002</v>
      </c>
      <c r="EY5" t="s">
        <v>1823</v>
      </c>
      <c r="EZ5">
        <v>2025</v>
      </c>
      <c r="FA5" t="s">
        <v>2374</v>
      </c>
      <c r="FB5" s="6">
        <v>45959</v>
      </c>
      <c r="FC5">
        <v>5</v>
      </c>
      <c r="FD5">
        <v>534468.99</v>
      </c>
      <c r="FE5">
        <v>113332</v>
      </c>
      <c r="FF5" t="s">
        <v>2375</v>
      </c>
      <c r="FI5" t="str">
        <f>_xll.BDS("RCKT US Equity","SUPPLY_CHAIN_CUSTOMERS_ALL_DATA")</f>
        <v>#N/A N/A</v>
      </c>
      <c r="FY5" t="str">
        <f>_xll.BDS("HTBK US Equity","SUPPLY_CHAIN_SUPPLIERS_ALL_DATA")</f>
        <v>#N/A N/A</v>
      </c>
      <c r="GM5" t="str">
        <f>_xll.BDS("HTBK US Equity","SUPPLY_CHAIN_CUSTOMERS_ALL_DATA")</f>
        <v>#N/A N/A</v>
      </c>
      <c r="HC5" t="str">
        <f>_xll.BDS("FORR US Equity","SUPPLY_CHAIN_SUPPLIERS_ALL_DATA","cols=12;rows=4")</f>
        <v>2450443D US Equity</v>
      </c>
      <c r="HE5">
        <v>-2.4245362661989844E-14</v>
      </c>
      <c r="HF5">
        <v>-2.4245362661989844E-14</v>
      </c>
      <c r="HG5" t="s">
        <v>1814</v>
      </c>
      <c r="HH5">
        <v>2023</v>
      </c>
      <c r="HI5" t="s">
        <v>4128</v>
      </c>
      <c r="HJ5" s="6">
        <v>44998</v>
      </c>
      <c r="HK5">
        <v>4</v>
      </c>
      <c r="HL5">
        <v>-2.4245362661989844E-14</v>
      </c>
      <c r="HM5">
        <v>63035229</v>
      </c>
      <c r="HN5" t="s">
        <v>4215</v>
      </c>
      <c r="HQ5" t="str">
        <f>_xll.BDS("FORR US Equity","SUPPLY_CHAIN_CUSTOMERS_ALL_DATA","cols=12;rows=5")</f>
        <v>1319133D US Equity</v>
      </c>
      <c r="HR5">
        <v>-2.4245362661989844E-14</v>
      </c>
      <c r="HT5">
        <v>-2.4245362661989844E-14</v>
      </c>
      <c r="HU5" t="s">
        <v>1814</v>
      </c>
      <c r="HV5">
        <v>2023</v>
      </c>
      <c r="HW5" t="s">
        <v>4119</v>
      </c>
      <c r="HX5" s="6">
        <v>45190</v>
      </c>
      <c r="HY5">
        <v>5</v>
      </c>
      <c r="HZ5">
        <v>-2.4245362661989844E-14</v>
      </c>
      <c r="IA5">
        <v>47412790</v>
      </c>
      <c r="IB5" t="s">
        <v>4120</v>
      </c>
      <c r="IG5" t="str">
        <f>_xll.BDS("BCAL US Equity","SUPPLY_CHAIN_SUPPLIERS_ALL_DATA")</f>
        <v>#N/A N/A</v>
      </c>
      <c r="IU5" t="str">
        <f>_xll.BDS("BCAL US Equity","SUPPLY_CHAIN_CUSTOMERS_ALL_DATA")</f>
        <v>#N/A N/A</v>
      </c>
      <c r="JK5" t="str">
        <f>_xll.BDS("679882Q US Equity","SUPPLY_CHAIN_SUPPLIERS_ALL_DATA")</f>
        <v>#N/A N/A</v>
      </c>
      <c r="JY5" t="str">
        <f>_xll.BDS("679882Q US Equity","SUPPLY_CHAIN_CUSTOMERS_ALL_DATA")</f>
        <v>#N/A N/A</v>
      </c>
      <c r="KO5" t="str">
        <f>_xll.BDS("FCCY US Equity","SUPPLY_CHAIN_SUPPLIERS_ALL_DATA")</f>
        <v>#N/A N/A</v>
      </c>
      <c r="LC5" t="str">
        <f>_xll.BDS("FCCY US Equity","SUPPLY_CHAIN_CUSTOMERS_ALL_DATA")</f>
        <v>#N/A N/A</v>
      </c>
      <c r="LS5" t="str">
        <f>_xll.BDS("HILL US Equity","SUPPLY_CHAIN_SUPPLIERS_ALL_DATA")</f>
        <v>#N/A N/A</v>
      </c>
      <c r="MG5" t="str">
        <f>_xll.BDS("HILL US Equity","SUPPLY_CHAIN_CUSTOMERS_ALL_DATA")</f>
        <v>#N/A N/A</v>
      </c>
      <c r="MW5" t="str">
        <f>_xll.BDS("HWC US Equity","SUPPLY_CHAIN_SUPPLIERS_ALL_DATA","cols=12;rows=1")</f>
        <v>NMRK US Equity</v>
      </c>
      <c r="MY5">
        <v>-2.4245362661989844E-14</v>
      </c>
      <c r="MZ5">
        <v>-2.4245362661989844E-14</v>
      </c>
      <c r="NA5" t="s">
        <v>1814</v>
      </c>
      <c r="NB5">
        <v>2023</v>
      </c>
      <c r="NC5" t="s">
        <v>3179</v>
      </c>
      <c r="ND5" s="6">
        <v>45174</v>
      </c>
      <c r="NE5">
        <v>1</v>
      </c>
      <c r="NF5">
        <v>-2.4245362661989844E-14</v>
      </c>
      <c r="NG5">
        <v>55742501</v>
      </c>
      <c r="NH5" t="s">
        <v>3180</v>
      </c>
      <c r="NK5" t="str">
        <f>_xll.BDS("HWC US Equity","SUPPLY_CHAIN_CUSTOMERS_ALL_DATA")</f>
        <v>#N/A N/A</v>
      </c>
      <c r="OA5" t="str">
        <f>_xll.BDS("HU US Equity","SUPPLY_CHAIN_SUPPLIERS_ALL_DATA")</f>
        <v>#N/A N/A</v>
      </c>
      <c r="OO5" t="str">
        <f>_xll.BDS("HU US Equity","SUPPLY_CHAIN_CUSTOMERS_ALL_DATA")</f>
        <v>#N/A N/A</v>
      </c>
      <c r="PE5" t="str">
        <f>_xll.BDS("3470770Q US Equity","SUPPLY_CHAIN_SUPPLIERS_ALL_DATA")</f>
        <v>#N/A N/A</v>
      </c>
      <c r="PS5" t="str">
        <f>_xll.BDS("3470770Q US Equity","SUPPLY_CHAIN_CUSTOMERS_ALL_DATA")</f>
        <v>#N/A N/A</v>
      </c>
      <c r="QI5" t="str">
        <f>_xll.BDS("EQT US Equity","SUPPLY_CHAIN_SUPPLIERS_ALL_DATA","cols=12;rows=5")</f>
        <v>PWR US Equity</v>
      </c>
      <c r="QJ5" t="s">
        <v>1949</v>
      </c>
      <c r="QK5">
        <v>0.37664399999999998</v>
      </c>
      <c r="QL5">
        <v>4.5886250000000004</v>
      </c>
      <c r="QM5" t="s">
        <v>1810</v>
      </c>
      <c r="QN5">
        <v>2025</v>
      </c>
      <c r="QO5" t="s">
        <v>4378</v>
      </c>
      <c r="QP5" s="6">
        <v>45975</v>
      </c>
      <c r="QQ5">
        <v>5</v>
      </c>
      <c r="QR5">
        <v>28743240</v>
      </c>
      <c r="QS5">
        <v>305366</v>
      </c>
      <c r="QT5" t="s">
        <v>4379</v>
      </c>
      <c r="QW5" t="str">
        <f>_xll.BDS("EQT US Equity","SUPPLY_CHAIN_CUSTOMERS_ALL_DATA","cols=12;rows=4")</f>
        <v>0641942D US Equity</v>
      </c>
      <c r="QX5">
        <v>-2.4245362661989844E-14</v>
      </c>
      <c r="QZ5">
        <v>-2.4245362661989844E-14</v>
      </c>
      <c r="RA5" t="s">
        <v>1814</v>
      </c>
      <c r="RB5">
        <v>2025</v>
      </c>
      <c r="RC5" t="s">
        <v>4207</v>
      </c>
      <c r="RD5" s="6">
        <v>46071</v>
      </c>
      <c r="RE5">
        <v>4</v>
      </c>
      <c r="RF5">
        <v>-2.4245362661989844E-14</v>
      </c>
      <c r="RG5">
        <v>33705996</v>
      </c>
      <c r="RH5" t="s">
        <v>4208</v>
      </c>
      <c r="RM5" t="str">
        <f>_xll.BDS("UB US Equity","SUPPLY_CHAIN_SUPPLIERS_ALL_DATA")</f>
        <v>#N/A N/A</v>
      </c>
      <c r="SA5" t="str">
        <f>_xll.BDS("UB US Equity","SUPPLY_CHAIN_CUSTOMERS_ALL_DATA")</f>
        <v>#N/A N/A</v>
      </c>
      <c r="SQ5" t="str">
        <f>_xll.BDS("VEXPQ US Equity","SUPPLY_CHAIN_SUPPLIERS_ALL_DATA")</f>
        <v>#N/A N/A</v>
      </c>
      <c r="TE5" t="str">
        <f>_xll.BDS("VEXPQ US Equity","SUPPLY_CHAIN_CUSTOMERS_ALL_DATA")</f>
        <v>#N/A N/A</v>
      </c>
      <c r="TU5" t="str">
        <f>_xll.BDS("NWKC US Equity","SUPPLY_CHAIN_SUPPLIERS_ALL_DATA")</f>
        <v>#N/A N/A</v>
      </c>
      <c r="UI5" t="str">
        <f>_xll.BDS("NWKC US Equity","SUPPLY_CHAIN_CUSTOMERS_ALL_DATA")</f>
        <v>#N/A N/A</v>
      </c>
      <c r="UY5" t="str">
        <f>_xll.BDS("ECL US Equity","SUPPLY_CHAIN_SUPPLIERS_ALL_DATA","cols=12;rows=5")</f>
        <v>CLN SW Equity</v>
      </c>
      <c r="UZ5" t="s">
        <v>1822</v>
      </c>
      <c r="VA5">
        <v>0.27591199999999999</v>
      </c>
      <c r="VB5">
        <v>0.13944000000000001</v>
      </c>
      <c r="VC5" t="s">
        <v>1823</v>
      </c>
      <c r="VD5">
        <v>2025</v>
      </c>
      <c r="VE5" t="s">
        <v>3398</v>
      </c>
      <c r="VF5" s="6">
        <v>45922</v>
      </c>
      <c r="VG5">
        <v>5</v>
      </c>
      <c r="VH5">
        <v>3306709.64</v>
      </c>
      <c r="VI5">
        <v>162326</v>
      </c>
      <c r="VJ5" t="s">
        <v>3399</v>
      </c>
      <c r="VM5" t="str">
        <f>_xll.BDS("ECL US Equity","SUPPLY_CHAIN_CUSTOMERS_ALL_DATA","cols=12;rows=5")</f>
        <v>WMT US Equity</v>
      </c>
      <c r="VN5">
        <v>1.7977730000000001</v>
      </c>
      <c r="VO5" t="s">
        <v>1822</v>
      </c>
      <c r="VP5">
        <v>5.2520999999999998E-2</v>
      </c>
      <c r="VQ5" t="s">
        <v>1827</v>
      </c>
      <c r="VR5">
        <v>2025</v>
      </c>
      <c r="VS5" t="s">
        <v>3616</v>
      </c>
      <c r="VT5" s="6">
        <v>46071</v>
      </c>
      <c r="VU5">
        <v>5</v>
      </c>
      <c r="VV5">
        <v>70748656</v>
      </c>
      <c r="VW5">
        <v>101616</v>
      </c>
      <c r="VX5" t="s">
        <v>2143</v>
      </c>
    </row>
    <row r="6" spans="1:600" x14ac:dyDescent="0.25">
      <c r="DQ6" t="s">
        <v>207</v>
      </c>
      <c r="DR6" t="s">
        <v>1822</v>
      </c>
      <c r="DS6">
        <v>2.398E-3</v>
      </c>
      <c r="DT6">
        <v>0.27725</v>
      </c>
      <c r="DU6" t="s">
        <v>1827</v>
      </c>
      <c r="DV6">
        <v>2025</v>
      </c>
      <c r="DW6" t="s">
        <v>2368</v>
      </c>
      <c r="DX6" s="6">
        <v>45848</v>
      </c>
      <c r="DY6">
        <v>5</v>
      </c>
      <c r="DZ6">
        <v>381354</v>
      </c>
      <c r="EA6">
        <v>101752</v>
      </c>
      <c r="EB6" t="s">
        <v>2369</v>
      </c>
      <c r="EE6" t="s">
        <v>3462</v>
      </c>
      <c r="EF6">
        <v>-2.4245362661989844E-14</v>
      </c>
      <c r="EH6">
        <v>-2.4245362661989844E-14</v>
      </c>
      <c r="EI6" t="s">
        <v>1814</v>
      </c>
      <c r="EJ6">
        <v>2025</v>
      </c>
      <c r="EK6" t="s">
        <v>4351</v>
      </c>
      <c r="EL6" s="6">
        <v>45798</v>
      </c>
      <c r="EM6">
        <v>5</v>
      </c>
      <c r="EN6">
        <v>-2.4245362661989844E-14</v>
      </c>
      <c r="EO6">
        <v>114881</v>
      </c>
      <c r="EP6" t="s">
        <v>3463</v>
      </c>
      <c r="EU6" t="s">
        <v>4315</v>
      </c>
      <c r="EW6">
        <v>-2.4245362661989844E-14</v>
      </c>
      <c r="EX6">
        <v>-2.4245362661989844E-14</v>
      </c>
      <c r="EY6" t="s">
        <v>1814</v>
      </c>
      <c r="EZ6">
        <v>2024</v>
      </c>
      <c r="FA6" t="s">
        <v>4316</v>
      </c>
      <c r="FB6" s="6">
        <v>45715</v>
      </c>
      <c r="FC6">
        <v>5</v>
      </c>
      <c r="FD6">
        <v>-2.4245362661989844E-14</v>
      </c>
      <c r="FE6">
        <v>22562190</v>
      </c>
      <c r="FF6" t="s">
        <v>4317</v>
      </c>
      <c r="HC6" t="s">
        <v>4216</v>
      </c>
      <c r="HE6">
        <v>-2.4245362661989844E-14</v>
      </c>
      <c r="HF6">
        <v>-2.4245362661989844E-14</v>
      </c>
      <c r="HG6" t="s">
        <v>1814</v>
      </c>
      <c r="HH6">
        <v>2025</v>
      </c>
      <c r="HI6" t="s">
        <v>4217</v>
      </c>
      <c r="HJ6" s="6">
        <v>45855</v>
      </c>
      <c r="HK6">
        <v>4</v>
      </c>
      <c r="HL6">
        <v>-2.4245362661989844E-14</v>
      </c>
      <c r="HM6">
        <v>393374</v>
      </c>
      <c r="HN6" t="s">
        <v>4218</v>
      </c>
      <c r="HQ6" t="s">
        <v>4121</v>
      </c>
      <c r="HR6">
        <v>-2.4245362661989844E-14</v>
      </c>
      <c r="HT6">
        <v>-2.4245362661989844E-14</v>
      </c>
      <c r="HU6" t="s">
        <v>1814</v>
      </c>
      <c r="HV6">
        <v>2023</v>
      </c>
      <c r="HW6" t="s">
        <v>4122</v>
      </c>
      <c r="HX6" s="6">
        <v>45197</v>
      </c>
      <c r="HY6">
        <v>5</v>
      </c>
      <c r="HZ6">
        <v>-2.4245362661989844E-14</v>
      </c>
      <c r="IA6">
        <v>65709858</v>
      </c>
      <c r="IB6" t="s">
        <v>4123</v>
      </c>
      <c r="QI6" t="s">
        <v>4380</v>
      </c>
      <c r="QJ6" t="s">
        <v>1949</v>
      </c>
      <c r="QK6">
        <v>31.9</v>
      </c>
      <c r="QL6">
        <v>4.1356229999999998</v>
      </c>
      <c r="QM6" t="s">
        <v>1814</v>
      </c>
      <c r="QN6">
        <v>2024</v>
      </c>
      <c r="QO6" t="s">
        <v>4381</v>
      </c>
      <c r="QP6" s="6">
        <v>45720</v>
      </c>
      <c r="QQ6">
        <v>5</v>
      </c>
      <c r="QR6">
        <v>24831916</v>
      </c>
      <c r="QS6">
        <v>35858022</v>
      </c>
      <c r="QT6" t="s">
        <v>4382</v>
      </c>
      <c r="QW6" t="s">
        <v>4209</v>
      </c>
      <c r="QX6">
        <v>-2.4245362661989844E-14</v>
      </c>
      <c r="QZ6">
        <v>-2.4245362661989844E-14</v>
      </c>
      <c r="RA6" t="s">
        <v>1814</v>
      </c>
      <c r="RB6">
        <v>2025</v>
      </c>
      <c r="RC6" t="s">
        <v>4207</v>
      </c>
      <c r="RD6" s="6">
        <v>46071</v>
      </c>
      <c r="RE6">
        <v>4</v>
      </c>
      <c r="RF6">
        <v>-2.4245362661989844E-14</v>
      </c>
      <c r="RG6">
        <v>31969391</v>
      </c>
      <c r="RH6" t="s">
        <v>4210</v>
      </c>
      <c r="UY6" t="s">
        <v>3400</v>
      </c>
      <c r="UZ6" t="s">
        <v>1949</v>
      </c>
      <c r="VA6">
        <v>0.23535700000000001</v>
      </c>
      <c r="VB6">
        <v>0.98457099999999997</v>
      </c>
      <c r="VC6" t="s">
        <v>1810</v>
      </c>
      <c r="VD6">
        <v>2025</v>
      </c>
      <c r="VE6" t="s">
        <v>3401</v>
      </c>
      <c r="VF6" s="6">
        <v>45966</v>
      </c>
      <c r="VG6">
        <v>5</v>
      </c>
      <c r="VH6">
        <v>2447889</v>
      </c>
      <c r="VI6">
        <v>10656931</v>
      </c>
      <c r="VJ6" t="s">
        <v>3402</v>
      </c>
      <c r="VM6" t="s">
        <v>2714</v>
      </c>
      <c r="VN6">
        <v>1.6844600000000001</v>
      </c>
      <c r="VO6" t="s">
        <v>1822</v>
      </c>
      <c r="VP6">
        <v>8.8949E-2</v>
      </c>
      <c r="VQ6" t="s">
        <v>1827</v>
      </c>
      <c r="VR6">
        <v>2025</v>
      </c>
      <c r="VS6" t="s">
        <v>3616</v>
      </c>
      <c r="VT6" s="6">
        <v>46071</v>
      </c>
      <c r="VU6">
        <v>5</v>
      </c>
      <c r="VV6">
        <v>66289396</v>
      </c>
      <c r="VW6">
        <v>101695</v>
      </c>
      <c r="VX6" t="s">
        <v>2716</v>
      </c>
    </row>
    <row r="7" spans="1:600" x14ac:dyDescent="0.25">
      <c r="DQ7" t="s">
        <v>979</v>
      </c>
      <c r="DS7">
        <v>-2.4245362661989844E-14</v>
      </c>
      <c r="DT7">
        <v>-2.4245362661989844E-14</v>
      </c>
      <c r="DU7" t="s">
        <v>1814</v>
      </c>
      <c r="DV7">
        <v>2021</v>
      </c>
      <c r="DW7" t="s">
        <v>2048</v>
      </c>
      <c r="DX7" s="6">
        <v>44693</v>
      </c>
      <c r="DY7">
        <v>5</v>
      </c>
      <c r="DZ7">
        <v>-2.4245362661989844E-14</v>
      </c>
      <c r="EA7">
        <v>100193</v>
      </c>
      <c r="EB7" t="s">
        <v>2049</v>
      </c>
      <c r="EE7" t="s">
        <v>4353</v>
      </c>
      <c r="EF7">
        <v>-2.4245362661989844E-14</v>
      </c>
      <c r="EH7">
        <v>-2.4245362661989844E-14</v>
      </c>
      <c r="EI7" t="s">
        <v>1814</v>
      </c>
      <c r="EJ7">
        <v>2025</v>
      </c>
      <c r="EK7" t="s">
        <v>4354</v>
      </c>
      <c r="EL7" s="6">
        <v>45827</v>
      </c>
      <c r="EM7">
        <v>5</v>
      </c>
      <c r="EN7">
        <v>-2.4245362661989844E-14</v>
      </c>
      <c r="EO7">
        <v>304256</v>
      </c>
      <c r="EP7" t="s">
        <v>4355</v>
      </c>
      <c r="EU7" t="s">
        <v>4318</v>
      </c>
      <c r="EW7">
        <v>-2.4245362661989844E-14</v>
      </c>
      <c r="EX7">
        <v>-2.4245362661989844E-14</v>
      </c>
      <c r="EY7" t="s">
        <v>1814</v>
      </c>
      <c r="EZ7">
        <v>2024</v>
      </c>
      <c r="FA7" t="s">
        <v>4316</v>
      </c>
      <c r="FB7" s="6">
        <v>45715</v>
      </c>
      <c r="FC7">
        <v>5</v>
      </c>
      <c r="FD7">
        <v>-2.4245362661989844E-14</v>
      </c>
      <c r="FE7">
        <v>41377747</v>
      </c>
      <c r="FF7" t="s">
        <v>4319</v>
      </c>
      <c r="HC7" t="s">
        <v>4219</v>
      </c>
      <c r="HE7">
        <v>-2.4245362661989844E-14</v>
      </c>
      <c r="HF7">
        <v>-2.4245362661989844E-14</v>
      </c>
      <c r="HG7" t="s">
        <v>1814</v>
      </c>
      <c r="HH7">
        <v>2024</v>
      </c>
      <c r="HI7" t="s">
        <v>4220</v>
      </c>
      <c r="HJ7" s="6">
        <v>45834</v>
      </c>
      <c r="HK7">
        <v>4</v>
      </c>
      <c r="HL7">
        <v>-2.4245362661989844E-14</v>
      </c>
      <c r="HM7">
        <v>1400783</v>
      </c>
      <c r="HN7" t="s">
        <v>4221</v>
      </c>
      <c r="HQ7" t="s">
        <v>4124</v>
      </c>
      <c r="HR7">
        <v>-2.4245362661989844E-14</v>
      </c>
      <c r="HT7">
        <v>-2.4245362661989844E-14</v>
      </c>
      <c r="HU7" t="s">
        <v>1827</v>
      </c>
      <c r="HV7">
        <v>2025</v>
      </c>
      <c r="HW7" t="s">
        <v>4125</v>
      </c>
      <c r="HX7" s="6">
        <v>46062</v>
      </c>
      <c r="HY7">
        <v>5</v>
      </c>
      <c r="HZ7">
        <v>-2.4245362661989844E-14</v>
      </c>
      <c r="IA7">
        <v>67334057</v>
      </c>
      <c r="IB7" t="s">
        <v>4126</v>
      </c>
      <c r="QI7" t="s">
        <v>4383</v>
      </c>
      <c r="QJ7" t="s">
        <v>1822</v>
      </c>
      <c r="QK7">
        <v>4.8302999999999999E-2</v>
      </c>
      <c r="QL7">
        <v>0.121222</v>
      </c>
      <c r="QM7" t="s">
        <v>1806</v>
      </c>
      <c r="QN7">
        <v>2025</v>
      </c>
      <c r="QO7" t="s">
        <v>4384</v>
      </c>
      <c r="QP7" s="6">
        <v>45849</v>
      </c>
      <c r="QQ7">
        <v>5</v>
      </c>
      <c r="QR7">
        <v>1375533</v>
      </c>
      <c r="QS7">
        <v>102595</v>
      </c>
      <c r="QT7" t="s">
        <v>4385</v>
      </c>
      <c r="QW7" t="s">
        <v>4211</v>
      </c>
      <c r="QX7">
        <v>-2.4245362661989844E-14</v>
      </c>
      <c r="QZ7">
        <v>-2.4245362661989844E-14</v>
      </c>
      <c r="RA7" t="s">
        <v>1814</v>
      </c>
      <c r="RB7">
        <v>2025</v>
      </c>
      <c r="RC7" t="s">
        <v>4207</v>
      </c>
      <c r="RD7" s="6">
        <v>46071</v>
      </c>
      <c r="RE7">
        <v>4</v>
      </c>
      <c r="RF7">
        <v>-2.4245362661989844E-14</v>
      </c>
      <c r="RG7">
        <v>101661</v>
      </c>
      <c r="RH7" t="s">
        <v>4212</v>
      </c>
      <c r="UY7" t="s">
        <v>3403</v>
      </c>
      <c r="UZ7" t="s">
        <v>1822</v>
      </c>
      <c r="VA7">
        <v>7.2828000000000004E-2</v>
      </c>
      <c r="VB7">
        <v>6.8084000000000006E-2</v>
      </c>
      <c r="VC7" t="s">
        <v>1823</v>
      </c>
      <c r="VD7">
        <v>2025</v>
      </c>
      <c r="VE7" t="s">
        <v>3404</v>
      </c>
      <c r="VF7" s="6">
        <v>45916</v>
      </c>
      <c r="VG7">
        <v>5</v>
      </c>
      <c r="VH7">
        <v>1514822</v>
      </c>
      <c r="VI7">
        <v>7359873</v>
      </c>
      <c r="VJ7" t="s">
        <v>3405</v>
      </c>
      <c r="VM7" t="s">
        <v>2145</v>
      </c>
      <c r="VN7">
        <v>1.474974</v>
      </c>
      <c r="VO7" t="s">
        <v>1822</v>
      </c>
      <c r="VP7">
        <v>9.9206000000000003E-2</v>
      </c>
      <c r="VQ7" t="s">
        <v>1827</v>
      </c>
      <c r="VR7">
        <v>2025</v>
      </c>
      <c r="VS7" t="s">
        <v>3616</v>
      </c>
      <c r="VT7" s="6">
        <v>46071</v>
      </c>
      <c r="VU7">
        <v>5</v>
      </c>
      <c r="VV7">
        <v>58045388</v>
      </c>
      <c r="VW7">
        <v>101758</v>
      </c>
      <c r="VX7" t="s">
        <v>2147</v>
      </c>
    </row>
    <row r="8" spans="1:600" x14ac:dyDescent="0.25">
      <c r="DQ8" t="s">
        <v>3318</v>
      </c>
      <c r="DS8">
        <v>-2.4245362661989844E-14</v>
      </c>
      <c r="DT8">
        <v>-2.4245362661989844E-14</v>
      </c>
      <c r="DU8" t="s">
        <v>1814</v>
      </c>
      <c r="DV8">
        <v>2021</v>
      </c>
      <c r="DW8" t="s">
        <v>3319</v>
      </c>
      <c r="DX8" s="6">
        <v>44693</v>
      </c>
      <c r="DY8">
        <v>5</v>
      </c>
      <c r="DZ8">
        <v>-2.4245362661989844E-14</v>
      </c>
      <c r="EA8">
        <v>100466</v>
      </c>
      <c r="EB8" t="s">
        <v>3320</v>
      </c>
      <c r="EE8" t="s">
        <v>4356</v>
      </c>
      <c r="EF8">
        <v>-2.4245362661989844E-14</v>
      </c>
      <c r="EH8">
        <v>-2.4245362661989844E-14</v>
      </c>
      <c r="EI8" t="s">
        <v>1814</v>
      </c>
      <c r="EJ8">
        <v>2025</v>
      </c>
      <c r="EK8" t="s">
        <v>4351</v>
      </c>
      <c r="EL8" s="6">
        <v>45798</v>
      </c>
      <c r="EM8">
        <v>5</v>
      </c>
      <c r="EN8">
        <v>-2.4245362661989844E-14</v>
      </c>
      <c r="EO8">
        <v>135811</v>
      </c>
      <c r="EP8" t="s">
        <v>4357</v>
      </c>
      <c r="EU8" t="s">
        <v>4320</v>
      </c>
      <c r="EW8">
        <v>-2.4245362661989844E-14</v>
      </c>
      <c r="EX8">
        <v>-2.4245362661989844E-14</v>
      </c>
      <c r="EY8" t="s">
        <v>1814</v>
      </c>
      <c r="EZ8">
        <v>2024</v>
      </c>
      <c r="FA8" t="s">
        <v>4316</v>
      </c>
      <c r="FB8" s="6">
        <v>45715</v>
      </c>
      <c r="FC8">
        <v>5</v>
      </c>
      <c r="FD8">
        <v>-2.4245362661989844E-14</v>
      </c>
      <c r="FE8">
        <v>12692798</v>
      </c>
      <c r="FF8" t="s">
        <v>4321</v>
      </c>
      <c r="HC8" t="s">
        <v>4222</v>
      </c>
      <c r="HE8">
        <v>-2.4245362661989844E-14</v>
      </c>
      <c r="HF8">
        <v>-2.4245362661989844E-14</v>
      </c>
      <c r="HG8" t="s">
        <v>1814</v>
      </c>
      <c r="HH8">
        <v>2021</v>
      </c>
      <c r="HI8" t="s">
        <v>4223</v>
      </c>
      <c r="HJ8" s="6">
        <v>44652</v>
      </c>
      <c r="HK8">
        <v>4</v>
      </c>
      <c r="HL8">
        <v>-2.4245362661989844E-14</v>
      </c>
      <c r="HM8">
        <v>130704</v>
      </c>
      <c r="HN8" t="s">
        <v>4224</v>
      </c>
      <c r="HQ8" t="s">
        <v>4127</v>
      </c>
      <c r="HR8">
        <v>-2.4245362661989844E-14</v>
      </c>
      <c r="HT8">
        <v>-2.4245362661989844E-14</v>
      </c>
      <c r="HU8" t="s">
        <v>1814</v>
      </c>
      <c r="HV8">
        <v>2023</v>
      </c>
      <c r="HW8" t="s">
        <v>4128</v>
      </c>
      <c r="HX8" s="6">
        <v>45190</v>
      </c>
      <c r="HY8">
        <v>5</v>
      </c>
      <c r="HZ8">
        <v>-2.4245362661989844E-14</v>
      </c>
      <c r="IA8">
        <v>36909194</v>
      </c>
      <c r="IB8" t="s">
        <v>4129</v>
      </c>
      <c r="QI8" t="s">
        <v>2742</v>
      </c>
      <c r="QK8">
        <v>-2.4245362661989844E-14</v>
      </c>
      <c r="QL8">
        <v>-2.4245362661989844E-14</v>
      </c>
      <c r="QM8" t="s">
        <v>1814</v>
      </c>
      <c r="QN8">
        <v>2025</v>
      </c>
      <c r="QO8" t="s">
        <v>4386</v>
      </c>
      <c r="QP8" s="6">
        <v>45896</v>
      </c>
      <c r="QQ8">
        <v>5</v>
      </c>
      <c r="QR8">
        <v>-2.4245362661989844E-14</v>
      </c>
      <c r="QS8">
        <v>350245</v>
      </c>
      <c r="QT8" t="s">
        <v>2744</v>
      </c>
      <c r="QW8" t="s">
        <v>661</v>
      </c>
      <c r="QX8">
        <v>-2.4245362661989844E-14</v>
      </c>
      <c r="QZ8">
        <v>-2.4245362661989844E-14</v>
      </c>
      <c r="RA8" t="s">
        <v>1814</v>
      </c>
      <c r="RB8">
        <v>2024</v>
      </c>
      <c r="RC8" t="s">
        <v>4213</v>
      </c>
      <c r="RD8" s="6">
        <v>45618</v>
      </c>
      <c r="RE8">
        <v>4</v>
      </c>
      <c r="RF8">
        <v>-2.4245362661989844E-14</v>
      </c>
      <c r="RG8">
        <v>101039</v>
      </c>
      <c r="RH8" t="s">
        <v>4214</v>
      </c>
      <c r="UY8" t="s">
        <v>3406</v>
      </c>
      <c r="VA8">
        <v>-2.4245362661989844E-14</v>
      </c>
      <c r="VB8">
        <v>-2.4245362661989844E-14</v>
      </c>
      <c r="VC8" t="s">
        <v>1831</v>
      </c>
      <c r="VD8">
        <v>2025</v>
      </c>
      <c r="VE8" t="s">
        <v>3407</v>
      </c>
      <c r="VF8" s="6">
        <v>45975</v>
      </c>
      <c r="VG8">
        <v>5</v>
      </c>
      <c r="VH8">
        <v>-2.4245362661989844E-14</v>
      </c>
      <c r="VI8">
        <v>17472489</v>
      </c>
      <c r="VJ8" t="s">
        <v>3408</v>
      </c>
      <c r="VM8" t="s">
        <v>1813</v>
      </c>
      <c r="VN8">
        <v>1.0282009999999999</v>
      </c>
      <c r="VO8" t="s">
        <v>1822</v>
      </c>
      <c r="VP8">
        <v>8.8413000000000005E-2</v>
      </c>
      <c r="VQ8" t="s">
        <v>1827</v>
      </c>
      <c r="VR8">
        <v>2025</v>
      </c>
      <c r="VS8" t="s">
        <v>3616</v>
      </c>
      <c r="VT8" s="6">
        <v>46071</v>
      </c>
      <c r="VU8">
        <v>5</v>
      </c>
      <c r="VV8">
        <v>40463308</v>
      </c>
      <c r="VW8">
        <v>46946968</v>
      </c>
      <c r="VX8" t="s">
        <v>1816</v>
      </c>
    </row>
    <row r="9" spans="1:600" x14ac:dyDescent="0.25">
      <c r="DQ9" t="s">
        <v>2050</v>
      </c>
      <c r="DS9">
        <v>-2.4245362661989844E-14</v>
      </c>
      <c r="DT9">
        <v>-2.4245362661989844E-14</v>
      </c>
      <c r="DU9" t="s">
        <v>1814</v>
      </c>
      <c r="DV9">
        <v>2021</v>
      </c>
      <c r="DW9" t="s">
        <v>2051</v>
      </c>
      <c r="DX9" s="6">
        <v>44693</v>
      </c>
      <c r="DY9">
        <v>5</v>
      </c>
      <c r="DZ9">
        <v>-2.4245362661989844E-14</v>
      </c>
      <c r="EA9">
        <v>100481</v>
      </c>
      <c r="EB9" t="s">
        <v>2052</v>
      </c>
      <c r="EE9" t="s">
        <v>4358</v>
      </c>
      <c r="EF9">
        <v>-2.4245362661989844E-14</v>
      </c>
      <c r="EH9">
        <v>-2.4245362661989844E-14</v>
      </c>
      <c r="EI9" t="s">
        <v>1814</v>
      </c>
      <c r="EJ9">
        <v>2025</v>
      </c>
      <c r="EK9" t="s">
        <v>4351</v>
      </c>
      <c r="EL9" s="6">
        <v>45798</v>
      </c>
      <c r="EM9">
        <v>5</v>
      </c>
      <c r="EN9">
        <v>-2.4245362661989844E-14</v>
      </c>
      <c r="EO9">
        <v>10550128</v>
      </c>
      <c r="EP9" t="s">
        <v>4359</v>
      </c>
      <c r="EU9" t="s">
        <v>4322</v>
      </c>
      <c r="EW9">
        <v>-2.4245362661989844E-14</v>
      </c>
      <c r="EX9">
        <v>-2.4245362661989844E-14</v>
      </c>
      <c r="EY9" t="s">
        <v>1814</v>
      </c>
      <c r="EZ9">
        <v>2022</v>
      </c>
      <c r="FA9" t="s">
        <v>4323</v>
      </c>
      <c r="FB9" s="6">
        <v>44985</v>
      </c>
      <c r="FC9">
        <v>5</v>
      </c>
      <c r="FD9">
        <v>-2.4245362661989844E-14</v>
      </c>
      <c r="FE9">
        <v>1070456</v>
      </c>
      <c r="FF9" t="s">
        <v>4324</v>
      </c>
      <c r="HQ9" t="s">
        <v>4130</v>
      </c>
      <c r="HR9">
        <v>-2.4245362661989844E-14</v>
      </c>
      <c r="HT9">
        <v>-2.4245362661989844E-14</v>
      </c>
      <c r="HU9" t="s">
        <v>1814</v>
      </c>
      <c r="HV9">
        <v>2023</v>
      </c>
      <c r="HW9" t="s">
        <v>4131</v>
      </c>
      <c r="HX9" s="6">
        <v>45195</v>
      </c>
      <c r="HY9">
        <v>5</v>
      </c>
      <c r="HZ9">
        <v>-2.4245362661989844E-14</v>
      </c>
      <c r="IA9">
        <v>25981080</v>
      </c>
      <c r="IB9" t="s">
        <v>4132</v>
      </c>
      <c r="QI9" t="s">
        <v>4387</v>
      </c>
      <c r="QK9">
        <v>-2.4245362661989844E-14</v>
      </c>
      <c r="QL9">
        <v>-2.4245362661989844E-14</v>
      </c>
      <c r="QM9" t="s">
        <v>1810</v>
      </c>
      <c r="QN9">
        <v>2025</v>
      </c>
      <c r="QO9" t="s">
        <v>4388</v>
      </c>
      <c r="QP9" s="6">
        <v>45951</v>
      </c>
      <c r="QQ9">
        <v>5</v>
      </c>
      <c r="QR9">
        <v>-2.4245362661989844E-14</v>
      </c>
      <c r="QS9">
        <v>1018898</v>
      </c>
      <c r="QT9" t="s">
        <v>4389</v>
      </c>
      <c r="UY9" t="s">
        <v>3409</v>
      </c>
      <c r="VA9">
        <v>-2.4245362661989844E-14</v>
      </c>
      <c r="VB9">
        <v>-2.4245362661989844E-14</v>
      </c>
      <c r="VC9" t="s">
        <v>1971</v>
      </c>
      <c r="VD9">
        <v>2022</v>
      </c>
      <c r="VE9" t="s">
        <v>3410</v>
      </c>
      <c r="VF9" s="6">
        <v>44788</v>
      </c>
      <c r="VG9">
        <v>5</v>
      </c>
      <c r="VH9">
        <v>-2.4245362661989844E-14</v>
      </c>
      <c r="VI9">
        <v>40130546</v>
      </c>
      <c r="VJ9" t="s">
        <v>3411</v>
      </c>
      <c r="VM9" t="s">
        <v>974</v>
      </c>
      <c r="VN9">
        <v>0.83748599999999995</v>
      </c>
      <c r="VO9" t="s">
        <v>1822</v>
      </c>
      <c r="VP9">
        <v>0.194213</v>
      </c>
      <c r="VQ9" t="s">
        <v>1827</v>
      </c>
      <c r="VR9">
        <v>2025</v>
      </c>
      <c r="VS9" t="s">
        <v>3616</v>
      </c>
      <c r="VT9" s="6">
        <v>46071</v>
      </c>
      <c r="VU9">
        <v>5</v>
      </c>
      <c r="VV9">
        <v>32958004</v>
      </c>
      <c r="VW9">
        <v>101433</v>
      </c>
      <c r="VX9" t="s">
        <v>3804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140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141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154</v>
      </c>
      <c r="AE2" s="3" t="s">
        <v>155</v>
      </c>
      <c r="BI2" s="3" t="s">
        <v>156</v>
      </c>
      <c r="CM2" s="3" t="s">
        <v>157</v>
      </c>
      <c r="DQ2" s="3" t="s">
        <v>158</v>
      </c>
      <c r="EU2" s="3" t="s">
        <v>159</v>
      </c>
      <c r="FY2" s="3" t="s">
        <v>160</v>
      </c>
      <c r="HC2" s="3" t="s">
        <v>161</v>
      </c>
      <c r="IG2" s="3" t="s">
        <v>162</v>
      </c>
      <c r="JK2" s="3" t="s">
        <v>163</v>
      </c>
      <c r="KO2" s="3" t="s">
        <v>164</v>
      </c>
      <c r="LS2" s="3" t="s">
        <v>165</v>
      </c>
      <c r="MW2" s="3" t="s">
        <v>166</v>
      </c>
      <c r="OA2" s="3" t="s">
        <v>167</v>
      </c>
      <c r="PE2" s="3" t="s">
        <v>168</v>
      </c>
      <c r="QI2" s="3" t="s">
        <v>169</v>
      </c>
      <c r="RM2" s="3" t="s">
        <v>170</v>
      </c>
      <c r="SQ2" s="3" t="s">
        <v>171</v>
      </c>
      <c r="TU2" s="3" t="s">
        <v>172</v>
      </c>
      <c r="UY2" s="3" t="s">
        <v>173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_xll.BDS("MOFG US Equity","SUPPLY_CHAIN_SUPPLIERS_ALL_DATA")</f>
        <v>#N/A N/A</v>
      </c>
      <c r="O5" t="str">
        <f>_xll.BDS("MOFG US Equity","SUPPLY_CHAIN_CUSTOMERS_ALL_DATA")</f>
        <v>#N/A N/A</v>
      </c>
      <c r="AE5" t="str">
        <f>_xll.BDS("RJET US Equity","SUPPLY_CHAIN_SUPPLIERS_ALL_DATA","cols=12;rows=5")</f>
        <v>AIR US Equity</v>
      </c>
      <c r="AF5" t="s">
        <v>1822</v>
      </c>
      <c r="AG5">
        <v>2</v>
      </c>
      <c r="AH5">
        <v>15.917357000000001</v>
      </c>
      <c r="AI5" t="s">
        <v>1806</v>
      </c>
      <c r="AJ5">
        <v>2026</v>
      </c>
      <c r="AK5" t="s">
        <v>2232</v>
      </c>
      <c r="AL5" s="6">
        <v>45925</v>
      </c>
      <c r="AM5">
        <v>5</v>
      </c>
      <c r="AN5">
        <v>14792000</v>
      </c>
      <c r="AO5">
        <v>100001</v>
      </c>
      <c r="AP5" t="s">
        <v>2233</v>
      </c>
      <c r="AS5" t="str">
        <f>_xll.BDS("RJET US Equity","SUPPLY_CHAIN_CUSTOMERS_ALL_DATA","cols=12;rows=1")</f>
        <v>UAL US Equity</v>
      </c>
      <c r="AT5">
        <v>-2.4245362661989844E-14</v>
      </c>
      <c r="AV5">
        <v>-2.4245362661989844E-14</v>
      </c>
      <c r="AW5" t="s">
        <v>1814</v>
      </c>
      <c r="AX5">
        <v>2025</v>
      </c>
      <c r="AY5" t="s">
        <v>4133</v>
      </c>
      <c r="AZ5" s="6">
        <v>46065</v>
      </c>
      <c r="BA5">
        <v>1</v>
      </c>
      <c r="BB5">
        <v>-2.4245362661989844E-14</v>
      </c>
      <c r="BC5">
        <v>10451815</v>
      </c>
      <c r="BD5" t="s">
        <v>2114</v>
      </c>
      <c r="BI5" t="str">
        <f>_xll.BDS("STXN US Equity","SUPPLY_CHAIN_SUPPLIERS_ALL_DATA")</f>
        <v>#N/A N/A</v>
      </c>
      <c r="BW5" t="str">
        <f>_xll.BDS("STXN US Equity","SUPPLY_CHAIN_CUSTOMERS_ALL_DATA")</f>
        <v>#N/A N/A</v>
      </c>
      <c r="CM5" t="str">
        <f>_xll.BDS("IART US Equity","SUPPLY_CHAIN_SUPPLIERS_ALL_DATA","cols=12;rows=5")</f>
        <v>AEE US Equity</v>
      </c>
      <c r="CO5">
        <v>-2.4245362661989844E-14</v>
      </c>
      <c r="CP5">
        <v>-2.4245362661989844E-14</v>
      </c>
      <c r="CQ5" t="s">
        <v>1814</v>
      </c>
      <c r="CR5">
        <v>2021</v>
      </c>
      <c r="CS5" t="s">
        <v>2040</v>
      </c>
      <c r="CT5" s="6">
        <v>44693</v>
      </c>
      <c r="CU5">
        <v>5</v>
      </c>
      <c r="CV5">
        <v>-2.4245362661989844E-14</v>
      </c>
      <c r="CW5">
        <v>313098</v>
      </c>
      <c r="CX5" t="s">
        <v>2041</v>
      </c>
      <c r="DA5" t="str">
        <f>_xll.BDS("IART US Equity","SUPPLY_CHAIN_CUSTOMERS_ALL_DATA")</f>
        <v>#N/A N/A</v>
      </c>
      <c r="DQ5" t="str">
        <f>_xll.BDS("IBM US Equity","SUPPLY_CHAIN_SUPPLIERS_ALL_DATA")</f>
        <v>005930 KS Equity</v>
      </c>
      <c r="EE5" t="str">
        <f>_xll.BDS("IBM US Equity","SUPPLY_CHAIN_CUSTOMERS_ALL_DATA","cols=12;rows=5")</f>
        <v>AMZN US Equity</v>
      </c>
      <c r="EF5">
        <v>4.454224</v>
      </c>
      <c r="EG5" t="s">
        <v>1822</v>
      </c>
      <c r="EH5">
        <v>0.84141600000000005</v>
      </c>
      <c r="EI5" t="s">
        <v>1806</v>
      </c>
      <c r="EJ5">
        <v>2025</v>
      </c>
      <c r="EK5" t="s">
        <v>1927</v>
      </c>
      <c r="EL5" s="6">
        <v>45797</v>
      </c>
      <c r="EM5">
        <v>5</v>
      </c>
      <c r="EN5">
        <v>647688704</v>
      </c>
      <c r="EO5">
        <v>216952</v>
      </c>
      <c r="EP5" t="s">
        <v>2101</v>
      </c>
      <c r="EU5" t="str">
        <f>_xll.BDS("CWLM US Equity","SUPPLY_CHAIN_SUPPLIERS_ALL_DATA","cols=12;rows=5")</f>
        <v>BWXT US Equity</v>
      </c>
      <c r="EW5">
        <v>-2.4245362661989844E-14</v>
      </c>
      <c r="EX5">
        <v>-2.4245362661989844E-14</v>
      </c>
      <c r="EY5" t="s">
        <v>1810</v>
      </c>
      <c r="EZ5">
        <v>2023</v>
      </c>
      <c r="FA5" t="s">
        <v>4252</v>
      </c>
      <c r="FB5" s="6">
        <v>45232</v>
      </c>
      <c r="FC5">
        <v>5</v>
      </c>
      <c r="FD5">
        <v>-2.4245362661989844E-14</v>
      </c>
      <c r="FE5">
        <v>970993</v>
      </c>
      <c r="FF5" t="s">
        <v>4253</v>
      </c>
      <c r="FI5" t="str">
        <f>_xll.BDS("CWLM US Equity","SUPPLY_CHAIN_CUSTOMERS_ALL_DATA","cols=12;rows=1")</f>
        <v>1400181D SP Equity</v>
      </c>
      <c r="FJ5">
        <v>-2.4245362661989844E-14</v>
      </c>
      <c r="FL5">
        <v>-2.4245362661989844E-14</v>
      </c>
      <c r="FM5" t="s">
        <v>1814</v>
      </c>
      <c r="FN5">
        <v>2022</v>
      </c>
      <c r="FO5" t="s">
        <v>4371</v>
      </c>
      <c r="FP5" s="6">
        <v>44823</v>
      </c>
      <c r="FQ5">
        <v>1</v>
      </c>
      <c r="FR5">
        <v>-2.4245362661989844E-14</v>
      </c>
      <c r="FS5">
        <v>41031133</v>
      </c>
      <c r="FT5" t="s">
        <v>4372</v>
      </c>
      <c r="FY5" t="str">
        <f>_xll.BDS("PWOD US Equity","SUPPLY_CHAIN_SUPPLIERS_ALL_DATA")</f>
        <v>#N/A N/A</v>
      </c>
      <c r="GM5" t="str">
        <f>_xll.BDS("PWOD US Equity","SUPPLY_CHAIN_CUSTOMERS_ALL_DATA")</f>
        <v>#N/A N/A</v>
      </c>
      <c r="HC5" t="str">
        <f>_xll.BDS("2598Q US Equity","SUPPLY_CHAIN_SUPPLIERS_ALL_DATA")</f>
        <v>#N/A N/A</v>
      </c>
      <c r="HQ5" t="str">
        <f>_xll.BDS("2598Q US Equity","SUPPLY_CHAIN_CUSTOMERS_ALL_DATA")</f>
        <v>#N/A N/A</v>
      </c>
      <c r="IG5" t="str">
        <f>_xll.BDS("PRK US Equity","SUPPLY_CHAIN_SUPPLIERS_ALL_DATA","cols=12;rows=1")</f>
        <v>WK US Equity</v>
      </c>
      <c r="II5">
        <v>-2.4245362661989844E-14</v>
      </c>
      <c r="IJ5">
        <v>-2.4245362661989844E-14</v>
      </c>
      <c r="IK5" t="s">
        <v>1814</v>
      </c>
      <c r="IL5">
        <v>2025</v>
      </c>
      <c r="IM5" t="s">
        <v>2764</v>
      </c>
      <c r="IN5" s="6">
        <v>46072</v>
      </c>
      <c r="IO5">
        <v>1</v>
      </c>
      <c r="IP5">
        <v>-2.4245362661989844E-14</v>
      </c>
      <c r="IQ5">
        <v>42839691</v>
      </c>
      <c r="IR5" t="s">
        <v>2765</v>
      </c>
      <c r="IU5" t="str">
        <f>_xll.BDS("PRK US Equity","SUPPLY_CHAIN_CUSTOMERS_ALL_DATA")</f>
        <v>#N/A N/A</v>
      </c>
      <c r="JK5" t="str">
        <f>_xll.BDS("BCBP US Equity","SUPPLY_CHAIN_SUPPLIERS_ALL_DATA")</f>
        <v>#N/A N/A</v>
      </c>
      <c r="JY5" t="str">
        <f>_xll.BDS("BCBP US Equity","SUPPLY_CHAIN_CUSTOMERS_ALL_DATA")</f>
        <v>#N/A N/A</v>
      </c>
      <c r="KO5" t="str">
        <f>_xll.BDS("HNBC US Equity","SUPPLY_CHAIN_SUPPLIERS_ALL_DATA")</f>
        <v>#N/A N/A</v>
      </c>
      <c r="LC5" t="str">
        <f>_xll.BDS("HNBC US Equity","SUPPLY_CHAIN_CUSTOMERS_ALL_DATA")</f>
        <v>#N/A N/A</v>
      </c>
      <c r="LS5" t="str">
        <f>_xll.BDS("COLB US Equity","SUPPLY_CHAIN_SUPPLIERS_ALL_DATA","cols=12;rows=1")</f>
        <v>INVE US Equity</v>
      </c>
      <c r="LU5">
        <v>-2.4245362661989844E-14</v>
      </c>
      <c r="LV5">
        <v>-2.4245362661989844E-14</v>
      </c>
      <c r="LW5" t="s">
        <v>1810</v>
      </c>
      <c r="LX5">
        <v>2022</v>
      </c>
      <c r="LY5" t="s">
        <v>2159</v>
      </c>
      <c r="LZ5" s="6">
        <v>44882</v>
      </c>
      <c r="MA5">
        <v>1</v>
      </c>
      <c r="MB5">
        <v>-2.4245362661989844E-14</v>
      </c>
      <c r="MC5">
        <v>225752</v>
      </c>
      <c r="MD5" t="s">
        <v>2160</v>
      </c>
      <c r="MG5" t="str">
        <f>_xll.BDS("COLB US Equity","SUPPLY_CHAIN_CUSTOMERS_ALL_DATA")</f>
        <v>#N/A N/A</v>
      </c>
      <c r="MW5" t="str">
        <f>_xll.BDS("GMST US Equity","SUPPLY_CHAIN_SUPPLIERS_ALL_DATA")</f>
        <v>#N/A N/A</v>
      </c>
      <c r="NK5" t="str">
        <f>_xll.BDS("GMST US Equity","SUPPLY_CHAIN_CUSTOMERS_ALL_DATA")</f>
        <v>#N/A N/A</v>
      </c>
      <c r="OA5" t="str">
        <f>_xll.BDS("TTN US Equity","SUPPLY_CHAIN_SUPPLIERS_ALL_DATA")</f>
        <v>#N/A N/A</v>
      </c>
      <c r="OO5" t="str">
        <f>_xll.BDS("TTN US Equity","SUPPLY_CHAIN_CUSTOMERS_ALL_DATA")</f>
        <v>#N/A N/A</v>
      </c>
      <c r="PE5" t="str">
        <f>_xll.BDS("PICZQ US Equity","SUPPLY_CHAIN_SUPPLIERS_ALL_DATA")</f>
        <v>#N/A N/A</v>
      </c>
      <c r="PS5" t="str">
        <f>_xll.BDS("PICZQ US Equity","SUPPLY_CHAIN_CUSTOMERS_ALL_DATA")</f>
        <v>#N/A N/A</v>
      </c>
      <c r="QI5" t="str">
        <f>_xll.BDS("SLFI US Equity","SUPPLY_CHAIN_SUPPLIERS_ALL_DATA")</f>
        <v>#N/A N/A</v>
      </c>
      <c r="QW5" t="str">
        <f>_xll.BDS("SLFI US Equity","SUPPLY_CHAIN_CUSTOMERS_ALL_DATA")</f>
        <v>#N/A N/A</v>
      </c>
      <c r="RM5" t="str">
        <f>_xll.BDS("PCBK US Equity","SUPPLY_CHAIN_SUPPLIERS_ALL_DATA")</f>
        <v>#N/A N/A</v>
      </c>
      <c r="SA5" t="str">
        <f>_xll.BDS("PCBK US Equity","SUPPLY_CHAIN_CUSTOMERS_ALL_DATA")</f>
        <v>#N/A N/A</v>
      </c>
      <c r="SQ5" t="str">
        <f>_xll.BDS("SDAB US Equity","SUPPLY_CHAIN_SUPPLIERS_ALL_DATA")</f>
        <v>#N/A N/A</v>
      </c>
      <c r="TE5" t="str">
        <f>_xll.BDS("SDAB US Equity","SUPPLY_CHAIN_CUSTOMERS_ALL_DATA")</f>
        <v>#N/A N/A</v>
      </c>
      <c r="TU5" t="str">
        <f>_xll.BDS("3518429Q US Equity","SUPPLY_CHAIN_SUPPLIERS_ALL_DATA")</f>
        <v>#N/A N/A</v>
      </c>
      <c r="UI5" t="str">
        <f>_xll.BDS("3518429Q US Equity","SUPPLY_CHAIN_CUSTOMERS_ALL_DATA")</f>
        <v>#N/A N/A</v>
      </c>
      <c r="UY5" t="str">
        <f>_xll.BDS("WBS US Equity","SUPPLY_CHAIN_SUPPLIERS_ALL_DATA","cols=12;rows=2")</f>
        <v>FISV US Equity</v>
      </c>
      <c r="VA5">
        <v>-2.4245362661989844E-14</v>
      </c>
      <c r="VB5">
        <v>-2.4245362661989844E-14</v>
      </c>
      <c r="VC5" t="s">
        <v>1831</v>
      </c>
      <c r="VD5">
        <v>2023</v>
      </c>
      <c r="VE5" t="s">
        <v>1910</v>
      </c>
      <c r="VF5" s="6">
        <v>45245</v>
      </c>
      <c r="VG5">
        <v>2</v>
      </c>
      <c r="VH5">
        <v>-2.4245362661989844E-14</v>
      </c>
      <c r="VI5">
        <v>103882</v>
      </c>
      <c r="VJ5" t="s">
        <v>1911</v>
      </c>
      <c r="VM5" t="str">
        <f>_xll.BDS("WBS US Equity","SUPPLY_CHAIN_CUSTOMERS_ALL_DATA","cols=12;rows=1")</f>
        <v>CNXN US Equity</v>
      </c>
      <c r="VN5">
        <v>-2.4245362661989844E-14</v>
      </c>
      <c r="VP5">
        <v>-2.4245362661989844E-14</v>
      </c>
      <c r="VQ5" t="s">
        <v>1806</v>
      </c>
      <c r="VR5">
        <v>2025</v>
      </c>
      <c r="VS5" t="s">
        <v>2086</v>
      </c>
      <c r="VT5" s="6">
        <v>45799</v>
      </c>
      <c r="VU5">
        <v>1</v>
      </c>
      <c r="VV5">
        <v>-2.4245362661989844E-14</v>
      </c>
      <c r="VW5">
        <v>313021</v>
      </c>
      <c r="VX5" t="s">
        <v>2087</v>
      </c>
    </row>
    <row r="6" spans="1:600" x14ac:dyDescent="0.25">
      <c r="AE6" t="s">
        <v>942</v>
      </c>
      <c r="AF6" t="s">
        <v>1822</v>
      </c>
      <c r="AG6">
        <v>3.7894999999999998E-2</v>
      </c>
      <c r="AH6">
        <v>2.748154</v>
      </c>
      <c r="AI6" t="s">
        <v>1823</v>
      </c>
      <c r="AJ6">
        <v>2025</v>
      </c>
      <c r="AK6" t="s">
        <v>4096</v>
      </c>
      <c r="AL6" s="6">
        <v>45888</v>
      </c>
      <c r="AM6">
        <v>5</v>
      </c>
      <c r="AN6">
        <v>4177166</v>
      </c>
      <c r="AO6">
        <v>100632</v>
      </c>
      <c r="AP6" t="s">
        <v>4097</v>
      </c>
      <c r="CM6" t="s">
        <v>979</v>
      </c>
      <c r="CO6">
        <v>-2.4245362661989844E-14</v>
      </c>
      <c r="CP6">
        <v>-2.4245362661989844E-14</v>
      </c>
      <c r="CQ6" t="s">
        <v>1814</v>
      </c>
      <c r="CR6">
        <v>2021</v>
      </c>
      <c r="CS6" t="s">
        <v>2048</v>
      </c>
      <c r="CT6" s="6">
        <v>44693</v>
      </c>
      <c r="CU6">
        <v>5</v>
      </c>
      <c r="CV6">
        <v>-2.4245362661989844E-14</v>
      </c>
      <c r="CW6">
        <v>100193</v>
      </c>
      <c r="CX6" t="s">
        <v>2049</v>
      </c>
      <c r="EE6" t="s">
        <v>1929</v>
      </c>
      <c r="EF6">
        <v>3.8131789999999999</v>
      </c>
      <c r="EG6" t="s">
        <v>1822</v>
      </c>
      <c r="EH6">
        <v>2.529652</v>
      </c>
      <c r="EI6" t="s">
        <v>1806</v>
      </c>
      <c r="EJ6">
        <v>2025</v>
      </c>
      <c r="EK6" t="s">
        <v>1927</v>
      </c>
      <c r="EL6" s="6">
        <v>45797</v>
      </c>
      <c r="EM6">
        <v>5</v>
      </c>
      <c r="EN6">
        <v>554474368</v>
      </c>
      <c r="EO6">
        <v>101743</v>
      </c>
      <c r="EP6" t="s">
        <v>1931</v>
      </c>
      <c r="EU6" t="s">
        <v>2396</v>
      </c>
      <c r="EW6">
        <v>-2.4245362661989844E-14</v>
      </c>
      <c r="EX6">
        <v>-2.4245362661989844E-14</v>
      </c>
      <c r="EY6" t="s">
        <v>1814</v>
      </c>
      <c r="EZ6">
        <v>2023</v>
      </c>
      <c r="FA6" t="s">
        <v>4254</v>
      </c>
      <c r="FB6" s="6">
        <v>45373</v>
      </c>
      <c r="FC6">
        <v>5</v>
      </c>
      <c r="FD6">
        <v>-2.4245362661989844E-14</v>
      </c>
      <c r="FE6">
        <v>179551</v>
      </c>
      <c r="FF6" t="s">
        <v>2398</v>
      </c>
      <c r="UY6" t="s">
        <v>2238</v>
      </c>
      <c r="VA6">
        <v>-2.4245362661989844E-14</v>
      </c>
      <c r="VB6">
        <v>-2.4245362661989844E-14</v>
      </c>
      <c r="VC6" t="s">
        <v>1806</v>
      </c>
      <c r="VD6">
        <v>2024</v>
      </c>
      <c r="VE6" t="s">
        <v>2239</v>
      </c>
      <c r="VF6" s="6">
        <v>45432</v>
      </c>
      <c r="VG6">
        <v>2</v>
      </c>
      <c r="VH6">
        <v>-2.4245362661989844E-14</v>
      </c>
      <c r="VI6">
        <v>1750153</v>
      </c>
      <c r="VJ6" t="s">
        <v>2240</v>
      </c>
    </row>
    <row r="7" spans="1:600" x14ac:dyDescent="0.25">
      <c r="AE7" t="s">
        <v>4098</v>
      </c>
      <c r="AF7" t="s">
        <v>1822</v>
      </c>
      <c r="AG7">
        <v>2.9606E-2</v>
      </c>
      <c r="AH7">
        <v>0.487097</v>
      </c>
      <c r="AI7" t="s">
        <v>1823</v>
      </c>
      <c r="AJ7">
        <v>2025</v>
      </c>
      <c r="AK7" t="s">
        <v>4099</v>
      </c>
      <c r="AL7" s="6">
        <v>45922</v>
      </c>
      <c r="AM7">
        <v>5</v>
      </c>
      <c r="AN7">
        <v>452659</v>
      </c>
      <c r="AO7">
        <v>11937231</v>
      </c>
      <c r="AP7" t="s">
        <v>4100</v>
      </c>
      <c r="CM7" t="s">
        <v>2050</v>
      </c>
      <c r="CO7">
        <v>-2.4245362661989844E-14</v>
      </c>
      <c r="CP7">
        <v>-2.4245362661989844E-14</v>
      </c>
      <c r="CQ7" t="s">
        <v>1814</v>
      </c>
      <c r="CR7">
        <v>2021</v>
      </c>
      <c r="CS7" t="s">
        <v>2051</v>
      </c>
      <c r="CT7" s="6">
        <v>44693</v>
      </c>
      <c r="CU7">
        <v>5</v>
      </c>
      <c r="CV7">
        <v>-2.4245362661989844E-14</v>
      </c>
      <c r="CW7">
        <v>100481</v>
      </c>
      <c r="CX7" t="s">
        <v>2052</v>
      </c>
      <c r="EE7" t="s">
        <v>2102</v>
      </c>
      <c r="EF7">
        <v>3.1054590000000002</v>
      </c>
      <c r="EG7" t="s">
        <v>1822</v>
      </c>
      <c r="EH7">
        <v>1.2857479999999999</v>
      </c>
      <c r="EI7" t="s">
        <v>1806</v>
      </c>
      <c r="EJ7">
        <v>2025</v>
      </c>
      <c r="EK7" t="s">
        <v>1927</v>
      </c>
      <c r="EL7" s="6">
        <v>45797</v>
      </c>
      <c r="EM7">
        <v>5</v>
      </c>
      <c r="EN7">
        <v>451564800</v>
      </c>
      <c r="EO7">
        <v>117929</v>
      </c>
      <c r="EP7" t="s">
        <v>2103</v>
      </c>
      <c r="EU7" t="s">
        <v>4255</v>
      </c>
      <c r="EW7">
        <v>-2.4245362661989844E-14</v>
      </c>
      <c r="EX7">
        <v>-2.4245362661989844E-14</v>
      </c>
      <c r="EY7" t="s">
        <v>1814</v>
      </c>
      <c r="EZ7">
        <v>2024</v>
      </c>
      <c r="FA7" t="s">
        <v>4256</v>
      </c>
      <c r="FB7" s="6">
        <v>45758</v>
      </c>
      <c r="FC7">
        <v>5</v>
      </c>
      <c r="FD7">
        <v>-2.4245362661989844E-14</v>
      </c>
      <c r="FE7">
        <v>919813</v>
      </c>
      <c r="FF7" t="s">
        <v>4257</v>
      </c>
    </row>
    <row r="8" spans="1:600" x14ac:dyDescent="0.25">
      <c r="AE8" t="s">
        <v>4101</v>
      </c>
      <c r="AF8" t="s">
        <v>1822</v>
      </c>
      <c r="AG8">
        <v>3.4394000000000001E-2</v>
      </c>
      <c r="AH8">
        <v>0.17325099999999999</v>
      </c>
      <c r="AI8" t="s">
        <v>1806</v>
      </c>
      <c r="AJ8">
        <v>2026</v>
      </c>
      <c r="AK8" t="s">
        <v>4102</v>
      </c>
      <c r="AL8" s="6">
        <v>45891</v>
      </c>
      <c r="AM8">
        <v>5</v>
      </c>
      <c r="AN8">
        <v>272854.09000000003</v>
      </c>
      <c r="AO8">
        <v>108592</v>
      </c>
      <c r="AP8" t="s">
        <v>4103</v>
      </c>
      <c r="CM8" t="s">
        <v>1994</v>
      </c>
      <c r="CO8">
        <v>-2.4245362661989844E-14</v>
      </c>
      <c r="CP8">
        <v>-2.4245362661989844E-14</v>
      </c>
      <c r="CQ8" t="s">
        <v>1814</v>
      </c>
      <c r="CR8">
        <v>2021</v>
      </c>
      <c r="CS8" t="s">
        <v>1995</v>
      </c>
      <c r="CT8" s="6">
        <v>44693</v>
      </c>
      <c r="CU8">
        <v>5</v>
      </c>
      <c r="CV8">
        <v>-2.4245362661989844E-14</v>
      </c>
      <c r="CW8">
        <v>302916</v>
      </c>
      <c r="CX8" t="s">
        <v>1996</v>
      </c>
      <c r="EE8" t="s">
        <v>2025</v>
      </c>
      <c r="EF8">
        <v>0.94301500000000005</v>
      </c>
      <c r="EG8" t="s">
        <v>1822</v>
      </c>
      <c r="EH8">
        <v>2.2702520000000002</v>
      </c>
      <c r="EI8" t="s">
        <v>1806</v>
      </c>
      <c r="EJ8">
        <v>2025</v>
      </c>
      <c r="EK8" t="s">
        <v>2026</v>
      </c>
      <c r="EL8" s="6">
        <v>45784</v>
      </c>
      <c r="EM8">
        <v>5</v>
      </c>
      <c r="EN8">
        <v>137123792</v>
      </c>
      <c r="EO8">
        <v>100115</v>
      </c>
      <c r="EP8" t="s">
        <v>2027</v>
      </c>
      <c r="EU8" t="s">
        <v>4258</v>
      </c>
      <c r="EW8">
        <v>-2.4245362661989844E-14</v>
      </c>
      <c r="EX8">
        <v>-2.4245362661989844E-14</v>
      </c>
      <c r="EY8" t="s">
        <v>1814</v>
      </c>
      <c r="EZ8">
        <v>2024</v>
      </c>
      <c r="FA8" t="s">
        <v>4259</v>
      </c>
      <c r="FB8" s="6">
        <v>45777</v>
      </c>
      <c r="FC8">
        <v>5</v>
      </c>
      <c r="FD8">
        <v>-2.4245362661989844E-14</v>
      </c>
      <c r="FE8">
        <v>117567</v>
      </c>
      <c r="FF8" t="s">
        <v>4260</v>
      </c>
    </row>
    <row r="9" spans="1:600" x14ac:dyDescent="0.25">
      <c r="AE9" t="s">
        <v>4104</v>
      </c>
      <c r="AG9">
        <v>-2.4245362661989844E-14</v>
      </c>
      <c r="AH9">
        <v>-2.4245362661989844E-14</v>
      </c>
      <c r="AI9" t="s">
        <v>1814</v>
      </c>
      <c r="AJ9">
        <v>2024</v>
      </c>
      <c r="AK9" t="s">
        <v>4105</v>
      </c>
      <c r="AL9" s="6">
        <v>45791</v>
      </c>
      <c r="AM9">
        <v>5</v>
      </c>
      <c r="AN9">
        <v>-2.4245362661989844E-14</v>
      </c>
      <c r="AO9">
        <v>37535173</v>
      </c>
      <c r="AP9" t="s">
        <v>4106</v>
      </c>
      <c r="CM9" t="s">
        <v>2863</v>
      </c>
      <c r="CO9">
        <v>-2.4245362661989844E-14</v>
      </c>
      <c r="CP9">
        <v>-2.4245362661989844E-14</v>
      </c>
      <c r="CQ9" t="s">
        <v>1814</v>
      </c>
      <c r="CR9">
        <v>2021</v>
      </c>
      <c r="CS9" t="s">
        <v>2864</v>
      </c>
      <c r="CT9" s="6">
        <v>44693</v>
      </c>
      <c r="CU9">
        <v>5</v>
      </c>
      <c r="CV9">
        <v>-2.4245362661989844E-14</v>
      </c>
      <c r="CW9">
        <v>179563</v>
      </c>
      <c r="CX9" t="s">
        <v>2865</v>
      </c>
      <c r="EE9" t="s">
        <v>2104</v>
      </c>
      <c r="EF9">
        <v>0.76780499999999996</v>
      </c>
      <c r="EG9" t="s">
        <v>1822</v>
      </c>
      <c r="EH9">
        <v>2.2920660000000002</v>
      </c>
      <c r="EI9" t="s">
        <v>1806</v>
      </c>
      <c r="EJ9">
        <v>2025</v>
      </c>
      <c r="EK9" t="s">
        <v>1927</v>
      </c>
      <c r="EL9" s="6">
        <v>45797</v>
      </c>
      <c r="EM9">
        <v>5</v>
      </c>
      <c r="EN9">
        <v>111646528</v>
      </c>
      <c r="EO9">
        <v>69423747</v>
      </c>
      <c r="EP9" t="s">
        <v>2105</v>
      </c>
      <c r="EU9" t="s">
        <v>4261</v>
      </c>
      <c r="EW9">
        <v>-2.4245362661989844E-14</v>
      </c>
      <c r="EX9">
        <v>-2.4245362661989844E-14</v>
      </c>
      <c r="EY9" t="s">
        <v>1806</v>
      </c>
      <c r="EZ9">
        <v>2022</v>
      </c>
      <c r="FA9" t="s">
        <v>4262</v>
      </c>
      <c r="FB9" s="6">
        <v>45071</v>
      </c>
      <c r="FC9">
        <v>5</v>
      </c>
      <c r="FD9">
        <v>-2.4245362661989844E-14</v>
      </c>
      <c r="FE9">
        <v>69459263</v>
      </c>
      <c r="FF9" t="s">
        <v>4263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175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176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177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178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179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180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181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182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183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184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185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186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187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188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189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190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191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192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193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194</v>
      </c>
      <c r="AE2" s="3" t="s">
        <v>195</v>
      </c>
      <c r="BI2" s="3" t="s">
        <v>196</v>
      </c>
      <c r="CM2" s="3" t="s">
        <v>197</v>
      </c>
      <c r="DQ2" s="3" t="s">
        <v>198</v>
      </c>
      <c r="EU2" s="3" t="s">
        <v>199</v>
      </c>
      <c r="FY2" s="3" t="s">
        <v>200</v>
      </c>
      <c r="HC2" s="3" t="s">
        <v>201</v>
      </c>
      <c r="IG2" s="3" t="s">
        <v>202</v>
      </c>
      <c r="JK2" s="3" t="s">
        <v>203</v>
      </c>
      <c r="KO2" s="3" t="s">
        <v>204</v>
      </c>
      <c r="LS2" s="3" t="s">
        <v>205</v>
      </c>
      <c r="MW2" s="3" t="s">
        <v>206</v>
      </c>
      <c r="OA2" s="3" t="s">
        <v>207</v>
      </c>
      <c r="PE2" s="3" t="s">
        <v>208</v>
      </c>
      <c r="QI2" s="3" t="s">
        <v>209</v>
      </c>
      <c r="RM2" s="3" t="s">
        <v>210</v>
      </c>
      <c r="SQ2" s="3" t="s">
        <v>211</v>
      </c>
      <c r="TU2" s="3" t="s">
        <v>212</v>
      </c>
      <c r="UY2" s="3" t="s">
        <v>213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_xll.BDS("SMMF US Equity","SUPPLY_CHAIN_SUPPLIERS_ALL_DATA")</f>
        <v>#N/A N/A</v>
      </c>
      <c r="O5" t="str">
        <f>_xll.BDS("SMMF US Equity","SUPPLY_CHAIN_CUSTOMERS_ALL_DATA")</f>
        <v>#N/A N/A</v>
      </c>
      <c r="AE5" t="str">
        <f>_xll.BDS("3075558Q US Equity","SUPPLY_CHAIN_SUPPLIERS_ALL_DATA")</f>
        <v>#N/A N/A</v>
      </c>
      <c r="AS5" t="str">
        <f>_xll.BDS("3075558Q US Equity","SUPPLY_CHAIN_CUSTOMERS_ALL_DATA")</f>
        <v>#N/A N/A</v>
      </c>
      <c r="BI5" t="str">
        <f>_xll.BDS("FFOH US Equity","SUPPLY_CHAIN_SUPPLIERS_ALL_DATA")</f>
        <v>#N/A N/A</v>
      </c>
      <c r="BW5" t="str">
        <f>_xll.BDS("FFOH US Equity","SUPPLY_CHAIN_CUSTOMERS_ALL_DATA")</f>
        <v>#N/A N/A</v>
      </c>
      <c r="CM5" t="str">
        <f>_xll.BDS("IEP US Equity","SUPPLY_CHAIN_SUPPLIERS_ALL_DATA","cols=12;rows=5")</f>
        <v>SMP US Equity</v>
      </c>
      <c r="CN5" t="s">
        <v>1822</v>
      </c>
      <c r="CO5">
        <v>0.58005099999999998</v>
      </c>
      <c r="CP5">
        <v>0.126083</v>
      </c>
      <c r="CQ5" t="s">
        <v>1823</v>
      </c>
      <c r="CR5">
        <v>2025</v>
      </c>
      <c r="CS5" t="s">
        <v>3384</v>
      </c>
      <c r="CT5" s="6">
        <v>45908</v>
      </c>
      <c r="CU5">
        <v>5</v>
      </c>
      <c r="CV5">
        <v>2864599</v>
      </c>
      <c r="CW5">
        <v>101392</v>
      </c>
      <c r="CX5" t="s">
        <v>3385</v>
      </c>
      <c r="DA5" t="str">
        <f>_xll.BDS("IEP US Equity","SUPPLY_CHAIN_CUSTOMERS_ALL_DATA","cols=12;rows=2")</f>
        <v>FMGI IN Equity</v>
      </c>
      <c r="DB5">
        <v>-2.4245362661989844E-14</v>
      </c>
      <c r="DD5">
        <v>-2.4245362661989844E-14</v>
      </c>
      <c r="DE5" t="s">
        <v>1814</v>
      </c>
      <c r="DF5">
        <v>2023</v>
      </c>
      <c r="DG5" t="s">
        <v>3903</v>
      </c>
      <c r="DH5" s="6">
        <v>45076</v>
      </c>
      <c r="DI5">
        <v>2</v>
      </c>
      <c r="DJ5">
        <v>-2.4245362661989844E-14</v>
      </c>
      <c r="DK5">
        <v>174503</v>
      </c>
      <c r="DL5" t="s">
        <v>3904</v>
      </c>
      <c r="DQ5" t="str">
        <f>_xll.BDS("MSFG US Equity","SUPPLY_CHAIN_SUPPLIERS_ALL_DATA")</f>
        <v>#N/A N/A</v>
      </c>
      <c r="EE5" t="str">
        <f>_xll.BDS("MSFG US Equity","SUPPLY_CHAIN_CUSTOMERS_ALL_DATA")</f>
        <v>#N/A N/A</v>
      </c>
      <c r="EU5" t="str">
        <f>_xll.BDS("SBBX US Equity","SUPPLY_CHAIN_SUPPLIERS_ALL_DATA")</f>
        <v>#N/A N/A</v>
      </c>
      <c r="FI5" t="str">
        <f>_xll.BDS("SBBX US Equity","SUPPLY_CHAIN_CUSTOMERS_ALL_DATA")</f>
        <v>#N/A N/A</v>
      </c>
      <c r="FY5" t="str">
        <f>_xll.BDS("GBBK US Equity","SUPPLY_CHAIN_SUPPLIERS_ALL_DATA")</f>
        <v>#N/A N/A</v>
      </c>
      <c r="GM5" t="str">
        <f>_xll.BDS("GBBK US Equity","SUPPLY_CHAIN_CUSTOMERS_ALL_DATA")</f>
        <v>#N/A N/A</v>
      </c>
      <c r="HC5" t="str">
        <f>_xll.BDS("2318580D US Equity","SUPPLY_CHAIN_SUPPLIERS_ALL_DATA")</f>
        <v>#N/A N/A</v>
      </c>
      <c r="HQ5" t="str">
        <f>_xll.BDS("2318580D US Equity","SUPPLY_CHAIN_CUSTOMERS_ALL_DATA")</f>
        <v>#N/A N/A</v>
      </c>
      <c r="IG5" t="str">
        <f>_xll.BDS("CARO US Equity","SUPPLY_CHAIN_SUPPLIERS_ALL_DATA")</f>
        <v>#N/A N/A</v>
      </c>
      <c r="IU5" t="str">
        <f>_xll.BDS("CARO US Equity","SUPPLY_CHAIN_CUSTOMERS_ALL_DATA")</f>
        <v>#N/A N/A</v>
      </c>
      <c r="JK5" t="str">
        <f>_xll.BDS("APOL US Equity","SUPPLY_CHAIN_SUPPLIERS_ALL_DATA")</f>
        <v>#N/A N/A</v>
      </c>
      <c r="JY5" t="str">
        <f>_xll.BDS("APOL US Equity","SUPPLY_CHAIN_CUSTOMERS_ALL_DATA")</f>
        <v>#N/A N/A</v>
      </c>
      <c r="KO5" t="str">
        <f>_xll.BDS("FNIN US Equity","SUPPLY_CHAIN_SUPPLIERS_ALL_DATA")</f>
        <v>#N/A N/A</v>
      </c>
      <c r="LC5" t="str">
        <f>_xll.BDS("FNIN US Equity","SUPPLY_CHAIN_CUSTOMERS_ALL_DATA")</f>
        <v>#N/A N/A</v>
      </c>
      <c r="LS5" t="str">
        <f>_xll.BDS("ETFC US Equity","SUPPLY_CHAIN_SUPPLIERS_ALL_DATA")</f>
        <v>#N/A N/A</v>
      </c>
      <c r="MG5" t="str">
        <f>_xll.BDS("ETFC US Equity","SUPPLY_CHAIN_CUSTOMERS_ALL_DATA")</f>
        <v>#N/A N/A</v>
      </c>
      <c r="MW5" t="str">
        <f>_xll.BDS("BMRC US Equity","SUPPLY_CHAIN_SUPPLIERS_ALL_DATA")</f>
        <v>#N/A N/A</v>
      </c>
      <c r="NK5" t="str">
        <f>_xll.BDS("BMRC US Equity","SUPPLY_CHAIN_CUSTOMERS_ALL_DATA")</f>
        <v>#N/A N/A</v>
      </c>
      <c r="OA5" t="str">
        <f>_xll.BDS("ORCL US Equity","SUPPLY_CHAIN_SUPPLIERS_ALL_DATA","cols=12;rows=5")</f>
        <v>NVDA US Equity</v>
      </c>
      <c r="OB5" t="s">
        <v>1949</v>
      </c>
      <c r="OC5">
        <v>1.9751799999999999</v>
      </c>
      <c r="OD5">
        <v>11.182838</v>
      </c>
      <c r="OE5" t="s">
        <v>1827</v>
      </c>
      <c r="OF5">
        <v>2026</v>
      </c>
      <c r="OG5" t="s">
        <v>2357</v>
      </c>
      <c r="OH5" s="6">
        <v>46087</v>
      </c>
      <c r="OI5">
        <v>5</v>
      </c>
      <c r="OJ5">
        <v>1345630848</v>
      </c>
      <c r="OK5">
        <v>313657</v>
      </c>
      <c r="OL5" t="s">
        <v>2248</v>
      </c>
      <c r="OO5" t="str">
        <f>_xll.BDS("ORCL US Equity","SUPPLY_CHAIN_CUSTOMERS_ALL_DATA","cols=12;rows=5")</f>
        <v>ACN US Equity</v>
      </c>
      <c r="OP5">
        <v>1.9061380000000001</v>
      </c>
      <c r="OQ5" t="s">
        <v>1822</v>
      </c>
      <c r="OR5">
        <v>2.7725070000000001</v>
      </c>
      <c r="OS5" t="s">
        <v>1827</v>
      </c>
      <c r="OT5">
        <v>2025</v>
      </c>
      <c r="OU5" t="s">
        <v>2368</v>
      </c>
      <c r="OV5" s="6">
        <v>45848</v>
      </c>
      <c r="OW5">
        <v>5</v>
      </c>
      <c r="OX5">
        <v>303133120</v>
      </c>
      <c r="OY5">
        <v>300787</v>
      </c>
      <c r="OZ5" t="s">
        <v>3684</v>
      </c>
      <c r="PE5" t="str">
        <f>_xll.BDS("KGM US Equity","SUPPLY_CHAIN_SUPPLIERS_ALL_DATA")</f>
        <v>#N/A N/A</v>
      </c>
      <c r="PS5" t="str">
        <f>_xll.BDS("KGM US Equity","SUPPLY_CHAIN_CUSTOMERS_ALL_DATA")</f>
        <v>#N/A N/A</v>
      </c>
      <c r="QI5" t="str">
        <f>_xll.BDS("SPLP US Equity","SUPPLY_CHAIN_SUPPLIERS_ALL_DATA","cols=12;rows=5")</f>
        <v>1116L US Equity</v>
      </c>
      <c r="QK5">
        <v>-2.4245362661989844E-14</v>
      </c>
      <c r="QL5">
        <v>-2.4245362661989844E-14</v>
      </c>
      <c r="QM5" t="s">
        <v>1814</v>
      </c>
      <c r="QN5">
        <v>2022</v>
      </c>
      <c r="QO5" t="s">
        <v>2361</v>
      </c>
      <c r="QP5" s="6">
        <v>44655</v>
      </c>
      <c r="QQ5">
        <v>5</v>
      </c>
      <c r="QR5">
        <v>-2.4245362661989844E-14</v>
      </c>
      <c r="QS5">
        <v>391598</v>
      </c>
      <c r="QT5" t="s">
        <v>2362</v>
      </c>
      <c r="QW5" t="str">
        <f>_xll.BDS("SPLP US Equity","SUPPLY_CHAIN_CUSTOMERS_ALL_DATA","cols=12;rows=5")</f>
        <v>SNX US Equity</v>
      </c>
      <c r="QX5">
        <v>0.46906500000000001</v>
      </c>
      <c r="QY5" t="s">
        <v>1822</v>
      </c>
      <c r="QZ5">
        <v>1.4430999999999999E-2</v>
      </c>
      <c r="RA5" t="s">
        <v>1827</v>
      </c>
      <c r="RB5">
        <v>2025</v>
      </c>
      <c r="RC5" t="s">
        <v>1850</v>
      </c>
      <c r="RD5" s="6">
        <v>46056</v>
      </c>
      <c r="RE5">
        <v>5</v>
      </c>
      <c r="RF5">
        <v>2335569</v>
      </c>
      <c r="RG5">
        <v>1499717</v>
      </c>
      <c r="RH5" t="s">
        <v>1851</v>
      </c>
      <c r="RM5" t="str">
        <f>_xll.BDS("CLDA US Equity","SUPPLY_CHAIN_SUPPLIERS_ALL_DATA")</f>
        <v>#N/A N/A</v>
      </c>
      <c r="SA5" t="str">
        <f>_xll.BDS("CLDA US Equity","SUPPLY_CHAIN_CUSTOMERS_ALL_DATA")</f>
        <v>#N/A N/A</v>
      </c>
      <c r="SQ5" t="str">
        <f>_xll.BDS("FNLC US Equity","SUPPLY_CHAIN_SUPPLIERS_ALL_DATA")</f>
        <v>#N/A N/A</v>
      </c>
      <c r="TE5" t="str">
        <f>_xll.BDS("FNLC US Equity","SUPPLY_CHAIN_CUSTOMERS_ALL_DATA")</f>
        <v>#N/A N/A</v>
      </c>
      <c r="TU5" t="str">
        <f>_xll.BDS("CICN US Equity","SUPPLY_CHAIN_SUPPLIERS_ALL_DATA")</f>
        <v>#N/A N/A</v>
      </c>
      <c r="UI5" t="str">
        <f>_xll.BDS("CICN US Equity","SUPPLY_CHAIN_CUSTOMERS_ALL_DATA")</f>
        <v>#N/A N/A</v>
      </c>
      <c r="UY5" t="str">
        <f>_xll.BDS("PGI US Equity","SUPPLY_CHAIN_SUPPLIERS_ALL_DATA")</f>
        <v>#N/A N/A</v>
      </c>
      <c r="VM5" t="str">
        <f>_xll.BDS("PGI US Equity","SUPPLY_CHAIN_CUSTOMERS_ALL_DATA","cols=12;rows=1")</f>
        <v>SNX US Equity</v>
      </c>
      <c r="VN5">
        <v>-2.4245362661989844E-14</v>
      </c>
      <c r="VP5">
        <v>-2.4245362661989844E-14</v>
      </c>
      <c r="VQ5" t="s">
        <v>1814</v>
      </c>
      <c r="VR5">
        <v>2021</v>
      </c>
      <c r="VS5" t="s">
        <v>3957</v>
      </c>
      <c r="VT5" s="6">
        <v>44649</v>
      </c>
      <c r="VU5">
        <v>1</v>
      </c>
      <c r="VV5">
        <v>-2.4245362661989844E-14</v>
      </c>
      <c r="VW5">
        <v>1499717</v>
      </c>
      <c r="VX5" t="s">
        <v>1851</v>
      </c>
    </row>
    <row r="6" spans="1:600" x14ac:dyDescent="0.25">
      <c r="CM6" t="s">
        <v>3386</v>
      </c>
      <c r="CN6" t="s">
        <v>1822</v>
      </c>
      <c r="CO6">
        <v>3.8052999999999997E-2</v>
      </c>
      <c r="CP6">
        <v>3.3156999999999999E-2</v>
      </c>
      <c r="CQ6" t="s">
        <v>1823</v>
      </c>
      <c r="CR6">
        <v>2025</v>
      </c>
      <c r="CS6" t="s">
        <v>3387</v>
      </c>
      <c r="CT6" s="6">
        <v>45954</v>
      </c>
      <c r="CU6">
        <v>5</v>
      </c>
      <c r="CV6">
        <v>753034.07</v>
      </c>
      <c r="CW6">
        <v>114817</v>
      </c>
      <c r="CX6" t="s">
        <v>3388</v>
      </c>
      <c r="DA6" t="s">
        <v>3905</v>
      </c>
      <c r="DB6">
        <v>-2.4245362661989844E-14</v>
      </c>
      <c r="DD6">
        <v>-2.4245362661989844E-14</v>
      </c>
      <c r="DE6" t="s">
        <v>1814</v>
      </c>
      <c r="DF6">
        <v>2022</v>
      </c>
      <c r="DG6" t="s">
        <v>3906</v>
      </c>
      <c r="DH6" s="6">
        <v>44994</v>
      </c>
      <c r="DI6">
        <v>2</v>
      </c>
      <c r="DJ6">
        <v>-2.4245362661989844E-14</v>
      </c>
      <c r="DK6">
        <v>10498790</v>
      </c>
      <c r="DL6" t="s">
        <v>3907</v>
      </c>
      <c r="OA6" t="s">
        <v>1940</v>
      </c>
      <c r="OB6" t="s">
        <v>1949</v>
      </c>
      <c r="OC6">
        <v>3.5808580000000001</v>
      </c>
      <c r="OD6">
        <v>3.236755</v>
      </c>
      <c r="OE6" t="s">
        <v>1823</v>
      </c>
      <c r="OF6">
        <v>2025</v>
      </c>
      <c r="OG6" t="s">
        <v>3825</v>
      </c>
      <c r="OH6" s="6">
        <v>45947</v>
      </c>
      <c r="OI6">
        <v>5</v>
      </c>
      <c r="OJ6">
        <v>275188928</v>
      </c>
      <c r="OK6">
        <v>100010</v>
      </c>
      <c r="OL6" t="s">
        <v>1942</v>
      </c>
      <c r="OO6" t="s">
        <v>2100</v>
      </c>
      <c r="OP6">
        <v>1.3419890000000001</v>
      </c>
      <c r="OQ6" t="s">
        <v>1822</v>
      </c>
      <c r="OR6">
        <v>0.27725100000000003</v>
      </c>
      <c r="OS6" t="s">
        <v>1827</v>
      </c>
      <c r="OT6">
        <v>2025</v>
      </c>
      <c r="OU6" t="s">
        <v>2368</v>
      </c>
      <c r="OV6" s="6">
        <v>45848</v>
      </c>
      <c r="OW6">
        <v>5</v>
      </c>
      <c r="OX6">
        <v>213416512</v>
      </c>
      <c r="OY6">
        <v>216952</v>
      </c>
      <c r="OZ6" t="s">
        <v>2101</v>
      </c>
      <c r="QI6" t="s">
        <v>2039</v>
      </c>
      <c r="QK6">
        <v>-2.4245362661989844E-14</v>
      </c>
      <c r="QL6">
        <v>-2.4245362661989844E-14</v>
      </c>
      <c r="QM6" t="s">
        <v>1814</v>
      </c>
      <c r="QN6">
        <v>2021</v>
      </c>
      <c r="QO6" t="s">
        <v>2040</v>
      </c>
      <c r="QP6" s="6">
        <v>44693</v>
      </c>
      <c r="QQ6">
        <v>5</v>
      </c>
      <c r="QR6">
        <v>-2.4245362661989844E-14</v>
      </c>
      <c r="QS6">
        <v>313098</v>
      </c>
      <c r="QT6" t="s">
        <v>2041</v>
      </c>
      <c r="QW6" t="s">
        <v>2078</v>
      </c>
      <c r="QX6">
        <v>-2.4245362661989844E-14</v>
      </c>
      <c r="QZ6">
        <v>-2.4245362661989844E-14</v>
      </c>
      <c r="RA6" t="s">
        <v>1814</v>
      </c>
      <c r="RB6">
        <v>2024</v>
      </c>
      <c r="RC6" t="s">
        <v>2079</v>
      </c>
      <c r="RD6" s="6">
        <v>45799</v>
      </c>
      <c r="RE6">
        <v>5</v>
      </c>
      <c r="RF6">
        <v>-2.4245362661989844E-14</v>
      </c>
      <c r="RG6">
        <v>193931</v>
      </c>
      <c r="RH6" t="s">
        <v>2080</v>
      </c>
    </row>
    <row r="7" spans="1:600" x14ac:dyDescent="0.25">
      <c r="CM7" t="s">
        <v>3389</v>
      </c>
      <c r="CN7" t="s">
        <v>1822</v>
      </c>
      <c r="CO7">
        <v>8.6390000000000008E-3</v>
      </c>
      <c r="CP7">
        <v>2.8081999999999999E-2</v>
      </c>
      <c r="CQ7" t="s">
        <v>1823</v>
      </c>
      <c r="CR7">
        <v>2025</v>
      </c>
      <c r="CS7" t="s">
        <v>3390</v>
      </c>
      <c r="CT7" s="6">
        <v>45951</v>
      </c>
      <c r="CU7">
        <v>5</v>
      </c>
      <c r="CV7">
        <v>637757.78</v>
      </c>
      <c r="CW7">
        <v>115439</v>
      </c>
      <c r="CX7" t="s">
        <v>3391</v>
      </c>
      <c r="OA7" t="s">
        <v>2203</v>
      </c>
      <c r="OB7" t="s">
        <v>1949</v>
      </c>
      <c r="OC7">
        <v>0.91127400000000003</v>
      </c>
      <c r="OD7">
        <v>1.364298</v>
      </c>
      <c r="OE7" t="s">
        <v>1827</v>
      </c>
      <c r="OF7">
        <v>2025</v>
      </c>
      <c r="OG7" t="s">
        <v>2411</v>
      </c>
      <c r="OH7" s="6">
        <v>46010</v>
      </c>
      <c r="OI7">
        <v>5</v>
      </c>
      <c r="OJ7">
        <v>164166016</v>
      </c>
      <c r="OK7">
        <v>59907412</v>
      </c>
      <c r="OL7" t="s">
        <v>2205</v>
      </c>
      <c r="OO7" t="s">
        <v>1849</v>
      </c>
      <c r="OP7">
        <v>1.0301469999999999</v>
      </c>
      <c r="OQ7" t="s">
        <v>1822</v>
      </c>
      <c r="OR7">
        <v>1.0221020000000001</v>
      </c>
      <c r="OS7" t="s">
        <v>1827</v>
      </c>
      <c r="OT7">
        <v>2025</v>
      </c>
      <c r="OU7" t="s">
        <v>1850</v>
      </c>
      <c r="OV7" s="6">
        <v>46056</v>
      </c>
      <c r="OW7">
        <v>5</v>
      </c>
      <c r="OX7">
        <v>165420976</v>
      </c>
      <c r="OY7">
        <v>1499717</v>
      </c>
      <c r="OZ7" t="s">
        <v>1851</v>
      </c>
      <c r="QI7" t="s">
        <v>2363</v>
      </c>
      <c r="QK7">
        <v>-2.4245362661989844E-14</v>
      </c>
      <c r="QL7">
        <v>-2.4245362661989844E-14</v>
      </c>
      <c r="QM7" t="s">
        <v>1814</v>
      </c>
      <c r="QN7">
        <v>2021</v>
      </c>
      <c r="QO7" t="s">
        <v>2364</v>
      </c>
      <c r="QP7" s="6">
        <v>44693</v>
      </c>
      <c r="QQ7">
        <v>5</v>
      </c>
      <c r="QR7">
        <v>-2.4245362661989844E-14</v>
      </c>
      <c r="QS7">
        <v>100760</v>
      </c>
      <c r="QT7" t="s">
        <v>2365</v>
      </c>
      <c r="QW7" t="s">
        <v>2081</v>
      </c>
      <c r="QX7">
        <v>-2.4245362661989844E-14</v>
      </c>
      <c r="QZ7">
        <v>-2.4245362661989844E-14</v>
      </c>
      <c r="RA7" t="s">
        <v>1814</v>
      </c>
      <c r="RB7">
        <v>2022</v>
      </c>
      <c r="RC7" t="s">
        <v>2082</v>
      </c>
      <c r="RD7" s="6">
        <v>45057</v>
      </c>
      <c r="RE7">
        <v>5</v>
      </c>
      <c r="RF7">
        <v>-2.4245362661989844E-14</v>
      </c>
      <c r="RG7">
        <v>69781875</v>
      </c>
      <c r="RH7" t="s">
        <v>2083</v>
      </c>
    </row>
    <row r="8" spans="1:600" x14ac:dyDescent="0.25">
      <c r="CM8" t="s">
        <v>3392</v>
      </c>
      <c r="CN8" t="s">
        <v>1822</v>
      </c>
      <c r="CO8">
        <v>3.1126000000000001E-2</v>
      </c>
      <c r="CP8">
        <v>3.6621000000000001E-2</v>
      </c>
      <c r="CQ8" t="s">
        <v>1810</v>
      </c>
      <c r="CR8">
        <v>2025</v>
      </c>
      <c r="CS8" t="s">
        <v>3393</v>
      </c>
      <c r="CT8" s="6">
        <v>45974</v>
      </c>
      <c r="CU8">
        <v>5</v>
      </c>
      <c r="CV8">
        <v>617178.78</v>
      </c>
      <c r="CW8">
        <v>128163</v>
      </c>
      <c r="CX8" t="s">
        <v>3394</v>
      </c>
      <c r="OA8" t="s">
        <v>3287</v>
      </c>
      <c r="OB8" t="s">
        <v>1949</v>
      </c>
      <c r="OC8">
        <v>6.234559</v>
      </c>
      <c r="OD8">
        <v>1.5138720000000001</v>
      </c>
      <c r="OE8" t="s">
        <v>1823</v>
      </c>
      <c r="OF8">
        <v>2025</v>
      </c>
      <c r="OG8" t="s">
        <v>3826</v>
      </c>
      <c r="OH8" s="6">
        <v>45897</v>
      </c>
      <c r="OI8">
        <v>5</v>
      </c>
      <c r="OJ8">
        <v>137459552</v>
      </c>
      <c r="OK8">
        <v>16532368</v>
      </c>
      <c r="OL8" t="s">
        <v>3289</v>
      </c>
      <c r="OO8" t="s">
        <v>1876</v>
      </c>
      <c r="OP8">
        <v>0.69902799999999998</v>
      </c>
      <c r="OQ8" t="s">
        <v>1822</v>
      </c>
      <c r="OR8">
        <v>0.138625</v>
      </c>
      <c r="OS8" t="s">
        <v>1827</v>
      </c>
      <c r="OT8">
        <v>2025</v>
      </c>
      <c r="OU8" t="s">
        <v>2368</v>
      </c>
      <c r="OV8" s="6">
        <v>45848</v>
      </c>
      <c r="OW8">
        <v>5</v>
      </c>
      <c r="OX8">
        <v>111166424</v>
      </c>
      <c r="OY8">
        <v>100976</v>
      </c>
      <c r="OZ8" t="s">
        <v>1877</v>
      </c>
      <c r="QI8" t="s">
        <v>2050</v>
      </c>
      <c r="QK8">
        <v>-2.4245362661989844E-14</v>
      </c>
      <c r="QL8">
        <v>-2.4245362661989844E-14</v>
      </c>
      <c r="QM8" t="s">
        <v>1814</v>
      </c>
      <c r="QN8">
        <v>2021</v>
      </c>
      <c r="QO8" t="s">
        <v>2051</v>
      </c>
      <c r="QP8" s="6">
        <v>44693</v>
      </c>
      <c r="QQ8">
        <v>5</v>
      </c>
      <c r="QR8">
        <v>-2.4245362661989844E-14</v>
      </c>
      <c r="QS8">
        <v>100481</v>
      </c>
      <c r="QT8" t="s">
        <v>2052</v>
      </c>
      <c r="QW8" t="s">
        <v>1924</v>
      </c>
      <c r="QX8">
        <v>-2.4245362661989844E-14</v>
      </c>
      <c r="QZ8">
        <v>-2.4245362661989844E-14</v>
      </c>
      <c r="RA8" t="s">
        <v>1814</v>
      </c>
      <c r="RB8">
        <v>2025</v>
      </c>
      <c r="RC8" t="s">
        <v>2084</v>
      </c>
      <c r="RD8" s="6">
        <v>45763</v>
      </c>
      <c r="RE8">
        <v>5</v>
      </c>
      <c r="RF8">
        <v>-2.4245362661989844E-14</v>
      </c>
      <c r="RG8">
        <v>130929</v>
      </c>
      <c r="RH8" t="s">
        <v>1926</v>
      </c>
    </row>
    <row r="9" spans="1:600" x14ac:dyDescent="0.25">
      <c r="CM9" t="s">
        <v>3395</v>
      </c>
      <c r="CN9" t="s">
        <v>1822</v>
      </c>
      <c r="CO9">
        <v>3.4840000000000001E-3</v>
      </c>
      <c r="CP9">
        <v>1.7006E-2</v>
      </c>
      <c r="CQ9" t="s">
        <v>1827</v>
      </c>
      <c r="CR9">
        <v>2024</v>
      </c>
      <c r="CS9" t="s">
        <v>3396</v>
      </c>
      <c r="CT9" s="6">
        <v>45740</v>
      </c>
      <c r="CU9">
        <v>5</v>
      </c>
      <c r="CV9">
        <v>375380.08</v>
      </c>
      <c r="CW9">
        <v>115688</v>
      </c>
      <c r="CX9" t="s">
        <v>3397</v>
      </c>
      <c r="OA9" t="s">
        <v>3827</v>
      </c>
      <c r="OB9" t="s">
        <v>1949</v>
      </c>
      <c r="OC9">
        <v>3.6037650000000001</v>
      </c>
      <c r="OD9">
        <v>0.90356199999999998</v>
      </c>
      <c r="OE9" t="s">
        <v>1823</v>
      </c>
      <c r="OF9">
        <v>2026</v>
      </c>
      <c r="OG9" t="s">
        <v>3828</v>
      </c>
      <c r="OH9" s="6">
        <v>46059</v>
      </c>
      <c r="OI9">
        <v>5</v>
      </c>
      <c r="OJ9">
        <v>108725592</v>
      </c>
      <c r="OK9">
        <v>101643</v>
      </c>
      <c r="OL9" t="s">
        <v>3829</v>
      </c>
      <c r="OO9" t="s">
        <v>626</v>
      </c>
      <c r="OP9">
        <v>0.66108800000000001</v>
      </c>
      <c r="OQ9" t="s">
        <v>1822</v>
      </c>
      <c r="OR9">
        <v>0.122531</v>
      </c>
      <c r="OS9" t="s">
        <v>1827</v>
      </c>
      <c r="OT9">
        <v>2025</v>
      </c>
      <c r="OU9" t="s">
        <v>2368</v>
      </c>
      <c r="OV9" s="6">
        <v>45848</v>
      </c>
      <c r="OW9">
        <v>5</v>
      </c>
      <c r="OX9">
        <v>105132824</v>
      </c>
      <c r="OY9">
        <v>101548</v>
      </c>
      <c r="OZ9" t="s">
        <v>1880</v>
      </c>
      <c r="QI9" t="s">
        <v>2272</v>
      </c>
      <c r="QK9">
        <v>-2.4245362661989844E-14</v>
      </c>
      <c r="QL9">
        <v>-2.4245362661989844E-14</v>
      </c>
      <c r="QM9" t="s">
        <v>1814</v>
      </c>
      <c r="QN9">
        <v>2021</v>
      </c>
      <c r="QO9" t="s">
        <v>2273</v>
      </c>
      <c r="QP9" s="6">
        <v>44693</v>
      </c>
      <c r="QQ9">
        <v>5</v>
      </c>
      <c r="QR9">
        <v>-2.4245362661989844E-14</v>
      </c>
      <c r="QS9">
        <v>101315</v>
      </c>
      <c r="QT9" t="s">
        <v>2274</v>
      </c>
      <c r="QW9" t="s">
        <v>2085</v>
      </c>
      <c r="QX9">
        <v>-2.4245362661989844E-14</v>
      </c>
      <c r="QZ9">
        <v>-2.4245362661989844E-14</v>
      </c>
      <c r="RA9" t="s">
        <v>1806</v>
      </c>
      <c r="RB9">
        <v>2025</v>
      </c>
      <c r="RC9" t="s">
        <v>2086</v>
      </c>
      <c r="RD9" s="6">
        <v>45799</v>
      </c>
      <c r="RE9">
        <v>5</v>
      </c>
      <c r="RF9">
        <v>-2.4245362661989844E-14</v>
      </c>
      <c r="RG9">
        <v>313021</v>
      </c>
      <c r="RH9" t="s">
        <v>2087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214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215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216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217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218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219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220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221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222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223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224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225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226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227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228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229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230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231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232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233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234</v>
      </c>
      <c r="AE2" s="3" t="s">
        <v>235</v>
      </c>
      <c r="BI2" s="3" t="s">
        <v>236</v>
      </c>
      <c r="CM2" s="3" t="s">
        <v>237</v>
      </c>
      <c r="DQ2" s="3" t="s">
        <v>238</v>
      </c>
      <c r="EU2" s="3" t="s">
        <v>239</v>
      </c>
      <c r="FY2" s="3" t="s">
        <v>240</v>
      </c>
      <c r="HC2" s="3" t="s">
        <v>241</v>
      </c>
      <c r="IG2" s="3" t="s">
        <v>242</v>
      </c>
      <c r="JK2" s="3" t="s">
        <v>243</v>
      </c>
      <c r="KO2" s="3" t="s">
        <v>244</v>
      </c>
      <c r="LS2" s="3" t="s">
        <v>245</v>
      </c>
      <c r="MW2" s="3" t="s">
        <v>246</v>
      </c>
      <c r="OA2" s="3" t="s">
        <v>247</v>
      </c>
      <c r="PE2" s="3" t="s">
        <v>248</v>
      </c>
      <c r="QI2" s="3" t="s">
        <v>249</v>
      </c>
      <c r="RM2" s="3" t="s">
        <v>250</v>
      </c>
      <c r="SQ2" s="3" t="s">
        <v>251</v>
      </c>
      <c r="TU2" s="3" t="s">
        <v>252</v>
      </c>
      <c r="UY2" s="3" t="s">
        <v>253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_xll.BDS("CJBK US Equity","SUPPLY_CHAIN_SUPPLIERS_ALL_DATA")</f>
        <v>#N/A N/A</v>
      </c>
      <c r="O5" t="str">
        <f>_xll.BDS("CJBK US Equity","SUPPLY_CHAIN_CUSTOMERS_ALL_DATA")</f>
        <v>#N/A N/A</v>
      </c>
      <c r="AE5" t="str">
        <f>_xll.BDS("ANLD US Equity","SUPPLY_CHAIN_SUPPLIERS_ALL_DATA")</f>
        <v>#N/A N/A</v>
      </c>
      <c r="AS5" t="str">
        <f>_xll.BDS("ANLD US Equity","SUPPLY_CHAIN_CUSTOMERS_ALL_DATA")</f>
        <v>#N/A N/A</v>
      </c>
      <c r="BI5" t="str">
        <f>_xll.BDS("HAIN US Equity","SUPPLY_CHAIN_SUPPLIERS_ALL_DATA")</f>
        <v>KDP US Equity</v>
      </c>
      <c r="BW5" t="str">
        <f>_xll.BDS("HAIN US Equity","SUPPLY_CHAIN_CUSTOMERS_ALL_DATA")</f>
        <v>WMT US Equity</v>
      </c>
      <c r="CM5" t="str">
        <f>_xll.BDS("ENERQ US Equity","SUPPLY_CHAIN_SUPPLIERS_ALL_DATA")</f>
        <v>#N/A N/A</v>
      </c>
      <c r="DA5" t="str">
        <f>_xll.BDS("ENERQ US Equity","SUPPLY_CHAIN_CUSTOMERS_ALL_DATA")</f>
        <v>#N/A N/A</v>
      </c>
      <c r="DQ5" t="str">
        <f>_xll.BDS("NGEN US Equity","SUPPLY_CHAIN_SUPPLIERS_ALL_DATA")</f>
        <v>#N/A N/A</v>
      </c>
      <c r="EE5" t="str">
        <f>_xll.BDS("NGEN US Equity","SUPPLY_CHAIN_CUSTOMERS_ALL_DATA")</f>
        <v>#N/A N/A</v>
      </c>
      <c r="EU5" t="str">
        <f>_xll.BDS("MCK US Equity","SUPPLY_CHAIN_SUPPLIERS_ALL_DATA","cols=12;rows=5")</f>
        <v>ABBV US Equity</v>
      </c>
      <c r="EV5" t="s">
        <v>1822</v>
      </c>
      <c r="EW5">
        <v>30.713249000000001</v>
      </c>
      <c r="EX5">
        <v>6.8943349999999999</v>
      </c>
      <c r="EY5" t="s">
        <v>1827</v>
      </c>
      <c r="EZ5">
        <v>2025</v>
      </c>
      <c r="FA5" t="s">
        <v>1900</v>
      </c>
      <c r="FB5" s="6">
        <v>46077</v>
      </c>
      <c r="FC5">
        <v>5</v>
      </c>
      <c r="FD5">
        <v>5103927808</v>
      </c>
      <c r="FE5">
        <v>28046509</v>
      </c>
      <c r="FF5" t="s">
        <v>1901</v>
      </c>
      <c r="FI5" t="str">
        <f>_xll.BDS("MCK US Equity","SUPPLY_CHAIN_CUSTOMERS_ALL_DATA","cols=12;rows=5")</f>
        <v>CVS US Equity</v>
      </c>
      <c r="FJ5">
        <v>24</v>
      </c>
      <c r="FK5" t="s">
        <v>1822</v>
      </c>
      <c r="FL5">
        <v>26.455601000000001</v>
      </c>
      <c r="FM5" t="s">
        <v>1814</v>
      </c>
      <c r="FN5">
        <v>2025</v>
      </c>
      <c r="FO5" t="s">
        <v>4081</v>
      </c>
      <c r="FP5" s="6">
        <v>45786</v>
      </c>
      <c r="FQ5">
        <v>5</v>
      </c>
      <c r="FR5">
        <v>21543059456</v>
      </c>
      <c r="FS5">
        <v>100976</v>
      </c>
      <c r="FT5" t="s">
        <v>1877</v>
      </c>
      <c r="FY5" t="str">
        <f>_xll.BDS("NETM US Equity","SUPPLY_CHAIN_SUPPLIERS_ALL_DATA")</f>
        <v>#N/A N/A</v>
      </c>
      <c r="GM5" t="str">
        <f>_xll.BDS("NETM US Equity","SUPPLY_CHAIN_CUSTOMERS_ALL_DATA")</f>
        <v>#N/A N/A</v>
      </c>
      <c r="HC5" t="str">
        <f>_xll.BDS("SUSQ US Equity","SUPPLY_CHAIN_SUPPLIERS_ALL_DATA")</f>
        <v>#N/A N/A</v>
      </c>
      <c r="HQ5" t="str">
        <f>_xll.BDS("SUSQ US Equity","SUPPLY_CHAIN_CUSTOMERS_ALL_DATA")</f>
        <v>#N/A N/A</v>
      </c>
      <c r="IG5" t="str">
        <f>_xll.BDS("SASR US Equity","SUPPLY_CHAIN_SUPPLIERS_ALL_DATA")</f>
        <v>#N/A N/A</v>
      </c>
      <c r="IU5" t="str">
        <f>_xll.BDS("SASR US Equity","SUPPLY_CHAIN_CUSTOMERS_ALL_DATA")</f>
        <v>#N/A N/A</v>
      </c>
      <c r="JK5" t="str">
        <f>_xll.BDS("MCLDQ US Equity","SUPPLY_CHAIN_SUPPLIERS_ALL_DATA")</f>
        <v>#N/A N/A</v>
      </c>
      <c r="JY5" t="str">
        <f>_xll.BDS("MCLDQ US Equity","SUPPLY_CHAIN_CUSTOMERS_ALL_DATA")</f>
        <v>#N/A N/A</v>
      </c>
      <c r="KO5" t="str">
        <f>_xll.BDS("ZANYQ US Equity","SUPPLY_CHAIN_SUPPLIERS_ALL_DATA")</f>
        <v>#N/A N/A</v>
      </c>
      <c r="LC5" t="str">
        <f>_xll.BDS("ZANYQ US Equity","SUPPLY_CHAIN_CUSTOMERS_ALL_DATA")</f>
        <v>#N/A N/A</v>
      </c>
      <c r="LS5" t="str">
        <f>_xll.BDS("BKH US Equity","SUPPLY_CHAIN_SUPPLIERS_ALL_DATA","cols=12;rows=1")</f>
        <v>BW US Equity</v>
      </c>
      <c r="LU5">
        <v>-2.4245362661989844E-14</v>
      </c>
      <c r="LV5">
        <v>-2.4245362661989844E-14</v>
      </c>
      <c r="LW5" t="s">
        <v>1814</v>
      </c>
      <c r="LX5">
        <v>2023</v>
      </c>
      <c r="LY5" t="s">
        <v>4084</v>
      </c>
      <c r="LZ5" s="6">
        <v>45047</v>
      </c>
      <c r="MA5">
        <v>1</v>
      </c>
      <c r="MB5">
        <v>-2.4245362661989844E-14</v>
      </c>
      <c r="MC5">
        <v>43096338</v>
      </c>
      <c r="MD5" t="s">
        <v>4085</v>
      </c>
      <c r="MG5" t="str">
        <f>_xll.BDS("BKH US Equity","SUPPLY_CHAIN_CUSTOMERS_ALL_DATA","cols=12;rows=5")</f>
        <v>NEM US Equity</v>
      </c>
      <c r="MH5">
        <v>0.56929600000000002</v>
      </c>
      <c r="MI5" t="s">
        <v>1822</v>
      </c>
      <c r="MJ5">
        <v>0.12809899999999999</v>
      </c>
      <c r="MK5" t="s">
        <v>1810</v>
      </c>
      <c r="ML5">
        <v>2025</v>
      </c>
      <c r="MM5" t="s">
        <v>4154</v>
      </c>
      <c r="MN5" s="6">
        <v>45958</v>
      </c>
      <c r="MO5">
        <v>5</v>
      </c>
      <c r="MP5">
        <v>2499211</v>
      </c>
      <c r="MQ5">
        <v>101068</v>
      </c>
      <c r="MR5" t="s">
        <v>4155</v>
      </c>
      <c r="MW5" t="str">
        <f>_xll.BDS("CNMD US Equity","SUPPLY_CHAIN_SUPPLIERS_ALL_DATA","cols=12;rows=5")</f>
        <v>SODI US Equity</v>
      </c>
      <c r="MX5" t="s">
        <v>1822</v>
      </c>
      <c r="MY5">
        <v>37</v>
      </c>
      <c r="MZ5">
        <v>1.081528</v>
      </c>
      <c r="NA5" t="s">
        <v>1810</v>
      </c>
      <c r="NB5">
        <v>2026</v>
      </c>
      <c r="NC5" t="s">
        <v>3839</v>
      </c>
      <c r="ND5" s="6">
        <v>46035</v>
      </c>
      <c r="NE5">
        <v>5</v>
      </c>
      <c r="NF5">
        <v>1858140</v>
      </c>
      <c r="NG5">
        <v>101363</v>
      </c>
      <c r="NH5" t="s">
        <v>3840</v>
      </c>
      <c r="NK5" t="str">
        <f>_xll.BDS("CNMD US Equity","SUPPLY_CHAIN_CUSTOMERS_ALL_DATA","cols=12;rows=2")</f>
        <v>3352Z US Equity</v>
      </c>
      <c r="NL5">
        <v>-2.4245362661989844E-14</v>
      </c>
      <c r="NN5">
        <v>-2.4245362661989844E-14</v>
      </c>
      <c r="NO5" t="s">
        <v>1814</v>
      </c>
      <c r="NP5">
        <v>2024</v>
      </c>
      <c r="NQ5" t="s">
        <v>3738</v>
      </c>
      <c r="NR5" s="6">
        <v>45706</v>
      </c>
      <c r="NS5">
        <v>2</v>
      </c>
      <c r="NT5">
        <v>-2.4245362661989844E-14</v>
      </c>
      <c r="NU5">
        <v>218252</v>
      </c>
      <c r="NV5" t="s">
        <v>2012</v>
      </c>
      <c r="OA5" t="str">
        <f>_xll.BDS("FHI US Equity","SUPPLY_CHAIN_SUPPLIERS_ALL_DATA","cols=12;rows=2")</f>
        <v>BUC LN Equity</v>
      </c>
      <c r="OC5">
        <v>-2.4245362661989844E-14</v>
      </c>
      <c r="OD5">
        <v>-2.4245362661989844E-14</v>
      </c>
      <c r="OE5" t="s">
        <v>1814</v>
      </c>
      <c r="OF5">
        <v>2021</v>
      </c>
      <c r="OG5" t="s">
        <v>4149</v>
      </c>
      <c r="OH5" s="6">
        <v>44650</v>
      </c>
      <c r="OI5">
        <v>2</v>
      </c>
      <c r="OJ5">
        <v>-2.4245362661989844E-14</v>
      </c>
      <c r="OK5">
        <v>111137</v>
      </c>
      <c r="OL5" t="s">
        <v>4150</v>
      </c>
      <c r="OO5" t="str">
        <f>_xll.BDS("FHI US Equity","SUPPLY_CHAIN_CUSTOMERS_ALL_DATA")</f>
        <v>#N/A N/A</v>
      </c>
      <c r="PE5" t="str">
        <f>_xll.BDS("SJNB US Equity","SUPPLY_CHAIN_SUPPLIERS_ALL_DATA")</f>
        <v>#N/A N/A</v>
      </c>
      <c r="PS5" t="str">
        <f>_xll.BDS("SJNB US Equity","SUPPLY_CHAIN_CUSTOMERS_ALL_DATA")</f>
        <v>#N/A N/A</v>
      </c>
      <c r="QI5" t="str">
        <f>_xll.BDS("CACI US Equity","SUPPLY_CHAIN_SUPPLIERS_ALL_DATA","cols=12;rows=5")</f>
        <v>CDP US Equity</v>
      </c>
      <c r="QJ5" t="s">
        <v>1893</v>
      </c>
      <c r="QK5">
        <v>1.895742</v>
      </c>
      <c r="QL5">
        <v>0.79286699999999999</v>
      </c>
      <c r="QM5" t="s">
        <v>1814</v>
      </c>
      <c r="QN5">
        <v>2024</v>
      </c>
      <c r="QO5" t="s">
        <v>3377</v>
      </c>
      <c r="QP5" s="6">
        <v>45694</v>
      </c>
      <c r="QQ5">
        <v>5</v>
      </c>
      <c r="QR5">
        <v>3570000</v>
      </c>
      <c r="QS5">
        <v>106543</v>
      </c>
      <c r="QT5" t="s">
        <v>3378</v>
      </c>
      <c r="QW5" t="str">
        <f>_xll.BDS("CACI US Equity","SUPPLY_CHAIN_CUSTOMERS_ALL_DATA","cols=12;rows=5")</f>
        <v>3352Z US Equity</v>
      </c>
      <c r="QX5">
        <v>95.933823000000004</v>
      </c>
      <c r="QZ5">
        <v>-2.4245362661989844E-14</v>
      </c>
      <c r="RA5" t="s">
        <v>1823</v>
      </c>
      <c r="RB5">
        <v>2026</v>
      </c>
      <c r="RC5" t="s">
        <v>3717</v>
      </c>
      <c r="RD5" s="6">
        <v>46044</v>
      </c>
      <c r="RE5">
        <v>5</v>
      </c>
      <c r="RF5">
        <v>2129824000</v>
      </c>
      <c r="RG5">
        <v>218252</v>
      </c>
      <c r="RH5" t="s">
        <v>2012</v>
      </c>
      <c r="RM5" t="str">
        <f>_xll.BDS("BSBN US Equity","SUPPLY_CHAIN_SUPPLIERS_ALL_DATA")</f>
        <v>#N/A N/A</v>
      </c>
      <c r="SA5" t="str">
        <f>_xll.BDS("BSBN US Equity","SUPPLY_CHAIN_CUSTOMERS_ALL_DATA")</f>
        <v>#N/A N/A</v>
      </c>
      <c r="SQ5" t="str">
        <f>_xll.BDS("3562186Q US Equity","SUPPLY_CHAIN_SUPPLIERS_ALL_DATA")</f>
        <v>#N/A N/A</v>
      </c>
      <c r="TE5" t="str">
        <f>_xll.BDS("3562186Q US Equity","SUPPLY_CHAIN_CUSTOMERS_ALL_DATA")</f>
        <v>#N/A N/A</v>
      </c>
      <c r="TU5" t="str">
        <f>_xll.BDS("BLKB US Equity","SUPPLY_CHAIN_SUPPLIERS_ALL_DATA","cols=12;rows=2")</f>
        <v>0170016D US Equity</v>
      </c>
      <c r="TW5">
        <v>-2.4245362661989844E-14</v>
      </c>
      <c r="TX5">
        <v>-2.4245362661989844E-14</v>
      </c>
      <c r="TY5" t="s">
        <v>1814</v>
      </c>
      <c r="TZ5">
        <v>2024</v>
      </c>
      <c r="UA5" t="s">
        <v>2787</v>
      </c>
      <c r="UB5" s="6">
        <v>45574</v>
      </c>
      <c r="UC5">
        <v>2</v>
      </c>
      <c r="UD5">
        <v>-2.4245362661989844E-14</v>
      </c>
      <c r="UE5">
        <v>29162065</v>
      </c>
      <c r="UF5" t="s">
        <v>2788</v>
      </c>
      <c r="UI5" t="str">
        <f>_xll.BDS("BLKB US Equity","SUPPLY_CHAIN_CUSTOMERS_ALL_DATA","cols=12;rows=5")</f>
        <v>0153039D US Equity</v>
      </c>
      <c r="UJ5">
        <v>-2.4245362661989844E-14</v>
      </c>
      <c r="UL5">
        <v>-2.4245362661989844E-14</v>
      </c>
      <c r="UM5" t="s">
        <v>1806</v>
      </c>
      <c r="UN5">
        <v>2024</v>
      </c>
      <c r="UO5" t="s">
        <v>4340</v>
      </c>
      <c r="UP5" s="6">
        <v>45412</v>
      </c>
      <c r="UQ5">
        <v>5</v>
      </c>
      <c r="UR5">
        <v>-2.4245362661989844E-14</v>
      </c>
      <c r="US5">
        <v>29035669</v>
      </c>
      <c r="UT5" t="s">
        <v>4341</v>
      </c>
      <c r="UY5" t="str">
        <f>_xll.BDS("PRGS US Equity","SUPPLY_CHAIN_SUPPLIERS_ALL_DATA","cols=12;rows=5")</f>
        <v>DDOG US Equity</v>
      </c>
      <c r="VA5">
        <v>-2.4245362661989844E-14</v>
      </c>
      <c r="VB5">
        <v>-2.4245362661989844E-14</v>
      </c>
      <c r="VC5" t="s">
        <v>1814</v>
      </c>
      <c r="VD5">
        <v>2025</v>
      </c>
      <c r="VE5" t="s">
        <v>2858</v>
      </c>
      <c r="VF5" s="6">
        <v>46070</v>
      </c>
      <c r="VG5">
        <v>5</v>
      </c>
      <c r="VH5">
        <v>-2.4245362661989844E-14</v>
      </c>
      <c r="VI5">
        <v>33410852</v>
      </c>
      <c r="VJ5" t="s">
        <v>2859</v>
      </c>
      <c r="VM5" t="str">
        <f>_xll.BDS("PRGS US Equity","SUPPLY_CHAIN_CUSTOMERS_ALL_DATA","cols=12;rows=5")</f>
        <v>TSCO LN Equity</v>
      </c>
      <c r="VN5">
        <v>0.21691099999999999</v>
      </c>
      <c r="VO5" t="s">
        <v>1822</v>
      </c>
      <c r="VP5">
        <v>2.415E-3</v>
      </c>
      <c r="VQ5" t="s">
        <v>1806</v>
      </c>
      <c r="VR5">
        <v>2026</v>
      </c>
      <c r="VS5" t="s">
        <v>2766</v>
      </c>
      <c r="VT5" s="6">
        <v>45898</v>
      </c>
      <c r="VU5">
        <v>5</v>
      </c>
      <c r="VV5">
        <v>512424.81</v>
      </c>
      <c r="VW5">
        <v>112370</v>
      </c>
      <c r="VX5" t="s">
        <v>2767</v>
      </c>
    </row>
    <row r="6" spans="1:600" x14ac:dyDescent="0.25">
      <c r="EU6" t="s">
        <v>396</v>
      </c>
      <c r="EV6" t="s">
        <v>1822</v>
      </c>
      <c r="EW6">
        <v>20.476745999999999</v>
      </c>
      <c r="EX6">
        <v>6.636412</v>
      </c>
      <c r="EY6" t="s">
        <v>1810</v>
      </c>
      <c r="EZ6">
        <v>2025</v>
      </c>
      <c r="FA6" t="s">
        <v>2034</v>
      </c>
      <c r="FB6" s="6">
        <v>46018</v>
      </c>
      <c r="FC6">
        <v>5</v>
      </c>
      <c r="FD6">
        <v>4912985600</v>
      </c>
      <c r="FE6">
        <v>100828</v>
      </c>
      <c r="FF6" t="s">
        <v>3514</v>
      </c>
      <c r="FI6" t="s">
        <v>2142</v>
      </c>
      <c r="FJ6">
        <v>7.8761299999999999</v>
      </c>
      <c r="FK6" t="s">
        <v>1822</v>
      </c>
      <c r="FL6">
        <v>4.5818329999999996</v>
      </c>
      <c r="FM6" t="s">
        <v>1806</v>
      </c>
      <c r="FN6">
        <v>2026</v>
      </c>
      <c r="FO6" t="s">
        <v>4082</v>
      </c>
      <c r="FP6" s="6">
        <v>45953</v>
      </c>
      <c r="FQ6">
        <v>5</v>
      </c>
      <c r="FR6">
        <v>6083345408</v>
      </c>
      <c r="FS6">
        <v>101616</v>
      </c>
      <c r="FT6" t="s">
        <v>2143</v>
      </c>
      <c r="MG6" t="s">
        <v>2249</v>
      </c>
      <c r="MH6">
        <v>-2.4245362661989844E-14</v>
      </c>
      <c r="MJ6">
        <v>-2.4245362661989844E-14</v>
      </c>
      <c r="MK6" t="s">
        <v>1814</v>
      </c>
      <c r="ML6">
        <v>2021</v>
      </c>
      <c r="MM6" t="s">
        <v>2258</v>
      </c>
      <c r="MN6" s="6">
        <v>44693</v>
      </c>
      <c r="MO6">
        <v>5</v>
      </c>
      <c r="MP6">
        <v>-2.4245362661989844E-14</v>
      </c>
      <c r="MQ6">
        <v>330541</v>
      </c>
      <c r="MR6" t="s">
        <v>2250</v>
      </c>
      <c r="MW6" t="s">
        <v>3841</v>
      </c>
      <c r="MY6">
        <v>-2.4245362661989844E-14</v>
      </c>
      <c r="MZ6">
        <v>-2.4245362661989844E-14</v>
      </c>
      <c r="NA6" t="s">
        <v>1814</v>
      </c>
      <c r="NB6">
        <v>2023</v>
      </c>
      <c r="NC6" t="s">
        <v>3842</v>
      </c>
      <c r="ND6" s="6">
        <v>45135</v>
      </c>
      <c r="NE6">
        <v>5</v>
      </c>
      <c r="NF6">
        <v>-2.4245362661989844E-14</v>
      </c>
      <c r="NG6">
        <v>69639346</v>
      </c>
      <c r="NH6" t="s">
        <v>3843</v>
      </c>
      <c r="NK6" t="s">
        <v>3739</v>
      </c>
      <c r="NL6">
        <v>-2.4245362661989844E-14</v>
      </c>
      <c r="NN6">
        <v>-2.4245362661989844E-14</v>
      </c>
      <c r="NO6" t="s">
        <v>1814</v>
      </c>
      <c r="NP6">
        <v>2024</v>
      </c>
      <c r="NQ6" t="s">
        <v>3738</v>
      </c>
      <c r="NR6" s="6">
        <v>45706</v>
      </c>
      <c r="NS6">
        <v>2</v>
      </c>
      <c r="NT6">
        <v>-2.4245362661989844E-14</v>
      </c>
      <c r="NU6">
        <v>1418574</v>
      </c>
      <c r="NV6" t="s">
        <v>3740</v>
      </c>
      <c r="OA6" t="s">
        <v>4151</v>
      </c>
      <c r="OC6">
        <v>-2.4245362661989844E-14</v>
      </c>
      <c r="OD6">
        <v>-2.4245362661989844E-14</v>
      </c>
      <c r="OE6" t="s">
        <v>1814</v>
      </c>
      <c r="OF6">
        <v>2022</v>
      </c>
      <c r="OG6" t="s">
        <v>4152</v>
      </c>
      <c r="OH6" s="6">
        <v>44770</v>
      </c>
      <c r="OI6">
        <v>2</v>
      </c>
      <c r="OJ6">
        <v>-2.4245362661989844E-14</v>
      </c>
      <c r="OK6">
        <v>46375626</v>
      </c>
      <c r="OL6" t="s">
        <v>4153</v>
      </c>
      <c r="QI6" t="s">
        <v>2225</v>
      </c>
      <c r="QJ6" t="s">
        <v>1822</v>
      </c>
      <c r="QK6">
        <v>6.0135000000000001E-2</v>
      </c>
      <c r="QL6">
        <v>4.3561999999999997E-2</v>
      </c>
      <c r="QM6" t="s">
        <v>1810</v>
      </c>
      <c r="QN6">
        <v>2025</v>
      </c>
      <c r="QO6" t="s">
        <v>2226</v>
      </c>
      <c r="QP6" s="6">
        <v>45905</v>
      </c>
      <c r="QQ6">
        <v>5</v>
      </c>
      <c r="QR6">
        <v>690104</v>
      </c>
      <c r="QS6">
        <v>104365</v>
      </c>
      <c r="QT6" t="s">
        <v>2227</v>
      </c>
      <c r="QW6" t="s">
        <v>3718</v>
      </c>
      <c r="QX6">
        <v>-2.4245362661989844E-14</v>
      </c>
      <c r="QZ6">
        <v>-2.4245362661989844E-14</v>
      </c>
      <c r="RA6" t="s">
        <v>1814</v>
      </c>
      <c r="RB6">
        <v>2022</v>
      </c>
      <c r="RC6" t="s">
        <v>3379</v>
      </c>
      <c r="RD6" s="6">
        <v>44690</v>
      </c>
      <c r="RE6">
        <v>5</v>
      </c>
      <c r="RF6">
        <v>-2.4245362661989844E-14</v>
      </c>
      <c r="RG6">
        <v>18782064</v>
      </c>
      <c r="RH6" t="s">
        <v>3719</v>
      </c>
      <c r="TU6" t="s">
        <v>2789</v>
      </c>
      <c r="TW6">
        <v>-2.4245362661989844E-14</v>
      </c>
      <c r="TX6">
        <v>-2.4245362661989844E-14</v>
      </c>
      <c r="TY6" t="s">
        <v>1814</v>
      </c>
      <c r="TZ6">
        <v>2021</v>
      </c>
      <c r="UA6" t="s">
        <v>2790</v>
      </c>
      <c r="UB6" s="6">
        <v>44693</v>
      </c>
      <c r="UC6">
        <v>2</v>
      </c>
      <c r="UD6">
        <v>-2.4245362661989844E-14</v>
      </c>
      <c r="UE6">
        <v>36484351</v>
      </c>
      <c r="UF6" t="s">
        <v>2791</v>
      </c>
      <c r="UI6" t="s">
        <v>4342</v>
      </c>
      <c r="UJ6">
        <v>-2.4245362661989844E-14</v>
      </c>
      <c r="UL6">
        <v>-2.4245362661989844E-14</v>
      </c>
      <c r="UM6" t="s">
        <v>1806</v>
      </c>
      <c r="UN6">
        <v>2024</v>
      </c>
      <c r="UO6" t="s">
        <v>4340</v>
      </c>
      <c r="UP6" s="6">
        <v>45412</v>
      </c>
      <c r="UQ6">
        <v>5</v>
      </c>
      <c r="UR6">
        <v>-2.4245362661989844E-14</v>
      </c>
      <c r="US6">
        <v>902189</v>
      </c>
      <c r="UT6" t="s">
        <v>4343</v>
      </c>
      <c r="UY6" t="s">
        <v>2860</v>
      </c>
      <c r="VA6">
        <v>-2.4245362661989844E-14</v>
      </c>
      <c r="VB6">
        <v>-2.4245362661989844E-14</v>
      </c>
      <c r="VC6" t="s">
        <v>1814</v>
      </c>
      <c r="VD6">
        <v>2025</v>
      </c>
      <c r="VE6" t="s">
        <v>2861</v>
      </c>
      <c r="VF6" s="6">
        <v>46065</v>
      </c>
      <c r="VG6">
        <v>5</v>
      </c>
      <c r="VH6">
        <v>-2.4245362661989844E-14</v>
      </c>
      <c r="VI6">
        <v>41041124</v>
      </c>
      <c r="VJ6" t="s">
        <v>2862</v>
      </c>
      <c r="VM6" t="s">
        <v>1840</v>
      </c>
      <c r="VN6">
        <v>7.6906000000000002E-2</v>
      </c>
      <c r="VO6" t="s">
        <v>1822</v>
      </c>
      <c r="VP6">
        <v>4.4900000000000001E-3</v>
      </c>
      <c r="VQ6" t="s">
        <v>1806</v>
      </c>
      <c r="VR6">
        <v>2025</v>
      </c>
      <c r="VS6" t="s">
        <v>1841</v>
      </c>
      <c r="VT6" s="6">
        <v>45820</v>
      </c>
      <c r="VU6">
        <v>5</v>
      </c>
      <c r="VV6">
        <v>183048</v>
      </c>
      <c r="VW6">
        <v>12129192</v>
      </c>
      <c r="VX6" t="s">
        <v>1842</v>
      </c>
    </row>
    <row r="7" spans="1:600" x14ac:dyDescent="0.25">
      <c r="EU7" t="s">
        <v>2242</v>
      </c>
      <c r="EV7" t="s">
        <v>1822</v>
      </c>
      <c r="EW7">
        <v>36</v>
      </c>
      <c r="EX7">
        <v>4.5203889999999998</v>
      </c>
      <c r="EY7" t="s">
        <v>1814</v>
      </c>
      <c r="EZ7">
        <v>2025</v>
      </c>
      <c r="FA7" t="s">
        <v>2243</v>
      </c>
      <c r="FB7" s="6">
        <v>46064</v>
      </c>
      <c r="FC7">
        <v>5</v>
      </c>
      <c r="FD7">
        <v>4337460224</v>
      </c>
      <c r="FE7">
        <v>100225</v>
      </c>
      <c r="FF7" t="s">
        <v>2244</v>
      </c>
      <c r="FI7" t="s">
        <v>3453</v>
      </c>
      <c r="FJ7">
        <v>4.2240000000000002</v>
      </c>
      <c r="FL7">
        <v>-2.4245362661989844E-14</v>
      </c>
      <c r="FM7" t="s">
        <v>1806</v>
      </c>
      <c r="FN7">
        <v>2026</v>
      </c>
      <c r="FO7" t="s">
        <v>4082</v>
      </c>
      <c r="FP7" s="6">
        <v>45953</v>
      </c>
      <c r="FQ7">
        <v>5</v>
      </c>
      <c r="FR7">
        <v>3262522624</v>
      </c>
      <c r="FS7">
        <v>48003505</v>
      </c>
      <c r="FT7" t="s">
        <v>3455</v>
      </c>
      <c r="MG7" t="s">
        <v>4156</v>
      </c>
      <c r="MH7">
        <v>-2.4245362661989844E-14</v>
      </c>
      <c r="MJ7">
        <v>-2.4245362661989844E-14</v>
      </c>
      <c r="MK7" t="s">
        <v>1814</v>
      </c>
      <c r="ML7">
        <v>2021</v>
      </c>
      <c r="MM7" t="s">
        <v>2258</v>
      </c>
      <c r="MN7" s="6">
        <v>44693</v>
      </c>
      <c r="MO7">
        <v>5</v>
      </c>
      <c r="MP7">
        <v>-2.4245362661989844E-14</v>
      </c>
      <c r="MQ7">
        <v>33560224</v>
      </c>
      <c r="MR7" t="s">
        <v>4157</v>
      </c>
      <c r="MW7" t="s">
        <v>2269</v>
      </c>
      <c r="MY7">
        <v>-2.4245362661989844E-14</v>
      </c>
      <c r="MZ7">
        <v>-2.4245362661989844E-14</v>
      </c>
      <c r="NA7" t="s">
        <v>1814</v>
      </c>
      <c r="NB7">
        <v>2022</v>
      </c>
      <c r="NC7" t="s">
        <v>2270</v>
      </c>
      <c r="ND7" s="6">
        <v>44693</v>
      </c>
      <c r="NE7">
        <v>5</v>
      </c>
      <c r="NF7">
        <v>-2.4245362661989844E-14</v>
      </c>
      <c r="NG7">
        <v>114991</v>
      </c>
      <c r="NH7" t="s">
        <v>2271</v>
      </c>
      <c r="QI7" t="s">
        <v>2100</v>
      </c>
      <c r="QK7">
        <v>-2.4245362661989844E-14</v>
      </c>
      <c r="QL7">
        <v>-2.4245362661989844E-14</v>
      </c>
      <c r="QM7" t="s">
        <v>1814</v>
      </c>
      <c r="QN7">
        <v>2023</v>
      </c>
      <c r="QO7" t="s">
        <v>3379</v>
      </c>
      <c r="QP7" s="6">
        <v>45224</v>
      </c>
      <c r="QQ7">
        <v>5</v>
      </c>
      <c r="QR7">
        <v>-2.4245362661989844E-14</v>
      </c>
      <c r="QS7">
        <v>216952</v>
      </c>
      <c r="QT7" t="s">
        <v>2101</v>
      </c>
      <c r="QW7" t="s">
        <v>3720</v>
      </c>
      <c r="QX7">
        <v>-2.4245362661989844E-14</v>
      </c>
      <c r="QZ7">
        <v>-2.4245362661989844E-14</v>
      </c>
      <c r="RA7" t="s">
        <v>1814</v>
      </c>
      <c r="RB7">
        <v>2023</v>
      </c>
      <c r="RC7" t="s">
        <v>3379</v>
      </c>
      <c r="RD7" s="6">
        <v>44949</v>
      </c>
      <c r="RE7">
        <v>5</v>
      </c>
      <c r="RF7">
        <v>-2.4245362661989844E-14</v>
      </c>
      <c r="RG7">
        <v>834168</v>
      </c>
      <c r="RH7" t="s">
        <v>3721</v>
      </c>
      <c r="UI7" t="s">
        <v>4344</v>
      </c>
      <c r="UJ7">
        <v>-2.4245362661989844E-14</v>
      </c>
      <c r="UL7">
        <v>-2.4245362661989844E-14</v>
      </c>
      <c r="UM7" t="s">
        <v>1806</v>
      </c>
      <c r="UN7">
        <v>2024</v>
      </c>
      <c r="UO7" t="s">
        <v>4340</v>
      </c>
      <c r="UP7" s="6">
        <v>45412</v>
      </c>
      <c r="UQ7">
        <v>5</v>
      </c>
      <c r="UR7">
        <v>-2.4245362661989844E-14</v>
      </c>
      <c r="US7">
        <v>30932742</v>
      </c>
      <c r="UT7" t="s">
        <v>4345</v>
      </c>
      <c r="UY7" t="s">
        <v>2863</v>
      </c>
      <c r="VA7">
        <v>-2.4245362661989844E-14</v>
      </c>
      <c r="VB7">
        <v>-2.4245362661989844E-14</v>
      </c>
      <c r="VC7" t="s">
        <v>1814</v>
      </c>
      <c r="VD7">
        <v>2021</v>
      </c>
      <c r="VE7" t="s">
        <v>2864</v>
      </c>
      <c r="VF7" s="6">
        <v>44693</v>
      </c>
      <c r="VG7">
        <v>5</v>
      </c>
      <c r="VH7">
        <v>-2.4245362661989844E-14</v>
      </c>
      <c r="VI7">
        <v>179563</v>
      </c>
      <c r="VJ7" t="s">
        <v>2865</v>
      </c>
      <c r="VM7" t="s">
        <v>1826</v>
      </c>
      <c r="VN7">
        <v>4.8991E-2</v>
      </c>
      <c r="VO7" t="s">
        <v>1822</v>
      </c>
      <c r="VP7">
        <v>7.8849999999999996E-3</v>
      </c>
      <c r="VQ7" t="s">
        <v>1827</v>
      </c>
      <c r="VR7">
        <v>2025</v>
      </c>
      <c r="VS7" t="s">
        <v>1828</v>
      </c>
      <c r="VT7" s="6">
        <v>46091</v>
      </c>
      <c r="VU7">
        <v>5</v>
      </c>
      <c r="VV7">
        <v>123784</v>
      </c>
      <c r="VW7">
        <v>156637</v>
      </c>
      <c r="VX7" t="s">
        <v>1829</v>
      </c>
    </row>
    <row r="8" spans="1:600" x14ac:dyDescent="0.25">
      <c r="EU8" t="s">
        <v>477</v>
      </c>
      <c r="EV8" t="s">
        <v>1822</v>
      </c>
      <c r="EW8">
        <v>23.281113000000001</v>
      </c>
      <c r="EX8">
        <v>5.5350809999999999</v>
      </c>
      <c r="EY8" t="s">
        <v>1810</v>
      </c>
      <c r="EZ8">
        <v>2025</v>
      </c>
      <c r="FA8" t="s">
        <v>3512</v>
      </c>
      <c r="FB8" s="6">
        <v>46041</v>
      </c>
      <c r="FC8">
        <v>5</v>
      </c>
      <c r="FD8">
        <v>4097661952</v>
      </c>
      <c r="FE8">
        <v>100894</v>
      </c>
      <c r="FF8" t="s">
        <v>3513</v>
      </c>
      <c r="FI8" t="s">
        <v>3456</v>
      </c>
      <c r="FJ8">
        <v>4.17</v>
      </c>
      <c r="FL8">
        <v>-2.4245362661989844E-14</v>
      </c>
      <c r="FM8" t="s">
        <v>1806</v>
      </c>
      <c r="FN8">
        <v>2026</v>
      </c>
      <c r="FO8" t="s">
        <v>4082</v>
      </c>
      <c r="FP8" s="6">
        <v>45953</v>
      </c>
      <c r="FQ8">
        <v>5</v>
      </c>
      <c r="FR8">
        <v>3220814080</v>
      </c>
      <c r="FS8">
        <v>353064</v>
      </c>
      <c r="FT8" t="s">
        <v>3457</v>
      </c>
      <c r="MG8" t="s">
        <v>4158</v>
      </c>
      <c r="MH8">
        <v>-2.4245362661989844E-14</v>
      </c>
      <c r="MJ8">
        <v>-2.4245362661989844E-14</v>
      </c>
      <c r="MK8" t="s">
        <v>1814</v>
      </c>
      <c r="ML8">
        <v>2021</v>
      </c>
      <c r="MM8" t="s">
        <v>2258</v>
      </c>
      <c r="MN8" s="6">
        <v>44693</v>
      </c>
      <c r="MO8">
        <v>5</v>
      </c>
      <c r="MP8">
        <v>-2.4245362661989844E-14</v>
      </c>
      <c r="MQ8">
        <v>18736743</v>
      </c>
      <c r="MR8" t="s">
        <v>4159</v>
      </c>
      <c r="MW8" t="s">
        <v>2050</v>
      </c>
      <c r="MY8">
        <v>-2.4245362661989844E-14</v>
      </c>
      <c r="MZ8">
        <v>-2.4245362661989844E-14</v>
      </c>
      <c r="NA8" t="s">
        <v>1814</v>
      </c>
      <c r="NB8">
        <v>2021</v>
      </c>
      <c r="NC8" t="s">
        <v>2051</v>
      </c>
      <c r="ND8" s="6">
        <v>44693</v>
      </c>
      <c r="NE8">
        <v>5</v>
      </c>
      <c r="NF8">
        <v>-2.4245362661989844E-14</v>
      </c>
      <c r="NG8">
        <v>100481</v>
      </c>
      <c r="NH8" t="s">
        <v>2052</v>
      </c>
      <c r="QI8" t="s">
        <v>3380</v>
      </c>
      <c r="QK8">
        <v>-2.4245362661989844E-14</v>
      </c>
      <c r="QL8">
        <v>-2.4245362661989844E-14</v>
      </c>
      <c r="QM8" t="s">
        <v>1806</v>
      </c>
      <c r="QN8">
        <v>2024</v>
      </c>
      <c r="QO8" t="s">
        <v>3381</v>
      </c>
      <c r="QP8" s="6">
        <v>45105</v>
      </c>
      <c r="QQ8">
        <v>5</v>
      </c>
      <c r="QR8">
        <v>-2.4245362661989844E-14</v>
      </c>
      <c r="QS8">
        <v>302821</v>
      </c>
      <c r="QT8" t="s">
        <v>3382</v>
      </c>
      <c r="QW8" t="s">
        <v>3722</v>
      </c>
      <c r="QX8">
        <v>-2.4245362661989844E-14</v>
      </c>
      <c r="QZ8">
        <v>-2.4245362661989844E-14</v>
      </c>
      <c r="RA8" t="s">
        <v>1814</v>
      </c>
      <c r="RB8">
        <v>2022</v>
      </c>
      <c r="RC8" t="s">
        <v>3379</v>
      </c>
      <c r="RD8" s="6">
        <v>44783</v>
      </c>
      <c r="RE8">
        <v>5</v>
      </c>
      <c r="RF8">
        <v>-2.4245362661989844E-14</v>
      </c>
      <c r="RG8">
        <v>20648392</v>
      </c>
      <c r="RH8" t="s">
        <v>3723</v>
      </c>
      <c r="UI8" t="s">
        <v>4346</v>
      </c>
      <c r="UJ8">
        <v>-2.4245362661989844E-14</v>
      </c>
      <c r="UL8">
        <v>-2.4245362661989844E-14</v>
      </c>
      <c r="UM8" t="s">
        <v>1814</v>
      </c>
      <c r="UN8">
        <v>2023</v>
      </c>
      <c r="UO8" t="s">
        <v>4347</v>
      </c>
      <c r="UP8" s="6">
        <v>45043</v>
      </c>
      <c r="UQ8">
        <v>5</v>
      </c>
      <c r="UR8">
        <v>-2.4245362661989844E-14</v>
      </c>
      <c r="US8">
        <v>68607915</v>
      </c>
      <c r="UT8" t="s">
        <v>4348</v>
      </c>
      <c r="UY8" t="s">
        <v>2866</v>
      </c>
      <c r="VA8">
        <v>-2.4245362661989844E-14</v>
      </c>
      <c r="VB8">
        <v>-2.4245362661989844E-14</v>
      </c>
      <c r="VC8" t="s">
        <v>1810</v>
      </c>
      <c r="VD8">
        <v>2022</v>
      </c>
      <c r="VE8" t="s">
        <v>2867</v>
      </c>
      <c r="VF8" s="6">
        <v>44867</v>
      </c>
      <c r="VG8">
        <v>5</v>
      </c>
      <c r="VH8">
        <v>-2.4245362661989844E-14</v>
      </c>
      <c r="VI8">
        <v>1481607</v>
      </c>
      <c r="VJ8" t="s">
        <v>2868</v>
      </c>
      <c r="VM8" t="s">
        <v>2085</v>
      </c>
      <c r="VN8">
        <v>2.4205999999999998E-2</v>
      </c>
      <c r="VO8" t="s">
        <v>1822</v>
      </c>
      <c r="VP8">
        <v>1.06E-2</v>
      </c>
      <c r="VQ8" t="s">
        <v>1810</v>
      </c>
      <c r="VR8">
        <v>2025</v>
      </c>
      <c r="VS8" t="s">
        <v>2768</v>
      </c>
      <c r="VT8" s="6">
        <v>46034</v>
      </c>
      <c r="VU8">
        <v>5</v>
      </c>
      <c r="VV8">
        <v>60465</v>
      </c>
      <c r="VW8">
        <v>313021</v>
      </c>
      <c r="VX8" t="s">
        <v>2087</v>
      </c>
    </row>
    <row r="9" spans="1:600" x14ac:dyDescent="0.25">
      <c r="EU9" t="s">
        <v>800</v>
      </c>
      <c r="EV9" t="s">
        <v>1822</v>
      </c>
      <c r="EW9">
        <v>25</v>
      </c>
      <c r="EX9">
        <v>4.0761390000000004</v>
      </c>
      <c r="EY9" t="s">
        <v>1814</v>
      </c>
      <c r="EZ9">
        <v>2025</v>
      </c>
      <c r="FA9" t="s">
        <v>2241</v>
      </c>
      <c r="FB9" s="6">
        <v>46079</v>
      </c>
      <c r="FC9">
        <v>5</v>
      </c>
      <c r="FD9">
        <v>3911187456</v>
      </c>
      <c r="FE9">
        <v>101166</v>
      </c>
      <c r="FF9" t="s">
        <v>1915</v>
      </c>
      <c r="FI9" t="s">
        <v>4023</v>
      </c>
      <c r="FJ9">
        <v>4.17</v>
      </c>
      <c r="FL9">
        <v>-2.4245362661989844E-14</v>
      </c>
      <c r="FM9" t="s">
        <v>1806</v>
      </c>
      <c r="FN9">
        <v>2026</v>
      </c>
      <c r="FO9" t="s">
        <v>4082</v>
      </c>
      <c r="FP9" s="6">
        <v>45953</v>
      </c>
      <c r="FQ9">
        <v>5</v>
      </c>
      <c r="FR9">
        <v>3220814080</v>
      </c>
      <c r="FS9">
        <v>962217</v>
      </c>
      <c r="FT9" t="s">
        <v>4025</v>
      </c>
      <c r="MG9" t="s">
        <v>4160</v>
      </c>
      <c r="MH9">
        <v>-2.4245362661989844E-14</v>
      </c>
      <c r="MJ9">
        <v>-2.4245362661989844E-14</v>
      </c>
      <c r="MK9" t="s">
        <v>1814</v>
      </c>
      <c r="ML9">
        <v>2021</v>
      </c>
      <c r="MM9" t="s">
        <v>2258</v>
      </c>
      <c r="MN9" s="6">
        <v>44693</v>
      </c>
      <c r="MO9">
        <v>5</v>
      </c>
      <c r="MP9">
        <v>-2.4245362661989844E-14</v>
      </c>
      <c r="MQ9">
        <v>42470579</v>
      </c>
      <c r="MR9" t="s">
        <v>4161</v>
      </c>
      <c r="MW9" t="s">
        <v>2679</v>
      </c>
      <c r="MY9">
        <v>-2.4245362661989844E-14</v>
      </c>
      <c r="MZ9">
        <v>-2.4245362661989844E-14</v>
      </c>
      <c r="NA9" t="s">
        <v>1814</v>
      </c>
      <c r="NB9">
        <v>2021</v>
      </c>
      <c r="NC9" t="s">
        <v>2680</v>
      </c>
      <c r="ND9" s="6">
        <v>44693</v>
      </c>
      <c r="NE9">
        <v>5</v>
      </c>
      <c r="NF9">
        <v>-2.4245362661989844E-14</v>
      </c>
      <c r="NG9">
        <v>100382</v>
      </c>
      <c r="NH9" t="s">
        <v>2681</v>
      </c>
      <c r="QI9" t="s">
        <v>3134</v>
      </c>
      <c r="QK9">
        <v>-2.4245362661989844E-14</v>
      </c>
      <c r="QL9">
        <v>-2.4245362661989844E-14</v>
      </c>
      <c r="QM9" t="s">
        <v>1823</v>
      </c>
      <c r="QN9">
        <v>2025</v>
      </c>
      <c r="QO9" t="s">
        <v>3293</v>
      </c>
      <c r="QP9" s="6">
        <v>45931</v>
      </c>
      <c r="QQ9">
        <v>5</v>
      </c>
      <c r="QR9">
        <v>-2.4245362661989844E-14</v>
      </c>
      <c r="QS9">
        <v>225275</v>
      </c>
      <c r="QT9" t="s">
        <v>3136</v>
      </c>
      <c r="QW9" t="s">
        <v>3724</v>
      </c>
      <c r="QX9">
        <v>-2.4245362661989844E-14</v>
      </c>
      <c r="QZ9">
        <v>-2.4245362661989844E-14</v>
      </c>
      <c r="RA9" t="s">
        <v>1814</v>
      </c>
      <c r="RB9">
        <v>2025</v>
      </c>
      <c r="RC9" t="s">
        <v>3379</v>
      </c>
      <c r="RD9" s="6">
        <v>45754</v>
      </c>
      <c r="RE9">
        <v>5</v>
      </c>
      <c r="RF9">
        <v>-2.4245362661989844E-14</v>
      </c>
      <c r="RG9">
        <v>27237332</v>
      </c>
      <c r="RH9" t="s">
        <v>3725</v>
      </c>
      <c r="UI9" t="s">
        <v>4349</v>
      </c>
      <c r="UJ9">
        <v>-2.4245362661989844E-14</v>
      </c>
      <c r="UL9">
        <v>-2.4245362661989844E-14</v>
      </c>
      <c r="UM9" t="s">
        <v>1814</v>
      </c>
      <c r="UN9">
        <v>2023</v>
      </c>
      <c r="UO9" t="s">
        <v>4347</v>
      </c>
      <c r="UP9" s="6">
        <v>45133</v>
      </c>
      <c r="UQ9">
        <v>5</v>
      </c>
      <c r="UR9">
        <v>-2.4245362661989844E-14</v>
      </c>
      <c r="US9">
        <v>69669951</v>
      </c>
      <c r="UT9" t="s">
        <v>4350</v>
      </c>
      <c r="UY9" t="s">
        <v>2869</v>
      </c>
      <c r="VA9">
        <v>-2.4245362661989844E-14</v>
      </c>
      <c r="VB9">
        <v>-2.4245362661989844E-14</v>
      </c>
      <c r="VC9" t="s">
        <v>1814</v>
      </c>
      <c r="VD9">
        <v>2021</v>
      </c>
      <c r="VE9" t="s">
        <v>2870</v>
      </c>
      <c r="VF9" s="6">
        <v>44693</v>
      </c>
      <c r="VG9">
        <v>5</v>
      </c>
      <c r="VH9">
        <v>-2.4245362661989844E-14</v>
      </c>
      <c r="VI9">
        <v>107603</v>
      </c>
      <c r="VJ9" t="s">
        <v>2871</v>
      </c>
      <c r="VM9" t="s">
        <v>2769</v>
      </c>
      <c r="VN9">
        <v>-2.4245362661989844E-14</v>
      </c>
      <c r="VP9">
        <v>-2.4245362661989844E-14</v>
      </c>
      <c r="VQ9" t="s">
        <v>1806</v>
      </c>
      <c r="VR9">
        <v>2023</v>
      </c>
      <c r="VS9" t="s">
        <v>2770</v>
      </c>
      <c r="VT9" s="6">
        <v>45020</v>
      </c>
      <c r="VU9">
        <v>5</v>
      </c>
      <c r="VV9">
        <v>-2.4245362661989844E-14</v>
      </c>
      <c r="VW9">
        <v>27524902</v>
      </c>
      <c r="VX9" t="s">
        <v>2771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255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256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257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258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259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260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261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262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263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264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265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266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267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268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269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270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271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272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273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274</v>
      </c>
      <c r="AE2" s="3" t="s">
        <v>275</v>
      </c>
      <c r="BI2" s="3" t="s">
        <v>276</v>
      </c>
      <c r="CM2" s="3" t="s">
        <v>277</v>
      </c>
      <c r="DQ2" s="3" t="s">
        <v>278</v>
      </c>
      <c r="EU2" s="3" t="s">
        <v>279</v>
      </c>
      <c r="FY2" s="3" t="s">
        <v>280</v>
      </c>
      <c r="HC2" s="3" t="s">
        <v>281</v>
      </c>
      <c r="IG2" s="3" t="s">
        <v>282</v>
      </c>
      <c r="JK2" s="3" t="s">
        <v>128</v>
      </c>
      <c r="KO2" s="3" t="s">
        <v>283</v>
      </c>
      <c r="LS2" s="3" t="s">
        <v>284</v>
      </c>
      <c r="MW2" s="3" t="s">
        <v>285</v>
      </c>
      <c r="OA2" s="3" t="s">
        <v>286</v>
      </c>
      <c r="PE2" s="3" t="s">
        <v>287</v>
      </c>
      <c r="QI2" s="3" t="s">
        <v>288</v>
      </c>
      <c r="RM2" s="3" t="s">
        <v>289</v>
      </c>
      <c r="SQ2" s="3" t="s">
        <v>290</v>
      </c>
      <c r="TU2" s="3" t="s">
        <v>291</v>
      </c>
      <c r="UY2" s="3" t="s">
        <v>292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_xll.BDS("1448062D US Equity","SUPPLY_CHAIN_SUPPLIERS_ALL_DATA")</f>
        <v>#N/A N/A</v>
      </c>
      <c r="O5" t="str">
        <f>_xll.BDS("1448062D US Equity","SUPPLY_CHAIN_CUSTOMERS_ALL_DATA")</f>
        <v>#N/A N/A</v>
      </c>
      <c r="AE5" t="str">
        <f>_xll.BDS("MBCRQ US Equity","SUPPLY_CHAIN_SUPPLIERS_ALL_DATA")</f>
        <v>#N/A N/A</v>
      </c>
      <c r="AS5" t="str">
        <f>_xll.BDS("MBCRQ US Equity","SUPPLY_CHAIN_CUSTOMERS_ALL_DATA")</f>
        <v>#N/A N/A</v>
      </c>
      <c r="BI5" t="str">
        <f>_xll.BDS("COHR US Equity","SUPPLY_CHAIN_SUPPLIERS_ALL_DATA","cols=12;rows=5")</f>
        <v>AVGO US Equity</v>
      </c>
      <c r="BJ5" t="s">
        <v>1822</v>
      </c>
      <c r="BK5">
        <v>5.4529000000000001E-2</v>
      </c>
      <c r="BL5">
        <v>0.98020499999999999</v>
      </c>
      <c r="BM5" t="s">
        <v>1827</v>
      </c>
      <c r="BN5">
        <v>2025</v>
      </c>
      <c r="BO5" t="s">
        <v>2411</v>
      </c>
      <c r="BP5" s="6">
        <v>46010</v>
      </c>
      <c r="BQ5">
        <v>5</v>
      </c>
      <c r="BR5">
        <v>9823399</v>
      </c>
      <c r="BS5">
        <v>59907412</v>
      </c>
      <c r="BT5" t="s">
        <v>2205</v>
      </c>
      <c r="BW5" t="str">
        <f>_xll.BDS("COHR US Equity","SUPPLY_CHAIN_CUSTOMERS_ALL_DATA","cols=12;rows=5")</f>
        <v>HPE US Equity</v>
      </c>
      <c r="BX5">
        <v>7.2540740000000001</v>
      </c>
      <c r="BY5" t="s">
        <v>1822</v>
      </c>
      <c r="BZ5">
        <v>1.774689</v>
      </c>
      <c r="CA5" t="s">
        <v>1806</v>
      </c>
      <c r="CB5">
        <v>2026</v>
      </c>
      <c r="CC5" t="s">
        <v>2152</v>
      </c>
      <c r="CD5" s="6">
        <v>45967</v>
      </c>
      <c r="CE5">
        <v>5</v>
      </c>
      <c r="CF5">
        <v>114715928</v>
      </c>
      <c r="CG5">
        <v>42602315</v>
      </c>
      <c r="CH5" t="s">
        <v>2153</v>
      </c>
      <c r="CM5" t="str">
        <f>_xll.BDS("UCB US Equity","SUPPLY_CHAIN_SUPPLIERS_ALL_DATA")</f>
        <v>3764228Z US Equity</v>
      </c>
      <c r="DA5" t="str">
        <f>_xll.BDS("UCB US Equity","SUPPLY_CHAIN_CUSTOMERS_ALL_DATA")</f>
        <v>#N/A N/A</v>
      </c>
      <c r="DQ5" t="str">
        <f>_xll.BDS("TYPE US Equity","SUPPLY_CHAIN_SUPPLIERS_ALL_DATA","cols=12;rows=2")</f>
        <v>NG/ LN Equity</v>
      </c>
      <c r="DS5">
        <v>-2.4245362661989844E-14</v>
      </c>
      <c r="DT5">
        <v>-2.4245362661989844E-14</v>
      </c>
      <c r="DU5" t="s">
        <v>1814</v>
      </c>
      <c r="DV5">
        <v>2021</v>
      </c>
      <c r="DW5" t="s">
        <v>2864</v>
      </c>
      <c r="DX5" s="6">
        <v>44693</v>
      </c>
      <c r="DY5">
        <v>2</v>
      </c>
      <c r="DZ5">
        <v>-2.4245362661989844E-14</v>
      </c>
      <c r="EA5">
        <v>179563</v>
      </c>
      <c r="EB5" t="s">
        <v>2865</v>
      </c>
      <c r="EE5" t="str">
        <f>_xll.BDS("TYPE US Equity","SUPPLY_CHAIN_CUSTOMERS_ALL_DATA","cols=12;rows=1")</f>
        <v>WIX US Equity</v>
      </c>
      <c r="EF5">
        <v>-2.4245362661989844E-14</v>
      </c>
      <c r="EH5">
        <v>-2.4245362661989844E-14</v>
      </c>
      <c r="EI5" t="s">
        <v>1823</v>
      </c>
      <c r="EJ5">
        <v>2025</v>
      </c>
      <c r="EK5" t="s">
        <v>4147</v>
      </c>
      <c r="EL5" s="6">
        <v>45875</v>
      </c>
      <c r="EM5">
        <v>1</v>
      </c>
      <c r="EN5">
        <v>-2.4245362661989844E-14</v>
      </c>
      <c r="EO5">
        <v>34352073</v>
      </c>
      <c r="EP5" t="s">
        <v>4148</v>
      </c>
      <c r="EU5" t="str">
        <f>_xll.BDS("RBBN US Equity","SUPPLY_CHAIN_SUPPLIERS_ALL_DATA","cols=12;rows=5")</f>
        <v>PRV-U CN Equity</v>
      </c>
      <c r="EV5" t="s">
        <v>1893</v>
      </c>
      <c r="EW5">
        <v>2.4</v>
      </c>
      <c r="EX5">
        <v>0.84127799999999997</v>
      </c>
      <c r="EY5" t="s">
        <v>1814</v>
      </c>
      <c r="EZ5">
        <v>2024</v>
      </c>
      <c r="FA5" t="s">
        <v>3344</v>
      </c>
      <c r="FB5" s="6">
        <v>45728</v>
      </c>
      <c r="FC5">
        <v>5</v>
      </c>
      <c r="FD5">
        <v>434574.71</v>
      </c>
      <c r="FE5">
        <v>25249958</v>
      </c>
      <c r="FF5" t="s">
        <v>3345</v>
      </c>
      <c r="FI5" t="str">
        <f>_xll.BDS("RBBN US Equity","SUPPLY_CHAIN_CUSTOMERS_ALL_DATA","cols=12;rows=5")</f>
        <v>VZ US Equity</v>
      </c>
      <c r="FJ5">
        <v>17</v>
      </c>
      <c r="FK5" t="s">
        <v>1822</v>
      </c>
      <c r="FL5">
        <v>0.25292799999999999</v>
      </c>
      <c r="FM5" t="s">
        <v>1814</v>
      </c>
      <c r="FN5">
        <v>2025</v>
      </c>
      <c r="FO5" t="s">
        <v>4067</v>
      </c>
      <c r="FP5" s="6">
        <v>46079</v>
      </c>
      <c r="FQ5">
        <v>5</v>
      </c>
      <c r="FR5">
        <v>35893632</v>
      </c>
      <c r="FS5">
        <v>100185</v>
      </c>
      <c r="FT5" t="s">
        <v>4068</v>
      </c>
      <c r="FY5" t="str">
        <f>_xll.BDS("WTFC US Equity","SUPPLY_CHAIN_SUPPLIERS_ALL_DATA","cols=12;rows=2")</f>
        <v>VYX US Equity</v>
      </c>
      <c r="GA5">
        <v>-2.4245362661989844E-14</v>
      </c>
      <c r="GB5">
        <v>-2.4245362661989844E-14</v>
      </c>
      <c r="GC5" t="s">
        <v>1823</v>
      </c>
      <c r="GD5">
        <v>2024</v>
      </c>
      <c r="GE5" t="s">
        <v>2762</v>
      </c>
      <c r="GF5" s="6">
        <v>45510</v>
      </c>
      <c r="GG5">
        <v>2</v>
      </c>
      <c r="GH5">
        <v>-2.4245362661989844E-14</v>
      </c>
      <c r="GI5">
        <v>202476</v>
      </c>
      <c r="GJ5" t="s">
        <v>2410</v>
      </c>
      <c r="GM5" t="str">
        <f>_xll.BDS("WTFC US Equity","SUPPLY_CHAIN_CUSTOMERS_ALL_DATA")</f>
        <v>#N/A N/A</v>
      </c>
      <c r="HC5" t="str">
        <f>_xll.BDS("1763635D US Equity","SUPPLY_CHAIN_SUPPLIERS_ALL_DATA")</f>
        <v>#N/A N/A</v>
      </c>
      <c r="HQ5" t="str">
        <f>_xll.BDS("1763635D US Equity","SUPPLY_CHAIN_CUSTOMERS_ALL_DATA")</f>
        <v>#N/A N/A</v>
      </c>
      <c r="IG5" t="str">
        <f>_xll.BDS("ILA US Equity","SUPPLY_CHAIN_SUPPLIERS_ALL_DATA")</f>
        <v>#N/A N/A</v>
      </c>
      <c r="IU5" t="str">
        <f>_xll.BDS("ILA US Equity","SUPPLY_CHAIN_CUSTOMERS_ALL_DATA")</f>
        <v>#N/A N/A</v>
      </c>
      <c r="JK5" t="str">
        <f>_xll.BDS("3470770Q US Equity","SUPPLY_CHAIN_SUPPLIERS_ALL_DATA")</f>
        <v>#N/A N/A</v>
      </c>
      <c r="JY5" t="str">
        <f>_xll.BDS("3470770Q US Equity","SUPPLY_CHAIN_CUSTOMERS_ALL_DATA")</f>
        <v>#N/A N/A</v>
      </c>
      <c r="KO5" t="str">
        <f>_xll.BDS("CFR US Equity","SUPPLY_CHAIN_SUPPLIERS_ALL_DATA","cols=12;rows=4")</f>
        <v>INFO IN Equity</v>
      </c>
      <c r="KP5" t="s">
        <v>1893</v>
      </c>
      <c r="KQ5">
        <v>0.140711</v>
      </c>
      <c r="KR5">
        <v>1.91015</v>
      </c>
      <c r="KS5" t="s">
        <v>1827</v>
      </c>
      <c r="KT5">
        <v>2025</v>
      </c>
      <c r="KU5" t="s">
        <v>1997</v>
      </c>
      <c r="KV5" s="6">
        <v>45810</v>
      </c>
      <c r="KW5">
        <v>4</v>
      </c>
      <c r="KX5">
        <v>6650110.3899999997</v>
      </c>
      <c r="KY5">
        <v>174545</v>
      </c>
      <c r="KZ5" t="s">
        <v>1998</v>
      </c>
      <c r="LC5" t="str">
        <f>_xll.BDS("CFR US Equity","SUPPLY_CHAIN_CUSTOMERS_ALL_DATA")</f>
        <v>#N/A N/A</v>
      </c>
      <c r="LS5" t="str">
        <f>_xll.BDS("INVA US Equity","SUPPLY_CHAIN_SUPPLIERS_ALL_DATA","cols=12;rows=5")</f>
        <v>7431Z US Equity</v>
      </c>
      <c r="LT5" t="s">
        <v>1822</v>
      </c>
      <c r="LU5">
        <v>0.24707899999999999</v>
      </c>
      <c r="LV5">
        <v>4.2896700000000001</v>
      </c>
      <c r="LW5" t="s">
        <v>1810</v>
      </c>
      <c r="LX5">
        <v>2025</v>
      </c>
      <c r="LY5" t="s">
        <v>2177</v>
      </c>
      <c r="LZ5" s="6">
        <v>45966</v>
      </c>
      <c r="MA5">
        <v>5</v>
      </c>
      <c r="MB5">
        <v>1100000</v>
      </c>
      <c r="MC5">
        <v>216143</v>
      </c>
      <c r="MD5" t="s">
        <v>2178</v>
      </c>
      <c r="MG5" t="str">
        <f>_xll.BDS("INVA US Equity","SUPPLY_CHAIN_CUSTOMERS_ALL_DATA","cols=12;rows=5")</f>
        <v>GSK LN Equity</v>
      </c>
      <c r="MH5">
        <v>55.562153000000002</v>
      </c>
      <c r="MI5" t="s">
        <v>1822</v>
      </c>
      <c r="MJ5">
        <v>1.967158</v>
      </c>
      <c r="MK5" t="s">
        <v>1810</v>
      </c>
      <c r="ML5">
        <v>2025</v>
      </c>
      <c r="MM5" t="s">
        <v>2177</v>
      </c>
      <c r="MN5" s="6">
        <v>45966</v>
      </c>
      <c r="MO5">
        <v>5</v>
      </c>
      <c r="MP5">
        <v>59896000</v>
      </c>
      <c r="MQ5">
        <v>1456450</v>
      </c>
      <c r="MR5" t="s">
        <v>2442</v>
      </c>
      <c r="MW5" t="str">
        <f>_xll.BDS("CBU US Equity","SUPPLY_CHAIN_SUPPLIERS_ALL_DATA")</f>
        <v>#N/A N/A</v>
      </c>
      <c r="NK5" t="str">
        <f>_xll.BDS("CBU US Equity","SUPPLY_CHAIN_CUSTOMERS_ALL_DATA")</f>
        <v>#N/A N/A</v>
      </c>
      <c r="OA5" t="str">
        <f>_xll.BDS("VRSOQ US Equity","SUPPLY_CHAIN_SUPPLIERS_ALL_DATA")</f>
        <v>#N/A N/A</v>
      </c>
      <c r="OO5" t="str">
        <f>_xll.BDS("VRSOQ US Equity","SUPPLY_CHAIN_CUSTOMERS_ALL_DATA")</f>
        <v>#N/A N/A</v>
      </c>
      <c r="PE5" t="str">
        <f>_xll.BDS("TLSW US Equity","SUPPLY_CHAIN_SUPPLIERS_ALL_DATA")</f>
        <v>#N/A N/A</v>
      </c>
      <c r="PS5" t="str">
        <f>_xll.BDS("TLSW US Equity","SUPPLY_CHAIN_CUSTOMERS_ALL_DATA")</f>
        <v>#N/A N/A</v>
      </c>
      <c r="QI5" t="str">
        <f>_xll.BDS("SSB US Equity","SUPPLY_CHAIN_SUPPLIERS_ALL_DATA","cols=12;rows=4")</f>
        <v>BLND US Equity</v>
      </c>
      <c r="QK5">
        <v>-2.4245362661989844E-14</v>
      </c>
      <c r="QL5">
        <v>-2.4245362661989844E-14</v>
      </c>
      <c r="QM5" t="s">
        <v>1806</v>
      </c>
      <c r="QN5">
        <v>2025</v>
      </c>
      <c r="QO5" t="s">
        <v>2237</v>
      </c>
      <c r="QP5" s="6">
        <v>45785</v>
      </c>
      <c r="QQ5">
        <v>4</v>
      </c>
      <c r="QR5">
        <v>-2.4245362661989844E-14</v>
      </c>
      <c r="QS5">
        <v>42447088</v>
      </c>
      <c r="QT5" t="s">
        <v>1848</v>
      </c>
      <c r="QW5" t="str">
        <f>_xll.BDS("SSB US Equity","SUPPLY_CHAIN_CUSTOMERS_ALL_DATA")</f>
        <v>#N/A N/A</v>
      </c>
      <c r="RM5" t="str">
        <f>_xll.BDS("539355Q US Equity","SUPPLY_CHAIN_SUPPLIERS_ALL_DATA")</f>
        <v>#N/A N/A</v>
      </c>
      <c r="SA5" t="str">
        <f>_xll.BDS("539355Q US Equity","SUPPLY_CHAIN_CUSTOMERS_ALL_DATA")</f>
        <v>#N/A N/A</v>
      </c>
      <c r="SQ5" t="str">
        <f>_xll.BDS("DHMS US Equity","SUPPLY_CHAIN_SUPPLIERS_ALL_DATA")</f>
        <v>#N/A N/A</v>
      </c>
      <c r="TE5" t="str">
        <f>_xll.BDS("DHMS US Equity","SUPPLY_CHAIN_CUSTOMERS_ALL_DATA")</f>
        <v>#N/A N/A</v>
      </c>
      <c r="TU5" t="str">
        <f>_xll.BDS("NNN US Equity","SUPPLY_CHAIN_SUPPLIERS_ALL_DATA")</f>
        <v>#N/A N/A</v>
      </c>
      <c r="UI5" t="str">
        <f>_xll.BDS("NNN US Equity","SUPPLY_CHAIN_CUSTOMERS_ALL_DATA")</f>
        <v>3382 JP Equity</v>
      </c>
      <c r="UY5" t="str">
        <f>_xll.BDS("NBTB US Equity","SUPPLY_CHAIN_SUPPLIERS_ALL_DATA")</f>
        <v>FRSH US Equity</v>
      </c>
      <c r="VM5" t="str">
        <f>_xll.BDS("NBTB US Equity","SUPPLY_CHAIN_CUSTOMERS_ALL_DATA")</f>
        <v>#N/A N/A</v>
      </c>
    </row>
    <row r="6" spans="1:600" x14ac:dyDescent="0.25">
      <c r="BI6" t="s">
        <v>2412</v>
      </c>
      <c r="BJ6" t="s">
        <v>1822</v>
      </c>
      <c r="BK6">
        <v>8.1725010000000005</v>
      </c>
      <c r="BL6">
        <v>0.91561800000000004</v>
      </c>
      <c r="BM6" t="s">
        <v>1806</v>
      </c>
      <c r="BN6">
        <v>2025</v>
      </c>
      <c r="BO6" t="s">
        <v>2413</v>
      </c>
      <c r="BP6" s="6">
        <v>45861</v>
      </c>
      <c r="BQ6">
        <v>5</v>
      </c>
      <c r="BR6">
        <v>8883813.5099999998</v>
      </c>
      <c r="BS6">
        <v>14336256</v>
      </c>
      <c r="BT6" t="s">
        <v>2414</v>
      </c>
      <c r="BW6" t="s">
        <v>2104</v>
      </c>
      <c r="BX6">
        <v>6.8054249999999996</v>
      </c>
      <c r="BY6" t="s">
        <v>1822</v>
      </c>
      <c r="BZ6">
        <v>2.1361849999999998</v>
      </c>
      <c r="CA6" t="s">
        <v>1806</v>
      </c>
      <c r="CB6">
        <v>2026</v>
      </c>
      <c r="CC6" t="s">
        <v>2152</v>
      </c>
      <c r="CD6" s="6">
        <v>45967</v>
      </c>
      <c r="CE6">
        <v>5</v>
      </c>
      <c r="CF6">
        <v>107620992</v>
      </c>
      <c r="CG6">
        <v>69423747</v>
      </c>
      <c r="CH6" t="s">
        <v>2105</v>
      </c>
      <c r="DQ6" t="s">
        <v>2869</v>
      </c>
      <c r="DS6">
        <v>-2.4245362661989844E-14</v>
      </c>
      <c r="DT6">
        <v>-2.4245362661989844E-14</v>
      </c>
      <c r="DU6" t="s">
        <v>1814</v>
      </c>
      <c r="DV6">
        <v>2021</v>
      </c>
      <c r="DW6" t="s">
        <v>2870</v>
      </c>
      <c r="DX6" s="6">
        <v>44693</v>
      </c>
      <c r="DY6">
        <v>2</v>
      </c>
      <c r="DZ6">
        <v>-2.4245362661989844E-14</v>
      </c>
      <c r="EA6">
        <v>107603</v>
      </c>
      <c r="EB6" t="s">
        <v>2871</v>
      </c>
      <c r="EU6" t="s">
        <v>3346</v>
      </c>
      <c r="EV6" t="s">
        <v>1822</v>
      </c>
      <c r="EW6">
        <v>8.5640999999999995E-2</v>
      </c>
      <c r="EX6">
        <v>0.10501199999999999</v>
      </c>
      <c r="EY6" t="s">
        <v>1810</v>
      </c>
      <c r="EZ6">
        <v>2025</v>
      </c>
      <c r="FA6" t="s">
        <v>3347</v>
      </c>
      <c r="FB6" s="6">
        <v>46062</v>
      </c>
      <c r="FC6">
        <v>5</v>
      </c>
      <c r="FD6">
        <v>112029.24</v>
      </c>
      <c r="FE6">
        <v>815189</v>
      </c>
      <c r="FF6" t="s">
        <v>3348</v>
      </c>
      <c r="FI6" t="s">
        <v>4069</v>
      </c>
      <c r="FJ6">
        <v>10</v>
      </c>
      <c r="FL6">
        <v>-2.4245362661989844E-14</v>
      </c>
      <c r="FM6" t="s">
        <v>1810</v>
      </c>
      <c r="FN6">
        <v>2025</v>
      </c>
      <c r="FO6" t="s">
        <v>4070</v>
      </c>
      <c r="FP6" s="6">
        <v>45953</v>
      </c>
      <c r="FQ6">
        <v>5</v>
      </c>
      <c r="FR6">
        <v>21537100</v>
      </c>
      <c r="FS6">
        <v>157661</v>
      </c>
      <c r="FT6" t="s">
        <v>4071</v>
      </c>
      <c r="FY6" t="s">
        <v>2763</v>
      </c>
      <c r="GA6">
        <v>-2.4245362661989844E-14</v>
      </c>
      <c r="GB6">
        <v>-2.4245362661989844E-14</v>
      </c>
      <c r="GC6" t="s">
        <v>1814</v>
      </c>
      <c r="GD6">
        <v>2025</v>
      </c>
      <c r="GE6" t="s">
        <v>2764</v>
      </c>
      <c r="GF6" s="6">
        <v>46072</v>
      </c>
      <c r="GG6">
        <v>2</v>
      </c>
      <c r="GH6">
        <v>-2.4245362661989844E-14</v>
      </c>
      <c r="GI6">
        <v>42839691</v>
      </c>
      <c r="GJ6" t="s">
        <v>2765</v>
      </c>
      <c r="KO6" t="s">
        <v>1999</v>
      </c>
      <c r="KP6" t="s">
        <v>1893</v>
      </c>
      <c r="KQ6">
        <v>1.2710490000000001</v>
      </c>
      <c r="KR6">
        <v>0.15052699999999999</v>
      </c>
      <c r="KS6" t="s">
        <v>1814</v>
      </c>
      <c r="KT6">
        <v>2024</v>
      </c>
      <c r="KU6" t="s">
        <v>2000</v>
      </c>
      <c r="KV6" s="6">
        <v>45733</v>
      </c>
      <c r="KW6">
        <v>4</v>
      </c>
      <c r="KX6">
        <v>490250</v>
      </c>
      <c r="KY6">
        <v>9012118</v>
      </c>
      <c r="KZ6" t="s">
        <v>2001</v>
      </c>
      <c r="LS6" t="s">
        <v>2179</v>
      </c>
      <c r="LU6">
        <v>-2.4245362661989844E-14</v>
      </c>
      <c r="LV6">
        <v>-2.4245362661989844E-14</v>
      </c>
      <c r="LW6" t="s">
        <v>1810</v>
      </c>
      <c r="LX6">
        <v>2025</v>
      </c>
      <c r="LY6" t="s">
        <v>2177</v>
      </c>
      <c r="LZ6" s="6">
        <v>45966</v>
      </c>
      <c r="MA6">
        <v>5</v>
      </c>
      <c r="MB6">
        <v>-2.4245362661989844E-14</v>
      </c>
      <c r="MC6">
        <v>934364</v>
      </c>
      <c r="MD6" t="s">
        <v>2180</v>
      </c>
      <c r="MG6" t="s">
        <v>2443</v>
      </c>
      <c r="MH6">
        <v>1.994356</v>
      </c>
      <c r="MI6" t="s">
        <v>1822</v>
      </c>
      <c r="MJ6">
        <v>19.768999000000001</v>
      </c>
      <c r="MK6" t="s">
        <v>1823</v>
      </c>
      <c r="ML6">
        <v>2025</v>
      </c>
      <c r="MM6" t="s">
        <v>2444</v>
      </c>
      <c r="MN6" s="6">
        <v>45875</v>
      </c>
      <c r="MO6">
        <v>5</v>
      </c>
      <c r="MP6">
        <v>2000000</v>
      </c>
      <c r="MQ6">
        <v>67962950</v>
      </c>
      <c r="MR6" t="s">
        <v>2445</v>
      </c>
      <c r="QI6" t="s">
        <v>2065</v>
      </c>
      <c r="QK6">
        <v>-2.4245362661989844E-14</v>
      </c>
      <c r="QL6">
        <v>-2.4245362661989844E-14</v>
      </c>
      <c r="QM6" t="s">
        <v>1814</v>
      </c>
      <c r="QN6">
        <v>2024</v>
      </c>
      <c r="QO6" t="s">
        <v>2066</v>
      </c>
      <c r="QP6" s="6">
        <v>45762</v>
      </c>
      <c r="QQ6">
        <v>4</v>
      </c>
      <c r="QR6">
        <v>-2.4245362661989844E-14</v>
      </c>
      <c r="QS6">
        <v>46286147</v>
      </c>
      <c r="QT6" t="s">
        <v>2067</v>
      </c>
    </row>
    <row r="7" spans="1:600" x14ac:dyDescent="0.25">
      <c r="BI7" t="s">
        <v>2415</v>
      </c>
      <c r="BJ7" t="s">
        <v>1822</v>
      </c>
      <c r="BK7">
        <v>1.799021</v>
      </c>
      <c r="BL7">
        <v>0.71026599999999995</v>
      </c>
      <c r="BM7" t="s">
        <v>1823</v>
      </c>
      <c r="BN7">
        <v>2025</v>
      </c>
      <c r="BO7" t="s">
        <v>2416</v>
      </c>
      <c r="BP7" s="6">
        <v>46014</v>
      </c>
      <c r="BQ7">
        <v>5</v>
      </c>
      <c r="BR7">
        <v>7118132</v>
      </c>
      <c r="BS7">
        <v>159009</v>
      </c>
      <c r="BT7" t="s">
        <v>2417</v>
      </c>
      <c r="BW7" t="s">
        <v>1921</v>
      </c>
      <c r="BX7">
        <v>6.5266529999999996</v>
      </c>
      <c r="BY7" t="s">
        <v>1822</v>
      </c>
      <c r="BZ7">
        <v>0.424236</v>
      </c>
      <c r="CA7" t="s">
        <v>1806</v>
      </c>
      <c r="CB7">
        <v>2026</v>
      </c>
      <c r="CC7" t="s">
        <v>2152</v>
      </c>
      <c r="CD7" s="6">
        <v>45967</v>
      </c>
      <c r="CE7">
        <v>5</v>
      </c>
      <c r="CF7">
        <v>103212488</v>
      </c>
      <c r="CG7">
        <v>50985605</v>
      </c>
      <c r="CH7" t="s">
        <v>1923</v>
      </c>
      <c r="EU7" t="s">
        <v>3349</v>
      </c>
      <c r="EW7">
        <v>-2.4245362661989844E-14</v>
      </c>
      <c r="EX7">
        <v>-2.4245362661989844E-14</v>
      </c>
      <c r="EY7" t="s">
        <v>1814</v>
      </c>
      <c r="EZ7">
        <v>2022</v>
      </c>
      <c r="FA7" t="s">
        <v>3350</v>
      </c>
      <c r="FB7" s="6">
        <v>44726</v>
      </c>
      <c r="FC7">
        <v>5</v>
      </c>
      <c r="FD7">
        <v>-2.4245362661989844E-14</v>
      </c>
      <c r="FE7">
        <v>68645102</v>
      </c>
      <c r="FF7" t="s">
        <v>3351</v>
      </c>
      <c r="FI7" t="s">
        <v>2711</v>
      </c>
      <c r="FJ7">
        <v>6.0204589999999998</v>
      </c>
      <c r="FK7" t="s">
        <v>1822</v>
      </c>
      <c r="FL7">
        <v>0.107922</v>
      </c>
      <c r="FM7" t="s">
        <v>1823</v>
      </c>
      <c r="FN7">
        <v>2025</v>
      </c>
      <c r="FO7" t="s">
        <v>2751</v>
      </c>
      <c r="FP7" s="6">
        <v>45867</v>
      </c>
      <c r="FQ7">
        <v>5</v>
      </c>
      <c r="FR7">
        <v>13280109</v>
      </c>
      <c r="FS7">
        <v>101376</v>
      </c>
      <c r="FT7" t="s">
        <v>2713</v>
      </c>
      <c r="KO7" t="s">
        <v>2002</v>
      </c>
      <c r="KQ7">
        <v>-2.4245362661989844E-14</v>
      </c>
      <c r="KR7">
        <v>-2.4245362661989844E-14</v>
      </c>
      <c r="KS7" t="s">
        <v>1814</v>
      </c>
      <c r="KT7">
        <v>2022</v>
      </c>
      <c r="KU7" t="s">
        <v>2003</v>
      </c>
      <c r="KV7" s="6">
        <v>44971</v>
      </c>
      <c r="KW7">
        <v>4</v>
      </c>
      <c r="KX7">
        <v>-2.4245362661989844E-14</v>
      </c>
      <c r="KY7">
        <v>10086577</v>
      </c>
      <c r="KZ7" t="s">
        <v>2004</v>
      </c>
      <c r="LS7" t="s">
        <v>2181</v>
      </c>
      <c r="LU7">
        <v>-2.4245362661989844E-14</v>
      </c>
      <c r="LV7">
        <v>-2.4245362661989844E-14</v>
      </c>
      <c r="LW7" t="s">
        <v>1810</v>
      </c>
      <c r="LX7">
        <v>2025</v>
      </c>
      <c r="LY7" t="s">
        <v>2177</v>
      </c>
      <c r="LZ7" s="6">
        <v>45966</v>
      </c>
      <c r="MA7">
        <v>5</v>
      </c>
      <c r="MB7">
        <v>-2.4245362661989844E-14</v>
      </c>
      <c r="MC7">
        <v>191189</v>
      </c>
      <c r="MD7" t="s">
        <v>2182</v>
      </c>
      <c r="MG7" t="s">
        <v>2446</v>
      </c>
      <c r="MH7">
        <v>0.89746000000000004</v>
      </c>
      <c r="MI7" t="s">
        <v>1822</v>
      </c>
      <c r="MJ7">
        <v>2.0823689999999999</v>
      </c>
      <c r="MK7" t="s">
        <v>1823</v>
      </c>
      <c r="ML7">
        <v>2025</v>
      </c>
      <c r="MM7" t="s">
        <v>2444</v>
      </c>
      <c r="MN7" s="6">
        <v>45875</v>
      </c>
      <c r="MO7">
        <v>5</v>
      </c>
      <c r="MP7">
        <v>900000</v>
      </c>
      <c r="MQ7">
        <v>48572203</v>
      </c>
      <c r="MR7" t="s">
        <v>2447</v>
      </c>
      <c r="QI7" t="s">
        <v>2405</v>
      </c>
      <c r="QK7">
        <v>-2.4245362661989844E-14</v>
      </c>
      <c r="QL7">
        <v>-2.4245362661989844E-14</v>
      </c>
      <c r="QM7" t="s">
        <v>1814</v>
      </c>
      <c r="QN7">
        <v>2024</v>
      </c>
      <c r="QO7" t="s">
        <v>2406</v>
      </c>
      <c r="QP7" s="6">
        <v>45743</v>
      </c>
      <c r="QQ7">
        <v>4</v>
      </c>
      <c r="QR7">
        <v>-2.4245362661989844E-14</v>
      </c>
      <c r="QS7">
        <v>33322594</v>
      </c>
      <c r="QT7" t="s">
        <v>2407</v>
      </c>
    </row>
    <row r="8" spans="1:600" x14ac:dyDescent="0.25">
      <c r="BI8" t="s">
        <v>28</v>
      </c>
      <c r="BJ8" t="s">
        <v>1949</v>
      </c>
      <c r="BK8">
        <v>0.18715000000000001</v>
      </c>
      <c r="BL8">
        <v>4.0173759999999996</v>
      </c>
      <c r="BM8" t="s">
        <v>1823</v>
      </c>
      <c r="BN8">
        <v>2026</v>
      </c>
      <c r="BO8" t="s">
        <v>2418</v>
      </c>
      <c r="BP8" s="6">
        <v>46063</v>
      </c>
      <c r="BQ8">
        <v>5</v>
      </c>
      <c r="BR8">
        <v>6170609</v>
      </c>
      <c r="BS8">
        <v>101732</v>
      </c>
      <c r="BT8" t="s">
        <v>2419</v>
      </c>
      <c r="BW8" t="s">
        <v>2154</v>
      </c>
      <c r="BX8">
        <v>3.9732440000000002</v>
      </c>
      <c r="BY8" t="s">
        <v>1822</v>
      </c>
      <c r="BZ8">
        <v>1.978315</v>
      </c>
      <c r="CA8" t="s">
        <v>1806</v>
      </c>
      <c r="CB8">
        <v>2026</v>
      </c>
      <c r="CC8" t="s">
        <v>2152</v>
      </c>
      <c r="CD8" s="6">
        <v>45967</v>
      </c>
      <c r="CE8">
        <v>5</v>
      </c>
      <c r="CF8">
        <v>62832880</v>
      </c>
      <c r="CG8">
        <v>115790</v>
      </c>
      <c r="CH8" t="s">
        <v>2155</v>
      </c>
      <c r="EU8" t="s">
        <v>3352</v>
      </c>
      <c r="EW8">
        <v>-2.4245362661989844E-14</v>
      </c>
      <c r="EX8">
        <v>-2.4245362661989844E-14</v>
      </c>
      <c r="EY8" t="s">
        <v>1971</v>
      </c>
      <c r="EZ8">
        <v>2025</v>
      </c>
      <c r="FA8" t="s">
        <v>3353</v>
      </c>
      <c r="FB8" s="6">
        <v>45897</v>
      </c>
      <c r="FC8">
        <v>5</v>
      </c>
      <c r="FD8">
        <v>-2.4245362661989844E-14</v>
      </c>
      <c r="FE8">
        <v>17496858</v>
      </c>
      <c r="FF8" t="s">
        <v>3354</v>
      </c>
      <c r="FI8" t="s">
        <v>4072</v>
      </c>
      <c r="FJ8">
        <v>3.6647449999999999</v>
      </c>
      <c r="FK8" t="s">
        <v>1822</v>
      </c>
      <c r="FL8">
        <v>0.210928</v>
      </c>
      <c r="FM8" t="s">
        <v>1823</v>
      </c>
      <c r="FN8">
        <v>2025</v>
      </c>
      <c r="FO8" t="s">
        <v>2751</v>
      </c>
      <c r="FP8" s="6">
        <v>45867</v>
      </c>
      <c r="FQ8">
        <v>5</v>
      </c>
      <c r="FR8">
        <v>8083804</v>
      </c>
      <c r="FS8">
        <v>1709930</v>
      </c>
      <c r="FT8" t="s">
        <v>4073</v>
      </c>
      <c r="KO8" t="s">
        <v>2005</v>
      </c>
      <c r="KQ8">
        <v>-2.4245362661989844E-14</v>
      </c>
      <c r="KR8">
        <v>-2.4245362661989844E-14</v>
      </c>
      <c r="KS8" t="s">
        <v>1823</v>
      </c>
      <c r="KT8">
        <v>2026</v>
      </c>
      <c r="KU8" t="s">
        <v>2006</v>
      </c>
      <c r="KV8" s="6">
        <v>46058</v>
      </c>
      <c r="KW8">
        <v>4</v>
      </c>
      <c r="KX8">
        <v>-2.4245362661989844E-14</v>
      </c>
      <c r="KY8">
        <v>171398</v>
      </c>
      <c r="KZ8" t="s">
        <v>2007</v>
      </c>
      <c r="LS8" t="s">
        <v>2183</v>
      </c>
      <c r="LU8">
        <v>-2.4245362661989844E-14</v>
      </c>
      <c r="LV8">
        <v>-2.4245362661989844E-14</v>
      </c>
      <c r="LW8" t="s">
        <v>1810</v>
      </c>
      <c r="LX8">
        <v>2025</v>
      </c>
      <c r="LY8" t="s">
        <v>2177</v>
      </c>
      <c r="LZ8" s="6">
        <v>45966</v>
      </c>
      <c r="MA8">
        <v>5</v>
      </c>
      <c r="MB8">
        <v>-2.4245362661989844E-14</v>
      </c>
      <c r="MC8">
        <v>111093</v>
      </c>
      <c r="MD8" t="s">
        <v>2184</v>
      </c>
      <c r="MG8" t="s">
        <v>2448</v>
      </c>
      <c r="MH8">
        <v>-2.4245362661989844E-14</v>
      </c>
      <c r="MJ8">
        <v>-2.4245362661989844E-14</v>
      </c>
      <c r="MK8" t="s">
        <v>1814</v>
      </c>
      <c r="ML8">
        <v>2024</v>
      </c>
      <c r="MM8" t="s">
        <v>2449</v>
      </c>
      <c r="MN8" s="6">
        <v>45714</v>
      </c>
      <c r="MO8">
        <v>5</v>
      </c>
      <c r="MP8">
        <v>-2.4245362661989844E-14</v>
      </c>
      <c r="MQ8">
        <v>962205</v>
      </c>
      <c r="MR8" t="s">
        <v>2450</v>
      </c>
      <c r="QI8" t="s">
        <v>2408</v>
      </c>
      <c r="QK8">
        <v>-2.4245362661989844E-14</v>
      </c>
      <c r="QL8">
        <v>-2.4245362661989844E-14</v>
      </c>
      <c r="QM8" t="s">
        <v>1823</v>
      </c>
      <c r="QN8">
        <v>2023</v>
      </c>
      <c r="QO8" t="s">
        <v>2409</v>
      </c>
      <c r="QP8" s="6">
        <v>45174</v>
      </c>
      <c r="QQ8">
        <v>4</v>
      </c>
      <c r="QR8">
        <v>-2.4245362661989844E-14</v>
      </c>
      <c r="QS8">
        <v>202476</v>
      </c>
      <c r="QT8" t="s">
        <v>2410</v>
      </c>
    </row>
    <row r="9" spans="1:600" x14ac:dyDescent="0.25">
      <c r="BI9" t="s">
        <v>2420</v>
      </c>
      <c r="BJ9" t="s">
        <v>1822</v>
      </c>
      <c r="BK9">
        <v>0.18715399999999999</v>
      </c>
      <c r="BL9">
        <v>0.29530099999999998</v>
      </c>
      <c r="BM9" t="s">
        <v>1810</v>
      </c>
      <c r="BN9">
        <v>2025</v>
      </c>
      <c r="BO9" t="s">
        <v>2421</v>
      </c>
      <c r="BP9" s="6">
        <v>45968</v>
      </c>
      <c r="BQ9">
        <v>5</v>
      </c>
      <c r="BR9">
        <v>2959991.03</v>
      </c>
      <c r="BS9">
        <v>127005</v>
      </c>
      <c r="BT9" t="s">
        <v>2422</v>
      </c>
      <c r="BW9" t="s">
        <v>2156</v>
      </c>
      <c r="BX9">
        <v>3.4842870000000001</v>
      </c>
      <c r="BY9" t="s">
        <v>1822</v>
      </c>
      <c r="BZ9">
        <v>1.836141</v>
      </c>
      <c r="CA9" t="s">
        <v>1806</v>
      </c>
      <c r="CB9">
        <v>2026</v>
      </c>
      <c r="CC9" t="s">
        <v>2152</v>
      </c>
      <c r="CD9" s="6">
        <v>45967</v>
      </c>
      <c r="CE9">
        <v>5</v>
      </c>
      <c r="CF9">
        <v>55100516</v>
      </c>
      <c r="CG9">
        <v>304299</v>
      </c>
      <c r="CH9" t="s">
        <v>2157</v>
      </c>
      <c r="EU9" t="s">
        <v>2269</v>
      </c>
      <c r="EW9">
        <v>-2.4245362661989844E-14</v>
      </c>
      <c r="EX9">
        <v>-2.4245362661989844E-14</v>
      </c>
      <c r="EY9" t="s">
        <v>1814</v>
      </c>
      <c r="EZ9">
        <v>2022</v>
      </c>
      <c r="FA9" t="s">
        <v>2270</v>
      </c>
      <c r="FB9" s="6">
        <v>44693</v>
      </c>
      <c r="FC9">
        <v>5</v>
      </c>
      <c r="FD9">
        <v>-2.4245362661989844E-14</v>
      </c>
      <c r="FE9">
        <v>114991</v>
      </c>
      <c r="FF9" t="s">
        <v>2271</v>
      </c>
      <c r="FI9" t="s">
        <v>3295</v>
      </c>
      <c r="FJ9">
        <v>3.5162550000000001</v>
      </c>
      <c r="FK9" t="s">
        <v>1822</v>
      </c>
      <c r="FL9">
        <v>3.0705E-2</v>
      </c>
      <c r="FM9" t="s">
        <v>1823</v>
      </c>
      <c r="FN9">
        <v>2025</v>
      </c>
      <c r="FO9" t="s">
        <v>2751</v>
      </c>
      <c r="FP9" s="6">
        <v>45867</v>
      </c>
      <c r="FQ9">
        <v>5</v>
      </c>
      <c r="FR9">
        <v>7756261</v>
      </c>
      <c r="FS9">
        <v>180556</v>
      </c>
      <c r="FT9" t="s">
        <v>3297</v>
      </c>
      <c r="LS9" t="s">
        <v>2185</v>
      </c>
      <c r="LU9">
        <v>-2.4245362661989844E-14</v>
      </c>
      <c r="LV9">
        <v>-2.4245362661989844E-14</v>
      </c>
      <c r="LW9" t="s">
        <v>1810</v>
      </c>
      <c r="LX9">
        <v>2025</v>
      </c>
      <c r="LY9" t="s">
        <v>2177</v>
      </c>
      <c r="LZ9" s="6">
        <v>45966</v>
      </c>
      <c r="MA9">
        <v>5</v>
      </c>
      <c r="MB9">
        <v>-2.4245362661989844E-14</v>
      </c>
      <c r="MC9">
        <v>7119218</v>
      </c>
      <c r="MD9" t="s">
        <v>2186</v>
      </c>
      <c r="MG9" t="s">
        <v>2451</v>
      </c>
      <c r="MH9">
        <v>-2.4245362661989844E-14</v>
      </c>
      <c r="MJ9">
        <v>-2.4245362661989844E-14</v>
      </c>
      <c r="MK9" t="s">
        <v>1814</v>
      </c>
      <c r="ML9">
        <v>2024</v>
      </c>
      <c r="MM9" t="s">
        <v>2449</v>
      </c>
      <c r="MN9" s="6">
        <v>45714</v>
      </c>
      <c r="MO9">
        <v>5</v>
      </c>
      <c r="MP9">
        <v>-2.4245362661989844E-14</v>
      </c>
      <c r="MQ9">
        <v>938199</v>
      </c>
      <c r="MR9" t="s">
        <v>2452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293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294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295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296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297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298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299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300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301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302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303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304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305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306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307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308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309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310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311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312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165</v>
      </c>
      <c r="AE2" s="3" t="s">
        <v>313</v>
      </c>
      <c r="BI2" s="3" t="s">
        <v>314</v>
      </c>
      <c r="CM2" s="3" t="s">
        <v>315</v>
      </c>
      <c r="DQ2" s="3" t="s">
        <v>316</v>
      </c>
      <c r="EU2" s="3" t="s">
        <v>317</v>
      </c>
      <c r="FY2" s="3" t="s">
        <v>76</v>
      </c>
      <c r="HC2" s="3" t="s">
        <v>318</v>
      </c>
      <c r="IG2" s="3" t="s">
        <v>319</v>
      </c>
      <c r="JK2" s="3" t="s">
        <v>320</v>
      </c>
      <c r="KO2" s="3" t="s">
        <v>321</v>
      </c>
      <c r="LS2" s="3" t="s">
        <v>322</v>
      </c>
      <c r="MW2" s="3" t="s">
        <v>200</v>
      </c>
      <c r="OA2" s="3" t="s">
        <v>323</v>
      </c>
      <c r="PE2" s="3" t="s">
        <v>170</v>
      </c>
      <c r="QI2" s="3" t="s">
        <v>324</v>
      </c>
      <c r="RM2" s="3" t="s">
        <v>325</v>
      </c>
      <c r="SQ2" s="3" t="s">
        <v>75</v>
      </c>
      <c r="TU2" s="3" t="s">
        <v>326</v>
      </c>
      <c r="UY2" s="3" t="s">
        <v>327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_xll.BDS("COLB US Equity","SUPPLY_CHAIN_SUPPLIERS_ALL_DATA","cols=12;rows=1")</f>
        <v>INVE US Equity</v>
      </c>
      <c r="C5">
        <v>-2.4245362661989844E-14</v>
      </c>
      <c r="D5">
        <v>-2.4245362661989844E-14</v>
      </c>
      <c r="E5" t="s">
        <v>1810</v>
      </c>
      <c r="F5">
        <v>2022</v>
      </c>
      <c r="G5" t="s">
        <v>2159</v>
      </c>
      <c r="H5" s="6">
        <v>44882</v>
      </c>
      <c r="I5">
        <v>1</v>
      </c>
      <c r="J5">
        <v>-2.4245362661989844E-14</v>
      </c>
      <c r="K5">
        <v>225752</v>
      </c>
      <c r="L5" t="s">
        <v>2160</v>
      </c>
      <c r="O5" t="str">
        <f>_xll.BDS("COLB US Equity","SUPPLY_CHAIN_CUSTOMERS_ALL_DATA")</f>
        <v>#N/A N/A</v>
      </c>
      <c r="AE5" t="str">
        <f>_xll.BDS("MNAT US Equity","SUPPLY_CHAIN_SUPPLIERS_ALL_DATA")</f>
        <v>#N/A N/A</v>
      </c>
      <c r="AS5" t="str">
        <f>_xll.BDS("MNAT US Equity","SUPPLY_CHAIN_CUSTOMERS_ALL_DATA")</f>
        <v>#N/A N/A</v>
      </c>
      <c r="BI5" t="str">
        <f>_xll.BDS("CFNL US Equity","SUPPLY_CHAIN_SUPPLIERS_ALL_DATA")</f>
        <v>#N/A N/A</v>
      </c>
      <c r="BW5" t="str">
        <f>_xll.BDS("CFNL US Equity","SUPPLY_CHAIN_CUSTOMERS_ALL_DATA")</f>
        <v>#N/A N/A</v>
      </c>
      <c r="CM5" t="str">
        <f>_xll.BDS("BERK US Equity","SUPPLY_CHAIN_SUPPLIERS_ALL_DATA")</f>
        <v>#N/A N/A</v>
      </c>
      <c r="DA5" t="str">
        <f>_xll.BDS("BERK US Equity","SUPPLY_CHAIN_CUSTOMERS_ALL_DATA")</f>
        <v>#N/A N/A</v>
      </c>
      <c r="DQ5" t="str">
        <f>_xll.BDS("WASH US Equity","SUPPLY_CHAIN_SUPPLIERS_ALL_DATA")</f>
        <v>#N/A N/A</v>
      </c>
      <c r="EE5" t="str">
        <f>_xll.BDS("WASH US Equity","SUPPLY_CHAIN_CUSTOMERS_ALL_DATA")</f>
        <v>#N/A N/A</v>
      </c>
      <c r="EU5" t="str">
        <f>_xll.BDS("AGEN US Equity","SUPPLY_CHAIN_SUPPLIERS_ALL_DATA","cols=12;rows=5")</f>
        <v>4476731Z US Equity</v>
      </c>
      <c r="EW5">
        <v>-2.4245362661989844E-14</v>
      </c>
      <c r="EX5">
        <v>-2.4245362661989844E-14</v>
      </c>
      <c r="EY5" t="s">
        <v>1814</v>
      </c>
      <c r="EZ5">
        <v>2024</v>
      </c>
      <c r="FA5" t="s">
        <v>3493</v>
      </c>
      <c r="FB5" s="6">
        <v>45733</v>
      </c>
      <c r="FC5">
        <v>5</v>
      </c>
      <c r="FD5">
        <v>-2.4245362661989844E-14</v>
      </c>
      <c r="FE5">
        <v>7266192</v>
      </c>
      <c r="FF5" t="s">
        <v>3518</v>
      </c>
      <c r="FI5" t="str">
        <f>_xll.BDS("AGEN US Equity","SUPPLY_CHAIN_CUSTOMERS_ALL_DATA","cols=12;rows=5")</f>
        <v>0243048Z US Equity</v>
      </c>
      <c r="FJ5">
        <v>-2.4245362661989844E-14</v>
      </c>
      <c r="FL5">
        <v>-2.4245362661989844E-14</v>
      </c>
      <c r="FM5" t="s">
        <v>1814</v>
      </c>
      <c r="FN5">
        <v>2024</v>
      </c>
      <c r="FO5" t="s">
        <v>3493</v>
      </c>
      <c r="FP5" s="6">
        <v>45733</v>
      </c>
      <c r="FQ5">
        <v>5</v>
      </c>
      <c r="FR5">
        <v>-2.4245362661989844E-14</v>
      </c>
      <c r="FS5">
        <v>14724479</v>
      </c>
      <c r="FT5" t="s">
        <v>3494</v>
      </c>
      <c r="FY5" t="str">
        <f>_xll.BDS("540513Q US Equity","SUPPLY_CHAIN_SUPPLIERS_ALL_DATA")</f>
        <v>#N/A N/A</v>
      </c>
      <c r="GM5" t="str">
        <f>_xll.BDS("540513Q US Equity","SUPPLY_CHAIN_CUSTOMERS_ALL_DATA")</f>
        <v>#N/A N/A</v>
      </c>
      <c r="HC5" t="str">
        <f>_xll.BDS("JKHY US Equity","SUPPLY_CHAIN_SUPPLIERS_ALL_DATA","cols=12;rows=5")</f>
        <v>7751 JP Equity</v>
      </c>
      <c r="HD5" t="s">
        <v>1822</v>
      </c>
      <c r="HE5">
        <v>9.7517999999999994E-2</v>
      </c>
      <c r="HF5">
        <v>2.237358</v>
      </c>
      <c r="HG5" t="s">
        <v>1823</v>
      </c>
      <c r="HH5">
        <v>2025</v>
      </c>
      <c r="HI5" t="s">
        <v>1919</v>
      </c>
      <c r="HJ5" s="6">
        <v>45953</v>
      </c>
      <c r="HK5">
        <v>5</v>
      </c>
      <c r="HL5">
        <v>7690750.5999999996</v>
      </c>
      <c r="HM5">
        <v>113389</v>
      </c>
      <c r="HN5" t="s">
        <v>1920</v>
      </c>
      <c r="HQ5" t="str">
        <f>_xll.BDS("JKHY US Equity","SUPPLY_CHAIN_CUSTOMERS_ALL_DATA","cols=12;rows=3")</f>
        <v>CDW US Equity</v>
      </c>
      <c r="HR5">
        <v>9.6721000000000001E-2</v>
      </c>
      <c r="HS5" t="s">
        <v>1822</v>
      </c>
      <c r="HT5">
        <v>1.3880999999999999E-2</v>
      </c>
      <c r="HU5" t="s">
        <v>1806</v>
      </c>
      <c r="HV5">
        <v>2025</v>
      </c>
      <c r="HW5" t="s">
        <v>1841</v>
      </c>
      <c r="HX5" s="6">
        <v>45820</v>
      </c>
      <c r="HY5">
        <v>3</v>
      </c>
      <c r="HZ5">
        <v>565901</v>
      </c>
      <c r="IA5">
        <v>12129192</v>
      </c>
      <c r="IB5" t="s">
        <v>1842</v>
      </c>
      <c r="IG5" t="str">
        <f>_xll.BDS("CVBF US Equity","SUPPLY_CHAIN_SUPPLIERS_ALL_DATA")</f>
        <v>#N/A N/A</v>
      </c>
      <c r="IU5" t="str">
        <f>_xll.BDS("CVBF US Equity","SUPPLY_CHAIN_CUSTOMERS_ALL_DATA")</f>
        <v>#N/A N/A</v>
      </c>
      <c r="JK5" t="str">
        <f>_xll.BDS("QVDX US Equity","SUPPLY_CHAIN_SUPPLIERS_ALL_DATA")</f>
        <v>#N/A N/A</v>
      </c>
      <c r="JY5" t="str">
        <f>_xll.BDS("QVDX US Equity","SUPPLY_CHAIN_CUSTOMERS_ALL_DATA")</f>
        <v>#N/A N/A</v>
      </c>
      <c r="KO5" t="str">
        <f>_xll.BDS("SFTGQ US Equity","SUPPLY_CHAIN_SUPPLIERS_ALL_DATA","cols=12;rows=5")</f>
        <v>0092148D US Equity</v>
      </c>
      <c r="KQ5">
        <v>-2.4245362661989844E-14</v>
      </c>
      <c r="KR5">
        <v>-2.4245362661989844E-14</v>
      </c>
      <c r="KS5" t="s">
        <v>1810</v>
      </c>
      <c r="KT5">
        <v>2023</v>
      </c>
      <c r="KU5" t="s">
        <v>2756</v>
      </c>
      <c r="KV5" s="6">
        <v>45208</v>
      </c>
      <c r="KW5">
        <v>5</v>
      </c>
      <c r="KX5">
        <v>-2.4245362661989844E-14</v>
      </c>
      <c r="KY5">
        <v>24945521</v>
      </c>
      <c r="KZ5" t="s">
        <v>2757</v>
      </c>
      <c r="LC5" t="str">
        <f>_xll.BDS("SFTGQ US Equity","SUPPLY_CHAIN_CUSTOMERS_ALL_DATA","cols=12;rows=4")</f>
        <v>1697222D US Equity</v>
      </c>
      <c r="LD5">
        <v>-2.4245362661989844E-14</v>
      </c>
      <c r="LF5">
        <v>-2.4245362661989844E-14</v>
      </c>
      <c r="LG5" t="s">
        <v>1814</v>
      </c>
      <c r="LH5">
        <v>2025</v>
      </c>
      <c r="LI5" t="s">
        <v>4039</v>
      </c>
      <c r="LJ5" s="6">
        <v>45999</v>
      </c>
      <c r="LK5">
        <v>4</v>
      </c>
      <c r="LL5">
        <v>-2.4245362661989844E-14</v>
      </c>
      <c r="LM5">
        <v>63221806</v>
      </c>
      <c r="LN5" t="s">
        <v>4040</v>
      </c>
      <c r="LS5" t="str">
        <f>_xll.BDS("SBCF US Equity","SUPPLY_CHAIN_SUPPLIERS_ALL_DATA")</f>
        <v>#N/A N/A</v>
      </c>
      <c r="MG5" t="str">
        <f>_xll.BDS("SBCF US Equity","SUPPLY_CHAIN_CUSTOMERS_ALL_DATA")</f>
        <v>#N/A N/A</v>
      </c>
      <c r="MW5" t="str">
        <f>_xll.BDS("GBBK US Equity","SUPPLY_CHAIN_SUPPLIERS_ALL_DATA")</f>
        <v>#N/A N/A</v>
      </c>
      <c r="NK5" t="str">
        <f>_xll.BDS("GBBK US Equity","SUPPLY_CHAIN_CUSTOMERS_ALL_DATA")</f>
        <v>#N/A N/A</v>
      </c>
      <c r="OA5" t="str">
        <f>_xll.BDS("ISRG US Equity","SUPPLY_CHAIN_SUPPLIERS_ALL_DATA","cols=12;rows=5")</f>
        <v>UFPT US Equity</v>
      </c>
      <c r="OB5" t="s">
        <v>1822</v>
      </c>
      <c r="OC5">
        <v>24.299999</v>
      </c>
      <c r="OD5">
        <v>4.2800279999999997</v>
      </c>
      <c r="OE5" t="s">
        <v>1814</v>
      </c>
      <c r="OF5">
        <v>2025</v>
      </c>
      <c r="OG5" t="s">
        <v>3632</v>
      </c>
      <c r="OH5" s="6">
        <v>46080</v>
      </c>
      <c r="OI5">
        <v>5</v>
      </c>
      <c r="OJ5">
        <v>36619916</v>
      </c>
      <c r="OK5">
        <v>126764</v>
      </c>
      <c r="OL5" t="s">
        <v>3633</v>
      </c>
      <c r="OO5" t="str">
        <f>_xll.BDS("ISRG US Equity","SUPPLY_CHAIN_CUSTOMERS_ALL_DATA","cols=12;rows=5")</f>
        <v>656 HK Equity</v>
      </c>
      <c r="OP5">
        <v>2.7310000000000001E-2</v>
      </c>
      <c r="OQ5" t="s">
        <v>1822</v>
      </c>
      <c r="OR5">
        <v>1.2507000000000001E-2</v>
      </c>
      <c r="OS5" t="s">
        <v>1814</v>
      </c>
      <c r="OT5">
        <v>2024</v>
      </c>
      <c r="OU5" t="s">
        <v>3635</v>
      </c>
      <c r="OV5" s="6">
        <v>45772</v>
      </c>
      <c r="OW5">
        <v>5</v>
      </c>
      <c r="OX5">
        <v>596767.14</v>
      </c>
      <c r="OY5">
        <v>12167565</v>
      </c>
      <c r="OZ5" t="s">
        <v>3636</v>
      </c>
      <c r="PE5" t="str">
        <f>_xll.BDS("PCBK US Equity","SUPPLY_CHAIN_SUPPLIERS_ALL_DATA")</f>
        <v>#N/A N/A</v>
      </c>
      <c r="PS5" t="str">
        <f>_xll.BDS("PCBK US Equity","SUPPLY_CHAIN_CUSTOMERS_ALL_DATA")</f>
        <v>#N/A N/A</v>
      </c>
      <c r="QI5" t="str">
        <f>_xll.BDS("AURU US Equity","SUPPLY_CHAIN_SUPPLIERS_ALL_DATA")</f>
        <v>#N/A N/A</v>
      </c>
      <c r="QW5" t="str">
        <f>_xll.BDS("AURU US Equity","SUPPLY_CHAIN_CUSTOMERS_ALL_DATA")</f>
        <v>#N/A N/A</v>
      </c>
      <c r="RM5" t="str">
        <f>_xll.BDS("YDKN US Equity","SUPPLY_CHAIN_SUPPLIERS_ALL_DATA")</f>
        <v>#N/A N/A</v>
      </c>
      <c r="SA5" t="str">
        <f>_xll.BDS("YDKN US Equity","SUPPLY_CHAIN_CUSTOMERS_ALL_DATA")</f>
        <v>#N/A N/A</v>
      </c>
      <c r="SQ5" t="str">
        <f>_xll.BDS("OLBK US Equity","SUPPLY_CHAIN_SUPPLIERS_ALL_DATA")</f>
        <v>#N/A N/A</v>
      </c>
      <c r="TE5" t="str">
        <f>_xll.BDS("OLBK US Equity","SUPPLY_CHAIN_CUSTOMERS_ALL_DATA")</f>
        <v>#N/A N/A</v>
      </c>
      <c r="TU5" t="str">
        <f>_xll.BDS("3195391Z US Equity","SUPPLY_CHAIN_SUPPLIERS_ALL_DATA")</f>
        <v>#N/A N/A</v>
      </c>
      <c r="UI5" t="str">
        <f>_xll.BDS("3195391Z US Equity","SUPPLY_CHAIN_CUSTOMERS_ALL_DATA")</f>
        <v>#N/A N/A</v>
      </c>
      <c r="UY5" t="str">
        <f>_xll.BDS("ABCWQ US Equity","SUPPLY_CHAIN_SUPPLIERS_ALL_DATA")</f>
        <v>#N/A N/A</v>
      </c>
      <c r="VM5" t="str">
        <f>_xll.BDS("ABCWQ US Equity","SUPPLY_CHAIN_CUSTOMERS_ALL_DATA")</f>
        <v>#N/A N/A</v>
      </c>
    </row>
    <row r="6" spans="1:600" x14ac:dyDescent="0.25">
      <c r="EU6" t="s">
        <v>2441</v>
      </c>
      <c r="EW6">
        <v>-2.4245362661989844E-14</v>
      </c>
      <c r="EX6">
        <v>-2.4245362661989844E-14</v>
      </c>
      <c r="EY6" t="s">
        <v>1814</v>
      </c>
      <c r="EZ6">
        <v>2022</v>
      </c>
      <c r="FA6" t="s">
        <v>3496</v>
      </c>
      <c r="FB6" s="6">
        <v>45001</v>
      </c>
      <c r="FC6">
        <v>5</v>
      </c>
      <c r="FD6">
        <v>-2.4245362661989844E-14</v>
      </c>
      <c r="FE6">
        <v>1456450</v>
      </c>
      <c r="FF6" t="s">
        <v>2442</v>
      </c>
      <c r="FI6" t="s">
        <v>3495</v>
      </c>
      <c r="FJ6">
        <v>-2.4245362661989844E-14</v>
      </c>
      <c r="FL6">
        <v>-2.4245362661989844E-14</v>
      </c>
      <c r="FM6" t="s">
        <v>1814</v>
      </c>
      <c r="FN6">
        <v>2022</v>
      </c>
      <c r="FO6" t="s">
        <v>3496</v>
      </c>
      <c r="FP6" s="6">
        <v>45001</v>
      </c>
      <c r="FQ6">
        <v>5</v>
      </c>
      <c r="FR6">
        <v>-2.4245362661989844E-14</v>
      </c>
      <c r="FS6">
        <v>51237588</v>
      </c>
      <c r="FT6" t="s">
        <v>3497</v>
      </c>
      <c r="HC6" t="s">
        <v>1921</v>
      </c>
      <c r="HD6" t="s">
        <v>1822</v>
      </c>
      <c r="HE6">
        <v>1.4858E-2</v>
      </c>
      <c r="HF6">
        <v>1.2865329999999999</v>
      </c>
      <c r="HG6" t="s">
        <v>1823</v>
      </c>
      <c r="HH6">
        <v>2026</v>
      </c>
      <c r="HI6" t="s">
        <v>1922</v>
      </c>
      <c r="HJ6" s="6">
        <v>45919</v>
      </c>
      <c r="HK6">
        <v>5</v>
      </c>
      <c r="HL6">
        <v>4424118</v>
      </c>
      <c r="HM6">
        <v>50985605</v>
      </c>
      <c r="HN6" t="s">
        <v>1923</v>
      </c>
      <c r="HQ6" t="s">
        <v>1843</v>
      </c>
      <c r="HR6">
        <v>-2.4245362661989844E-14</v>
      </c>
      <c r="HT6">
        <v>-2.4245362661989844E-14</v>
      </c>
      <c r="HU6" t="s">
        <v>1814</v>
      </c>
      <c r="HV6">
        <v>2022</v>
      </c>
      <c r="HW6" t="s">
        <v>1844</v>
      </c>
      <c r="HX6" s="6">
        <v>44900</v>
      </c>
      <c r="HY6">
        <v>3</v>
      </c>
      <c r="HZ6">
        <v>-2.4245362661989844E-14</v>
      </c>
      <c r="IA6">
        <v>9151781</v>
      </c>
      <c r="IB6" t="s">
        <v>1845</v>
      </c>
      <c r="KO6" t="s">
        <v>2100</v>
      </c>
      <c r="KQ6">
        <v>-2.4245362661989844E-14</v>
      </c>
      <c r="KR6">
        <v>-2.4245362661989844E-14</v>
      </c>
      <c r="KS6" t="s">
        <v>1810</v>
      </c>
      <c r="KT6">
        <v>2023</v>
      </c>
      <c r="KU6" t="s">
        <v>2756</v>
      </c>
      <c r="KV6" s="6">
        <v>45208</v>
      </c>
      <c r="KW6">
        <v>5</v>
      </c>
      <c r="KX6">
        <v>-2.4245362661989844E-14</v>
      </c>
      <c r="KY6">
        <v>216952</v>
      </c>
      <c r="KZ6" t="s">
        <v>2101</v>
      </c>
      <c r="LC6" t="s">
        <v>4041</v>
      </c>
      <c r="LD6">
        <v>-2.4245362661989844E-14</v>
      </c>
      <c r="LF6">
        <v>-2.4245362661989844E-14</v>
      </c>
      <c r="LG6" t="s">
        <v>1814</v>
      </c>
      <c r="LH6">
        <v>2025</v>
      </c>
      <c r="LI6" t="s">
        <v>4039</v>
      </c>
      <c r="LJ6" s="6">
        <v>45911</v>
      </c>
      <c r="LK6">
        <v>4</v>
      </c>
      <c r="LL6">
        <v>-2.4245362661989844E-14</v>
      </c>
      <c r="LM6">
        <v>69762213</v>
      </c>
      <c r="LN6" t="s">
        <v>4042</v>
      </c>
      <c r="OA6" t="s">
        <v>1887</v>
      </c>
      <c r="OB6" t="s">
        <v>1822</v>
      </c>
      <c r="OC6">
        <v>0.11029700000000001</v>
      </c>
      <c r="OD6">
        <v>0.38644200000000001</v>
      </c>
      <c r="OE6" t="s">
        <v>1810</v>
      </c>
      <c r="OF6">
        <v>2025</v>
      </c>
      <c r="OG6" t="s">
        <v>1888</v>
      </c>
      <c r="OH6" s="6">
        <v>45891</v>
      </c>
      <c r="OI6">
        <v>5</v>
      </c>
      <c r="OJ6">
        <v>3176937</v>
      </c>
      <c r="OK6">
        <v>100097</v>
      </c>
      <c r="OL6" t="s">
        <v>1889</v>
      </c>
      <c r="OO6" t="s">
        <v>4006</v>
      </c>
      <c r="OP6">
        <v>2.4020000000000001E-3</v>
      </c>
      <c r="OQ6" t="s">
        <v>1822</v>
      </c>
      <c r="OR6">
        <v>7.8309999999999994E-3</v>
      </c>
      <c r="OS6" t="s">
        <v>1971</v>
      </c>
      <c r="OT6">
        <v>2025</v>
      </c>
      <c r="OU6" t="s">
        <v>4007</v>
      </c>
      <c r="OV6" s="6">
        <v>45895</v>
      </c>
      <c r="OW6">
        <v>5</v>
      </c>
      <c r="OX6">
        <v>54657.919999999998</v>
      </c>
      <c r="OY6">
        <v>330554</v>
      </c>
      <c r="OZ6" t="s">
        <v>4008</v>
      </c>
    </row>
    <row r="7" spans="1:600" x14ac:dyDescent="0.25">
      <c r="EU7" t="s">
        <v>765</v>
      </c>
      <c r="EW7">
        <v>-2.4245362661989844E-14</v>
      </c>
      <c r="EX7">
        <v>-2.4245362661989844E-14</v>
      </c>
      <c r="EY7" t="s">
        <v>1814</v>
      </c>
      <c r="EZ7">
        <v>2025</v>
      </c>
      <c r="FA7" t="s">
        <v>3519</v>
      </c>
      <c r="FB7" s="6">
        <v>46080</v>
      </c>
      <c r="FC7">
        <v>5</v>
      </c>
      <c r="FD7">
        <v>-2.4245362661989844E-14</v>
      </c>
      <c r="FE7">
        <v>116723</v>
      </c>
      <c r="FF7" t="s">
        <v>1980</v>
      </c>
      <c r="FI7" t="s">
        <v>3498</v>
      </c>
      <c r="FJ7">
        <v>-2.4245362661989844E-14</v>
      </c>
      <c r="FL7">
        <v>-2.4245362661989844E-14</v>
      </c>
      <c r="FM7" t="s">
        <v>1814</v>
      </c>
      <c r="FN7">
        <v>2024</v>
      </c>
      <c r="FO7" t="s">
        <v>3499</v>
      </c>
      <c r="FP7" s="6">
        <v>45399</v>
      </c>
      <c r="FQ7">
        <v>5</v>
      </c>
      <c r="FR7">
        <v>-2.4245362661989844E-14</v>
      </c>
      <c r="FS7">
        <v>50176896</v>
      </c>
      <c r="FT7" t="s">
        <v>3500</v>
      </c>
      <c r="HC7" t="s">
        <v>1924</v>
      </c>
      <c r="HD7" t="s">
        <v>1822</v>
      </c>
      <c r="HE7">
        <v>5.5360000000000001E-3</v>
      </c>
      <c r="HF7">
        <v>0.35021999999999998</v>
      </c>
      <c r="HG7" t="s">
        <v>1823</v>
      </c>
      <c r="HH7">
        <v>2025</v>
      </c>
      <c r="HI7" t="s">
        <v>1925</v>
      </c>
      <c r="HJ7" s="6">
        <v>46065</v>
      </c>
      <c r="HK7">
        <v>5</v>
      </c>
      <c r="HL7">
        <v>1229232</v>
      </c>
      <c r="HM7">
        <v>130929</v>
      </c>
      <c r="HN7" t="s">
        <v>1926</v>
      </c>
      <c r="HQ7" t="s">
        <v>1846</v>
      </c>
      <c r="HR7">
        <v>-2.4245362661989844E-14</v>
      </c>
      <c r="HT7">
        <v>-2.4245362661989844E-14</v>
      </c>
      <c r="HU7" t="s">
        <v>1814</v>
      </c>
      <c r="HV7">
        <v>2025</v>
      </c>
      <c r="HW7" t="s">
        <v>1847</v>
      </c>
      <c r="HX7" s="6">
        <v>45712</v>
      </c>
      <c r="HY7">
        <v>3</v>
      </c>
      <c r="HZ7">
        <v>-2.4245362661989844E-14</v>
      </c>
      <c r="IA7">
        <v>42447088</v>
      </c>
      <c r="IB7" t="s">
        <v>1848</v>
      </c>
      <c r="KO7" t="s">
        <v>2758</v>
      </c>
      <c r="KQ7">
        <v>-2.4245362661989844E-14</v>
      </c>
      <c r="KR7">
        <v>-2.4245362661989844E-14</v>
      </c>
      <c r="KS7" t="s">
        <v>1810</v>
      </c>
      <c r="KT7">
        <v>2023</v>
      </c>
      <c r="KU7" t="s">
        <v>2756</v>
      </c>
      <c r="KV7" s="6">
        <v>45208</v>
      </c>
      <c r="KW7">
        <v>5</v>
      </c>
      <c r="KX7">
        <v>-2.4245362661989844E-14</v>
      </c>
      <c r="KY7">
        <v>1179544</v>
      </c>
      <c r="KZ7" t="s">
        <v>2759</v>
      </c>
      <c r="LC7" t="s">
        <v>4043</v>
      </c>
      <c r="LD7">
        <v>-2.4245362661989844E-14</v>
      </c>
      <c r="LF7">
        <v>-2.4245362661989844E-14</v>
      </c>
      <c r="LG7" t="s">
        <v>1814</v>
      </c>
      <c r="LH7">
        <v>2025</v>
      </c>
      <c r="LI7" t="s">
        <v>4039</v>
      </c>
      <c r="LJ7" s="6">
        <v>45995</v>
      </c>
      <c r="LK7">
        <v>4</v>
      </c>
      <c r="LL7">
        <v>-2.4245362661989844E-14</v>
      </c>
      <c r="LM7">
        <v>9778370</v>
      </c>
      <c r="LN7" t="s">
        <v>4044</v>
      </c>
      <c r="OA7" t="s">
        <v>2217</v>
      </c>
      <c r="OB7" t="s">
        <v>1822</v>
      </c>
      <c r="OC7">
        <v>0.39451700000000001</v>
      </c>
      <c r="OD7">
        <v>0.35239999999999999</v>
      </c>
      <c r="OE7" t="s">
        <v>1810</v>
      </c>
      <c r="OF7">
        <v>2025</v>
      </c>
      <c r="OG7" t="s">
        <v>2218</v>
      </c>
      <c r="OH7" s="6">
        <v>46001</v>
      </c>
      <c r="OI7">
        <v>5</v>
      </c>
      <c r="OJ7">
        <v>2969671</v>
      </c>
      <c r="OK7">
        <v>1182195</v>
      </c>
      <c r="OL7" t="s">
        <v>2219</v>
      </c>
      <c r="OO7" t="s">
        <v>4009</v>
      </c>
      <c r="OP7">
        <v>-2.4245362661989844E-14</v>
      </c>
      <c r="OR7">
        <v>-2.4245362661989844E-14</v>
      </c>
      <c r="OS7" t="s">
        <v>1814</v>
      </c>
      <c r="OT7">
        <v>2021</v>
      </c>
      <c r="OU7" t="s">
        <v>4010</v>
      </c>
      <c r="OV7" s="6">
        <v>44678</v>
      </c>
      <c r="OW7">
        <v>5</v>
      </c>
      <c r="OX7">
        <v>-2.4245362661989844E-14</v>
      </c>
      <c r="OY7">
        <v>130917</v>
      </c>
      <c r="OZ7" t="s">
        <v>4011</v>
      </c>
    </row>
    <row r="8" spans="1:600" x14ac:dyDescent="0.25">
      <c r="EU8" t="s">
        <v>3520</v>
      </c>
      <c r="EW8">
        <v>-2.4245362661989844E-14</v>
      </c>
      <c r="EX8">
        <v>-2.4245362661989844E-14</v>
      </c>
      <c r="EY8" t="s">
        <v>1814</v>
      </c>
      <c r="EZ8">
        <v>2024</v>
      </c>
      <c r="FA8" t="s">
        <v>3521</v>
      </c>
      <c r="FB8" s="6">
        <v>45733</v>
      </c>
      <c r="FC8">
        <v>5</v>
      </c>
      <c r="FD8">
        <v>-2.4245362661989844E-14</v>
      </c>
      <c r="FE8">
        <v>107951</v>
      </c>
      <c r="FF8" t="s">
        <v>3522</v>
      </c>
      <c r="FI8" t="s">
        <v>3501</v>
      </c>
      <c r="FJ8">
        <v>-2.4245362661989844E-14</v>
      </c>
      <c r="FL8">
        <v>-2.4245362661989844E-14</v>
      </c>
      <c r="FM8" t="s">
        <v>1814</v>
      </c>
      <c r="FN8">
        <v>2024</v>
      </c>
      <c r="FO8" t="s">
        <v>3493</v>
      </c>
      <c r="FP8" s="6">
        <v>45733</v>
      </c>
      <c r="FQ8">
        <v>5</v>
      </c>
      <c r="FR8">
        <v>-2.4245362661989844E-14</v>
      </c>
      <c r="FS8">
        <v>41186157</v>
      </c>
      <c r="FT8" t="s">
        <v>3502</v>
      </c>
      <c r="HC8" t="s">
        <v>158</v>
      </c>
      <c r="HD8" t="s">
        <v>1822</v>
      </c>
      <c r="HE8">
        <v>6.8989999999999998E-3</v>
      </c>
      <c r="HF8">
        <v>0.29454599999999997</v>
      </c>
      <c r="HG8" t="s">
        <v>1806</v>
      </c>
      <c r="HH8">
        <v>2025</v>
      </c>
      <c r="HI8" t="s">
        <v>1927</v>
      </c>
      <c r="HJ8" s="6">
        <v>45797</v>
      </c>
      <c r="HK8">
        <v>5</v>
      </c>
      <c r="HL8">
        <v>1003184</v>
      </c>
      <c r="HM8">
        <v>100801</v>
      </c>
      <c r="HN8" t="s">
        <v>1928</v>
      </c>
      <c r="KO8" t="s">
        <v>2760</v>
      </c>
      <c r="KQ8">
        <v>-2.4245362661989844E-14</v>
      </c>
      <c r="KR8">
        <v>-2.4245362661989844E-14</v>
      </c>
      <c r="KS8" t="s">
        <v>1810</v>
      </c>
      <c r="KT8">
        <v>2023</v>
      </c>
      <c r="KU8" t="s">
        <v>2756</v>
      </c>
      <c r="KV8" s="6">
        <v>45208</v>
      </c>
      <c r="KW8">
        <v>5</v>
      </c>
      <c r="KX8">
        <v>-2.4245362661989844E-14</v>
      </c>
      <c r="KY8">
        <v>1084605</v>
      </c>
      <c r="KZ8" t="s">
        <v>2761</v>
      </c>
      <c r="LC8" t="s">
        <v>4045</v>
      </c>
      <c r="LD8">
        <v>-2.4245362661989844E-14</v>
      </c>
      <c r="LF8">
        <v>-2.4245362661989844E-14</v>
      </c>
      <c r="LG8" t="s">
        <v>1810</v>
      </c>
      <c r="LH8">
        <v>2023</v>
      </c>
      <c r="LI8" t="s">
        <v>4046</v>
      </c>
      <c r="LJ8" s="6">
        <v>45238</v>
      </c>
      <c r="LK8">
        <v>4</v>
      </c>
      <c r="LL8">
        <v>-2.4245362661989844E-14</v>
      </c>
      <c r="LM8">
        <v>106976</v>
      </c>
      <c r="LN8" t="s">
        <v>4047</v>
      </c>
      <c r="OA8" t="s">
        <v>2220</v>
      </c>
      <c r="OB8" t="s">
        <v>1822</v>
      </c>
      <c r="OC8">
        <v>0.36554900000000001</v>
      </c>
      <c r="OD8">
        <v>0.24671399999999999</v>
      </c>
      <c r="OE8" t="s">
        <v>1823</v>
      </c>
      <c r="OF8">
        <v>2025</v>
      </c>
      <c r="OG8" t="s">
        <v>2221</v>
      </c>
      <c r="OH8" s="6">
        <v>45867</v>
      </c>
      <c r="OI8">
        <v>5</v>
      </c>
      <c r="OJ8">
        <v>2027426.1</v>
      </c>
      <c r="OK8">
        <v>157487</v>
      </c>
      <c r="OL8" t="s">
        <v>2222</v>
      </c>
      <c r="OO8" t="s">
        <v>4012</v>
      </c>
      <c r="OP8">
        <v>-2.4245362661989844E-14</v>
      </c>
      <c r="OR8">
        <v>-2.4245362661989844E-14</v>
      </c>
      <c r="OS8" t="s">
        <v>1971</v>
      </c>
      <c r="OT8">
        <v>2024</v>
      </c>
      <c r="OU8" t="s">
        <v>4013</v>
      </c>
      <c r="OV8" s="6">
        <v>45530</v>
      </c>
      <c r="OW8">
        <v>5</v>
      </c>
      <c r="OX8">
        <v>-2.4245362661989844E-14</v>
      </c>
      <c r="OY8">
        <v>22884053</v>
      </c>
      <c r="OZ8" t="s">
        <v>4014</v>
      </c>
    </row>
    <row r="9" spans="1:600" x14ac:dyDescent="0.25">
      <c r="EU9" t="s">
        <v>3523</v>
      </c>
      <c r="EW9">
        <v>-2.4245362661989844E-14</v>
      </c>
      <c r="EX9">
        <v>-2.4245362661989844E-14</v>
      </c>
      <c r="EY9" t="s">
        <v>1814</v>
      </c>
      <c r="EZ9">
        <v>2025</v>
      </c>
      <c r="FA9" t="s">
        <v>3524</v>
      </c>
      <c r="FB9" s="6">
        <v>46037</v>
      </c>
      <c r="FC9">
        <v>5</v>
      </c>
      <c r="FD9">
        <v>-2.4245362661989844E-14</v>
      </c>
      <c r="FE9">
        <v>815820</v>
      </c>
      <c r="FF9" t="s">
        <v>3525</v>
      </c>
      <c r="FI9" t="s">
        <v>2010</v>
      </c>
      <c r="FJ9">
        <v>-2.4245362661989844E-14</v>
      </c>
      <c r="FL9">
        <v>-2.4245362661989844E-14</v>
      </c>
      <c r="FM9" t="s">
        <v>1814</v>
      </c>
      <c r="FN9">
        <v>2024</v>
      </c>
      <c r="FO9" t="s">
        <v>3493</v>
      </c>
      <c r="FP9" s="6">
        <v>45733</v>
      </c>
      <c r="FQ9">
        <v>5</v>
      </c>
      <c r="FR9">
        <v>-2.4245362661989844E-14</v>
      </c>
      <c r="FS9">
        <v>218252</v>
      </c>
      <c r="FT9" t="s">
        <v>2012</v>
      </c>
      <c r="HC9" t="s">
        <v>1929</v>
      </c>
      <c r="HD9" t="s">
        <v>1822</v>
      </c>
      <c r="HE9">
        <v>1.338E-3</v>
      </c>
      <c r="HF9">
        <v>0.275256</v>
      </c>
      <c r="HG9" t="s">
        <v>1810</v>
      </c>
      <c r="HH9">
        <v>2025</v>
      </c>
      <c r="HI9" t="s">
        <v>1930</v>
      </c>
      <c r="HJ9" s="6">
        <v>45843</v>
      </c>
      <c r="HK9">
        <v>5</v>
      </c>
      <c r="HL9">
        <v>937483</v>
      </c>
      <c r="HM9">
        <v>101743</v>
      </c>
      <c r="HN9" t="s">
        <v>1931</v>
      </c>
      <c r="KO9" t="s">
        <v>1813</v>
      </c>
      <c r="KQ9">
        <v>-2.4245362661989844E-14</v>
      </c>
      <c r="KR9">
        <v>-2.4245362661989844E-14</v>
      </c>
      <c r="KS9" t="s">
        <v>1810</v>
      </c>
      <c r="KT9">
        <v>2023</v>
      </c>
      <c r="KU9" t="s">
        <v>2756</v>
      </c>
      <c r="KV9" s="6">
        <v>45208</v>
      </c>
      <c r="KW9">
        <v>5</v>
      </c>
      <c r="KX9">
        <v>-2.4245362661989844E-14</v>
      </c>
      <c r="KY9">
        <v>46946968</v>
      </c>
      <c r="KZ9" t="s">
        <v>1816</v>
      </c>
      <c r="OA9" t="s">
        <v>3634</v>
      </c>
      <c r="OB9" t="s">
        <v>1822</v>
      </c>
      <c r="OC9">
        <v>5.0299999999999997E-4</v>
      </c>
      <c r="OD9">
        <v>4.666E-3</v>
      </c>
      <c r="OE9" t="s">
        <v>1814</v>
      </c>
      <c r="OF9">
        <v>2024</v>
      </c>
      <c r="OG9" t="s">
        <v>3635</v>
      </c>
      <c r="OH9" s="6">
        <v>45772</v>
      </c>
      <c r="OI9">
        <v>5</v>
      </c>
      <c r="OJ9">
        <v>33559.74</v>
      </c>
      <c r="OK9">
        <v>12167565</v>
      </c>
      <c r="OL9" t="s">
        <v>3636</v>
      </c>
      <c r="OO9" t="s">
        <v>1192</v>
      </c>
      <c r="OP9">
        <v>-2.4245362661989844E-14</v>
      </c>
      <c r="OR9">
        <v>-2.4245362661989844E-14</v>
      </c>
      <c r="OS9" t="s">
        <v>1814</v>
      </c>
      <c r="OT9">
        <v>2022</v>
      </c>
      <c r="OU9" t="s">
        <v>3678</v>
      </c>
      <c r="OV9" s="6">
        <v>45001</v>
      </c>
      <c r="OW9">
        <v>5</v>
      </c>
      <c r="OX9">
        <v>-2.4245362661989844E-14</v>
      </c>
      <c r="OY9">
        <v>8544584</v>
      </c>
      <c r="OZ9" t="s">
        <v>4015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328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329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330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331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332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333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334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335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336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337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338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339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340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341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342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343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344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345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346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347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348</v>
      </c>
      <c r="AE2" s="3" t="s">
        <v>349</v>
      </c>
      <c r="BI2" s="3" t="s">
        <v>350</v>
      </c>
      <c r="CM2" s="3" t="s">
        <v>351</v>
      </c>
      <c r="DQ2" s="3" t="s">
        <v>352</v>
      </c>
      <c r="EU2" s="3" t="s">
        <v>353</v>
      </c>
      <c r="FY2" s="3" t="s">
        <v>354</v>
      </c>
      <c r="HC2" s="3" t="s">
        <v>355</v>
      </c>
      <c r="IG2" s="3" t="s">
        <v>200</v>
      </c>
      <c r="JK2" s="3" t="s">
        <v>356</v>
      </c>
      <c r="KO2" s="3" t="s">
        <v>357</v>
      </c>
      <c r="LS2" s="3" t="s">
        <v>358</v>
      </c>
      <c r="MW2" s="3" t="s">
        <v>359</v>
      </c>
      <c r="OA2" s="3" t="s">
        <v>360</v>
      </c>
      <c r="PE2" s="3" t="s">
        <v>361</v>
      </c>
      <c r="QI2" s="3" t="s">
        <v>362</v>
      </c>
      <c r="RM2" s="3" t="s">
        <v>363</v>
      </c>
      <c r="SQ2" s="3" t="s">
        <v>364</v>
      </c>
      <c r="TU2" s="3" t="s">
        <v>365</v>
      </c>
      <c r="UY2" s="3" t="s">
        <v>366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_xll.BDS("EBF US Equity","SUPPLY_CHAIN_SUPPLIERS_ALL_DATA")</f>
        <v>#N/A N/A</v>
      </c>
      <c r="O5" t="str">
        <f>_xll.BDS("EBF US Equity","SUPPLY_CHAIN_CUSTOMERS_ALL_DATA")</f>
        <v>#N/A N/A</v>
      </c>
      <c r="AE5" t="str">
        <f>_xll.BDS("RTHM LN Equity","SUPPLY_CHAIN_SUPPLIERS_ALL_DATA")</f>
        <v>#N/A N/A</v>
      </c>
      <c r="AS5" t="str">
        <f>_xll.BDS("RTHM LN Equity","SUPPLY_CHAIN_CUSTOMERS_ALL_DATA")</f>
        <v>#N/A N/A</v>
      </c>
      <c r="BI5" t="str">
        <f>_xll.BDS("FFIC US Equity","SUPPLY_CHAIN_SUPPLIERS_ALL_DATA")</f>
        <v>#N/A N/A</v>
      </c>
      <c r="BW5" t="str">
        <f>_xll.BDS("FFIC US Equity","SUPPLY_CHAIN_CUSTOMERS_ALL_DATA")</f>
        <v>#N/A N/A</v>
      </c>
      <c r="CM5" t="str">
        <f>_xll.BDS("229195Q US Equity","SUPPLY_CHAIN_SUPPLIERS_ALL_DATA")</f>
        <v>#N/A N/A</v>
      </c>
      <c r="DA5" t="str">
        <f>_xll.BDS("229195Q US Equity","SUPPLY_CHAIN_CUSTOMERS_ALL_DATA")</f>
        <v>#N/A N/A</v>
      </c>
      <c r="DQ5" t="str">
        <f>_xll.BDS("PARA US Equity","SUPPLY_CHAIN_SUPPLIERS_ALL_DATA","cols=12;rows=5")</f>
        <v>GTN US Equity</v>
      </c>
      <c r="DR5" t="s">
        <v>1893</v>
      </c>
      <c r="DS5">
        <v>38</v>
      </c>
      <c r="DT5">
        <v>20.797836</v>
      </c>
      <c r="DU5" t="s">
        <v>1814</v>
      </c>
      <c r="DV5">
        <v>2024</v>
      </c>
      <c r="DW5" t="s">
        <v>3181</v>
      </c>
      <c r="DX5" s="6">
        <v>45715</v>
      </c>
      <c r="DY5">
        <v>5</v>
      </c>
      <c r="DZ5">
        <v>346180000</v>
      </c>
      <c r="EA5">
        <v>104103</v>
      </c>
      <c r="EB5" t="s">
        <v>3182</v>
      </c>
      <c r="EE5" t="str">
        <f>_xll.BDS("PARA US Equity","SUPPLY_CHAIN_CUSTOMERS_ALL_DATA","cols=12;rows=5")</f>
        <v>002293 CH Equity</v>
      </c>
      <c r="EF5">
        <v>-2.4245362661989844E-14</v>
      </c>
      <c r="EH5">
        <v>-2.4245362661989844E-14</v>
      </c>
      <c r="EI5" t="s">
        <v>1814</v>
      </c>
      <c r="EJ5">
        <v>2021</v>
      </c>
      <c r="EK5" t="s">
        <v>4176</v>
      </c>
      <c r="EL5" s="6">
        <v>44670</v>
      </c>
      <c r="EM5">
        <v>5</v>
      </c>
      <c r="EN5">
        <v>-2.4245362661989844E-14</v>
      </c>
      <c r="EO5">
        <v>15166198</v>
      </c>
      <c r="EP5" t="s">
        <v>4177</v>
      </c>
      <c r="EU5" t="str">
        <f>_xll.BDS("STL US Equity","SUPPLY_CHAIN_SUPPLIERS_ALL_DATA")</f>
        <v>#N/A N/A</v>
      </c>
      <c r="FI5" t="str">
        <f>_xll.BDS("STL US Equity","SUPPLY_CHAIN_CUSTOMERS_ALL_DATA")</f>
        <v>#N/A N/A</v>
      </c>
      <c r="FY5" t="str">
        <f>_xll.BDS("CZWI US Equity","SUPPLY_CHAIN_SUPPLIERS_ALL_DATA")</f>
        <v>#N/A N/A</v>
      </c>
      <c r="GM5" t="str">
        <f>_xll.BDS("CZWI US Equity","SUPPLY_CHAIN_CUSTOMERS_ALL_DATA")</f>
        <v>#N/A N/A</v>
      </c>
      <c r="HC5" t="str">
        <f>_xll.BDS("OK US Equity","SUPPLY_CHAIN_SUPPLIERS_ALL_DATA")</f>
        <v>#N/A N/A</v>
      </c>
      <c r="HQ5" t="str">
        <f>_xll.BDS("OK US Equity","SUPPLY_CHAIN_CUSTOMERS_ALL_DATA")</f>
        <v>#N/A N/A</v>
      </c>
      <c r="IG5" t="str">
        <f>_xll.BDS("GBBK US Equity","SUPPLY_CHAIN_SUPPLIERS_ALL_DATA")</f>
        <v>#N/A N/A</v>
      </c>
      <c r="IU5" t="str">
        <f>_xll.BDS("GBBK US Equity","SUPPLY_CHAIN_CUSTOMERS_ALL_DATA")</f>
        <v>#N/A N/A</v>
      </c>
      <c r="JK5" t="str">
        <f>_xll.BDS("2452714D US Equity","SUPPLY_CHAIN_SUPPLIERS_ALL_DATA")</f>
        <v>#N/A N/A</v>
      </c>
      <c r="JY5" t="str">
        <f>_xll.BDS("2452714D US Equity","SUPPLY_CHAIN_CUSTOMERS_ALL_DATA","cols=12;rows=3")</f>
        <v>AIT US Equity</v>
      </c>
      <c r="JZ5">
        <v>-2.4245362661989844E-14</v>
      </c>
      <c r="KB5">
        <v>-2.4245362661989844E-14</v>
      </c>
      <c r="KC5" t="s">
        <v>1810</v>
      </c>
      <c r="KD5">
        <v>2025</v>
      </c>
      <c r="KE5" t="s">
        <v>4086</v>
      </c>
      <c r="KF5" s="6">
        <v>45824</v>
      </c>
      <c r="KG5">
        <v>3</v>
      </c>
      <c r="KH5">
        <v>-2.4245362661989844E-14</v>
      </c>
      <c r="KI5">
        <v>100181</v>
      </c>
      <c r="KJ5" t="s">
        <v>3696</v>
      </c>
      <c r="KO5" t="str">
        <f>_xll.BDS("1740293D US Equity","SUPPLY_CHAIN_SUPPLIERS_ALL_DATA")</f>
        <v>#N/A N/A</v>
      </c>
      <c r="LC5" t="str">
        <f>_xll.BDS("1740293D US Equity","SUPPLY_CHAIN_CUSTOMERS_ALL_DATA")</f>
        <v>#N/A N/A</v>
      </c>
      <c r="LS5" t="str">
        <f>_xll.BDS("IBKC US Equity","SUPPLY_CHAIN_SUPPLIERS_ALL_DATA")</f>
        <v>#N/A N/A</v>
      </c>
      <c r="MG5" t="str">
        <f>_xll.BDS("IBKC US Equity","SUPPLY_CHAIN_CUSTOMERS_ALL_DATA")</f>
        <v>#N/A N/A</v>
      </c>
      <c r="MW5" t="str">
        <f>_xll.BDS("URGP US Equity","SUPPLY_CHAIN_SUPPLIERS_ALL_DATA")</f>
        <v>#N/A N/A</v>
      </c>
      <c r="NK5" t="str">
        <f>_xll.BDS("URGP US Equity","SUPPLY_CHAIN_CUSTOMERS_ALL_DATA")</f>
        <v>#N/A N/A</v>
      </c>
      <c r="OA5" t="str">
        <f>_xll.BDS("DDD US Equity","SUPPLY_CHAIN_SUPPLIERS_ALL_DATA","cols=12;rows=5")</f>
        <v>JBL US Equity</v>
      </c>
      <c r="OB5" t="s">
        <v>1822</v>
      </c>
      <c r="OC5">
        <v>1.5103999999999999E-2</v>
      </c>
      <c r="OD5">
        <v>1.9115960000000001</v>
      </c>
      <c r="OE5" t="s">
        <v>1810</v>
      </c>
      <c r="OF5">
        <v>2025</v>
      </c>
      <c r="OG5" t="s">
        <v>1885</v>
      </c>
      <c r="OH5" s="6">
        <v>45867</v>
      </c>
      <c r="OI5">
        <v>5</v>
      </c>
      <c r="OJ5">
        <v>1182341</v>
      </c>
      <c r="OK5">
        <v>117092</v>
      </c>
      <c r="OL5" t="s">
        <v>1886</v>
      </c>
      <c r="OO5" t="str">
        <f>_xll.BDS("DDD US Equity","SUPPLY_CHAIN_CUSTOMERS_ALL_DATA","cols=12;rows=5")</f>
        <v>SNX US Equity</v>
      </c>
      <c r="OP5">
        <v>0.78537299999999999</v>
      </c>
      <c r="OQ5" t="s">
        <v>1822</v>
      </c>
      <c r="OR5">
        <v>4.4279999999999996E-3</v>
      </c>
      <c r="OS5" t="s">
        <v>1827</v>
      </c>
      <c r="OT5">
        <v>2025</v>
      </c>
      <c r="OU5" t="s">
        <v>1850</v>
      </c>
      <c r="OV5" s="6">
        <v>46056</v>
      </c>
      <c r="OW5">
        <v>5</v>
      </c>
      <c r="OX5">
        <v>716645</v>
      </c>
      <c r="OY5">
        <v>1499717</v>
      </c>
      <c r="OZ5" t="s">
        <v>1851</v>
      </c>
      <c r="PE5" t="str">
        <f>_xll.BDS("2740937Q US Equity","SUPPLY_CHAIN_SUPPLIERS_ALL_DATA")</f>
        <v>#N/A N/A</v>
      </c>
      <c r="PS5" t="str">
        <f>_xll.BDS("2740937Q US Equity","SUPPLY_CHAIN_CUSTOMERS_ALL_DATA")</f>
        <v>#N/A N/A</v>
      </c>
      <c r="QI5" t="str">
        <f>_xll.BDS("SLCT US Equity","SUPPLY_CHAIN_SUPPLIERS_ALL_DATA")</f>
        <v>#N/A N/A</v>
      </c>
      <c r="QW5" t="str">
        <f>_xll.BDS("SLCT US Equity","SUPPLY_CHAIN_CUSTOMERS_ALL_DATA")</f>
        <v>#N/A N/A</v>
      </c>
      <c r="RM5" t="str">
        <f>_xll.BDS("375689Q US Equity","SUPPLY_CHAIN_SUPPLIERS_ALL_DATA")</f>
        <v>#N/A N/A</v>
      </c>
      <c r="SA5" t="str">
        <f>_xll.BDS("375689Q US Equity","SUPPLY_CHAIN_CUSTOMERS_ALL_DATA")</f>
        <v>#N/A N/A</v>
      </c>
      <c r="SQ5" t="str">
        <f>_xll.BDS("TWRV US Equity","SUPPLY_CHAIN_SUPPLIERS_ALL_DATA")</f>
        <v>#N/A N/A</v>
      </c>
      <c r="TE5" t="str">
        <f>_xll.BDS("TWRV US Equity","SUPPLY_CHAIN_CUSTOMERS_ALL_DATA")</f>
        <v>#N/A N/A</v>
      </c>
      <c r="TU5" t="str">
        <f>_xll.BDS("SFFS US Equity","SUPPLY_CHAIN_SUPPLIERS_ALL_DATA")</f>
        <v>#N/A N/A</v>
      </c>
      <c r="UI5" t="str">
        <f>_xll.BDS("SFFS US Equity","SUPPLY_CHAIN_CUSTOMERS_ALL_DATA")</f>
        <v>#N/A N/A</v>
      </c>
      <c r="UY5" t="str">
        <f>_xll.BDS("SEVN US Equity","SUPPLY_CHAIN_SUPPLIERS_ALL_DATA")</f>
        <v>#N/A N/A</v>
      </c>
      <c r="VM5" t="str">
        <f>_xll.BDS("SEVN US Equity","SUPPLY_CHAIN_CUSTOMERS_ALL_DATA")</f>
        <v>#N/A N/A</v>
      </c>
    </row>
    <row r="6" spans="1:600" x14ac:dyDescent="0.25">
      <c r="DQ6" t="s">
        <v>3183</v>
      </c>
      <c r="DR6" t="s">
        <v>1822</v>
      </c>
      <c r="DS6">
        <v>0.89060499999999998</v>
      </c>
      <c r="DT6">
        <v>0.18792300000000001</v>
      </c>
      <c r="DU6" t="s">
        <v>1827</v>
      </c>
      <c r="DV6">
        <v>2024</v>
      </c>
      <c r="DW6" t="s">
        <v>3184</v>
      </c>
      <c r="DX6" s="6">
        <v>45747</v>
      </c>
      <c r="DY6">
        <v>5</v>
      </c>
      <c r="DZ6">
        <v>10696585</v>
      </c>
      <c r="EA6">
        <v>17257533</v>
      </c>
      <c r="EB6" t="s">
        <v>3185</v>
      </c>
      <c r="EE6" t="s">
        <v>4178</v>
      </c>
      <c r="EF6">
        <v>-2.4245362661989844E-14</v>
      </c>
      <c r="EH6">
        <v>-2.4245362661989844E-14</v>
      </c>
      <c r="EI6" t="s">
        <v>2342</v>
      </c>
      <c r="EJ6">
        <v>2024</v>
      </c>
      <c r="EK6" t="s">
        <v>4179</v>
      </c>
      <c r="EL6" s="6">
        <v>45518</v>
      </c>
      <c r="EM6">
        <v>5</v>
      </c>
      <c r="EN6">
        <v>-2.4245362661989844E-14</v>
      </c>
      <c r="EO6">
        <v>129195</v>
      </c>
      <c r="EP6" t="s">
        <v>4180</v>
      </c>
      <c r="JY6" t="s">
        <v>4293</v>
      </c>
      <c r="JZ6">
        <v>-2.4245362661989844E-14</v>
      </c>
      <c r="KB6">
        <v>-2.4245362661989844E-14</v>
      </c>
      <c r="KC6" t="s">
        <v>1823</v>
      </c>
      <c r="KD6">
        <v>2024</v>
      </c>
      <c r="KE6" t="s">
        <v>4294</v>
      </c>
      <c r="KF6" s="6">
        <v>45579</v>
      </c>
      <c r="KG6">
        <v>3</v>
      </c>
      <c r="KH6">
        <v>-2.4245362661989844E-14</v>
      </c>
      <c r="KI6">
        <v>159201</v>
      </c>
      <c r="KJ6" t="s">
        <v>4295</v>
      </c>
      <c r="OA6" t="s">
        <v>4109</v>
      </c>
      <c r="OC6">
        <v>-2.4245362661989844E-14</v>
      </c>
      <c r="OD6">
        <v>-2.4245362661989844E-14</v>
      </c>
      <c r="OE6" t="s">
        <v>1814</v>
      </c>
      <c r="OF6">
        <v>2021</v>
      </c>
      <c r="OG6" t="s">
        <v>4110</v>
      </c>
      <c r="OH6" s="6">
        <v>44679</v>
      </c>
      <c r="OI6">
        <v>5</v>
      </c>
      <c r="OJ6">
        <v>-2.4245362661989844E-14</v>
      </c>
      <c r="OK6">
        <v>13965426</v>
      </c>
      <c r="OL6" t="s">
        <v>4111</v>
      </c>
      <c r="OO6" t="s">
        <v>4231</v>
      </c>
      <c r="OP6">
        <v>4.6975000000000003E-2</v>
      </c>
      <c r="OQ6" t="s">
        <v>1822</v>
      </c>
      <c r="OR6">
        <v>0.84867700000000001</v>
      </c>
      <c r="OS6" t="s">
        <v>1814</v>
      </c>
      <c r="OT6">
        <v>2024</v>
      </c>
      <c r="OU6" t="s">
        <v>4232</v>
      </c>
      <c r="OV6" s="6">
        <v>45786</v>
      </c>
      <c r="OW6">
        <v>5</v>
      </c>
      <c r="OX6">
        <v>51258.91</v>
      </c>
      <c r="OY6">
        <v>24223440</v>
      </c>
      <c r="OZ6" t="s">
        <v>4233</v>
      </c>
    </row>
    <row r="7" spans="1:600" x14ac:dyDescent="0.25">
      <c r="DQ7" t="s">
        <v>3186</v>
      </c>
      <c r="DR7" t="s">
        <v>1822</v>
      </c>
      <c r="DS7">
        <v>1.8761030000000001</v>
      </c>
      <c r="DT7">
        <v>0.11766799999999999</v>
      </c>
      <c r="DU7" t="s">
        <v>1806</v>
      </c>
      <c r="DV7">
        <v>2025</v>
      </c>
      <c r="DW7" t="s">
        <v>3187</v>
      </c>
      <c r="DX7" s="6">
        <v>45764</v>
      </c>
      <c r="DY7">
        <v>5</v>
      </c>
      <c r="DZ7">
        <v>6697669</v>
      </c>
      <c r="EA7">
        <v>916504</v>
      </c>
      <c r="EB7" t="s">
        <v>3188</v>
      </c>
      <c r="EE7" t="s">
        <v>4181</v>
      </c>
      <c r="EF7">
        <v>-2.4245362661989844E-14</v>
      </c>
      <c r="EH7">
        <v>-2.4245362661989844E-14</v>
      </c>
      <c r="EI7" t="s">
        <v>1814</v>
      </c>
      <c r="EJ7">
        <v>2025</v>
      </c>
      <c r="EK7" t="s">
        <v>4182</v>
      </c>
      <c r="EL7" s="6">
        <v>45691</v>
      </c>
      <c r="EM7">
        <v>5</v>
      </c>
      <c r="EN7">
        <v>-2.4245362661989844E-14</v>
      </c>
      <c r="EO7">
        <v>26993503</v>
      </c>
      <c r="EP7" t="s">
        <v>4183</v>
      </c>
      <c r="JY7" t="s">
        <v>2499</v>
      </c>
      <c r="JZ7">
        <v>-2.4245362661989844E-14</v>
      </c>
      <c r="KB7">
        <v>-2.4245362661989844E-14</v>
      </c>
      <c r="KC7" t="s">
        <v>1810</v>
      </c>
      <c r="KD7">
        <v>2023</v>
      </c>
      <c r="KE7" t="s">
        <v>2500</v>
      </c>
      <c r="KF7" s="6">
        <v>45216</v>
      </c>
      <c r="KG7">
        <v>3</v>
      </c>
      <c r="KH7">
        <v>-2.4245362661989844E-14</v>
      </c>
      <c r="KI7">
        <v>305945</v>
      </c>
      <c r="KJ7" t="s">
        <v>2501</v>
      </c>
      <c r="OA7" t="s">
        <v>4112</v>
      </c>
      <c r="OC7">
        <v>-2.4245362661989844E-14</v>
      </c>
      <c r="OD7">
        <v>-2.4245362661989844E-14</v>
      </c>
      <c r="OE7" t="s">
        <v>1814</v>
      </c>
      <c r="OF7">
        <v>2022</v>
      </c>
      <c r="OG7" t="s">
        <v>4113</v>
      </c>
      <c r="OH7" s="6">
        <v>44879</v>
      </c>
      <c r="OI7">
        <v>5</v>
      </c>
      <c r="OJ7">
        <v>-2.4245362661989844E-14</v>
      </c>
      <c r="OK7">
        <v>47790907</v>
      </c>
      <c r="OL7" t="s">
        <v>4114</v>
      </c>
      <c r="OO7" t="s">
        <v>4234</v>
      </c>
      <c r="OP7">
        <v>-2.4245362661989844E-14</v>
      </c>
      <c r="OR7">
        <v>-2.4245362661989844E-14</v>
      </c>
      <c r="OS7" t="s">
        <v>1814</v>
      </c>
      <c r="OT7">
        <v>2024</v>
      </c>
      <c r="OU7" t="s">
        <v>4235</v>
      </c>
      <c r="OV7" s="6">
        <v>45772</v>
      </c>
      <c r="OW7">
        <v>5</v>
      </c>
      <c r="OX7">
        <v>-2.4245362661989844E-14</v>
      </c>
      <c r="OY7">
        <v>9078024</v>
      </c>
      <c r="OZ7" t="s">
        <v>4236</v>
      </c>
    </row>
    <row r="8" spans="1:600" x14ac:dyDescent="0.25">
      <c r="DQ8" t="s">
        <v>3189</v>
      </c>
      <c r="DR8" t="s">
        <v>1893</v>
      </c>
      <c r="DS8">
        <v>13</v>
      </c>
      <c r="DT8">
        <v>0.32028699999999999</v>
      </c>
      <c r="DU8" t="s">
        <v>1814</v>
      </c>
      <c r="DV8">
        <v>2024</v>
      </c>
      <c r="DW8" t="s">
        <v>3190</v>
      </c>
      <c r="DX8" s="6">
        <v>45761</v>
      </c>
      <c r="DY8">
        <v>5</v>
      </c>
      <c r="DZ8">
        <v>5277818.2300000004</v>
      </c>
      <c r="EA8">
        <v>115383</v>
      </c>
      <c r="EB8" t="s">
        <v>3191</v>
      </c>
      <c r="EE8" t="s">
        <v>4184</v>
      </c>
      <c r="EF8">
        <v>-2.4245362661989844E-14</v>
      </c>
      <c r="EH8">
        <v>-2.4245362661989844E-14</v>
      </c>
      <c r="EI8" t="s">
        <v>1814</v>
      </c>
      <c r="EJ8">
        <v>2024</v>
      </c>
      <c r="EK8" t="s">
        <v>4185</v>
      </c>
      <c r="EL8" s="6">
        <v>45734</v>
      </c>
      <c r="EM8">
        <v>5</v>
      </c>
      <c r="EN8">
        <v>-2.4245362661989844E-14</v>
      </c>
      <c r="EO8">
        <v>7980587</v>
      </c>
      <c r="EP8" t="s">
        <v>4186</v>
      </c>
      <c r="OA8" t="s">
        <v>4115</v>
      </c>
      <c r="OC8">
        <v>-2.4245362661989844E-14</v>
      </c>
      <c r="OD8">
        <v>-2.4245362661989844E-14</v>
      </c>
      <c r="OE8" t="s">
        <v>1814</v>
      </c>
      <c r="OF8">
        <v>2023</v>
      </c>
      <c r="OG8" t="s">
        <v>4116</v>
      </c>
      <c r="OH8" s="6">
        <v>45005</v>
      </c>
      <c r="OI8">
        <v>5</v>
      </c>
      <c r="OJ8">
        <v>-2.4245362661989844E-14</v>
      </c>
      <c r="OK8">
        <v>69746786</v>
      </c>
      <c r="OL8" t="s">
        <v>4117</v>
      </c>
      <c r="OO8" t="s">
        <v>2448</v>
      </c>
      <c r="OP8">
        <v>-2.4245362661989844E-14</v>
      </c>
      <c r="OR8">
        <v>-2.4245362661989844E-14</v>
      </c>
      <c r="OS8" t="s">
        <v>1814</v>
      </c>
      <c r="OT8">
        <v>2025</v>
      </c>
      <c r="OU8" t="s">
        <v>4113</v>
      </c>
      <c r="OV8" s="6">
        <v>45895</v>
      </c>
      <c r="OW8">
        <v>5</v>
      </c>
      <c r="OX8">
        <v>-2.4245362661989844E-14</v>
      </c>
      <c r="OY8">
        <v>962205</v>
      </c>
      <c r="OZ8" t="s">
        <v>2450</v>
      </c>
    </row>
    <row r="9" spans="1:600" x14ac:dyDescent="0.25">
      <c r="DQ9" t="s">
        <v>3192</v>
      </c>
      <c r="DR9" t="s">
        <v>1893</v>
      </c>
      <c r="DS9">
        <v>2.3601529999999999</v>
      </c>
      <c r="DT9">
        <v>0.26850400000000002</v>
      </c>
      <c r="DU9" t="s">
        <v>1814</v>
      </c>
      <c r="DV9">
        <v>2024</v>
      </c>
      <c r="DW9" t="s">
        <v>3193</v>
      </c>
      <c r="DX9" s="6">
        <v>45715</v>
      </c>
      <c r="DY9">
        <v>5</v>
      </c>
      <c r="DZ9">
        <v>4469251</v>
      </c>
      <c r="EA9">
        <v>979463</v>
      </c>
      <c r="EB9" t="s">
        <v>3194</v>
      </c>
      <c r="EE9" t="s">
        <v>4187</v>
      </c>
      <c r="EF9">
        <v>-2.4245362661989844E-14</v>
      </c>
      <c r="EH9">
        <v>-2.4245362661989844E-14</v>
      </c>
      <c r="EI9" t="s">
        <v>1814</v>
      </c>
      <c r="EJ9">
        <v>2024</v>
      </c>
      <c r="EK9" t="s">
        <v>4188</v>
      </c>
      <c r="EL9" s="6">
        <v>45333</v>
      </c>
      <c r="EM9">
        <v>5</v>
      </c>
      <c r="EN9">
        <v>-2.4245362661989844E-14</v>
      </c>
      <c r="EO9">
        <v>136993</v>
      </c>
      <c r="EP9" t="s">
        <v>4189</v>
      </c>
      <c r="OA9" t="s">
        <v>2042</v>
      </c>
      <c r="OC9">
        <v>-2.4245362661989844E-14</v>
      </c>
      <c r="OD9">
        <v>-2.4245362661989844E-14</v>
      </c>
      <c r="OE9" t="s">
        <v>1814</v>
      </c>
      <c r="OF9">
        <v>2021</v>
      </c>
      <c r="OG9" t="s">
        <v>2043</v>
      </c>
      <c r="OH9" s="6">
        <v>44693</v>
      </c>
      <c r="OI9">
        <v>5</v>
      </c>
      <c r="OJ9">
        <v>-2.4245362661989844E-14</v>
      </c>
      <c r="OK9">
        <v>100060</v>
      </c>
      <c r="OL9" t="s">
        <v>2044</v>
      </c>
      <c r="OO9" t="s">
        <v>4237</v>
      </c>
      <c r="OP9">
        <v>-2.4245362661989844E-14</v>
      </c>
      <c r="OR9">
        <v>-2.4245362661989844E-14</v>
      </c>
      <c r="OS9" t="s">
        <v>1831</v>
      </c>
      <c r="OT9">
        <v>2022</v>
      </c>
      <c r="OU9" t="s">
        <v>4238</v>
      </c>
      <c r="OV9" s="6">
        <v>44879</v>
      </c>
      <c r="OW9">
        <v>5</v>
      </c>
      <c r="OX9">
        <v>-2.4245362661989844E-14</v>
      </c>
      <c r="OY9">
        <v>1456316</v>
      </c>
      <c r="OZ9" t="s">
        <v>4239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367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368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369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370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371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372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373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374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375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376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377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378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379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380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381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382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383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384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385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386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122</v>
      </c>
      <c r="AE2" s="3" t="s">
        <v>325</v>
      </c>
      <c r="BI2" s="3" t="s">
        <v>387</v>
      </c>
      <c r="CM2" s="3" t="s">
        <v>388</v>
      </c>
      <c r="DQ2" s="3" t="s">
        <v>389</v>
      </c>
      <c r="EU2" s="3" t="s">
        <v>390</v>
      </c>
      <c r="FY2" s="3" t="s">
        <v>391</v>
      </c>
      <c r="HC2" s="3" t="s">
        <v>392</v>
      </c>
      <c r="IG2" s="3" t="s">
        <v>393</v>
      </c>
      <c r="JK2" s="3" t="s">
        <v>394</v>
      </c>
      <c r="KO2" s="3" t="s">
        <v>395</v>
      </c>
      <c r="LS2" s="3" t="s">
        <v>396</v>
      </c>
      <c r="MW2" s="3" t="s">
        <v>397</v>
      </c>
      <c r="OA2" s="3" t="s">
        <v>398</v>
      </c>
      <c r="PE2" s="3" t="s">
        <v>399</v>
      </c>
      <c r="QI2" s="3" t="s">
        <v>400</v>
      </c>
      <c r="RM2" s="3" t="s">
        <v>401</v>
      </c>
      <c r="SQ2" s="3" t="s">
        <v>402</v>
      </c>
      <c r="TU2" s="3" t="s">
        <v>403</v>
      </c>
      <c r="UY2" s="3" t="s">
        <v>404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_xll.BDS("BCAL US Equity","SUPPLY_CHAIN_SUPPLIERS_ALL_DATA")</f>
        <v>#N/A N/A</v>
      </c>
      <c r="O5" t="str">
        <f>_xll.BDS("BCAL US Equity","SUPPLY_CHAIN_CUSTOMERS_ALL_DATA")</f>
        <v>#N/A N/A</v>
      </c>
      <c r="AE5" t="str">
        <f>_xll.BDS("YDKN US Equity","SUPPLY_CHAIN_SUPPLIERS_ALL_DATA")</f>
        <v>#N/A N/A</v>
      </c>
      <c r="AS5" t="str">
        <f>_xll.BDS("YDKN US Equity","SUPPLY_CHAIN_CUSTOMERS_ALL_DATA")</f>
        <v>#N/A N/A</v>
      </c>
      <c r="BI5" t="str">
        <f>_xll.BDS("SFNC US Equity","SUPPLY_CHAIN_SUPPLIERS_ALL_DATA")</f>
        <v>#N/A N/A</v>
      </c>
      <c r="BW5" t="str">
        <f>_xll.BDS("SFNC US Equity","SUPPLY_CHAIN_CUSTOMERS_ALL_DATA")</f>
        <v>#N/A N/A</v>
      </c>
      <c r="CM5" t="str">
        <f>_xll.BDS("3489Q US Equity","SUPPLY_CHAIN_SUPPLIERS_ALL_DATA")</f>
        <v>#N/A N/A</v>
      </c>
      <c r="DA5" t="str">
        <f>_xll.BDS("3489Q US Equity","SUPPLY_CHAIN_CUSTOMERS_ALL_DATA")</f>
        <v>#N/A N/A</v>
      </c>
      <c r="DQ5" t="str">
        <f>_xll.BDS("JAKK US Equity","SUPPLY_CHAIN_SUPPLIERS_ALL_DATA","cols=12;rows=5")</f>
        <v>002699 CH Equity</v>
      </c>
      <c r="DR5" t="s">
        <v>1822</v>
      </c>
      <c r="DS5">
        <v>72.781006000000005</v>
      </c>
      <c r="DT5">
        <v>20.584869000000001</v>
      </c>
      <c r="DU5" t="s">
        <v>1814</v>
      </c>
      <c r="DV5">
        <v>2024</v>
      </c>
      <c r="DW5" t="s">
        <v>2144</v>
      </c>
      <c r="DX5" s="6">
        <v>45722</v>
      </c>
      <c r="DY5">
        <v>5</v>
      </c>
      <c r="DZ5">
        <v>24600000</v>
      </c>
      <c r="EA5">
        <v>24451932</v>
      </c>
      <c r="EB5" t="s">
        <v>2275</v>
      </c>
      <c r="EE5" t="str">
        <f>_xll.BDS("JAKK US Equity","SUPPLY_CHAIN_CUSTOMERS_ALL_DATA","cols=12;rows=5")</f>
        <v>TGT US Equity</v>
      </c>
      <c r="EF5">
        <v>28.5</v>
      </c>
      <c r="EG5" t="s">
        <v>1822</v>
      </c>
      <c r="EH5">
        <v>0.33680399999999999</v>
      </c>
      <c r="EI5" t="s">
        <v>1810</v>
      </c>
      <c r="EJ5">
        <v>2025</v>
      </c>
      <c r="EK5" t="s">
        <v>2140</v>
      </c>
      <c r="EL5" s="6">
        <v>45961</v>
      </c>
      <c r="EM5">
        <v>5</v>
      </c>
      <c r="EN5">
        <v>60298000</v>
      </c>
      <c r="EO5">
        <v>100436</v>
      </c>
      <c r="EP5" t="s">
        <v>2141</v>
      </c>
      <c r="EU5" t="str">
        <f>_xll.BDS("FFWM US Equity","SUPPLY_CHAIN_SUPPLIERS_ALL_DATA")</f>
        <v>#N/A N/A</v>
      </c>
      <c r="FI5" t="str">
        <f>_xll.BDS("FFWM US Equity","SUPPLY_CHAIN_CUSTOMERS_ALL_DATA")</f>
        <v>#N/A N/A</v>
      </c>
      <c r="FY5" t="str">
        <f>_xll.BDS("FINB US Equity","SUPPLY_CHAIN_SUPPLIERS_ALL_DATA")</f>
        <v>#N/A N/A</v>
      </c>
      <c r="GM5" t="str">
        <f>_xll.BDS("FINB US Equity","SUPPLY_CHAIN_CUSTOMERS_ALL_DATA")</f>
        <v>#N/A N/A</v>
      </c>
      <c r="HC5" t="str">
        <f>_xll.BDS("FBMI US Equity","SUPPLY_CHAIN_SUPPLIERS_ALL_DATA")</f>
        <v>#N/A N/A</v>
      </c>
      <c r="HQ5" t="str">
        <f>_xll.BDS("FBMI US Equity","SUPPLY_CHAIN_CUSTOMERS_ALL_DATA")</f>
        <v>#N/A N/A</v>
      </c>
      <c r="IG5" t="str">
        <f>_xll.BDS("41018Q US Equity","SUPPLY_CHAIN_SUPPLIERS_ALL_DATA")</f>
        <v>#N/A N/A</v>
      </c>
      <c r="IU5" t="str">
        <f>_xll.BDS("41018Q US Equity","SUPPLY_CHAIN_CUSTOMERS_ALL_DATA")</f>
        <v>#N/A N/A</v>
      </c>
      <c r="JK5" t="str">
        <f>_xll.BDS("ARBA US Equity","SUPPLY_CHAIN_SUPPLIERS_ALL_DATA")</f>
        <v>#N/A N/A</v>
      </c>
      <c r="JY5" t="str">
        <f>_xll.BDS("ARBA US Equity","SUPPLY_CHAIN_CUSTOMERS_ALL_DATA")</f>
        <v>#N/A N/A</v>
      </c>
      <c r="KO5" t="str">
        <f>_xll.BDS("GS US Equity","SUPPLY_CHAIN_SUPPLIERS_ALL_DATA","cols=12;rows=5")</f>
        <v>INFO IN Equity</v>
      </c>
      <c r="KP5" t="s">
        <v>1893</v>
      </c>
      <c r="KQ5">
        <v>2.9422510000000002</v>
      </c>
      <c r="KR5">
        <v>1.910156</v>
      </c>
      <c r="KS5" t="s">
        <v>1827</v>
      </c>
      <c r="KT5">
        <v>2025</v>
      </c>
      <c r="KU5" t="s">
        <v>1997</v>
      </c>
      <c r="KV5" s="6">
        <v>45810</v>
      </c>
      <c r="KW5">
        <v>5</v>
      </c>
      <c r="KX5">
        <v>139053043.91</v>
      </c>
      <c r="KY5">
        <v>174545</v>
      </c>
      <c r="KZ5" t="s">
        <v>1998</v>
      </c>
      <c r="LC5" t="str">
        <f>_xll.BDS("GS US Equity","SUPPLY_CHAIN_CUSTOMERS_ALL_DATA","cols=12;rows=5")</f>
        <v>036460 KS Equity</v>
      </c>
      <c r="LD5">
        <v>-2.4245362661989844E-14</v>
      </c>
      <c r="LF5">
        <v>-2.4245362661989844E-14</v>
      </c>
      <c r="LG5" t="s">
        <v>1814</v>
      </c>
      <c r="LH5">
        <v>2021</v>
      </c>
      <c r="LI5" t="s">
        <v>4296</v>
      </c>
      <c r="LJ5" s="6">
        <v>44641</v>
      </c>
      <c r="LK5">
        <v>5</v>
      </c>
      <c r="LL5">
        <v>-2.4245362661989844E-14</v>
      </c>
      <c r="LM5">
        <v>210754</v>
      </c>
      <c r="LN5" t="s">
        <v>4297</v>
      </c>
      <c r="LS5" t="str">
        <f>_xll.BDS("JNJ US Equity","SUPPLY_CHAIN_SUPPLIERS_ALL_DATA","cols=12;rows=5")</f>
        <v>GMAB DC Equity</v>
      </c>
      <c r="LT5" t="s">
        <v>1896</v>
      </c>
      <c r="LU5">
        <v>66.998047</v>
      </c>
      <c r="LV5">
        <v>11.040321</v>
      </c>
      <c r="LW5" t="s">
        <v>1814</v>
      </c>
      <c r="LX5">
        <v>2024</v>
      </c>
      <c r="LY5" t="s">
        <v>1897</v>
      </c>
      <c r="LZ5" s="6">
        <v>45701</v>
      </c>
      <c r="MA5">
        <v>5</v>
      </c>
      <c r="MB5">
        <v>522920364.22000003</v>
      </c>
      <c r="MC5">
        <v>1405715</v>
      </c>
      <c r="MD5" t="s">
        <v>1898</v>
      </c>
      <c r="MG5" t="str">
        <f>_xll.BDS("JNJ US Equity","SUPPLY_CHAIN_CUSTOMERS_ALL_DATA","cols=12;rows=5")</f>
        <v>MCK US Equity</v>
      </c>
      <c r="MH5">
        <v>20.476745999999999</v>
      </c>
      <c r="MI5" t="s">
        <v>1822</v>
      </c>
      <c r="MJ5">
        <v>6.636412</v>
      </c>
      <c r="MK5" t="s">
        <v>1810</v>
      </c>
      <c r="ML5">
        <v>2025</v>
      </c>
      <c r="MM5" t="s">
        <v>2034</v>
      </c>
      <c r="MN5" s="6">
        <v>46018</v>
      </c>
      <c r="MO5">
        <v>5</v>
      </c>
      <c r="MP5">
        <v>4912985600</v>
      </c>
      <c r="MQ5">
        <v>154936</v>
      </c>
      <c r="MR5" t="s">
        <v>1875</v>
      </c>
      <c r="MW5" t="str">
        <f>_xll.BDS("TMD US Equity","SUPPLY_CHAIN_SUPPLIERS_ALL_DATA")</f>
        <v>#N/A N/A</v>
      </c>
      <c r="NK5" t="str">
        <f>_xll.BDS("TMD US Equity","SUPPLY_CHAIN_CUSTOMERS_ALL_DATA")</f>
        <v>#N/A N/A</v>
      </c>
      <c r="OA5" t="str">
        <f>_xll.BDS("CCBI US Equity","SUPPLY_CHAIN_SUPPLIERS_ALL_DATA")</f>
        <v>#N/A N/A</v>
      </c>
      <c r="OO5" t="str">
        <f>_xll.BDS("CCBI US Equity","SUPPLY_CHAIN_CUSTOMERS_ALL_DATA")</f>
        <v>#N/A N/A</v>
      </c>
      <c r="PE5" t="str">
        <f>_xll.BDS("NUE US Equity","SUPPLY_CHAIN_SUPPLIERS_ALL_DATA","cols=12;rows=5")</f>
        <v>ERA FP Equity</v>
      </c>
      <c r="PF5" t="s">
        <v>1822</v>
      </c>
      <c r="PG5">
        <v>4.0357180000000001</v>
      </c>
      <c r="PH5">
        <v>0.44614900000000002</v>
      </c>
      <c r="PI5" t="s">
        <v>1823</v>
      </c>
      <c r="PJ5">
        <v>2025</v>
      </c>
      <c r="PK5" t="s">
        <v>4360</v>
      </c>
      <c r="PL5" s="6">
        <v>45869</v>
      </c>
      <c r="PM5">
        <v>5</v>
      </c>
      <c r="PN5">
        <v>32107227.640000001</v>
      </c>
      <c r="PO5">
        <v>153771</v>
      </c>
      <c r="PP5" t="s">
        <v>4361</v>
      </c>
      <c r="PS5" t="str">
        <f>_xll.BDS("NUE US Equity","SUPPLY_CHAIN_CUSTOMERS_ALL_DATA","cols=12;rows=5")</f>
        <v>TEN IM Equity</v>
      </c>
      <c r="PT5">
        <v>0.99131800000000003</v>
      </c>
      <c r="PU5" t="s">
        <v>1822</v>
      </c>
      <c r="PV5">
        <v>4.3404309999999997</v>
      </c>
      <c r="PW5" t="s">
        <v>1810</v>
      </c>
      <c r="PX5">
        <v>2025</v>
      </c>
      <c r="PY5" t="s">
        <v>4331</v>
      </c>
      <c r="PZ5" s="6">
        <v>45971</v>
      </c>
      <c r="QA5">
        <v>5</v>
      </c>
      <c r="QB5">
        <v>84470216</v>
      </c>
      <c r="QC5">
        <v>7912227</v>
      </c>
      <c r="QD5" t="s">
        <v>4332</v>
      </c>
      <c r="QI5" t="str">
        <f>_xll.BDS("CUNB US Equity","SUPPLY_CHAIN_SUPPLIERS_ALL_DATA")</f>
        <v>#N/A N/A</v>
      </c>
      <c r="QW5" t="str">
        <f>_xll.BDS("CUNB US Equity","SUPPLY_CHAIN_CUSTOMERS_ALL_DATA")</f>
        <v>#N/A N/A</v>
      </c>
      <c r="RM5" t="str">
        <f>_xll.BDS("2674129Q US Equity","SUPPLY_CHAIN_SUPPLIERS_ALL_DATA")</f>
        <v>#N/A N/A</v>
      </c>
      <c r="SA5" t="str">
        <f>_xll.BDS("2674129Q US Equity","SUPPLY_CHAIN_CUSTOMERS_ALL_DATA")</f>
        <v>#N/A N/A</v>
      </c>
      <c r="SQ5" t="str">
        <f>_xll.BDS("KODK US Equity","SUPPLY_CHAIN_SUPPLIERS_ALL_DATA","cols=12;rows=5")</f>
        <v>AX-U CN Equity</v>
      </c>
      <c r="SR5" t="s">
        <v>1893</v>
      </c>
      <c r="SS5">
        <v>1.6</v>
      </c>
      <c r="ST5">
        <v>1.959516</v>
      </c>
      <c r="SU5" t="s">
        <v>1814</v>
      </c>
      <c r="SV5">
        <v>2024</v>
      </c>
      <c r="SW5" t="s">
        <v>3160</v>
      </c>
      <c r="SX5" s="6">
        <v>45722</v>
      </c>
      <c r="SY5">
        <v>5</v>
      </c>
      <c r="SZ5">
        <v>877121.43</v>
      </c>
      <c r="TA5">
        <v>8674508</v>
      </c>
      <c r="TB5" t="s">
        <v>3161</v>
      </c>
      <c r="TE5" t="str">
        <f>_xll.BDS("KODK US Equity","SUPPLY_CHAIN_CUSTOMERS_ALL_DATA","cols=12;rows=5")</f>
        <v>0918800D US Equity</v>
      </c>
      <c r="TF5">
        <v>8.5743050000000007</v>
      </c>
      <c r="TH5">
        <v>-2.4245362661989844E-14</v>
      </c>
      <c r="TI5" t="s">
        <v>1814</v>
      </c>
      <c r="TJ5">
        <v>2024</v>
      </c>
      <c r="TK5" t="s">
        <v>3021</v>
      </c>
      <c r="TL5" s="6">
        <v>45733</v>
      </c>
      <c r="TM5">
        <v>5</v>
      </c>
      <c r="TN5">
        <v>22357500</v>
      </c>
      <c r="TO5">
        <v>38301935</v>
      </c>
      <c r="TP5" t="s">
        <v>3022</v>
      </c>
      <c r="TU5" t="str">
        <f>_xll.BDS("HBEK US Equity","SUPPLY_CHAIN_SUPPLIERS_ALL_DATA")</f>
        <v>#N/A N/A</v>
      </c>
      <c r="UI5" t="str">
        <f>_xll.BDS("HBEK US Equity","SUPPLY_CHAIN_CUSTOMERS_ALL_DATA")</f>
        <v>#N/A N/A</v>
      </c>
      <c r="UY5" t="str">
        <f>_xll.BDS("PFC US Equity","SUPPLY_CHAIN_SUPPLIERS_ALL_DATA")</f>
        <v>#N/A N/A</v>
      </c>
      <c r="VM5" t="str">
        <f>_xll.BDS("PFC US Equity","SUPPLY_CHAIN_CUSTOMERS_ALL_DATA")</f>
        <v>#N/A N/A</v>
      </c>
    </row>
    <row r="6" spans="1:600" x14ac:dyDescent="0.25">
      <c r="DQ6" t="s">
        <v>2276</v>
      </c>
      <c r="DR6" t="s">
        <v>1822</v>
      </c>
      <c r="DS6">
        <v>0.18715699999999999</v>
      </c>
      <c r="DT6">
        <v>4.8605140000000002</v>
      </c>
      <c r="DU6" t="s">
        <v>1823</v>
      </c>
      <c r="DV6">
        <v>2026</v>
      </c>
      <c r="DW6" t="s">
        <v>2277</v>
      </c>
      <c r="DX6" s="6">
        <v>46048</v>
      </c>
      <c r="DY6">
        <v>5</v>
      </c>
      <c r="DZ6">
        <v>6980838.7699999996</v>
      </c>
      <c r="EA6">
        <v>114322</v>
      </c>
      <c r="EB6" t="s">
        <v>2278</v>
      </c>
      <c r="EE6" t="s">
        <v>2142</v>
      </c>
      <c r="EF6">
        <v>20.200001</v>
      </c>
      <c r="EG6" t="s">
        <v>1822</v>
      </c>
      <c r="EH6">
        <v>3.2188000000000001E-2</v>
      </c>
      <c r="EI6" t="s">
        <v>1810</v>
      </c>
      <c r="EJ6">
        <v>2025</v>
      </c>
      <c r="EK6" t="s">
        <v>2140</v>
      </c>
      <c r="EL6" s="6">
        <v>45961</v>
      </c>
      <c r="EM6">
        <v>5</v>
      </c>
      <c r="EN6">
        <v>42736000</v>
      </c>
      <c r="EO6">
        <v>101616</v>
      </c>
      <c r="EP6" t="s">
        <v>2143</v>
      </c>
      <c r="KO6" t="s">
        <v>2745</v>
      </c>
      <c r="KP6" t="s">
        <v>1822</v>
      </c>
      <c r="KQ6">
        <v>62</v>
      </c>
      <c r="KR6">
        <v>0.13159599999999999</v>
      </c>
      <c r="KS6" t="s">
        <v>1814</v>
      </c>
      <c r="KT6">
        <v>2024</v>
      </c>
      <c r="KU6" t="s">
        <v>2746</v>
      </c>
      <c r="KV6" s="6">
        <v>45716</v>
      </c>
      <c r="KW6">
        <v>5</v>
      </c>
      <c r="KX6">
        <v>8896845</v>
      </c>
      <c r="KY6">
        <v>104716</v>
      </c>
      <c r="KZ6" t="s">
        <v>2747</v>
      </c>
      <c r="LC6" t="s">
        <v>4298</v>
      </c>
      <c r="LD6">
        <v>-2.4245362661989844E-14</v>
      </c>
      <c r="LF6">
        <v>-2.4245362661989844E-14</v>
      </c>
      <c r="LG6" t="s">
        <v>1831</v>
      </c>
      <c r="LH6">
        <v>2023</v>
      </c>
      <c r="LI6" t="s">
        <v>4299</v>
      </c>
      <c r="LJ6" s="6">
        <v>45244</v>
      </c>
      <c r="LK6">
        <v>5</v>
      </c>
      <c r="LL6">
        <v>-2.4245362661989844E-14</v>
      </c>
      <c r="LM6">
        <v>54146828</v>
      </c>
      <c r="LN6" t="s">
        <v>4300</v>
      </c>
      <c r="LS6" t="s">
        <v>1884</v>
      </c>
      <c r="LT6" t="s">
        <v>1822</v>
      </c>
      <c r="LU6">
        <v>6.6266720000000001</v>
      </c>
      <c r="LV6">
        <v>6.8004179999999996</v>
      </c>
      <c r="LW6" t="s">
        <v>1810</v>
      </c>
      <c r="LX6">
        <v>2025</v>
      </c>
      <c r="LY6" t="s">
        <v>1885</v>
      </c>
      <c r="LZ6" s="6">
        <v>45867</v>
      </c>
      <c r="MA6">
        <v>5</v>
      </c>
      <c r="MB6">
        <v>518735872</v>
      </c>
      <c r="MC6">
        <v>117092</v>
      </c>
      <c r="MD6" t="s">
        <v>1886</v>
      </c>
      <c r="MG6" t="s">
        <v>1872</v>
      </c>
      <c r="MH6">
        <v>15.549336</v>
      </c>
      <c r="MI6" t="s">
        <v>1822</v>
      </c>
      <c r="MJ6">
        <v>4.6186980000000002</v>
      </c>
      <c r="MK6" t="s">
        <v>1810</v>
      </c>
      <c r="ML6">
        <v>2025</v>
      </c>
      <c r="MM6" t="s">
        <v>2034</v>
      </c>
      <c r="MN6" s="6">
        <v>46018</v>
      </c>
      <c r="MO6">
        <v>5</v>
      </c>
      <c r="MP6">
        <v>3730752256</v>
      </c>
      <c r="MQ6">
        <v>156969</v>
      </c>
      <c r="MR6" t="s">
        <v>1874</v>
      </c>
      <c r="PE6" t="s">
        <v>4362</v>
      </c>
      <c r="PF6" t="s">
        <v>1822</v>
      </c>
      <c r="PG6">
        <v>0.31279600000000002</v>
      </c>
      <c r="PH6">
        <v>0.32251000000000002</v>
      </c>
      <c r="PI6" t="s">
        <v>1806</v>
      </c>
      <c r="PJ6">
        <v>2026</v>
      </c>
      <c r="PK6" t="s">
        <v>4363</v>
      </c>
      <c r="PL6" s="6">
        <v>45987</v>
      </c>
      <c r="PM6">
        <v>5</v>
      </c>
      <c r="PN6">
        <v>24152694.91</v>
      </c>
      <c r="PO6">
        <v>7847241</v>
      </c>
      <c r="PP6" t="s">
        <v>4364</v>
      </c>
      <c r="PS6" t="s">
        <v>4333</v>
      </c>
      <c r="PT6">
        <v>0.69614900000000002</v>
      </c>
      <c r="PU6" t="s">
        <v>1822</v>
      </c>
      <c r="PV6">
        <v>1.845674</v>
      </c>
      <c r="PW6" t="s">
        <v>1823</v>
      </c>
      <c r="PX6">
        <v>2025</v>
      </c>
      <c r="PY6" t="s">
        <v>4334</v>
      </c>
      <c r="PZ6" s="6">
        <v>45870</v>
      </c>
      <c r="QA6">
        <v>5</v>
      </c>
      <c r="QB6">
        <v>58866388</v>
      </c>
      <c r="QC6">
        <v>100787</v>
      </c>
      <c r="QD6" t="s">
        <v>4335</v>
      </c>
      <c r="SQ6" t="s">
        <v>2753</v>
      </c>
      <c r="SR6" t="s">
        <v>1822</v>
      </c>
      <c r="SS6">
        <v>7.5620000000000001E-3</v>
      </c>
      <c r="ST6">
        <v>3.5623000000000002E-2</v>
      </c>
      <c r="SU6" t="s">
        <v>1823</v>
      </c>
      <c r="SV6">
        <v>2025</v>
      </c>
      <c r="SW6" t="s">
        <v>2754</v>
      </c>
      <c r="SX6" s="6">
        <v>45950</v>
      </c>
      <c r="SY6">
        <v>5</v>
      </c>
      <c r="SZ6">
        <v>75490.25</v>
      </c>
      <c r="TA6">
        <v>22262012</v>
      </c>
      <c r="TB6" t="s">
        <v>2755</v>
      </c>
      <c r="TE6" t="s">
        <v>1849</v>
      </c>
      <c r="TF6">
        <v>0.759884</v>
      </c>
      <c r="TG6" t="s">
        <v>1822</v>
      </c>
      <c r="TH6">
        <v>1.2630000000000001E-2</v>
      </c>
      <c r="TI6" t="s">
        <v>1827</v>
      </c>
      <c r="TJ6">
        <v>2025</v>
      </c>
      <c r="TK6" t="s">
        <v>1850</v>
      </c>
      <c r="TL6" s="6">
        <v>46056</v>
      </c>
      <c r="TM6">
        <v>5</v>
      </c>
      <c r="TN6">
        <v>2044088</v>
      </c>
      <c r="TO6">
        <v>1499717</v>
      </c>
      <c r="TP6" t="s">
        <v>1851</v>
      </c>
    </row>
    <row r="7" spans="1:600" x14ac:dyDescent="0.25">
      <c r="DQ7" t="s">
        <v>2279</v>
      </c>
      <c r="DR7" t="s">
        <v>1822</v>
      </c>
      <c r="DS7">
        <v>1.0279999999999999E-2</v>
      </c>
      <c r="DT7">
        <v>0.49318499999999998</v>
      </c>
      <c r="DU7" t="s">
        <v>1823</v>
      </c>
      <c r="DV7">
        <v>2025</v>
      </c>
      <c r="DW7" t="s">
        <v>2280</v>
      </c>
      <c r="DX7" s="6">
        <v>45918</v>
      </c>
      <c r="DY7">
        <v>5</v>
      </c>
      <c r="DZ7">
        <v>394898</v>
      </c>
      <c r="EA7">
        <v>101397</v>
      </c>
      <c r="EB7" t="s">
        <v>2281</v>
      </c>
      <c r="EE7" t="s">
        <v>2100</v>
      </c>
      <c r="EF7">
        <v>10.6</v>
      </c>
      <c r="EG7" t="s">
        <v>1822</v>
      </c>
      <c r="EH7">
        <v>2.2419000000000001E-2</v>
      </c>
      <c r="EI7" t="s">
        <v>1814</v>
      </c>
      <c r="EJ7">
        <v>2024</v>
      </c>
      <c r="EK7" t="s">
        <v>2144</v>
      </c>
      <c r="EL7" s="6">
        <v>45722</v>
      </c>
      <c r="EM7">
        <v>5</v>
      </c>
      <c r="EN7">
        <v>18287250</v>
      </c>
      <c r="EO7">
        <v>216952</v>
      </c>
      <c r="EP7" t="s">
        <v>2101</v>
      </c>
      <c r="KO7" t="s">
        <v>2748</v>
      </c>
      <c r="KP7" t="s">
        <v>1893</v>
      </c>
      <c r="KQ7">
        <v>6.4</v>
      </c>
      <c r="KR7">
        <v>3.3217000000000003E-2</v>
      </c>
      <c r="KS7" t="s">
        <v>1814</v>
      </c>
      <c r="KT7">
        <v>2024</v>
      </c>
      <c r="KU7" t="s">
        <v>2749</v>
      </c>
      <c r="KV7" s="6">
        <v>45754</v>
      </c>
      <c r="KW7">
        <v>5</v>
      </c>
      <c r="KX7">
        <v>2255408</v>
      </c>
      <c r="KY7">
        <v>65193455</v>
      </c>
      <c r="KZ7" t="s">
        <v>2750</v>
      </c>
      <c r="LC7" t="s">
        <v>4301</v>
      </c>
      <c r="LD7">
        <v>-2.4245362661989844E-14</v>
      </c>
      <c r="LF7">
        <v>-2.4245362661989844E-14</v>
      </c>
      <c r="LG7" t="s">
        <v>1814</v>
      </c>
      <c r="LH7">
        <v>2021</v>
      </c>
      <c r="LI7" t="s">
        <v>4302</v>
      </c>
      <c r="LJ7" s="6">
        <v>44694</v>
      </c>
      <c r="LK7">
        <v>5</v>
      </c>
      <c r="LL7">
        <v>-2.4245362661989844E-14</v>
      </c>
      <c r="LM7">
        <v>17392177</v>
      </c>
      <c r="LN7" t="s">
        <v>4303</v>
      </c>
      <c r="LS7" t="s">
        <v>1899</v>
      </c>
      <c r="LT7" t="s">
        <v>1822</v>
      </c>
      <c r="LU7">
        <v>1.3419449999999999</v>
      </c>
      <c r="LV7">
        <v>2.7987500000000001</v>
      </c>
      <c r="LW7" t="s">
        <v>1827</v>
      </c>
      <c r="LX7">
        <v>2025</v>
      </c>
      <c r="LY7" t="s">
        <v>1900</v>
      </c>
      <c r="LZ7" s="6">
        <v>46077</v>
      </c>
      <c r="MA7">
        <v>5</v>
      </c>
      <c r="MB7">
        <v>223004416</v>
      </c>
      <c r="MC7">
        <v>28046509</v>
      </c>
      <c r="MD7" t="s">
        <v>1901</v>
      </c>
      <c r="MG7" t="s">
        <v>1474</v>
      </c>
      <c r="MH7">
        <v>12.373919000000001</v>
      </c>
      <c r="MI7" t="s">
        <v>1822</v>
      </c>
      <c r="MJ7">
        <v>4.81257</v>
      </c>
      <c r="MK7" t="s">
        <v>1810</v>
      </c>
      <c r="ML7">
        <v>2025</v>
      </c>
      <c r="MM7" t="s">
        <v>2034</v>
      </c>
      <c r="MN7" s="6">
        <v>46018</v>
      </c>
      <c r="MO7">
        <v>5</v>
      </c>
      <c r="MP7">
        <v>2968874496</v>
      </c>
      <c r="MQ7">
        <v>102782</v>
      </c>
      <c r="MR7" t="s">
        <v>2035</v>
      </c>
      <c r="PE7" t="s">
        <v>4365</v>
      </c>
      <c r="PF7" t="s">
        <v>1822</v>
      </c>
      <c r="PG7">
        <v>2.2668499999999998</v>
      </c>
      <c r="PH7">
        <v>0.17769299999999999</v>
      </c>
      <c r="PI7" t="s">
        <v>1810</v>
      </c>
      <c r="PJ7">
        <v>2025</v>
      </c>
      <c r="PK7" t="s">
        <v>4366</v>
      </c>
      <c r="PL7" s="6">
        <v>46029</v>
      </c>
      <c r="PM7">
        <v>5</v>
      </c>
      <c r="PN7">
        <v>13030194</v>
      </c>
      <c r="PO7">
        <v>100711</v>
      </c>
      <c r="PP7" t="s">
        <v>4367</v>
      </c>
      <c r="PS7" t="s">
        <v>2022</v>
      </c>
      <c r="PT7">
        <v>8.4847000000000006E-2</v>
      </c>
      <c r="PU7" t="s">
        <v>1822</v>
      </c>
      <c r="PV7">
        <v>6.4387E-2</v>
      </c>
      <c r="PW7" t="s">
        <v>1823</v>
      </c>
      <c r="PX7">
        <v>2025</v>
      </c>
      <c r="PY7" t="s">
        <v>2023</v>
      </c>
      <c r="PZ7" s="6">
        <v>45876</v>
      </c>
      <c r="QA7">
        <v>5</v>
      </c>
      <c r="QB7">
        <v>7174643</v>
      </c>
      <c r="QC7">
        <v>100285</v>
      </c>
      <c r="QD7" t="s">
        <v>2024</v>
      </c>
      <c r="SQ7" t="s">
        <v>3162</v>
      </c>
      <c r="SS7">
        <v>-2.4245362661989844E-14</v>
      </c>
      <c r="ST7">
        <v>-2.4245362661989844E-14</v>
      </c>
      <c r="SU7" t="s">
        <v>1814</v>
      </c>
      <c r="SV7">
        <v>2021</v>
      </c>
      <c r="SW7" t="s">
        <v>3163</v>
      </c>
      <c r="SX7" s="6">
        <v>44679</v>
      </c>
      <c r="SY7">
        <v>5</v>
      </c>
      <c r="SZ7">
        <v>-2.4245362661989844E-14</v>
      </c>
      <c r="TA7">
        <v>12237925</v>
      </c>
      <c r="TB7" t="s">
        <v>3164</v>
      </c>
      <c r="TE7" t="s">
        <v>1840</v>
      </c>
      <c r="TF7">
        <v>0.39695200000000003</v>
      </c>
      <c r="TG7" t="s">
        <v>1822</v>
      </c>
      <c r="TH7">
        <v>2.4049999999999998E-2</v>
      </c>
      <c r="TI7" t="s">
        <v>1806</v>
      </c>
      <c r="TJ7">
        <v>2025</v>
      </c>
      <c r="TK7" t="s">
        <v>1841</v>
      </c>
      <c r="TL7" s="6">
        <v>45820</v>
      </c>
      <c r="TM7">
        <v>5</v>
      </c>
      <c r="TN7">
        <v>980470</v>
      </c>
      <c r="TO7">
        <v>12129192</v>
      </c>
      <c r="TP7" t="s">
        <v>1842</v>
      </c>
    </row>
    <row r="8" spans="1:600" x14ac:dyDescent="0.25">
      <c r="DQ8" t="s">
        <v>2282</v>
      </c>
      <c r="DR8" t="s">
        <v>1822</v>
      </c>
      <c r="DS8">
        <v>1.2619999999999999E-2</v>
      </c>
      <c r="DT8">
        <v>0.26336700000000002</v>
      </c>
      <c r="DU8" t="s">
        <v>1806</v>
      </c>
      <c r="DV8">
        <v>2026</v>
      </c>
      <c r="DW8" t="s">
        <v>2283</v>
      </c>
      <c r="DX8" s="6">
        <v>45884</v>
      </c>
      <c r="DY8">
        <v>5</v>
      </c>
      <c r="DZ8">
        <v>210880</v>
      </c>
      <c r="EA8">
        <v>103678</v>
      </c>
      <c r="EB8" t="s">
        <v>2284</v>
      </c>
      <c r="EE8" t="s">
        <v>2145</v>
      </c>
      <c r="EF8">
        <v>1.608409</v>
      </c>
      <c r="EG8" t="s">
        <v>1822</v>
      </c>
      <c r="EH8">
        <v>9.5600000000000008E-3</v>
      </c>
      <c r="EI8" t="s">
        <v>1810</v>
      </c>
      <c r="EJ8">
        <v>2024</v>
      </c>
      <c r="EK8" t="s">
        <v>2146</v>
      </c>
      <c r="EL8" s="6">
        <v>45680</v>
      </c>
      <c r="EM8">
        <v>5</v>
      </c>
      <c r="EN8">
        <v>5172740</v>
      </c>
      <c r="EO8">
        <v>101758</v>
      </c>
      <c r="EP8" t="s">
        <v>2147</v>
      </c>
      <c r="KO8" t="s">
        <v>279</v>
      </c>
      <c r="KP8" t="s">
        <v>1949</v>
      </c>
      <c r="KQ8">
        <v>0.39252500000000001</v>
      </c>
      <c r="KR8">
        <v>0.173516</v>
      </c>
      <c r="KS8" t="s">
        <v>1823</v>
      </c>
      <c r="KT8">
        <v>2025</v>
      </c>
      <c r="KU8" t="s">
        <v>2751</v>
      </c>
      <c r="KV8" s="6">
        <v>45867</v>
      </c>
      <c r="KW8">
        <v>5</v>
      </c>
      <c r="KX8">
        <v>865843</v>
      </c>
      <c r="KY8">
        <v>55299068</v>
      </c>
      <c r="KZ8" t="s">
        <v>2752</v>
      </c>
      <c r="LC8" t="s">
        <v>4304</v>
      </c>
      <c r="LD8">
        <v>-2.4245362661989844E-14</v>
      </c>
      <c r="LF8">
        <v>-2.4245362661989844E-14</v>
      </c>
      <c r="LG8" t="s">
        <v>1814</v>
      </c>
      <c r="LH8">
        <v>2024</v>
      </c>
      <c r="LI8" t="s">
        <v>4305</v>
      </c>
      <c r="LJ8" s="6">
        <v>45772</v>
      </c>
      <c r="LK8">
        <v>5</v>
      </c>
      <c r="LL8">
        <v>-2.4245362661989844E-14</v>
      </c>
      <c r="LM8">
        <v>7610249</v>
      </c>
      <c r="LN8" t="s">
        <v>4306</v>
      </c>
      <c r="LS8" t="s">
        <v>1902</v>
      </c>
      <c r="LT8" t="s">
        <v>1822</v>
      </c>
      <c r="LU8">
        <v>49.056618</v>
      </c>
      <c r="LV8">
        <v>2.3797060000000001</v>
      </c>
      <c r="LW8" t="s">
        <v>1810</v>
      </c>
      <c r="LX8">
        <v>2025</v>
      </c>
      <c r="LY8" t="s">
        <v>1903</v>
      </c>
      <c r="LZ8" s="6">
        <v>46050</v>
      </c>
      <c r="MA8">
        <v>5</v>
      </c>
      <c r="MB8">
        <v>173789936</v>
      </c>
      <c r="MC8">
        <v>1753841</v>
      </c>
      <c r="MD8" t="s">
        <v>1904</v>
      </c>
      <c r="MG8" t="s">
        <v>1878</v>
      </c>
      <c r="MH8">
        <v>2.966253</v>
      </c>
      <c r="MI8" t="s">
        <v>1822</v>
      </c>
      <c r="MJ8">
        <v>1.12304</v>
      </c>
      <c r="MK8" t="s">
        <v>1810</v>
      </c>
      <c r="ML8">
        <v>2025</v>
      </c>
      <c r="MM8" t="s">
        <v>2034</v>
      </c>
      <c r="MN8" s="6">
        <v>46018</v>
      </c>
      <c r="MO8">
        <v>5</v>
      </c>
      <c r="MP8">
        <v>711693056</v>
      </c>
      <c r="MQ8">
        <v>60401289</v>
      </c>
      <c r="MR8" t="s">
        <v>1879</v>
      </c>
      <c r="PE8" t="s">
        <v>4368</v>
      </c>
      <c r="PF8" t="s">
        <v>1822</v>
      </c>
      <c r="PG8">
        <v>2.0115419999999999</v>
      </c>
      <c r="PH8">
        <v>0.17267299999999999</v>
      </c>
      <c r="PI8" t="s">
        <v>1823</v>
      </c>
      <c r="PJ8">
        <v>2025</v>
      </c>
      <c r="PK8" t="s">
        <v>4369</v>
      </c>
      <c r="PL8" s="6">
        <v>45967</v>
      </c>
      <c r="PM8">
        <v>5</v>
      </c>
      <c r="PN8">
        <v>12545691.76</v>
      </c>
      <c r="PO8">
        <v>111410</v>
      </c>
      <c r="PP8" t="s">
        <v>4370</v>
      </c>
      <c r="PS8" t="s">
        <v>4336</v>
      </c>
      <c r="PT8">
        <v>-2.4245362661989844E-14</v>
      </c>
      <c r="PV8">
        <v>-2.4245362661989844E-14</v>
      </c>
      <c r="PW8" t="s">
        <v>1814</v>
      </c>
      <c r="PX8">
        <v>2024</v>
      </c>
      <c r="PY8" t="s">
        <v>4337</v>
      </c>
      <c r="PZ8" s="6">
        <v>45733</v>
      </c>
      <c r="QA8">
        <v>5</v>
      </c>
      <c r="QB8">
        <v>-2.4245362661989844E-14</v>
      </c>
      <c r="QC8">
        <v>12375031</v>
      </c>
      <c r="QD8" t="s">
        <v>4338</v>
      </c>
      <c r="SQ8" t="s">
        <v>3165</v>
      </c>
      <c r="SS8">
        <v>-2.4245362661989844E-14</v>
      </c>
      <c r="ST8">
        <v>-2.4245362661989844E-14</v>
      </c>
      <c r="SU8" t="s">
        <v>1831</v>
      </c>
      <c r="SV8">
        <v>2025</v>
      </c>
      <c r="SW8" t="s">
        <v>3166</v>
      </c>
      <c r="SX8" s="6">
        <v>45975</v>
      </c>
      <c r="SY8">
        <v>5</v>
      </c>
      <c r="SZ8">
        <v>-2.4245362661989844E-14</v>
      </c>
      <c r="TA8">
        <v>17469696</v>
      </c>
      <c r="TB8" t="s">
        <v>3167</v>
      </c>
      <c r="TE8" t="s">
        <v>2036</v>
      </c>
      <c r="TF8">
        <v>0.14593400000000001</v>
      </c>
      <c r="TG8" t="s">
        <v>1822</v>
      </c>
      <c r="TH8">
        <v>1.9580000000000001E-3</v>
      </c>
      <c r="TI8" t="s">
        <v>1823</v>
      </c>
      <c r="TJ8">
        <v>2025</v>
      </c>
      <c r="TK8" t="s">
        <v>2037</v>
      </c>
      <c r="TL8" s="6">
        <v>45919</v>
      </c>
      <c r="TM8">
        <v>5</v>
      </c>
      <c r="TN8">
        <v>383653.78</v>
      </c>
      <c r="TO8">
        <v>115268</v>
      </c>
      <c r="TP8" t="s">
        <v>2038</v>
      </c>
    </row>
    <row r="9" spans="1:600" x14ac:dyDescent="0.25">
      <c r="DQ9" t="s">
        <v>2285</v>
      </c>
      <c r="DR9" t="s">
        <v>1822</v>
      </c>
      <c r="DS9">
        <v>8.9390000000000008E-3</v>
      </c>
      <c r="DT9">
        <v>0.154612</v>
      </c>
      <c r="DU9" t="s">
        <v>1827</v>
      </c>
      <c r="DV9">
        <v>2024</v>
      </c>
      <c r="DW9" t="s">
        <v>2286</v>
      </c>
      <c r="DX9" s="6">
        <v>45771</v>
      </c>
      <c r="DY9">
        <v>5</v>
      </c>
      <c r="DZ9">
        <v>147172</v>
      </c>
      <c r="EA9">
        <v>100950</v>
      </c>
      <c r="EB9" t="s">
        <v>2287</v>
      </c>
      <c r="EE9" t="s">
        <v>2148</v>
      </c>
      <c r="EF9">
        <v>0.948071</v>
      </c>
      <c r="EG9" t="s">
        <v>1822</v>
      </c>
      <c r="EH9">
        <v>5.8362999999999998E-2</v>
      </c>
      <c r="EI9" t="s">
        <v>1810</v>
      </c>
      <c r="EJ9">
        <v>2024</v>
      </c>
      <c r="EK9" t="s">
        <v>2146</v>
      </c>
      <c r="EL9" s="6">
        <v>45680</v>
      </c>
      <c r="EM9">
        <v>5</v>
      </c>
      <c r="EN9">
        <v>3049053</v>
      </c>
      <c r="EO9">
        <v>159765</v>
      </c>
      <c r="EP9" t="s">
        <v>2149</v>
      </c>
      <c r="KO9" t="s">
        <v>2753</v>
      </c>
      <c r="KP9" t="s">
        <v>1822</v>
      </c>
      <c r="KQ9">
        <v>7.4130000000000003E-3</v>
      </c>
      <c r="KR9">
        <v>1.016E-3</v>
      </c>
      <c r="KS9" t="s">
        <v>1823</v>
      </c>
      <c r="KT9">
        <v>2025</v>
      </c>
      <c r="KU9" t="s">
        <v>2754</v>
      </c>
      <c r="KV9" s="6">
        <v>45950</v>
      </c>
      <c r="KW9">
        <v>5</v>
      </c>
      <c r="KX9">
        <v>74003.360000000001</v>
      </c>
      <c r="KY9">
        <v>22262012</v>
      </c>
      <c r="KZ9" t="s">
        <v>2755</v>
      </c>
      <c r="LC9" t="s">
        <v>2493</v>
      </c>
      <c r="LD9">
        <v>-2.4245362661989844E-14</v>
      </c>
      <c r="LF9">
        <v>-2.4245362661989844E-14</v>
      </c>
      <c r="LG9" t="s">
        <v>1814</v>
      </c>
      <c r="LH9">
        <v>2023</v>
      </c>
      <c r="LI9" t="s">
        <v>2494</v>
      </c>
      <c r="LJ9" s="6">
        <v>45027</v>
      </c>
      <c r="LK9">
        <v>5</v>
      </c>
      <c r="LL9">
        <v>-2.4245362661989844E-14</v>
      </c>
      <c r="LM9">
        <v>1096220</v>
      </c>
      <c r="LN9" t="s">
        <v>2495</v>
      </c>
      <c r="LS9" t="s">
        <v>1905</v>
      </c>
      <c r="LT9" t="s">
        <v>1822</v>
      </c>
      <c r="LU9">
        <v>1.017503</v>
      </c>
      <c r="LV9">
        <v>1.621964</v>
      </c>
      <c r="LW9" t="s">
        <v>1823</v>
      </c>
      <c r="LX9">
        <v>2025</v>
      </c>
      <c r="LY9" t="s">
        <v>1906</v>
      </c>
      <c r="LZ9" s="6">
        <v>45929</v>
      </c>
      <c r="MA9">
        <v>5</v>
      </c>
      <c r="MB9">
        <v>123835292.08</v>
      </c>
      <c r="MC9">
        <v>115679</v>
      </c>
      <c r="MD9" t="s">
        <v>1907</v>
      </c>
      <c r="MG9" t="s">
        <v>2036</v>
      </c>
      <c r="MH9">
        <v>2.108371</v>
      </c>
      <c r="MI9" t="s">
        <v>1822</v>
      </c>
      <c r="MJ9">
        <v>2.5571009999999998</v>
      </c>
      <c r="MK9" t="s">
        <v>1823</v>
      </c>
      <c r="ML9">
        <v>2025</v>
      </c>
      <c r="MM9" t="s">
        <v>2037</v>
      </c>
      <c r="MN9" s="6">
        <v>45919</v>
      </c>
      <c r="MO9">
        <v>5</v>
      </c>
      <c r="MP9">
        <v>501043244.87</v>
      </c>
      <c r="MQ9">
        <v>115268</v>
      </c>
      <c r="MR9" t="s">
        <v>2038</v>
      </c>
      <c r="PE9" t="s">
        <v>4201</v>
      </c>
      <c r="PF9" t="s">
        <v>1822</v>
      </c>
      <c r="PG9">
        <v>0.296794</v>
      </c>
      <c r="PH9">
        <v>0.145179</v>
      </c>
      <c r="PI9" t="s">
        <v>1810</v>
      </c>
      <c r="PJ9">
        <v>2025</v>
      </c>
      <c r="PK9" t="s">
        <v>4202</v>
      </c>
      <c r="PL9" s="6">
        <v>45993</v>
      </c>
      <c r="PM9">
        <v>5</v>
      </c>
      <c r="PN9">
        <v>10646001</v>
      </c>
      <c r="PO9">
        <v>100415</v>
      </c>
      <c r="PP9" t="s">
        <v>4203</v>
      </c>
      <c r="PS9" t="s">
        <v>4158</v>
      </c>
      <c r="PT9">
        <v>-2.4245362661989844E-14</v>
      </c>
      <c r="PV9">
        <v>-2.4245362661989844E-14</v>
      </c>
      <c r="PW9" t="s">
        <v>1814</v>
      </c>
      <c r="PX9">
        <v>2025</v>
      </c>
      <c r="PY9" t="s">
        <v>4339</v>
      </c>
      <c r="PZ9" s="6">
        <v>45987</v>
      </c>
      <c r="QA9">
        <v>5</v>
      </c>
      <c r="QB9">
        <v>-2.4245362661989844E-14</v>
      </c>
      <c r="QC9">
        <v>18736743</v>
      </c>
      <c r="QD9" t="s">
        <v>4159</v>
      </c>
      <c r="SQ9" t="s">
        <v>3168</v>
      </c>
      <c r="SS9">
        <v>-2.4245362661989844E-14</v>
      </c>
      <c r="ST9">
        <v>-2.4245362661989844E-14</v>
      </c>
      <c r="SU9" t="s">
        <v>1814</v>
      </c>
      <c r="SV9">
        <v>2021</v>
      </c>
      <c r="SW9" t="s">
        <v>3169</v>
      </c>
      <c r="SX9" s="6">
        <v>44728</v>
      </c>
      <c r="SY9">
        <v>5</v>
      </c>
      <c r="SZ9">
        <v>-2.4245362661989844E-14</v>
      </c>
      <c r="TA9">
        <v>866835</v>
      </c>
      <c r="TB9" t="s">
        <v>3170</v>
      </c>
      <c r="TE9" t="s">
        <v>2085</v>
      </c>
      <c r="TF9">
        <v>0.117287</v>
      </c>
      <c r="TG9" t="s">
        <v>1822</v>
      </c>
      <c r="TH9">
        <v>5.5309999999999998E-2</v>
      </c>
      <c r="TI9" t="s">
        <v>1810</v>
      </c>
      <c r="TJ9">
        <v>2025</v>
      </c>
      <c r="TK9" t="s">
        <v>2768</v>
      </c>
      <c r="TL9" s="6">
        <v>46034</v>
      </c>
      <c r="TM9">
        <v>5</v>
      </c>
      <c r="TN9">
        <v>315501</v>
      </c>
      <c r="TO9">
        <v>313021</v>
      </c>
      <c r="TP9" t="s">
        <v>2087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406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407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408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409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410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411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412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413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414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415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416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417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418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419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420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421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422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423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424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425</v>
      </c>
      <c r="AE2" s="3" t="s">
        <v>426</v>
      </c>
      <c r="BI2" s="3" t="s">
        <v>427</v>
      </c>
      <c r="CM2" s="3" t="s">
        <v>428</v>
      </c>
      <c r="DQ2" s="3" t="s">
        <v>429</v>
      </c>
      <c r="EU2" s="3" t="s">
        <v>430</v>
      </c>
      <c r="FY2" s="3" t="s">
        <v>431</v>
      </c>
      <c r="HC2" s="3" t="s">
        <v>432</v>
      </c>
      <c r="IG2" s="3" t="s">
        <v>433</v>
      </c>
      <c r="JK2" s="3" t="s">
        <v>434</v>
      </c>
      <c r="KO2" s="3" t="s">
        <v>435</v>
      </c>
      <c r="LS2" s="3" t="s">
        <v>436</v>
      </c>
      <c r="MW2" s="3" t="s">
        <v>437</v>
      </c>
      <c r="OA2" s="3" t="s">
        <v>438</v>
      </c>
      <c r="PE2" s="3" t="s">
        <v>439</v>
      </c>
      <c r="QI2" s="3" t="s">
        <v>440</v>
      </c>
      <c r="RM2" s="3" t="s">
        <v>441</v>
      </c>
      <c r="SQ2" s="3" t="s">
        <v>442</v>
      </c>
      <c r="TU2" s="3" t="s">
        <v>197</v>
      </c>
      <c r="UY2" s="3" t="s">
        <v>443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_xll.BDS("AEGN US Equity","SUPPLY_CHAIN_SUPPLIERS_ALL_DATA","cols=12;rows=5")</f>
        <v>AEE US Equity</v>
      </c>
      <c r="C5">
        <v>-2.4245362661989844E-14</v>
      </c>
      <c r="D5">
        <v>-2.4245362661989844E-14</v>
      </c>
      <c r="E5" t="s">
        <v>1814</v>
      </c>
      <c r="F5">
        <v>2021</v>
      </c>
      <c r="G5" t="s">
        <v>2040</v>
      </c>
      <c r="H5" s="6">
        <v>44693</v>
      </c>
      <c r="I5">
        <v>5</v>
      </c>
      <c r="J5">
        <v>-2.4245362661989844E-14</v>
      </c>
      <c r="K5">
        <v>313098</v>
      </c>
      <c r="L5" t="s">
        <v>2041</v>
      </c>
      <c r="O5" t="str">
        <f>_xll.BDS("AEGN US Equity","SUPPLY_CHAIN_CUSTOMERS_ALL_DATA")</f>
        <v>#N/A N/A</v>
      </c>
      <c r="AE5" t="str">
        <f>_xll.BDS("PBIP US Equity","SUPPLY_CHAIN_SUPPLIERS_ALL_DATA")</f>
        <v>#N/A N/A</v>
      </c>
      <c r="AS5" t="str">
        <f>_xll.BDS("PBIP US Equity","SUPPLY_CHAIN_CUSTOMERS_ALL_DATA")</f>
        <v>#N/A N/A</v>
      </c>
      <c r="BI5" t="str">
        <f>_xll.BDS("AYTU US Equity","SUPPLY_CHAIN_SUPPLIERS_ALL_DATA","cols=12;rows=1")</f>
        <v>91061Z US Equity</v>
      </c>
      <c r="BK5">
        <v>-2.4245362661989844E-14</v>
      </c>
      <c r="BL5">
        <v>-2.4245362661989844E-14</v>
      </c>
      <c r="BM5" t="s">
        <v>1814</v>
      </c>
      <c r="BN5">
        <v>2024</v>
      </c>
      <c r="BO5" t="s">
        <v>3269</v>
      </c>
      <c r="BP5" s="6">
        <v>45810</v>
      </c>
      <c r="BQ5">
        <v>1</v>
      </c>
      <c r="BR5">
        <v>-2.4245362661989844E-14</v>
      </c>
      <c r="BS5">
        <v>910247</v>
      </c>
      <c r="BT5" t="s">
        <v>3270</v>
      </c>
      <c r="BW5" t="str">
        <f>_xll.BDS("AYTU US Equity","SUPPLY_CHAIN_CUSTOMERS_ALL_DATA","cols=12;rows=2")</f>
        <v>LPC IN Equity</v>
      </c>
      <c r="BX5">
        <v>-2.4245362661989844E-14</v>
      </c>
      <c r="BZ5">
        <v>-2.4245362661989844E-14</v>
      </c>
      <c r="CA5" t="s">
        <v>1814</v>
      </c>
      <c r="CB5">
        <v>2024</v>
      </c>
      <c r="CC5" t="s">
        <v>3269</v>
      </c>
      <c r="CD5" s="6">
        <v>45810</v>
      </c>
      <c r="CE5">
        <v>2</v>
      </c>
      <c r="CF5">
        <v>-2.4245362661989844E-14</v>
      </c>
      <c r="CG5">
        <v>178044</v>
      </c>
      <c r="CH5" t="s">
        <v>3447</v>
      </c>
      <c r="CM5" t="str">
        <f>_xll.BDS("DCLK US Equity","SUPPLY_CHAIN_SUPPLIERS_ALL_DATA")</f>
        <v>#N/A N/A</v>
      </c>
      <c r="DA5" t="str">
        <f>_xll.BDS("DCLK US Equity","SUPPLY_CHAIN_CUSTOMERS_ALL_DATA")</f>
        <v>#N/A N/A</v>
      </c>
      <c r="DQ5" t="str">
        <f>_xll.BDS("PMRY US Equity","SUPPLY_CHAIN_SUPPLIERS_ALL_DATA")</f>
        <v>#N/A N/A</v>
      </c>
      <c r="EE5" t="str">
        <f>_xll.BDS("PMRY US Equity","SUPPLY_CHAIN_CUSTOMERS_ALL_DATA")</f>
        <v>#N/A N/A</v>
      </c>
      <c r="EU5" t="str">
        <f>_xll.BDS("DRTE US Equity","SUPPLY_CHAIN_SUPPLIERS_ALL_DATA")</f>
        <v>#N/A N/A</v>
      </c>
      <c r="FI5" t="str">
        <f>_xll.BDS("DRTE US Equity","SUPPLY_CHAIN_CUSTOMERS_ALL_DATA")</f>
        <v>#N/A N/A</v>
      </c>
      <c r="FY5" t="str">
        <f>_xll.BDS("PEBO US Equity","SUPPLY_CHAIN_SUPPLIERS_ALL_DATA")</f>
        <v>#N/A N/A</v>
      </c>
      <c r="GM5" t="str">
        <f>_xll.BDS("PEBO US Equity","SUPPLY_CHAIN_CUSTOMERS_ALL_DATA")</f>
        <v>#N/A N/A</v>
      </c>
      <c r="HC5" t="str">
        <f>_xll.BDS("FCNB US Equity","SUPPLY_CHAIN_SUPPLIERS_ALL_DATA")</f>
        <v>#N/A N/A</v>
      </c>
      <c r="HQ5" t="str">
        <f>_xll.BDS("FCNB US Equity","SUPPLY_CHAIN_CUSTOMERS_ALL_DATA")</f>
        <v>#N/A N/A</v>
      </c>
      <c r="IG5" t="str">
        <f>_xll.BDS("KROL US Equity","SUPPLY_CHAIN_SUPPLIERS_ALL_DATA","cols=12;rows=1")</f>
        <v>COL SM Equity</v>
      </c>
      <c r="II5">
        <v>-2.4245362661989844E-14</v>
      </c>
      <c r="IJ5">
        <v>-2.4245362661989844E-14</v>
      </c>
      <c r="IK5" t="s">
        <v>1810</v>
      </c>
      <c r="IL5">
        <v>2022</v>
      </c>
      <c r="IM5" t="s">
        <v>2430</v>
      </c>
      <c r="IN5" s="6">
        <v>44881</v>
      </c>
      <c r="IO5">
        <v>1</v>
      </c>
      <c r="IP5">
        <v>-2.4245362661989844E-14</v>
      </c>
      <c r="IQ5">
        <v>127115</v>
      </c>
      <c r="IR5" t="s">
        <v>2431</v>
      </c>
      <c r="IU5" t="str">
        <f>_xll.BDS("KROL US Equity","SUPPLY_CHAIN_CUSTOMERS_ALL_DATA","cols=12;rows=1")</f>
        <v>BHILQ US Equity</v>
      </c>
      <c r="IV5">
        <v>-2.4245362661989844E-14</v>
      </c>
      <c r="IX5">
        <v>-2.4245362661989844E-14</v>
      </c>
      <c r="IY5" t="s">
        <v>1827</v>
      </c>
      <c r="IZ5">
        <v>2024</v>
      </c>
      <c r="JA5" t="s">
        <v>2106</v>
      </c>
      <c r="JB5" s="6">
        <v>45736</v>
      </c>
      <c r="JC5">
        <v>1</v>
      </c>
      <c r="JD5">
        <v>-2.4245362661989844E-14</v>
      </c>
      <c r="JE5">
        <v>69378547</v>
      </c>
      <c r="JF5" t="s">
        <v>2107</v>
      </c>
      <c r="JK5" t="str">
        <f>_xll.BDS("BANC US Equity","SUPPLY_CHAIN_SUPPLIERS_ALL_DATA","cols=12;rows=2")</f>
        <v>003490 KS Equity</v>
      </c>
      <c r="JM5">
        <v>-2.4245362661989844E-14</v>
      </c>
      <c r="JN5">
        <v>-2.4245362661989844E-14</v>
      </c>
      <c r="JO5" t="s">
        <v>1831</v>
      </c>
      <c r="JP5">
        <v>2024</v>
      </c>
      <c r="JQ5" t="s">
        <v>2898</v>
      </c>
      <c r="JR5" s="6">
        <v>45610</v>
      </c>
      <c r="JS5">
        <v>2</v>
      </c>
      <c r="JT5">
        <v>-2.4245362661989844E-14</v>
      </c>
      <c r="JU5">
        <v>129220</v>
      </c>
      <c r="JV5" t="s">
        <v>2899</v>
      </c>
      <c r="JY5" t="str">
        <f>_xll.BDS("BANC US Equity","SUPPLY_CHAIN_CUSTOMERS_ALL_DATA","cols=12;rows=1")</f>
        <v>SNX US Equity</v>
      </c>
      <c r="JZ5">
        <v>-2.4245362661989844E-14</v>
      </c>
      <c r="KB5">
        <v>-2.4245362661989844E-14</v>
      </c>
      <c r="KC5" t="s">
        <v>1814</v>
      </c>
      <c r="KD5">
        <v>2021</v>
      </c>
      <c r="KE5" t="s">
        <v>3957</v>
      </c>
      <c r="KF5" s="6">
        <v>44656</v>
      </c>
      <c r="KG5">
        <v>1</v>
      </c>
      <c r="KH5">
        <v>-2.4245362661989844E-14</v>
      </c>
      <c r="KI5">
        <v>1499717</v>
      </c>
      <c r="KJ5" t="s">
        <v>1851</v>
      </c>
      <c r="KO5" t="str">
        <f>_xll.BDS("FNB US Equity","SUPPLY_CHAIN_SUPPLIERS_ALL_DATA")</f>
        <v>HY US Equity</v>
      </c>
      <c r="LC5" t="str">
        <f>_xll.BDS("FNB US Equity","SUPPLY_CHAIN_CUSTOMERS_ALL_DATA")</f>
        <v>#N/A N/A</v>
      </c>
      <c r="LS5" t="str">
        <f>_xll.BDS("BKS US Equity","SUPPLY_CHAIN_SUPPLIERS_ALL_DATA","cols=12;rows=5")</f>
        <v>KIM US Equity</v>
      </c>
      <c r="LU5">
        <v>0.41771900000000001</v>
      </c>
      <c r="LV5">
        <v>-2.4245362661989844E-14</v>
      </c>
      <c r="LW5" t="s">
        <v>1814</v>
      </c>
      <c r="LX5">
        <v>2024</v>
      </c>
      <c r="LY5" t="s">
        <v>3366</v>
      </c>
      <c r="LZ5" s="6">
        <v>45695</v>
      </c>
      <c r="MA5">
        <v>5</v>
      </c>
      <c r="MB5">
        <v>2127250</v>
      </c>
      <c r="MC5">
        <v>70771731</v>
      </c>
      <c r="MD5" t="s">
        <v>3367</v>
      </c>
      <c r="MG5" t="str">
        <f>_xll.BDS("BKS US Equity","SUPPLY_CHAIN_CUSTOMERS_ALL_DATA","cols=12;rows=1")</f>
        <v>SNX US Equity</v>
      </c>
      <c r="MH5">
        <v>-2.4245362661989844E-14</v>
      </c>
      <c r="MJ5">
        <v>-2.4245362661989844E-14</v>
      </c>
      <c r="MK5" t="s">
        <v>1814</v>
      </c>
      <c r="ML5">
        <v>2021</v>
      </c>
      <c r="MM5" t="s">
        <v>3957</v>
      </c>
      <c r="MN5" s="6">
        <v>44656</v>
      </c>
      <c r="MO5">
        <v>1</v>
      </c>
      <c r="MP5">
        <v>-2.4245362661989844E-14</v>
      </c>
      <c r="MQ5">
        <v>1499717</v>
      </c>
      <c r="MR5" t="s">
        <v>1851</v>
      </c>
      <c r="MW5" t="str">
        <f>_xll.BDS("2714244Q US Equity","SUPPLY_CHAIN_SUPPLIERS_ALL_DATA")</f>
        <v>#N/A N/A</v>
      </c>
      <c r="NK5" t="str">
        <f>_xll.BDS("2714244Q US Equity","SUPPLY_CHAIN_CUSTOMERS_ALL_DATA")</f>
        <v>#N/A N/A</v>
      </c>
      <c r="OA5" t="str">
        <f>_xll.BDS("NCOG US Equity","SUPPLY_CHAIN_SUPPLIERS_ALL_DATA")</f>
        <v>#N/A N/A</v>
      </c>
      <c r="OO5" t="str">
        <f>_xll.BDS("NCOG US Equity","SUPPLY_CHAIN_CUSTOMERS_ALL_DATA")</f>
        <v>#N/A N/A</v>
      </c>
      <c r="PE5" t="str">
        <f>_xll.BDS("RBNC US Equity","SUPPLY_CHAIN_SUPPLIERS_ALL_DATA")</f>
        <v>#N/A N/A</v>
      </c>
      <c r="PS5" t="str">
        <f>_xll.BDS("RBNC US Equity","SUPPLY_CHAIN_CUSTOMERS_ALL_DATA")</f>
        <v>#N/A N/A</v>
      </c>
      <c r="QI5" t="str">
        <f>_xll.BDS("INDB US Equity","SUPPLY_CHAIN_SUPPLIERS_ALL_DATA")</f>
        <v>#N/A N/A</v>
      </c>
      <c r="QW5" t="str">
        <f>_xll.BDS("INDB US Equity","SUPPLY_CHAIN_CUSTOMERS_ALL_DATA")</f>
        <v>#N/A N/A</v>
      </c>
      <c r="RM5" t="str">
        <f>_xll.BDS("AMNB US Equity","SUPPLY_CHAIN_SUPPLIERS_ALL_DATA")</f>
        <v>#N/A N/A</v>
      </c>
      <c r="SA5" t="str">
        <f>_xll.BDS("AMNB US Equity","SUPPLY_CHAIN_CUSTOMERS_ALL_DATA")</f>
        <v>#N/A N/A</v>
      </c>
      <c r="SQ5" t="str">
        <f>_xll.BDS("1683351D US Equity","SUPPLY_CHAIN_SUPPLIERS_ALL_DATA")</f>
        <v>#N/A N/A</v>
      </c>
      <c r="TE5" t="str">
        <f>_xll.BDS("1683351D US Equity","SUPPLY_CHAIN_CUSTOMERS_ALL_DATA")</f>
        <v>#N/A N/A</v>
      </c>
      <c r="TU5" t="str">
        <f>_xll.BDS("IEP US Equity","SUPPLY_CHAIN_SUPPLIERS_ALL_DATA","cols=12;rows=5")</f>
        <v>SMP US Equity</v>
      </c>
      <c r="TV5" t="s">
        <v>1822</v>
      </c>
      <c r="TW5">
        <v>0.58005099999999998</v>
      </c>
      <c r="TX5">
        <v>0.126083</v>
      </c>
      <c r="TY5" t="s">
        <v>1823</v>
      </c>
      <c r="TZ5">
        <v>2025</v>
      </c>
      <c r="UA5" t="s">
        <v>3384</v>
      </c>
      <c r="UB5" s="6">
        <v>45908</v>
      </c>
      <c r="UC5">
        <v>5</v>
      </c>
      <c r="UD5">
        <v>2864599</v>
      </c>
      <c r="UE5">
        <v>101392</v>
      </c>
      <c r="UF5" t="s">
        <v>3385</v>
      </c>
      <c r="UI5" t="str">
        <f>_xll.BDS("IEP US Equity","SUPPLY_CHAIN_CUSTOMERS_ALL_DATA","cols=12;rows=2")</f>
        <v>FMGI IN Equity</v>
      </c>
      <c r="UJ5">
        <v>-2.4245362661989844E-14</v>
      </c>
      <c r="UL5">
        <v>-2.4245362661989844E-14</v>
      </c>
      <c r="UM5" t="s">
        <v>1814</v>
      </c>
      <c r="UN5">
        <v>2023</v>
      </c>
      <c r="UO5" t="s">
        <v>3903</v>
      </c>
      <c r="UP5" s="6">
        <v>45076</v>
      </c>
      <c r="UQ5">
        <v>2</v>
      </c>
      <c r="UR5">
        <v>-2.4245362661989844E-14</v>
      </c>
      <c r="US5">
        <v>174503</v>
      </c>
      <c r="UT5" t="s">
        <v>3904</v>
      </c>
      <c r="UY5" t="str">
        <f>_xll.BDS("IRF US Equity","SUPPLY_CHAIN_SUPPLIERS_ALL_DATA")</f>
        <v>#N/A N/A</v>
      </c>
      <c r="VM5" t="str">
        <f>_xll.BDS("IRF US Equity","SUPPLY_CHAIN_CUSTOMERS_ALL_DATA")</f>
        <v>#N/A N/A</v>
      </c>
    </row>
    <row r="6" spans="1:600" x14ac:dyDescent="0.25">
      <c r="A6" t="s">
        <v>2042</v>
      </c>
      <c r="C6">
        <v>-2.4245362661989844E-14</v>
      </c>
      <c r="D6">
        <v>-2.4245362661989844E-14</v>
      </c>
      <c r="E6" t="s">
        <v>1814</v>
      </c>
      <c r="F6">
        <v>2021</v>
      </c>
      <c r="G6" t="s">
        <v>2043</v>
      </c>
      <c r="H6" s="6">
        <v>44693</v>
      </c>
      <c r="I6">
        <v>5</v>
      </c>
      <c r="J6">
        <v>-2.4245362661989844E-14</v>
      </c>
      <c r="K6">
        <v>100060</v>
      </c>
      <c r="L6" t="s">
        <v>2044</v>
      </c>
      <c r="BW6" t="s">
        <v>3448</v>
      </c>
      <c r="BX6">
        <v>-2.4245362661989844E-14</v>
      </c>
      <c r="BZ6">
        <v>-2.4245362661989844E-14</v>
      </c>
      <c r="CA6" t="s">
        <v>1814</v>
      </c>
      <c r="CB6">
        <v>2024</v>
      </c>
      <c r="CC6" t="s">
        <v>3269</v>
      </c>
      <c r="CD6" s="6">
        <v>45810</v>
      </c>
      <c r="CE6">
        <v>2</v>
      </c>
      <c r="CF6">
        <v>-2.4245362661989844E-14</v>
      </c>
      <c r="CG6">
        <v>107244</v>
      </c>
      <c r="CH6" t="s">
        <v>3449</v>
      </c>
      <c r="JK6" t="s">
        <v>2065</v>
      </c>
      <c r="JM6">
        <v>-2.4245362661989844E-14</v>
      </c>
      <c r="JN6">
        <v>-2.4245362661989844E-14</v>
      </c>
      <c r="JO6" t="s">
        <v>1810</v>
      </c>
      <c r="JP6">
        <v>2025</v>
      </c>
      <c r="JQ6" t="s">
        <v>2900</v>
      </c>
      <c r="JR6" s="6">
        <v>45966</v>
      </c>
      <c r="JS6">
        <v>2</v>
      </c>
      <c r="JT6">
        <v>-2.4245362661989844E-14</v>
      </c>
      <c r="JU6">
        <v>46286147</v>
      </c>
      <c r="JV6" t="s">
        <v>2067</v>
      </c>
      <c r="LS6" t="s">
        <v>2187</v>
      </c>
      <c r="LU6">
        <v>0.43573800000000001</v>
      </c>
      <c r="LV6">
        <v>-2.4245362661989844E-14</v>
      </c>
      <c r="LW6" t="s">
        <v>1814</v>
      </c>
      <c r="LX6">
        <v>2024</v>
      </c>
      <c r="LY6" t="s">
        <v>2188</v>
      </c>
      <c r="LZ6" s="6">
        <v>45698</v>
      </c>
      <c r="MA6">
        <v>5</v>
      </c>
      <c r="MB6">
        <v>1422500</v>
      </c>
      <c r="MC6">
        <v>24112045</v>
      </c>
      <c r="MD6" t="s">
        <v>2189</v>
      </c>
      <c r="TU6" t="s">
        <v>3386</v>
      </c>
      <c r="TV6" t="s">
        <v>1822</v>
      </c>
      <c r="TW6">
        <v>3.8052999999999997E-2</v>
      </c>
      <c r="TX6">
        <v>3.3156999999999999E-2</v>
      </c>
      <c r="TY6" t="s">
        <v>1823</v>
      </c>
      <c r="TZ6">
        <v>2025</v>
      </c>
      <c r="UA6" t="s">
        <v>3387</v>
      </c>
      <c r="UB6" s="6">
        <v>45954</v>
      </c>
      <c r="UC6">
        <v>5</v>
      </c>
      <c r="UD6">
        <v>753034.07</v>
      </c>
      <c r="UE6">
        <v>114817</v>
      </c>
      <c r="UF6" t="s">
        <v>3388</v>
      </c>
      <c r="UI6" t="s">
        <v>3905</v>
      </c>
      <c r="UJ6">
        <v>-2.4245362661989844E-14</v>
      </c>
      <c r="UL6">
        <v>-2.4245362661989844E-14</v>
      </c>
      <c r="UM6" t="s">
        <v>1814</v>
      </c>
      <c r="UN6">
        <v>2022</v>
      </c>
      <c r="UO6" t="s">
        <v>3906</v>
      </c>
      <c r="UP6" s="6">
        <v>44994</v>
      </c>
      <c r="UQ6">
        <v>2</v>
      </c>
      <c r="UR6">
        <v>-2.4245362661989844E-14</v>
      </c>
      <c r="US6">
        <v>10498790</v>
      </c>
      <c r="UT6" t="s">
        <v>3907</v>
      </c>
    </row>
    <row r="7" spans="1:600" x14ac:dyDescent="0.25">
      <c r="A7" t="s">
        <v>2363</v>
      </c>
      <c r="C7">
        <v>-2.4245362661989844E-14</v>
      </c>
      <c r="D7">
        <v>-2.4245362661989844E-14</v>
      </c>
      <c r="E7" t="s">
        <v>1814</v>
      </c>
      <c r="F7">
        <v>2021</v>
      </c>
      <c r="G7" t="s">
        <v>2364</v>
      </c>
      <c r="H7" s="6">
        <v>44693</v>
      </c>
      <c r="I7">
        <v>5</v>
      </c>
      <c r="J7">
        <v>-2.4245362661989844E-14</v>
      </c>
      <c r="K7">
        <v>100760</v>
      </c>
      <c r="L7" t="s">
        <v>2365</v>
      </c>
      <c r="LS7" t="s">
        <v>3368</v>
      </c>
      <c r="LU7">
        <v>0.85</v>
      </c>
      <c r="LV7">
        <v>-2.4245362661989844E-14</v>
      </c>
      <c r="LW7" t="s">
        <v>1814</v>
      </c>
      <c r="LX7">
        <v>2024</v>
      </c>
      <c r="LY7" t="s">
        <v>3369</v>
      </c>
      <c r="LZ7" s="6">
        <v>45719</v>
      </c>
      <c r="MA7">
        <v>5</v>
      </c>
      <c r="MB7">
        <v>1095567.25</v>
      </c>
      <c r="MC7">
        <v>126294</v>
      </c>
      <c r="MD7" t="s">
        <v>3370</v>
      </c>
      <c r="TU7" t="s">
        <v>3389</v>
      </c>
      <c r="TV7" t="s">
        <v>1822</v>
      </c>
      <c r="TW7">
        <v>8.6390000000000008E-3</v>
      </c>
      <c r="TX7">
        <v>2.8081999999999999E-2</v>
      </c>
      <c r="TY7" t="s">
        <v>1823</v>
      </c>
      <c r="TZ7">
        <v>2025</v>
      </c>
      <c r="UA7" t="s">
        <v>3390</v>
      </c>
      <c r="UB7" s="6">
        <v>45951</v>
      </c>
      <c r="UC7">
        <v>5</v>
      </c>
      <c r="UD7">
        <v>637757.78</v>
      </c>
      <c r="UE7">
        <v>115439</v>
      </c>
      <c r="UF7" t="s">
        <v>3391</v>
      </c>
    </row>
    <row r="8" spans="1:600" x14ac:dyDescent="0.25">
      <c r="A8" t="s">
        <v>2272</v>
      </c>
      <c r="C8">
        <v>-2.4245362661989844E-14</v>
      </c>
      <c r="D8">
        <v>-2.4245362661989844E-14</v>
      </c>
      <c r="E8" t="s">
        <v>1814</v>
      </c>
      <c r="F8">
        <v>2021</v>
      </c>
      <c r="G8" t="s">
        <v>2273</v>
      </c>
      <c r="H8" s="6">
        <v>44693</v>
      </c>
      <c r="I8">
        <v>5</v>
      </c>
      <c r="J8">
        <v>-2.4245362661989844E-14</v>
      </c>
      <c r="K8">
        <v>101315</v>
      </c>
      <c r="L8" t="s">
        <v>2274</v>
      </c>
      <c r="LS8" t="s">
        <v>3371</v>
      </c>
      <c r="LU8">
        <v>0.88563700000000001</v>
      </c>
      <c r="LV8">
        <v>-2.4245362661989844E-14</v>
      </c>
      <c r="LW8" t="s">
        <v>1810</v>
      </c>
      <c r="LX8">
        <v>2025</v>
      </c>
      <c r="LY8" t="s">
        <v>3372</v>
      </c>
      <c r="LZ8" s="6">
        <v>45958</v>
      </c>
      <c r="MA8">
        <v>5</v>
      </c>
      <c r="MB8">
        <v>334390</v>
      </c>
      <c r="MC8">
        <v>69243428</v>
      </c>
      <c r="MD8" t="s">
        <v>3373</v>
      </c>
      <c r="TU8" t="s">
        <v>3392</v>
      </c>
      <c r="TV8" t="s">
        <v>1822</v>
      </c>
      <c r="TW8">
        <v>3.1126000000000001E-2</v>
      </c>
      <c r="TX8">
        <v>3.6621000000000001E-2</v>
      </c>
      <c r="TY8" t="s">
        <v>1810</v>
      </c>
      <c r="TZ8">
        <v>2025</v>
      </c>
      <c r="UA8" t="s">
        <v>3393</v>
      </c>
      <c r="UB8" s="6">
        <v>45974</v>
      </c>
      <c r="UC8">
        <v>5</v>
      </c>
      <c r="UD8">
        <v>617178.78</v>
      </c>
      <c r="UE8">
        <v>128163</v>
      </c>
      <c r="UF8" t="s">
        <v>3394</v>
      </c>
    </row>
    <row r="9" spans="1:600" x14ac:dyDescent="0.25">
      <c r="A9" t="s">
        <v>2479</v>
      </c>
      <c r="C9">
        <v>-2.4245362661989844E-14</v>
      </c>
      <c r="D9">
        <v>-2.4245362661989844E-14</v>
      </c>
      <c r="E9" t="s">
        <v>1814</v>
      </c>
      <c r="F9">
        <v>2021</v>
      </c>
      <c r="G9" t="s">
        <v>2480</v>
      </c>
      <c r="H9" s="6">
        <v>44693</v>
      </c>
      <c r="I9">
        <v>5</v>
      </c>
      <c r="J9">
        <v>-2.4245362661989844E-14</v>
      </c>
      <c r="K9">
        <v>100532</v>
      </c>
      <c r="L9" t="s">
        <v>2481</v>
      </c>
      <c r="LS9" t="s">
        <v>3374</v>
      </c>
      <c r="LU9">
        <v>0.36544900000000002</v>
      </c>
      <c r="LV9">
        <v>-2.4245362661989844E-14</v>
      </c>
      <c r="LW9" t="s">
        <v>1814</v>
      </c>
      <c r="LX9">
        <v>2024</v>
      </c>
      <c r="LY9" t="s">
        <v>3375</v>
      </c>
      <c r="LZ9" s="6">
        <v>45715</v>
      </c>
      <c r="MA9">
        <v>5</v>
      </c>
      <c r="MB9">
        <v>253500</v>
      </c>
      <c r="MC9">
        <v>116906</v>
      </c>
      <c r="MD9" t="s">
        <v>3376</v>
      </c>
      <c r="TU9" t="s">
        <v>3395</v>
      </c>
      <c r="TV9" t="s">
        <v>1822</v>
      </c>
      <c r="TW9">
        <v>3.4840000000000001E-3</v>
      </c>
      <c r="TX9">
        <v>1.7006E-2</v>
      </c>
      <c r="TY9" t="s">
        <v>1827</v>
      </c>
      <c r="TZ9">
        <v>2024</v>
      </c>
      <c r="UA9" t="s">
        <v>3396</v>
      </c>
      <c r="UB9" s="6">
        <v>45740</v>
      </c>
      <c r="UC9">
        <v>5</v>
      </c>
      <c r="UD9">
        <v>375380.08</v>
      </c>
      <c r="UE9">
        <v>115688</v>
      </c>
      <c r="UF9" t="s">
        <v>3397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444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445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446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447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448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449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450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451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452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453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454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455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456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457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458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459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460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461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462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463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464</v>
      </c>
      <c r="AE2" s="3" t="s">
        <v>465</v>
      </c>
      <c r="BI2" s="3" t="s">
        <v>466</v>
      </c>
      <c r="CM2" s="3" t="s">
        <v>167</v>
      </c>
      <c r="DQ2" s="3" t="s">
        <v>170</v>
      </c>
      <c r="EU2" s="3" t="s">
        <v>467</v>
      </c>
      <c r="FY2" s="3" t="s">
        <v>468</v>
      </c>
      <c r="HC2" s="3" t="s">
        <v>469</v>
      </c>
      <c r="IG2" s="3" t="s">
        <v>470</v>
      </c>
      <c r="JK2" s="3" t="s">
        <v>471</v>
      </c>
      <c r="KO2" s="3" t="s">
        <v>472</v>
      </c>
      <c r="LS2" s="3" t="s">
        <v>473</v>
      </c>
      <c r="MW2" s="3" t="s">
        <v>474</v>
      </c>
      <c r="OA2" s="3" t="s">
        <v>475</v>
      </c>
      <c r="PE2" s="3" t="s">
        <v>476</v>
      </c>
      <c r="QI2" s="3" t="s">
        <v>477</v>
      </c>
      <c r="RM2" s="3" t="s">
        <v>478</v>
      </c>
      <c r="SQ2" s="3" t="s">
        <v>198</v>
      </c>
      <c r="TU2" s="3" t="s">
        <v>440</v>
      </c>
      <c r="UY2" s="3" t="s">
        <v>479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_xll.BDS("SRCL US Equity","SUPPLY_CHAIN_SUPPLIERS_ALL_DATA","cols=12;rows=5")</f>
        <v>AEE US Equity</v>
      </c>
      <c r="C5">
        <v>-2.4245362661989844E-14</v>
      </c>
      <c r="D5">
        <v>-2.4245362661989844E-14</v>
      </c>
      <c r="E5" t="s">
        <v>1814</v>
      </c>
      <c r="F5">
        <v>2021</v>
      </c>
      <c r="G5" t="s">
        <v>2040</v>
      </c>
      <c r="H5" s="6">
        <v>44693</v>
      </c>
      <c r="I5">
        <v>5</v>
      </c>
      <c r="J5">
        <v>-2.4245362661989844E-14</v>
      </c>
      <c r="K5">
        <v>313098</v>
      </c>
      <c r="L5" t="s">
        <v>2041</v>
      </c>
      <c r="O5" t="str">
        <f>_xll.BDS("SRCL US Equity","SUPPLY_CHAIN_CUSTOMERS_ALL_DATA")</f>
        <v>#N/A N/A</v>
      </c>
      <c r="AE5" t="str">
        <f>_xll.BDS("GSIC US Equity","SUPPLY_CHAIN_SUPPLIERS_ALL_DATA")</f>
        <v>#N/A N/A</v>
      </c>
      <c r="AS5" t="str">
        <f>_xll.BDS("GSIC US Equity","SUPPLY_CHAIN_CUSTOMERS_ALL_DATA")</f>
        <v>#N/A N/A</v>
      </c>
      <c r="BI5" t="str">
        <f>_xll.BDS("NEB US Equity","SUPPLY_CHAIN_SUPPLIERS_ALL_DATA")</f>
        <v>#N/A N/A</v>
      </c>
      <c r="BW5" t="str">
        <f>_xll.BDS("NEB US Equity","SUPPLY_CHAIN_CUSTOMERS_ALL_DATA")</f>
        <v>#N/A N/A</v>
      </c>
      <c r="CM5" t="str">
        <f>_xll.BDS("TTN US Equity","SUPPLY_CHAIN_SUPPLIERS_ALL_DATA")</f>
        <v>#N/A N/A</v>
      </c>
      <c r="DA5" t="str">
        <f>_xll.BDS("TTN US Equity","SUPPLY_CHAIN_CUSTOMERS_ALL_DATA")</f>
        <v>#N/A N/A</v>
      </c>
      <c r="DQ5" t="str">
        <f>_xll.BDS("PCBK US Equity","SUPPLY_CHAIN_SUPPLIERS_ALL_DATA")</f>
        <v>#N/A N/A</v>
      </c>
      <c r="EE5" t="str">
        <f>_xll.BDS("PCBK US Equity","SUPPLY_CHAIN_CUSTOMERS_ALL_DATA")</f>
        <v>#N/A N/A</v>
      </c>
      <c r="EU5" t="str">
        <f>_xll.BDS("PACW US Equity","SUPPLY_CHAIN_SUPPLIERS_ALL_DATA")</f>
        <v>#N/A N/A</v>
      </c>
      <c r="FI5" t="str">
        <f>_xll.BDS("PACW US Equity","SUPPLY_CHAIN_CUSTOMERS_ALL_DATA")</f>
        <v>SNX US Equity</v>
      </c>
      <c r="FY5" t="str">
        <f>_xll.BDS("MCOAQ US Equity","SUPPLY_CHAIN_SUPPLIERS_ALL_DATA")</f>
        <v>#N/A N/A</v>
      </c>
      <c r="GM5" t="str">
        <f>_xll.BDS("MCOAQ US Equity","SUPPLY_CHAIN_CUSTOMERS_ALL_DATA")</f>
        <v>#N/A N/A</v>
      </c>
      <c r="HC5" t="str">
        <f>_xll.BDS("DRS US Equity","SUPPLY_CHAIN_SUPPLIERS_ALL_DATA")</f>
        <v>#N/A N/A</v>
      </c>
      <c r="HQ5" t="str">
        <f>_xll.BDS("DRS US Equity","SUPPLY_CHAIN_CUSTOMERS_ALL_DATA","cols=12;rows=5")</f>
        <v>3352Z US Equity</v>
      </c>
      <c r="HR5">
        <v>81</v>
      </c>
      <c r="HT5">
        <v>-2.4245362661989844E-14</v>
      </c>
      <c r="HU5" t="s">
        <v>1810</v>
      </c>
      <c r="HV5">
        <v>2025</v>
      </c>
      <c r="HW5" t="s">
        <v>2011</v>
      </c>
      <c r="HX5" s="6">
        <v>45959</v>
      </c>
      <c r="HY5">
        <v>5</v>
      </c>
      <c r="HZ5">
        <v>777600000</v>
      </c>
      <c r="IA5">
        <v>218252</v>
      </c>
      <c r="IB5" t="s">
        <v>2012</v>
      </c>
      <c r="IG5" t="str">
        <f>_xll.BDS("RRD US Equity","SUPPLY_CHAIN_SUPPLIERS_ALL_DATA","cols=12;rows=5")</f>
        <v>FNOVA17 MM Equity</v>
      </c>
      <c r="II5">
        <v>1.2</v>
      </c>
      <c r="IJ5">
        <v>-2.4245362661989844E-14</v>
      </c>
      <c r="IK5" t="s">
        <v>1814</v>
      </c>
      <c r="IL5">
        <v>2024</v>
      </c>
      <c r="IM5" t="s">
        <v>3128</v>
      </c>
      <c r="IN5" s="6">
        <v>45698</v>
      </c>
      <c r="IO5">
        <v>5</v>
      </c>
      <c r="IP5">
        <v>218270.92</v>
      </c>
      <c r="IQ5">
        <v>13706960</v>
      </c>
      <c r="IR5" t="s">
        <v>3129</v>
      </c>
      <c r="IU5" t="str">
        <f>_xll.BDS("RRD US Equity","SUPPLY_CHAIN_CUSTOMERS_ALL_DATA","cols=12;rows=5")</f>
        <v>1646058D US Equity</v>
      </c>
      <c r="IV5">
        <v>-2.4245362661989844E-14</v>
      </c>
      <c r="IX5">
        <v>-2.4245362661989844E-14</v>
      </c>
      <c r="IY5" t="s">
        <v>1814</v>
      </c>
      <c r="IZ5">
        <v>2024</v>
      </c>
      <c r="JA5" t="s">
        <v>4048</v>
      </c>
      <c r="JB5" s="6">
        <v>45348</v>
      </c>
      <c r="JC5">
        <v>5</v>
      </c>
      <c r="JD5">
        <v>-2.4245362661989844E-14</v>
      </c>
      <c r="JE5">
        <v>47365286</v>
      </c>
      <c r="JF5" t="s">
        <v>4049</v>
      </c>
      <c r="JK5" t="str">
        <f>_xll.BDS("CSBC US Equity","SUPPLY_CHAIN_SUPPLIERS_ALL_DATA")</f>
        <v>#N/A N/A</v>
      </c>
      <c r="JY5" t="str">
        <f>_xll.BDS("CSBC US Equity","SUPPLY_CHAIN_CUSTOMERS_ALL_DATA")</f>
        <v>#N/A N/A</v>
      </c>
      <c r="KO5" t="str">
        <f>_xll.BDS("UCBHQ US Equity","SUPPLY_CHAIN_SUPPLIERS_ALL_DATA")</f>
        <v>#N/A N/A</v>
      </c>
      <c r="LC5" t="str">
        <f>_xll.BDS("UCBHQ US Equity","SUPPLY_CHAIN_CUSTOMERS_ALL_DATA")</f>
        <v>#N/A N/A</v>
      </c>
      <c r="LS5" t="str">
        <f>_xll.BDS("FLXS US Equity","SUPPLY_CHAIN_SUPPLIERS_ALL_DATA","cols=12;rows=5")</f>
        <v>CULP US Equity</v>
      </c>
      <c r="LT5" t="s">
        <v>1822</v>
      </c>
      <c r="LU5">
        <v>1.188577</v>
      </c>
      <c r="LV5">
        <v>0.65402800000000005</v>
      </c>
      <c r="LW5" t="s">
        <v>1827</v>
      </c>
      <c r="LX5">
        <v>2025</v>
      </c>
      <c r="LY5" t="s">
        <v>3969</v>
      </c>
      <c r="LZ5" s="6">
        <v>45862</v>
      </c>
      <c r="MA5">
        <v>5</v>
      </c>
      <c r="MB5">
        <v>579705</v>
      </c>
      <c r="MC5">
        <v>103234</v>
      </c>
      <c r="MD5" t="s">
        <v>3970</v>
      </c>
      <c r="MG5" t="str">
        <f>_xll.BDS("FLXS US Equity","SUPPLY_CHAIN_CUSTOMERS_ALL_DATA","cols=12;rows=2")</f>
        <v>COST US Equity</v>
      </c>
      <c r="MH5">
        <v>-2.4245362661989844E-14</v>
      </c>
      <c r="MJ5">
        <v>-2.4245362661989844E-14</v>
      </c>
      <c r="MK5" t="s">
        <v>1823</v>
      </c>
      <c r="ML5">
        <v>2024</v>
      </c>
      <c r="MM5" t="s">
        <v>3953</v>
      </c>
      <c r="MN5" s="6">
        <v>45359</v>
      </c>
      <c r="MO5">
        <v>2</v>
      </c>
      <c r="MP5">
        <v>-2.4245362661989844E-14</v>
      </c>
      <c r="MQ5">
        <v>101758</v>
      </c>
      <c r="MR5" t="s">
        <v>2147</v>
      </c>
      <c r="MW5" t="str">
        <f>_xll.BDS("WTTR US Equity","SUPPLY_CHAIN_SUPPLIERS_ALL_DATA","cols=12;rows=1")</f>
        <v>GNL US Equity</v>
      </c>
      <c r="MY5">
        <v>-2.4245362661989844E-14</v>
      </c>
      <c r="MZ5">
        <v>-2.4245362661989844E-14</v>
      </c>
      <c r="NA5" t="s">
        <v>1814</v>
      </c>
      <c r="NB5">
        <v>2023</v>
      </c>
      <c r="NC5" t="s">
        <v>2125</v>
      </c>
      <c r="ND5" s="6">
        <v>45350</v>
      </c>
      <c r="NE5">
        <v>1</v>
      </c>
      <c r="NF5">
        <v>-2.4245362661989844E-14</v>
      </c>
      <c r="NG5">
        <v>35300053</v>
      </c>
      <c r="NH5" t="s">
        <v>2126</v>
      </c>
      <c r="NK5" t="str">
        <f>_xll.BDS("WTTR US Equity","SUPPLY_CHAIN_CUSTOMERS_ALL_DATA","cols=12;rows=5")</f>
        <v>0069572D US Equity</v>
      </c>
      <c r="NL5">
        <v>-2.4245362661989844E-14</v>
      </c>
      <c r="NN5">
        <v>-2.4245362661989844E-14</v>
      </c>
      <c r="NO5" t="s">
        <v>1814</v>
      </c>
      <c r="NP5">
        <v>2024</v>
      </c>
      <c r="NQ5" t="s">
        <v>2088</v>
      </c>
      <c r="NR5" s="6">
        <v>45721</v>
      </c>
      <c r="NS5">
        <v>5</v>
      </c>
      <c r="NT5">
        <v>-2.4245362661989844E-14</v>
      </c>
      <c r="NU5">
        <v>25579198</v>
      </c>
      <c r="NV5" t="s">
        <v>2089</v>
      </c>
      <c r="OA5" t="str">
        <f>_xll.BDS("PVSA US Equity","SUPPLY_CHAIN_SUPPLIERS_ALL_DATA")</f>
        <v>#N/A N/A</v>
      </c>
      <c r="OO5" t="str">
        <f>_xll.BDS("PVSA US Equity","SUPPLY_CHAIN_CUSTOMERS_ALL_DATA")</f>
        <v>#N/A N/A</v>
      </c>
      <c r="PE5" t="str">
        <f>_xll.BDS("896649Q US Equity","SUPPLY_CHAIN_SUPPLIERS_ALL_DATA")</f>
        <v>#N/A N/A</v>
      </c>
      <c r="PS5" t="str">
        <f>_xll.BDS("896649Q US Equity","SUPPLY_CHAIN_CUSTOMERS_ALL_DATA")</f>
        <v>#N/A N/A</v>
      </c>
      <c r="QI5" t="str">
        <f>_xll.BDS("LLY US Equity","SUPPLY_CHAIN_SUPPLIERS_ALL_DATA","cols=12;rows=5")</f>
        <v>RIGL US Equity</v>
      </c>
      <c r="QJ5" t="s">
        <v>1822</v>
      </c>
      <c r="QK5">
        <v>39</v>
      </c>
      <c r="QL5">
        <v>1.782985</v>
      </c>
      <c r="QM5" t="s">
        <v>1823</v>
      </c>
      <c r="QN5">
        <v>2025</v>
      </c>
      <c r="QO5" t="s">
        <v>3329</v>
      </c>
      <c r="QP5" s="6">
        <v>45874</v>
      </c>
      <c r="QQ5">
        <v>5</v>
      </c>
      <c r="QR5">
        <v>39657152</v>
      </c>
      <c r="QS5">
        <v>1176875</v>
      </c>
      <c r="QT5" t="s">
        <v>3330</v>
      </c>
      <c r="QW5" t="str">
        <f>_xll.BDS("LLY US Equity","SUPPLY_CHAIN_CUSTOMERS_ALL_DATA","cols=12;rows=5")</f>
        <v>MCK US Equity</v>
      </c>
      <c r="QX5">
        <v>23.281113000000001</v>
      </c>
      <c r="QY5" t="s">
        <v>1822</v>
      </c>
      <c r="QZ5">
        <v>5.5350809999999999</v>
      </c>
      <c r="RA5" t="s">
        <v>1810</v>
      </c>
      <c r="RB5">
        <v>2025</v>
      </c>
      <c r="RC5" t="s">
        <v>3512</v>
      </c>
      <c r="RD5" s="6">
        <v>46041</v>
      </c>
      <c r="RE5">
        <v>5</v>
      </c>
      <c r="RF5">
        <v>4097661952</v>
      </c>
      <c r="RG5">
        <v>154936</v>
      </c>
      <c r="RH5" t="s">
        <v>1875</v>
      </c>
      <c r="RM5" t="str">
        <f>_xll.BDS("EPAY US Equity","SUPPLY_CHAIN_SUPPLIERS_ALL_DATA","cols=12;rows=3")</f>
        <v>COUP US Equity</v>
      </c>
      <c r="RO5">
        <v>-2.4245362661989844E-14</v>
      </c>
      <c r="RP5">
        <v>-2.4245362661989844E-14</v>
      </c>
      <c r="RQ5" t="s">
        <v>1814</v>
      </c>
      <c r="RR5">
        <v>2024</v>
      </c>
      <c r="RS5" t="s">
        <v>3173</v>
      </c>
      <c r="RT5" s="6">
        <v>45404</v>
      </c>
      <c r="RU5">
        <v>3</v>
      </c>
      <c r="RV5">
        <v>-2.4245362661989844E-14</v>
      </c>
      <c r="RW5">
        <v>24011191</v>
      </c>
      <c r="RX5" t="s">
        <v>3174</v>
      </c>
      <c r="SA5" t="str">
        <f>_xll.BDS("EPAY US Equity","SUPPLY_CHAIN_CUSTOMERS_ALL_DATA","cols=12;rows=2")</f>
        <v>EDEN FP Equity</v>
      </c>
      <c r="SB5">
        <v>-2.4245362661989844E-14</v>
      </c>
      <c r="SD5">
        <v>-2.4245362661989844E-14</v>
      </c>
      <c r="SE5" t="s">
        <v>1814</v>
      </c>
      <c r="SF5">
        <v>2025</v>
      </c>
      <c r="SG5" t="s">
        <v>3173</v>
      </c>
      <c r="SH5" s="6">
        <v>46036</v>
      </c>
      <c r="SI5">
        <v>2</v>
      </c>
      <c r="SJ5">
        <v>-2.4245362661989844E-14</v>
      </c>
      <c r="SK5">
        <v>10544329</v>
      </c>
      <c r="SL5" t="s">
        <v>4327</v>
      </c>
      <c r="SQ5" t="str">
        <f>_xll.BDS("MSFG US Equity","SUPPLY_CHAIN_SUPPLIERS_ALL_DATA")</f>
        <v>#N/A N/A</v>
      </c>
      <c r="TE5" t="str">
        <f>_xll.BDS("MSFG US Equity","SUPPLY_CHAIN_CUSTOMERS_ALL_DATA")</f>
        <v>#N/A N/A</v>
      </c>
      <c r="TU5" t="str">
        <f>_xll.BDS("INDB US Equity","SUPPLY_CHAIN_SUPPLIERS_ALL_DATA")</f>
        <v>#N/A N/A</v>
      </c>
      <c r="UI5" t="str">
        <f>_xll.BDS("INDB US Equity","SUPPLY_CHAIN_CUSTOMERS_ALL_DATA")</f>
        <v>#N/A N/A</v>
      </c>
      <c r="UY5" t="str">
        <f>_xll.BDS("TCFC US Equity","SUPPLY_CHAIN_SUPPLIERS_ALL_DATA")</f>
        <v>#N/A N/A</v>
      </c>
      <c r="VM5" t="str">
        <f>_xll.BDS("TCFC US Equity","SUPPLY_CHAIN_CUSTOMERS_ALL_DATA")</f>
        <v>#N/A N/A</v>
      </c>
    </row>
    <row r="6" spans="1:600" x14ac:dyDescent="0.25">
      <c r="A6" t="s">
        <v>2042</v>
      </c>
      <c r="C6">
        <v>-2.4245362661989844E-14</v>
      </c>
      <c r="D6">
        <v>-2.4245362661989844E-14</v>
      </c>
      <c r="E6" t="s">
        <v>1814</v>
      </c>
      <c r="F6">
        <v>2021</v>
      </c>
      <c r="G6" t="s">
        <v>2043</v>
      </c>
      <c r="H6" s="6">
        <v>44693</v>
      </c>
      <c r="I6">
        <v>5</v>
      </c>
      <c r="J6">
        <v>-2.4245362661989844E-14</v>
      </c>
      <c r="K6">
        <v>100060</v>
      </c>
      <c r="L6" t="s">
        <v>2044</v>
      </c>
      <c r="HQ6" t="s">
        <v>2013</v>
      </c>
      <c r="HR6">
        <v>0.897366</v>
      </c>
      <c r="HS6" t="s">
        <v>1822</v>
      </c>
      <c r="HT6">
        <v>5.1166000000000003E-2</v>
      </c>
      <c r="HU6" t="s">
        <v>1823</v>
      </c>
      <c r="HV6">
        <v>2025</v>
      </c>
      <c r="HW6" t="s">
        <v>2014</v>
      </c>
      <c r="HX6" s="6">
        <v>45947</v>
      </c>
      <c r="HY6">
        <v>5</v>
      </c>
      <c r="HZ6">
        <v>8803160</v>
      </c>
      <c r="IA6">
        <v>101555</v>
      </c>
      <c r="IB6" t="s">
        <v>2015</v>
      </c>
      <c r="IG6" t="s">
        <v>3130</v>
      </c>
      <c r="II6">
        <v>-2.4245362661989844E-14</v>
      </c>
      <c r="IJ6">
        <v>-2.4245362661989844E-14</v>
      </c>
      <c r="IK6" t="s">
        <v>1814</v>
      </c>
      <c r="IL6">
        <v>2022</v>
      </c>
      <c r="IM6" t="s">
        <v>3131</v>
      </c>
      <c r="IN6" s="6">
        <v>44693</v>
      </c>
      <c r="IO6">
        <v>5</v>
      </c>
      <c r="IP6">
        <v>-2.4245362661989844E-14</v>
      </c>
      <c r="IQ6">
        <v>113413</v>
      </c>
      <c r="IR6" t="s">
        <v>3132</v>
      </c>
      <c r="IU6" t="s">
        <v>4050</v>
      </c>
      <c r="IV6">
        <v>-2.4245362661989844E-14</v>
      </c>
      <c r="IX6">
        <v>-2.4245362661989844E-14</v>
      </c>
      <c r="IY6" t="s">
        <v>1814</v>
      </c>
      <c r="IZ6">
        <v>2025</v>
      </c>
      <c r="JA6" t="s">
        <v>4051</v>
      </c>
      <c r="JB6" s="6">
        <v>45777</v>
      </c>
      <c r="JC6">
        <v>5</v>
      </c>
      <c r="JD6">
        <v>-2.4245362661989844E-14</v>
      </c>
      <c r="JE6">
        <v>957754</v>
      </c>
      <c r="JF6" t="s">
        <v>4052</v>
      </c>
      <c r="LS6" t="s">
        <v>3127</v>
      </c>
      <c r="LT6" t="s">
        <v>1893</v>
      </c>
      <c r="LU6">
        <v>1.2</v>
      </c>
      <c r="LV6">
        <v>1.2573479999999999</v>
      </c>
      <c r="LW6" t="s">
        <v>1814</v>
      </c>
      <c r="LX6">
        <v>2024</v>
      </c>
      <c r="LY6" t="s">
        <v>3128</v>
      </c>
      <c r="LZ6" s="6">
        <v>45698</v>
      </c>
      <c r="MA6">
        <v>5</v>
      </c>
      <c r="MB6">
        <v>218270.92</v>
      </c>
      <c r="MC6">
        <v>13706960</v>
      </c>
      <c r="MD6" t="s">
        <v>3129</v>
      </c>
      <c r="MG6" t="s">
        <v>3954</v>
      </c>
      <c r="MH6">
        <v>-2.4245362661989844E-14</v>
      </c>
      <c r="MJ6">
        <v>-2.4245362661989844E-14</v>
      </c>
      <c r="MK6" t="s">
        <v>1810</v>
      </c>
      <c r="ML6">
        <v>2023</v>
      </c>
      <c r="MM6" t="s">
        <v>3955</v>
      </c>
      <c r="MN6" s="6">
        <v>45180</v>
      </c>
      <c r="MO6">
        <v>2</v>
      </c>
      <c r="MP6">
        <v>-2.4245362661989844E-14</v>
      </c>
      <c r="MQ6">
        <v>101666</v>
      </c>
      <c r="MR6" t="s">
        <v>3956</v>
      </c>
      <c r="NK6" t="s">
        <v>2090</v>
      </c>
      <c r="NL6">
        <v>-2.4245362661989844E-14</v>
      </c>
      <c r="NN6">
        <v>-2.4245362661989844E-14</v>
      </c>
      <c r="NO6" t="s">
        <v>1814</v>
      </c>
      <c r="NP6">
        <v>2024</v>
      </c>
      <c r="NQ6" t="s">
        <v>2088</v>
      </c>
      <c r="NR6" s="6">
        <v>45721</v>
      </c>
      <c r="NS6">
        <v>5</v>
      </c>
      <c r="NT6">
        <v>-2.4245362661989844E-14</v>
      </c>
      <c r="NU6">
        <v>21371895</v>
      </c>
      <c r="NV6" t="s">
        <v>2091</v>
      </c>
      <c r="QI6" t="s">
        <v>3331</v>
      </c>
      <c r="QJ6" t="s">
        <v>1822</v>
      </c>
      <c r="QK6">
        <v>2.8125499999999999</v>
      </c>
      <c r="QL6">
        <v>1.308325</v>
      </c>
      <c r="QM6" t="s">
        <v>1814</v>
      </c>
      <c r="QN6">
        <v>2025</v>
      </c>
      <c r="QO6" t="s">
        <v>3332</v>
      </c>
      <c r="QP6" s="6">
        <v>46063</v>
      </c>
      <c r="QQ6">
        <v>5</v>
      </c>
      <c r="QR6">
        <v>36150000</v>
      </c>
      <c r="QS6">
        <v>126255</v>
      </c>
      <c r="QT6" t="s">
        <v>3333</v>
      </c>
      <c r="QW6" t="s">
        <v>1872</v>
      </c>
      <c r="QX6">
        <v>22.163627999999999</v>
      </c>
      <c r="QY6" t="s">
        <v>1822</v>
      </c>
      <c r="QZ6">
        <v>4.8294360000000003</v>
      </c>
      <c r="RA6" t="s">
        <v>1810</v>
      </c>
      <c r="RB6">
        <v>2025</v>
      </c>
      <c r="RC6" t="s">
        <v>3512</v>
      </c>
      <c r="RD6" s="6">
        <v>46041</v>
      </c>
      <c r="RE6">
        <v>5</v>
      </c>
      <c r="RF6">
        <v>3900975616</v>
      </c>
      <c r="RG6">
        <v>156969</v>
      </c>
      <c r="RH6" t="s">
        <v>1874</v>
      </c>
      <c r="RM6" t="s">
        <v>3175</v>
      </c>
      <c r="RO6">
        <v>-2.4245362661989844E-14</v>
      </c>
      <c r="RP6">
        <v>-2.4245362661989844E-14</v>
      </c>
      <c r="RQ6" t="s">
        <v>1814</v>
      </c>
      <c r="RR6">
        <v>2025</v>
      </c>
      <c r="RS6" t="s">
        <v>3176</v>
      </c>
      <c r="RT6" s="6">
        <v>45853</v>
      </c>
      <c r="RU6">
        <v>3</v>
      </c>
      <c r="RV6">
        <v>-2.4245362661989844E-14</v>
      </c>
      <c r="RW6">
        <v>100470</v>
      </c>
      <c r="RX6" t="s">
        <v>3177</v>
      </c>
      <c r="SA6" t="s">
        <v>4328</v>
      </c>
      <c r="SB6">
        <v>-2.4245362661989844E-14</v>
      </c>
      <c r="SD6">
        <v>-2.4245362661989844E-14</v>
      </c>
      <c r="SE6" t="s">
        <v>1814</v>
      </c>
      <c r="SF6">
        <v>2023</v>
      </c>
      <c r="SG6" t="s">
        <v>4329</v>
      </c>
      <c r="SH6" s="6">
        <v>45048</v>
      </c>
      <c r="SI6">
        <v>2</v>
      </c>
      <c r="SJ6">
        <v>-2.4245362661989844E-14</v>
      </c>
      <c r="SK6">
        <v>307198</v>
      </c>
      <c r="SL6" t="s">
        <v>4330</v>
      </c>
    </row>
    <row r="7" spans="1:600" x14ac:dyDescent="0.25">
      <c r="A7" t="s">
        <v>2045</v>
      </c>
      <c r="C7">
        <v>-2.4245362661989844E-14</v>
      </c>
      <c r="D7">
        <v>-2.4245362661989844E-14</v>
      </c>
      <c r="E7" t="s">
        <v>1814</v>
      </c>
      <c r="F7">
        <v>2021</v>
      </c>
      <c r="G7" t="s">
        <v>2046</v>
      </c>
      <c r="H7" s="6">
        <v>44693</v>
      </c>
      <c r="I7">
        <v>5</v>
      </c>
      <c r="J7">
        <v>-2.4245362661989844E-14</v>
      </c>
      <c r="K7">
        <v>101690</v>
      </c>
      <c r="L7" t="s">
        <v>2047</v>
      </c>
      <c r="HQ7" t="s">
        <v>2016</v>
      </c>
      <c r="HR7">
        <v>0.82817600000000002</v>
      </c>
      <c r="HS7" t="s">
        <v>1822</v>
      </c>
      <c r="HT7">
        <v>4.6813E-2</v>
      </c>
      <c r="HU7" t="s">
        <v>1823</v>
      </c>
      <c r="HV7">
        <v>2025</v>
      </c>
      <c r="HW7" t="s">
        <v>2014</v>
      </c>
      <c r="HX7" s="6">
        <v>45947</v>
      </c>
      <c r="HY7">
        <v>5</v>
      </c>
      <c r="HZ7">
        <v>8124407</v>
      </c>
      <c r="IA7">
        <v>156923</v>
      </c>
      <c r="IB7" t="s">
        <v>2017</v>
      </c>
      <c r="IG7" t="s">
        <v>1892</v>
      </c>
      <c r="II7">
        <v>-2.4245362661989844E-14</v>
      </c>
      <c r="IJ7">
        <v>-2.4245362661989844E-14</v>
      </c>
      <c r="IK7" t="s">
        <v>1806</v>
      </c>
      <c r="IL7">
        <v>2024</v>
      </c>
      <c r="IM7" t="s">
        <v>3133</v>
      </c>
      <c r="IN7" s="6">
        <v>45365</v>
      </c>
      <c r="IO7">
        <v>5</v>
      </c>
      <c r="IP7">
        <v>-2.4245362661989844E-14</v>
      </c>
      <c r="IQ7">
        <v>101689</v>
      </c>
      <c r="IR7" t="s">
        <v>1895</v>
      </c>
      <c r="IU7" t="s">
        <v>4053</v>
      </c>
      <c r="IV7">
        <v>-2.4245362661989844E-14</v>
      </c>
      <c r="IX7">
        <v>-2.4245362661989844E-14</v>
      </c>
      <c r="IY7" t="s">
        <v>1814</v>
      </c>
      <c r="IZ7">
        <v>2025</v>
      </c>
      <c r="JA7" t="s">
        <v>4054</v>
      </c>
      <c r="JB7" s="6">
        <v>45833</v>
      </c>
      <c r="JC7">
        <v>5</v>
      </c>
      <c r="JD7">
        <v>-2.4245362661989844E-14</v>
      </c>
      <c r="JE7">
        <v>48550004</v>
      </c>
      <c r="JF7" t="s">
        <v>4055</v>
      </c>
      <c r="LS7" t="s">
        <v>3971</v>
      </c>
      <c r="LT7" t="s">
        <v>1822</v>
      </c>
      <c r="LU7">
        <v>8.3540000000000003E-3</v>
      </c>
      <c r="LV7">
        <v>0.13212099999999999</v>
      </c>
      <c r="LW7" t="s">
        <v>1806</v>
      </c>
      <c r="LX7">
        <v>2025</v>
      </c>
      <c r="LY7" t="s">
        <v>3972</v>
      </c>
      <c r="LZ7" s="6">
        <v>45849</v>
      </c>
      <c r="MA7">
        <v>5</v>
      </c>
      <c r="MB7">
        <v>117106</v>
      </c>
      <c r="MC7">
        <v>368063</v>
      </c>
      <c r="MD7" t="s">
        <v>3973</v>
      </c>
      <c r="NK7" t="s">
        <v>2092</v>
      </c>
      <c r="NL7">
        <v>-2.4245362661989844E-14</v>
      </c>
      <c r="NN7">
        <v>-2.4245362661989844E-14</v>
      </c>
      <c r="NO7" t="s">
        <v>1814</v>
      </c>
      <c r="NP7">
        <v>2024</v>
      </c>
      <c r="NQ7" t="s">
        <v>2088</v>
      </c>
      <c r="NR7" s="6">
        <v>45721</v>
      </c>
      <c r="NS7">
        <v>5</v>
      </c>
      <c r="NT7">
        <v>-2.4245362661989844E-14</v>
      </c>
      <c r="NU7">
        <v>20617272</v>
      </c>
      <c r="NV7" t="s">
        <v>2093</v>
      </c>
      <c r="QI7" t="s">
        <v>3334</v>
      </c>
      <c r="QJ7" t="s">
        <v>1822</v>
      </c>
      <c r="QK7">
        <v>13.694044</v>
      </c>
      <c r="QL7">
        <v>1.0251479999999999</v>
      </c>
      <c r="QM7" t="s">
        <v>1814</v>
      </c>
      <c r="QN7">
        <v>2024</v>
      </c>
      <c r="QO7" t="s">
        <v>3335</v>
      </c>
      <c r="QP7" s="6">
        <v>45735</v>
      </c>
      <c r="QQ7">
        <v>5</v>
      </c>
      <c r="QR7">
        <v>21575000</v>
      </c>
      <c r="QS7">
        <v>10664510</v>
      </c>
      <c r="QT7" t="s">
        <v>3336</v>
      </c>
      <c r="QW7" t="s">
        <v>1474</v>
      </c>
      <c r="QX7">
        <v>19.020800000000001</v>
      </c>
      <c r="QY7" t="s">
        <v>1822</v>
      </c>
      <c r="QZ7">
        <v>5.4268320000000001</v>
      </c>
      <c r="RA7" t="s">
        <v>1810</v>
      </c>
      <c r="RB7">
        <v>2025</v>
      </c>
      <c r="RC7" t="s">
        <v>3512</v>
      </c>
      <c r="RD7" s="6">
        <v>46041</v>
      </c>
      <c r="RE7">
        <v>5</v>
      </c>
      <c r="RF7">
        <v>3347812864</v>
      </c>
      <c r="RG7">
        <v>102782</v>
      </c>
      <c r="RH7" t="s">
        <v>2035</v>
      </c>
      <c r="RM7" t="s">
        <v>2613</v>
      </c>
      <c r="RO7">
        <v>-2.4245362661989844E-14</v>
      </c>
      <c r="RP7">
        <v>-2.4245362661989844E-14</v>
      </c>
      <c r="RQ7" t="s">
        <v>1810</v>
      </c>
      <c r="RR7">
        <v>2026</v>
      </c>
      <c r="RS7" t="s">
        <v>3178</v>
      </c>
      <c r="RT7" s="6">
        <v>46057</v>
      </c>
      <c r="RU7">
        <v>3</v>
      </c>
      <c r="RV7">
        <v>-2.4245362661989844E-14</v>
      </c>
      <c r="RW7">
        <v>194585</v>
      </c>
      <c r="RX7" t="s">
        <v>2615</v>
      </c>
    </row>
    <row r="8" spans="1:600" x14ac:dyDescent="0.25">
      <c r="A8" t="s">
        <v>2255</v>
      </c>
      <c r="C8">
        <v>-2.4245362661989844E-14</v>
      </c>
      <c r="D8">
        <v>-2.4245362661989844E-14</v>
      </c>
      <c r="E8" t="s">
        <v>1814</v>
      </c>
      <c r="F8">
        <v>2021</v>
      </c>
      <c r="G8" t="s">
        <v>2256</v>
      </c>
      <c r="H8" s="6">
        <v>44693</v>
      </c>
      <c r="I8">
        <v>5</v>
      </c>
      <c r="J8">
        <v>-2.4245362661989844E-14</v>
      </c>
      <c r="K8">
        <v>310116</v>
      </c>
      <c r="L8" t="s">
        <v>2257</v>
      </c>
      <c r="HQ8" t="s">
        <v>2018</v>
      </c>
      <c r="HR8">
        <v>0.67119499999999999</v>
      </c>
      <c r="HS8" t="s">
        <v>1822</v>
      </c>
      <c r="HT8">
        <v>8.0615000000000006E-2</v>
      </c>
      <c r="HU8" t="s">
        <v>1823</v>
      </c>
      <c r="HV8">
        <v>2025</v>
      </c>
      <c r="HW8" t="s">
        <v>2014</v>
      </c>
      <c r="HX8" s="6">
        <v>45947</v>
      </c>
      <c r="HY8">
        <v>5</v>
      </c>
      <c r="HZ8">
        <v>6584423</v>
      </c>
      <c r="IA8">
        <v>101090</v>
      </c>
      <c r="IB8" t="s">
        <v>2019</v>
      </c>
      <c r="IG8" t="s">
        <v>2039</v>
      </c>
      <c r="II8">
        <v>-2.4245362661989844E-14</v>
      </c>
      <c r="IJ8">
        <v>-2.4245362661989844E-14</v>
      </c>
      <c r="IK8" t="s">
        <v>1814</v>
      </c>
      <c r="IL8">
        <v>2021</v>
      </c>
      <c r="IM8" t="s">
        <v>2040</v>
      </c>
      <c r="IN8" s="6">
        <v>44693</v>
      </c>
      <c r="IO8">
        <v>5</v>
      </c>
      <c r="IP8">
        <v>-2.4245362661989844E-14</v>
      </c>
      <c r="IQ8">
        <v>313098</v>
      </c>
      <c r="IR8" t="s">
        <v>2041</v>
      </c>
      <c r="IU8" t="s">
        <v>2714</v>
      </c>
      <c r="IV8">
        <v>-2.4245362661989844E-14</v>
      </c>
      <c r="IX8">
        <v>-2.4245362661989844E-14</v>
      </c>
      <c r="IY8" t="s">
        <v>1814</v>
      </c>
      <c r="IZ8">
        <v>2023</v>
      </c>
      <c r="JA8" t="s">
        <v>4056</v>
      </c>
      <c r="JB8" s="6">
        <v>45404</v>
      </c>
      <c r="JC8">
        <v>5</v>
      </c>
      <c r="JD8">
        <v>-2.4245362661989844E-14</v>
      </c>
      <c r="JE8">
        <v>101695</v>
      </c>
      <c r="JF8" t="s">
        <v>2716</v>
      </c>
      <c r="LS8" t="s">
        <v>3974</v>
      </c>
      <c r="LT8" t="s">
        <v>1822</v>
      </c>
      <c r="LU8">
        <v>6.6286999999999999E-2</v>
      </c>
      <c r="LV8">
        <v>0.108852</v>
      </c>
      <c r="LW8" t="s">
        <v>1810</v>
      </c>
      <c r="LX8">
        <v>2025</v>
      </c>
      <c r="LY8" t="s">
        <v>3975</v>
      </c>
      <c r="LZ8" s="6">
        <v>45819</v>
      </c>
      <c r="MA8">
        <v>5</v>
      </c>
      <c r="MB8">
        <v>96482</v>
      </c>
      <c r="MC8">
        <v>101531</v>
      </c>
      <c r="MD8" t="s">
        <v>3976</v>
      </c>
      <c r="NK8" t="s">
        <v>2094</v>
      </c>
      <c r="NL8">
        <v>-2.4245362661989844E-14</v>
      </c>
      <c r="NN8">
        <v>-2.4245362661989844E-14</v>
      </c>
      <c r="NO8" t="s">
        <v>1810</v>
      </c>
      <c r="NP8">
        <v>2025</v>
      </c>
      <c r="NQ8" t="s">
        <v>2095</v>
      </c>
      <c r="NR8" s="6">
        <v>45981</v>
      </c>
      <c r="NS8">
        <v>5</v>
      </c>
      <c r="NT8">
        <v>-2.4245362661989844E-14</v>
      </c>
      <c r="NU8">
        <v>50192811</v>
      </c>
      <c r="NV8" t="s">
        <v>2096</v>
      </c>
      <c r="QI8" t="s">
        <v>3337</v>
      </c>
      <c r="QJ8" t="s">
        <v>1896</v>
      </c>
      <c r="QK8">
        <v>2.0662310000000002</v>
      </c>
      <c r="QL8">
        <v>0.63925799999999999</v>
      </c>
      <c r="QM8" t="s">
        <v>1823</v>
      </c>
      <c r="QN8">
        <v>2025</v>
      </c>
      <c r="QO8" t="s">
        <v>3338</v>
      </c>
      <c r="QP8" s="6">
        <v>45921</v>
      </c>
      <c r="QQ8">
        <v>5</v>
      </c>
      <c r="QR8">
        <v>21326292</v>
      </c>
      <c r="QS8">
        <v>963610</v>
      </c>
      <c r="QT8" t="s">
        <v>3339</v>
      </c>
      <c r="QW8" t="s">
        <v>4390</v>
      </c>
      <c r="QX8">
        <v>5.4489999999999998</v>
      </c>
      <c r="QZ8">
        <v>-2.4245362661989844E-14</v>
      </c>
      <c r="RA8" t="s">
        <v>1810</v>
      </c>
      <c r="RB8">
        <v>2025</v>
      </c>
      <c r="RC8" t="s">
        <v>3512</v>
      </c>
      <c r="RD8" s="6">
        <v>46041</v>
      </c>
      <c r="RE8">
        <v>5</v>
      </c>
      <c r="RF8">
        <v>959067584</v>
      </c>
      <c r="RG8">
        <v>199844</v>
      </c>
      <c r="RH8" t="s">
        <v>4391</v>
      </c>
    </row>
    <row r="9" spans="1:600" x14ac:dyDescent="0.25">
      <c r="A9" t="s">
        <v>979</v>
      </c>
      <c r="C9">
        <v>-2.4245362661989844E-14</v>
      </c>
      <c r="D9">
        <v>-2.4245362661989844E-14</v>
      </c>
      <c r="E9" t="s">
        <v>1814</v>
      </c>
      <c r="F9">
        <v>2021</v>
      </c>
      <c r="G9" t="s">
        <v>2048</v>
      </c>
      <c r="H9" s="6">
        <v>44693</v>
      </c>
      <c r="I9">
        <v>5</v>
      </c>
      <c r="J9">
        <v>-2.4245362661989844E-14</v>
      </c>
      <c r="K9">
        <v>100193</v>
      </c>
      <c r="L9" t="s">
        <v>2049</v>
      </c>
      <c r="HQ9" t="s">
        <v>2020</v>
      </c>
      <c r="HR9">
        <v>0.48005300000000001</v>
      </c>
      <c r="HS9" t="s">
        <v>1822</v>
      </c>
      <c r="HT9">
        <v>7.3125999999999997E-2</v>
      </c>
      <c r="HU9" t="s">
        <v>1823</v>
      </c>
      <c r="HV9">
        <v>2025</v>
      </c>
      <c r="HW9" t="s">
        <v>2014</v>
      </c>
      <c r="HX9" s="6">
        <v>45947</v>
      </c>
      <c r="HY9">
        <v>5</v>
      </c>
      <c r="HZ9">
        <v>4709320</v>
      </c>
      <c r="IA9">
        <v>111270</v>
      </c>
      <c r="IB9" t="s">
        <v>2021</v>
      </c>
      <c r="IG9" t="s">
        <v>2042</v>
      </c>
      <c r="II9">
        <v>-2.4245362661989844E-14</v>
      </c>
      <c r="IJ9">
        <v>-2.4245362661989844E-14</v>
      </c>
      <c r="IK9" t="s">
        <v>1814</v>
      </c>
      <c r="IL9">
        <v>2021</v>
      </c>
      <c r="IM9" t="s">
        <v>2043</v>
      </c>
      <c r="IN9" s="6">
        <v>44693</v>
      </c>
      <c r="IO9">
        <v>5</v>
      </c>
      <c r="IP9">
        <v>-2.4245362661989844E-14</v>
      </c>
      <c r="IQ9">
        <v>100060</v>
      </c>
      <c r="IR9" t="s">
        <v>2044</v>
      </c>
      <c r="IU9" t="s">
        <v>2954</v>
      </c>
      <c r="IV9">
        <v>-2.4245362661989844E-14</v>
      </c>
      <c r="IX9">
        <v>-2.4245362661989844E-14</v>
      </c>
      <c r="IY9" t="s">
        <v>1814</v>
      </c>
      <c r="IZ9">
        <v>2024</v>
      </c>
      <c r="JA9" t="s">
        <v>4051</v>
      </c>
      <c r="JB9" s="6">
        <v>45348</v>
      </c>
      <c r="JC9">
        <v>5</v>
      </c>
      <c r="JD9">
        <v>-2.4245362661989844E-14</v>
      </c>
      <c r="JE9">
        <v>46386935</v>
      </c>
      <c r="JF9" t="s">
        <v>2956</v>
      </c>
      <c r="LS9" t="s">
        <v>2363</v>
      </c>
      <c r="LU9">
        <v>-2.4245362661989844E-14</v>
      </c>
      <c r="LV9">
        <v>-2.4245362661989844E-14</v>
      </c>
      <c r="LW9" t="s">
        <v>1814</v>
      </c>
      <c r="LX9">
        <v>2021</v>
      </c>
      <c r="LY9" t="s">
        <v>2364</v>
      </c>
      <c r="LZ9" s="6">
        <v>44693</v>
      </c>
      <c r="MA9">
        <v>5</v>
      </c>
      <c r="MB9">
        <v>-2.4245362661989844E-14</v>
      </c>
      <c r="MC9">
        <v>100760</v>
      </c>
      <c r="MD9" t="s">
        <v>2365</v>
      </c>
      <c r="NK9" t="s">
        <v>2097</v>
      </c>
      <c r="NL9">
        <v>-2.4245362661989844E-14</v>
      </c>
      <c r="NN9">
        <v>-2.4245362661989844E-14</v>
      </c>
      <c r="NO9" t="s">
        <v>1810</v>
      </c>
      <c r="NP9">
        <v>2024</v>
      </c>
      <c r="NQ9" t="s">
        <v>2098</v>
      </c>
      <c r="NR9" s="6">
        <v>45617</v>
      </c>
      <c r="NS9">
        <v>5</v>
      </c>
      <c r="NT9">
        <v>-2.4245362661989844E-14</v>
      </c>
      <c r="NU9">
        <v>70497143</v>
      </c>
      <c r="NV9" t="s">
        <v>2099</v>
      </c>
      <c r="QI9" t="s">
        <v>2376</v>
      </c>
      <c r="QJ9" t="s">
        <v>1893</v>
      </c>
      <c r="QK9">
        <v>2.8060939999999999</v>
      </c>
      <c r="QL9">
        <v>0.76549599999999995</v>
      </c>
      <c r="QM9" t="s">
        <v>1814</v>
      </c>
      <c r="QN9">
        <v>2025</v>
      </c>
      <c r="QO9" t="s">
        <v>2377</v>
      </c>
      <c r="QP9" s="6">
        <v>46048</v>
      </c>
      <c r="QQ9">
        <v>5</v>
      </c>
      <c r="QR9">
        <v>21232000</v>
      </c>
      <c r="QS9">
        <v>216867</v>
      </c>
      <c r="QT9" t="s">
        <v>2378</v>
      </c>
      <c r="QW9" t="s">
        <v>4392</v>
      </c>
      <c r="QX9">
        <v>0.28446199999999999</v>
      </c>
      <c r="QY9" t="s">
        <v>1822</v>
      </c>
      <c r="QZ9">
        <v>0.82704999999999995</v>
      </c>
      <c r="RA9" t="s">
        <v>1810</v>
      </c>
      <c r="RB9">
        <v>2025</v>
      </c>
      <c r="RC9" t="s">
        <v>3512</v>
      </c>
      <c r="RD9" s="6">
        <v>46041</v>
      </c>
      <c r="RE9">
        <v>5</v>
      </c>
      <c r="RF9">
        <v>50067588</v>
      </c>
      <c r="RG9">
        <v>169936</v>
      </c>
      <c r="RH9" t="s">
        <v>4393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480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481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482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483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484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485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486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487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488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489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490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491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492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493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494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495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496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497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498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499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500</v>
      </c>
      <c r="AE2" s="3" t="s">
        <v>501</v>
      </c>
      <c r="BI2" s="3" t="s">
        <v>502</v>
      </c>
      <c r="CM2" s="3" t="s">
        <v>501</v>
      </c>
      <c r="DQ2" s="3" t="s">
        <v>503</v>
      </c>
      <c r="EU2" s="3" t="s">
        <v>504</v>
      </c>
      <c r="FY2" s="3" t="s">
        <v>505</v>
      </c>
      <c r="HC2" s="3" t="s">
        <v>506</v>
      </c>
      <c r="IG2" s="3" t="s">
        <v>25</v>
      </c>
      <c r="JK2" s="3" t="s">
        <v>507</v>
      </c>
      <c r="KO2" s="3" t="s">
        <v>508</v>
      </c>
      <c r="LS2" s="3" t="s">
        <v>467</v>
      </c>
      <c r="MW2" s="3" t="s">
        <v>509</v>
      </c>
      <c r="OA2" s="3" t="s">
        <v>510</v>
      </c>
      <c r="PE2" s="3" t="s">
        <v>511</v>
      </c>
      <c r="QI2" s="3" t="s">
        <v>512</v>
      </c>
      <c r="RM2" s="3" t="s">
        <v>513</v>
      </c>
      <c r="SQ2" s="3" t="s">
        <v>514</v>
      </c>
      <c r="TU2" s="3" t="s">
        <v>515</v>
      </c>
      <c r="UY2" s="3" t="s">
        <v>516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_xll.BDS("2464209D US Equity","SUPPLY_CHAIN_SUPPLIERS_ALL_DATA","cols=12;rows=5")</f>
        <v>REXR US Equity</v>
      </c>
      <c r="C5">
        <v>1.166504</v>
      </c>
      <c r="D5">
        <v>-2.4245362661989844E-14</v>
      </c>
      <c r="E5" t="s">
        <v>1814</v>
      </c>
      <c r="F5">
        <v>2025</v>
      </c>
      <c r="G5" t="s">
        <v>3852</v>
      </c>
      <c r="H5" s="6">
        <v>46064</v>
      </c>
      <c r="I5">
        <v>5</v>
      </c>
      <c r="J5">
        <v>2860750</v>
      </c>
      <c r="K5">
        <v>35580260</v>
      </c>
      <c r="L5" t="s">
        <v>3853</v>
      </c>
      <c r="O5" t="str">
        <f>_xll.BDS("2464209D US Equity","SUPPLY_CHAIN_CUSTOMERS_ALL_DATA","cols=12;rows=5")</f>
        <v>0216067D US Equity</v>
      </c>
      <c r="P5">
        <v>-2.4245362661989844E-14</v>
      </c>
      <c r="R5">
        <v>-2.4245362661989844E-14</v>
      </c>
      <c r="S5" t="s">
        <v>1814</v>
      </c>
      <c r="T5">
        <v>2023</v>
      </c>
      <c r="U5" t="s">
        <v>3729</v>
      </c>
      <c r="V5" s="6">
        <v>45187</v>
      </c>
      <c r="W5">
        <v>5</v>
      </c>
      <c r="X5">
        <v>-2.4245362661989844E-14</v>
      </c>
      <c r="Y5">
        <v>29711404</v>
      </c>
      <c r="Z5" t="s">
        <v>3730</v>
      </c>
      <c r="AE5" t="str">
        <f>_xll.BDS("BNCN US Equity","SUPPLY_CHAIN_SUPPLIERS_ALL_DATA")</f>
        <v>#N/A N/A</v>
      </c>
      <c r="AS5" t="str">
        <f>_xll.BDS("BNCN US Equity","SUPPLY_CHAIN_CUSTOMERS_ALL_DATA")</f>
        <v>#N/A N/A</v>
      </c>
      <c r="BI5" t="str">
        <f>_xll.BDS("AUB US Equity","SUPPLY_CHAIN_SUPPLIERS_ALL_DATA")</f>
        <v>TEMN SW Equity</v>
      </c>
      <c r="BW5" t="str">
        <f>_xll.BDS("AUB US Equity","SUPPLY_CHAIN_CUSTOMERS_ALL_DATA")</f>
        <v>#N/A N/A</v>
      </c>
      <c r="CM5" t="str">
        <f>_xll.BDS("BNCN US Equity","SUPPLY_CHAIN_SUPPLIERS_ALL_DATA")</f>
        <v>#N/A N/A</v>
      </c>
      <c r="DA5" t="str">
        <f>_xll.BDS("BNCN US Equity","SUPPLY_CHAIN_CUSTOMERS_ALL_DATA")</f>
        <v>#N/A N/A</v>
      </c>
      <c r="DQ5" t="str">
        <f>_xll.BDS("SNA US Equity","SUPPLY_CHAIN_SUPPLIERS_ALL_DATA","cols=12;rows=5")</f>
        <v>4534 TT Equity</v>
      </c>
      <c r="DR5" t="s">
        <v>1822</v>
      </c>
      <c r="DS5">
        <v>13.83</v>
      </c>
      <c r="DT5">
        <v>0.147427</v>
      </c>
      <c r="DU5" t="s">
        <v>1814</v>
      </c>
      <c r="DV5">
        <v>2024</v>
      </c>
      <c r="DW5" t="s">
        <v>3137</v>
      </c>
      <c r="DX5" s="6">
        <v>45796</v>
      </c>
      <c r="DY5">
        <v>5</v>
      </c>
      <c r="DZ5">
        <v>905732.77</v>
      </c>
      <c r="EA5">
        <v>7788212</v>
      </c>
      <c r="EB5" t="s">
        <v>3138</v>
      </c>
      <c r="EE5" t="str">
        <f>_xll.BDS("SNA US Equity","SUPPLY_CHAIN_CUSTOMERS_ALL_DATA","cols=12;rows=5")</f>
        <v>KGF LN Equity</v>
      </c>
      <c r="EF5">
        <v>0.90335299999999996</v>
      </c>
      <c r="EG5" t="s">
        <v>1822</v>
      </c>
      <c r="EH5">
        <v>0.43398500000000001</v>
      </c>
      <c r="EI5" t="s">
        <v>1810</v>
      </c>
      <c r="EJ5">
        <v>2025</v>
      </c>
      <c r="EK5" t="s">
        <v>1853</v>
      </c>
      <c r="EL5" s="6">
        <v>45694</v>
      </c>
      <c r="EM5">
        <v>5</v>
      </c>
      <c r="EN5">
        <v>12124345.310000001</v>
      </c>
      <c r="EO5">
        <v>111827</v>
      </c>
      <c r="EP5" t="s">
        <v>1854</v>
      </c>
      <c r="EU5" t="str">
        <f>_xll.BDS("45445Q US Equity","SUPPLY_CHAIN_SUPPLIERS_ALL_DATA")</f>
        <v>#N/A N/A</v>
      </c>
      <c r="FI5" t="str">
        <f>_xll.BDS("45445Q US Equity","SUPPLY_CHAIN_CUSTOMERS_ALL_DATA")</f>
        <v>#N/A N/A</v>
      </c>
      <c r="FY5" t="str">
        <f>_xll.BDS("VSB US Equity","SUPPLY_CHAIN_SUPPLIERS_ALL_DATA")</f>
        <v>#N/A N/A</v>
      </c>
      <c r="GM5" t="str">
        <f>_xll.BDS("VSB US Equity","SUPPLY_CHAIN_CUSTOMERS_ALL_DATA")</f>
        <v>#N/A N/A</v>
      </c>
      <c r="HC5" t="str">
        <f>_xll.BDS("FCBC US Equity","SUPPLY_CHAIN_SUPPLIERS_ALL_DATA")</f>
        <v>#N/A N/A</v>
      </c>
      <c r="HQ5" t="str">
        <f>_xll.BDS("FCBC US Equity","SUPPLY_CHAIN_CUSTOMERS_ALL_DATA")</f>
        <v>#N/A N/A</v>
      </c>
      <c r="IG5" t="str">
        <f>_xll.BDS("355488Q US Equity","SUPPLY_CHAIN_SUPPLIERS_ALL_DATA")</f>
        <v>#N/A N/A</v>
      </c>
      <c r="IU5" t="str">
        <f>_xll.BDS("355488Q US Equity","SUPPLY_CHAIN_CUSTOMERS_ALL_DATA")</f>
        <v>#N/A N/A</v>
      </c>
      <c r="JK5" t="str">
        <f>_xll.BDS("BSX US Equity","SUPPLY_CHAIN_SUPPLIERS_ALL_DATA","cols=12;rows=5")</f>
        <v>FLEX US Equity</v>
      </c>
      <c r="JL5" t="s">
        <v>1822</v>
      </c>
      <c r="JM5">
        <v>0.45866000000000001</v>
      </c>
      <c r="JN5">
        <v>2.0511430000000002</v>
      </c>
      <c r="JO5" t="s">
        <v>1810</v>
      </c>
      <c r="JP5">
        <v>2025</v>
      </c>
      <c r="JQ5" t="s">
        <v>1882</v>
      </c>
      <c r="JR5" s="6">
        <v>45763</v>
      </c>
      <c r="JS5">
        <v>5</v>
      </c>
      <c r="JT5">
        <v>30069750</v>
      </c>
      <c r="JU5">
        <v>136547</v>
      </c>
      <c r="JV5" t="s">
        <v>1883</v>
      </c>
      <c r="JY5" t="str">
        <f>_xll.BDS("BSX US Equity","SUPPLY_CHAIN_CUSTOMERS_ALL_DATA")</f>
        <v>000078 CH Equity</v>
      </c>
      <c r="KO5" t="str">
        <f>_xll.BDS("CIVB US Equity","SUPPLY_CHAIN_SUPPLIERS_ALL_DATA")</f>
        <v>#N/A N/A</v>
      </c>
      <c r="LC5" t="str">
        <f>_xll.BDS("CIVB US Equity","SUPPLY_CHAIN_CUSTOMERS_ALL_DATA")</f>
        <v>#N/A N/A</v>
      </c>
      <c r="LS5" t="str">
        <f>_xll.BDS("PACW US Equity","SUPPLY_CHAIN_SUPPLIERS_ALL_DATA")</f>
        <v>#N/A N/A</v>
      </c>
      <c r="MG5" t="str">
        <f>_xll.BDS("PACW US Equity","SUPPLY_CHAIN_CUSTOMERS_ALL_DATA")</f>
        <v>SNX US Equity</v>
      </c>
      <c r="MW5" t="str">
        <f>_xll.BDS("UCFC US Equity","SUPPLY_CHAIN_SUPPLIERS_ALL_DATA")</f>
        <v>#N/A N/A</v>
      </c>
      <c r="NK5" t="str">
        <f>_xll.BDS("UCFC US Equity","SUPPLY_CHAIN_CUSTOMERS_ALL_DATA")</f>
        <v>#N/A N/A</v>
      </c>
      <c r="OA5" t="str">
        <f>_xll.BDS("FCHDQ US Equity","SUPPLY_CHAIN_SUPPLIERS_ALL_DATA")</f>
        <v>#N/A N/A</v>
      </c>
      <c r="OO5" t="str">
        <f>_xll.BDS("FCHDQ US Equity","SUPPLY_CHAIN_CUSTOMERS_ALL_DATA")</f>
        <v>#N/A N/A</v>
      </c>
      <c r="PE5" t="str">
        <f>_xll.BDS("DHR US Equity","SUPPLY_CHAIN_SUPPLIERS_ALL_DATA","cols=12;rows=5")</f>
        <v>FLEX US Equity</v>
      </c>
      <c r="PF5" t="s">
        <v>1822</v>
      </c>
      <c r="PG5">
        <v>1.165869</v>
      </c>
      <c r="PH5">
        <v>2.8864939999999999</v>
      </c>
      <c r="PI5" t="s">
        <v>1810</v>
      </c>
      <c r="PJ5">
        <v>2025</v>
      </c>
      <c r="PK5" t="s">
        <v>1882</v>
      </c>
      <c r="PL5" s="6">
        <v>45763</v>
      </c>
      <c r="PM5">
        <v>5</v>
      </c>
      <c r="PN5">
        <v>76434368</v>
      </c>
      <c r="PO5">
        <v>136547</v>
      </c>
      <c r="PP5" t="s">
        <v>1883</v>
      </c>
      <c r="PS5" t="str">
        <f>_xll.BDS("DHR US Equity","SUPPLY_CHAIN_CUSTOMERS_ALL_DATA","cols=12;rows=5")</f>
        <v>CDW US Equity</v>
      </c>
      <c r="PT5">
        <v>0.25350099999999998</v>
      </c>
      <c r="PU5" t="s">
        <v>1822</v>
      </c>
      <c r="PV5">
        <v>0.35698299999999999</v>
      </c>
      <c r="PW5" t="s">
        <v>1806</v>
      </c>
      <c r="PX5">
        <v>2025</v>
      </c>
      <c r="PY5" t="s">
        <v>1841</v>
      </c>
      <c r="PZ5" s="6">
        <v>45820</v>
      </c>
      <c r="QA5">
        <v>5</v>
      </c>
      <c r="QB5">
        <v>14553483</v>
      </c>
      <c r="QC5">
        <v>12129192</v>
      </c>
      <c r="QD5" t="s">
        <v>1842</v>
      </c>
      <c r="QI5" t="str">
        <f>_xll.BDS("FMAO US Equity","SUPPLY_CHAIN_SUPPLIERS_ALL_DATA","cols=12;rows=1")</f>
        <v>MLNK US Equity</v>
      </c>
      <c r="QK5">
        <v>-2.4245362661989844E-14</v>
      </c>
      <c r="QL5">
        <v>-2.4245362661989844E-14</v>
      </c>
      <c r="QM5" t="s">
        <v>1806</v>
      </c>
      <c r="QN5">
        <v>2023</v>
      </c>
      <c r="QO5" t="s">
        <v>2190</v>
      </c>
      <c r="QP5" s="6">
        <v>45048</v>
      </c>
      <c r="QQ5">
        <v>1</v>
      </c>
      <c r="QR5">
        <v>-2.4245362661989844E-14</v>
      </c>
      <c r="QS5">
        <v>19523261</v>
      </c>
      <c r="QT5" t="s">
        <v>2191</v>
      </c>
      <c r="QW5" t="str">
        <f>_xll.BDS("FMAO US Equity","SUPPLY_CHAIN_CUSTOMERS_ALL_DATA")</f>
        <v>#N/A N/A</v>
      </c>
      <c r="RM5" t="str">
        <f>_xll.BDS("FCBN US Equity","SUPPLY_CHAIN_SUPPLIERS_ALL_DATA")</f>
        <v>#N/A N/A</v>
      </c>
      <c r="SA5" t="str">
        <f>_xll.BDS("FCBN US Equity","SUPPLY_CHAIN_CUSTOMERS_ALL_DATA")</f>
        <v>#N/A N/A</v>
      </c>
      <c r="SQ5" t="str">
        <f>_xll.BDS("TDG US Equity","SUPPLY_CHAIN_SUPPLIERS_ALL_DATA","cols=12;rows=5")</f>
        <v>DCO US Equity</v>
      </c>
      <c r="SR5" t="s">
        <v>1822</v>
      </c>
      <c r="SS5">
        <v>0.84416199999999997</v>
      </c>
      <c r="ST5">
        <v>0.208984</v>
      </c>
      <c r="SU5" t="s">
        <v>1823</v>
      </c>
      <c r="SV5">
        <v>2025</v>
      </c>
      <c r="SW5" t="s">
        <v>2223</v>
      </c>
      <c r="SX5" s="6">
        <v>45911</v>
      </c>
      <c r="SY5">
        <v>5</v>
      </c>
      <c r="SZ5">
        <v>1707402</v>
      </c>
      <c r="TA5">
        <v>103317</v>
      </c>
      <c r="TB5" t="s">
        <v>2224</v>
      </c>
      <c r="TE5" t="str">
        <f>_xll.BDS("TDG US Equity","SUPPLY_CHAIN_CUSTOMERS_ALL_DATA","cols=12;rows=5")</f>
        <v>BA US Equity</v>
      </c>
      <c r="TF5">
        <v>7.9839589999999996</v>
      </c>
      <c r="TG5" t="s">
        <v>1822</v>
      </c>
      <c r="TH5">
        <v>0.68733</v>
      </c>
      <c r="TI5" t="s">
        <v>1827</v>
      </c>
      <c r="TJ5">
        <v>2025</v>
      </c>
      <c r="TK5" t="s">
        <v>2109</v>
      </c>
      <c r="TL5" s="6">
        <v>45986</v>
      </c>
      <c r="TM5">
        <v>5</v>
      </c>
      <c r="TN5">
        <v>176265856</v>
      </c>
      <c r="TO5">
        <v>100211</v>
      </c>
      <c r="TP5" t="s">
        <v>2110</v>
      </c>
      <c r="TU5" t="str">
        <f>_xll.BDS("LBAI US Equity","SUPPLY_CHAIN_SUPPLIERS_ALL_DATA")</f>
        <v>#N/A N/A</v>
      </c>
      <c r="UI5" t="str">
        <f>_xll.BDS("LBAI US Equity","SUPPLY_CHAIN_CUSTOMERS_ALL_DATA")</f>
        <v>#N/A N/A</v>
      </c>
      <c r="UY5" t="str">
        <f>_xll.BDS("KKD US Equity","SUPPLY_CHAIN_SUPPLIERS_ALL_DATA","cols=12;rows=1")</f>
        <v>SGREIT SP Equity</v>
      </c>
      <c r="VA5">
        <v>-2.4245362661989844E-14</v>
      </c>
      <c r="VB5">
        <v>-2.4245362661989844E-14</v>
      </c>
      <c r="VC5" t="s">
        <v>1814</v>
      </c>
      <c r="VD5">
        <v>2022</v>
      </c>
      <c r="VE5" t="s">
        <v>3342</v>
      </c>
      <c r="VF5" s="6">
        <v>44826</v>
      </c>
      <c r="VG5">
        <v>1</v>
      </c>
      <c r="VH5">
        <v>-2.4245362661989844E-14</v>
      </c>
      <c r="VI5">
        <v>9871032</v>
      </c>
      <c r="VJ5" t="s">
        <v>3343</v>
      </c>
      <c r="VM5" t="str">
        <f>_xll.BDS("KKD US Equity","SUPPLY_CHAIN_CUSTOMERS_ALL_DATA","cols=12;rows=1")</f>
        <v>MAPI IJ Equity</v>
      </c>
      <c r="VN5">
        <v>-2.4245362661989844E-14</v>
      </c>
      <c r="VP5">
        <v>-2.4245362661989844E-14</v>
      </c>
      <c r="VQ5" t="s">
        <v>1814</v>
      </c>
      <c r="VR5">
        <v>2021</v>
      </c>
      <c r="VS5" t="s">
        <v>4074</v>
      </c>
      <c r="VT5" s="6">
        <v>44721</v>
      </c>
      <c r="VU5">
        <v>1</v>
      </c>
      <c r="VV5">
        <v>-2.4245362661989844E-14</v>
      </c>
      <c r="VW5">
        <v>9183698</v>
      </c>
      <c r="VX5" t="s">
        <v>2962</v>
      </c>
    </row>
    <row r="6" spans="1:600" x14ac:dyDescent="0.25">
      <c r="A6" t="s">
        <v>3854</v>
      </c>
      <c r="C6">
        <v>-2.4245362661989844E-14</v>
      </c>
      <c r="D6">
        <v>-2.4245362661989844E-14</v>
      </c>
      <c r="E6" t="s">
        <v>1814</v>
      </c>
      <c r="F6">
        <v>2022</v>
      </c>
      <c r="G6" t="s">
        <v>3731</v>
      </c>
      <c r="H6" s="6">
        <v>44680</v>
      </c>
      <c r="I6">
        <v>5</v>
      </c>
      <c r="J6">
        <v>-2.4245362661989844E-14</v>
      </c>
      <c r="K6">
        <v>27610147</v>
      </c>
      <c r="L6" t="s">
        <v>3855</v>
      </c>
      <c r="O6" t="s">
        <v>3566</v>
      </c>
      <c r="P6">
        <v>-2.4245362661989844E-14</v>
      </c>
      <c r="R6">
        <v>-2.4245362661989844E-14</v>
      </c>
      <c r="S6" t="s">
        <v>1814</v>
      </c>
      <c r="T6">
        <v>2025</v>
      </c>
      <c r="U6" t="s">
        <v>3731</v>
      </c>
      <c r="V6" s="6">
        <v>45883</v>
      </c>
      <c r="W6">
        <v>5</v>
      </c>
      <c r="X6">
        <v>-2.4245362661989844E-14</v>
      </c>
      <c r="Y6">
        <v>227296</v>
      </c>
      <c r="Z6" t="s">
        <v>3568</v>
      </c>
      <c r="DQ6" t="s">
        <v>3139</v>
      </c>
      <c r="DS6">
        <v>-2.4245362661989844E-14</v>
      </c>
      <c r="DT6">
        <v>-2.4245362661989844E-14</v>
      </c>
      <c r="DU6" t="s">
        <v>1823</v>
      </c>
      <c r="DV6">
        <v>2024</v>
      </c>
      <c r="DW6" t="s">
        <v>3140</v>
      </c>
      <c r="DX6" s="6">
        <v>45525</v>
      </c>
      <c r="DY6">
        <v>5</v>
      </c>
      <c r="DZ6">
        <v>-2.4245362661989844E-14</v>
      </c>
      <c r="EA6">
        <v>50633341</v>
      </c>
      <c r="EB6" t="s">
        <v>3141</v>
      </c>
      <c r="EE6" t="s">
        <v>2493</v>
      </c>
      <c r="EF6">
        <v>-2.4245362661989844E-14</v>
      </c>
      <c r="EH6">
        <v>-2.4245362661989844E-14</v>
      </c>
      <c r="EI6" t="s">
        <v>1814</v>
      </c>
      <c r="EJ6">
        <v>2023</v>
      </c>
      <c r="EK6" t="s">
        <v>2494</v>
      </c>
      <c r="EL6" s="6">
        <v>45027</v>
      </c>
      <c r="EM6">
        <v>5</v>
      </c>
      <c r="EN6">
        <v>-2.4245362661989844E-14</v>
      </c>
      <c r="EO6">
        <v>1096220</v>
      </c>
      <c r="EP6" t="s">
        <v>2495</v>
      </c>
      <c r="JK6" t="s">
        <v>1884</v>
      </c>
      <c r="JL6" t="s">
        <v>1822</v>
      </c>
      <c r="JM6">
        <v>0.108844</v>
      </c>
      <c r="JN6">
        <v>0.58639399999999997</v>
      </c>
      <c r="JO6" t="s">
        <v>1810</v>
      </c>
      <c r="JP6">
        <v>2025</v>
      </c>
      <c r="JQ6" t="s">
        <v>1885</v>
      </c>
      <c r="JR6" s="6">
        <v>45867</v>
      </c>
      <c r="JS6">
        <v>5</v>
      </c>
      <c r="JT6">
        <v>8520308</v>
      </c>
      <c r="JU6">
        <v>117092</v>
      </c>
      <c r="JV6" t="s">
        <v>1886</v>
      </c>
      <c r="PE6" t="s">
        <v>1884</v>
      </c>
      <c r="PF6" t="s">
        <v>1822</v>
      </c>
      <c r="PG6">
        <v>0.147895</v>
      </c>
      <c r="PH6">
        <v>0.47978500000000002</v>
      </c>
      <c r="PI6" t="s">
        <v>1810</v>
      </c>
      <c r="PJ6">
        <v>2025</v>
      </c>
      <c r="PK6" t="s">
        <v>1885</v>
      </c>
      <c r="PL6" s="6">
        <v>45867</v>
      </c>
      <c r="PM6">
        <v>5</v>
      </c>
      <c r="PN6">
        <v>11577221</v>
      </c>
      <c r="PO6">
        <v>117092</v>
      </c>
      <c r="PP6" t="s">
        <v>1886</v>
      </c>
      <c r="PS6" t="s">
        <v>1849</v>
      </c>
      <c r="PT6">
        <v>0.22051499999999999</v>
      </c>
      <c r="PU6" t="s">
        <v>1822</v>
      </c>
      <c r="PV6">
        <v>9.3169000000000002E-2</v>
      </c>
      <c r="PW6" t="s">
        <v>1827</v>
      </c>
      <c r="PX6">
        <v>2025</v>
      </c>
      <c r="PY6" t="s">
        <v>1850</v>
      </c>
      <c r="PZ6" s="6">
        <v>46056</v>
      </c>
      <c r="QA6">
        <v>5</v>
      </c>
      <c r="QB6">
        <v>15078834</v>
      </c>
      <c r="QC6">
        <v>1499717</v>
      </c>
      <c r="QD6" t="s">
        <v>1851</v>
      </c>
      <c r="SQ6" t="s">
        <v>2225</v>
      </c>
      <c r="SR6" t="s">
        <v>1822</v>
      </c>
      <c r="SS6">
        <v>0.12837799999999999</v>
      </c>
      <c r="ST6">
        <v>0.18032500000000001</v>
      </c>
      <c r="SU6" t="s">
        <v>1810</v>
      </c>
      <c r="SV6">
        <v>2025</v>
      </c>
      <c r="SW6" t="s">
        <v>2226</v>
      </c>
      <c r="SX6" s="6">
        <v>45905</v>
      </c>
      <c r="SY6">
        <v>5</v>
      </c>
      <c r="SZ6">
        <v>1473254</v>
      </c>
      <c r="TA6">
        <v>104365</v>
      </c>
      <c r="TB6" t="s">
        <v>2227</v>
      </c>
      <c r="TE6" t="s">
        <v>2111</v>
      </c>
      <c r="TF6">
        <v>5.419651</v>
      </c>
      <c r="TG6" t="s">
        <v>1822</v>
      </c>
      <c r="TH6">
        <v>0.68726100000000001</v>
      </c>
      <c r="TI6" t="s">
        <v>1827</v>
      </c>
      <c r="TJ6">
        <v>2025</v>
      </c>
      <c r="TK6" t="s">
        <v>2109</v>
      </c>
      <c r="TL6" s="6">
        <v>45986</v>
      </c>
      <c r="TM6">
        <v>5</v>
      </c>
      <c r="TN6">
        <v>119652344</v>
      </c>
      <c r="TO6">
        <v>876285</v>
      </c>
      <c r="TP6" t="s">
        <v>2112</v>
      </c>
    </row>
    <row r="7" spans="1:600" x14ac:dyDescent="0.25">
      <c r="A7" t="s">
        <v>3856</v>
      </c>
      <c r="C7">
        <v>-2.4245362661989844E-14</v>
      </c>
      <c r="D7">
        <v>-2.4245362661989844E-14</v>
      </c>
      <c r="E7" t="s">
        <v>1814</v>
      </c>
      <c r="F7">
        <v>2022</v>
      </c>
      <c r="G7" t="s">
        <v>3731</v>
      </c>
      <c r="H7" s="6">
        <v>44680</v>
      </c>
      <c r="I7">
        <v>5</v>
      </c>
      <c r="J7">
        <v>-2.4245362661989844E-14</v>
      </c>
      <c r="K7">
        <v>22440357</v>
      </c>
      <c r="L7" t="s">
        <v>3857</v>
      </c>
      <c r="O7" t="s">
        <v>3732</v>
      </c>
      <c r="P7">
        <v>-2.4245362661989844E-14</v>
      </c>
      <c r="R7">
        <v>-2.4245362661989844E-14</v>
      </c>
      <c r="S7" t="s">
        <v>1814</v>
      </c>
      <c r="T7">
        <v>2023</v>
      </c>
      <c r="U7" t="s">
        <v>3731</v>
      </c>
      <c r="V7" s="6">
        <v>44957</v>
      </c>
      <c r="W7">
        <v>5</v>
      </c>
      <c r="X7">
        <v>-2.4245362661989844E-14</v>
      </c>
      <c r="Y7">
        <v>939789</v>
      </c>
      <c r="Z7" t="s">
        <v>3733</v>
      </c>
      <c r="DQ7" t="s">
        <v>2269</v>
      </c>
      <c r="DS7">
        <v>-2.4245362661989844E-14</v>
      </c>
      <c r="DT7">
        <v>-2.4245362661989844E-14</v>
      </c>
      <c r="DU7" t="s">
        <v>1814</v>
      </c>
      <c r="DV7">
        <v>2022</v>
      </c>
      <c r="DW7" t="s">
        <v>2270</v>
      </c>
      <c r="DX7" s="6">
        <v>44693</v>
      </c>
      <c r="DY7">
        <v>5</v>
      </c>
      <c r="DZ7">
        <v>-2.4245362661989844E-14</v>
      </c>
      <c r="EA7">
        <v>114991</v>
      </c>
      <c r="EB7" t="s">
        <v>2271</v>
      </c>
      <c r="EE7" t="s">
        <v>3694</v>
      </c>
      <c r="EF7">
        <v>-2.4245362661989844E-14</v>
      </c>
      <c r="EH7">
        <v>-2.4245362661989844E-14</v>
      </c>
      <c r="EI7" t="s">
        <v>1810</v>
      </c>
      <c r="EJ7">
        <v>2025</v>
      </c>
      <c r="EK7" t="s">
        <v>4086</v>
      </c>
      <c r="EL7" s="6">
        <v>45826</v>
      </c>
      <c r="EM7">
        <v>5</v>
      </c>
      <c r="EN7">
        <v>-2.4245362661989844E-14</v>
      </c>
      <c r="EO7">
        <v>100181</v>
      </c>
      <c r="EP7" t="s">
        <v>3696</v>
      </c>
      <c r="JK7" t="s">
        <v>2220</v>
      </c>
      <c r="JL7" t="s">
        <v>1822</v>
      </c>
      <c r="JM7">
        <v>0.82896099999999995</v>
      </c>
      <c r="JN7">
        <v>0.29375299999999999</v>
      </c>
      <c r="JO7" t="s">
        <v>1823</v>
      </c>
      <c r="JP7">
        <v>2025</v>
      </c>
      <c r="JQ7" t="s">
        <v>2221</v>
      </c>
      <c r="JR7" s="6">
        <v>45867</v>
      </c>
      <c r="JS7">
        <v>5</v>
      </c>
      <c r="JT7">
        <v>4597625.84</v>
      </c>
      <c r="JU7">
        <v>157487</v>
      </c>
      <c r="JV7" t="s">
        <v>2222</v>
      </c>
      <c r="PE7" t="s">
        <v>1887</v>
      </c>
      <c r="PF7" t="s">
        <v>1822</v>
      </c>
      <c r="PG7">
        <v>0.32230900000000001</v>
      </c>
      <c r="PH7">
        <v>0.38473400000000002</v>
      </c>
      <c r="PI7" t="s">
        <v>1810</v>
      </c>
      <c r="PJ7">
        <v>2025</v>
      </c>
      <c r="PK7" t="s">
        <v>1888</v>
      </c>
      <c r="PL7" s="6">
        <v>45891</v>
      </c>
      <c r="PM7">
        <v>5</v>
      </c>
      <c r="PN7">
        <v>9283621</v>
      </c>
      <c r="PO7">
        <v>100097</v>
      </c>
      <c r="PP7" t="s">
        <v>1889</v>
      </c>
      <c r="PS7" t="s">
        <v>1852</v>
      </c>
      <c r="PT7">
        <v>8.1423999999999996E-2</v>
      </c>
      <c r="PU7" t="s">
        <v>1822</v>
      </c>
      <c r="PV7">
        <v>0.194387</v>
      </c>
      <c r="PW7" t="s">
        <v>1810</v>
      </c>
      <c r="PX7">
        <v>2025</v>
      </c>
      <c r="PY7" t="s">
        <v>1853</v>
      </c>
      <c r="PZ7" s="6">
        <v>45694</v>
      </c>
      <c r="QA7">
        <v>5</v>
      </c>
      <c r="QB7">
        <v>5430637.3600000003</v>
      </c>
      <c r="QC7">
        <v>111827</v>
      </c>
      <c r="QD7" t="s">
        <v>1854</v>
      </c>
      <c r="SQ7" t="s">
        <v>2228</v>
      </c>
      <c r="SR7" t="s">
        <v>1822</v>
      </c>
      <c r="SS7">
        <v>0.342005</v>
      </c>
      <c r="ST7">
        <v>0.106498</v>
      </c>
      <c r="SU7" t="s">
        <v>1810</v>
      </c>
      <c r="SV7">
        <v>2025</v>
      </c>
      <c r="SW7" t="s">
        <v>2229</v>
      </c>
      <c r="SX7" s="6">
        <v>45978</v>
      </c>
      <c r="SY7">
        <v>5</v>
      </c>
      <c r="SZ7">
        <v>992678.59</v>
      </c>
      <c r="TA7">
        <v>68455782</v>
      </c>
      <c r="TB7" t="s">
        <v>2230</v>
      </c>
      <c r="TE7" t="s">
        <v>2016</v>
      </c>
      <c r="TF7">
        <v>4.7768259999999998</v>
      </c>
      <c r="TG7" t="s">
        <v>1822</v>
      </c>
      <c r="TH7">
        <v>0.64426899999999998</v>
      </c>
      <c r="TI7" t="s">
        <v>1827</v>
      </c>
      <c r="TJ7">
        <v>2025</v>
      </c>
      <c r="TK7" t="s">
        <v>2109</v>
      </c>
      <c r="TL7" s="6">
        <v>45986</v>
      </c>
      <c r="TM7">
        <v>5</v>
      </c>
      <c r="TN7">
        <v>105460376</v>
      </c>
      <c r="TO7">
        <v>156923</v>
      </c>
      <c r="TP7" t="s">
        <v>2017</v>
      </c>
    </row>
    <row r="8" spans="1:600" x14ac:dyDescent="0.25">
      <c r="A8" t="s">
        <v>3858</v>
      </c>
      <c r="C8">
        <v>-2.4245362661989844E-14</v>
      </c>
      <c r="D8">
        <v>-2.4245362661989844E-14</v>
      </c>
      <c r="E8" t="s">
        <v>1827</v>
      </c>
      <c r="F8">
        <v>2026</v>
      </c>
      <c r="G8" t="s">
        <v>3859</v>
      </c>
      <c r="H8" s="6">
        <v>46078</v>
      </c>
      <c r="I8">
        <v>5</v>
      </c>
      <c r="J8">
        <v>-2.4245362661989844E-14</v>
      </c>
      <c r="K8">
        <v>171490</v>
      </c>
      <c r="L8" t="s">
        <v>3860</v>
      </c>
      <c r="O8" t="s">
        <v>3734</v>
      </c>
      <c r="P8">
        <v>-2.4245362661989844E-14</v>
      </c>
      <c r="R8">
        <v>-2.4245362661989844E-14</v>
      </c>
      <c r="S8" t="s">
        <v>1814</v>
      </c>
      <c r="T8">
        <v>2025</v>
      </c>
      <c r="U8" t="s">
        <v>3731</v>
      </c>
      <c r="V8" s="6">
        <v>45883</v>
      </c>
      <c r="W8">
        <v>5</v>
      </c>
      <c r="X8">
        <v>-2.4245362661989844E-14</v>
      </c>
      <c r="Y8">
        <v>962233</v>
      </c>
      <c r="Z8" t="s">
        <v>3735</v>
      </c>
      <c r="DQ8" t="s">
        <v>2255</v>
      </c>
      <c r="DS8">
        <v>-2.4245362661989844E-14</v>
      </c>
      <c r="DT8">
        <v>-2.4245362661989844E-14</v>
      </c>
      <c r="DU8" t="s">
        <v>1814</v>
      </c>
      <c r="DV8">
        <v>2021</v>
      </c>
      <c r="DW8" t="s">
        <v>2256</v>
      </c>
      <c r="DX8" s="6">
        <v>44693</v>
      </c>
      <c r="DY8">
        <v>5</v>
      </c>
      <c r="DZ8">
        <v>-2.4245362661989844E-14</v>
      </c>
      <c r="EA8">
        <v>310116</v>
      </c>
      <c r="EB8" t="s">
        <v>2257</v>
      </c>
      <c r="EE8" t="s">
        <v>4087</v>
      </c>
      <c r="EF8">
        <v>-2.4245362661989844E-14</v>
      </c>
      <c r="EH8">
        <v>-2.4245362661989844E-14</v>
      </c>
      <c r="EI8" t="s">
        <v>1823</v>
      </c>
      <c r="EJ8">
        <v>2022</v>
      </c>
      <c r="EK8" t="s">
        <v>4088</v>
      </c>
      <c r="EL8" s="6">
        <v>44686</v>
      </c>
      <c r="EM8">
        <v>5</v>
      </c>
      <c r="EN8">
        <v>-2.4245362661989844E-14</v>
      </c>
      <c r="EO8">
        <v>8850348</v>
      </c>
      <c r="EP8" t="s">
        <v>4089</v>
      </c>
      <c r="JK8" t="s">
        <v>806</v>
      </c>
      <c r="JL8" t="s">
        <v>1822</v>
      </c>
      <c r="JM8">
        <v>0.224579</v>
      </c>
      <c r="JN8">
        <v>0.108293</v>
      </c>
      <c r="JO8" t="s">
        <v>1810</v>
      </c>
      <c r="JP8">
        <v>2025</v>
      </c>
      <c r="JQ8" t="s">
        <v>2321</v>
      </c>
      <c r="JR8" s="6">
        <v>46009</v>
      </c>
      <c r="JS8">
        <v>5</v>
      </c>
      <c r="JT8">
        <v>1649301</v>
      </c>
      <c r="JU8">
        <v>101601</v>
      </c>
      <c r="JV8" t="s">
        <v>2322</v>
      </c>
      <c r="PE8" t="s">
        <v>1533</v>
      </c>
      <c r="PF8" t="s">
        <v>1822</v>
      </c>
      <c r="PG8">
        <v>1.1725810000000001</v>
      </c>
      <c r="PH8">
        <v>0.15703400000000001</v>
      </c>
      <c r="PI8" t="s">
        <v>1806</v>
      </c>
      <c r="PJ8">
        <v>2026</v>
      </c>
      <c r="PK8" t="s">
        <v>1890</v>
      </c>
      <c r="PL8" s="6">
        <v>46051</v>
      </c>
      <c r="PM8">
        <v>5</v>
      </c>
      <c r="PN8">
        <v>4510016</v>
      </c>
      <c r="PO8">
        <v>225757</v>
      </c>
      <c r="PP8" t="s">
        <v>1891</v>
      </c>
      <c r="PS8" t="s">
        <v>1855</v>
      </c>
      <c r="PT8">
        <v>6.6940000000000003E-3</v>
      </c>
      <c r="PU8" t="s">
        <v>1822</v>
      </c>
      <c r="PV8">
        <v>5.5948409999999997</v>
      </c>
      <c r="PW8" t="s">
        <v>1814</v>
      </c>
      <c r="PX8">
        <v>2024</v>
      </c>
      <c r="PY8" t="s">
        <v>1856</v>
      </c>
      <c r="PZ8" s="6">
        <v>45819</v>
      </c>
      <c r="QA8">
        <v>5</v>
      </c>
      <c r="QB8">
        <v>402911.11</v>
      </c>
      <c r="QC8">
        <v>15291339</v>
      </c>
      <c r="QD8" t="s">
        <v>1857</v>
      </c>
      <c r="SQ8" t="s">
        <v>2231</v>
      </c>
      <c r="SR8" t="s">
        <v>1822</v>
      </c>
      <c r="SS8">
        <v>7.9628000000000004E-2</v>
      </c>
      <c r="ST8">
        <v>7.2083999999999995E-2</v>
      </c>
      <c r="SU8" t="s">
        <v>1806</v>
      </c>
      <c r="SV8">
        <v>2026</v>
      </c>
      <c r="SW8" t="s">
        <v>2232</v>
      </c>
      <c r="SX8" s="6">
        <v>45925</v>
      </c>
      <c r="SY8">
        <v>5</v>
      </c>
      <c r="SZ8">
        <v>588929</v>
      </c>
      <c r="TA8">
        <v>100001</v>
      </c>
      <c r="TB8" t="s">
        <v>2233</v>
      </c>
      <c r="TE8" t="s">
        <v>2113</v>
      </c>
      <c r="TF8">
        <v>4.0292180000000002</v>
      </c>
      <c r="TG8" t="s">
        <v>1822</v>
      </c>
      <c r="TH8">
        <v>0.643204</v>
      </c>
      <c r="TI8" t="s">
        <v>1827</v>
      </c>
      <c r="TJ8">
        <v>2025</v>
      </c>
      <c r="TK8" t="s">
        <v>2109</v>
      </c>
      <c r="TL8" s="6">
        <v>45986</v>
      </c>
      <c r="TM8">
        <v>5</v>
      </c>
      <c r="TN8">
        <v>88955056</v>
      </c>
      <c r="TO8">
        <v>10451815</v>
      </c>
      <c r="TP8" t="s">
        <v>2114</v>
      </c>
    </row>
    <row r="9" spans="1:600" x14ac:dyDescent="0.25">
      <c r="A9" t="s">
        <v>3861</v>
      </c>
      <c r="C9">
        <v>-2.4245362661989844E-14</v>
      </c>
      <c r="D9">
        <v>-2.4245362661989844E-14</v>
      </c>
      <c r="E9" t="s">
        <v>1823</v>
      </c>
      <c r="F9">
        <v>2024</v>
      </c>
      <c r="G9" t="s">
        <v>3862</v>
      </c>
      <c r="H9" s="6">
        <v>45548</v>
      </c>
      <c r="I9">
        <v>5</v>
      </c>
      <c r="J9">
        <v>-2.4245362661989844E-14</v>
      </c>
      <c r="K9">
        <v>8917060</v>
      </c>
      <c r="L9" t="s">
        <v>3863</v>
      </c>
      <c r="O9" t="s">
        <v>3736</v>
      </c>
      <c r="P9">
        <v>-2.4245362661989844E-14</v>
      </c>
      <c r="R9">
        <v>-2.4245362661989844E-14</v>
      </c>
      <c r="S9" t="s">
        <v>1814</v>
      </c>
      <c r="T9">
        <v>2023</v>
      </c>
      <c r="U9" t="s">
        <v>3731</v>
      </c>
      <c r="V9" s="6">
        <v>45182</v>
      </c>
      <c r="W9">
        <v>5</v>
      </c>
      <c r="X9">
        <v>-2.4245362661989844E-14</v>
      </c>
      <c r="Y9">
        <v>8045874</v>
      </c>
      <c r="Z9" t="s">
        <v>3737</v>
      </c>
      <c r="DQ9" t="s">
        <v>979</v>
      </c>
      <c r="DS9">
        <v>-2.4245362661989844E-14</v>
      </c>
      <c r="DT9">
        <v>-2.4245362661989844E-14</v>
      </c>
      <c r="DU9" t="s">
        <v>1814</v>
      </c>
      <c r="DV9">
        <v>2021</v>
      </c>
      <c r="DW9" t="s">
        <v>2048</v>
      </c>
      <c r="DX9" s="6">
        <v>44693</v>
      </c>
      <c r="DY9">
        <v>5</v>
      </c>
      <c r="DZ9">
        <v>-2.4245362661989844E-14</v>
      </c>
      <c r="EA9">
        <v>100193</v>
      </c>
      <c r="EB9" t="s">
        <v>2049</v>
      </c>
      <c r="EE9" t="s">
        <v>4090</v>
      </c>
      <c r="EF9">
        <v>-2.4245362661989844E-14</v>
      </c>
      <c r="EH9">
        <v>-2.4245362661989844E-14</v>
      </c>
      <c r="EI9" t="s">
        <v>1814</v>
      </c>
      <c r="EJ9">
        <v>2022</v>
      </c>
      <c r="EK9" t="s">
        <v>4091</v>
      </c>
      <c r="EL9" s="6">
        <v>44823</v>
      </c>
      <c r="EM9">
        <v>5</v>
      </c>
      <c r="EN9">
        <v>-2.4245362661989844E-14</v>
      </c>
      <c r="EO9">
        <v>384641</v>
      </c>
      <c r="EP9" t="s">
        <v>4092</v>
      </c>
      <c r="JK9" t="s">
        <v>2323</v>
      </c>
      <c r="JL9" t="s">
        <v>1949</v>
      </c>
      <c r="JM9">
        <v>4.7656999999999998E-2</v>
      </c>
      <c r="JN9">
        <v>0.32179200000000002</v>
      </c>
      <c r="JO9" t="s">
        <v>1827</v>
      </c>
      <c r="JP9">
        <v>2024</v>
      </c>
      <c r="JQ9" t="s">
        <v>2324</v>
      </c>
      <c r="JR9" s="6">
        <v>45770</v>
      </c>
      <c r="JS9">
        <v>5</v>
      </c>
      <c r="JT9">
        <v>892312.96</v>
      </c>
      <c r="JU9">
        <v>186659</v>
      </c>
      <c r="JV9" t="s">
        <v>2325</v>
      </c>
      <c r="PE9" t="s">
        <v>1892</v>
      </c>
      <c r="PF9" t="s">
        <v>1893</v>
      </c>
      <c r="PG9">
        <v>5.9742000000000003E-2</v>
      </c>
      <c r="PH9">
        <v>0.18884000000000001</v>
      </c>
      <c r="PI9" t="s">
        <v>1823</v>
      </c>
      <c r="PJ9">
        <v>2025</v>
      </c>
      <c r="PK9" t="s">
        <v>1894</v>
      </c>
      <c r="PL9" s="6">
        <v>45838</v>
      </c>
      <c r="PM9">
        <v>5</v>
      </c>
      <c r="PN9">
        <v>3508648</v>
      </c>
      <c r="PO9">
        <v>101689</v>
      </c>
      <c r="PP9" t="s">
        <v>1895</v>
      </c>
      <c r="PS9" t="s">
        <v>1858</v>
      </c>
      <c r="PT9">
        <v>5.1640000000000002E-3</v>
      </c>
      <c r="PU9" t="s">
        <v>1822</v>
      </c>
      <c r="PV9">
        <v>5.0558560000000003</v>
      </c>
      <c r="PW9" t="s">
        <v>1814</v>
      </c>
      <c r="PX9">
        <v>2024</v>
      </c>
      <c r="PY9" t="s">
        <v>1859</v>
      </c>
      <c r="PZ9" s="6">
        <v>45814</v>
      </c>
      <c r="QA9">
        <v>5</v>
      </c>
      <c r="QB9">
        <v>310853.61</v>
      </c>
      <c r="QC9">
        <v>36034450</v>
      </c>
      <c r="QD9" t="s">
        <v>1860</v>
      </c>
      <c r="SQ9" t="s">
        <v>2234</v>
      </c>
      <c r="SR9" t="s">
        <v>1822</v>
      </c>
      <c r="SS9">
        <v>0.21848899999999999</v>
      </c>
      <c r="ST9">
        <v>9.1699999999999993E-3</v>
      </c>
      <c r="SU9" t="s">
        <v>1827</v>
      </c>
      <c r="SV9">
        <v>2025</v>
      </c>
      <c r="SW9" t="s">
        <v>2235</v>
      </c>
      <c r="SX9" s="6">
        <v>46078</v>
      </c>
      <c r="SY9">
        <v>5</v>
      </c>
      <c r="SZ9">
        <v>80872.160000000003</v>
      </c>
      <c r="TA9">
        <v>109437</v>
      </c>
      <c r="TB9" t="s">
        <v>2236</v>
      </c>
      <c r="TE9" t="s">
        <v>2115</v>
      </c>
      <c r="TF9">
        <v>3.8456359999999998</v>
      </c>
      <c r="TG9" t="s">
        <v>1822</v>
      </c>
      <c r="TH9">
        <v>0.56642899999999996</v>
      </c>
      <c r="TI9" t="s">
        <v>1827</v>
      </c>
      <c r="TJ9">
        <v>2025</v>
      </c>
      <c r="TK9" t="s">
        <v>2109</v>
      </c>
      <c r="TL9" s="6">
        <v>45986</v>
      </c>
      <c r="TM9">
        <v>5</v>
      </c>
      <c r="TN9">
        <v>84902032</v>
      </c>
      <c r="TO9">
        <v>11826145</v>
      </c>
      <c r="TP9" t="s">
        <v>2116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518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519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520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521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522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523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524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525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526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527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528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529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530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531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532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533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534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535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536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537</v>
      </c>
      <c r="AE2" s="3" t="s">
        <v>538</v>
      </c>
      <c r="BI2" s="3" t="s">
        <v>539</v>
      </c>
      <c r="CM2" s="3" t="s">
        <v>540</v>
      </c>
      <c r="DQ2" s="3" t="s">
        <v>541</v>
      </c>
      <c r="EU2" s="3" t="s">
        <v>542</v>
      </c>
      <c r="FY2" s="3" t="s">
        <v>543</v>
      </c>
      <c r="HC2" s="3" t="s">
        <v>467</v>
      </c>
      <c r="IG2" s="3" t="s">
        <v>544</v>
      </c>
      <c r="JK2" s="3" t="s">
        <v>545</v>
      </c>
      <c r="KO2" s="3" t="s">
        <v>546</v>
      </c>
      <c r="LS2" s="3" t="s">
        <v>277</v>
      </c>
      <c r="MW2" s="3" t="s">
        <v>547</v>
      </c>
      <c r="OA2" s="3" t="s">
        <v>548</v>
      </c>
      <c r="PE2" s="3" t="s">
        <v>549</v>
      </c>
      <c r="QI2" s="3" t="s">
        <v>550</v>
      </c>
      <c r="RM2" s="3" t="s">
        <v>506</v>
      </c>
      <c r="SQ2" s="3" t="s">
        <v>551</v>
      </c>
      <c r="TU2" s="3" t="s">
        <v>552</v>
      </c>
      <c r="UY2" s="3" t="s">
        <v>553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_xll.BDS("SPPI US Equity","SUPPLY_CHAIN_SUPPLIERS_ALL_DATA","cols=12;rows=5")</f>
        <v>0031457D US Equity</v>
      </c>
      <c r="C5">
        <v>-2.4245362661989844E-14</v>
      </c>
      <c r="D5">
        <v>-2.4245362661989844E-14</v>
      </c>
      <c r="E5" t="s">
        <v>1806</v>
      </c>
      <c r="F5">
        <v>2023</v>
      </c>
      <c r="G5" t="s">
        <v>2260</v>
      </c>
      <c r="H5" s="6">
        <v>45057</v>
      </c>
      <c r="I5">
        <v>5</v>
      </c>
      <c r="J5">
        <v>-2.4245362661989844E-14</v>
      </c>
      <c r="K5">
        <v>934951</v>
      </c>
      <c r="L5" t="s">
        <v>2261</v>
      </c>
      <c r="O5" t="str">
        <f>_xll.BDS("SPPI US Equity","SUPPLY_CHAIN_CUSTOMERS_ALL_DATA","cols=12;rows=3")</f>
        <v>4272 JP Equity</v>
      </c>
      <c r="P5">
        <v>-2.4245362661989844E-14</v>
      </c>
      <c r="R5">
        <v>-2.4245362661989844E-14</v>
      </c>
      <c r="S5" t="s">
        <v>1814</v>
      </c>
      <c r="T5">
        <v>2023</v>
      </c>
      <c r="U5" t="s">
        <v>2206</v>
      </c>
      <c r="V5" s="6">
        <v>45105</v>
      </c>
      <c r="W5">
        <v>3</v>
      </c>
      <c r="X5">
        <v>-2.4245362661989844E-14</v>
      </c>
      <c r="Y5">
        <v>114368</v>
      </c>
      <c r="Z5" t="s">
        <v>2207</v>
      </c>
      <c r="AE5" t="str">
        <f>_xll.BDS("2860436Q US Equity","SUPPLY_CHAIN_SUPPLIERS_ALL_DATA")</f>
        <v>#N/A N/A</v>
      </c>
      <c r="AS5" t="str">
        <f>_xll.BDS("2860436Q US Equity","SUPPLY_CHAIN_CUSTOMERS_ALL_DATA")</f>
        <v>#N/A N/A</v>
      </c>
      <c r="BI5" t="str">
        <f>_xll.BDS("BFOH US Equity","SUPPLY_CHAIN_SUPPLIERS_ALL_DATA")</f>
        <v>#N/A N/A</v>
      </c>
      <c r="BW5" t="str">
        <f>_xll.BDS("BFOH US Equity","SUPPLY_CHAIN_CUSTOMERS_ALL_DATA")</f>
        <v>#N/A N/A</v>
      </c>
      <c r="CM5" t="str">
        <f>_xll.BDS("FCNCA US Equity","SUPPLY_CHAIN_SUPPLIERS_ALL_DATA","cols=12;rows=5")</f>
        <v>RAIL US Equity</v>
      </c>
      <c r="CN5" t="s">
        <v>1949</v>
      </c>
      <c r="CO5">
        <v>0.17932300000000001</v>
      </c>
      <c r="CP5">
        <v>0.16764100000000001</v>
      </c>
      <c r="CQ5" t="s">
        <v>1806</v>
      </c>
      <c r="CR5">
        <v>2025</v>
      </c>
      <c r="CS5" t="s">
        <v>3751</v>
      </c>
      <c r="CT5" s="6">
        <v>45840</v>
      </c>
      <c r="CU5">
        <v>5</v>
      </c>
      <c r="CV5">
        <v>172670</v>
      </c>
      <c r="CW5">
        <v>9371099</v>
      </c>
      <c r="CX5" t="s">
        <v>3752</v>
      </c>
      <c r="DA5" t="str">
        <f>_xll.BDS("FCNCA US Equity","SUPPLY_CHAIN_CUSTOMERS_ALL_DATA")</f>
        <v>#N/A N/A</v>
      </c>
      <c r="DQ5" t="str">
        <f>_xll.BDS("3111Q US Equity","SUPPLY_CHAIN_SUPPLIERS_ALL_DATA")</f>
        <v>#N/A N/A</v>
      </c>
      <c r="EE5" t="str">
        <f>_xll.BDS("3111Q US Equity","SUPPLY_CHAIN_CUSTOMERS_ALL_DATA")</f>
        <v>#N/A N/A</v>
      </c>
      <c r="EU5" t="str">
        <f>_xll.BDS("GGG US Equity","SUPPLY_CHAIN_SUPPLIERS_ALL_DATA","cols=12;rows=5")</f>
        <v>HUN US Equity</v>
      </c>
      <c r="EV5" t="s">
        <v>1822</v>
      </c>
      <c r="EW5">
        <v>2.5371000000000001E-2</v>
      </c>
      <c r="EX5">
        <v>0.120008</v>
      </c>
      <c r="EY5" t="s">
        <v>1827</v>
      </c>
      <c r="EZ5">
        <v>2025</v>
      </c>
      <c r="FA5" t="s">
        <v>3647</v>
      </c>
      <c r="FB5" s="6">
        <v>46086</v>
      </c>
      <c r="FC5">
        <v>5</v>
      </c>
      <c r="FD5">
        <v>343777</v>
      </c>
      <c r="FE5">
        <v>9188256</v>
      </c>
      <c r="FF5" t="s">
        <v>3648</v>
      </c>
      <c r="FI5" t="str">
        <f>_xll.BDS("GGG US Equity","SUPPLY_CHAIN_CUSTOMERS_ALL_DATA","cols=12;rows=5")</f>
        <v>SHW US Equity</v>
      </c>
      <c r="FJ5">
        <v>8.0509690000000003</v>
      </c>
      <c r="FK5" t="s">
        <v>1822</v>
      </c>
      <c r="FL5">
        <v>1.4403330000000001</v>
      </c>
      <c r="FM5" t="s">
        <v>1823</v>
      </c>
      <c r="FN5">
        <v>2025</v>
      </c>
      <c r="FO5" t="s">
        <v>3886</v>
      </c>
      <c r="FP5" s="6">
        <v>45869</v>
      </c>
      <c r="FQ5">
        <v>5</v>
      </c>
      <c r="FR5">
        <v>46035924</v>
      </c>
      <c r="FS5">
        <v>101341</v>
      </c>
      <c r="FT5" t="s">
        <v>3887</v>
      </c>
      <c r="FY5" t="str">
        <f>_xll.BDS("PDFS US Equity","SUPPLY_CHAIN_SUPPLIERS_ALL_DATA","cols=12;rows=5")</f>
        <v>1462801D US Equity</v>
      </c>
      <c r="GA5">
        <v>-2.4245362661989844E-14</v>
      </c>
      <c r="GB5">
        <v>-2.4245362661989844E-14</v>
      </c>
      <c r="GC5" t="s">
        <v>1814</v>
      </c>
      <c r="GD5">
        <v>2023</v>
      </c>
      <c r="GE5" t="s">
        <v>3543</v>
      </c>
      <c r="GF5" s="6">
        <v>45349</v>
      </c>
      <c r="GG5">
        <v>5</v>
      </c>
      <c r="GH5">
        <v>-2.4245362661989844E-14</v>
      </c>
      <c r="GI5">
        <v>49342481</v>
      </c>
      <c r="GJ5" t="s">
        <v>3544</v>
      </c>
      <c r="GM5" t="str">
        <f>_xll.BDS("PDFS US Equity","SUPPLY_CHAIN_CUSTOMERS_ALL_DATA","cols=12;rows=5")</f>
        <v>005930 KS Equity</v>
      </c>
      <c r="GN5">
        <v>-2.4245362661989844E-14</v>
      </c>
      <c r="GP5">
        <v>-2.4245362661989844E-14</v>
      </c>
      <c r="GQ5" t="s">
        <v>1806</v>
      </c>
      <c r="GR5">
        <v>2024</v>
      </c>
      <c r="GS5" t="s">
        <v>3977</v>
      </c>
      <c r="GT5" s="6">
        <v>45442</v>
      </c>
      <c r="GU5">
        <v>5</v>
      </c>
      <c r="GV5">
        <v>-2.4245362661989844E-14</v>
      </c>
      <c r="GW5">
        <v>117929</v>
      </c>
      <c r="GX5" t="s">
        <v>2103</v>
      </c>
      <c r="HC5" t="str">
        <f>_xll.BDS("PACW US Equity","SUPPLY_CHAIN_SUPPLIERS_ALL_DATA")</f>
        <v>#N/A N/A</v>
      </c>
      <c r="HQ5" t="str">
        <f>_xll.BDS("PACW US Equity","SUPPLY_CHAIN_CUSTOMERS_ALL_DATA")</f>
        <v>SNX US Equity</v>
      </c>
      <c r="IG5" t="str">
        <f>_xll.BDS("ABCB US Equity","SUPPLY_CHAIN_SUPPLIERS_ALL_DATA","cols=12;rows=1")</f>
        <v>5158754Z SS Equity</v>
      </c>
      <c r="II5">
        <v>-2.4245362661989844E-14</v>
      </c>
      <c r="IJ5">
        <v>-2.4245362661989844E-14</v>
      </c>
      <c r="IK5" t="s">
        <v>1814</v>
      </c>
      <c r="IL5">
        <v>2024</v>
      </c>
      <c r="IM5" t="s">
        <v>2122</v>
      </c>
      <c r="IN5" s="6">
        <v>45411</v>
      </c>
      <c r="IO5">
        <v>1</v>
      </c>
      <c r="IP5">
        <v>-2.4245362661989844E-14</v>
      </c>
      <c r="IQ5">
        <v>21680435</v>
      </c>
      <c r="IR5" t="s">
        <v>2123</v>
      </c>
      <c r="IU5" t="str">
        <f>_xll.BDS("ABCB US Equity","SUPPLY_CHAIN_CUSTOMERS_ALL_DATA")</f>
        <v>#N/A N/A</v>
      </c>
      <c r="JK5" t="str">
        <f>_xll.BDS("1523873D US Equity","SUPPLY_CHAIN_SUPPLIERS_ALL_DATA")</f>
        <v>#N/A N/A</v>
      </c>
      <c r="JY5" t="str">
        <f>_xll.BDS("1523873D US Equity","SUPPLY_CHAIN_CUSTOMERS_ALL_DATA")</f>
        <v>#N/A N/A</v>
      </c>
      <c r="KO5" t="str">
        <f>_xll.BDS("IHR US Equity","SUPPLY_CHAIN_SUPPLIERS_ALL_DATA")</f>
        <v>#N/A N/A</v>
      </c>
      <c r="LC5" t="str">
        <f>_xll.BDS("IHR US Equity","SUPPLY_CHAIN_CUSTOMERS_ALL_DATA")</f>
        <v>#N/A N/A</v>
      </c>
      <c r="LS5" t="str">
        <f>_xll.BDS("UCB US Equity","SUPPLY_CHAIN_SUPPLIERS_ALL_DATA")</f>
        <v>3764228Z US Equity</v>
      </c>
      <c r="MG5" t="str">
        <f>_xll.BDS("UCB US Equity","SUPPLY_CHAIN_CUSTOMERS_ALL_DATA")</f>
        <v>#N/A N/A</v>
      </c>
      <c r="MW5" t="str">
        <f>_xll.BDS("EVBN US Equity","SUPPLY_CHAIN_SUPPLIERS_ALL_DATA")</f>
        <v>#N/A N/A</v>
      </c>
      <c r="NK5" t="str">
        <f>_xll.BDS("EVBN US Equity","SUPPLY_CHAIN_CUSTOMERS_ALL_DATA")</f>
        <v>#N/A N/A</v>
      </c>
      <c r="OA5" t="str">
        <f>_xll.BDS("RVSB US Equity","SUPPLY_CHAIN_SUPPLIERS_ALL_DATA")</f>
        <v>#N/A N/A</v>
      </c>
      <c r="OO5" t="str">
        <f>_xll.BDS("RVSB US Equity","SUPPLY_CHAIN_CUSTOMERS_ALL_DATA")</f>
        <v>#N/A N/A</v>
      </c>
      <c r="PE5" t="str">
        <f>_xll.BDS("HBCP US Equity","SUPPLY_CHAIN_SUPPLIERS_ALL_DATA")</f>
        <v>#N/A N/A</v>
      </c>
      <c r="PS5" t="str">
        <f>_xll.BDS("HBCP US Equity","SUPPLY_CHAIN_CUSTOMERS_ALL_DATA")</f>
        <v>#N/A N/A</v>
      </c>
      <c r="QI5" t="str">
        <f>_xll.BDS("1608358D US Equity","SUPPLY_CHAIN_SUPPLIERS_ALL_DATA")</f>
        <v>#N/A N/A</v>
      </c>
      <c r="QW5" t="str">
        <f>_xll.BDS("1608358D US Equity","SUPPLY_CHAIN_CUSTOMERS_ALL_DATA")</f>
        <v>#N/A N/A</v>
      </c>
      <c r="RM5" t="str">
        <f>_xll.BDS("FCBC US Equity","SUPPLY_CHAIN_SUPPLIERS_ALL_DATA")</f>
        <v>#N/A N/A</v>
      </c>
      <c r="SA5" t="str">
        <f>_xll.BDS("FCBC US Equity","SUPPLY_CHAIN_CUSTOMERS_ALL_DATA")</f>
        <v>#N/A N/A</v>
      </c>
      <c r="SQ5" t="str">
        <f>_xll.BDS("MBHIQ US Equity","SUPPLY_CHAIN_SUPPLIERS_ALL_DATA")</f>
        <v>#N/A N/A</v>
      </c>
      <c r="TE5" t="str">
        <f>_xll.BDS("MBHIQ US Equity","SUPPLY_CHAIN_CUSTOMERS_ALL_DATA")</f>
        <v>#N/A N/A</v>
      </c>
      <c r="TU5" t="str">
        <f>_xll.BDS("SNBC US Equity","SUPPLY_CHAIN_SUPPLIERS_ALL_DATA")</f>
        <v>#N/A N/A</v>
      </c>
      <c r="UI5" t="str">
        <f>_xll.BDS("SNBC US Equity","SUPPLY_CHAIN_CUSTOMERS_ALL_DATA")</f>
        <v>#N/A N/A</v>
      </c>
      <c r="UY5" t="str">
        <f>_xll.BDS("IXYS US Equity","SUPPLY_CHAIN_SUPPLIERS_ALL_DATA")</f>
        <v>#N/A N/A</v>
      </c>
      <c r="VM5" t="str">
        <f>_xll.BDS("IXYS US Equity","SUPPLY_CHAIN_CUSTOMERS_ALL_DATA")</f>
        <v>#N/A N/A</v>
      </c>
    </row>
    <row r="6" spans="1:600" x14ac:dyDescent="0.25">
      <c r="A6" t="s">
        <v>2262</v>
      </c>
      <c r="C6">
        <v>-2.4245362661989844E-14</v>
      </c>
      <c r="D6">
        <v>-2.4245362661989844E-14</v>
      </c>
      <c r="E6" t="s">
        <v>1823</v>
      </c>
      <c r="F6">
        <v>2022</v>
      </c>
      <c r="G6" t="s">
        <v>2263</v>
      </c>
      <c r="H6" s="6">
        <v>44785</v>
      </c>
      <c r="I6">
        <v>5</v>
      </c>
      <c r="J6">
        <v>-2.4245362661989844E-14</v>
      </c>
      <c r="K6">
        <v>17277872</v>
      </c>
      <c r="L6" t="s">
        <v>2264</v>
      </c>
      <c r="O6" t="s">
        <v>2208</v>
      </c>
      <c r="P6">
        <v>-2.4245362661989844E-14</v>
      </c>
      <c r="R6">
        <v>-2.4245362661989844E-14</v>
      </c>
      <c r="S6" t="s">
        <v>1814</v>
      </c>
      <c r="T6">
        <v>2021</v>
      </c>
      <c r="U6" t="s">
        <v>2209</v>
      </c>
      <c r="V6" s="6">
        <v>44648</v>
      </c>
      <c r="W6">
        <v>3</v>
      </c>
      <c r="X6">
        <v>-2.4245362661989844E-14</v>
      </c>
      <c r="Y6">
        <v>70886497</v>
      </c>
      <c r="Z6" t="s">
        <v>2210</v>
      </c>
      <c r="CM6" t="s">
        <v>3753</v>
      </c>
      <c r="CO6">
        <v>-2.4245362661989844E-14</v>
      </c>
      <c r="CP6">
        <v>-2.4245362661989844E-14</v>
      </c>
      <c r="CQ6" t="s">
        <v>1814</v>
      </c>
      <c r="CR6">
        <v>2023</v>
      </c>
      <c r="CS6" t="s">
        <v>3754</v>
      </c>
      <c r="CT6" s="6">
        <v>45408</v>
      </c>
      <c r="CU6">
        <v>5</v>
      </c>
      <c r="CV6">
        <v>-2.4245362661989844E-14</v>
      </c>
      <c r="CW6">
        <v>31730105</v>
      </c>
      <c r="CX6" t="s">
        <v>3755</v>
      </c>
      <c r="EU6" t="s">
        <v>2269</v>
      </c>
      <c r="EW6">
        <v>-2.4245362661989844E-14</v>
      </c>
      <c r="EX6">
        <v>-2.4245362661989844E-14</v>
      </c>
      <c r="EY6" t="s">
        <v>1814</v>
      </c>
      <c r="EZ6">
        <v>2022</v>
      </c>
      <c r="FA6" t="s">
        <v>2270</v>
      </c>
      <c r="FB6" s="6">
        <v>44693</v>
      </c>
      <c r="FC6">
        <v>5</v>
      </c>
      <c r="FD6">
        <v>-2.4245362661989844E-14</v>
      </c>
      <c r="FE6">
        <v>114991</v>
      </c>
      <c r="FF6" t="s">
        <v>2271</v>
      </c>
      <c r="FI6" t="s">
        <v>3958</v>
      </c>
      <c r="FJ6">
        <v>-2.4245362661989844E-14</v>
      </c>
      <c r="FL6">
        <v>-2.4245362661989844E-14</v>
      </c>
      <c r="FM6" t="s">
        <v>2266</v>
      </c>
      <c r="FN6">
        <v>2024</v>
      </c>
      <c r="FO6" t="s">
        <v>3959</v>
      </c>
      <c r="FP6" s="6">
        <v>45428</v>
      </c>
      <c r="FQ6">
        <v>5</v>
      </c>
      <c r="FR6">
        <v>-2.4245362661989844E-14</v>
      </c>
      <c r="FS6">
        <v>129207</v>
      </c>
      <c r="FT6" t="s">
        <v>3960</v>
      </c>
      <c r="FY6" t="s">
        <v>3545</v>
      </c>
      <c r="GA6">
        <v>-2.4245362661989844E-14</v>
      </c>
      <c r="GB6">
        <v>-2.4245362661989844E-14</v>
      </c>
      <c r="GC6" t="s">
        <v>1814</v>
      </c>
      <c r="GD6">
        <v>2023</v>
      </c>
      <c r="GE6" t="s">
        <v>3543</v>
      </c>
      <c r="GF6" s="6">
        <v>45349</v>
      </c>
      <c r="GG6">
        <v>5</v>
      </c>
      <c r="GH6">
        <v>-2.4245362661989844E-14</v>
      </c>
      <c r="GI6">
        <v>64313150</v>
      </c>
      <c r="GJ6" t="s">
        <v>3546</v>
      </c>
      <c r="GM6" t="s">
        <v>3978</v>
      </c>
      <c r="GN6">
        <v>-2.4245362661989844E-14</v>
      </c>
      <c r="GP6">
        <v>-2.4245362661989844E-14</v>
      </c>
      <c r="GQ6" t="s">
        <v>1806</v>
      </c>
      <c r="GR6">
        <v>2024</v>
      </c>
      <c r="GS6" t="s">
        <v>3977</v>
      </c>
      <c r="GT6" s="6">
        <v>45442</v>
      </c>
      <c r="GU6">
        <v>5</v>
      </c>
      <c r="GV6">
        <v>-2.4245362661989844E-14</v>
      </c>
      <c r="GW6">
        <v>118133</v>
      </c>
      <c r="GX6" t="s">
        <v>3979</v>
      </c>
    </row>
    <row r="7" spans="1:600" x14ac:dyDescent="0.25">
      <c r="A7" t="s">
        <v>2265</v>
      </c>
      <c r="C7">
        <v>-2.4245362661989844E-14</v>
      </c>
      <c r="D7">
        <v>-2.4245362661989844E-14</v>
      </c>
      <c r="E7" t="s">
        <v>2266</v>
      </c>
      <c r="F7">
        <v>2023</v>
      </c>
      <c r="G7" t="s">
        <v>2267</v>
      </c>
      <c r="H7" s="6">
        <v>45061</v>
      </c>
      <c r="I7">
        <v>5</v>
      </c>
      <c r="J7">
        <v>-2.4245362661989844E-14</v>
      </c>
      <c r="K7">
        <v>18488695</v>
      </c>
      <c r="L7" t="s">
        <v>2268</v>
      </c>
      <c r="O7" t="s">
        <v>2211</v>
      </c>
      <c r="P7">
        <v>-2.4245362661989844E-14</v>
      </c>
      <c r="R7">
        <v>-2.4245362661989844E-14</v>
      </c>
      <c r="S7" t="s">
        <v>1814</v>
      </c>
      <c r="T7">
        <v>2022</v>
      </c>
      <c r="U7" t="s">
        <v>2212</v>
      </c>
      <c r="V7" s="6">
        <v>44987</v>
      </c>
      <c r="W7">
        <v>3</v>
      </c>
      <c r="X7">
        <v>-2.4245362661989844E-14</v>
      </c>
      <c r="Y7">
        <v>102753</v>
      </c>
      <c r="Z7" t="s">
        <v>2213</v>
      </c>
      <c r="CM7" t="s">
        <v>2111</v>
      </c>
      <c r="CO7">
        <v>-2.4245362661989844E-14</v>
      </c>
      <c r="CP7">
        <v>-2.4245362661989844E-14</v>
      </c>
      <c r="CQ7" t="s">
        <v>2342</v>
      </c>
      <c r="CR7">
        <v>2025</v>
      </c>
      <c r="CS7" t="s">
        <v>3756</v>
      </c>
      <c r="CT7" s="6">
        <v>45846</v>
      </c>
      <c r="CU7">
        <v>5</v>
      </c>
      <c r="CV7">
        <v>-2.4245362661989844E-14</v>
      </c>
      <c r="CW7">
        <v>876285</v>
      </c>
      <c r="CX7" t="s">
        <v>2112</v>
      </c>
      <c r="EU7" t="s">
        <v>3649</v>
      </c>
      <c r="EW7">
        <v>-2.4245362661989844E-14</v>
      </c>
      <c r="EX7">
        <v>-2.4245362661989844E-14</v>
      </c>
      <c r="EY7" t="s">
        <v>1814</v>
      </c>
      <c r="EZ7">
        <v>2022</v>
      </c>
      <c r="FA7" t="s">
        <v>3650</v>
      </c>
      <c r="FB7" s="6">
        <v>44693</v>
      </c>
      <c r="FC7">
        <v>5</v>
      </c>
      <c r="FD7">
        <v>-2.4245362661989844E-14</v>
      </c>
      <c r="FE7">
        <v>114697</v>
      </c>
      <c r="FF7" t="s">
        <v>3651</v>
      </c>
      <c r="FI7" t="s">
        <v>3961</v>
      </c>
      <c r="FJ7">
        <v>-2.4245362661989844E-14</v>
      </c>
      <c r="FL7">
        <v>-2.4245362661989844E-14</v>
      </c>
      <c r="FM7" t="s">
        <v>1806</v>
      </c>
      <c r="FN7">
        <v>2024</v>
      </c>
      <c r="FO7" t="s">
        <v>3962</v>
      </c>
      <c r="FP7" s="6">
        <v>45413</v>
      </c>
      <c r="FQ7">
        <v>5</v>
      </c>
      <c r="FR7">
        <v>-2.4245362661989844E-14</v>
      </c>
      <c r="FS7">
        <v>28948861</v>
      </c>
      <c r="FT7" t="s">
        <v>3963</v>
      </c>
      <c r="FY7" t="s">
        <v>3547</v>
      </c>
      <c r="GA7">
        <v>-2.4245362661989844E-14</v>
      </c>
      <c r="GB7">
        <v>-2.4245362661989844E-14</v>
      </c>
      <c r="GC7" t="s">
        <v>1814</v>
      </c>
      <c r="GD7">
        <v>2023</v>
      </c>
      <c r="GE7" t="s">
        <v>3543</v>
      </c>
      <c r="GF7" s="6">
        <v>45349</v>
      </c>
      <c r="GG7">
        <v>5</v>
      </c>
      <c r="GH7">
        <v>-2.4245362661989844E-14</v>
      </c>
      <c r="GI7">
        <v>113278</v>
      </c>
      <c r="GJ7" t="s">
        <v>3548</v>
      </c>
      <c r="GM7" t="s">
        <v>3980</v>
      </c>
      <c r="GN7">
        <v>-2.4245362661989844E-14</v>
      </c>
      <c r="GP7">
        <v>-2.4245362661989844E-14</v>
      </c>
      <c r="GQ7" t="s">
        <v>1806</v>
      </c>
      <c r="GR7">
        <v>2024</v>
      </c>
      <c r="GS7" t="s">
        <v>3977</v>
      </c>
      <c r="GT7" s="6">
        <v>45442</v>
      </c>
      <c r="GU7">
        <v>5</v>
      </c>
      <c r="GV7">
        <v>-2.4245362661989844E-14</v>
      </c>
      <c r="GW7">
        <v>119133</v>
      </c>
      <c r="GX7" t="s">
        <v>3981</v>
      </c>
    </row>
    <row r="8" spans="1:600" x14ac:dyDescent="0.25">
      <c r="A8" t="s">
        <v>2269</v>
      </c>
      <c r="C8">
        <v>-2.4245362661989844E-14</v>
      </c>
      <c r="D8">
        <v>-2.4245362661989844E-14</v>
      </c>
      <c r="E8" t="s">
        <v>1814</v>
      </c>
      <c r="F8">
        <v>2022</v>
      </c>
      <c r="G8" t="s">
        <v>2270</v>
      </c>
      <c r="H8" s="6">
        <v>44693</v>
      </c>
      <c r="I8">
        <v>5</v>
      </c>
      <c r="J8">
        <v>-2.4245362661989844E-14</v>
      </c>
      <c r="K8">
        <v>114991</v>
      </c>
      <c r="L8" t="s">
        <v>2271</v>
      </c>
      <c r="CM8" t="s">
        <v>3757</v>
      </c>
      <c r="CO8">
        <v>-2.4245362661989844E-14</v>
      </c>
      <c r="CP8">
        <v>-2.4245362661989844E-14</v>
      </c>
      <c r="CQ8" t="s">
        <v>1814</v>
      </c>
      <c r="CR8">
        <v>2024</v>
      </c>
      <c r="CS8" t="s">
        <v>3758</v>
      </c>
      <c r="CT8" s="6">
        <v>45748</v>
      </c>
      <c r="CU8">
        <v>5</v>
      </c>
      <c r="CV8">
        <v>-2.4245362661989844E-14</v>
      </c>
      <c r="CW8">
        <v>158756</v>
      </c>
      <c r="CX8" t="s">
        <v>3759</v>
      </c>
      <c r="EU8" t="s">
        <v>2045</v>
      </c>
      <c r="EW8">
        <v>-2.4245362661989844E-14</v>
      </c>
      <c r="EX8">
        <v>-2.4245362661989844E-14</v>
      </c>
      <c r="EY8" t="s">
        <v>1814</v>
      </c>
      <c r="EZ8">
        <v>2021</v>
      </c>
      <c r="FA8" t="s">
        <v>2046</v>
      </c>
      <c r="FB8" s="6">
        <v>44693</v>
      </c>
      <c r="FC8">
        <v>5</v>
      </c>
      <c r="FD8">
        <v>-2.4245362661989844E-14</v>
      </c>
      <c r="FE8">
        <v>101690</v>
      </c>
      <c r="FF8" t="s">
        <v>2047</v>
      </c>
      <c r="FI8" t="s">
        <v>3964</v>
      </c>
      <c r="FJ8">
        <v>-2.4245362661989844E-14</v>
      </c>
      <c r="FL8">
        <v>-2.4245362661989844E-14</v>
      </c>
      <c r="FM8" t="s">
        <v>1806</v>
      </c>
      <c r="FN8">
        <v>2024</v>
      </c>
      <c r="FO8" t="s">
        <v>3962</v>
      </c>
      <c r="FP8" s="6">
        <v>45413</v>
      </c>
      <c r="FQ8">
        <v>5</v>
      </c>
      <c r="FR8">
        <v>-2.4245362661989844E-14</v>
      </c>
      <c r="FS8">
        <v>66692922</v>
      </c>
      <c r="FT8" t="s">
        <v>3965</v>
      </c>
      <c r="FY8" t="s">
        <v>3549</v>
      </c>
      <c r="GA8">
        <v>-2.4245362661989844E-14</v>
      </c>
      <c r="GB8">
        <v>-2.4245362661989844E-14</v>
      </c>
      <c r="GC8" t="s">
        <v>1814</v>
      </c>
      <c r="GD8">
        <v>2023</v>
      </c>
      <c r="GE8" t="s">
        <v>3543</v>
      </c>
      <c r="GF8" s="6">
        <v>45349</v>
      </c>
      <c r="GG8">
        <v>5</v>
      </c>
      <c r="GH8">
        <v>-2.4245362661989844E-14</v>
      </c>
      <c r="GI8">
        <v>104922</v>
      </c>
      <c r="GJ8" t="s">
        <v>3550</v>
      </c>
      <c r="GM8" t="s">
        <v>1935</v>
      </c>
      <c r="GN8">
        <v>-2.4245362661989844E-14</v>
      </c>
      <c r="GP8">
        <v>-2.4245362661989844E-14</v>
      </c>
      <c r="GQ8" t="s">
        <v>1806</v>
      </c>
      <c r="GR8">
        <v>2024</v>
      </c>
      <c r="GS8" t="s">
        <v>3977</v>
      </c>
      <c r="GT8" s="6">
        <v>45442</v>
      </c>
      <c r="GU8">
        <v>5</v>
      </c>
      <c r="GV8">
        <v>-2.4245362661989844E-14</v>
      </c>
      <c r="GW8">
        <v>153737</v>
      </c>
      <c r="GX8" t="s">
        <v>1937</v>
      </c>
    </row>
    <row r="9" spans="1:600" x14ac:dyDescent="0.25">
      <c r="A9" t="s">
        <v>2272</v>
      </c>
      <c r="C9">
        <v>-2.4245362661989844E-14</v>
      </c>
      <c r="D9">
        <v>-2.4245362661989844E-14</v>
      </c>
      <c r="E9" t="s">
        <v>1814</v>
      </c>
      <c r="F9">
        <v>2021</v>
      </c>
      <c r="G9" t="s">
        <v>2273</v>
      </c>
      <c r="H9" s="6">
        <v>44693</v>
      </c>
      <c r="I9">
        <v>5</v>
      </c>
      <c r="J9">
        <v>-2.4245362661989844E-14</v>
      </c>
      <c r="K9">
        <v>101315</v>
      </c>
      <c r="L9" t="s">
        <v>2274</v>
      </c>
      <c r="CM9" t="s">
        <v>3760</v>
      </c>
      <c r="CO9">
        <v>-2.4245362661989844E-14</v>
      </c>
      <c r="CP9">
        <v>-2.4245362661989844E-14</v>
      </c>
      <c r="CQ9" t="s">
        <v>1806</v>
      </c>
      <c r="CR9">
        <v>2024</v>
      </c>
      <c r="CS9" t="s">
        <v>3761</v>
      </c>
      <c r="CT9" s="6">
        <v>45342</v>
      </c>
      <c r="CU9">
        <v>5</v>
      </c>
      <c r="CV9">
        <v>-2.4245362661989844E-14</v>
      </c>
      <c r="CW9">
        <v>148067</v>
      </c>
      <c r="CX9" t="s">
        <v>3762</v>
      </c>
      <c r="EU9" t="s">
        <v>979</v>
      </c>
      <c r="EW9">
        <v>-2.4245362661989844E-14</v>
      </c>
      <c r="EX9">
        <v>-2.4245362661989844E-14</v>
      </c>
      <c r="EY9" t="s">
        <v>1814</v>
      </c>
      <c r="EZ9">
        <v>2021</v>
      </c>
      <c r="FA9" t="s">
        <v>2048</v>
      </c>
      <c r="FB9" s="6">
        <v>44693</v>
      </c>
      <c r="FC9">
        <v>5</v>
      </c>
      <c r="FD9">
        <v>-2.4245362661989844E-14</v>
      </c>
      <c r="FE9">
        <v>100193</v>
      </c>
      <c r="FF9" t="s">
        <v>2049</v>
      </c>
      <c r="FI9" t="s">
        <v>3966</v>
      </c>
      <c r="FJ9">
        <v>-2.4245362661989844E-14</v>
      </c>
      <c r="FL9">
        <v>-2.4245362661989844E-14</v>
      </c>
      <c r="FM9" t="s">
        <v>1971</v>
      </c>
      <c r="FN9">
        <v>2023</v>
      </c>
      <c r="FO9" t="s">
        <v>3967</v>
      </c>
      <c r="FP9" s="6">
        <v>45167</v>
      </c>
      <c r="FQ9">
        <v>5</v>
      </c>
      <c r="FR9">
        <v>-2.4245362661989844E-14</v>
      </c>
      <c r="FS9">
        <v>18566218</v>
      </c>
      <c r="FT9" t="s">
        <v>3968</v>
      </c>
      <c r="FY9" t="s">
        <v>3551</v>
      </c>
      <c r="GA9">
        <v>-2.4245362661989844E-14</v>
      </c>
      <c r="GB9">
        <v>-2.4245362661989844E-14</v>
      </c>
      <c r="GC9" t="s">
        <v>1814</v>
      </c>
      <c r="GD9">
        <v>2023</v>
      </c>
      <c r="GE9" t="s">
        <v>3543</v>
      </c>
      <c r="GF9" s="6">
        <v>45349</v>
      </c>
      <c r="GG9">
        <v>5</v>
      </c>
      <c r="GH9">
        <v>-2.4245362661989844E-14</v>
      </c>
      <c r="GI9">
        <v>118412</v>
      </c>
      <c r="GJ9" t="s">
        <v>3552</v>
      </c>
      <c r="GM9" t="s">
        <v>1985</v>
      </c>
      <c r="GN9">
        <v>-2.4245362661989844E-14</v>
      </c>
      <c r="GP9">
        <v>-2.4245362661989844E-14</v>
      </c>
      <c r="GQ9" t="s">
        <v>1806</v>
      </c>
      <c r="GR9">
        <v>2024</v>
      </c>
      <c r="GS9" t="s">
        <v>3977</v>
      </c>
      <c r="GT9" s="6">
        <v>45442</v>
      </c>
      <c r="GU9">
        <v>5</v>
      </c>
      <c r="GV9">
        <v>-2.4245362661989844E-14</v>
      </c>
      <c r="GW9">
        <v>7359591</v>
      </c>
      <c r="GX9" t="s">
        <v>1987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555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556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557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558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559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560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561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562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563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564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565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566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567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568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569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570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571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572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573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574</v>
      </c>
      <c r="AE2" s="3" t="s">
        <v>25</v>
      </c>
      <c r="BI2" s="3" t="s">
        <v>575</v>
      </c>
      <c r="CM2" s="3" t="s">
        <v>576</v>
      </c>
      <c r="DQ2" s="3" t="s">
        <v>577</v>
      </c>
      <c r="EU2" s="3" t="s">
        <v>578</v>
      </c>
      <c r="FY2" s="3" t="s">
        <v>579</v>
      </c>
      <c r="HC2" s="3" t="s">
        <v>580</v>
      </c>
      <c r="IG2" s="3" t="s">
        <v>581</v>
      </c>
      <c r="JK2" s="3" t="s">
        <v>582</v>
      </c>
      <c r="KO2" s="3" t="s">
        <v>583</v>
      </c>
      <c r="LS2" s="3" t="s">
        <v>584</v>
      </c>
      <c r="MW2" s="3" t="s">
        <v>585</v>
      </c>
      <c r="OA2" s="3" t="s">
        <v>586</v>
      </c>
      <c r="PE2" s="3" t="s">
        <v>587</v>
      </c>
      <c r="QI2" s="3" t="s">
        <v>588</v>
      </c>
      <c r="RM2" s="3" t="s">
        <v>589</v>
      </c>
      <c r="SQ2" s="3" t="s">
        <v>590</v>
      </c>
      <c r="TU2" s="3" t="s">
        <v>591</v>
      </c>
      <c r="UY2" s="3" t="s">
        <v>592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_xll.BDS("2347450D US Equity","SUPPLY_CHAIN_SUPPLIERS_ALL_DATA")</f>
        <v>#N/A N/A</v>
      </c>
      <c r="O5" t="str">
        <f>_xll.BDS("2347450D US Equity","SUPPLY_CHAIN_CUSTOMERS_ALL_DATA")</f>
        <v>#N/A N/A</v>
      </c>
      <c r="AE5" t="str">
        <f>_xll.BDS("355488Q US Equity","SUPPLY_CHAIN_SUPPLIERS_ALL_DATA")</f>
        <v>#N/A N/A</v>
      </c>
      <c r="AS5" t="str">
        <f>_xll.BDS("355488Q US Equity","SUPPLY_CHAIN_CUSTOMERS_ALL_DATA")</f>
        <v>#N/A N/A</v>
      </c>
      <c r="BI5" t="str">
        <f>_xll.BDS("CYT US Equity","SUPPLY_CHAIN_SUPPLIERS_ALL_DATA")</f>
        <v>#N/A N/A</v>
      </c>
      <c r="BW5" t="str">
        <f>_xll.BDS("CYT US Equity","SUPPLY_CHAIN_CUSTOMERS_ALL_DATA")</f>
        <v>#N/A N/A</v>
      </c>
      <c r="CM5" t="str">
        <f>_xll.BDS("FNWD US Equity","SUPPLY_CHAIN_SUPPLIERS_ALL_DATA")</f>
        <v>#N/A N/A</v>
      </c>
      <c r="DA5" t="str">
        <f>_xll.BDS("FNWD US Equity","SUPPLY_CHAIN_CUSTOMERS_ALL_DATA")</f>
        <v>#N/A N/A</v>
      </c>
      <c r="DQ5" t="str">
        <f>_xll.BDS("ORRF US Equity","SUPPLY_CHAIN_SUPPLIERS_ALL_DATA")</f>
        <v>#N/A N/A</v>
      </c>
      <c r="EE5" t="str">
        <f>_xll.BDS("ORRF US Equity","SUPPLY_CHAIN_CUSTOMERS_ALL_DATA")</f>
        <v>#N/A N/A</v>
      </c>
      <c r="EU5" t="str">
        <f>_xll.BDS("AREN US Equity","SUPPLY_CHAIN_SUPPLIERS_ALL_DATA","cols=12;rows=3")</f>
        <v>1801096D US Equity</v>
      </c>
      <c r="EW5">
        <v>-2.4245362661989844E-14</v>
      </c>
      <c r="EX5">
        <v>-2.4245362661989844E-14</v>
      </c>
      <c r="EY5" t="s">
        <v>1806</v>
      </c>
      <c r="EZ5">
        <v>2023</v>
      </c>
      <c r="FA5" t="s">
        <v>3990</v>
      </c>
      <c r="FB5" s="6">
        <v>45070</v>
      </c>
      <c r="FC5">
        <v>3</v>
      </c>
      <c r="FD5">
        <v>-2.4245362661989844E-14</v>
      </c>
      <c r="FE5">
        <v>67926808</v>
      </c>
      <c r="FF5" t="s">
        <v>3991</v>
      </c>
      <c r="FI5" t="str">
        <f>_xll.BDS("AREN US Equity","SUPPLY_CHAIN_CUSTOMERS_ALL_DATA","cols=12;rows=1")</f>
        <v>MARK US Equity</v>
      </c>
      <c r="FJ5">
        <v>-2.4245362661989844E-14</v>
      </c>
      <c r="FL5">
        <v>-2.4245362661989844E-14</v>
      </c>
      <c r="FM5" t="s">
        <v>1814</v>
      </c>
      <c r="FN5">
        <v>2023</v>
      </c>
      <c r="FO5" t="s">
        <v>3951</v>
      </c>
      <c r="FP5" s="6">
        <v>45397</v>
      </c>
      <c r="FQ5">
        <v>1</v>
      </c>
      <c r="FR5">
        <v>-2.4245362661989844E-14</v>
      </c>
      <c r="FS5">
        <v>10755425</v>
      </c>
      <c r="FT5" t="s">
        <v>3952</v>
      </c>
      <c r="FY5" t="str">
        <f>_xll.BDS("INVX US Equity","SUPPLY_CHAIN_SUPPLIERS_ALL_DATA","cols=12;rows=5")</f>
        <v>CNP US Equity</v>
      </c>
      <c r="GA5">
        <v>-2.4245362661989844E-14</v>
      </c>
      <c r="GB5">
        <v>-2.4245362661989844E-14</v>
      </c>
      <c r="GC5" t="s">
        <v>1814</v>
      </c>
      <c r="GD5">
        <v>2021</v>
      </c>
      <c r="GE5" t="s">
        <v>2364</v>
      </c>
      <c r="GF5" s="6">
        <v>44693</v>
      </c>
      <c r="GG5">
        <v>5</v>
      </c>
      <c r="GH5">
        <v>-2.4245362661989844E-14</v>
      </c>
      <c r="GI5">
        <v>100760</v>
      </c>
      <c r="GJ5" t="s">
        <v>2365</v>
      </c>
      <c r="GM5" t="str">
        <f>_xll.BDS("INVX US Equity","SUPPLY_CHAIN_CUSTOMERS_ALL_DATA","cols=12;rows=5")</f>
        <v>1232Z MM Equity</v>
      </c>
      <c r="GN5">
        <v>-2.4245362661989844E-14</v>
      </c>
      <c r="GP5">
        <v>-2.4245362661989844E-14</v>
      </c>
      <c r="GQ5" t="s">
        <v>1827</v>
      </c>
      <c r="GR5">
        <v>2023</v>
      </c>
      <c r="GS5" t="s">
        <v>2601</v>
      </c>
      <c r="GT5" s="6">
        <v>45348</v>
      </c>
      <c r="GU5">
        <v>5</v>
      </c>
      <c r="GV5">
        <v>-2.4245362661989844E-14</v>
      </c>
      <c r="GW5">
        <v>143123</v>
      </c>
      <c r="GX5" t="s">
        <v>2602</v>
      </c>
      <c r="HC5" t="str">
        <f>_xll.BDS("1040983D US Equity","SUPPLY_CHAIN_SUPPLIERS_ALL_DATA","cols=12;rows=1")</f>
        <v>6109 TT Equity</v>
      </c>
      <c r="HE5">
        <v>-2.4245362661989844E-14</v>
      </c>
      <c r="HF5">
        <v>-2.4245362661989844E-14</v>
      </c>
      <c r="HG5" t="s">
        <v>1814</v>
      </c>
      <c r="HH5">
        <v>2022</v>
      </c>
      <c r="HI5" t="s">
        <v>4280</v>
      </c>
      <c r="HJ5" s="6">
        <v>45057</v>
      </c>
      <c r="HK5">
        <v>1</v>
      </c>
      <c r="HL5">
        <v>-2.4245362661989844E-14</v>
      </c>
      <c r="HM5">
        <v>7370309</v>
      </c>
      <c r="HN5" t="s">
        <v>4281</v>
      </c>
      <c r="HQ5" t="str">
        <f>_xll.BDS("1040983D US Equity","SUPPLY_CHAIN_CUSTOMERS_ALL_DATA","cols=12;rows=2")</f>
        <v>6189 TT Equity</v>
      </c>
      <c r="HR5">
        <v>-2.4245362661989844E-14</v>
      </c>
      <c r="HT5">
        <v>-2.4245362661989844E-14</v>
      </c>
      <c r="HU5" t="s">
        <v>1814</v>
      </c>
      <c r="HV5">
        <v>2022</v>
      </c>
      <c r="HW5" t="s">
        <v>4373</v>
      </c>
      <c r="HX5" s="6">
        <v>45064</v>
      </c>
      <c r="HY5">
        <v>2</v>
      </c>
      <c r="HZ5">
        <v>-2.4245362661989844E-14</v>
      </c>
      <c r="IA5">
        <v>7715008</v>
      </c>
      <c r="IB5" t="s">
        <v>4374</v>
      </c>
      <c r="IG5" t="str">
        <f>_xll.BDS("1368189D US Equity","SUPPLY_CHAIN_SUPPLIERS_ALL_DATA")</f>
        <v>#N/A N/A</v>
      </c>
      <c r="IU5" t="str">
        <f>_xll.BDS("1368189D US Equity","SUPPLY_CHAIN_CUSTOMERS_ALL_DATA")</f>
        <v>#N/A N/A</v>
      </c>
      <c r="JK5" t="str">
        <f>_xll.BDS("EFII US Equity","SUPPLY_CHAIN_SUPPLIERS_ALL_DATA","cols=12;rows=5")</f>
        <v>AQN CN Equity</v>
      </c>
      <c r="JM5">
        <v>-2.4245362661989844E-14</v>
      </c>
      <c r="JN5">
        <v>-2.4245362661989844E-14</v>
      </c>
      <c r="JO5" t="s">
        <v>1814</v>
      </c>
      <c r="JP5">
        <v>2021</v>
      </c>
      <c r="JQ5" t="s">
        <v>2256</v>
      </c>
      <c r="JR5" s="6">
        <v>44693</v>
      </c>
      <c r="JS5">
        <v>5</v>
      </c>
      <c r="JT5">
        <v>-2.4245362661989844E-14</v>
      </c>
      <c r="JU5">
        <v>310116</v>
      </c>
      <c r="JV5" t="s">
        <v>2257</v>
      </c>
      <c r="JY5" t="str">
        <f>_xll.BDS("EFII US Equity","SUPPLY_CHAIN_CUSTOMERS_ALL_DATA")</f>
        <v>#N/A N/A</v>
      </c>
      <c r="KO5" t="str">
        <f>_xll.BDS("0544749D US Equity","SUPPLY_CHAIN_SUPPLIERS_ALL_DATA")</f>
        <v>#N/A N/A</v>
      </c>
      <c r="LC5" t="str">
        <f>_xll.BDS("0544749D US Equity","SUPPLY_CHAIN_CUSTOMERS_ALL_DATA")</f>
        <v>#N/A N/A</v>
      </c>
      <c r="LS5" t="str">
        <f>_xll.BDS("KNXA US Equity","SUPPLY_CHAIN_SUPPLIERS_ALL_DATA")</f>
        <v>#N/A N/A</v>
      </c>
      <c r="MG5" t="str">
        <f>_xll.BDS("KNXA US Equity","SUPPLY_CHAIN_CUSTOMERS_ALL_DATA")</f>
        <v>#N/A N/A</v>
      </c>
      <c r="MW5" t="str">
        <f>_xll.BDS("AW US Equity","SUPPLY_CHAIN_SUPPLIERS_ALL_DATA")</f>
        <v>#N/A N/A</v>
      </c>
      <c r="NK5" t="str">
        <f>_xll.BDS("AW US Equity","SUPPLY_CHAIN_CUSTOMERS_ALL_DATA")</f>
        <v>#N/A N/A</v>
      </c>
      <c r="OA5" t="str">
        <f>_xll.BDS("CNR US Equity","SUPPLY_CHAIN_SUPPLIERS_ALL_DATA","cols=12;rows=3")</f>
        <v>CSX US Equity</v>
      </c>
      <c r="OB5" t="s">
        <v>1822</v>
      </c>
      <c r="OC5">
        <v>0.50875999999999999</v>
      </c>
      <c r="OD5">
        <v>2.205419</v>
      </c>
      <c r="OE5" t="s">
        <v>1810</v>
      </c>
      <c r="OF5">
        <v>2025</v>
      </c>
      <c r="OG5" t="s">
        <v>4202</v>
      </c>
      <c r="OH5" s="6">
        <v>45993</v>
      </c>
      <c r="OI5">
        <v>3</v>
      </c>
      <c r="OJ5">
        <v>18249220</v>
      </c>
      <c r="OK5">
        <v>100415</v>
      </c>
      <c r="OL5" t="s">
        <v>4203</v>
      </c>
      <c r="OO5" t="str">
        <f>_xll.BDS("CNR US Equity","SUPPLY_CHAIN_CUSTOMERS_ALL_DATA","cols=12;rows=3")</f>
        <v>MT NA Equity</v>
      </c>
      <c r="OP5">
        <v>0.23285900000000001</v>
      </c>
      <c r="OQ5" t="s">
        <v>1822</v>
      </c>
      <c r="OR5">
        <v>1.8124000000000001E-2</v>
      </c>
      <c r="OS5" t="s">
        <v>1823</v>
      </c>
      <c r="OT5">
        <v>2025</v>
      </c>
      <c r="OU5" t="s">
        <v>4162</v>
      </c>
      <c r="OV5" s="6">
        <v>45940</v>
      </c>
      <c r="OW5">
        <v>3</v>
      </c>
      <c r="OX5">
        <v>2566947</v>
      </c>
      <c r="OY5">
        <v>225547</v>
      </c>
      <c r="OZ5" t="s">
        <v>4163</v>
      </c>
      <c r="PE5" t="str">
        <f>_xll.BDS("THFF US Equity","SUPPLY_CHAIN_SUPPLIERS_ALL_DATA")</f>
        <v>#N/A N/A</v>
      </c>
      <c r="PS5" t="str">
        <f>_xll.BDS("THFF US Equity","SUPPLY_CHAIN_CUSTOMERS_ALL_DATA")</f>
        <v>#N/A N/A</v>
      </c>
      <c r="QI5" t="str">
        <f>_xll.BDS("CBMD US Equity","SUPPLY_CHAIN_SUPPLIERS_ALL_DATA")</f>
        <v>#N/A N/A</v>
      </c>
      <c r="QW5" t="str">
        <f>_xll.BDS("CBMD US Equity","SUPPLY_CHAIN_CUSTOMERS_ALL_DATA")</f>
        <v>#N/A N/A</v>
      </c>
      <c r="RM5" t="str">
        <f>_xll.BDS("PCBI US Equity","SUPPLY_CHAIN_SUPPLIERS_ALL_DATA")</f>
        <v>#N/A N/A</v>
      </c>
      <c r="SA5" t="str">
        <f>_xll.BDS("PCBI US Equity","SUPPLY_CHAIN_CUSTOMERS_ALL_DATA")</f>
        <v>#N/A N/A</v>
      </c>
      <c r="SQ5" t="str">
        <f>_xll.BDS("57552Q US Equity","SUPPLY_CHAIN_SUPPLIERS_ALL_DATA")</f>
        <v>#N/A N/A</v>
      </c>
      <c r="TE5" t="str">
        <f>_xll.BDS("57552Q US Equity","SUPPLY_CHAIN_CUSTOMERS_ALL_DATA")</f>
        <v>#N/A N/A</v>
      </c>
      <c r="TU5" t="str">
        <f>_xll.BDS("IFCB US Equity","SUPPLY_CHAIN_SUPPLIERS_ALL_DATA")</f>
        <v>#N/A N/A</v>
      </c>
      <c r="UI5" t="str">
        <f>_xll.BDS("IFCB US Equity","SUPPLY_CHAIN_CUSTOMERS_ALL_DATA")</f>
        <v>#N/A N/A</v>
      </c>
      <c r="UY5" t="str">
        <f>_xll.BDS("EWBC US Equity","SUPPLY_CHAIN_SUPPLIERS_ALL_DATA","cols=12;rows=1")</f>
        <v>BRX US Equity</v>
      </c>
      <c r="VA5">
        <v>-2.4245362661989844E-14</v>
      </c>
      <c r="VB5">
        <v>-2.4245362661989844E-14</v>
      </c>
      <c r="VC5" t="s">
        <v>1814</v>
      </c>
      <c r="VD5">
        <v>2024</v>
      </c>
      <c r="VE5" t="s">
        <v>2188</v>
      </c>
      <c r="VF5" s="6">
        <v>45698</v>
      </c>
      <c r="VG5">
        <v>1</v>
      </c>
      <c r="VH5">
        <v>-2.4245362661989844E-14</v>
      </c>
      <c r="VI5">
        <v>24112045</v>
      </c>
      <c r="VJ5" t="s">
        <v>2189</v>
      </c>
      <c r="VM5" t="str">
        <f>_xll.BDS("EWBC US Equity","SUPPLY_CHAIN_CUSTOMERS_ALL_DATA")</f>
        <v>#N/A N/A</v>
      </c>
    </row>
    <row r="6" spans="1:600" x14ac:dyDescent="0.25">
      <c r="EU6" t="s">
        <v>3992</v>
      </c>
      <c r="EW6">
        <v>-2.4245362661989844E-14</v>
      </c>
      <c r="EX6">
        <v>-2.4245362661989844E-14</v>
      </c>
      <c r="EY6" t="s">
        <v>1806</v>
      </c>
      <c r="EZ6">
        <v>2023</v>
      </c>
      <c r="FA6" t="s">
        <v>3990</v>
      </c>
      <c r="FB6" s="6">
        <v>45070</v>
      </c>
      <c r="FC6">
        <v>3</v>
      </c>
      <c r="FD6">
        <v>-2.4245362661989844E-14</v>
      </c>
      <c r="FE6">
        <v>71212806</v>
      </c>
      <c r="FF6" t="s">
        <v>3993</v>
      </c>
      <c r="FY6" t="s">
        <v>2479</v>
      </c>
      <c r="GA6">
        <v>-2.4245362661989844E-14</v>
      </c>
      <c r="GB6">
        <v>-2.4245362661989844E-14</v>
      </c>
      <c r="GC6" t="s">
        <v>1814</v>
      </c>
      <c r="GD6">
        <v>2021</v>
      </c>
      <c r="GE6" t="s">
        <v>2480</v>
      </c>
      <c r="GF6" s="6">
        <v>44693</v>
      </c>
      <c r="GG6">
        <v>5</v>
      </c>
      <c r="GH6">
        <v>-2.4245362661989844E-14</v>
      </c>
      <c r="GI6">
        <v>100532</v>
      </c>
      <c r="GJ6" t="s">
        <v>2481</v>
      </c>
      <c r="GM6" t="s">
        <v>2603</v>
      </c>
      <c r="GN6">
        <v>-2.4245362661989844E-14</v>
      </c>
      <c r="GP6">
        <v>-2.4245362661989844E-14</v>
      </c>
      <c r="GQ6" t="s">
        <v>1823</v>
      </c>
      <c r="GR6">
        <v>2023</v>
      </c>
      <c r="GS6" t="s">
        <v>2604</v>
      </c>
      <c r="GT6" s="6">
        <v>45138</v>
      </c>
      <c r="GU6">
        <v>5</v>
      </c>
      <c r="GV6">
        <v>-2.4245362661989844E-14</v>
      </c>
      <c r="GW6">
        <v>70524908</v>
      </c>
      <c r="GX6" t="s">
        <v>2605</v>
      </c>
      <c r="HQ6" t="s">
        <v>4375</v>
      </c>
      <c r="HR6">
        <v>-2.4245362661989844E-14</v>
      </c>
      <c r="HT6">
        <v>-2.4245362661989844E-14</v>
      </c>
      <c r="HU6" t="s">
        <v>1814</v>
      </c>
      <c r="HV6">
        <v>2022</v>
      </c>
      <c r="HW6" t="s">
        <v>4376</v>
      </c>
      <c r="HX6" s="6">
        <v>45016</v>
      </c>
      <c r="HY6">
        <v>2</v>
      </c>
      <c r="HZ6">
        <v>-2.4245362661989844E-14</v>
      </c>
      <c r="IA6">
        <v>15603676</v>
      </c>
      <c r="IB6" t="s">
        <v>4377</v>
      </c>
      <c r="JK6" t="s">
        <v>3671</v>
      </c>
      <c r="JM6">
        <v>-2.4245362661989844E-14</v>
      </c>
      <c r="JN6">
        <v>-2.4245362661989844E-14</v>
      </c>
      <c r="JO6" t="s">
        <v>1814</v>
      </c>
      <c r="JP6">
        <v>2021</v>
      </c>
      <c r="JQ6" t="s">
        <v>3672</v>
      </c>
      <c r="JR6" s="6">
        <v>44693</v>
      </c>
      <c r="JS6">
        <v>5</v>
      </c>
      <c r="JT6">
        <v>-2.4245362661989844E-14</v>
      </c>
      <c r="JU6">
        <v>964326</v>
      </c>
      <c r="JV6" t="s">
        <v>3673</v>
      </c>
      <c r="OA6" t="s">
        <v>4083</v>
      </c>
      <c r="OC6">
        <v>-2.4245362661989844E-14</v>
      </c>
      <c r="OD6">
        <v>-2.4245362661989844E-14</v>
      </c>
      <c r="OE6" t="s">
        <v>1814</v>
      </c>
      <c r="OF6">
        <v>2022</v>
      </c>
      <c r="OG6" t="s">
        <v>4084</v>
      </c>
      <c r="OH6" s="6">
        <v>44859</v>
      </c>
      <c r="OI6">
        <v>3</v>
      </c>
      <c r="OJ6">
        <v>-2.4245362661989844E-14</v>
      </c>
      <c r="OK6">
        <v>43096338</v>
      </c>
      <c r="OL6" t="s">
        <v>4085</v>
      </c>
      <c r="OO6" t="s">
        <v>4164</v>
      </c>
      <c r="OP6">
        <v>-2.4245362661989844E-14</v>
      </c>
      <c r="OR6">
        <v>-2.4245362661989844E-14</v>
      </c>
      <c r="OS6" t="s">
        <v>1823</v>
      </c>
      <c r="OT6">
        <v>2022</v>
      </c>
      <c r="OU6" t="s">
        <v>4165</v>
      </c>
      <c r="OV6" s="6">
        <v>44690</v>
      </c>
      <c r="OW6">
        <v>3</v>
      </c>
      <c r="OX6">
        <v>-2.4245362661989844E-14</v>
      </c>
      <c r="OY6">
        <v>7359109</v>
      </c>
      <c r="OZ6" t="s">
        <v>4166</v>
      </c>
    </row>
    <row r="7" spans="1:600" x14ac:dyDescent="0.25">
      <c r="EU7" t="s">
        <v>3994</v>
      </c>
      <c r="EW7">
        <v>-2.4245362661989844E-14</v>
      </c>
      <c r="EX7">
        <v>-2.4245362661989844E-14</v>
      </c>
      <c r="EY7" t="s">
        <v>1810</v>
      </c>
      <c r="EZ7">
        <v>2022</v>
      </c>
      <c r="FA7" t="s">
        <v>3995</v>
      </c>
      <c r="FB7" s="6">
        <v>44868</v>
      </c>
      <c r="FC7">
        <v>3</v>
      </c>
      <c r="FD7">
        <v>-2.4245362661989844E-14</v>
      </c>
      <c r="FE7">
        <v>10813924</v>
      </c>
      <c r="FF7" t="s">
        <v>3996</v>
      </c>
      <c r="FY7" t="s">
        <v>2736</v>
      </c>
      <c r="GA7">
        <v>-2.4245362661989844E-14</v>
      </c>
      <c r="GB7">
        <v>-2.4245362661989844E-14</v>
      </c>
      <c r="GC7" t="s">
        <v>1814</v>
      </c>
      <c r="GD7">
        <v>2021</v>
      </c>
      <c r="GE7" t="s">
        <v>2737</v>
      </c>
      <c r="GF7" s="6">
        <v>44693</v>
      </c>
      <c r="GG7">
        <v>5</v>
      </c>
      <c r="GH7">
        <v>-2.4245362661989844E-14</v>
      </c>
      <c r="GI7">
        <v>109221</v>
      </c>
      <c r="GJ7" t="s">
        <v>2738</v>
      </c>
      <c r="GM7" t="s">
        <v>2606</v>
      </c>
      <c r="GN7">
        <v>-2.4245362661989844E-14</v>
      </c>
      <c r="GP7">
        <v>-2.4245362661989844E-14</v>
      </c>
      <c r="GQ7" t="s">
        <v>1827</v>
      </c>
      <c r="GR7">
        <v>2023</v>
      </c>
      <c r="GS7" t="s">
        <v>2601</v>
      </c>
      <c r="GT7" s="6">
        <v>45348</v>
      </c>
      <c r="GU7">
        <v>5</v>
      </c>
      <c r="GV7">
        <v>-2.4245362661989844E-14</v>
      </c>
      <c r="GW7">
        <v>883479</v>
      </c>
      <c r="GX7" t="s">
        <v>2607</v>
      </c>
      <c r="JK7" t="s">
        <v>3272</v>
      </c>
      <c r="JM7">
        <v>-2.4245362661989844E-14</v>
      </c>
      <c r="JN7">
        <v>-2.4245362661989844E-14</v>
      </c>
      <c r="JO7" t="s">
        <v>1814</v>
      </c>
      <c r="JP7">
        <v>2021</v>
      </c>
      <c r="JQ7" t="s">
        <v>3273</v>
      </c>
      <c r="JR7" s="6">
        <v>44693</v>
      </c>
      <c r="JS7">
        <v>5</v>
      </c>
      <c r="JT7">
        <v>-2.4245362661989844E-14</v>
      </c>
      <c r="JU7">
        <v>101086</v>
      </c>
      <c r="JV7" t="s">
        <v>3274</v>
      </c>
      <c r="OA7" t="s">
        <v>4204</v>
      </c>
      <c r="OC7">
        <v>-2.4245362661989844E-14</v>
      </c>
      <c r="OD7">
        <v>-2.4245362661989844E-14</v>
      </c>
      <c r="OE7" t="s">
        <v>1810</v>
      </c>
      <c r="OF7">
        <v>2025</v>
      </c>
      <c r="OG7" t="s">
        <v>4205</v>
      </c>
      <c r="OH7" s="6">
        <v>45972</v>
      </c>
      <c r="OI7">
        <v>3</v>
      </c>
      <c r="OJ7">
        <v>-2.4245362661989844E-14</v>
      </c>
      <c r="OK7">
        <v>7718496</v>
      </c>
      <c r="OL7" t="s">
        <v>4206</v>
      </c>
      <c r="OO7" t="s">
        <v>4167</v>
      </c>
      <c r="OP7">
        <v>-2.4245362661989844E-14</v>
      </c>
      <c r="OR7">
        <v>-2.4245362661989844E-14</v>
      </c>
      <c r="OS7" t="s">
        <v>1814</v>
      </c>
      <c r="OT7">
        <v>2023</v>
      </c>
      <c r="OU7" t="s">
        <v>4168</v>
      </c>
      <c r="OV7" s="6">
        <v>45341</v>
      </c>
      <c r="OW7">
        <v>3</v>
      </c>
      <c r="OX7">
        <v>-2.4245362661989844E-14</v>
      </c>
      <c r="OY7">
        <v>61857323</v>
      </c>
      <c r="OZ7" t="s">
        <v>4169</v>
      </c>
    </row>
    <row r="8" spans="1:600" x14ac:dyDescent="0.25">
      <c r="FY8" t="s">
        <v>2739</v>
      </c>
      <c r="GA8">
        <v>-2.4245362661989844E-14</v>
      </c>
      <c r="GB8">
        <v>-2.4245362661989844E-14</v>
      </c>
      <c r="GC8" t="s">
        <v>1814</v>
      </c>
      <c r="GD8">
        <v>2021</v>
      </c>
      <c r="GE8" t="s">
        <v>2740</v>
      </c>
      <c r="GF8" s="6">
        <v>44693</v>
      </c>
      <c r="GG8">
        <v>5</v>
      </c>
      <c r="GH8">
        <v>-2.4245362661989844E-14</v>
      </c>
      <c r="GI8">
        <v>101115</v>
      </c>
      <c r="GJ8" t="s">
        <v>2741</v>
      </c>
      <c r="GM8" t="s">
        <v>2608</v>
      </c>
      <c r="GN8">
        <v>-2.4245362661989844E-14</v>
      </c>
      <c r="GP8">
        <v>-2.4245362661989844E-14</v>
      </c>
      <c r="GQ8" t="s">
        <v>1827</v>
      </c>
      <c r="GR8">
        <v>2023</v>
      </c>
      <c r="GS8" t="s">
        <v>2601</v>
      </c>
      <c r="GT8" s="6">
        <v>45348</v>
      </c>
      <c r="GU8">
        <v>5</v>
      </c>
      <c r="GV8">
        <v>-2.4245362661989844E-14</v>
      </c>
      <c r="GW8">
        <v>7654502</v>
      </c>
      <c r="GX8" t="s">
        <v>2609</v>
      </c>
      <c r="JK8" t="s">
        <v>1884</v>
      </c>
      <c r="JM8">
        <v>-2.4245362661989844E-14</v>
      </c>
      <c r="JN8">
        <v>-2.4245362661989844E-14</v>
      </c>
      <c r="JO8" t="s">
        <v>1814</v>
      </c>
      <c r="JP8">
        <v>2023</v>
      </c>
      <c r="JQ8" t="s">
        <v>3674</v>
      </c>
      <c r="JR8" s="6">
        <v>45197</v>
      </c>
      <c r="JS8">
        <v>5</v>
      </c>
      <c r="JT8">
        <v>-2.4245362661989844E-14</v>
      </c>
      <c r="JU8">
        <v>117092</v>
      </c>
      <c r="JV8" t="s">
        <v>1886</v>
      </c>
    </row>
    <row r="9" spans="1:600" x14ac:dyDescent="0.25">
      <c r="FY9" t="s">
        <v>2742</v>
      </c>
      <c r="GA9">
        <v>-2.4245362661989844E-14</v>
      </c>
      <c r="GB9">
        <v>-2.4245362661989844E-14</v>
      </c>
      <c r="GC9" t="s">
        <v>1814</v>
      </c>
      <c r="GD9">
        <v>2021</v>
      </c>
      <c r="GE9" t="s">
        <v>2743</v>
      </c>
      <c r="GF9" s="6">
        <v>44693</v>
      </c>
      <c r="GG9">
        <v>5</v>
      </c>
      <c r="GH9">
        <v>-2.4245362661989844E-14</v>
      </c>
      <c r="GI9">
        <v>350245</v>
      </c>
      <c r="GJ9" t="s">
        <v>2744</v>
      </c>
      <c r="GM9" t="s">
        <v>2610</v>
      </c>
      <c r="GN9">
        <v>-2.4245362661989844E-14</v>
      </c>
      <c r="GP9">
        <v>-2.4245362661989844E-14</v>
      </c>
      <c r="GQ9" t="s">
        <v>1814</v>
      </c>
      <c r="GR9">
        <v>2023</v>
      </c>
      <c r="GS9" t="s">
        <v>2611</v>
      </c>
      <c r="GT9" s="6">
        <v>45349</v>
      </c>
      <c r="GU9">
        <v>5</v>
      </c>
      <c r="GV9">
        <v>-2.4245362661989844E-14</v>
      </c>
      <c r="GW9">
        <v>40179625</v>
      </c>
      <c r="GX9" t="s">
        <v>2612</v>
      </c>
      <c r="JK9" t="s">
        <v>3278</v>
      </c>
      <c r="JM9">
        <v>-2.4245362661989844E-14</v>
      </c>
      <c r="JN9">
        <v>-2.4245362661989844E-14</v>
      </c>
      <c r="JO9" t="s">
        <v>1814</v>
      </c>
      <c r="JP9">
        <v>2021</v>
      </c>
      <c r="JQ9" t="s">
        <v>3279</v>
      </c>
      <c r="JR9" s="6">
        <v>44693</v>
      </c>
      <c r="JS9">
        <v>5</v>
      </c>
      <c r="JT9">
        <v>-2.4245362661989844E-14</v>
      </c>
      <c r="JU9">
        <v>101139</v>
      </c>
      <c r="JV9" t="s">
        <v>3280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594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595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596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597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598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599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600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601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602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603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604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605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606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607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608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609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610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611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612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402</v>
      </c>
      <c r="AE2" s="3" t="s">
        <v>613</v>
      </c>
      <c r="BI2" s="3" t="s">
        <v>431</v>
      </c>
      <c r="CM2" s="3" t="s">
        <v>614</v>
      </c>
      <c r="DQ2" s="3" t="s">
        <v>615</v>
      </c>
      <c r="EU2" s="3" t="s">
        <v>616</v>
      </c>
      <c r="FY2" s="3" t="s">
        <v>617</v>
      </c>
      <c r="HC2" s="3" t="s">
        <v>618</v>
      </c>
      <c r="IG2" s="3" t="s">
        <v>619</v>
      </c>
      <c r="JK2" s="3" t="s">
        <v>471</v>
      </c>
      <c r="KO2" s="3" t="s">
        <v>620</v>
      </c>
      <c r="LS2" s="3" t="s">
        <v>621</v>
      </c>
      <c r="MW2" s="3" t="s">
        <v>622</v>
      </c>
      <c r="OA2" s="3" t="s">
        <v>623</v>
      </c>
      <c r="PE2" s="3" t="s">
        <v>624</v>
      </c>
      <c r="QI2" s="3" t="s">
        <v>625</v>
      </c>
      <c r="RM2" s="3" t="s">
        <v>626</v>
      </c>
      <c r="SQ2" s="3" t="s">
        <v>627</v>
      </c>
      <c r="TU2" s="3" t="s">
        <v>628</v>
      </c>
      <c r="UY2" s="3" t="s">
        <v>629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_xll.BDS("KODK US Equity","SUPPLY_CHAIN_SUPPLIERS_ALL_DATA","cols=12;rows=5")</f>
        <v>AX-U CN Equity</v>
      </c>
      <c r="B5" t="s">
        <v>1893</v>
      </c>
      <c r="C5">
        <v>1.6</v>
      </c>
      <c r="D5">
        <v>1.959516</v>
      </c>
      <c r="E5" t="s">
        <v>1814</v>
      </c>
      <c r="F5">
        <v>2024</v>
      </c>
      <c r="G5" t="s">
        <v>3160</v>
      </c>
      <c r="H5" s="6">
        <v>45722</v>
      </c>
      <c r="I5">
        <v>5</v>
      </c>
      <c r="J5">
        <v>877121.43</v>
      </c>
      <c r="K5">
        <v>8674508</v>
      </c>
      <c r="L5" t="s">
        <v>3161</v>
      </c>
      <c r="O5" t="str">
        <f>_xll.BDS("KODK US Equity","SUPPLY_CHAIN_CUSTOMERS_ALL_DATA","cols=12;rows=5")</f>
        <v>0918800D US Equity</v>
      </c>
      <c r="P5">
        <v>8.5743050000000007</v>
      </c>
      <c r="R5">
        <v>-2.4245362661989844E-14</v>
      </c>
      <c r="S5" t="s">
        <v>1814</v>
      </c>
      <c r="T5">
        <v>2024</v>
      </c>
      <c r="U5" t="s">
        <v>3021</v>
      </c>
      <c r="V5" s="6">
        <v>45733</v>
      </c>
      <c r="W5">
        <v>5</v>
      </c>
      <c r="X5">
        <v>22357500</v>
      </c>
      <c r="Y5">
        <v>38301935</v>
      </c>
      <c r="Z5" t="s">
        <v>3022</v>
      </c>
      <c r="AE5" t="str">
        <f>_xll.BDS("FSNMQ US Equity","SUPPLY_CHAIN_SUPPLIERS_ALL_DATA")</f>
        <v>#N/A N/A</v>
      </c>
      <c r="AS5" t="str">
        <f>_xll.BDS("FSNMQ US Equity","SUPPLY_CHAIN_CUSTOMERS_ALL_DATA")</f>
        <v>#N/A N/A</v>
      </c>
      <c r="BI5" t="str">
        <f>_xll.BDS("PEBO US Equity","SUPPLY_CHAIN_SUPPLIERS_ALL_DATA")</f>
        <v>#N/A N/A</v>
      </c>
      <c r="BW5" t="str">
        <f>_xll.BDS("PEBO US Equity","SUPPLY_CHAIN_CUSTOMERS_ALL_DATA")</f>
        <v>#N/A N/A</v>
      </c>
      <c r="CM5" t="str">
        <f>_xll.BDS("MFNC US Equity","SUPPLY_CHAIN_SUPPLIERS_ALL_DATA")</f>
        <v>#N/A N/A</v>
      </c>
      <c r="DA5" t="str">
        <f>_xll.BDS("MFNC US Equity","SUPPLY_CHAIN_CUSTOMERS_ALL_DATA")</f>
        <v>#N/A N/A</v>
      </c>
      <c r="DQ5" t="str">
        <f>_xll.BDS("WAFD US Equity","SUPPLY_CHAIN_SUPPLIERS_ALL_DATA","cols=12;rows=2")</f>
        <v>ORCL US Equity</v>
      </c>
      <c r="DR5" t="s">
        <v>1822</v>
      </c>
      <c r="DS5">
        <v>1.828E-3</v>
      </c>
      <c r="DT5">
        <v>0.27730700000000003</v>
      </c>
      <c r="DU5" t="s">
        <v>1827</v>
      </c>
      <c r="DV5">
        <v>2025</v>
      </c>
      <c r="DW5" t="s">
        <v>2368</v>
      </c>
      <c r="DX5" s="6">
        <v>45848</v>
      </c>
      <c r="DY5">
        <v>2</v>
      </c>
      <c r="DZ5">
        <v>290707</v>
      </c>
      <c r="EA5">
        <v>101752</v>
      </c>
      <c r="EB5" t="s">
        <v>2369</v>
      </c>
      <c r="EE5" t="str">
        <f>_xll.BDS("WAFD US Equity","SUPPLY_CHAIN_CUSTOMERS_ALL_DATA")</f>
        <v>#N/A N/A</v>
      </c>
      <c r="EU5" t="str">
        <f>_xll.BDS("DGIT US Equity","SUPPLY_CHAIN_SUPPLIERS_ALL_DATA")</f>
        <v>#N/A N/A</v>
      </c>
      <c r="FI5" t="str">
        <f>_xll.BDS("DGIT US Equity","SUPPLY_CHAIN_CUSTOMERS_ALL_DATA")</f>
        <v>#N/A N/A</v>
      </c>
      <c r="FY5" t="str">
        <f>_xll.BDS("VTEQ US Equity","SUPPLY_CHAIN_SUPPLIERS_ALL_DATA")</f>
        <v>#N/A N/A</v>
      </c>
      <c r="GM5" t="str">
        <f>_xll.BDS("VTEQ US Equity","SUPPLY_CHAIN_CUSTOMERS_ALL_DATA")</f>
        <v>#N/A N/A</v>
      </c>
      <c r="HC5" t="str">
        <f>_xll.BDS("FULT US Equity","SUPPLY_CHAIN_SUPPLIERS_ALL_DATA","cols=12;rows=2")</f>
        <v>DLX US Equity</v>
      </c>
      <c r="HE5">
        <v>-2.4245362661989844E-14</v>
      </c>
      <c r="HF5">
        <v>-2.4245362661989844E-14</v>
      </c>
      <c r="HG5" t="s">
        <v>1810</v>
      </c>
      <c r="HH5">
        <v>2023</v>
      </c>
      <c r="HI5" t="s">
        <v>1908</v>
      </c>
      <c r="HJ5" s="6">
        <v>45265</v>
      </c>
      <c r="HK5">
        <v>2</v>
      </c>
      <c r="HL5">
        <v>-2.4245362661989844E-14</v>
      </c>
      <c r="HM5">
        <v>100444</v>
      </c>
      <c r="HN5" t="s">
        <v>1909</v>
      </c>
      <c r="HQ5" t="str">
        <f>_xll.BDS("FULT US Equity","SUPPLY_CHAIN_CUSTOMERS_ALL_DATA")</f>
        <v>#N/A N/A</v>
      </c>
      <c r="IG5" t="str">
        <f>_xll.BDS("HBNC US Equity","SUPPLY_CHAIN_SUPPLIERS_ALL_DATA")</f>
        <v>#N/A N/A</v>
      </c>
      <c r="IU5" t="str">
        <f>_xll.BDS("HBNC US Equity","SUPPLY_CHAIN_CUSTOMERS_ALL_DATA")</f>
        <v>#N/A N/A</v>
      </c>
      <c r="JK5" t="str">
        <f>_xll.BDS("CSBC US Equity","SUPPLY_CHAIN_SUPPLIERS_ALL_DATA")</f>
        <v>#N/A N/A</v>
      </c>
      <c r="JY5" t="str">
        <f>_xll.BDS("CSBC US Equity","SUPPLY_CHAIN_CUSTOMERS_ALL_DATA")</f>
        <v>#N/A N/A</v>
      </c>
      <c r="KO5" t="str">
        <f>_xll.BDS("1367809D US Equity","SUPPLY_CHAIN_SUPPLIERS_ALL_DATA")</f>
        <v>#N/A N/A</v>
      </c>
      <c r="LC5" t="str">
        <f>_xll.BDS("1367809D US Equity","SUPPLY_CHAIN_CUSTOMERS_ALL_DATA")</f>
        <v>#N/A N/A</v>
      </c>
      <c r="LS5" t="str">
        <f>_xll.BDS("PMORQ US Equity","SUPPLY_CHAIN_SUPPLIERS_ALL_DATA")</f>
        <v>#N/A N/A</v>
      </c>
      <c r="MG5" t="str">
        <f>_xll.BDS("PMORQ US Equity","SUPPLY_CHAIN_CUSTOMERS_ALL_DATA")</f>
        <v>#N/A N/A</v>
      </c>
      <c r="MW5" t="str">
        <f>_xll.BDS("1667208D US Equity","SUPPLY_CHAIN_SUPPLIERS_ALL_DATA","cols=12;rows=1")</f>
        <v>FE US Equity</v>
      </c>
      <c r="MY5">
        <v>-2.4245362661989844E-14</v>
      </c>
      <c r="MZ5">
        <v>-2.4245362661989844E-14</v>
      </c>
      <c r="NA5" t="s">
        <v>1814</v>
      </c>
      <c r="NB5">
        <v>2021</v>
      </c>
      <c r="NC5" t="s">
        <v>1995</v>
      </c>
      <c r="ND5" s="6">
        <v>44693</v>
      </c>
      <c r="NE5">
        <v>1</v>
      </c>
      <c r="NF5">
        <v>-2.4245362661989844E-14</v>
      </c>
      <c r="NG5">
        <v>302916</v>
      </c>
      <c r="NH5" t="s">
        <v>1996</v>
      </c>
      <c r="NK5" t="str">
        <f>_xll.BDS("1667208D US Equity","SUPPLY_CHAIN_CUSTOMERS_ALL_DATA")</f>
        <v>#N/A N/A</v>
      </c>
      <c r="OA5" t="str">
        <f>_xll.BDS("FVCB US Equity","SUPPLY_CHAIN_SUPPLIERS_ALL_DATA")</f>
        <v>#N/A N/A</v>
      </c>
      <c r="OO5" t="str">
        <f>_xll.BDS("FVCB US Equity","SUPPLY_CHAIN_CUSTOMERS_ALL_DATA")</f>
        <v>#N/A N/A</v>
      </c>
      <c r="PE5" t="str">
        <f>_xll.BDS("ACNB US Equity","SUPPLY_CHAIN_SUPPLIERS_ALL_DATA")</f>
        <v>#N/A N/A</v>
      </c>
      <c r="PS5" t="str">
        <f>_xll.BDS("ACNB US Equity","SUPPLY_CHAIN_CUSTOMERS_ALL_DATA")</f>
        <v>#N/A N/A</v>
      </c>
      <c r="QI5" t="str">
        <f>_xll.BDS("AIV US Equity","SUPPLY_CHAIN_SUPPLIERS_ALL_DATA","cols=12;rows=1")</f>
        <v>MS US Equity</v>
      </c>
      <c r="QK5">
        <v>-2.4245362661989844E-14</v>
      </c>
      <c r="QL5">
        <v>-2.4245362661989844E-14</v>
      </c>
      <c r="QM5" t="s">
        <v>1814</v>
      </c>
      <c r="QN5">
        <v>2025</v>
      </c>
      <c r="QO5" t="s">
        <v>2998</v>
      </c>
      <c r="QP5" s="6">
        <v>45875</v>
      </c>
      <c r="QQ5">
        <v>1</v>
      </c>
      <c r="QR5">
        <v>-2.4245362661989844E-14</v>
      </c>
      <c r="QS5">
        <v>116646</v>
      </c>
      <c r="QT5" t="s">
        <v>3075</v>
      </c>
      <c r="QW5" t="str">
        <f>_xll.BDS("AIV US Equity","SUPPLY_CHAIN_CUSTOMERS_ALL_DATA","cols=12;rows=1")</f>
        <v>29326Z US Equity</v>
      </c>
      <c r="QX5">
        <v>-2.4245362661989844E-14</v>
      </c>
      <c r="QZ5">
        <v>-2.4245362661989844E-14</v>
      </c>
      <c r="RA5" t="s">
        <v>1814</v>
      </c>
      <c r="RB5">
        <v>2025</v>
      </c>
      <c r="RC5" t="s">
        <v>2998</v>
      </c>
      <c r="RD5" s="6">
        <v>45875</v>
      </c>
      <c r="RE5">
        <v>1</v>
      </c>
      <c r="RF5">
        <v>-2.4245362661989844E-14</v>
      </c>
      <c r="RG5">
        <v>7389859</v>
      </c>
      <c r="RH5" t="s">
        <v>2999</v>
      </c>
      <c r="RM5" t="str">
        <f>_xll.BDS("UNH US Equity","SUPPLY_CHAIN_SUPPLIERS_ALL_DATA")</f>
        <v>VRTX US Equity</v>
      </c>
      <c r="SA5" t="str">
        <f>_xll.BDS("UNH US Equity","SUPPLY_CHAIN_CUSTOMERS_ALL_DATA")</f>
        <v>9877893Z US Equity</v>
      </c>
      <c r="SQ5" t="str">
        <f>_xll.BDS("BPFH US Equity","SUPPLY_CHAIN_SUPPLIERS_ALL_DATA")</f>
        <v>#N/A N/A</v>
      </c>
      <c r="TE5" t="str">
        <f>_xll.BDS("BPFH US Equity","SUPPLY_CHAIN_CUSTOMERS_ALL_DATA")</f>
        <v>#N/A N/A</v>
      </c>
      <c r="TU5" t="str">
        <f>_xll.BDS("1348098D US Equity","SUPPLY_CHAIN_SUPPLIERS_ALL_DATA")</f>
        <v>#N/A N/A</v>
      </c>
      <c r="UI5" t="str">
        <f>_xll.BDS("1348098D US Equity","SUPPLY_CHAIN_CUSTOMERS_ALL_DATA")</f>
        <v>#N/A N/A</v>
      </c>
      <c r="UY5" t="str">
        <f>_xll.BDS("TTWO US Equity","SUPPLY_CHAIN_SUPPLIERS_ALL_DATA","cols=12;rows=5")</f>
        <v>6758 JP Equity</v>
      </c>
      <c r="UZ5" t="s">
        <v>1822</v>
      </c>
      <c r="VA5">
        <v>9.0399999999999994E-2</v>
      </c>
      <c r="VB5">
        <v>2.4018109999999999</v>
      </c>
      <c r="VC5" t="s">
        <v>1823</v>
      </c>
      <c r="VD5">
        <v>2026</v>
      </c>
      <c r="VE5" t="s">
        <v>3153</v>
      </c>
      <c r="VF5" s="6">
        <v>46049</v>
      </c>
      <c r="VG5">
        <v>5</v>
      </c>
      <c r="VH5">
        <v>19061061.780000001</v>
      </c>
      <c r="VI5">
        <v>101365</v>
      </c>
      <c r="VJ5" t="s">
        <v>3154</v>
      </c>
      <c r="VM5" t="str">
        <f>_xll.BDS("TTWO US Equity","SUPPLY_CHAIN_CUSTOMERS_ALL_DATA","cols=12;rows=5")</f>
        <v>6758 JP Equity</v>
      </c>
      <c r="VN5">
        <v>24.819441000000001</v>
      </c>
      <c r="VO5" t="s">
        <v>1822</v>
      </c>
      <c r="VP5">
        <v>3.0905269999999998</v>
      </c>
      <c r="VQ5" t="s">
        <v>1823</v>
      </c>
      <c r="VR5">
        <v>2026</v>
      </c>
      <c r="VS5" t="s">
        <v>3888</v>
      </c>
      <c r="VT5" s="6">
        <v>46052</v>
      </c>
      <c r="VU5">
        <v>5</v>
      </c>
      <c r="VV5">
        <v>440247232</v>
      </c>
      <c r="VW5">
        <v>101365</v>
      </c>
      <c r="VX5" t="s">
        <v>3154</v>
      </c>
    </row>
    <row r="6" spans="1:600" x14ac:dyDescent="0.25">
      <c r="A6" t="s">
        <v>2753</v>
      </c>
      <c r="B6" t="s">
        <v>1822</v>
      </c>
      <c r="C6">
        <v>7.5620000000000001E-3</v>
      </c>
      <c r="D6">
        <v>3.5623000000000002E-2</v>
      </c>
      <c r="E6" t="s">
        <v>1823</v>
      </c>
      <c r="F6">
        <v>2025</v>
      </c>
      <c r="G6" t="s">
        <v>2754</v>
      </c>
      <c r="H6" s="6">
        <v>45950</v>
      </c>
      <c r="I6">
        <v>5</v>
      </c>
      <c r="J6">
        <v>75490.25</v>
      </c>
      <c r="K6">
        <v>22262012</v>
      </c>
      <c r="L6" t="s">
        <v>2755</v>
      </c>
      <c r="O6" t="s">
        <v>1849</v>
      </c>
      <c r="P6">
        <v>0.759884</v>
      </c>
      <c r="Q6" t="s">
        <v>1822</v>
      </c>
      <c r="R6">
        <v>1.2630000000000001E-2</v>
      </c>
      <c r="S6" t="s">
        <v>1827</v>
      </c>
      <c r="T6">
        <v>2025</v>
      </c>
      <c r="U6" t="s">
        <v>1850</v>
      </c>
      <c r="V6" s="6">
        <v>46056</v>
      </c>
      <c r="W6">
        <v>5</v>
      </c>
      <c r="X6">
        <v>2044088</v>
      </c>
      <c r="Y6">
        <v>1499717</v>
      </c>
      <c r="Z6" t="s">
        <v>1851</v>
      </c>
      <c r="DQ6" t="s">
        <v>1227</v>
      </c>
      <c r="DS6">
        <v>-2.4245362661989844E-14</v>
      </c>
      <c r="DT6">
        <v>-2.4245362661989844E-14</v>
      </c>
      <c r="DU6" t="s">
        <v>1806</v>
      </c>
      <c r="DV6">
        <v>2025</v>
      </c>
      <c r="DW6" t="s">
        <v>2425</v>
      </c>
      <c r="DX6" s="6">
        <v>45771</v>
      </c>
      <c r="DY6">
        <v>2</v>
      </c>
      <c r="DZ6">
        <v>-2.4245362661989844E-14</v>
      </c>
      <c r="EA6">
        <v>103882</v>
      </c>
      <c r="EB6" t="s">
        <v>1911</v>
      </c>
      <c r="HC6" t="s">
        <v>1227</v>
      </c>
      <c r="HE6">
        <v>-2.4245362661989844E-14</v>
      </c>
      <c r="HF6">
        <v>-2.4245362661989844E-14</v>
      </c>
      <c r="HG6" t="s">
        <v>1831</v>
      </c>
      <c r="HH6">
        <v>2023</v>
      </c>
      <c r="HI6" t="s">
        <v>1910</v>
      </c>
      <c r="HJ6" s="6">
        <v>45245</v>
      </c>
      <c r="HK6">
        <v>2</v>
      </c>
      <c r="HL6">
        <v>-2.4245362661989844E-14</v>
      </c>
      <c r="HM6">
        <v>103882</v>
      </c>
      <c r="HN6" t="s">
        <v>1911</v>
      </c>
      <c r="UY6" t="s">
        <v>2276</v>
      </c>
      <c r="UZ6" t="s">
        <v>1822</v>
      </c>
      <c r="VA6">
        <v>0.26058799999999999</v>
      </c>
      <c r="VB6">
        <v>1.2247509999999999</v>
      </c>
      <c r="VC6" t="s">
        <v>1823</v>
      </c>
      <c r="VD6">
        <v>2026</v>
      </c>
      <c r="VE6" t="s">
        <v>2277</v>
      </c>
      <c r="VF6" s="6">
        <v>46048</v>
      </c>
      <c r="VG6">
        <v>5</v>
      </c>
      <c r="VH6">
        <v>9719769.4900000002</v>
      </c>
      <c r="VI6">
        <v>114322</v>
      </c>
      <c r="VJ6" t="s">
        <v>2278</v>
      </c>
      <c r="VM6" t="s">
        <v>1813</v>
      </c>
      <c r="VN6">
        <v>22.888544</v>
      </c>
      <c r="VO6" t="s">
        <v>1822</v>
      </c>
      <c r="VP6">
        <v>0.98140400000000005</v>
      </c>
      <c r="VQ6" t="s">
        <v>1823</v>
      </c>
      <c r="VR6">
        <v>2026</v>
      </c>
      <c r="VS6" t="s">
        <v>3888</v>
      </c>
      <c r="VT6" s="6">
        <v>46052</v>
      </c>
      <c r="VU6">
        <v>5</v>
      </c>
      <c r="VV6">
        <v>405997024</v>
      </c>
      <c r="VW6">
        <v>46946968</v>
      </c>
      <c r="VX6" t="s">
        <v>1816</v>
      </c>
    </row>
    <row r="7" spans="1:600" x14ac:dyDescent="0.25">
      <c r="A7" t="s">
        <v>3162</v>
      </c>
      <c r="C7">
        <v>-2.4245362661989844E-14</v>
      </c>
      <c r="D7">
        <v>-2.4245362661989844E-14</v>
      </c>
      <c r="E7" t="s">
        <v>1814</v>
      </c>
      <c r="F7">
        <v>2021</v>
      </c>
      <c r="G7" t="s">
        <v>3163</v>
      </c>
      <c r="H7" s="6">
        <v>44679</v>
      </c>
      <c r="I7">
        <v>5</v>
      </c>
      <c r="J7">
        <v>-2.4245362661989844E-14</v>
      </c>
      <c r="K7">
        <v>12237925</v>
      </c>
      <c r="L7" t="s">
        <v>3164</v>
      </c>
      <c r="O7" t="s">
        <v>1840</v>
      </c>
      <c r="P7">
        <v>0.39695200000000003</v>
      </c>
      <c r="Q7" t="s">
        <v>1822</v>
      </c>
      <c r="R7">
        <v>2.4049999999999998E-2</v>
      </c>
      <c r="S7" t="s">
        <v>1806</v>
      </c>
      <c r="T7">
        <v>2025</v>
      </c>
      <c r="U7" t="s">
        <v>1841</v>
      </c>
      <c r="V7" s="6">
        <v>45820</v>
      </c>
      <c r="W7">
        <v>5</v>
      </c>
      <c r="X7">
        <v>980470</v>
      </c>
      <c r="Y7">
        <v>12129192</v>
      </c>
      <c r="Z7" t="s">
        <v>1842</v>
      </c>
      <c r="UY7" t="s">
        <v>4030</v>
      </c>
      <c r="UZ7" t="s">
        <v>1893</v>
      </c>
      <c r="VA7">
        <v>-2.4245362661989844E-14</v>
      </c>
      <c r="VB7">
        <v>0.39735100000000001</v>
      </c>
      <c r="VC7" t="s">
        <v>1814</v>
      </c>
      <c r="VD7">
        <v>2025</v>
      </c>
      <c r="VE7" t="s">
        <v>4031</v>
      </c>
      <c r="VF7" s="6">
        <v>46052</v>
      </c>
      <c r="VG7">
        <v>5</v>
      </c>
      <c r="VH7">
        <v>2550000</v>
      </c>
      <c r="VI7">
        <v>11073588</v>
      </c>
      <c r="VJ7" t="s">
        <v>4032</v>
      </c>
      <c r="VM7" t="s">
        <v>2714</v>
      </c>
      <c r="VN7">
        <v>17.463395999999999</v>
      </c>
      <c r="VO7" t="s">
        <v>1822</v>
      </c>
      <c r="VP7">
        <v>0.41565299999999999</v>
      </c>
      <c r="VQ7" t="s">
        <v>1823</v>
      </c>
      <c r="VR7">
        <v>2026</v>
      </c>
      <c r="VS7" t="s">
        <v>3888</v>
      </c>
      <c r="VT7" s="6">
        <v>46052</v>
      </c>
      <c r="VU7">
        <v>5</v>
      </c>
      <c r="VV7">
        <v>309765728</v>
      </c>
      <c r="VW7">
        <v>101695</v>
      </c>
      <c r="VX7" t="s">
        <v>2716</v>
      </c>
    </row>
    <row r="8" spans="1:600" x14ac:dyDescent="0.25">
      <c r="A8" t="s">
        <v>3165</v>
      </c>
      <c r="C8">
        <v>-2.4245362661989844E-14</v>
      </c>
      <c r="D8">
        <v>-2.4245362661989844E-14</v>
      </c>
      <c r="E8" t="s">
        <v>1831</v>
      </c>
      <c r="F8">
        <v>2025</v>
      </c>
      <c r="G8" t="s">
        <v>3166</v>
      </c>
      <c r="H8" s="6">
        <v>45975</v>
      </c>
      <c r="I8">
        <v>5</v>
      </c>
      <c r="J8">
        <v>-2.4245362661989844E-14</v>
      </c>
      <c r="K8">
        <v>17469696</v>
      </c>
      <c r="L8" t="s">
        <v>3167</v>
      </c>
      <c r="O8" t="s">
        <v>2036</v>
      </c>
      <c r="P8">
        <v>0.14593400000000001</v>
      </c>
      <c r="Q8" t="s">
        <v>1822</v>
      </c>
      <c r="R8">
        <v>1.9580000000000001E-3</v>
      </c>
      <c r="S8" t="s">
        <v>1823</v>
      </c>
      <c r="T8">
        <v>2025</v>
      </c>
      <c r="U8" t="s">
        <v>2037</v>
      </c>
      <c r="V8" s="6">
        <v>45919</v>
      </c>
      <c r="W8">
        <v>5</v>
      </c>
      <c r="X8">
        <v>383653.78</v>
      </c>
      <c r="Y8">
        <v>115268</v>
      </c>
      <c r="Z8" t="s">
        <v>2038</v>
      </c>
      <c r="UY8" t="s">
        <v>4033</v>
      </c>
      <c r="VA8">
        <v>-2.4245362661989844E-14</v>
      </c>
      <c r="VB8">
        <v>-2.4245362661989844E-14</v>
      </c>
      <c r="VC8" t="s">
        <v>1814</v>
      </c>
      <c r="VD8">
        <v>2022</v>
      </c>
      <c r="VE8" t="s">
        <v>4034</v>
      </c>
      <c r="VF8" s="6">
        <v>45002</v>
      </c>
      <c r="VG8">
        <v>5</v>
      </c>
      <c r="VH8">
        <v>-2.4245362661989844E-14</v>
      </c>
      <c r="VI8">
        <v>117581</v>
      </c>
      <c r="VJ8" t="s">
        <v>4035</v>
      </c>
      <c r="VM8" t="s">
        <v>1929</v>
      </c>
      <c r="VN8">
        <v>10.685034</v>
      </c>
      <c r="VO8" t="s">
        <v>1822</v>
      </c>
      <c r="VP8">
        <v>0.72958299999999998</v>
      </c>
      <c r="VQ8" t="s">
        <v>1823</v>
      </c>
      <c r="VR8">
        <v>2026</v>
      </c>
      <c r="VS8" t="s">
        <v>3888</v>
      </c>
      <c r="VT8" s="6">
        <v>46052</v>
      </c>
      <c r="VU8">
        <v>5</v>
      </c>
      <c r="VV8">
        <v>189531136</v>
      </c>
      <c r="VW8">
        <v>101743</v>
      </c>
      <c r="VX8" t="s">
        <v>1931</v>
      </c>
    </row>
    <row r="9" spans="1:600" x14ac:dyDescent="0.25">
      <c r="A9" t="s">
        <v>3168</v>
      </c>
      <c r="C9">
        <v>-2.4245362661989844E-14</v>
      </c>
      <c r="D9">
        <v>-2.4245362661989844E-14</v>
      </c>
      <c r="E9" t="s">
        <v>1814</v>
      </c>
      <c r="F9">
        <v>2021</v>
      </c>
      <c r="G9" t="s">
        <v>3169</v>
      </c>
      <c r="H9" s="6">
        <v>44728</v>
      </c>
      <c r="I9">
        <v>5</v>
      </c>
      <c r="J9">
        <v>-2.4245362661989844E-14</v>
      </c>
      <c r="K9">
        <v>866835</v>
      </c>
      <c r="L9" t="s">
        <v>3170</v>
      </c>
      <c r="O9" t="s">
        <v>2085</v>
      </c>
      <c r="P9">
        <v>0.117287</v>
      </c>
      <c r="Q9" t="s">
        <v>1822</v>
      </c>
      <c r="R9">
        <v>5.5309999999999998E-2</v>
      </c>
      <c r="S9" t="s">
        <v>1810</v>
      </c>
      <c r="T9">
        <v>2025</v>
      </c>
      <c r="U9" t="s">
        <v>2768</v>
      </c>
      <c r="V9" s="6">
        <v>46034</v>
      </c>
      <c r="W9">
        <v>5</v>
      </c>
      <c r="X9">
        <v>315501</v>
      </c>
      <c r="Y9">
        <v>313021</v>
      </c>
      <c r="Z9" t="s">
        <v>2087</v>
      </c>
      <c r="UY9" t="s">
        <v>4036</v>
      </c>
      <c r="VA9">
        <v>-2.4245362661989844E-14</v>
      </c>
      <c r="VB9">
        <v>-2.4245362661989844E-14</v>
      </c>
      <c r="VC9" t="s">
        <v>1823</v>
      </c>
      <c r="VD9">
        <v>2025</v>
      </c>
      <c r="VE9" t="s">
        <v>4037</v>
      </c>
      <c r="VF9" s="6">
        <v>45968</v>
      </c>
      <c r="VG9">
        <v>5</v>
      </c>
      <c r="VH9">
        <v>-2.4245362661989844E-14</v>
      </c>
      <c r="VI9">
        <v>943108</v>
      </c>
      <c r="VJ9" t="s">
        <v>4038</v>
      </c>
      <c r="VM9" t="s">
        <v>2276</v>
      </c>
      <c r="VN9">
        <v>4.5225819999999999</v>
      </c>
      <c r="VO9" t="s">
        <v>1822</v>
      </c>
      <c r="VP9">
        <v>3.340357</v>
      </c>
      <c r="VQ9" t="s">
        <v>1823</v>
      </c>
      <c r="VR9">
        <v>2026</v>
      </c>
      <c r="VS9" t="s">
        <v>3888</v>
      </c>
      <c r="VT9" s="6">
        <v>46052</v>
      </c>
      <c r="VU9">
        <v>5</v>
      </c>
      <c r="VV9">
        <v>80221560</v>
      </c>
      <c r="VW9">
        <v>114322</v>
      </c>
      <c r="VX9" t="s">
        <v>2278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630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631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632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633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634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635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636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637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638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639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640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641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642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643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644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645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646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647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648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649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650</v>
      </c>
      <c r="AE2" s="3" t="s">
        <v>651</v>
      </c>
      <c r="BI2" s="3" t="s">
        <v>652</v>
      </c>
      <c r="CM2" s="3" t="s">
        <v>653</v>
      </c>
      <c r="DQ2" s="3" t="s">
        <v>654</v>
      </c>
      <c r="EU2" s="3" t="s">
        <v>655</v>
      </c>
      <c r="FY2" s="3" t="s">
        <v>656</v>
      </c>
      <c r="HC2" s="3" t="s">
        <v>657</v>
      </c>
      <c r="IG2" s="3" t="s">
        <v>658</v>
      </c>
      <c r="JK2" s="3" t="s">
        <v>659</v>
      </c>
      <c r="KO2" s="3" t="s">
        <v>206</v>
      </c>
      <c r="LS2" s="3" t="s">
        <v>467</v>
      </c>
      <c r="MW2" s="3" t="s">
        <v>660</v>
      </c>
      <c r="OA2" s="3" t="s">
        <v>661</v>
      </c>
      <c r="PE2" s="3" t="s">
        <v>662</v>
      </c>
      <c r="QI2" s="3" t="s">
        <v>663</v>
      </c>
      <c r="RM2" s="3" t="s">
        <v>664</v>
      </c>
      <c r="SQ2" s="3" t="s">
        <v>167</v>
      </c>
      <c r="TU2" s="3" t="s">
        <v>665</v>
      </c>
      <c r="UY2" s="3" t="s">
        <v>666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_xll.BDS("AREMQ US Equity","SUPPLY_CHAIN_SUPPLIERS_ALL_DATA")</f>
        <v>#N/A N/A</v>
      </c>
      <c r="O5" t="str">
        <f>_xll.BDS("AREMQ US Equity","SUPPLY_CHAIN_CUSTOMERS_ALL_DATA")</f>
        <v>#N/A N/A</v>
      </c>
      <c r="AE5" t="str">
        <f>_xll.BDS("PBKS US Equity","SUPPLY_CHAIN_SUPPLIERS_ALL_DATA")</f>
        <v>#N/A N/A</v>
      </c>
      <c r="AS5" t="str">
        <f>_xll.BDS("PBKS US Equity","SUPPLY_CHAIN_CUSTOMERS_ALL_DATA")</f>
        <v>#N/A N/A</v>
      </c>
      <c r="BI5" t="str">
        <f>_xll.BDS("PSTB US Equity","SUPPLY_CHAIN_SUPPLIERS_ALL_DATA")</f>
        <v>#N/A N/A</v>
      </c>
      <c r="BW5" t="str">
        <f>_xll.BDS("PSTB US Equity","SUPPLY_CHAIN_CUSTOMERS_ALL_DATA")</f>
        <v>#N/A N/A</v>
      </c>
      <c r="CM5" t="str">
        <f>_xll.BDS("CY US Equity","SUPPLY_CHAIN_SUPPLIERS_ALL_DATA")</f>
        <v>#N/A N/A</v>
      </c>
      <c r="DA5" t="str">
        <f>_xll.BDS("CY US Equity","SUPPLY_CHAIN_CUSTOMERS_ALL_DATA")</f>
        <v>#N/A N/A</v>
      </c>
      <c r="DQ5" t="str">
        <f>_xll.BDS("BUSE US Equity","SUPPLY_CHAIN_SUPPLIERS_ALL_DATA")</f>
        <v>#N/A N/A</v>
      </c>
      <c r="EE5" t="str">
        <f>_xll.BDS("BUSE US Equity","SUPPLY_CHAIN_CUSTOMERS_ALL_DATA")</f>
        <v>#N/A N/A</v>
      </c>
      <c r="EU5" t="str">
        <f>_xll.BDS("2096692D US Equity","SUPPLY_CHAIN_SUPPLIERS_ALL_DATA")</f>
        <v>#N/A N/A</v>
      </c>
      <c r="FI5" t="str">
        <f>_xll.BDS("2096692D US Equity","SUPPLY_CHAIN_CUSTOMERS_ALL_DATA")</f>
        <v>#N/A N/A</v>
      </c>
      <c r="FY5" t="str">
        <f>_xll.BDS("OPLK US Equity","SUPPLY_CHAIN_SUPPLIERS_ALL_DATA")</f>
        <v>#N/A N/A</v>
      </c>
      <c r="GM5" t="str">
        <f>_xll.BDS("OPLK US Equity","SUPPLY_CHAIN_CUSTOMERS_ALL_DATA")</f>
        <v>#N/A N/A</v>
      </c>
      <c r="HC5" t="str">
        <f>_xll.BDS("244630Q US Equity","SUPPLY_CHAIN_SUPPLIERS_ALL_DATA")</f>
        <v>#N/A N/A</v>
      </c>
      <c r="HQ5" t="str">
        <f>_xll.BDS("244630Q US Equity","SUPPLY_CHAIN_CUSTOMERS_ALL_DATA")</f>
        <v>#N/A N/A</v>
      </c>
      <c r="IG5" t="str">
        <f>_xll.BDS("SNPS US Equity","SUPPLY_CHAIN_SUPPLIERS_ALL_DATA","cols=12;rows=5")</f>
        <v>000660 KS Equity</v>
      </c>
      <c r="IH5" t="s">
        <v>1822</v>
      </c>
      <c r="II5">
        <v>6.9986999999999994E-2</v>
      </c>
      <c r="IJ5">
        <v>3.195624</v>
      </c>
      <c r="IK5" t="s">
        <v>1827</v>
      </c>
      <c r="IL5">
        <v>2024</v>
      </c>
      <c r="IM5" t="s">
        <v>2352</v>
      </c>
      <c r="IN5" s="6">
        <v>45805</v>
      </c>
      <c r="IO5">
        <v>5</v>
      </c>
      <c r="IP5">
        <v>8835872.8200000003</v>
      </c>
      <c r="IQ5">
        <v>193974</v>
      </c>
      <c r="IR5" t="s">
        <v>2353</v>
      </c>
      <c r="IU5" t="str">
        <f>_xll.BDS("SNPS US Equity","SUPPLY_CHAIN_CUSTOMERS_ALL_DATA","cols=12;rows=5")</f>
        <v>2454 TT Equity</v>
      </c>
      <c r="IV5">
        <v>3.6540590000000002</v>
      </c>
      <c r="IW5" t="s">
        <v>1822</v>
      </c>
      <c r="IX5">
        <v>2.4199099999999998</v>
      </c>
      <c r="IY5" t="s">
        <v>1806</v>
      </c>
      <c r="IZ5">
        <v>2025</v>
      </c>
      <c r="JA5" t="s">
        <v>1986</v>
      </c>
      <c r="JB5" s="6">
        <v>45866</v>
      </c>
      <c r="JC5">
        <v>5</v>
      </c>
      <c r="JD5">
        <v>58486037.799999997</v>
      </c>
      <c r="JE5">
        <v>7359591</v>
      </c>
      <c r="JF5" t="s">
        <v>1987</v>
      </c>
      <c r="JK5" t="str">
        <f>_xll.BDS("NWBI US Equity","SUPPLY_CHAIN_SUPPLIERS_ALL_DATA","cols=12;rows=1")</f>
        <v>FISV US Equity</v>
      </c>
      <c r="JM5">
        <v>-2.4245362661989844E-14</v>
      </c>
      <c r="JN5">
        <v>-2.4245362661989844E-14</v>
      </c>
      <c r="JO5" t="s">
        <v>1831</v>
      </c>
      <c r="JP5">
        <v>2023</v>
      </c>
      <c r="JQ5" t="s">
        <v>1910</v>
      </c>
      <c r="JR5" s="6">
        <v>45245</v>
      </c>
      <c r="JS5">
        <v>1</v>
      </c>
      <c r="JT5">
        <v>-2.4245362661989844E-14</v>
      </c>
      <c r="JU5">
        <v>103882</v>
      </c>
      <c r="JV5" t="s">
        <v>1911</v>
      </c>
      <c r="JY5" t="str">
        <f>_xll.BDS("NWBI US Equity","SUPPLY_CHAIN_CUSTOMERS_ALL_DATA")</f>
        <v>#N/A N/A</v>
      </c>
      <c r="KO5" t="str">
        <f>_xll.BDS("BMRC US Equity","SUPPLY_CHAIN_SUPPLIERS_ALL_DATA")</f>
        <v>#N/A N/A</v>
      </c>
      <c r="LC5" t="str">
        <f>_xll.BDS("BMRC US Equity","SUPPLY_CHAIN_CUSTOMERS_ALL_DATA")</f>
        <v>#N/A N/A</v>
      </c>
      <c r="LS5" t="str">
        <f>_xll.BDS("PACW US Equity","SUPPLY_CHAIN_SUPPLIERS_ALL_DATA")</f>
        <v>#N/A N/A</v>
      </c>
      <c r="MG5" t="str">
        <f>_xll.BDS("PACW US Equity","SUPPLY_CHAIN_CUSTOMERS_ALL_DATA")</f>
        <v>SNX US Equity</v>
      </c>
      <c r="MW5" t="str">
        <f>_xll.BDS("FMNB US Equity","SUPPLY_CHAIN_SUPPLIERS_ALL_DATA")</f>
        <v>#N/A N/A</v>
      </c>
      <c r="NK5" t="str">
        <f>_xll.BDS("FMNB US Equity","SUPPLY_CHAIN_CUSTOMERS_ALL_DATA")</f>
        <v>#N/A N/A</v>
      </c>
      <c r="OA5" t="str">
        <f>_xll.BDS("NFG US Equity","SUPPLY_CHAIN_SUPPLIERS_ALL_DATA","cols=12;rows=5")</f>
        <v>927079Z US Equity</v>
      </c>
      <c r="OC5">
        <v>-2.4245362661989844E-14</v>
      </c>
      <c r="OD5">
        <v>-2.4245362661989844E-14</v>
      </c>
      <c r="OE5" t="s">
        <v>1814</v>
      </c>
      <c r="OF5">
        <v>2024</v>
      </c>
      <c r="OG5" t="s">
        <v>4213</v>
      </c>
      <c r="OH5" s="6">
        <v>45618</v>
      </c>
      <c r="OI5">
        <v>5</v>
      </c>
      <c r="OJ5">
        <v>-2.4245362661989844E-14</v>
      </c>
      <c r="OK5">
        <v>10727093</v>
      </c>
      <c r="OL5" t="s">
        <v>4266</v>
      </c>
      <c r="OO5" t="str">
        <f>_xll.BDS("NFG US Equity","SUPPLY_CHAIN_CUSTOMERS_ALL_DATA","cols=12;rows=3")</f>
        <v>1725219D US Equity</v>
      </c>
      <c r="OP5">
        <v>-2.4245362661989844E-14</v>
      </c>
      <c r="OR5">
        <v>-2.4245362661989844E-14</v>
      </c>
      <c r="OS5" t="s">
        <v>1806</v>
      </c>
      <c r="OT5">
        <v>2023</v>
      </c>
      <c r="OU5" t="s">
        <v>4225</v>
      </c>
      <c r="OV5" s="6">
        <v>44950</v>
      </c>
      <c r="OW5">
        <v>3</v>
      </c>
      <c r="OX5">
        <v>-2.4245362661989844E-14</v>
      </c>
      <c r="OY5">
        <v>65060614</v>
      </c>
      <c r="OZ5" t="s">
        <v>4226</v>
      </c>
      <c r="PE5" t="str">
        <f>_xll.BDS("1339658D US Equity","SUPPLY_CHAIN_SUPPLIERS_ALL_DATA")</f>
        <v>#N/A N/A</v>
      </c>
      <c r="PS5" t="str">
        <f>_xll.BDS("1339658D US Equity","SUPPLY_CHAIN_CUSTOMERS_ALL_DATA")</f>
        <v>#N/A N/A</v>
      </c>
      <c r="QI5" t="str">
        <f>_xll.BDS("MCCK US Equity","SUPPLY_CHAIN_SUPPLIERS_ALL_DATA")</f>
        <v>#N/A N/A</v>
      </c>
      <c r="QW5" t="str">
        <f>_xll.BDS("MCCK US Equity","SUPPLY_CHAIN_CUSTOMERS_ALL_DATA","cols=12;rows=1")</f>
        <v>MSM US Equity</v>
      </c>
      <c r="QX5">
        <v>-2.4245362661989844E-14</v>
      </c>
      <c r="QZ5">
        <v>-2.4245362661989844E-14</v>
      </c>
      <c r="RA5" t="s">
        <v>1823</v>
      </c>
      <c r="RB5">
        <v>2025</v>
      </c>
      <c r="RC5" t="s">
        <v>3441</v>
      </c>
      <c r="RD5" s="6">
        <v>45803</v>
      </c>
      <c r="RE5">
        <v>1</v>
      </c>
      <c r="RF5">
        <v>-2.4245362661989844E-14</v>
      </c>
      <c r="RG5">
        <v>171397</v>
      </c>
      <c r="RH5" t="s">
        <v>3442</v>
      </c>
      <c r="RM5" t="str">
        <f>_xll.BDS("598014Q US Equity","SUPPLY_CHAIN_SUPPLIERS_ALL_DATA")</f>
        <v>#N/A N/A</v>
      </c>
      <c r="SA5" t="str">
        <f>_xll.BDS("598014Q US Equity","SUPPLY_CHAIN_CUSTOMERS_ALL_DATA")</f>
        <v>#N/A N/A</v>
      </c>
      <c r="SQ5" t="str">
        <f>_xll.BDS("TTN US Equity","SUPPLY_CHAIN_SUPPLIERS_ALL_DATA")</f>
        <v>#N/A N/A</v>
      </c>
      <c r="TE5" t="str">
        <f>_xll.BDS("TTN US Equity","SUPPLY_CHAIN_CUSTOMERS_ALL_DATA")</f>
        <v>#N/A N/A</v>
      </c>
      <c r="TU5" t="str">
        <f>_xll.BDS("CBCRQ US Equity","SUPPLY_CHAIN_SUPPLIERS_ALL_DATA")</f>
        <v>#N/A N/A</v>
      </c>
      <c r="UI5" t="str">
        <f>_xll.BDS("CBCRQ US Equity","SUPPLY_CHAIN_CUSTOMERS_ALL_DATA")</f>
        <v>#N/A N/A</v>
      </c>
      <c r="UY5" t="str">
        <f>_xll.BDS("GBTB US Equity","SUPPLY_CHAIN_SUPPLIERS_ALL_DATA")</f>
        <v>#N/A N/A</v>
      </c>
      <c r="VM5" t="str">
        <f>_xll.BDS("GBTB US Equity","SUPPLY_CHAIN_CUSTOMERS_ALL_DATA")</f>
        <v>#N/A N/A</v>
      </c>
    </row>
    <row r="6" spans="1:600" x14ac:dyDescent="0.25">
      <c r="IG6" t="s">
        <v>2354</v>
      </c>
      <c r="IH6" t="s">
        <v>1893</v>
      </c>
      <c r="II6">
        <v>1.3923300000000001</v>
      </c>
      <c r="IJ6">
        <v>0.75693999999999995</v>
      </c>
      <c r="IK6" t="s">
        <v>1814</v>
      </c>
      <c r="IL6">
        <v>2025</v>
      </c>
      <c r="IM6" t="s">
        <v>2355</v>
      </c>
      <c r="IN6" s="6">
        <v>46064</v>
      </c>
      <c r="IO6">
        <v>5</v>
      </c>
      <c r="IP6">
        <v>3873000</v>
      </c>
      <c r="IQ6">
        <v>202222</v>
      </c>
      <c r="IR6" t="s">
        <v>2356</v>
      </c>
      <c r="IU6" t="s">
        <v>2022</v>
      </c>
      <c r="IV6">
        <v>0.13498599999999999</v>
      </c>
      <c r="IW6" t="s">
        <v>1822</v>
      </c>
      <c r="IX6">
        <v>1.9434E-2</v>
      </c>
      <c r="IY6" t="s">
        <v>1823</v>
      </c>
      <c r="IZ6">
        <v>2025</v>
      </c>
      <c r="JA6" t="s">
        <v>2023</v>
      </c>
      <c r="JB6" s="6">
        <v>45876</v>
      </c>
      <c r="JC6">
        <v>5</v>
      </c>
      <c r="JD6">
        <v>2165531</v>
      </c>
      <c r="JE6">
        <v>100285</v>
      </c>
      <c r="JF6" t="s">
        <v>2024</v>
      </c>
      <c r="OA6" t="s">
        <v>4267</v>
      </c>
      <c r="OC6">
        <v>-2.4245362661989844E-14</v>
      </c>
      <c r="OD6">
        <v>-2.4245362661989844E-14</v>
      </c>
      <c r="OE6" t="s">
        <v>1814</v>
      </c>
      <c r="OF6">
        <v>2024</v>
      </c>
      <c r="OG6" t="s">
        <v>4213</v>
      </c>
      <c r="OH6" s="6">
        <v>45618</v>
      </c>
      <c r="OI6">
        <v>5</v>
      </c>
      <c r="OJ6">
        <v>-2.4245362661989844E-14</v>
      </c>
      <c r="OK6">
        <v>17234565</v>
      </c>
      <c r="OL6" t="s">
        <v>4268</v>
      </c>
      <c r="OO6" t="s">
        <v>4227</v>
      </c>
      <c r="OP6">
        <v>-2.4245362661989844E-14</v>
      </c>
      <c r="OR6">
        <v>-2.4245362661989844E-14</v>
      </c>
      <c r="OS6" t="s">
        <v>1814</v>
      </c>
      <c r="OT6">
        <v>2023</v>
      </c>
      <c r="OU6" t="s">
        <v>4228</v>
      </c>
      <c r="OV6" s="6">
        <v>45342</v>
      </c>
      <c r="OW6">
        <v>3</v>
      </c>
      <c r="OX6">
        <v>-2.4245362661989844E-14</v>
      </c>
      <c r="OY6">
        <v>59265081</v>
      </c>
      <c r="OZ6" t="s">
        <v>4229</v>
      </c>
    </row>
    <row r="7" spans="1:600" x14ac:dyDescent="0.25">
      <c r="IG7" t="s">
        <v>2247</v>
      </c>
      <c r="IH7" t="s">
        <v>1822</v>
      </c>
      <c r="II7">
        <v>3.5019999999999999E-3</v>
      </c>
      <c r="IJ7">
        <v>0.37431399999999998</v>
      </c>
      <c r="IK7" t="s">
        <v>1827</v>
      </c>
      <c r="IL7">
        <v>2026</v>
      </c>
      <c r="IM7" t="s">
        <v>2357</v>
      </c>
      <c r="IN7" s="6">
        <v>46087</v>
      </c>
      <c r="IO7">
        <v>5</v>
      </c>
      <c r="IP7">
        <v>2385808</v>
      </c>
      <c r="IQ7">
        <v>313657</v>
      </c>
      <c r="IR7" t="s">
        <v>2248</v>
      </c>
      <c r="IU7" t="s">
        <v>2025</v>
      </c>
      <c r="IV7">
        <v>0.11786099999999999</v>
      </c>
      <c r="IW7" t="s">
        <v>1822</v>
      </c>
      <c r="IX7">
        <v>2.8398E-2</v>
      </c>
      <c r="IY7" t="s">
        <v>1806</v>
      </c>
      <c r="IZ7">
        <v>2025</v>
      </c>
      <c r="JA7" t="s">
        <v>2026</v>
      </c>
      <c r="JB7" s="6">
        <v>45784</v>
      </c>
      <c r="JC7">
        <v>5</v>
      </c>
      <c r="JD7">
        <v>1715246</v>
      </c>
      <c r="JE7">
        <v>100115</v>
      </c>
      <c r="JF7" t="s">
        <v>2027</v>
      </c>
      <c r="OA7" t="s">
        <v>4269</v>
      </c>
      <c r="OC7">
        <v>-2.4245362661989844E-14</v>
      </c>
      <c r="OD7">
        <v>-2.4245362661989844E-14</v>
      </c>
      <c r="OE7" t="s">
        <v>1814</v>
      </c>
      <c r="OF7">
        <v>2026</v>
      </c>
      <c r="OG7" t="s">
        <v>4270</v>
      </c>
      <c r="OH7" s="6">
        <v>46056</v>
      </c>
      <c r="OI7">
        <v>5</v>
      </c>
      <c r="OJ7">
        <v>-2.4245362661989844E-14</v>
      </c>
      <c r="OK7">
        <v>216204</v>
      </c>
      <c r="OL7" t="s">
        <v>4271</v>
      </c>
      <c r="OO7" t="s">
        <v>2570</v>
      </c>
      <c r="OP7">
        <v>-2.4245362661989844E-14</v>
      </c>
      <c r="OR7">
        <v>-2.4245362661989844E-14</v>
      </c>
      <c r="OS7" t="s">
        <v>1814</v>
      </c>
      <c r="OT7">
        <v>2024</v>
      </c>
      <c r="OU7" t="s">
        <v>4230</v>
      </c>
      <c r="OV7" s="6">
        <v>45730</v>
      </c>
      <c r="OW7">
        <v>3</v>
      </c>
      <c r="OX7">
        <v>-2.4245362661989844E-14</v>
      </c>
      <c r="OY7">
        <v>24902659</v>
      </c>
      <c r="OZ7" t="s">
        <v>2572</v>
      </c>
    </row>
    <row r="8" spans="1:600" x14ac:dyDescent="0.25">
      <c r="IG8" t="s">
        <v>1929</v>
      </c>
      <c r="IH8" t="s">
        <v>1822</v>
      </c>
      <c r="II8">
        <v>1.08E-3</v>
      </c>
      <c r="IJ8">
        <v>0.237701</v>
      </c>
      <c r="IK8" t="s">
        <v>1810</v>
      </c>
      <c r="IL8">
        <v>2025</v>
      </c>
      <c r="IM8" t="s">
        <v>1930</v>
      </c>
      <c r="IN8" s="6">
        <v>45843</v>
      </c>
      <c r="IO8">
        <v>5</v>
      </c>
      <c r="IP8">
        <v>756713</v>
      </c>
      <c r="IQ8">
        <v>101743</v>
      </c>
      <c r="IR8" t="s">
        <v>1931</v>
      </c>
      <c r="IU8" t="s">
        <v>2028</v>
      </c>
      <c r="IV8">
        <v>4.9280999999999998E-2</v>
      </c>
      <c r="IW8" t="s">
        <v>1822</v>
      </c>
      <c r="IX8">
        <v>0.59355500000000005</v>
      </c>
      <c r="IY8" t="s">
        <v>1806</v>
      </c>
      <c r="IZ8">
        <v>2025</v>
      </c>
      <c r="JA8" t="s">
        <v>2029</v>
      </c>
      <c r="JB8" s="6">
        <v>45820</v>
      </c>
      <c r="JC8">
        <v>5</v>
      </c>
      <c r="JD8">
        <v>788021.54</v>
      </c>
      <c r="JE8">
        <v>117587</v>
      </c>
      <c r="JF8" t="s">
        <v>2030</v>
      </c>
      <c r="OA8" t="s">
        <v>4272</v>
      </c>
      <c r="OC8">
        <v>-2.4245362661989844E-14</v>
      </c>
      <c r="OD8">
        <v>-2.4245362661989844E-14</v>
      </c>
      <c r="OE8" t="s">
        <v>1814</v>
      </c>
      <c r="OF8">
        <v>2025</v>
      </c>
      <c r="OG8" t="s">
        <v>4273</v>
      </c>
      <c r="OH8" s="6">
        <v>45982</v>
      </c>
      <c r="OI8">
        <v>5</v>
      </c>
      <c r="OJ8">
        <v>-2.4245362661989844E-14</v>
      </c>
      <c r="OK8">
        <v>100315</v>
      </c>
      <c r="OL8" t="s">
        <v>4274</v>
      </c>
    </row>
    <row r="9" spans="1:600" x14ac:dyDescent="0.25">
      <c r="IG9" t="s">
        <v>2358</v>
      </c>
      <c r="IH9" t="s">
        <v>1822</v>
      </c>
      <c r="II9">
        <v>6.5779999999999996E-3</v>
      </c>
      <c r="IJ9">
        <v>4.0340000000000003E-3</v>
      </c>
      <c r="IK9" t="s">
        <v>1827</v>
      </c>
      <c r="IL9">
        <v>2024</v>
      </c>
      <c r="IM9" t="s">
        <v>2359</v>
      </c>
      <c r="IN9" s="6">
        <v>45750</v>
      </c>
      <c r="IO9">
        <v>5</v>
      </c>
      <c r="IP9">
        <v>10984.26</v>
      </c>
      <c r="IQ9">
        <v>27395152</v>
      </c>
      <c r="IR9" t="s">
        <v>2360</v>
      </c>
      <c r="IU9" t="s">
        <v>2031</v>
      </c>
      <c r="IV9">
        <v>1.7725000000000001E-2</v>
      </c>
      <c r="IW9" t="s">
        <v>1949</v>
      </c>
      <c r="IX9">
        <v>4.1203999999999998E-2</v>
      </c>
      <c r="IY9" t="s">
        <v>1810</v>
      </c>
      <c r="IZ9">
        <v>2025</v>
      </c>
      <c r="JA9" t="s">
        <v>2032</v>
      </c>
      <c r="JB9" s="6">
        <v>46007</v>
      </c>
      <c r="JC9">
        <v>5</v>
      </c>
      <c r="JD9">
        <v>399679</v>
      </c>
      <c r="JE9">
        <v>143027</v>
      </c>
      <c r="JF9" t="s">
        <v>2033</v>
      </c>
      <c r="OA9" t="s">
        <v>3671</v>
      </c>
      <c r="OC9">
        <v>-2.4245362661989844E-14</v>
      </c>
      <c r="OD9">
        <v>-2.4245362661989844E-14</v>
      </c>
      <c r="OE9" t="s">
        <v>1814</v>
      </c>
      <c r="OF9">
        <v>2025</v>
      </c>
      <c r="OG9" t="s">
        <v>4273</v>
      </c>
      <c r="OH9" s="6">
        <v>45982</v>
      </c>
      <c r="OI9">
        <v>5</v>
      </c>
      <c r="OJ9">
        <v>-2.4245362661989844E-14</v>
      </c>
      <c r="OK9">
        <v>964326</v>
      </c>
      <c r="OL9" t="s">
        <v>3673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667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668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669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670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671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672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673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674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675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676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677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678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679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680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681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682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683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684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685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686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687</v>
      </c>
      <c r="AE2" s="3" t="s">
        <v>688</v>
      </c>
      <c r="BI2" s="3" t="s">
        <v>689</v>
      </c>
      <c r="CM2" s="3" t="s">
        <v>690</v>
      </c>
      <c r="DQ2" s="3" t="s">
        <v>691</v>
      </c>
      <c r="EU2" s="3" t="s">
        <v>515</v>
      </c>
      <c r="FY2" s="3" t="s">
        <v>692</v>
      </c>
      <c r="HC2" s="3" t="s">
        <v>200</v>
      </c>
      <c r="IG2" s="3" t="s">
        <v>515</v>
      </c>
      <c r="JK2" s="3" t="s">
        <v>693</v>
      </c>
      <c r="KO2" s="3" t="s">
        <v>694</v>
      </c>
      <c r="LS2" s="3" t="s">
        <v>695</v>
      </c>
      <c r="MW2" s="3" t="s">
        <v>696</v>
      </c>
      <c r="OA2" s="3" t="s">
        <v>697</v>
      </c>
      <c r="PE2" s="3" t="s">
        <v>79</v>
      </c>
      <c r="QI2" s="3" t="s">
        <v>698</v>
      </c>
      <c r="RM2" s="3" t="s">
        <v>699</v>
      </c>
      <c r="SQ2" s="3" t="s">
        <v>700</v>
      </c>
      <c r="TU2" s="3" t="s">
        <v>701</v>
      </c>
      <c r="UY2" s="3" t="s">
        <v>198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_xll.BDS("RBCAA US Equity","SUPPLY_CHAIN_SUPPLIERS_ALL_DATA","cols=12;rows=1")</f>
        <v>1764510D US Equity</v>
      </c>
      <c r="C5">
        <v>-2.4245362661989844E-14</v>
      </c>
      <c r="D5">
        <v>-2.4245362661989844E-14</v>
      </c>
      <c r="E5" t="s">
        <v>1814</v>
      </c>
      <c r="F5">
        <v>2024</v>
      </c>
      <c r="G5" t="s">
        <v>3100</v>
      </c>
      <c r="H5" s="6">
        <v>45448</v>
      </c>
      <c r="I5">
        <v>1</v>
      </c>
      <c r="J5">
        <v>-2.4245362661989844E-14</v>
      </c>
      <c r="K5">
        <v>66413145</v>
      </c>
      <c r="L5" t="s">
        <v>3101</v>
      </c>
      <c r="O5" t="str">
        <f>_xll.BDS("RBCAA US Equity","SUPPLY_CHAIN_CUSTOMERS_ALL_DATA")</f>
        <v>#N/A N/A</v>
      </c>
      <c r="AE5" t="str">
        <f>_xll.BDS("JLL US Equity","SUPPLY_CHAIN_SUPPLIERS_ALL_DATA","cols=12;rows=5")</f>
        <v>SECIS IN Equity</v>
      </c>
      <c r="AF5" t="s">
        <v>1893</v>
      </c>
      <c r="AG5">
        <v>0.27517599999999998</v>
      </c>
      <c r="AH5">
        <v>3.3619000000000003E-2</v>
      </c>
      <c r="AI5" t="s">
        <v>1806</v>
      </c>
      <c r="AJ5">
        <v>2026</v>
      </c>
      <c r="AK5" t="s">
        <v>2901</v>
      </c>
      <c r="AL5" s="6">
        <v>45944</v>
      </c>
      <c r="AM5">
        <v>5</v>
      </c>
      <c r="AN5">
        <v>1051858.25</v>
      </c>
      <c r="AO5">
        <v>14882485</v>
      </c>
      <c r="AP5" t="s">
        <v>2902</v>
      </c>
      <c r="AS5" t="str">
        <f>_xll.BDS("JLL US Equity","SUPPLY_CHAIN_CUSTOMERS_ALL_DATA","cols=12;rows=5")</f>
        <v>IBM US Equity</v>
      </c>
      <c r="AT5">
        <v>0.64100500000000005</v>
      </c>
      <c r="AU5" t="s">
        <v>1822</v>
      </c>
      <c r="AV5">
        <v>0.56581700000000001</v>
      </c>
      <c r="AW5" t="s">
        <v>1806</v>
      </c>
      <c r="AX5">
        <v>2025</v>
      </c>
      <c r="AY5" t="s">
        <v>1927</v>
      </c>
      <c r="AZ5" s="6">
        <v>45797</v>
      </c>
      <c r="BA5">
        <v>5</v>
      </c>
      <c r="BB5">
        <v>36834688</v>
      </c>
      <c r="BC5">
        <v>100801</v>
      </c>
      <c r="BD5" t="s">
        <v>1928</v>
      </c>
      <c r="BI5" t="str">
        <f>_xll.BDS("DDRX US Equity","SUPPLY_CHAIN_SUPPLIERS_ALL_DATA")</f>
        <v>#N/A N/A</v>
      </c>
      <c r="BW5" t="str">
        <f>_xll.BDS("DDRX US Equity","SUPPLY_CHAIN_CUSTOMERS_ALL_DATA")</f>
        <v>#N/A N/A</v>
      </c>
      <c r="CM5" t="str">
        <f>_xll.BDS("RBI US Equity","SUPPLY_CHAIN_SUPPLIERS_ALL_DATA","cols=12;rows=1")</f>
        <v>UAA US Equity</v>
      </c>
      <c r="CO5">
        <v>-2.4245362661989844E-14</v>
      </c>
      <c r="CP5">
        <v>-2.4245362661989844E-14</v>
      </c>
      <c r="CQ5" t="s">
        <v>1814</v>
      </c>
      <c r="CR5">
        <v>2025</v>
      </c>
      <c r="CS5" t="s">
        <v>2677</v>
      </c>
      <c r="CT5" s="6">
        <v>45811</v>
      </c>
      <c r="CU5">
        <v>1</v>
      </c>
      <c r="CV5">
        <v>-2.4245362661989844E-14</v>
      </c>
      <c r="CW5">
        <v>9996472</v>
      </c>
      <c r="CX5" t="s">
        <v>2678</v>
      </c>
      <c r="DA5" t="str">
        <f>_xll.BDS("RBI US Equity","SUPPLY_CHAIN_CUSTOMERS_ALL_DATA")</f>
        <v>#N/A N/A</v>
      </c>
      <c r="DQ5" t="str">
        <f>_xll.BDS("1506328D US Equity","SUPPLY_CHAIN_SUPPLIERS_ALL_DATA")</f>
        <v>#N/A N/A</v>
      </c>
      <c r="EE5" t="str">
        <f>_xll.BDS("1506328D US Equity","SUPPLY_CHAIN_CUSTOMERS_ALL_DATA")</f>
        <v>#N/A N/A</v>
      </c>
      <c r="EU5" t="str">
        <f>_xll.BDS("LBAI US Equity","SUPPLY_CHAIN_SUPPLIERS_ALL_DATA")</f>
        <v>#N/A N/A</v>
      </c>
      <c r="FI5" t="str">
        <f>_xll.BDS("LBAI US Equity","SUPPLY_CHAIN_CUSTOMERS_ALL_DATA")</f>
        <v>#N/A N/A</v>
      </c>
      <c r="FY5" t="str">
        <f>_xll.BDS("TMO US Equity","SUPPLY_CHAIN_SUPPLIERS_ALL_DATA","cols=12;rows=5")</f>
        <v>EMR US Equity</v>
      </c>
      <c r="FZ5" t="s">
        <v>1822</v>
      </c>
      <c r="GA5">
        <v>4.2224550000000001</v>
      </c>
      <c r="GB5">
        <v>2.8645350000000001</v>
      </c>
      <c r="GC5" t="s">
        <v>1810</v>
      </c>
      <c r="GD5">
        <v>2025</v>
      </c>
      <c r="GE5" t="s">
        <v>1912</v>
      </c>
      <c r="GF5" s="6">
        <v>45881</v>
      </c>
      <c r="GG5">
        <v>5</v>
      </c>
      <c r="GH5">
        <v>184647952</v>
      </c>
      <c r="GI5">
        <v>100515</v>
      </c>
      <c r="GJ5" t="s">
        <v>1913</v>
      </c>
      <c r="GM5" t="str">
        <f>_xll.BDS("TMO US Equity","SUPPLY_CHAIN_CUSTOMERS_ALL_DATA","cols=12;rows=5")</f>
        <v>4195 TT Equity</v>
      </c>
      <c r="GN5">
        <v>9.7099999999999999E-3</v>
      </c>
      <c r="GO5" t="s">
        <v>1822</v>
      </c>
      <c r="GP5">
        <v>37.527434999999997</v>
      </c>
      <c r="GQ5" t="s">
        <v>1814</v>
      </c>
      <c r="GR5">
        <v>2024</v>
      </c>
      <c r="GS5" t="s">
        <v>1861</v>
      </c>
      <c r="GT5" s="6">
        <v>45803</v>
      </c>
      <c r="GU5">
        <v>5</v>
      </c>
      <c r="GV5">
        <v>1052629.3999999999</v>
      </c>
      <c r="GW5">
        <v>38166930</v>
      </c>
      <c r="GX5" t="s">
        <v>1862</v>
      </c>
      <c r="HC5" t="str">
        <f>_xll.BDS("GBBK US Equity","SUPPLY_CHAIN_SUPPLIERS_ALL_DATA")</f>
        <v>#N/A N/A</v>
      </c>
      <c r="HQ5" t="str">
        <f>_xll.BDS("GBBK US Equity","SUPPLY_CHAIN_CUSTOMERS_ALL_DATA")</f>
        <v>#N/A N/A</v>
      </c>
      <c r="IG5" t="str">
        <f>_xll.BDS("LBAI US Equity","SUPPLY_CHAIN_SUPPLIERS_ALL_DATA")</f>
        <v>#N/A N/A</v>
      </c>
      <c r="IU5" t="str">
        <f>_xll.BDS("LBAI US Equity","SUPPLY_CHAIN_CUSTOMERS_ALL_DATA")</f>
        <v>#N/A N/A</v>
      </c>
      <c r="JK5" t="str">
        <f>_xll.BDS("BORL US Equity","SUPPLY_CHAIN_SUPPLIERS_ALL_DATA")</f>
        <v>#N/A N/A</v>
      </c>
      <c r="JY5" t="str">
        <f>_xll.BDS("BORL US Equity","SUPPLY_CHAIN_CUSTOMERS_ALL_DATA")</f>
        <v>#N/A N/A</v>
      </c>
      <c r="KO5" t="str">
        <f>_xll.BDS("COHM US Equity","SUPPLY_CHAIN_SUPPLIERS_ALL_DATA")</f>
        <v>#N/A N/A</v>
      </c>
      <c r="LC5" t="str">
        <f>_xll.BDS("COHM US Equity","SUPPLY_CHAIN_CUSTOMERS_ALL_DATA")</f>
        <v>#N/A N/A</v>
      </c>
      <c r="LS5" t="str">
        <f>_xll.BDS("CBC US Equity","SUPPLY_CHAIN_SUPPLIERS_ALL_DATA","cols=12;rows=2")</f>
        <v>1611864D US Equity</v>
      </c>
      <c r="LU5">
        <v>-2.4245362661989844E-14</v>
      </c>
      <c r="LV5">
        <v>-2.4245362661989844E-14</v>
      </c>
      <c r="LW5" t="s">
        <v>1814</v>
      </c>
      <c r="LX5">
        <v>2023</v>
      </c>
      <c r="LY5" t="s">
        <v>4275</v>
      </c>
      <c r="LZ5" s="6">
        <v>45182</v>
      </c>
      <c r="MA5">
        <v>2</v>
      </c>
      <c r="MB5">
        <v>-2.4245362661989844E-14</v>
      </c>
      <c r="MC5">
        <v>60108747</v>
      </c>
      <c r="MD5" t="s">
        <v>4276</v>
      </c>
      <c r="MG5" t="str">
        <f>_xll.BDS("CBC US Equity","SUPPLY_CHAIN_CUSTOMERS_ALL_DATA","cols=12;rows=1")</f>
        <v>USIO US Equity</v>
      </c>
      <c r="MH5">
        <v>-2.4245362661989844E-14</v>
      </c>
      <c r="MJ5">
        <v>-2.4245362661989844E-14</v>
      </c>
      <c r="MK5" t="s">
        <v>1814</v>
      </c>
      <c r="ML5">
        <v>2024</v>
      </c>
      <c r="MM5" t="s">
        <v>3944</v>
      </c>
      <c r="MN5" s="6">
        <v>45742</v>
      </c>
      <c r="MO5">
        <v>1</v>
      </c>
      <c r="MP5">
        <v>-2.4245362661989844E-14</v>
      </c>
      <c r="MQ5">
        <v>381245</v>
      </c>
      <c r="MR5" t="s">
        <v>3945</v>
      </c>
      <c r="MW5" t="str">
        <f>_xll.BDS("75158Q US Equity","SUPPLY_CHAIN_SUPPLIERS_ALL_DATA")</f>
        <v>#N/A N/A</v>
      </c>
      <c r="NK5" t="str">
        <f>_xll.BDS("75158Q US Equity","SUPPLY_CHAIN_CUSTOMERS_ALL_DATA","cols=12;rows=2")</f>
        <v>CDW US Equity</v>
      </c>
      <c r="NL5">
        <v>-2.4245362661989844E-14</v>
      </c>
      <c r="NN5">
        <v>-2.4245362661989844E-14</v>
      </c>
      <c r="NO5" t="s">
        <v>1810</v>
      </c>
      <c r="NP5">
        <v>2022</v>
      </c>
      <c r="NQ5" t="s">
        <v>2074</v>
      </c>
      <c r="NR5" s="6">
        <v>44957</v>
      </c>
      <c r="NS5">
        <v>2</v>
      </c>
      <c r="NT5">
        <v>-2.4245362661989844E-14</v>
      </c>
      <c r="NU5">
        <v>12129192</v>
      </c>
      <c r="NV5" t="s">
        <v>1842</v>
      </c>
      <c r="OA5" t="str">
        <f>_xll.BDS("761407Q US Equity","SUPPLY_CHAIN_SUPPLIERS_ALL_DATA")</f>
        <v>#N/A N/A</v>
      </c>
      <c r="OO5" t="str">
        <f>_xll.BDS("761407Q US Equity","SUPPLY_CHAIN_CUSTOMERS_ALL_DATA")</f>
        <v>#N/A N/A</v>
      </c>
      <c r="PE5" t="str">
        <f>_xll.BDS("TOBC US Equity","SUPPLY_CHAIN_SUPPLIERS_ALL_DATA")</f>
        <v>#N/A N/A</v>
      </c>
      <c r="PS5" t="str">
        <f>_xll.BDS("TOBC US Equity","SUPPLY_CHAIN_CUSTOMERS_ALL_DATA")</f>
        <v>#N/A N/A</v>
      </c>
      <c r="QI5" t="str">
        <f>_xll.BDS("KFFB US Equity","SUPPLY_CHAIN_SUPPLIERS_ALL_DATA")</f>
        <v>#N/A N/A</v>
      </c>
      <c r="QW5" t="str">
        <f>_xll.BDS("KFFB US Equity","SUPPLY_CHAIN_CUSTOMERS_ALL_DATA")</f>
        <v>#N/A N/A</v>
      </c>
      <c r="RM5" t="str">
        <f>_xll.BDS("8277875Q US Equity","SUPPLY_CHAIN_SUPPLIERS_ALL_DATA")</f>
        <v>#N/A N/A</v>
      </c>
      <c r="SA5" t="str">
        <f>_xll.BDS("8277875Q US Equity","SUPPLY_CHAIN_CUSTOMERS_ALL_DATA")</f>
        <v>#N/A N/A</v>
      </c>
      <c r="SQ5" t="str">
        <f>_xll.BDS("NCF US Equity","SUPPLY_CHAIN_SUPPLIERS_ALL_DATA")</f>
        <v>#N/A N/A</v>
      </c>
      <c r="TE5" t="str">
        <f>_xll.BDS("NCF US Equity","SUPPLY_CHAIN_CUSTOMERS_ALL_DATA")</f>
        <v>#N/A N/A</v>
      </c>
      <c r="TU5" t="str">
        <f>_xll.BDS("UIS US Equity","SUPPLY_CHAIN_SUPPLIERS_ALL_DATA","cols=12;rows=5")</f>
        <v>2269129D CN Equity</v>
      </c>
      <c r="TW5">
        <v>-2.4245362661989844E-14</v>
      </c>
      <c r="TX5">
        <v>-2.4245362661989844E-14</v>
      </c>
      <c r="TY5" t="s">
        <v>1814</v>
      </c>
      <c r="TZ5">
        <v>2023</v>
      </c>
      <c r="UA5" t="s">
        <v>2727</v>
      </c>
      <c r="UB5" s="6">
        <v>45197</v>
      </c>
      <c r="UC5">
        <v>5</v>
      </c>
      <c r="UD5">
        <v>-2.4245362661989844E-14</v>
      </c>
      <c r="UE5">
        <v>71094341</v>
      </c>
      <c r="UF5" t="s">
        <v>2728</v>
      </c>
      <c r="UI5" t="str">
        <f>_xll.BDS("UIS US Equity","SUPPLY_CHAIN_CUSTOMERS_ALL_DATA","cols=12;rows=5")</f>
        <v>PLUS US Equity</v>
      </c>
      <c r="UJ5">
        <v>2.1738E-2</v>
      </c>
      <c r="UK5" t="s">
        <v>1822</v>
      </c>
      <c r="UL5">
        <v>2.2395000000000002E-2</v>
      </c>
      <c r="UM5" t="s">
        <v>1823</v>
      </c>
      <c r="UN5">
        <v>2026</v>
      </c>
      <c r="UO5" t="s">
        <v>2614</v>
      </c>
      <c r="UP5" s="6">
        <v>46036</v>
      </c>
      <c r="UQ5">
        <v>5</v>
      </c>
      <c r="UR5">
        <v>100039</v>
      </c>
      <c r="US5">
        <v>194585</v>
      </c>
      <c r="UT5" t="s">
        <v>2615</v>
      </c>
      <c r="UY5" t="str">
        <f>_xll.BDS("MSFG US Equity","SUPPLY_CHAIN_SUPPLIERS_ALL_DATA")</f>
        <v>#N/A N/A</v>
      </c>
      <c r="VM5" t="str">
        <f>_xll.BDS("MSFG US Equity","SUPPLY_CHAIN_CUSTOMERS_ALL_DATA")</f>
        <v>#N/A N/A</v>
      </c>
    </row>
    <row r="6" spans="1:600" x14ac:dyDescent="0.25">
      <c r="AE6" t="s">
        <v>2903</v>
      </c>
      <c r="AF6" t="s">
        <v>1893</v>
      </c>
      <c r="AG6">
        <v>0.39576899999999998</v>
      </c>
      <c r="AH6">
        <v>2.1715999999999999E-2</v>
      </c>
      <c r="AI6" t="s">
        <v>1971</v>
      </c>
      <c r="AJ6">
        <v>2026</v>
      </c>
      <c r="AK6" t="s">
        <v>2904</v>
      </c>
      <c r="AL6" s="6">
        <v>45980</v>
      </c>
      <c r="AM6">
        <v>5</v>
      </c>
      <c r="AN6">
        <v>690252.53</v>
      </c>
      <c r="AO6">
        <v>111277</v>
      </c>
      <c r="AP6" t="s">
        <v>2905</v>
      </c>
      <c r="AS6" t="s">
        <v>4057</v>
      </c>
      <c r="AT6">
        <v>-2.4245362661989844E-14</v>
      </c>
      <c r="AV6">
        <v>-2.4245362661989844E-14</v>
      </c>
      <c r="AW6" t="s">
        <v>1831</v>
      </c>
      <c r="AX6">
        <v>2025</v>
      </c>
      <c r="AY6" t="s">
        <v>4058</v>
      </c>
      <c r="AZ6" s="6">
        <v>45974</v>
      </c>
      <c r="BA6">
        <v>5</v>
      </c>
      <c r="BB6">
        <v>-2.4245362661989844E-14</v>
      </c>
      <c r="BC6">
        <v>129350</v>
      </c>
      <c r="BD6" t="s">
        <v>4059</v>
      </c>
      <c r="FY6" t="s">
        <v>800</v>
      </c>
      <c r="FZ6" t="s">
        <v>1822</v>
      </c>
      <c r="GA6">
        <v>0.39111600000000002</v>
      </c>
      <c r="GB6">
        <v>0.88908200000000004</v>
      </c>
      <c r="GC6" t="s">
        <v>1823</v>
      </c>
      <c r="GD6">
        <v>2025</v>
      </c>
      <c r="GE6" t="s">
        <v>1914</v>
      </c>
      <c r="GF6" s="6">
        <v>45914</v>
      </c>
      <c r="GG6">
        <v>5</v>
      </c>
      <c r="GH6">
        <v>57310228</v>
      </c>
      <c r="GI6">
        <v>101166</v>
      </c>
      <c r="GJ6" t="s">
        <v>1915</v>
      </c>
      <c r="GM6" t="s">
        <v>1855</v>
      </c>
      <c r="GN6">
        <v>2.545E-3</v>
      </c>
      <c r="GO6" t="s">
        <v>1822</v>
      </c>
      <c r="GP6">
        <v>3.8306200000000001</v>
      </c>
      <c r="GQ6" t="s">
        <v>1814</v>
      </c>
      <c r="GR6">
        <v>2024</v>
      </c>
      <c r="GS6" t="s">
        <v>1856</v>
      </c>
      <c r="GT6" s="6">
        <v>45819</v>
      </c>
      <c r="GU6">
        <v>5</v>
      </c>
      <c r="GV6">
        <v>275861.17</v>
      </c>
      <c r="GW6">
        <v>15291339</v>
      </c>
      <c r="GX6" t="s">
        <v>1857</v>
      </c>
      <c r="LS6" t="s">
        <v>4277</v>
      </c>
      <c r="LU6">
        <v>-2.4245362661989844E-14</v>
      </c>
      <c r="LV6">
        <v>-2.4245362661989844E-14</v>
      </c>
      <c r="LW6" t="s">
        <v>1814</v>
      </c>
      <c r="LX6">
        <v>2024</v>
      </c>
      <c r="LY6" t="s">
        <v>4278</v>
      </c>
      <c r="LZ6" s="6">
        <v>45394</v>
      </c>
      <c r="MA6">
        <v>2</v>
      </c>
      <c r="MB6">
        <v>-2.4245362661989844E-14</v>
      </c>
      <c r="MC6">
        <v>7259059</v>
      </c>
      <c r="MD6" t="s">
        <v>4279</v>
      </c>
      <c r="NK6" t="s">
        <v>2085</v>
      </c>
      <c r="NL6">
        <v>-2.4245362661989844E-14</v>
      </c>
      <c r="NN6">
        <v>-2.4245362661989844E-14</v>
      </c>
      <c r="NO6" t="s">
        <v>1814</v>
      </c>
      <c r="NP6">
        <v>2022</v>
      </c>
      <c r="NQ6" t="s">
        <v>3716</v>
      </c>
      <c r="NR6" s="6">
        <v>44714</v>
      </c>
      <c r="NS6">
        <v>2</v>
      </c>
      <c r="NT6">
        <v>-2.4245362661989844E-14</v>
      </c>
      <c r="NU6">
        <v>313021</v>
      </c>
      <c r="NV6" t="s">
        <v>2087</v>
      </c>
      <c r="TU6" t="s">
        <v>2625</v>
      </c>
      <c r="TW6">
        <v>-2.4245362661989844E-14</v>
      </c>
      <c r="TX6">
        <v>-2.4245362661989844E-14</v>
      </c>
      <c r="TY6" t="s">
        <v>1814</v>
      </c>
      <c r="TZ6">
        <v>2022</v>
      </c>
      <c r="UA6" t="s">
        <v>2617</v>
      </c>
      <c r="UB6" s="6">
        <v>44819</v>
      </c>
      <c r="UC6">
        <v>5</v>
      </c>
      <c r="UD6">
        <v>-2.4245362661989844E-14</v>
      </c>
      <c r="UE6">
        <v>305872</v>
      </c>
      <c r="UF6" t="s">
        <v>2626</v>
      </c>
      <c r="UI6" t="s">
        <v>2616</v>
      </c>
      <c r="UJ6">
        <v>-2.4245362661989844E-14</v>
      </c>
      <c r="UL6">
        <v>-2.4245362661989844E-14</v>
      </c>
      <c r="UM6" t="s">
        <v>1814</v>
      </c>
      <c r="UN6">
        <v>2022</v>
      </c>
      <c r="UO6" t="s">
        <v>2617</v>
      </c>
      <c r="UP6" s="6">
        <v>44636</v>
      </c>
      <c r="UQ6">
        <v>5</v>
      </c>
      <c r="UR6">
        <v>-2.4245362661989844E-14</v>
      </c>
      <c r="US6">
        <v>29859468</v>
      </c>
      <c r="UT6" t="s">
        <v>2618</v>
      </c>
    </row>
    <row r="7" spans="1:600" x14ac:dyDescent="0.25">
      <c r="AE7" t="s">
        <v>2906</v>
      </c>
      <c r="AG7">
        <v>-2.4245362661989844E-14</v>
      </c>
      <c r="AH7">
        <v>-2.4245362661989844E-14</v>
      </c>
      <c r="AI7" t="s">
        <v>1814</v>
      </c>
      <c r="AJ7">
        <v>2022</v>
      </c>
      <c r="AK7" t="s">
        <v>2907</v>
      </c>
      <c r="AL7" s="6">
        <v>44846</v>
      </c>
      <c r="AM7">
        <v>5</v>
      </c>
      <c r="AN7">
        <v>-2.4245362661989844E-14</v>
      </c>
      <c r="AO7">
        <v>68560845</v>
      </c>
      <c r="AP7" t="s">
        <v>2908</v>
      </c>
      <c r="AS7" t="s">
        <v>4060</v>
      </c>
      <c r="AT7">
        <v>-2.4245362661989844E-14</v>
      </c>
      <c r="AV7">
        <v>-2.4245362661989844E-14</v>
      </c>
      <c r="AW7" t="s">
        <v>1814</v>
      </c>
      <c r="AX7">
        <v>2025</v>
      </c>
      <c r="AY7" t="s">
        <v>4061</v>
      </c>
      <c r="AZ7" s="6">
        <v>45953</v>
      </c>
      <c r="BA7">
        <v>5</v>
      </c>
      <c r="BB7">
        <v>-2.4245362661989844E-14</v>
      </c>
      <c r="BC7">
        <v>1459232</v>
      </c>
      <c r="BD7" t="s">
        <v>4062</v>
      </c>
      <c r="FY7" t="s">
        <v>1881</v>
      </c>
      <c r="FZ7" t="s">
        <v>1822</v>
      </c>
      <c r="GA7">
        <v>0.56451700000000005</v>
      </c>
      <c r="GB7">
        <v>0.57008199999999998</v>
      </c>
      <c r="GC7" t="s">
        <v>1810</v>
      </c>
      <c r="GD7">
        <v>2025</v>
      </c>
      <c r="GE7" t="s">
        <v>1882</v>
      </c>
      <c r="GF7" s="6">
        <v>45763</v>
      </c>
      <c r="GG7">
        <v>5</v>
      </c>
      <c r="GH7">
        <v>37009736</v>
      </c>
      <c r="GI7">
        <v>136547</v>
      </c>
      <c r="GJ7" t="s">
        <v>1883</v>
      </c>
      <c r="GM7" t="s">
        <v>1863</v>
      </c>
      <c r="GN7">
        <v>8.6300000000000005E-4</v>
      </c>
      <c r="GO7" t="s">
        <v>1822</v>
      </c>
      <c r="GP7">
        <v>0.46444600000000003</v>
      </c>
      <c r="GQ7" t="s">
        <v>1814</v>
      </c>
      <c r="GR7">
        <v>2024</v>
      </c>
      <c r="GS7" t="s">
        <v>1864</v>
      </c>
      <c r="GT7" s="6">
        <v>45730</v>
      </c>
      <c r="GU7">
        <v>5</v>
      </c>
      <c r="GV7">
        <v>92615.79</v>
      </c>
      <c r="GW7">
        <v>7369845</v>
      </c>
      <c r="GX7" t="s">
        <v>1865</v>
      </c>
      <c r="TU7" t="s">
        <v>2729</v>
      </c>
      <c r="TW7">
        <v>-2.4245362661989844E-14</v>
      </c>
      <c r="TX7">
        <v>-2.4245362661989844E-14</v>
      </c>
      <c r="TY7" t="s">
        <v>1810</v>
      </c>
      <c r="TZ7">
        <v>2025</v>
      </c>
      <c r="UA7" t="s">
        <v>2730</v>
      </c>
      <c r="UB7" s="6">
        <v>45630</v>
      </c>
      <c r="UC7">
        <v>5</v>
      </c>
      <c r="UD7">
        <v>-2.4245362661989844E-14</v>
      </c>
      <c r="UE7">
        <v>34392121</v>
      </c>
      <c r="UF7" t="s">
        <v>2731</v>
      </c>
      <c r="UI7" t="s">
        <v>2619</v>
      </c>
      <c r="UJ7">
        <v>-2.4245362661989844E-14</v>
      </c>
      <c r="UL7">
        <v>-2.4245362661989844E-14</v>
      </c>
      <c r="UM7" t="s">
        <v>1814</v>
      </c>
      <c r="UN7">
        <v>2024</v>
      </c>
      <c r="UO7" t="s">
        <v>2620</v>
      </c>
      <c r="UP7" s="6">
        <v>45811</v>
      </c>
      <c r="UQ7">
        <v>5</v>
      </c>
      <c r="UR7">
        <v>-2.4245362661989844E-14</v>
      </c>
      <c r="US7">
        <v>7610117</v>
      </c>
      <c r="UT7" t="s">
        <v>2621</v>
      </c>
    </row>
    <row r="8" spans="1:600" x14ac:dyDescent="0.25">
      <c r="AE8" t="s">
        <v>2909</v>
      </c>
      <c r="AG8">
        <v>-2.4245362661989844E-14</v>
      </c>
      <c r="AH8">
        <v>-2.4245362661989844E-14</v>
      </c>
      <c r="AI8" t="s">
        <v>1814</v>
      </c>
      <c r="AJ8">
        <v>2023</v>
      </c>
      <c r="AK8" t="s">
        <v>2910</v>
      </c>
      <c r="AL8" s="6">
        <v>45385</v>
      </c>
      <c r="AM8">
        <v>5</v>
      </c>
      <c r="AN8">
        <v>-2.4245362661989844E-14</v>
      </c>
      <c r="AO8">
        <v>953675</v>
      </c>
      <c r="AP8" t="s">
        <v>2911</v>
      </c>
      <c r="AS8" t="s">
        <v>4063</v>
      </c>
      <c r="AT8">
        <v>-2.4245362661989844E-14</v>
      </c>
      <c r="AV8">
        <v>-2.4245362661989844E-14</v>
      </c>
      <c r="AW8" t="s">
        <v>1814</v>
      </c>
      <c r="AX8">
        <v>2023</v>
      </c>
      <c r="AY8" t="s">
        <v>2907</v>
      </c>
      <c r="AZ8" s="6">
        <v>45042</v>
      </c>
      <c r="BA8">
        <v>5</v>
      </c>
      <c r="BB8">
        <v>-2.4245362661989844E-14</v>
      </c>
      <c r="BC8">
        <v>42266354</v>
      </c>
      <c r="BD8" t="s">
        <v>4064</v>
      </c>
      <c r="FY8" t="s">
        <v>1884</v>
      </c>
      <c r="FZ8" t="s">
        <v>1822</v>
      </c>
      <c r="GA8">
        <v>0.30367300000000003</v>
      </c>
      <c r="GB8">
        <v>0.37271100000000001</v>
      </c>
      <c r="GC8" t="s">
        <v>1810</v>
      </c>
      <c r="GD8">
        <v>2025</v>
      </c>
      <c r="GE8" t="s">
        <v>1885</v>
      </c>
      <c r="GF8" s="6">
        <v>45867</v>
      </c>
      <c r="GG8">
        <v>5</v>
      </c>
      <c r="GH8">
        <v>23771522</v>
      </c>
      <c r="GI8">
        <v>117092</v>
      </c>
      <c r="GJ8" t="s">
        <v>1886</v>
      </c>
      <c r="GM8" t="s">
        <v>1866</v>
      </c>
      <c r="GN8">
        <v>-2.4245362661989844E-14</v>
      </c>
      <c r="GP8">
        <v>-2.4245362661989844E-14</v>
      </c>
      <c r="GQ8" t="s">
        <v>1831</v>
      </c>
      <c r="GR8">
        <v>2025</v>
      </c>
      <c r="GS8" t="s">
        <v>1867</v>
      </c>
      <c r="GT8" s="6">
        <v>45975</v>
      </c>
      <c r="GU8">
        <v>5</v>
      </c>
      <c r="GV8">
        <v>-2.4245362661989844E-14</v>
      </c>
      <c r="GW8">
        <v>1459457</v>
      </c>
      <c r="GX8" t="s">
        <v>1868</v>
      </c>
      <c r="TU8" t="s">
        <v>1921</v>
      </c>
      <c r="TW8">
        <v>-2.4245362661989844E-14</v>
      </c>
      <c r="TX8">
        <v>-2.4245362661989844E-14</v>
      </c>
      <c r="TY8" t="s">
        <v>1814</v>
      </c>
      <c r="TZ8">
        <v>2023</v>
      </c>
      <c r="UA8" t="s">
        <v>2732</v>
      </c>
      <c r="UB8" s="6">
        <v>45184</v>
      </c>
      <c r="UC8">
        <v>5</v>
      </c>
      <c r="UD8">
        <v>-2.4245362661989844E-14</v>
      </c>
      <c r="UE8">
        <v>50985605</v>
      </c>
      <c r="UF8" t="s">
        <v>1923</v>
      </c>
      <c r="UI8" t="s">
        <v>2622</v>
      </c>
      <c r="UJ8">
        <v>-2.4245362661989844E-14</v>
      </c>
      <c r="UL8">
        <v>-2.4245362661989844E-14</v>
      </c>
      <c r="UM8" t="s">
        <v>1814</v>
      </c>
      <c r="UN8">
        <v>2025</v>
      </c>
      <c r="UO8" t="s">
        <v>2623</v>
      </c>
      <c r="UP8" s="6">
        <v>45832</v>
      </c>
      <c r="UQ8">
        <v>5</v>
      </c>
      <c r="UR8">
        <v>-2.4245362661989844E-14</v>
      </c>
      <c r="US8">
        <v>114308</v>
      </c>
      <c r="UT8" t="s">
        <v>2624</v>
      </c>
    </row>
    <row r="9" spans="1:600" x14ac:dyDescent="0.25">
      <c r="AE9" t="s">
        <v>2912</v>
      </c>
      <c r="AG9">
        <v>-2.4245362661989844E-14</v>
      </c>
      <c r="AH9">
        <v>-2.4245362661989844E-14</v>
      </c>
      <c r="AI9" t="s">
        <v>1814</v>
      </c>
      <c r="AJ9">
        <v>2024</v>
      </c>
      <c r="AK9" t="s">
        <v>2913</v>
      </c>
      <c r="AL9" s="6">
        <v>45775</v>
      </c>
      <c r="AM9">
        <v>5</v>
      </c>
      <c r="AN9">
        <v>-2.4245362661989844E-14</v>
      </c>
      <c r="AO9">
        <v>10142668</v>
      </c>
      <c r="AP9" t="s">
        <v>2914</v>
      </c>
      <c r="AS9" t="s">
        <v>4065</v>
      </c>
      <c r="AT9">
        <v>-2.4245362661989844E-14</v>
      </c>
      <c r="AV9">
        <v>-2.4245362661989844E-14</v>
      </c>
      <c r="AW9" t="s">
        <v>1814</v>
      </c>
      <c r="AX9">
        <v>2023</v>
      </c>
      <c r="AY9" t="s">
        <v>2907</v>
      </c>
      <c r="AZ9" s="6">
        <v>45271</v>
      </c>
      <c r="BA9">
        <v>5</v>
      </c>
      <c r="BB9">
        <v>-2.4245362661989844E-14</v>
      </c>
      <c r="BC9">
        <v>47145856</v>
      </c>
      <c r="BD9" t="s">
        <v>4066</v>
      </c>
      <c r="FY9" t="s">
        <v>1916</v>
      </c>
      <c r="FZ9" t="s">
        <v>1822</v>
      </c>
      <c r="GA9">
        <v>8.0865999999999993E-2</v>
      </c>
      <c r="GB9">
        <v>0.27508500000000002</v>
      </c>
      <c r="GC9" t="s">
        <v>1806</v>
      </c>
      <c r="GD9">
        <v>2026</v>
      </c>
      <c r="GE9" t="s">
        <v>1917</v>
      </c>
      <c r="GF9" s="6">
        <v>45980</v>
      </c>
      <c r="GG9">
        <v>5</v>
      </c>
      <c r="GH9">
        <v>17987832</v>
      </c>
      <c r="GI9">
        <v>100554</v>
      </c>
      <c r="GJ9" t="s">
        <v>1918</v>
      </c>
      <c r="GM9" t="s">
        <v>1869</v>
      </c>
      <c r="GN9">
        <v>-2.4245362661989844E-14</v>
      </c>
      <c r="GP9">
        <v>-2.4245362661989844E-14</v>
      </c>
      <c r="GQ9" t="s">
        <v>1814</v>
      </c>
      <c r="GR9">
        <v>2024</v>
      </c>
      <c r="GS9" t="s">
        <v>1870</v>
      </c>
      <c r="GT9" s="6">
        <v>45774</v>
      </c>
      <c r="GU9">
        <v>5</v>
      </c>
      <c r="GV9">
        <v>-2.4245362661989844E-14</v>
      </c>
      <c r="GW9">
        <v>9020238</v>
      </c>
      <c r="GX9" t="s">
        <v>1871</v>
      </c>
      <c r="TU9" t="s">
        <v>2733</v>
      </c>
      <c r="TW9">
        <v>-2.4245362661989844E-14</v>
      </c>
      <c r="TX9">
        <v>-2.4245362661989844E-14</v>
      </c>
      <c r="TY9" t="s">
        <v>1823</v>
      </c>
      <c r="TZ9">
        <v>2025</v>
      </c>
      <c r="UA9" t="s">
        <v>2734</v>
      </c>
      <c r="UB9" s="6">
        <v>45912</v>
      </c>
      <c r="UC9">
        <v>5</v>
      </c>
      <c r="UD9">
        <v>-2.4245362661989844E-14</v>
      </c>
      <c r="UE9">
        <v>28498368</v>
      </c>
      <c r="UF9" t="s">
        <v>2735</v>
      </c>
      <c r="UI9" t="s">
        <v>2625</v>
      </c>
      <c r="UJ9">
        <v>-2.4245362661989844E-14</v>
      </c>
      <c r="UL9">
        <v>-2.4245362661989844E-14</v>
      </c>
      <c r="UM9" t="s">
        <v>1814</v>
      </c>
      <c r="UN9">
        <v>2022</v>
      </c>
      <c r="UO9" t="s">
        <v>2617</v>
      </c>
      <c r="UP9" s="6">
        <v>44819</v>
      </c>
      <c r="UQ9">
        <v>5</v>
      </c>
      <c r="UR9">
        <v>-2.4245362661989844E-14</v>
      </c>
      <c r="US9">
        <v>305872</v>
      </c>
      <c r="UT9" t="s">
        <v>2626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702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703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704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705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706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707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708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709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710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711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712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713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714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715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716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717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718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719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720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721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722</v>
      </c>
      <c r="AE2" s="3" t="s">
        <v>723</v>
      </c>
      <c r="BI2" s="3" t="s">
        <v>724</v>
      </c>
      <c r="CM2" s="3" t="s">
        <v>725</v>
      </c>
      <c r="DQ2" s="3" t="s">
        <v>726</v>
      </c>
      <c r="EU2" s="3" t="s">
        <v>727</v>
      </c>
      <c r="FY2" s="3" t="s">
        <v>728</v>
      </c>
      <c r="HC2" s="3" t="s">
        <v>729</v>
      </c>
      <c r="IG2" s="3" t="s">
        <v>730</v>
      </c>
      <c r="JK2" s="3" t="s">
        <v>731</v>
      </c>
      <c r="KO2" s="3" t="s">
        <v>732</v>
      </c>
      <c r="LS2" s="3" t="s">
        <v>733</v>
      </c>
      <c r="MW2" s="3" t="s">
        <v>734</v>
      </c>
      <c r="OA2" s="3" t="s">
        <v>546</v>
      </c>
      <c r="PE2" s="3" t="s">
        <v>735</v>
      </c>
      <c r="QI2" s="3" t="s">
        <v>722</v>
      </c>
      <c r="RM2" s="3" t="s">
        <v>736</v>
      </c>
      <c r="SQ2" s="3" t="s">
        <v>737</v>
      </c>
      <c r="TU2" s="3" t="s">
        <v>738</v>
      </c>
      <c r="UY2" s="3" t="s">
        <v>279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_xll.BDS("AEIS US Equity","SUPPLY_CHAIN_SUPPLIERS_ALL_DATA","cols=12;rows=5")</f>
        <v>IFX GR Equity</v>
      </c>
      <c r="B5" t="s">
        <v>1822</v>
      </c>
      <c r="C5">
        <v>4.8129999999999996E-3</v>
      </c>
      <c r="D5">
        <v>7.2678000000000006E-2</v>
      </c>
      <c r="E5" t="s">
        <v>1810</v>
      </c>
      <c r="F5">
        <v>2025</v>
      </c>
      <c r="G5" t="s">
        <v>3889</v>
      </c>
      <c r="H5" s="6">
        <v>45936</v>
      </c>
      <c r="I5">
        <v>5</v>
      </c>
      <c r="J5">
        <v>202037.92</v>
      </c>
      <c r="K5">
        <v>835530</v>
      </c>
      <c r="L5" t="s">
        <v>3890</v>
      </c>
      <c r="O5" t="str">
        <f>_xll.BDS("AEIS US Equity","SUPPLY_CHAIN_CUSTOMERS_ALL_DATA","cols=12;rows=5")</f>
        <v>AMAT US Equity</v>
      </c>
      <c r="P5">
        <v>26</v>
      </c>
      <c r="Q5" t="s">
        <v>1822</v>
      </c>
      <c r="R5">
        <v>2.6673879999999999</v>
      </c>
      <c r="S5" t="s">
        <v>1814</v>
      </c>
      <c r="T5">
        <v>2024</v>
      </c>
      <c r="U5" t="s">
        <v>3830</v>
      </c>
      <c r="V5" s="6">
        <v>45706</v>
      </c>
      <c r="W5">
        <v>5</v>
      </c>
      <c r="X5">
        <v>96332728</v>
      </c>
      <c r="Y5">
        <v>102032</v>
      </c>
      <c r="Z5" t="s">
        <v>3831</v>
      </c>
      <c r="AE5" t="str">
        <f>_xll.BDS("FICO US Equity","SUPPLY_CHAIN_SUPPLIERS_ALL_DATA","cols=12;rows=5")</f>
        <v>NTAP US Equity</v>
      </c>
      <c r="AF5" t="s">
        <v>1822</v>
      </c>
      <c r="AG5">
        <v>2.444E-3</v>
      </c>
      <c r="AH5">
        <v>4.8305000000000001E-2</v>
      </c>
      <c r="AI5" t="s">
        <v>1827</v>
      </c>
      <c r="AJ5">
        <v>2025</v>
      </c>
      <c r="AK5" t="s">
        <v>3637</v>
      </c>
      <c r="AL5" s="6">
        <v>45841</v>
      </c>
      <c r="AM5">
        <v>5</v>
      </c>
      <c r="AN5">
        <v>42330</v>
      </c>
      <c r="AO5">
        <v>171351</v>
      </c>
      <c r="AP5" t="s">
        <v>3638</v>
      </c>
      <c r="AS5" t="str">
        <f>_xll.BDS("FICO US Equity","SUPPLY_CHAIN_CUSTOMERS_ALL_DATA","cols=12;rows=5")</f>
        <v>EXPN LN Equity</v>
      </c>
      <c r="AT5">
        <v>22.529468999999999</v>
      </c>
      <c r="AU5" t="s">
        <v>1893</v>
      </c>
      <c r="AV5">
        <v>7.8437939999999999</v>
      </c>
      <c r="AW5" t="s">
        <v>1823</v>
      </c>
      <c r="AX5">
        <v>2025</v>
      </c>
      <c r="AY5" t="s">
        <v>4170</v>
      </c>
      <c r="AZ5" s="6">
        <v>45797</v>
      </c>
      <c r="BA5">
        <v>5</v>
      </c>
      <c r="BB5">
        <v>112362344</v>
      </c>
      <c r="BC5">
        <v>1475463</v>
      </c>
      <c r="BD5" t="s">
        <v>4171</v>
      </c>
      <c r="BI5" t="str">
        <f>_xll.BDS("COB US Equity","SUPPLY_CHAIN_SUPPLIERS_ALL_DATA")</f>
        <v>#N/A N/A</v>
      </c>
      <c r="BW5" t="str">
        <f>_xll.BDS("COB US Equity","SUPPLY_CHAIN_CUSTOMERS_ALL_DATA")</f>
        <v>#N/A N/A</v>
      </c>
      <c r="CM5" t="str">
        <f>_xll.BDS("BVFL US Equity","SUPPLY_CHAIN_SUPPLIERS_ALL_DATA")</f>
        <v>#N/A N/A</v>
      </c>
      <c r="DA5" t="str">
        <f>_xll.BDS("BVFL US Equity","SUPPLY_CHAIN_CUSTOMERS_ALL_DATA")</f>
        <v>#N/A N/A</v>
      </c>
      <c r="DQ5" t="str">
        <f>_xll.BDS("PHSB US Equity","SUPPLY_CHAIN_SUPPLIERS_ALL_DATA")</f>
        <v>#N/A N/A</v>
      </c>
      <c r="EE5" t="str">
        <f>_xll.BDS("PHSB US Equity","SUPPLY_CHAIN_CUSTOMERS_ALL_DATA")</f>
        <v>#N/A N/A</v>
      </c>
      <c r="EU5" t="str">
        <f>_xll.BDS("1477687D US Equity","SUPPLY_CHAIN_SUPPLIERS_ALL_DATA")</f>
        <v>#N/A N/A</v>
      </c>
      <c r="FI5" t="str">
        <f>_xll.BDS("1477687D US Equity","SUPPLY_CHAIN_CUSTOMERS_ALL_DATA")</f>
        <v>#N/A N/A</v>
      </c>
      <c r="FY5" t="str">
        <f>_xll.BDS("HTLF US Equity","SUPPLY_CHAIN_SUPPLIERS_ALL_DATA")</f>
        <v>INFA US Equity</v>
      </c>
      <c r="GM5" t="str">
        <f>_xll.BDS("HTLF US Equity","SUPPLY_CHAIN_CUSTOMERS_ALL_DATA")</f>
        <v>#N/A N/A</v>
      </c>
      <c r="HC5" t="str">
        <f>_xll.BDS("BGTHQ US Equity","SUPPLY_CHAIN_SUPPLIERS_ALL_DATA")</f>
        <v>#N/A N/A</v>
      </c>
      <c r="HQ5" t="str">
        <f>_xll.BDS("BGTHQ US Equity","SUPPLY_CHAIN_CUSTOMERS_ALL_DATA")</f>
        <v>#N/A N/A</v>
      </c>
      <c r="IG5" t="str">
        <f>_xll.BDS("HRBT US Equity","SUPPLY_CHAIN_SUPPLIERS_ALL_DATA")</f>
        <v>#N/A N/A</v>
      </c>
      <c r="IU5" t="str">
        <f>_xll.BDS("HRBT US Equity","SUPPLY_CHAIN_CUSTOMERS_ALL_DATA")</f>
        <v>#N/A N/A</v>
      </c>
      <c r="JK5" t="str">
        <f>_xll.BDS("PRA US Equity","SUPPLY_CHAIN_SUPPLIERS_ALL_DATA")</f>
        <v>#N/A N/A</v>
      </c>
      <c r="JY5" t="str">
        <f>_xll.BDS("PRA US Equity","SUPPLY_CHAIN_CUSTOMERS_ALL_DATA")</f>
        <v>#N/A N/A</v>
      </c>
      <c r="KO5" t="str">
        <f>_xll.BDS("SBCP US Equity","SUPPLY_CHAIN_SUPPLIERS_ALL_DATA")</f>
        <v>#N/A N/A</v>
      </c>
      <c r="LC5" t="str">
        <f>_xll.BDS("SBCP US Equity","SUPPLY_CHAIN_CUSTOMERS_ALL_DATA")</f>
        <v>#N/A N/A</v>
      </c>
      <c r="LS5" t="str">
        <f>_xll.BDS("TCBK US Equity","SUPPLY_CHAIN_SUPPLIERS_ALL_DATA")</f>
        <v>#N/A N/A</v>
      </c>
      <c r="MG5" t="str">
        <f>_xll.BDS("TCBK US Equity","SUPPLY_CHAIN_CUSTOMERS_ALL_DATA")</f>
        <v>#N/A N/A</v>
      </c>
      <c r="MW5" t="str">
        <f>_xll.BDS("UBH US Equity","SUPPLY_CHAIN_SUPPLIERS_ALL_DATA")</f>
        <v>#N/A N/A</v>
      </c>
      <c r="NK5" t="str">
        <f>_xll.BDS("UBH US Equity","SUPPLY_CHAIN_CUSTOMERS_ALL_DATA")</f>
        <v>#N/A N/A</v>
      </c>
      <c r="OA5" t="str">
        <f>_xll.BDS("IHR US Equity","SUPPLY_CHAIN_SUPPLIERS_ALL_DATA")</f>
        <v>#N/A N/A</v>
      </c>
      <c r="OO5" t="str">
        <f>_xll.BDS("IHR US Equity","SUPPLY_CHAIN_CUSTOMERS_ALL_DATA")</f>
        <v>#N/A N/A</v>
      </c>
      <c r="PE5" t="str">
        <f>_xll.BDS("LCTX US Equity","SUPPLY_CHAIN_SUPPLIERS_ALL_DATA","cols=12;rows=2")</f>
        <v>ERNA US Equity</v>
      </c>
      <c r="PG5">
        <v>-2.4245362661989844E-14</v>
      </c>
      <c r="PH5">
        <v>-2.4245362661989844E-14</v>
      </c>
      <c r="PI5" t="s">
        <v>1814</v>
      </c>
      <c r="PJ5">
        <v>2023</v>
      </c>
      <c r="PK5" t="s">
        <v>2698</v>
      </c>
      <c r="PL5" s="6">
        <v>45365</v>
      </c>
      <c r="PM5">
        <v>2</v>
      </c>
      <c r="PN5">
        <v>-2.4245362661989844E-14</v>
      </c>
      <c r="PO5">
        <v>105785</v>
      </c>
      <c r="PP5" t="s">
        <v>2699</v>
      </c>
      <c r="PS5" t="str">
        <f>_xll.BDS("LCTX US Equity","SUPPLY_CHAIN_CUSTOMERS_ALL_DATA","cols=12;rows=5")</f>
        <v>028300 KS Equity</v>
      </c>
      <c r="PT5">
        <v>-2.4245362661989844E-14</v>
      </c>
      <c r="PV5">
        <v>-2.4245362661989844E-14</v>
      </c>
      <c r="PW5" t="s">
        <v>1831</v>
      </c>
      <c r="PX5">
        <v>2025</v>
      </c>
      <c r="PY5" t="s">
        <v>2589</v>
      </c>
      <c r="PZ5" s="6">
        <v>45975</v>
      </c>
      <c r="QA5">
        <v>5</v>
      </c>
      <c r="QB5">
        <v>-2.4245362661989844E-14</v>
      </c>
      <c r="QC5">
        <v>866510</v>
      </c>
      <c r="QD5" t="s">
        <v>2590</v>
      </c>
      <c r="QI5" t="str">
        <f>_xll.BDS("AEIS US Equity","SUPPLY_CHAIN_SUPPLIERS_ALL_DATA","cols=12;rows=5")</f>
        <v>IFX GR Equity</v>
      </c>
      <c r="QJ5" t="s">
        <v>1822</v>
      </c>
      <c r="QK5">
        <v>4.8129999999999996E-3</v>
      </c>
      <c r="QL5">
        <v>7.2678000000000006E-2</v>
      </c>
      <c r="QM5" t="s">
        <v>1810</v>
      </c>
      <c r="QN5">
        <v>2025</v>
      </c>
      <c r="QO5" t="s">
        <v>3889</v>
      </c>
      <c r="QP5" s="6">
        <v>45936</v>
      </c>
      <c r="QQ5">
        <v>5</v>
      </c>
      <c r="QR5">
        <v>202037.92</v>
      </c>
      <c r="QS5">
        <v>835530</v>
      </c>
      <c r="QT5" t="s">
        <v>3890</v>
      </c>
      <c r="QW5" t="str">
        <f>_xll.BDS("AEIS US Equity","SUPPLY_CHAIN_CUSTOMERS_ALL_DATA","cols=12;rows=5")</f>
        <v>AMAT US Equity</v>
      </c>
      <c r="QX5">
        <v>26</v>
      </c>
      <c r="QY5" t="s">
        <v>1822</v>
      </c>
      <c r="QZ5">
        <v>2.6673879999999999</v>
      </c>
      <c r="RA5" t="s">
        <v>1814</v>
      </c>
      <c r="RB5">
        <v>2024</v>
      </c>
      <c r="RC5" t="s">
        <v>3830</v>
      </c>
      <c r="RD5" s="6">
        <v>45706</v>
      </c>
      <c r="RE5">
        <v>5</v>
      </c>
      <c r="RF5">
        <v>96332728</v>
      </c>
      <c r="RG5">
        <v>102032</v>
      </c>
      <c r="RH5" t="s">
        <v>3831</v>
      </c>
      <c r="RM5" t="str">
        <f>_xll.BDS("1893883D US Equity","SUPPLY_CHAIN_SUPPLIERS_ALL_DATA","cols=12;rows=1")</f>
        <v>BRK/A US Equity</v>
      </c>
      <c r="RO5">
        <v>-2.4245362661989844E-14</v>
      </c>
      <c r="RP5">
        <v>-2.4245362661989844E-14</v>
      </c>
      <c r="RQ5" t="s">
        <v>1814</v>
      </c>
      <c r="RR5">
        <v>2021</v>
      </c>
      <c r="RS5" t="s">
        <v>2048</v>
      </c>
      <c r="RT5" s="6">
        <v>44693</v>
      </c>
      <c r="RU5">
        <v>1</v>
      </c>
      <c r="RV5">
        <v>-2.4245362661989844E-14</v>
      </c>
      <c r="RW5">
        <v>100193</v>
      </c>
      <c r="RX5" t="s">
        <v>2049</v>
      </c>
      <c r="SA5" t="str">
        <f>_xll.BDS("1893883D US Equity","SUPPLY_CHAIN_CUSTOMERS_ALL_DATA")</f>
        <v>#N/A N/A</v>
      </c>
      <c r="SQ5" t="str">
        <f>_xll.BDS("BSRR US Equity","SUPPLY_CHAIN_SUPPLIERS_ALL_DATA")</f>
        <v>#N/A N/A</v>
      </c>
      <c r="TE5" t="str">
        <f>_xll.BDS("BSRR US Equity","SUPPLY_CHAIN_CUSTOMERS_ALL_DATA")</f>
        <v>#N/A N/A</v>
      </c>
      <c r="TU5" t="str">
        <f>_xll.BDS("1492800D US Equity","SUPPLY_CHAIN_SUPPLIERS_ALL_DATA")</f>
        <v>#N/A N/A</v>
      </c>
      <c r="UI5" t="str">
        <f>_xll.BDS("1492800D US Equity","SUPPLY_CHAIN_CUSTOMERS_ALL_DATA")</f>
        <v>#N/A N/A</v>
      </c>
      <c r="UY5" t="str">
        <f>_xll.BDS("RBBN US Equity","SUPPLY_CHAIN_SUPPLIERS_ALL_DATA","cols=12;rows=5")</f>
        <v>PRV-U CN Equity</v>
      </c>
      <c r="UZ5" t="s">
        <v>1893</v>
      </c>
      <c r="VA5">
        <v>2.4</v>
      </c>
      <c r="VB5">
        <v>0.84127799999999997</v>
      </c>
      <c r="VC5" t="s">
        <v>1814</v>
      </c>
      <c r="VD5">
        <v>2024</v>
      </c>
      <c r="VE5" t="s">
        <v>3344</v>
      </c>
      <c r="VF5" s="6">
        <v>45728</v>
      </c>
      <c r="VG5">
        <v>5</v>
      </c>
      <c r="VH5">
        <v>434574.71</v>
      </c>
      <c r="VI5">
        <v>25249958</v>
      </c>
      <c r="VJ5" t="s">
        <v>3345</v>
      </c>
      <c r="VM5" t="str">
        <f>_xll.BDS("RBBN US Equity","SUPPLY_CHAIN_CUSTOMERS_ALL_DATA","cols=12;rows=5")</f>
        <v>VZ US Equity</v>
      </c>
      <c r="VN5">
        <v>17</v>
      </c>
      <c r="VO5" t="s">
        <v>1822</v>
      </c>
      <c r="VP5">
        <v>0.25292799999999999</v>
      </c>
      <c r="VQ5" t="s">
        <v>1814</v>
      </c>
      <c r="VR5">
        <v>2025</v>
      </c>
      <c r="VS5" t="s">
        <v>4067</v>
      </c>
      <c r="VT5" s="6">
        <v>46079</v>
      </c>
      <c r="VU5">
        <v>5</v>
      </c>
      <c r="VV5">
        <v>35893632</v>
      </c>
      <c r="VW5">
        <v>100185</v>
      </c>
      <c r="VX5" t="s">
        <v>4068</v>
      </c>
    </row>
    <row r="6" spans="1:600" x14ac:dyDescent="0.25">
      <c r="A6" t="s">
        <v>3891</v>
      </c>
      <c r="C6">
        <v>-2.4245362661989844E-14</v>
      </c>
      <c r="D6">
        <v>-2.4245362661989844E-14</v>
      </c>
      <c r="E6" t="s">
        <v>1814</v>
      </c>
      <c r="F6">
        <v>2022</v>
      </c>
      <c r="G6" t="s">
        <v>3892</v>
      </c>
      <c r="H6" s="6">
        <v>45021</v>
      </c>
      <c r="I6">
        <v>5</v>
      </c>
      <c r="J6">
        <v>-2.4245362661989844E-14</v>
      </c>
      <c r="K6">
        <v>40173217</v>
      </c>
      <c r="L6" t="s">
        <v>3893</v>
      </c>
      <c r="O6" t="s">
        <v>3832</v>
      </c>
      <c r="P6">
        <v>11</v>
      </c>
      <c r="Q6" t="s">
        <v>1822</v>
      </c>
      <c r="R6">
        <v>1.919565</v>
      </c>
      <c r="S6" t="s">
        <v>1814</v>
      </c>
      <c r="T6">
        <v>2024</v>
      </c>
      <c r="U6" t="s">
        <v>3830</v>
      </c>
      <c r="V6" s="6">
        <v>45706</v>
      </c>
      <c r="W6">
        <v>5</v>
      </c>
      <c r="X6">
        <v>40756156</v>
      </c>
      <c r="Y6">
        <v>105120</v>
      </c>
      <c r="Z6" t="s">
        <v>3833</v>
      </c>
      <c r="AE6" t="s">
        <v>3639</v>
      </c>
      <c r="AG6">
        <v>-2.4245362661989844E-14</v>
      </c>
      <c r="AH6">
        <v>-2.4245362661989844E-14</v>
      </c>
      <c r="AI6" t="s">
        <v>1814</v>
      </c>
      <c r="AJ6">
        <v>2025</v>
      </c>
      <c r="AK6" t="s">
        <v>3640</v>
      </c>
      <c r="AL6" s="6">
        <v>45734</v>
      </c>
      <c r="AM6">
        <v>5</v>
      </c>
      <c r="AN6">
        <v>-2.4245362661989844E-14</v>
      </c>
      <c r="AO6">
        <v>113614</v>
      </c>
      <c r="AP6" t="s">
        <v>3641</v>
      </c>
      <c r="AS6" t="s">
        <v>4172</v>
      </c>
      <c r="AT6">
        <v>17.381622</v>
      </c>
      <c r="AU6" t="s">
        <v>1893</v>
      </c>
      <c r="AV6">
        <v>23.123028000000001</v>
      </c>
      <c r="AW6" t="s">
        <v>1823</v>
      </c>
      <c r="AX6">
        <v>2025</v>
      </c>
      <c r="AY6" t="s">
        <v>4170</v>
      </c>
      <c r="AZ6" s="6">
        <v>45797</v>
      </c>
      <c r="BA6">
        <v>5</v>
      </c>
      <c r="BB6">
        <v>86688232</v>
      </c>
      <c r="BC6">
        <v>100537</v>
      </c>
      <c r="BD6" t="s">
        <v>4173</v>
      </c>
      <c r="PE6" t="s">
        <v>2700</v>
      </c>
      <c r="PG6">
        <v>-2.4245362661989844E-14</v>
      </c>
      <c r="PH6">
        <v>-2.4245362661989844E-14</v>
      </c>
      <c r="PI6" t="s">
        <v>1814</v>
      </c>
      <c r="PJ6">
        <v>2024</v>
      </c>
      <c r="PK6" t="s">
        <v>2701</v>
      </c>
      <c r="PL6" s="6">
        <v>45715</v>
      </c>
      <c r="PM6">
        <v>2</v>
      </c>
      <c r="PN6">
        <v>-2.4245362661989844E-14</v>
      </c>
      <c r="PO6">
        <v>186961</v>
      </c>
      <c r="PP6" t="s">
        <v>2702</v>
      </c>
      <c r="PS6" t="s">
        <v>2591</v>
      </c>
      <c r="PT6">
        <v>-2.4245362661989844E-14</v>
      </c>
      <c r="PV6">
        <v>-2.4245362661989844E-14</v>
      </c>
      <c r="PW6" t="s">
        <v>1814</v>
      </c>
      <c r="PX6">
        <v>2021</v>
      </c>
      <c r="PY6" t="s">
        <v>2592</v>
      </c>
      <c r="PZ6" s="6">
        <v>44630</v>
      </c>
      <c r="QA6">
        <v>5</v>
      </c>
      <c r="QB6">
        <v>-2.4245362661989844E-14</v>
      </c>
      <c r="QC6">
        <v>21334907</v>
      </c>
      <c r="QD6" t="s">
        <v>2593</v>
      </c>
      <c r="QI6" t="s">
        <v>3891</v>
      </c>
      <c r="QK6">
        <v>-2.4245362661989844E-14</v>
      </c>
      <c r="QL6">
        <v>-2.4245362661989844E-14</v>
      </c>
      <c r="QM6" t="s">
        <v>1814</v>
      </c>
      <c r="QN6">
        <v>2022</v>
      </c>
      <c r="QO6" t="s">
        <v>3892</v>
      </c>
      <c r="QP6" s="6">
        <v>45021</v>
      </c>
      <c r="QQ6">
        <v>5</v>
      </c>
      <c r="QR6">
        <v>-2.4245362661989844E-14</v>
      </c>
      <c r="QS6">
        <v>40173217</v>
      </c>
      <c r="QT6" t="s">
        <v>3893</v>
      </c>
      <c r="QW6" t="s">
        <v>3832</v>
      </c>
      <c r="QX6">
        <v>11</v>
      </c>
      <c r="QY6" t="s">
        <v>1822</v>
      </c>
      <c r="QZ6">
        <v>1.919565</v>
      </c>
      <c r="RA6" t="s">
        <v>1814</v>
      </c>
      <c r="RB6">
        <v>2024</v>
      </c>
      <c r="RC6" t="s">
        <v>3830</v>
      </c>
      <c r="RD6" s="6">
        <v>45706</v>
      </c>
      <c r="RE6">
        <v>5</v>
      </c>
      <c r="RF6">
        <v>40756156</v>
      </c>
      <c r="RG6">
        <v>105120</v>
      </c>
      <c r="RH6" t="s">
        <v>3833</v>
      </c>
      <c r="UY6" t="s">
        <v>3346</v>
      </c>
      <c r="UZ6" t="s">
        <v>1822</v>
      </c>
      <c r="VA6">
        <v>8.5640999999999995E-2</v>
      </c>
      <c r="VB6">
        <v>0.10501199999999999</v>
      </c>
      <c r="VC6" t="s">
        <v>1810</v>
      </c>
      <c r="VD6">
        <v>2025</v>
      </c>
      <c r="VE6" t="s">
        <v>3347</v>
      </c>
      <c r="VF6" s="6">
        <v>46062</v>
      </c>
      <c r="VG6">
        <v>5</v>
      </c>
      <c r="VH6">
        <v>112029.24</v>
      </c>
      <c r="VI6">
        <v>815189</v>
      </c>
      <c r="VJ6" t="s">
        <v>3348</v>
      </c>
      <c r="VM6" t="s">
        <v>4069</v>
      </c>
      <c r="VN6">
        <v>10</v>
      </c>
      <c r="VP6">
        <v>-2.4245362661989844E-14</v>
      </c>
      <c r="VQ6" t="s">
        <v>1810</v>
      </c>
      <c r="VR6">
        <v>2025</v>
      </c>
      <c r="VS6" t="s">
        <v>4070</v>
      </c>
      <c r="VT6" s="6">
        <v>45953</v>
      </c>
      <c r="VU6">
        <v>5</v>
      </c>
      <c r="VV6">
        <v>21537100</v>
      </c>
      <c r="VW6">
        <v>157661</v>
      </c>
      <c r="VX6" t="s">
        <v>4071</v>
      </c>
    </row>
    <row r="7" spans="1:600" x14ac:dyDescent="0.25">
      <c r="A7" t="s">
        <v>3894</v>
      </c>
      <c r="C7">
        <v>-2.4245362661989844E-14</v>
      </c>
      <c r="D7">
        <v>-2.4245362661989844E-14</v>
      </c>
      <c r="E7" t="s">
        <v>1971</v>
      </c>
      <c r="F7">
        <v>2022</v>
      </c>
      <c r="G7" t="s">
        <v>3895</v>
      </c>
      <c r="H7" s="6">
        <v>44789</v>
      </c>
      <c r="I7">
        <v>5</v>
      </c>
      <c r="J7">
        <v>-2.4245362661989844E-14</v>
      </c>
      <c r="K7">
        <v>21765093</v>
      </c>
      <c r="L7" t="s">
        <v>3896</v>
      </c>
      <c r="O7" t="s">
        <v>2100</v>
      </c>
      <c r="P7">
        <v>6.515326</v>
      </c>
      <c r="Q7" t="s">
        <v>1822</v>
      </c>
      <c r="R7">
        <v>3.4042999999999997E-2</v>
      </c>
      <c r="S7" t="s">
        <v>1810</v>
      </c>
      <c r="T7">
        <v>2025</v>
      </c>
      <c r="U7" t="s">
        <v>3834</v>
      </c>
      <c r="V7" s="6">
        <v>46052</v>
      </c>
      <c r="W7">
        <v>5</v>
      </c>
      <c r="X7">
        <v>30185504</v>
      </c>
      <c r="Y7">
        <v>216952</v>
      </c>
      <c r="Z7" t="s">
        <v>2101</v>
      </c>
      <c r="AE7" t="s">
        <v>2100</v>
      </c>
      <c r="AG7">
        <v>-2.4245362661989844E-14</v>
      </c>
      <c r="AH7">
        <v>-2.4245362661989844E-14</v>
      </c>
      <c r="AI7" t="s">
        <v>1814</v>
      </c>
      <c r="AJ7">
        <v>2024</v>
      </c>
      <c r="AK7" t="s">
        <v>3642</v>
      </c>
      <c r="AL7" s="6">
        <v>45400</v>
      </c>
      <c r="AM7">
        <v>5</v>
      </c>
      <c r="AN7">
        <v>-2.4245362661989844E-14</v>
      </c>
      <c r="AO7">
        <v>216952</v>
      </c>
      <c r="AP7" t="s">
        <v>2101</v>
      </c>
      <c r="AS7" t="s">
        <v>4174</v>
      </c>
      <c r="AT7">
        <v>11.90611</v>
      </c>
      <c r="AU7" t="s">
        <v>1893</v>
      </c>
      <c r="AV7">
        <v>23.123028000000001</v>
      </c>
      <c r="AW7" t="s">
        <v>1823</v>
      </c>
      <c r="AX7">
        <v>2025</v>
      </c>
      <c r="AY7" t="s">
        <v>4170</v>
      </c>
      <c r="AZ7" s="6">
        <v>45797</v>
      </c>
      <c r="BA7">
        <v>5</v>
      </c>
      <c r="BB7">
        <v>59379936</v>
      </c>
      <c r="BC7">
        <v>29486979</v>
      </c>
      <c r="BD7" t="s">
        <v>4175</v>
      </c>
      <c r="PS7" t="s">
        <v>2594</v>
      </c>
      <c r="PT7">
        <v>-2.4245362661989844E-14</v>
      </c>
      <c r="PV7">
        <v>-2.4245362661989844E-14</v>
      </c>
      <c r="PW7" t="s">
        <v>1814</v>
      </c>
      <c r="PX7">
        <v>2021</v>
      </c>
      <c r="PY7" t="s">
        <v>2592</v>
      </c>
      <c r="PZ7" s="6">
        <v>44630</v>
      </c>
      <c r="QA7">
        <v>5</v>
      </c>
      <c r="QB7">
        <v>-2.4245362661989844E-14</v>
      </c>
      <c r="QC7">
        <v>59962495</v>
      </c>
      <c r="QD7" t="s">
        <v>2595</v>
      </c>
      <c r="QI7" t="s">
        <v>3894</v>
      </c>
      <c r="QK7">
        <v>-2.4245362661989844E-14</v>
      </c>
      <c r="QL7">
        <v>-2.4245362661989844E-14</v>
      </c>
      <c r="QM7" t="s">
        <v>1971</v>
      </c>
      <c r="QN7">
        <v>2022</v>
      </c>
      <c r="QO7" t="s">
        <v>3895</v>
      </c>
      <c r="QP7" s="6">
        <v>44789</v>
      </c>
      <c r="QQ7">
        <v>5</v>
      </c>
      <c r="QR7">
        <v>-2.4245362661989844E-14</v>
      </c>
      <c r="QS7">
        <v>21765093</v>
      </c>
      <c r="QT7" t="s">
        <v>3896</v>
      </c>
      <c r="QW7" t="s">
        <v>2100</v>
      </c>
      <c r="QX7">
        <v>6.515326</v>
      </c>
      <c r="QY7" t="s">
        <v>1822</v>
      </c>
      <c r="QZ7">
        <v>3.4042999999999997E-2</v>
      </c>
      <c r="RA7" t="s">
        <v>1810</v>
      </c>
      <c r="RB7">
        <v>2025</v>
      </c>
      <c r="RC7" t="s">
        <v>3834</v>
      </c>
      <c r="RD7" s="6">
        <v>46052</v>
      </c>
      <c r="RE7">
        <v>5</v>
      </c>
      <c r="RF7">
        <v>30185504</v>
      </c>
      <c r="RG7">
        <v>216952</v>
      </c>
      <c r="RH7" t="s">
        <v>2101</v>
      </c>
      <c r="UY7" t="s">
        <v>3349</v>
      </c>
      <c r="VA7">
        <v>-2.4245362661989844E-14</v>
      </c>
      <c r="VB7">
        <v>-2.4245362661989844E-14</v>
      </c>
      <c r="VC7" t="s">
        <v>1814</v>
      </c>
      <c r="VD7">
        <v>2022</v>
      </c>
      <c r="VE7" t="s">
        <v>3350</v>
      </c>
      <c r="VF7" s="6">
        <v>44726</v>
      </c>
      <c r="VG7">
        <v>5</v>
      </c>
      <c r="VH7">
        <v>-2.4245362661989844E-14</v>
      </c>
      <c r="VI7">
        <v>68645102</v>
      </c>
      <c r="VJ7" t="s">
        <v>3351</v>
      </c>
      <c r="VM7" t="s">
        <v>2711</v>
      </c>
      <c r="VN7">
        <v>6.0204589999999998</v>
      </c>
      <c r="VO7" t="s">
        <v>1822</v>
      </c>
      <c r="VP7">
        <v>0.107922</v>
      </c>
      <c r="VQ7" t="s">
        <v>1823</v>
      </c>
      <c r="VR7">
        <v>2025</v>
      </c>
      <c r="VS7" t="s">
        <v>2751</v>
      </c>
      <c r="VT7" s="6">
        <v>45867</v>
      </c>
      <c r="VU7">
        <v>5</v>
      </c>
      <c r="VV7">
        <v>13280109</v>
      </c>
      <c r="VW7">
        <v>101376</v>
      </c>
      <c r="VX7" t="s">
        <v>2713</v>
      </c>
    </row>
    <row r="8" spans="1:600" x14ac:dyDescent="0.25">
      <c r="A8" t="s">
        <v>3897</v>
      </c>
      <c r="C8">
        <v>-2.4245362661989844E-14</v>
      </c>
      <c r="D8">
        <v>-2.4245362661989844E-14</v>
      </c>
      <c r="E8" t="s">
        <v>1971</v>
      </c>
      <c r="F8">
        <v>2025</v>
      </c>
      <c r="G8" t="s">
        <v>3898</v>
      </c>
      <c r="H8" s="6">
        <v>45897</v>
      </c>
      <c r="I8">
        <v>5</v>
      </c>
      <c r="J8">
        <v>-2.4245362661989844E-14</v>
      </c>
      <c r="K8">
        <v>21830910</v>
      </c>
      <c r="L8" t="s">
        <v>3899</v>
      </c>
      <c r="O8" t="s">
        <v>1820</v>
      </c>
      <c r="P8">
        <v>4.2456550000000002</v>
      </c>
      <c r="Q8" t="s">
        <v>1822</v>
      </c>
      <c r="R8">
        <v>0.18037700000000001</v>
      </c>
      <c r="S8" t="s">
        <v>1810</v>
      </c>
      <c r="T8">
        <v>2025</v>
      </c>
      <c r="U8" t="s">
        <v>3834</v>
      </c>
      <c r="V8" s="6">
        <v>46052</v>
      </c>
      <c r="W8">
        <v>5</v>
      </c>
      <c r="X8">
        <v>19670120</v>
      </c>
      <c r="Y8">
        <v>11092218</v>
      </c>
      <c r="Z8" t="s">
        <v>1821</v>
      </c>
      <c r="AE8" t="s">
        <v>3643</v>
      </c>
      <c r="AG8">
        <v>-2.4245362661989844E-14</v>
      </c>
      <c r="AH8">
        <v>-2.4245362661989844E-14</v>
      </c>
      <c r="AI8" t="s">
        <v>1806</v>
      </c>
      <c r="AJ8">
        <v>2024</v>
      </c>
      <c r="AK8" t="s">
        <v>3644</v>
      </c>
      <c r="AL8" s="6">
        <v>45448</v>
      </c>
      <c r="AM8">
        <v>5</v>
      </c>
      <c r="AN8">
        <v>-2.4245362661989844E-14</v>
      </c>
      <c r="AO8">
        <v>26653335</v>
      </c>
      <c r="AP8" t="s">
        <v>3645</v>
      </c>
      <c r="AS8" t="s">
        <v>4023</v>
      </c>
      <c r="AT8">
        <v>-2.4245362661989844E-14</v>
      </c>
      <c r="AV8">
        <v>-2.4245362661989844E-14</v>
      </c>
      <c r="AW8" t="s">
        <v>1814</v>
      </c>
      <c r="AX8">
        <v>2024</v>
      </c>
      <c r="AY8" t="s">
        <v>3642</v>
      </c>
      <c r="AZ8" s="6">
        <v>45348</v>
      </c>
      <c r="BA8">
        <v>5</v>
      </c>
      <c r="BB8">
        <v>-2.4245362661989844E-14</v>
      </c>
      <c r="BC8">
        <v>962217</v>
      </c>
      <c r="BD8" t="s">
        <v>4025</v>
      </c>
      <c r="PS8" t="s">
        <v>2596</v>
      </c>
      <c r="PT8">
        <v>-2.4245362661989844E-14</v>
      </c>
      <c r="PV8">
        <v>-2.4245362661989844E-14</v>
      </c>
      <c r="PW8" t="s">
        <v>1814</v>
      </c>
      <c r="PX8">
        <v>2021</v>
      </c>
      <c r="PY8" t="s">
        <v>2592</v>
      </c>
      <c r="PZ8" s="6">
        <v>44630</v>
      </c>
      <c r="QA8">
        <v>5</v>
      </c>
      <c r="QB8">
        <v>-2.4245362661989844E-14</v>
      </c>
      <c r="QC8">
        <v>1712604</v>
      </c>
      <c r="QD8" t="s">
        <v>2597</v>
      </c>
      <c r="QI8" t="s">
        <v>3897</v>
      </c>
      <c r="QK8">
        <v>-2.4245362661989844E-14</v>
      </c>
      <c r="QL8">
        <v>-2.4245362661989844E-14</v>
      </c>
      <c r="QM8" t="s">
        <v>1971</v>
      </c>
      <c r="QN8">
        <v>2025</v>
      </c>
      <c r="QO8" t="s">
        <v>3898</v>
      </c>
      <c r="QP8" s="6">
        <v>45897</v>
      </c>
      <c r="QQ8">
        <v>5</v>
      </c>
      <c r="QR8">
        <v>-2.4245362661989844E-14</v>
      </c>
      <c r="QS8">
        <v>21830910</v>
      </c>
      <c r="QT8" t="s">
        <v>3899</v>
      </c>
      <c r="QW8" t="s">
        <v>1820</v>
      </c>
      <c r="QX8">
        <v>4.2456550000000002</v>
      </c>
      <c r="QY8" t="s">
        <v>1822</v>
      </c>
      <c r="QZ8">
        <v>0.18037700000000001</v>
      </c>
      <c r="RA8" t="s">
        <v>1810</v>
      </c>
      <c r="RB8">
        <v>2025</v>
      </c>
      <c r="RC8" t="s">
        <v>3834</v>
      </c>
      <c r="RD8" s="6">
        <v>46052</v>
      </c>
      <c r="RE8">
        <v>5</v>
      </c>
      <c r="RF8">
        <v>19670120</v>
      </c>
      <c r="RG8">
        <v>11092218</v>
      </c>
      <c r="RH8" t="s">
        <v>1821</v>
      </c>
      <c r="UY8" t="s">
        <v>3352</v>
      </c>
      <c r="VA8">
        <v>-2.4245362661989844E-14</v>
      </c>
      <c r="VB8">
        <v>-2.4245362661989844E-14</v>
      </c>
      <c r="VC8" t="s">
        <v>1971</v>
      </c>
      <c r="VD8">
        <v>2025</v>
      </c>
      <c r="VE8" t="s">
        <v>3353</v>
      </c>
      <c r="VF8" s="6">
        <v>45897</v>
      </c>
      <c r="VG8">
        <v>5</v>
      </c>
      <c r="VH8">
        <v>-2.4245362661989844E-14</v>
      </c>
      <c r="VI8">
        <v>17496858</v>
      </c>
      <c r="VJ8" t="s">
        <v>3354</v>
      </c>
      <c r="VM8" t="s">
        <v>4072</v>
      </c>
      <c r="VN8">
        <v>3.6647449999999999</v>
      </c>
      <c r="VO8" t="s">
        <v>1822</v>
      </c>
      <c r="VP8">
        <v>0.210928</v>
      </c>
      <c r="VQ8" t="s">
        <v>1823</v>
      </c>
      <c r="VR8">
        <v>2025</v>
      </c>
      <c r="VS8" t="s">
        <v>2751</v>
      </c>
      <c r="VT8" s="6">
        <v>45867</v>
      </c>
      <c r="VU8">
        <v>5</v>
      </c>
      <c r="VV8">
        <v>8083804</v>
      </c>
      <c r="VW8">
        <v>1709930</v>
      </c>
      <c r="VX8" t="s">
        <v>4073</v>
      </c>
    </row>
    <row r="9" spans="1:600" x14ac:dyDescent="0.25">
      <c r="A9" t="s">
        <v>3900</v>
      </c>
      <c r="C9">
        <v>-2.4245362661989844E-14</v>
      </c>
      <c r="D9">
        <v>-2.4245362661989844E-14</v>
      </c>
      <c r="E9" t="s">
        <v>1814</v>
      </c>
      <c r="F9">
        <v>2024</v>
      </c>
      <c r="G9" t="s">
        <v>3901</v>
      </c>
      <c r="H9" s="6">
        <v>45764</v>
      </c>
      <c r="I9">
        <v>5</v>
      </c>
      <c r="J9">
        <v>-2.4245362661989844E-14</v>
      </c>
      <c r="K9">
        <v>69641307</v>
      </c>
      <c r="L9" t="s">
        <v>3902</v>
      </c>
      <c r="O9" t="s">
        <v>1929</v>
      </c>
      <c r="P9">
        <v>4.2187859999999997</v>
      </c>
      <c r="Q9" t="s">
        <v>1822</v>
      </c>
      <c r="R9">
        <v>7.5239E-2</v>
      </c>
      <c r="S9" t="s">
        <v>1810</v>
      </c>
      <c r="T9">
        <v>2025</v>
      </c>
      <c r="U9" t="s">
        <v>3834</v>
      </c>
      <c r="V9" s="6">
        <v>46052</v>
      </c>
      <c r="W9">
        <v>5</v>
      </c>
      <c r="X9">
        <v>19545636</v>
      </c>
      <c r="Y9">
        <v>101743</v>
      </c>
      <c r="Z9" t="s">
        <v>1931</v>
      </c>
      <c r="AE9" t="s">
        <v>2860</v>
      </c>
      <c r="AG9">
        <v>-2.4245362661989844E-14</v>
      </c>
      <c r="AH9">
        <v>-2.4245362661989844E-14</v>
      </c>
      <c r="AI9" t="s">
        <v>1827</v>
      </c>
      <c r="AJ9">
        <v>2022</v>
      </c>
      <c r="AK9" t="s">
        <v>3646</v>
      </c>
      <c r="AL9" s="6">
        <v>44965</v>
      </c>
      <c r="AM9">
        <v>5</v>
      </c>
      <c r="AN9">
        <v>-2.4245362661989844E-14</v>
      </c>
      <c r="AO9">
        <v>41041124</v>
      </c>
      <c r="AP9" t="s">
        <v>2862</v>
      </c>
      <c r="AS9" t="s">
        <v>2010</v>
      </c>
      <c r="AT9">
        <v>-2.4245362661989844E-14</v>
      </c>
      <c r="AV9">
        <v>-2.4245362661989844E-14</v>
      </c>
      <c r="AW9" t="s">
        <v>1814</v>
      </c>
      <c r="AX9">
        <v>2024</v>
      </c>
      <c r="AY9" t="s">
        <v>3642</v>
      </c>
      <c r="AZ9" s="6">
        <v>45348</v>
      </c>
      <c r="BA9">
        <v>5</v>
      </c>
      <c r="BB9">
        <v>-2.4245362661989844E-14</v>
      </c>
      <c r="BC9">
        <v>218252</v>
      </c>
      <c r="BD9" t="s">
        <v>2012</v>
      </c>
      <c r="PS9" t="s">
        <v>2598</v>
      </c>
      <c r="PT9">
        <v>-2.4245362661989844E-14</v>
      </c>
      <c r="PV9">
        <v>-2.4245362661989844E-14</v>
      </c>
      <c r="PW9" t="s">
        <v>1814</v>
      </c>
      <c r="PX9">
        <v>2024</v>
      </c>
      <c r="PY9" t="s">
        <v>2599</v>
      </c>
      <c r="PZ9" s="6">
        <v>45741</v>
      </c>
      <c r="QA9">
        <v>5</v>
      </c>
      <c r="QB9">
        <v>-2.4245362661989844E-14</v>
      </c>
      <c r="QC9">
        <v>15488749</v>
      </c>
      <c r="QD9" t="s">
        <v>2600</v>
      </c>
      <c r="QI9" t="s">
        <v>3900</v>
      </c>
      <c r="QK9">
        <v>-2.4245362661989844E-14</v>
      </c>
      <c r="QL9">
        <v>-2.4245362661989844E-14</v>
      </c>
      <c r="QM9" t="s">
        <v>1814</v>
      </c>
      <c r="QN9">
        <v>2024</v>
      </c>
      <c r="QO9" t="s">
        <v>3901</v>
      </c>
      <c r="QP9" s="6">
        <v>45764</v>
      </c>
      <c r="QQ9">
        <v>5</v>
      </c>
      <c r="QR9">
        <v>-2.4245362661989844E-14</v>
      </c>
      <c r="QS9">
        <v>69641307</v>
      </c>
      <c r="QT9" t="s">
        <v>3902</v>
      </c>
      <c r="QW9" t="s">
        <v>1929</v>
      </c>
      <c r="QX9">
        <v>4.2187859999999997</v>
      </c>
      <c r="QY9" t="s">
        <v>1822</v>
      </c>
      <c r="QZ9">
        <v>7.5239E-2</v>
      </c>
      <c r="RA9" t="s">
        <v>1810</v>
      </c>
      <c r="RB9">
        <v>2025</v>
      </c>
      <c r="RC9" t="s">
        <v>3834</v>
      </c>
      <c r="RD9" s="6">
        <v>46052</v>
      </c>
      <c r="RE9">
        <v>5</v>
      </c>
      <c r="RF9">
        <v>19545636</v>
      </c>
      <c r="RG9">
        <v>101743</v>
      </c>
      <c r="RH9" t="s">
        <v>1931</v>
      </c>
      <c r="UY9" t="s">
        <v>2269</v>
      </c>
      <c r="VA9">
        <v>-2.4245362661989844E-14</v>
      </c>
      <c r="VB9">
        <v>-2.4245362661989844E-14</v>
      </c>
      <c r="VC9" t="s">
        <v>1814</v>
      </c>
      <c r="VD9">
        <v>2022</v>
      </c>
      <c r="VE9" t="s">
        <v>2270</v>
      </c>
      <c r="VF9" s="6">
        <v>44693</v>
      </c>
      <c r="VG9">
        <v>5</v>
      </c>
      <c r="VH9">
        <v>-2.4245362661989844E-14</v>
      </c>
      <c r="VI9">
        <v>114991</v>
      </c>
      <c r="VJ9" t="s">
        <v>2271</v>
      </c>
      <c r="VM9" t="s">
        <v>3295</v>
      </c>
      <c r="VN9">
        <v>3.5162550000000001</v>
      </c>
      <c r="VO9" t="s">
        <v>1822</v>
      </c>
      <c r="VP9">
        <v>3.0705E-2</v>
      </c>
      <c r="VQ9" t="s">
        <v>1823</v>
      </c>
      <c r="VR9">
        <v>2025</v>
      </c>
      <c r="VS9" t="s">
        <v>2751</v>
      </c>
      <c r="VT9" s="6">
        <v>45867</v>
      </c>
      <c r="VU9">
        <v>5</v>
      </c>
      <c r="VV9">
        <v>7756261</v>
      </c>
      <c r="VW9">
        <v>180556</v>
      </c>
      <c r="VX9" t="s">
        <v>3297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739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740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741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742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743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744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745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746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747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748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749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750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751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752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753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754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755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756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757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758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759</v>
      </c>
      <c r="AE2" s="3" t="s">
        <v>760</v>
      </c>
      <c r="BI2" s="3" t="s">
        <v>761</v>
      </c>
      <c r="CM2" s="3" t="s">
        <v>762</v>
      </c>
      <c r="DQ2" s="3" t="s">
        <v>763</v>
      </c>
      <c r="EU2" s="3" t="s">
        <v>764</v>
      </c>
      <c r="FY2" s="3" t="s">
        <v>765</v>
      </c>
      <c r="HC2" s="3" t="s">
        <v>766</v>
      </c>
      <c r="IG2" s="3" t="s">
        <v>767</v>
      </c>
      <c r="JK2" s="3" t="s">
        <v>164</v>
      </c>
      <c r="KO2" s="3" t="s">
        <v>768</v>
      </c>
      <c r="LS2" s="3" t="s">
        <v>769</v>
      </c>
      <c r="MW2" s="3" t="s">
        <v>770</v>
      </c>
      <c r="OA2" s="3" t="s">
        <v>771</v>
      </c>
      <c r="PE2" s="3" t="s">
        <v>772</v>
      </c>
      <c r="QI2" s="3" t="s">
        <v>773</v>
      </c>
      <c r="RM2" s="3" t="s">
        <v>774</v>
      </c>
      <c r="SQ2" s="3" t="s">
        <v>775</v>
      </c>
      <c r="TU2" s="3" t="s">
        <v>776</v>
      </c>
      <c r="UY2" s="3" t="s">
        <v>777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_xll.BDS("AMRB US Equity","SUPPLY_CHAIN_SUPPLIERS_ALL_DATA")</f>
        <v>#N/A N/A</v>
      </c>
      <c r="O5" t="str">
        <f>_xll.BDS("AMRB US Equity","SUPPLY_CHAIN_CUSTOMERS_ALL_DATA")</f>
        <v>#N/A N/A</v>
      </c>
      <c r="AE5" t="str">
        <f>_xll.BDS("MSA US Equity","SUPPLY_CHAIN_SUPPLIERS_ALL_DATA","cols=12;rows=5")</f>
        <v>ADBE US Equity</v>
      </c>
      <c r="AF5" t="s">
        <v>1893</v>
      </c>
      <c r="AG5">
        <v>3.0209999999999998E-3</v>
      </c>
      <c r="AH5">
        <v>0.18881899999999999</v>
      </c>
      <c r="AI5" t="s">
        <v>1823</v>
      </c>
      <c r="AJ5">
        <v>2025</v>
      </c>
      <c r="AK5" t="s">
        <v>1894</v>
      </c>
      <c r="AL5" s="6">
        <v>45838</v>
      </c>
      <c r="AM5">
        <v>5</v>
      </c>
      <c r="AN5">
        <v>177423</v>
      </c>
      <c r="AO5">
        <v>101689</v>
      </c>
      <c r="AP5" t="s">
        <v>1895</v>
      </c>
      <c r="AS5" t="str">
        <f>_xll.BDS("MSA US Equity","SUPPLY_CHAIN_CUSTOMERS_ALL_DATA","cols=12;rows=5")</f>
        <v>000720 KS Equity</v>
      </c>
      <c r="AT5">
        <v>-2.4245362661989844E-14</v>
      </c>
      <c r="AV5">
        <v>-2.4245362661989844E-14</v>
      </c>
      <c r="AW5" t="s">
        <v>2266</v>
      </c>
      <c r="AX5">
        <v>2023</v>
      </c>
      <c r="AY5" t="s">
        <v>4307</v>
      </c>
      <c r="AZ5" s="6">
        <v>45061</v>
      </c>
      <c r="BA5">
        <v>5</v>
      </c>
      <c r="BB5">
        <v>-2.4245362661989844E-14</v>
      </c>
      <c r="BC5">
        <v>117619</v>
      </c>
      <c r="BD5" t="s">
        <v>4308</v>
      </c>
      <c r="BI5" t="str">
        <f>_xll.BDS("1978022D US Equity","SUPPLY_CHAIN_SUPPLIERS_ALL_DATA")</f>
        <v>#N/A N/A</v>
      </c>
      <c r="BW5" t="str">
        <f>_xll.BDS("1978022D US Equity","SUPPLY_CHAIN_CUSTOMERS_ALL_DATA")</f>
        <v>#N/A N/A</v>
      </c>
      <c r="CM5" t="str">
        <f>_xll.BDS("HL US Equity","SUPPLY_CHAIN_SUPPLIERS_ALL_DATA","cols=12;rows=5")</f>
        <v>0082624D US Equity</v>
      </c>
      <c r="CO5">
        <v>-2.4245362661989844E-14</v>
      </c>
      <c r="CP5">
        <v>-2.4245362661989844E-14</v>
      </c>
      <c r="CQ5" t="s">
        <v>1810</v>
      </c>
      <c r="CR5">
        <v>2023</v>
      </c>
      <c r="CS5" t="s">
        <v>2467</v>
      </c>
      <c r="CT5" s="6">
        <v>45202</v>
      </c>
      <c r="CU5">
        <v>5</v>
      </c>
      <c r="CV5">
        <v>-2.4245362661989844E-14</v>
      </c>
      <c r="CW5">
        <v>26894537</v>
      </c>
      <c r="CX5" t="s">
        <v>2468</v>
      </c>
      <c r="DA5" t="str">
        <f>_xll.BDS("HL US Equity","SUPPLY_CHAIN_CUSTOMERS_ALL_DATA")</f>
        <v>#N/A N/A</v>
      </c>
      <c r="DQ5" t="str">
        <f>_xll.BDS("CXDO US Equity","SUPPLY_CHAIN_SUPPLIERS_ALL_DATA","cols=12;rows=5")</f>
        <v>CSCO US Equity</v>
      </c>
      <c r="DR5" t="s">
        <v>1822</v>
      </c>
      <c r="DS5">
        <v>1.16E-4</v>
      </c>
      <c r="DT5">
        <v>0.25462099999999999</v>
      </c>
      <c r="DU5" t="s">
        <v>1823</v>
      </c>
      <c r="DV5">
        <v>2025</v>
      </c>
      <c r="DW5" t="s">
        <v>3812</v>
      </c>
      <c r="DX5" s="6">
        <v>45783</v>
      </c>
      <c r="DY5">
        <v>5</v>
      </c>
      <c r="DZ5">
        <v>16230</v>
      </c>
      <c r="EA5">
        <v>69423747</v>
      </c>
      <c r="EB5" t="s">
        <v>2105</v>
      </c>
      <c r="EE5" t="str">
        <f>_xll.BDS("CXDO US Equity","SUPPLY_CHAIN_CUSTOMERS_ALL_DATA","cols=12;rows=1")</f>
        <v>2311612D US Equity</v>
      </c>
      <c r="EF5">
        <v>-2.4245362661989844E-14</v>
      </c>
      <c r="EH5">
        <v>-2.4245362661989844E-14</v>
      </c>
      <c r="EI5" t="s">
        <v>1814</v>
      </c>
      <c r="EJ5">
        <v>2025</v>
      </c>
      <c r="EK5" t="s">
        <v>3700</v>
      </c>
      <c r="EL5" s="6">
        <v>45953</v>
      </c>
      <c r="EM5">
        <v>1</v>
      </c>
      <c r="EN5">
        <v>-2.4245362661989844E-14</v>
      </c>
      <c r="EO5">
        <v>71289604</v>
      </c>
      <c r="EP5" t="s">
        <v>3701</v>
      </c>
      <c r="EU5" t="str">
        <f>_xll.BDS("CVA US Equity","SUPPLY_CHAIN_SUPPLIERS_ALL_DATA","cols=12;rows=1")</f>
        <v>FE US Equity</v>
      </c>
      <c r="EW5">
        <v>-2.4245362661989844E-14</v>
      </c>
      <c r="EX5">
        <v>-2.4245362661989844E-14</v>
      </c>
      <c r="EY5" t="s">
        <v>1814</v>
      </c>
      <c r="EZ5">
        <v>2021</v>
      </c>
      <c r="FA5" t="s">
        <v>1995</v>
      </c>
      <c r="FB5" s="6">
        <v>44693</v>
      </c>
      <c r="FC5">
        <v>1</v>
      </c>
      <c r="FD5">
        <v>-2.4245362661989844E-14</v>
      </c>
      <c r="FE5">
        <v>302916</v>
      </c>
      <c r="FF5" t="s">
        <v>1996</v>
      </c>
      <c r="FI5" t="str">
        <f>_xll.BDS("CVA US Equity","SUPPLY_CHAIN_CUSTOMERS_ALL_DATA")</f>
        <v>#N/A N/A</v>
      </c>
      <c r="FY5" t="str">
        <f>_xll.BDS("LGND US Equity","SUPPLY_CHAIN_SUPPLIERS_ALL_DATA","cols=12;rows=5")</f>
        <v>1108Z PL Equity</v>
      </c>
      <c r="GA5">
        <v>-2.4245362661989844E-14</v>
      </c>
      <c r="GB5">
        <v>-2.4245362661989844E-14</v>
      </c>
      <c r="GC5" t="s">
        <v>1814</v>
      </c>
      <c r="GD5">
        <v>2025</v>
      </c>
      <c r="GE5" t="s">
        <v>3519</v>
      </c>
      <c r="GF5" s="6">
        <v>46080</v>
      </c>
      <c r="GG5">
        <v>5</v>
      </c>
      <c r="GH5">
        <v>-2.4245362661989844E-14</v>
      </c>
      <c r="GI5">
        <v>7000430</v>
      </c>
      <c r="GJ5" t="s">
        <v>3526</v>
      </c>
      <c r="GM5" t="str">
        <f>_xll.BDS("LGND US Equity","SUPPLY_CHAIN_CUSTOMERS_ALL_DATA","cols=12;rows=5")</f>
        <v>AMGN US Equity</v>
      </c>
      <c r="GN5">
        <v>13.24197</v>
      </c>
      <c r="GO5" t="s">
        <v>1822</v>
      </c>
      <c r="GP5">
        <v>0.29492400000000002</v>
      </c>
      <c r="GQ5" t="s">
        <v>1814</v>
      </c>
      <c r="GR5">
        <v>2025</v>
      </c>
      <c r="GS5" t="s">
        <v>3519</v>
      </c>
      <c r="GT5" s="6">
        <v>46080</v>
      </c>
      <c r="GU5">
        <v>5</v>
      </c>
      <c r="GV5">
        <v>8875000</v>
      </c>
      <c r="GW5">
        <v>101693</v>
      </c>
      <c r="GX5" t="s">
        <v>3997</v>
      </c>
      <c r="HC5" t="str">
        <f>_xll.BDS("2894314Q US Equity","SUPPLY_CHAIN_SUPPLIERS_ALL_DATA")</f>
        <v>#N/A N/A</v>
      </c>
      <c r="HQ5" t="str">
        <f>_xll.BDS("2894314Q US Equity","SUPPLY_CHAIN_CUSTOMERS_ALL_DATA")</f>
        <v>#N/A N/A</v>
      </c>
      <c r="IG5" t="str">
        <f>_xll.BDS("9474176Q US Equity","SUPPLY_CHAIN_SUPPLIERS_ALL_DATA","cols=12;rows=4")</f>
        <v>66283080 IT Equity</v>
      </c>
      <c r="II5">
        <v>-2.4245362661989844E-14</v>
      </c>
      <c r="IJ5">
        <v>-2.4245362661989844E-14</v>
      </c>
      <c r="IK5" t="s">
        <v>1814</v>
      </c>
      <c r="IL5">
        <v>2023</v>
      </c>
      <c r="IM5" t="s">
        <v>3090</v>
      </c>
      <c r="IN5" s="6">
        <v>45301</v>
      </c>
      <c r="IO5">
        <v>4</v>
      </c>
      <c r="IP5">
        <v>-2.4245362661989844E-14</v>
      </c>
      <c r="IQ5">
        <v>66283080</v>
      </c>
      <c r="IR5" t="s">
        <v>3091</v>
      </c>
      <c r="IU5" t="str">
        <f>_xll.BDS("9474176Q US Equity","SUPPLY_CHAIN_CUSTOMERS_ALL_DATA","cols=12;rows=1")</f>
        <v>BRK/A US Equity</v>
      </c>
      <c r="IV5">
        <v>-2.4245362661989844E-14</v>
      </c>
      <c r="IX5">
        <v>-2.4245362661989844E-14</v>
      </c>
      <c r="IY5" t="s">
        <v>1814</v>
      </c>
      <c r="IZ5">
        <v>2024</v>
      </c>
      <c r="JA5" t="s">
        <v>3020</v>
      </c>
      <c r="JB5" s="6">
        <v>45475</v>
      </c>
      <c r="JC5">
        <v>1</v>
      </c>
      <c r="JD5">
        <v>-2.4245362661989844E-14</v>
      </c>
      <c r="JE5">
        <v>100193</v>
      </c>
      <c r="JF5" t="s">
        <v>2049</v>
      </c>
      <c r="JK5" t="str">
        <f>_xll.BDS("HNBC US Equity","SUPPLY_CHAIN_SUPPLIERS_ALL_DATA")</f>
        <v>#N/A N/A</v>
      </c>
      <c r="JY5" t="str">
        <f>_xll.BDS("HNBC US Equity","SUPPLY_CHAIN_CUSTOMERS_ALL_DATA")</f>
        <v>#N/A N/A</v>
      </c>
      <c r="KO5" t="str">
        <f>_xll.BDS("CLPA US Equity","SUPPLY_CHAIN_SUPPLIERS_ALL_DATA")</f>
        <v>#N/A N/A</v>
      </c>
      <c r="LC5" t="str">
        <f>_xll.BDS("CLPA US Equity","SUPPLY_CHAIN_CUSTOMERS_ALL_DATA")</f>
        <v>#N/A N/A</v>
      </c>
      <c r="LS5" t="str">
        <f>_xll.BDS("AOILQ US Equity","SUPPLY_CHAIN_SUPPLIERS_ALL_DATA")</f>
        <v>#N/A N/A</v>
      </c>
      <c r="MG5" t="str">
        <f>_xll.BDS("AOILQ US Equity","SUPPLY_CHAIN_CUSTOMERS_ALL_DATA")</f>
        <v>#N/A N/A</v>
      </c>
      <c r="MW5" t="str">
        <f>_xll.BDS("FTNT US Equity","SUPPLY_CHAIN_SUPPLIERS_ALL_DATA","cols=12;rows=5")</f>
        <v>2330 TT Equity</v>
      </c>
      <c r="MX5" t="s">
        <v>1822</v>
      </c>
      <c r="MY5">
        <v>0.14946599999999999</v>
      </c>
      <c r="MZ5">
        <v>12.753303000000001</v>
      </c>
      <c r="NA5" t="s">
        <v>1827</v>
      </c>
      <c r="NB5">
        <v>2024</v>
      </c>
      <c r="NC5" t="s">
        <v>3531</v>
      </c>
      <c r="ND5" s="6">
        <v>45741</v>
      </c>
      <c r="NE5">
        <v>5</v>
      </c>
      <c r="NF5">
        <v>40125489.229999997</v>
      </c>
      <c r="NG5">
        <v>153737</v>
      </c>
      <c r="NH5" t="s">
        <v>1937</v>
      </c>
      <c r="NK5" t="str">
        <f>_xll.BDS("FTNT US Equity","SUPPLY_CHAIN_CUSTOMERS_ALL_DATA","cols=12;rows=5")</f>
        <v>BABA US Equity</v>
      </c>
      <c r="NL5">
        <v>1.178628</v>
      </c>
      <c r="NM5" t="s">
        <v>1822</v>
      </c>
      <c r="NN5">
        <v>0.106657</v>
      </c>
      <c r="NO5" t="s">
        <v>1806</v>
      </c>
      <c r="NP5">
        <v>2026</v>
      </c>
      <c r="NQ5" t="s">
        <v>2162</v>
      </c>
      <c r="NR5" s="6">
        <v>45973</v>
      </c>
      <c r="NS5">
        <v>5</v>
      </c>
      <c r="NT5">
        <v>20125686.780000001</v>
      </c>
      <c r="NU5">
        <v>16857643</v>
      </c>
      <c r="NV5" t="s">
        <v>2163</v>
      </c>
      <c r="OA5" t="str">
        <f>_xll.BDS("1413542D US Equity","SUPPLY_CHAIN_SUPPLIERS_ALL_DATA")</f>
        <v>#N/A N/A</v>
      </c>
      <c r="OO5" t="str">
        <f>_xll.BDS("1413542D US Equity","SUPPLY_CHAIN_CUSTOMERS_ALL_DATA")</f>
        <v>#N/A N/A</v>
      </c>
      <c r="PE5" t="str">
        <f>_xll.BDS("1518080D US Equity","SUPPLY_CHAIN_SUPPLIERS_ALL_DATA")</f>
        <v>#N/A N/A</v>
      </c>
      <c r="PS5" t="str">
        <f>_xll.BDS("1518080D US Equity","SUPPLY_CHAIN_CUSTOMERS_ALL_DATA")</f>
        <v>#N/A N/A</v>
      </c>
      <c r="QI5" t="str">
        <f>_xll.BDS("AWBCQ US Equity","SUPPLY_CHAIN_SUPPLIERS_ALL_DATA")</f>
        <v>#N/A N/A</v>
      </c>
      <c r="QW5" t="str">
        <f>_xll.BDS("AWBCQ US Equity","SUPPLY_CHAIN_CUSTOMERS_ALL_DATA")</f>
        <v>#N/A N/A</v>
      </c>
      <c r="RM5" t="str">
        <f>_xll.BDS("1500616D US Equity","SUPPLY_CHAIN_SUPPLIERS_ALL_DATA")</f>
        <v>#N/A N/A</v>
      </c>
      <c r="SA5" t="str">
        <f>_xll.BDS("1500616D US Equity","SUPPLY_CHAIN_CUSTOMERS_ALL_DATA")</f>
        <v>#N/A N/A</v>
      </c>
      <c r="SQ5" t="str">
        <f>_xll.BDS("VATE US Equity","SUPPLY_CHAIN_SUPPLIERS_ALL_DATA","cols=12;rows=3")</f>
        <v>000963 CH Equity</v>
      </c>
      <c r="SR5" t="s">
        <v>1822</v>
      </c>
      <c r="SS5">
        <v>1.2234999999999999E-2</v>
      </c>
      <c r="ST5">
        <v>9.0795000000000001E-2</v>
      </c>
      <c r="SU5" t="s">
        <v>1971</v>
      </c>
      <c r="SV5">
        <v>2025</v>
      </c>
      <c r="SW5" t="s">
        <v>2288</v>
      </c>
      <c r="SX5" s="6">
        <v>45889</v>
      </c>
      <c r="SY5">
        <v>3</v>
      </c>
      <c r="SZ5">
        <v>182838.7</v>
      </c>
      <c r="TA5">
        <v>876516</v>
      </c>
      <c r="TB5" t="s">
        <v>2118</v>
      </c>
      <c r="TE5" t="str">
        <f>_xll.BDS("VATE US Equity","SUPPLY_CHAIN_CUSTOMERS_ALL_DATA","cols=12;rows=2")</f>
        <v>000963 CH Equity</v>
      </c>
      <c r="TF5">
        <v>-2.4245362661989844E-14</v>
      </c>
      <c r="TH5">
        <v>-2.4245362661989844E-14</v>
      </c>
      <c r="TI5" t="s">
        <v>1814</v>
      </c>
      <c r="TJ5">
        <v>2023</v>
      </c>
      <c r="TK5" t="s">
        <v>2117</v>
      </c>
      <c r="TL5" s="6">
        <v>45399</v>
      </c>
      <c r="TM5">
        <v>2</v>
      </c>
      <c r="TN5">
        <v>-2.4245362661989844E-14</v>
      </c>
      <c r="TO5">
        <v>876516</v>
      </c>
      <c r="TP5" t="s">
        <v>2118</v>
      </c>
      <c r="TU5" t="str">
        <f>_xll.BDS("TCF US Equity","SUPPLY_CHAIN_SUPPLIERS_ALL_DATA")</f>
        <v>#N/A N/A</v>
      </c>
      <c r="UI5" t="str">
        <f>_xll.BDS("TCF US Equity","SUPPLY_CHAIN_CUSTOMERS_ALL_DATA")</f>
        <v>#N/A N/A</v>
      </c>
      <c r="UY5" t="str">
        <f>_xll.BDS("TDY US Equity","SUPPLY_CHAIN_SUPPLIERS_ALL_DATA")</f>
        <v>VOYG US Equity</v>
      </c>
      <c r="VM5" t="str">
        <f>_xll.BDS("TDY US Equity","SUPPLY_CHAIN_CUSTOMERS_ALL_DATA")</f>
        <v>3352Z US Equity</v>
      </c>
    </row>
    <row r="6" spans="1:600" x14ac:dyDescent="0.25">
      <c r="AE6" t="s">
        <v>2042</v>
      </c>
      <c r="AG6">
        <v>-2.4245362661989844E-14</v>
      </c>
      <c r="AH6">
        <v>-2.4245362661989844E-14</v>
      </c>
      <c r="AI6" t="s">
        <v>1814</v>
      </c>
      <c r="AJ6">
        <v>2021</v>
      </c>
      <c r="AK6" t="s">
        <v>2043</v>
      </c>
      <c r="AL6" s="6">
        <v>44693</v>
      </c>
      <c r="AM6">
        <v>5</v>
      </c>
      <c r="AN6">
        <v>-2.4245362661989844E-14</v>
      </c>
      <c r="AO6">
        <v>100060</v>
      </c>
      <c r="AP6" t="s">
        <v>2044</v>
      </c>
      <c r="AS6" t="s">
        <v>3566</v>
      </c>
      <c r="AT6">
        <v>-2.4245362661989844E-14</v>
      </c>
      <c r="AV6">
        <v>-2.4245362661989844E-14</v>
      </c>
      <c r="AW6" t="s">
        <v>1814</v>
      </c>
      <c r="AX6">
        <v>2023</v>
      </c>
      <c r="AY6" t="s">
        <v>4309</v>
      </c>
      <c r="AZ6" s="6">
        <v>45133</v>
      </c>
      <c r="BA6">
        <v>5</v>
      </c>
      <c r="BB6">
        <v>-2.4245362661989844E-14</v>
      </c>
      <c r="BC6">
        <v>227296</v>
      </c>
      <c r="BD6" t="s">
        <v>3568</v>
      </c>
      <c r="CM6" t="s">
        <v>2469</v>
      </c>
      <c r="CO6">
        <v>-2.4245362661989844E-14</v>
      </c>
      <c r="CP6">
        <v>-2.4245362661989844E-14</v>
      </c>
      <c r="CQ6" t="s">
        <v>1814</v>
      </c>
      <c r="CR6">
        <v>2023</v>
      </c>
      <c r="CS6" t="s">
        <v>2470</v>
      </c>
      <c r="CT6" s="6">
        <v>44978</v>
      </c>
      <c r="CU6">
        <v>5</v>
      </c>
      <c r="CV6">
        <v>-2.4245362661989844E-14</v>
      </c>
      <c r="CW6">
        <v>61329618</v>
      </c>
      <c r="CX6" t="s">
        <v>2471</v>
      </c>
      <c r="DQ6" t="s">
        <v>3813</v>
      </c>
      <c r="DS6">
        <v>-2.4245362661989844E-14</v>
      </c>
      <c r="DT6">
        <v>-2.4245362661989844E-14</v>
      </c>
      <c r="DU6" t="s">
        <v>1814</v>
      </c>
      <c r="DV6">
        <v>2026</v>
      </c>
      <c r="DW6" t="s">
        <v>3814</v>
      </c>
      <c r="DX6" s="6">
        <v>46078</v>
      </c>
      <c r="DY6">
        <v>5</v>
      </c>
      <c r="DZ6">
        <v>-2.4245362661989844E-14</v>
      </c>
      <c r="EA6">
        <v>32055456</v>
      </c>
      <c r="EB6" t="s">
        <v>3815</v>
      </c>
      <c r="FY6" t="s">
        <v>317</v>
      </c>
      <c r="GA6">
        <v>-2.4245362661989844E-14</v>
      </c>
      <c r="GB6">
        <v>-2.4245362661989844E-14</v>
      </c>
      <c r="GC6" t="s">
        <v>1814</v>
      </c>
      <c r="GD6">
        <v>2024</v>
      </c>
      <c r="GE6" t="s">
        <v>3493</v>
      </c>
      <c r="GF6" s="6">
        <v>45733</v>
      </c>
      <c r="GG6">
        <v>5</v>
      </c>
      <c r="GH6">
        <v>-2.4245362661989844E-14</v>
      </c>
      <c r="GI6">
        <v>898673</v>
      </c>
      <c r="GJ6" t="s">
        <v>3527</v>
      </c>
      <c r="GM6" t="s">
        <v>3998</v>
      </c>
      <c r="GN6">
        <v>12.570546</v>
      </c>
      <c r="GO6" t="s">
        <v>1822</v>
      </c>
      <c r="GP6">
        <v>3.5888119999999999</v>
      </c>
      <c r="GQ6" t="s">
        <v>1814</v>
      </c>
      <c r="GR6">
        <v>2025</v>
      </c>
      <c r="GS6" t="s">
        <v>3519</v>
      </c>
      <c r="GT6" s="6">
        <v>46080</v>
      </c>
      <c r="GU6">
        <v>5</v>
      </c>
      <c r="GV6">
        <v>8425000</v>
      </c>
      <c r="GW6">
        <v>117886</v>
      </c>
      <c r="GX6" t="s">
        <v>3999</v>
      </c>
      <c r="IG6" t="s">
        <v>133</v>
      </c>
      <c r="II6">
        <v>-2.4245362661989844E-14</v>
      </c>
      <c r="IJ6">
        <v>-2.4245362661989844E-14</v>
      </c>
      <c r="IK6" t="s">
        <v>1823</v>
      </c>
      <c r="IL6">
        <v>2023</v>
      </c>
      <c r="IM6" t="s">
        <v>3092</v>
      </c>
      <c r="IN6" s="6">
        <v>45183</v>
      </c>
      <c r="IO6">
        <v>4</v>
      </c>
      <c r="IP6">
        <v>-2.4245362661989844E-14</v>
      </c>
      <c r="IQ6">
        <v>100499</v>
      </c>
      <c r="IR6" t="s">
        <v>3093</v>
      </c>
      <c r="MW6" t="s">
        <v>2253</v>
      </c>
      <c r="MX6" t="s">
        <v>1822</v>
      </c>
      <c r="MY6">
        <v>8.7673000000000001E-2</v>
      </c>
      <c r="MZ6">
        <v>4.1196770000000003</v>
      </c>
      <c r="NA6" t="s">
        <v>1810</v>
      </c>
      <c r="NB6">
        <v>2025</v>
      </c>
      <c r="NC6" t="s">
        <v>3864</v>
      </c>
      <c r="ND6" s="6">
        <v>46087</v>
      </c>
      <c r="NE6">
        <v>5</v>
      </c>
      <c r="NF6">
        <v>16637781.74</v>
      </c>
      <c r="NG6">
        <v>7975354</v>
      </c>
      <c r="NH6" t="s">
        <v>2254</v>
      </c>
      <c r="NK6" t="s">
        <v>1849</v>
      </c>
      <c r="NL6">
        <v>1.1345959999999999</v>
      </c>
      <c r="NM6" t="s">
        <v>1822</v>
      </c>
      <c r="NN6">
        <v>0.120923</v>
      </c>
      <c r="NO6" t="s">
        <v>1827</v>
      </c>
      <c r="NP6">
        <v>2025</v>
      </c>
      <c r="NQ6" t="s">
        <v>1850</v>
      </c>
      <c r="NR6" s="6">
        <v>46056</v>
      </c>
      <c r="NS6">
        <v>5</v>
      </c>
      <c r="NT6">
        <v>19570650</v>
      </c>
      <c r="NU6">
        <v>1499717</v>
      </c>
      <c r="NV6" t="s">
        <v>1851</v>
      </c>
      <c r="SQ6" t="s">
        <v>2289</v>
      </c>
      <c r="SS6">
        <v>-2.4245362661989844E-14</v>
      </c>
      <c r="ST6">
        <v>-2.4245362661989844E-14</v>
      </c>
      <c r="SU6" t="s">
        <v>1827</v>
      </c>
      <c r="SV6">
        <v>2024</v>
      </c>
      <c r="SW6" t="s">
        <v>2290</v>
      </c>
      <c r="SX6" s="6">
        <v>45703</v>
      </c>
      <c r="SY6">
        <v>3</v>
      </c>
      <c r="SZ6">
        <v>-2.4245362661989844E-14</v>
      </c>
      <c r="TA6">
        <v>71740192</v>
      </c>
      <c r="TB6" t="s">
        <v>2291</v>
      </c>
      <c r="TE6" t="s">
        <v>2119</v>
      </c>
      <c r="TF6">
        <v>-2.4245362661989844E-14</v>
      </c>
      <c r="TH6">
        <v>-2.4245362661989844E-14</v>
      </c>
      <c r="TI6" t="s">
        <v>1814</v>
      </c>
      <c r="TJ6">
        <v>2021</v>
      </c>
      <c r="TK6" t="s">
        <v>2120</v>
      </c>
      <c r="TL6" s="6">
        <v>44636</v>
      </c>
      <c r="TM6">
        <v>2</v>
      </c>
      <c r="TN6">
        <v>-2.4245362661989844E-14</v>
      </c>
      <c r="TO6">
        <v>1179753</v>
      </c>
      <c r="TP6" t="s">
        <v>2121</v>
      </c>
    </row>
    <row r="7" spans="1:600" x14ac:dyDescent="0.25">
      <c r="AE7" t="s">
        <v>2363</v>
      </c>
      <c r="AG7">
        <v>-2.4245362661989844E-14</v>
      </c>
      <c r="AH7">
        <v>-2.4245362661989844E-14</v>
      </c>
      <c r="AI7" t="s">
        <v>1814</v>
      </c>
      <c r="AJ7">
        <v>2021</v>
      </c>
      <c r="AK7" t="s">
        <v>2364</v>
      </c>
      <c r="AL7" s="6">
        <v>44693</v>
      </c>
      <c r="AM7">
        <v>5</v>
      </c>
      <c r="AN7">
        <v>-2.4245362661989844E-14</v>
      </c>
      <c r="AO7">
        <v>100760</v>
      </c>
      <c r="AP7" t="s">
        <v>2365</v>
      </c>
      <c r="AS7" t="s">
        <v>4310</v>
      </c>
      <c r="AT7">
        <v>-2.4245362661989844E-14</v>
      </c>
      <c r="AV7">
        <v>-2.4245362661989844E-14</v>
      </c>
      <c r="AW7" t="s">
        <v>1814</v>
      </c>
      <c r="AX7">
        <v>2024</v>
      </c>
      <c r="AY7" t="s">
        <v>4309</v>
      </c>
      <c r="AZ7" s="6">
        <v>45610</v>
      </c>
      <c r="BA7">
        <v>5</v>
      </c>
      <c r="BB7">
        <v>-2.4245362661989844E-14</v>
      </c>
      <c r="BC7">
        <v>962195</v>
      </c>
      <c r="BD7" t="s">
        <v>4311</v>
      </c>
      <c r="CM7" t="s">
        <v>2472</v>
      </c>
      <c r="CO7">
        <v>-2.4245362661989844E-14</v>
      </c>
      <c r="CP7">
        <v>-2.4245362661989844E-14</v>
      </c>
      <c r="CQ7" t="s">
        <v>1810</v>
      </c>
      <c r="CR7">
        <v>2023</v>
      </c>
      <c r="CS7" t="s">
        <v>2467</v>
      </c>
      <c r="CT7" s="6">
        <v>45202</v>
      </c>
      <c r="CU7">
        <v>5</v>
      </c>
      <c r="CV7">
        <v>-2.4245362661989844E-14</v>
      </c>
      <c r="CW7">
        <v>71158739</v>
      </c>
      <c r="CX7" t="s">
        <v>2473</v>
      </c>
      <c r="DQ7" t="s">
        <v>3816</v>
      </c>
      <c r="DS7">
        <v>-2.4245362661989844E-14</v>
      </c>
      <c r="DT7">
        <v>-2.4245362661989844E-14</v>
      </c>
      <c r="DU7" t="s">
        <v>1814</v>
      </c>
      <c r="DV7">
        <v>2021</v>
      </c>
      <c r="DW7" t="s">
        <v>3817</v>
      </c>
      <c r="DX7" s="6">
        <v>44641</v>
      </c>
      <c r="DY7">
        <v>5</v>
      </c>
      <c r="DZ7">
        <v>-2.4245362661989844E-14</v>
      </c>
      <c r="EA7">
        <v>30312086</v>
      </c>
      <c r="EB7" t="s">
        <v>3818</v>
      </c>
      <c r="FY7" t="s">
        <v>2242</v>
      </c>
      <c r="GA7">
        <v>-2.4245362661989844E-14</v>
      </c>
      <c r="GB7">
        <v>-2.4245362661989844E-14</v>
      </c>
      <c r="GC7" t="s">
        <v>1810</v>
      </c>
      <c r="GD7">
        <v>2024</v>
      </c>
      <c r="GE7" t="s">
        <v>3528</v>
      </c>
      <c r="GF7" s="6">
        <v>45604</v>
      </c>
      <c r="GG7">
        <v>5</v>
      </c>
      <c r="GH7">
        <v>-2.4245362661989844E-14</v>
      </c>
      <c r="GI7">
        <v>100225</v>
      </c>
      <c r="GJ7" t="s">
        <v>2244</v>
      </c>
      <c r="GM7" t="s">
        <v>4000</v>
      </c>
      <c r="GN7">
        <v>12.048328</v>
      </c>
      <c r="GO7" t="s">
        <v>1822</v>
      </c>
      <c r="GP7">
        <v>0.19716800000000001</v>
      </c>
      <c r="GQ7" t="s">
        <v>1814</v>
      </c>
      <c r="GR7">
        <v>2025</v>
      </c>
      <c r="GS7" t="s">
        <v>3519</v>
      </c>
      <c r="GT7" s="6">
        <v>46080</v>
      </c>
      <c r="GU7">
        <v>5</v>
      </c>
      <c r="GV7">
        <v>8075000</v>
      </c>
      <c r="GW7">
        <v>100978</v>
      </c>
      <c r="GX7" t="s">
        <v>4001</v>
      </c>
      <c r="IG7" t="s">
        <v>3094</v>
      </c>
      <c r="II7">
        <v>-2.4245362661989844E-14</v>
      </c>
      <c r="IJ7">
        <v>-2.4245362661989844E-14</v>
      </c>
      <c r="IK7" t="s">
        <v>1814</v>
      </c>
      <c r="IL7">
        <v>2025</v>
      </c>
      <c r="IM7" t="s">
        <v>3095</v>
      </c>
      <c r="IN7" s="6">
        <v>45720</v>
      </c>
      <c r="IO7">
        <v>4</v>
      </c>
      <c r="IP7">
        <v>-2.4245362661989844E-14</v>
      </c>
      <c r="IQ7">
        <v>966124</v>
      </c>
      <c r="IR7" t="s">
        <v>3096</v>
      </c>
      <c r="MW7" t="s">
        <v>2247</v>
      </c>
      <c r="MX7" t="s">
        <v>1822</v>
      </c>
      <c r="MY7">
        <v>1.5324000000000001E-2</v>
      </c>
      <c r="MZ7">
        <v>2.682369</v>
      </c>
      <c r="NA7" t="s">
        <v>1827</v>
      </c>
      <c r="NB7">
        <v>2026</v>
      </c>
      <c r="NC7" t="s">
        <v>2357</v>
      </c>
      <c r="ND7" s="6">
        <v>46087</v>
      </c>
      <c r="NE7">
        <v>5</v>
      </c>
      <c r="NF7">
        <v>10439781</v>
      </c>
      <c r="NG7">
        <v>313657</v>
      </c>
      <c r="NH7" t="s">
        <v>2248</v>
      </c>
      <c r="NK7" t="s">
        <v>2575</v>
      </c>
      <c r="NL7">
        <v>0.31410300000000002</v>
      </c>
      <c r="NM7" t="s">
        <v>1822</v>
      </c>
      <c r="NN7">
        <v>0.79984900000000003</v>
      </c>
      <c r="NO7" t="s">
        <v>1810</v>
      </c>
      <c r="NP7">
        <v>2025</v>
      </c>
      <c r="NQ7" t="s">
        <v>2576</v>
      </c>
      <c r="NR7" s="6">
        <v>45840</v>
      </c>
      <c r="NS7">
        <v>5</v>
      </c>
      <c r="NT7">
        <v>4836247</v>
      </c>
      <c r="NU7">
        <v>136424</v>
      </c>
      <c r="NV7" t="s">
        <v>2577</v>
      </c>
      <c r="SQ7" t="s">
        <v>2292</v>
      </c>
      <c r="SS7">
        <v>-2.4245362661989844E-14</v>
      </c>
      <c r="ST7">
        <v>-2.4245362661989844E-14</v>
      </c>
      <c r="SU7" t="s">
        <v>1814</v>
      </c>
      <c r="SV7">
        <v>2024</v>
      </c>
      <c r="SW7" t="s">
        <v>2293</v>
      </c>
      <c r="SX7" s="6">
        <v>45455</v>
      </c>
      <c r="SY7">
        <v>3</v>
      </c>
      <c r="SZ7">
        <v>-2.4245362661989844E-14</v>
      </c>
      <c r="TA7">
        <v>823666</v>
      </c>
      <c r="TB7" t="s">
        <v>2294</v>
      </c>
    </row>
    <row r="8" spans="1:600" x14ac:dyDescent="0.25">
      <c r="AE8" t="s">
        <v>2050</v>
      </c>
      <c r="AG8">
        <v>-2.4245362661989844E-14</v>
      </c>
      <c r="AH8">
        <v>-2.4245362661989844E-14</v>
      </c>
      <c r="AI8" t="s">
        <v>1814</v>
      </c>
      <c r="AJ8">
        <v>2021</v>
      </c>
      <c r="AK8" t="s">
        <v>2051</v>
      </c>
      <c r="AL8" s="6">
        <v>44693</v>
      </c>
      <c r="AM8">
        <v>5</v>
      </c>
      <c r="AN8">
        <v>-2.4245362661989844E-14</v>
      </c>
      <c r="AO8">
        <v>100481</v>
      </c>
      <c r="AP8" t="s">
        <v>2052</v>
      </c>
      <c r="AS8" t="s">
        <v>4312</v>
      </c>
      <c r="AT8">
        <v>-2.4245362661989844E-14</v>
      </c>
      <c r="AV8">
        <v>-2.4245362661989844E-14</v>
      </c>
      <c r="AW8" t="s">
        <v>1814</v>
      </c>
      <c r="AX8">
        <v>2025</v>
      </c>
      <c r="AY8" t="s">
        <v>4309</v>
      </c>
      <c r="AZ8" s="6">
        <v>45775</v>
      </c>
      <c r="BA8">
        <v>5</v>
      </c>
      <c r="BB8">
        <v>-2.4245362661989844E-14</v>
      </c>
      <c r="BC8">
        <v>7281325</v>
      </c>
      <c r="BD8" t="s">
        <v>4313</v>
      </c>
      <c r="CM8" t="s">
        <v>2474</v>
      </c>
      <c r="CO8">
        <v>-2.4245362661989844E-14</v>
      </c>
      <c r="CP8">
        <v>-2.4245362661989844E-14</v>
      </c>
      <c r="CQ8" t="s">
        <v>1810</v>
      </c>
      <c r="CR8">
        <v>2023</v>
      </c>
      <c r="CS8" t="s">
        <v>2467</v>
      </c>
      <c r="CT8" s="6">
        <v>45202</v>
      </c>
      <c r="CU8">
        <v>5</v>
      </c>
      <c r="CV8">
        <v>-2.4245362661989844E-14</v>
      </c>
      <c r="CW8">
        <v>58890738</v>
      </c>
      <c r="CX8" t="s">
        <v>2475</v>
      </c>
      <c r="DQ8" t="s">
        <v>3819</v>
      </c>
      <c r="DS8">
        <v>-2.4245362661989844E-14</v>
      </c>
      <c r="DT8">
        <v>-2.4245362661989844E-14</v>
      </c>
      <c r="DU8" t="s">
        <v>1814</v>
      </c>
      <c r="DV8">
        <v>2023</v>
      </c>
      <c r="DW8" t="s">
        <v>3700</v>
      </c>
      <c r="DX8" s="6">
        <v>45222</v>
      </c>
      <c r="DY8">
        <v>5</v>
      </c>
      <c r="DZ8">
        <v>-2.4245362661989844E-14</v>
      </c>
      <c r="EA8">
        <v>112477</v>
      </c>
      <c r="EB8" t="s">
        <v>3820</v>
      </c>
      <c r="FY8" t="s">
        <v>2050</v>
      </c>
      <c r="GA8">
        <v>-2.4245362661989844E-14</v>
      </c>
      <c r="GB8">
        <v>-2.4245362661989844E-14</v>
      </c>
      <c r="GC8" t="s">
        <v>1814</v>
      </c>
      <c r="GD8">
        <v>2021</v>
      </c>
      <c r="GE8" t="s">
        <v>2051</v>
      </c>
      <c r="GF8" s="6">
        <v>44693</v>
      </c>
      <c r="GG8">
        <v>5</v>
      </c>
      <c r="GH8">
        <v>-2.4245362661989844E-14</v>
      </c>
      <c r="GI8">
        <v>100481</v>
      </c>
      <c r="GJ8" t="s">
        <v>2052</v>
      </c>
      <c r="GM8" t="s">
        <v>4002</v>
      </c>
      <c r="GN8">
        <v>11.936424000000001</v>
      </c>
      <c r="GP8">
        <v>-2.4245362661989844E-14</v>
      </c>
      <c r="GQ8" t="s">
        <v>1814</v>
      </c>
      <c r="GR8">
        <v>2025</v>
      </c>
      <c r="GS8" t="s">
        <v>3519</v>
      </c>
      <c r="GT8" s="6">
        <v>46080</v>
      </c>
      <c r="GU8">
        <v>5</v>
      </c>
      <c r="GV8">
        <v>8000000</v>
      </c>
      <c r="GW8">
        <v>8094743</v>
      </c>
      <c r="GX8" t="s">
        <v>4003</v>
      </c>
      <c r="IG8" t="s">
        <v>3097</v>
      </c>
      <c r="II8">
        <v>-2.4245362661989844E-14</v>
      </c>
      <c r="IJ8">
        <v>-2.4245362661989844E-14</v>
      </c>
      <c r="IK8" t="s">
        <v>1814</v>
      </c>
      <c r="IL8">
        <v>2024</v>
      </c>
      <c r="IM8" t="s">
        <v>3098</v>
      </c>
      <c r="IN8" s="6">
        <v>45754</v>
      </c>
      <c r="IO8">
        <v>4</v>
      </c>
      <c r="IP8">
        <v>-2.4245362661989844E-14</v>
      </c>
      <c r="IQ8">
        <v>17575315</v>
      </c>
      <c r="IR8" t="s">
        <v>3099</v>
      </c>
      <c r="MW8" t="s">
        <v>3865</v>
      </c>
      <c r="MX8" t="s">
        <v>1822</v>
      </c>
      <c r="MY8">
        <v>0.40750900000000001</v>
      </c>
      <c r="MZ8">
        <v>2.9932099999999999</v>
      </c>
      <c r="NA8" t="s">
        <v>1810</v>
      </c>
      <c r="NB8">
        <v>2025</v>
      </c>
      <c r="NC8" t="s">
        <v>3866</v>
      </c>
      <c r="ND8" s="6">
        <v>46041</v>
      </c>
      <c r="NE8">
        <v>5</v>
      </c>
      <c r="NF8">
        <v>9935097.9700000007</v>
      </c>
      <c r="NG8">
        <v>178387</v>
      </c>
      <c r="NH8" t="s">
        <v>3867</v>
      </c>
      <c r="NK8" t="s">
        <v>2613</v>
      </c>
      <c r="NL8">
        <v>0.20870900000000001</v>
      </c>
      <c r="NM8" t="s">
        <v>1822</v>
      </c>
      <c r="NN8">
        <v>0.80591100000000004</v>
      </c>
      <c r="NO8" t="s">
        <v>1823</v>
      </c>
      <c r="NP8">
        <v>2026</v>
      </c>
      <c r="NQ8" t="s">
        <v>2614</v>
      </c>
      <c r="NR8" s="6">
        <v>46036</v>
      </c>
      <c r="NS8">
        <v>5</v>
      </c>
      <c r="NT8">
        <v>3600021</v>
      </c>
      <c r="NU8">
        <v>194585</v>
      </c>
      <c r="NV8" t="s">
        <v>2615</v>
      </c>
    </row>
    <row r="9" spans="1:600" x14ac:dyDescent="0.25">
      <c r="AE9" t="s">
        <v>2272</v>
      </c>
      <c r="AG9">
        <v>-2.4245362661989844E-14</v>
      </c>
      <c r="AH9">
        <v>-2.4245362661989844E-14</v>
      </c>
      <c r="AI9" t="s">
        <v>1814</v>
      </c>
      <c r="AJ9">
        <v>2021</v>
      </c>
      <c r="AK9" t="s">
        <v>2273</v>
      </c>
      <c r="AL9" s="6">
        <v>44693</v>
      </c>
      <c r="AM9">
        <v>5</v>
      </c>
      <c r="AN9">
        <v>-2.4245362661989844E-14</v>
      </c>
      <c r="AO9">
        <v>101315</v>
      </c>
      <c r="AP9" t="s">
        <v>2274</v>
      </c>
      <c r="AS9" t="s">
        <v>2010</v>
      </c>
      <c r="AT9">
        <v>-2.4245362661989844E-14</v>
      </c>
      <c r="AV9">
        <v>-2.4245362661989844E-14</v>
      </c>
      <c r="AW9" t="s">
        <v>1814</v>
      </c>
      <c r="AX9">
        <v>2023</v>
      </c>
      <c r="AY9" t="s">
        <v>4314</v>
      </c>
      <c r="AZ9" s="6">
        <v>45496</v>
      </c>
      <c r="BA9">
        <v>5</v>
      </c>
      <c r="BB9">
        <v>-2.4245362661989844E-14</v>
      </c>
      <c r="BC9">
        <v>218252</v>
      </c>
      <c r="BD9" t="s">
        <v>2012</v>
      </c>
      <c r="CM9" t="s">
        <v>2476</v>
      </c>
      <c r="CO9">
        <v>-2.4245362661989844E-14</v>
      </c>
      <c r="CP9">
        <v>-2.4245362661989844E-14</v>
      </c>
      <c r="CQ9" t="s">
        <v>1806</v>
      </c>
      <c r="CR9">
        <v>2026</v>
      </c>
      <c r="CS9" t="s">
        <v>2477</v>
      </c>
      <c r="CT9" s="6">
        <v>45993</v>
      </c>
      <c r="CU9">
        <v>5</v>
      </c>
      <c r="CV9">
        <v>-2.4245362661989844E-14</v>
      </c>
      <c r="CW9">
        <v>14699050</v>
      </c>
      <c r="CX9" t="s">
        <v>2478</v>
      </c>
      <c r="DQ9" t="s">
        <v>3821</v>
      </c>
      <c r="DS9">
        <v>-2.4245362661989844E-14</v>
      </c>
      <c r="DT9">
        <v>-2.4245362661989844E-14</v>
      </c>
      <c r="DU9" t="s">
        <v>1814</v>
      </c>
      <c r="DV9">
        <v>2024</v>
      </c>
      <c r="DW9" t="s">
        <v>3700</v>
      </c>
      <c r="DX9" s="6">
        <v>45573</v>
      </c>
      <c r="DY9">
        <v>5</v>
      </c>
      <c r="DZ9">
        <v>-2.4245362661989844E-14</v>
      </c>
      <c r="EA9">
        <v>26384994</v>
      </c>
      <c r="EB9" t="s">
        <v>3822</v>
      </c>
      <c r="FY9" t="s">
        <v>2652</v>
      </c>
      <c r="GA9">
        <v>-2.4245362661989844E-14</v>
      </c>
      <c r="GB9">
        <v>-2.4245362661989844E-14</v>
      </c>
      <c r="GC9" t="s">
        <v>1814</v>
      </c>
      <c r="GD9">
        <v>2021</v>
      </c>
      <c r="GE9" t="s">
        <v>2653</v>
      </c>
      <c r="GF9" s="6">
        <v>44693</v>
      </c>
      <c r="GG9">
        <v>5</v>
      </c>
      <c r="GH9">
        <v>-2.4245362661989844E-14</v>
      </c>
      <c r="GI9">
        <v>54282724</v>
      </c>
      <c r="GJ9" t="s">
        <v>2654</v>
      </c>
      <c r="GM9" t="s">
        <v>4004</v>
      </c>
      <c r="GN9">
        <v>4.9610760000000003</v>
      </c>
      <c r="GO9" t="s">
        <v>1822</v>
      </c>
      <c r="GP9">
        <v>2.6425800000000002</v>
      </c>
      <c r="GQ9" t="s">
        <v>1814</v>
      </c>
      <c r="GR9">
        <v>2025</v>
      </c>
      <c r="GS9" t="s">
        <v>3519</v>
      </c>
      <c r="GT9" s="6">
        <v>46080</v>
      </c>
      <c r="GU9">
        <v>5</v>
      </c>
      <c r="GV9">
        <v>3325000</v>
      </c>
      <c r="GW9">
        <v>9640935</v>
      </c>
      <c r="GX9" t="s">
        <v>4005</v>
      </c>
      <c r="MW9" t="s">
        <v>2203</v>
      </c>
      <c r="MX9" t="s">
        <v>1822</v>
      </c>
      <c r="MY9">
        <v>1.6922E-2</v>
      </c>
      <c r="MZ9">
        <v>0.91905300000000001</v>
      </c>
      <c r="NA9" t="s">
        <v>1827</v>
      </c>
      <c r="NB9">
        <v>2025</v>
      </c>
      <c r="NC9" t="s">
        <v>2411</v>
      </c>
      <c r="ND9" s="6">
        <v>46010</v>
      </c>
      <c r="NE9">
        <v>5</v>
      </c>
      <c r="NF9">
        <v>3048498</v>
      </c>
      <c r="NG9">
        <v>59907412</v>
      </c>
      <c r="NH9" t="s">
        <v>2205</v>
      </c>
      <c r="NK9" t="s">
        <v>1840</v>
      </c>
      <c r="NL9">
        <v>0.177201</v>
      </c>
      <c r="NM9" t="s">
        <v>1822</v>
      </c>
      <c r="NN9">
        <v>6.6923999999999997E-2</v>
      </c>
      <c r="NO9" t="s">
        <v>1806</v>
      </c>
      <c r="NP9">
        <v>2025</v>
      </c>
      <c r="NQ9" t="s">
        <v>1841</v>
      </c>
      <c r="NR9" s="6">
        <v>45820</v>
      </c>
      <c r="NS9">
        <v>5</v>
      </c>
      <c r="NT9">
        <v>2728358</v>
      </c>
      <c r="NU9">
        <v>12129192</v>
      </c>
      <c r="NV9" t="s">
        <v>1842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778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779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780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781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782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783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784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785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786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787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788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789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790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791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792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793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794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795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796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797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798</v>
      </c>
      <c r="AE2" s="3" t="s">
        <v>627</v>
      </c>
      <c r="BI2" s="3" t="s">
        <v>74</v>
      </c>
      <c r="CM2" s="3" t="s">
        <v>799</v>
      </c>
      <c r="DQ2" s="3" t="s">
        <v>357</v>
      </c>
      <c r="EU2" s="3" t="s">
        <v>800</v>
      </c>
      <c r="FY2" s="3" t="s">
        <v>511</v>
      </c>
      <c r="HC2" s="3" t="s">
        <v>801</v>
      </c>
      <c r="IG2" s="3" t="s">
        <v>802</v>
      </c>
      <c r="JK2" s="3" t="s">
        <v>803</v>
      </c>
      <c r="KO2" s="3" t="s">
        <v>804</v>
      </c>
      <c r="LS2" s="3" t="s">
        <v>805</v>
      </c>
      <c r="MW2" s="3" t="s">
        <v>431</v>
      </c>
      <c r="OA2" s="3" t="s">
        <v>728</v>
      </c>
      <c r="PE2" s="3" t="s">
        <v>806</v>
      </c>
      <c r="QI2" s="3" t="s">
        <v>807</v>
      </c>
      <c r="RM2" s="3" t="s">
        <v>808</v>
      </c>
      <c r="SQ2" s="3" t="s">
        <v>173</v>
      </c>
      <c r="TU2" s="3" t="s">
        <v>809</v>
      </c>
      <c r="UY2" s="3" t="s">
        <v>810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_xll.BDS("FRBA US Equity","SUPPLY_CHAIN_SUPPLIERS_ALL_DATA")</f>
        <v>#N/A N/A</v>
      </c>
      <c r="O5" t="str">
        <f>_xll.BDS("FRBA US Equity","SUPPLY_CHAIN_CUSTOMERS_ALL_DATA")</f>
        <v>#N/A N/A</v>
      </c>
      <c r="AE5" t="str">
        <f>_xll.BDS("BPFH US Equity","SUPPLY_CHAIN_SUPPLIERS_ALL_DATA")</f>
        <v>#N/A N/A</v>
      </c>
      <c r="AS5" t="str">
        <f>_xll.BDS("BPFH US Equity","SUPPLY_CHAIN_CUSTOMERS_ALL_DATA")</f>
        <v>#N/A N/A</v>
      </c>
      <c r="BI5" t="str">
        <f>_xll.BDS("FBA US Equity","SUPPLY_CHAIN_SUPPLIERS_ALL_DATA")</f>
        <v>#N/A N/A</v>
      </c>
      <c r="BW5" t="str">
        <f>_xll.BDS("FBA US Equity","SUPPLY_CHAIN_CUSTOMERS_ALL_DATA")</f>
        <v>#N/A N/A</v>
      </c>
      <c r="CM5" t="str">
        <f>_xll.BDS("UVSP US Equity","SUPPLY_CHAIN_SUPPLIERS_ALL_DATA")</f>
        <v>#N/A N/A</v>
      </c>
      <c r="DA5" t="str">
        <f>_xll.BDS("UVSP US Equity","SUPPLY_CHAIN_CUSTOMERS_ALL_DATA")</f>
        <v>#N/A N/A</v>
      </c>
      <c r="DQ5" t="str">
        <f>_xll.BDS("1740293D US Equity","SUPPLY_CHAIN_SUPPLIERS_ALL_DATA")</f>
        <v>#N/A N/A</v>
      </c>
      <c r="EE5" t="str">
        <f>_xll.BDS("1740293D US Equity","SUPPLY_CHAIN_CUSTOMERS_ALL_DATA")</f>
        <v>#N/A N/A</v>
      </c>
      <c r="EU5" t="str">
        <f>_xll.BDS("PFE US Equity","SUPPLY_CHAIN_SUPPLIERS_ALL_DATA","cols=12;rows=5")</f>
        <v>BNTX US Equity</v>
      </c>
      <c r="EV5" t="s">
        <v>1822</v>
      </c>
      <c r="EW5">
        <v>73</v>
      </c>
      <c r="EX5">
        <v>12.187704999999999</v>
      </c>
      <c r="EY5" t="s">
        <v>1814</v>
      </c>
      <c r="EZ5">
        <v>2024</v>
      </c>
      <c r="FA5" t="s">
        <v>2366</v>
      </c>
      <c r="FB5" s="6">
        <v>45726</v>
      </c>
      <c r="FC5">
        <v>5</v>
      </c>
      <c r="FD5">
        <v>544064265</v>
      </c>
      <c r="FE5">
        <v>65839686</v>
      </c>
      <c r="FF5" t="s">
        <v>2367</v>
      </c>
      <c r="FI5" t="str">
        <f>_xll.BDS("PFE US Equity","SUPPLY_CHAIN_CUSTOMERS_ALL_DATA","cols=12;rows=5")</f>
        <v>MCK US Equity</v>
      </c>
      <c r="FJ5">
        <v>25</v>
      </c>
      <c r="FK5" t="s">
        <v>1822</v>
      </c>
      <c r="FL5">
        <v>4.0761390000000004</v>
      </c>
      <c r="FM5" t="s">
        <v>1814</v>
      </c>
      <c r="FN5">
        <v>2025</v>
      </c>
      <c r="FO5" t="s">
        <v>2241</v>
      </c>
      <c r="FP5" s="6">
        <v>46079</v>
      </c>
      <c r="FQ5">
        <v>5</v>
      </c>
      <c r="FR5">
        <v>3911187456</v>
      </c>
      <c r="FS5">
        <v>154936</v>
      </c>
      <c r="FT5" t="s">
        <v>1875</v>
      </c>
      <c r="FY5" t="str">
        <f>_xll.BDS("DHR US Equity","SUPPLY_CHAIN_SUPPLIERS_ALL_DATA","cols=12;rows=5")</f>
        <v>FLEX US Equity</v>
      </c>
      <c r="FZ5" t="s">
        <v>1822</v>
      </c>
      <c r="GA5">
        <v>1.165869</v>
      </c>
      <c r="GB5">
        <v>2.8864939999999999</v>
      </c>
      <c r="GC5" t="s">
        <v>1810</v>
      </c>
      <c r="GD5">
        <v>2025</v>
      </c>
      <c r="GE5" t="s">
        <v>1882</v>
      </c>
      <c r="GF5" s="6">
        <v>45763</v>
      </c>
      <c r="GG5">
        <v>5</v>
      </c>
      <c r="GH5">
        <v>76434368</v>
      </c>
      <c r="GI5">
        <v>136547</v>
      </c>
      <c r="GJ5" t="s">
        <v>1883</v>
      </c>
      <c r="GM5" t="str">
        <f>_xll.BDS("DHR US Equity","SUPPLY_CHAIN_CUSTOMERS_ALL_DATA","cols=12;rows=5")</f>
        <v>CDW US Equity</v>
      </c>
      <c r="GN5">
        <v>0.25350099999999998</v>
      </c>
      <c r="GO5" t="s">
        <v>1822</v>
      </c>
      <c r="GP5">
        <v>0.35698299999999999</v>
      </c>
      <c r="GQ5" t="s">
        <v>1806</v>
      </c>
      <c r="GR5">
        <v>2025</v>
      </c>
      <c r="GS5" t="s">
        <v>1841</v>
      </c>
      <c r="GT5" s="6">
        <v>45820</v>
      </c>
      <c r="GU5">
        <v>5</v>
      </c>
      <c r="GV5">
        <v>14553483</v>
      </c>
      <c r="GW5">
        <v>12129192</v>
      </c>
      <c r="GX5" t="s">
        <v>1842</v>
      </c>
      <c r="HC5" t="str">
        <f>_xll.BDS("CAC US Equity","SUPPLY_CHAIN_SUPPLIERS_ALL_DATA")</f>
        <v>#N/A N/A</v>
      </c>
      <c r="HQ5" t="str">
        <f>_xll.BDS("CAC US Equity","SUPPLY_CHAIN_CUSTOMERS_ALL_DATA")</f>
        <v>#N/A N/A</v>
      </c>
      <c r="IG5" t="str">
        <f>_xll.BDS("ASYS US Equity","SUPPLY_CHAIN_SUPPLIERS_ALL_DATA","cols=12;rows=5")</f>
        <v>ES US Equity</v>
      </c>
      <c r="II5">
        <v>-2.4245362661989844E-14</v>
      </c>
      <c r="IJ5">
        <v>-2.4245362661989844E-14</v>
      </c>
      <c r="IK5" t="s">
        <v>1814</v>
      </c>
      <c r="IL5">
        <v>2021</v>
      </c>
      <c r="IM5" t="s">
        <v>3273</v>
      </c>
      <c r="IN5" s="6">
        <v>44693</v>
      </c>
      <c r="IO5">
        <v>5</v>
      </c>
      <c r="IP5">
        <v>-2.4245362661989844E-14</v>
      </c>
      <c r="IQ5">
        <v>101086</v>
      </c>
      <c r="IR5" t="s">
        <v>3274</v>
      </c>
      <c r="IU5" t="str">
        <f>_xll.BDS("ASYS US Equity","SUPPLY_CHAIN_CUSTOMERS_ALL_DATA","cols=12;rows=5")</f>
        <v>2426 TT Equity</v>
      </c>
      <c r="IV5">
        <v>-2.4245362661989844E-14</v>
      </c>
      <c r="IX5">
        <v>-2.4245362661989844E-14</v>
      </c>
      <c r="IY5" t="s">
        <v>1814</v>
      </c>
      <c r="IZ5">
        <v>2023</v>
      </c>
      <c r="JA5" t="s">
        <v>3702</v>
      </c>
      <c r="JB5" s="6">
        <v>45422</v>
      </c>
      <c r="JC5">
        <v>5</v>
      </c>
      <c r="JD5">
        <v>-2.4245362661989844E-14</v>
      </c>
      <c r="JE5">
        <v>330897</v>
      </c>
      <c r="JF5" t="s">
        <v>3703</v>
      </c>
      <c r="JK5" t="str">
        <f>_xll.BDS("BCIC US Equity","SUPPLY_CHAIN_SUPPLIERS_ALL_DATA")</f>
        <v>#N/A N/A</v>
      </c>
      <c r="JY5" t="str">
        <f>_xll.BDS("BCIC US Equity","SUPPLY_CHAIN_CUSTOMERS_ALL_DATA")</f>
        <v>#N/A N/A</v>
      </c>
      <c r="KO5" t="str">
        <f>_xll.BDS("CTRE US Equity","SUPPLY_CHAIN_SUPPLIERS_ALL_DATA")</f>
        <v>#N/A N/A</v>
      </c>
      <c r="LC5" t="str">
        <f>_xll.BDS("CTRE US Equity","SUPPLY_CHAIN_CUSTOMERS_ALL_DATA","cols=12;rows=5")</f>
        <v>ENSG US Equity</v>
      </c>
      <c r="LD5">
        <v>16.626740000000002</v>
      </c>
      <c r="LE5" t="s">
        <v>1893</v>
      </c>
      <c r="LF5">
        <v>32.688290000000002</v>
      </c>
      <c r="LG5" t="s">
        <v>1810</v>
      </c>
      <c r="LH5">
        <v>2025</v>
      </c>
      <c r="LI5" t="s">
        <v>4190</v>
      </c>
      <c r="LJ5" s="6">
        <v>45966</v>
      </c>
      <c r="LK5">
        <v>5</v>
      </c>
      <c r="LL5">
        <v>22021120</v>
      </c>
      <c r="LM5">
        <v>11947803</v>
      </c>
      <c r="LN5" t="s">
        <v>4191</v>
      </c>
      <c r="LS5" t="str">
        <f>_xll.BDS("CZNC US Equity","SUPPLY_CHAIN_SUPPLIERS_ALL_DATA","cols=12;rows=1")</f>
        <v>QTWO US Equity</v>
      </c>
      <c r="LU5">
        <v>-2.4245362661989844E-14</v>
      </c>
      <c r="LV5">
        <v>-2.4245362661989844E-14</v>
      </c>
      <c r="LW5" t="s">
        <v>1814</v>
      </c>
      <c r="LX5">
        <v>2023</v>
      </c>
      <c r="LY5" t="s">
        <v>3340</v>
      </c>
      <c r="LZ5" s="6">
        <v>45189</v>
      </c>
      <c r="MA5">
        <v>1</v>
      </c>
      <c r="MB5">
        <v>-2.4245362661989844E-14</v>
      </c>
      <c r="MC5">
        <v>39018672</v>
      </c>
      <c r="MD5" t="s">
        <v>3341</v>
      </c>
      <c r="MG5" t="str">
        <f>_xll.BDS("CZNC US Equity","SUPPLY_CHAIN_CUSTOMERS_ALL_DATA")</f>
        <v>#N/A N/A</v>
      </c>
      <c r="MW5" t="str">
        <f>_xll.BDS("PEBO US Equity","SUPPLY_CHAIN_SUPPLIERS_ALL_DATA")</f>
        <v>#N/A N/A</v>
      </c>
      <c r="NK5" t="str">
        <f>_xll.BDS("PEBO US Equity","SUPPLY_CHAIN_CUSTOMERS_ALL_DATA")</f>
        <v>#N/A N/A</v>
      </c>
      <c r="OA5" t="str">
        <f>_xll.BDS("HTLF US Equity","SUPPLY_CHAIN_SUPPLIERS_ALL_DATA")</f>
        <v>INFA US Equity</v>
      </c>
      <c r="OO5" t="str">
        <f>_xll.BDS("HTLF US Equity","SUPPLY_CHAIN_CUSTOMERS_ALL_DATA")</f>
        <v>#N/A N/A</v>
      </c>
      <c r="PE5" t="str">
        <f>_xll.BDS("VSH US Equity","SUPPLY_CHAIN_SUPPLIERS_ALL_DATA","cols=12;rows=5")</f>
        <v>TSEM IT Equity</v>
      </c>
      <c r="PF5" t="s">
        <v>1822</v>
      </c>
      <c r="PG5">
        <v>1.5046489999999999</v>
      </c>
      <c r="PH5">
        <v>1.030314</v>
      </c>
      <c r="PI5" t="s">
        <v>1823</v>
      </c>
      <c r="PJ5">
        <v>2025</v>
      </c>
      <c r="PK5" t="s">
        <v>2416</v>
      </c>
      <c r="PL5" s="6">
        <v>46014</v>
      </c>
      <c r="PM5">
        <v>5</v>
      </c>
      <c r="PN5">
        <v>5953400</v>
      </c>
      <c r="PO5">
        <v>159009</v>
      </c>
      <c r="PP5" t="s">
        <v>2417</v>
      </c>
      <c r="PS5" t="str">
        <f>_xll.BDS("VSH US Equity","SUPPLY_CHAIN_CUSTOMERS_ALL_DATA","cols=12;rows=5")</f>
        <v>BRK/A US Equity</v>
      </c>
      <c r="PT5">
        <v>6.3165870000000002</v>
      </c>
      <c r="PU5" t="s">
        <v>1822</v>
      </c>
      <c r="PV5">
        <v>6.9639999999999994E-2</v>
      </c>
      <c r="PW5" t="s">
        <v>1810</v>
      </c>
      <c r="PX5">
        <v>2025</v>
      </c>
      <c r="PY5" t="s">
        <v>2321</v>
      </c>
      <c r="PZ5" s="6">
        <v>46009</v>
      </c>
      <c r="QA5">
        <v>5</v>
      </c>
      <c r="QB5">
        <v>46388808</v>
      </c>
      <c r="QC5">
        <v>100193</v>
      </c>
      <c r="QD5" t="s">
        <v>2049</v>
      </c>
      <c r="QI5" t="str">
        <f>_xll.BDS("170874Q US Equity","SUPPLY_CHAIN_SUPPLIERS_ALL_DATA")</f>
        <v>#N/A N/A</v>
      </c>
      <c r="QW5" t="str">
        <f>_xll.BDS("170874Q US Equity","SUPPLY_CHAIN_CUSTOMERS_ALL_DATA")</f>
        <v>#N/A N/A</v>
      </c>
      <c r="RM5" t="str">
        <f>_xll.BDS("BURCA US Equity","SUPPLY_CHAIN_SUPPLIERS_ALL_DATA")</f>
        <v>#N/A N/A</v>
      </c>
      <c r="SA5" t="str">
        <f>_xll.BDS("BURCA US Equity","SUPPLY_CHAIN_CUSTOMERS_ALL_DATA")</f>
        <v>#N/A N/A</v>
      </c>
      <c r="SQ5" t="str">
        <f>_xll.BDS("WBS US Equity","SUPPLY_CHAIN_SUPPLIERS_ALL_DATA","cols=12;rows=2")</f>
        <v>FISV US Equity</v>
      </c>
      <c r="SS5">
        <v>-2.4245362661989844E-14</v>
      </c>
      <c r="ST5">
        <v>-2.4245362661989844E-14</v>
      </c>
      <c r="SU5" t="s">
        <v>1831</v>
      </c>
      <c r="SV5">
        <v>2023</v>
      </c>
      <c r="SW5" t="s">
        <v>1910</v>
      </c>
      <c r="SX5" s="6">
        <v>45245</v>
      </c>
      <c r="SY5">
        <v>2</v>
      </c>
      <c r="SZ5">
        <v>-2.4245362661989844E-14</v>
      </c>
      <c r="TA5">
        <v>103882</v>
      </c>
      <c r="TB5" t="s">
        <v>1911</v>
      </c>
      <c r="TE5" t="str">
        <f>_xll.BDS("WBS US Equity","SUPPLY_CHAIN_CUSTOMERS_ALL_DATA","cols=12;rows=1")</f>
        <v>CNXN US Equity</v>
      </c>
      <c r="TF5">
        <v>-2.4245362661989844E-14</v>
      </c>
      <c r="TH5">
        <v>-2.4245362661989844E-14</v>
      </c>
      <c r="TI5" t="s">
        <v>1806</v>
      </c>
      <c r="TJ5">
        <v>2025</v>
      </c>
      <c r="TK5" t="s">
        <v>2086</v>
      </c>
      <c r="TL5" s="6">
        <v>45799</v>
      </c>
      <c r="TM5">
        <v>1</v>
      </c>
      <c r="TN5">
        <v>-2.4245362661989844E-14</v>
      </c>
      <c r="TO5">
        <v>313021</v>
      </c>
      <c r="TP5" t="s">
        <v>2087</v>
      </c>
      <c r="TU5" t="str">
        <f>_xll.BDS("KTOS US Equity","SUPPLY_CHAIN_SUPPLIERS_ALL_DATA")</f>
        <v>EMKR US Equity</v>
      </c>
      <c r="UI5" t="str">
        <f>_xll.BDS("KTOS US Equity","SUPPLY_CHAIN_CUSTOMERS_ALL_DATA")</f>
        <v>3352Z US Equity</v>
      </c>
      <c r="UY5" t="str">
        <f>_xll.BDS("BMTC US Equity","SUPPLY_CHAIN_SUPPLIERS_ALL_DATA")</f>
        <v>#N/A N/A</v>
      </c>
      <c r="VM5" t="str">
        <f>_xll.BDS("BMTC US Equity","SUPPLY_CHAIN_CUSTOMERS_ALL_DATA")</f>
        <v>#N/A N/A</v>
      </c>
    </row>
    <row r="6" spans="1:600" x14ac:dyDescent="0.25">
      <c r="EU6" t="s">
        <v>207</v>
      </c>
      <c r="EV6" t="s">
        <v>1822</v>
      </c>
      <c r="EW6">
        <v>0.22900000000000001</v>
      </c>
      <c r="EX6">
        <v>1.2800659999999999</v>
      </c>
      <c r="EY6" t="s">
        <v>1827</v>
      </c>
      <c r="EZ6">
        <v>2025</v>
      </c>
      <c r="FA6" t="s">
        <v>2368</v>
      </c>
      <c r="FB6" s="6">
        <v>45848</v>
      </c>
      <c r="FC6">
        <v>5</v>
      </c>
      <c r="FD6">
        <v>36417872</v>
      </c>
      <c r="FE6">
        <v>101752</v>
      </c>
      <c r="FF6" t="s">
        <v>2369</v>
      </c>
      <c r="FI6" t="s">
        <v>1872</v>
      </c>
      <c r="FJ6">
        <v>16</v>
      </c>
      <c r="FK6" t="s">
        <v>1822</v>
      </c>
      <c r="FL6">
        <v>3.190922</v>
      </c>
      <c r="FM6" t="s">
        <v>1814</v>
      </c>
      <c r="FN6">
        <v>2025</v>
      </c>
      <c r="FO6" t="s">
        <v>2241</v>
      </c>
      <c r="FP6" s="6">
        <v>46079</v>
      </c>
      <c r="FQ6">
        <v>5</v>
      </c>
      <c r="FR6">
        <v>2503160064</v>
      </c>
      <c r="FS6">
        <v>156969</v>
      </c>
      <c r="FT6" t="s">
        <v>1874</v>
      </c>
      <c r="FY6" t="s">
        <v>1884</v>
      </c>
      <c r="FZ6" t="s">
        <v>1822</v>
      </c>
      <c r="GA6">
        <v>0.147895</v>
      </c>
      <c r="GB6">
        <v>0.47978500000000002</v>
      </c>
      <c r="GC6" t="s">
        <v>1810</v>
      </c>
      <c r="GD6">
        <v>2025</v>
      </c>
      <c r="GE6" t="s">
        <v>1885</v>
      </c>
      <c r="GF6" s="6">
        <v>45867</v>
      </c>
      <c r="GG6">
        <v>5</v>
      </c>
      <c r="GH6">
        <v>11577221</v>
      </c>
      <c r="GI6">
        <v>117092</v>
      </c>
      <c r="GJ6" t="s">
        <v>1886</v>
      </c>
      <c r="GM6" t="s">
        <v>1849</v>
      </c>
      <c r="GN6">
        <v>0.22051499999999999</v>
      </c>
      <c r="GO6" t="s">
        <v>1822</v>
      </c>
      <c r="GP6">
        <v>9.3169000000000002E-2</v>
      </c>
      <c r="GQ6" t="s">
        <v>1827</v>
      </c>
      <c r="GR6">
        <v>2025</v>
      </c>
      <c r="GS6" t="s">
        <v>1850</v>
      </c>
      <c r="GT6" s="6">
        <v>46056</v>
      </c>
      <c r="GU6">
        <v>5</v>
      </c>
      <c r="GV6">
        <v>15078834</v>
      </c>
      <c r="GW6">
        <v>1499717</v>
      </c>
      <c r="GX6" t="s">
        <v>1851</v>
      </c>
      <c r="IG6" t="s">
        <v>3275</v>
      </c>
      <c r="II6">
        <v>-2.4245362661989844E-14</v>
      </c>
      <c r="IJ6">
        <v>-2.4245362661989844E-14</v>
      </c>
      <c r="IK6" t="s">
        <v>1814</v>
      </c>
      <c r="IL6">
        <v>2021</v>
      </c>
      <c r="IM6" t="s">
        <v>3276</v>
      </c>
      <c r="IN6" s="6">
        <v>44693</v>
      </c>
      <c r="IO6">
        <v>5</v>
      </c>
      <c r="IP6">
        <v>-2.4245362661989844E-14</v>
      </c>
      <c r="IQ6">
        <v>115724</v>
      </c>
      <c r="IR6" t="s">
        <v>3277</v>
      </c>
      <c r="IU6" t="s">
        <v>3704</v>
      </c>
      <c r="IV6">
        <v>-2.4245362661989844E-14</v>
      </c>
      <c r="IX6">
        <v>-2.4245362661989844E-14</v>
      </c>
      <c r="IY6" t="s">
        <v>1814</v>
      </c>
      <c r="IZ6">
        <v>2021</v>
      </c>
      <c r="JA6" t="s">
        <v>3705</v>
      </c>
      <c r="JB6" s="6">
        <v>44705</v>
      </c>
      <c r="JC6">
        <v>5</v>
      </c>
      <c r="JD6">
        <v>-2.4245362661989844E-14</v>
      </c>
      <c r="JE6">
        <v>25813930</v>
      </c>
      <c r="JF6" t="s">
        <v>3706</v>
      </c>
      <c r="LC6" t="s">
        <v>4192</v>
      </c>
      <c r="LD6">
        <v>8.8981899999999996</v>
      </c>
      <c r="LE6" t="s">
        <v>1893</v>
      </c>
      <c r="LF6">
        <v>5.9547860000000004</v>
      </c>
      <c r="LG6" t="s">
        <v>1806</v>
      </c>
      <c r="LH6">
        <v>2025</v>
      </c>
      <c r="LI6" t="s">
        <v>4193</v>
      </c>
      <c r="LJ6" s="6">
        <v>45806</v>
      </c>
      <c r="LK6">
        <v>5</v>
      </c>
      <c r="LL6">
        <v>8597520</v>
      </c>
      <c r="LM6">
        <v>37346086</v>
      </c>
      <c r="LN6" t="s">
        <v>4194</v>
      </c>
      <c r="PE6" t="s">
        <v>2717</v>
      </c>
      <c r="PF6" t="s">
        <v>1949</v>
      </c>
      <c r="PG6">
        <v>1.0810869999999999</v>
      </c>
      <c r="PH6">
        <v>2.1342460000000001</v>
      </c>
      <c r="PI6" t="s">
        <v>1810</v>
      </c>
      <c r="PJ6">
        <v>2025</v>
      </c>
      <c r="PK6" t="s">
        <v>2718</v>
      </c>
      <c r="PL6" s="6">
        <v>46071</v>
      </c>
      <c r="PM6">
        <v>5</v>
      </c>
      <c r="PN6">
        <v>1510537.74</v>
      </c>
      <c r="PO6">
        <v>307335</v>
      </c>
      <c r="PP6" t="s">
        <v>2719</v>
      </c>
      <c r="PS6" t="s">
        <v>2025</v>
      </c>
      <c r="PT6">
        <v>5.0365650000000004</v>
      </c>
      <c r="PU6" t="s">
        <v>1822</v>
      </c>
      <c r="PV6">
        <v>0.53783800000000004</v>
      </c>
      <c r="PW6" t="s">
        <v>1810</v>
      </c>
      <c r="PX6">
        <v>2025</v>
      </c>
      <c r="PY6" t="s">
        <v>2321</v>
      </c>
      <c r="PZ6" s="6">
        <v>46009</v>
      </c>
      <c r="QA6">
        <v>5</v>
      </c>
      <c r="QB6">
        <v>36988368</v>
      </c>
      <c r="QC6">
        <v>100115</v>
      </c>
      <c r="QD6" t="s">
        <v>2027</v>
      </c>
      <c r="SQ6" t="s">
        <v>2238</v>
      </c>
      <c r="SS6">
        <v>-2.4245362661989844E-14</v>
      </c>
      <c r="ST6">
        <v>-2.4245362661989844E-14</v>
      </c>
      <c r="SU6" t="s">
        <v>1806</v>
      </c>
      <c r="SV6">
        <v>2024</v>
      </c>
      <c r="SW6" t="s">
        <v>2239</v>
      </c>
      <c r="SX6" s="6">
        <v>45432</v>
      </c>
      <c r="SY6">
        <v>2</v>
      </c>
      <c r="SZ6">
        <v>-2.4245362661989844E-14</v>
      </c>
      <c r="TA6">
        <v>1750153</v>
      </c>
      <c r="TB6" t="s">
        <v>2240</v>
      </c>
    </row>
    <row r="7" spans="1:600" x14ac:dyDescent="0.25">
      <c r="EU7" t="s">
        <v>2370</v>
      </c>
      <c r="EV7" t="s">
        <v>1822</v>
      </c>
      <c r="EW7">
        <v>3.7231350000000001</v>
      </c>
      <c r="EX7">
        <v>0.80518199999999995</v>
      </c>
      <c r="EY7" t="s">
        <v>1810</v>
      </c>
      <c r="EZ7">
        <v>2025</v>
      </c>
      <c r="FA7" t="s">
        <v>2371</v>
      </c>
      <c r="FB7" s="6">
        <v>46069</v>
      </c>
      <c r="FC7">
        <v>5</v>
      </c>
      <c r="FD7">
        <v>33600181.100000001</v>
      </c>
      <c r="FE7">
        <v>153809</v>
      </c>
      <c r="FF7" t="s">
        <v>2372</v>
      </c>
      <c r="FI7" t="s">
        <v>1474</v>
      </c>
      <c r="FJ7">
        <v>13</v>
      </c>
      <c r="FK7" t="s">
        <v>1822</v>
      </c>
      <c r="FL7">
        <v>3.4525320000000002</v>
      </c>
      <c r="FM7" t="s">
        <v>1814</v>
      </c>
      <c r="FN7">
        <v>2025</v>
      </c>
      <c r="FO7" t="s">
        <v>2241</v>
      </c>
      <c r="FP7" s="6">
        <v>46079</v>
      </c>
      <c r="FQ7">
        <v>5</v>
      </c>
      <c r="FR7">
        <v>2033817472</v>
      </c>
      <c r="FS7">
        <v>102782</v>
      </c>
      <c r="FT7" t="s">
        <v>2035</v>
      </c>
      <c r="FY7" t="s">
        <v>1887</v>
      </c>
      <c r="FZ7" t="s">
        <v>1822</v>
      </c>
      <c r="GA7">
        <v>0.32230900000000001</v>
      </c>
      <c r="GB7">
        <v>0.38473400000000002</v>
      </c>
      <c r="GC7" t="s">
        <v>1810</v>
      </c>
      <c r="GD7">
        <v>2025</v>
      </c>
      <c r="GE7" t="s">
        <v>1888</v>
      </c>
      <c r="GF7" s="6">
        <v>45891</v>
      </c>
      <c r="GG7">
        <v>5</v>
      </c>
      <c r="GH7">
        <v>9283621</v>
      </c>
      <c r="GI7">
        <v>100097</v>
      </c>
      <c r="GJ7" t="s">
        <v>1889</v>
      </c>
      <c r="GM7" t="s">
        <v>1852</v>
      </c>
      <c r="GN7">
        <v>8.1423999999999996E-2</v>
      </c>
      <c r="GO7" t="s">
        <v>1822</v>
      </c>
      <c r="GP7">
        <v>0.194387</v>
      </c>
      <c r="GQ7" t="s">
        <v>1810</v>
      </c>
      <c r="GR7">
        <v>2025</v>
      </c>
      <c r="GS7" t="s">
        <v>1853</v>
      </c>
      <c r="GT7" s="6">
        <v>45694</v>
      </c>
      <c r="GU7">
        <v>5</v>
      </c>
      <c r="GV7">
        <v>5430637.3600000003</v>
      </c>
      <c r="GW7">
        <v>111827</v>
      </c>
      <c r="GX7" t="s">
        <v>1854</v>
      </c>
      <c r="IG7" t="s">
        <v>2863</v>
      </c>
      <c r="II7">
        <v>-2.4245362661989844E-14</v>
      </c>
      <c r="IJ7">
        <v>-2.4245362661989844E-14</v>
      </c>
      <c r="IK7" t="s">
        <v>1814</v>
      </c>
      <c r="IL7">
        <v>2021</v>
      </c>
      <c r="IM7" t="s">
        <v>2864</v>
      </c>
      <c r="IN7" s="6">
        <v>44693</v>
      </c>
      <c r="IO7">
        <v>5</v>
      </c>
      <c r="IP7">
        <v>-2.4245362661989844E-14</v>
      </c>
      <c r="IQ7">
        <v>179563</v>
      </c>
      <c r="IR7" t="s">
        <v>2865</v>
      </c>
      <c r="IU7" t="s">
        <v>3707</v>
      </c>
      <c r="IV7">
        <v>-2.4245362661989844E-14</v>
      </c>
      <c r="IX7">
        <v>-2.4245362661989844E-14</v>
      </c>
      <c r="IY7" t="s">
        <v>1971</v>
      </c>
      <c r="IZ7">
        <v>2023</v>
      </c>
      <c r="JA7" t="s">
        <v>3708</v>
      </c>
      <c r="JB7" s="6">
        <v>45167</v>
      </c>
      <c r="JC7">
        <v>5</v>
      </c>
      <c r="JD7">
        <v>-2.4245362661989844E-14</v>
      </c>
      <c r="JE7">
        <v>34540486</v>
      </c>
      <c r="JF7" t="s">
        <v>3709</v>
      </c>
      <c r="LC7" t="s">
        <v>4195</v>
      </c>
      <c r="LD7">
        <v>4.4490949999999998</v>
      </c>
      <c r="LF7">
        <v>-2.4245362661989844E-14</v>
      </c>
      <c r="LG7" t="s">
        <v>1806</v>
      </c>
      <c r="LH7">
        <v>2025</v>
      </c>
      <c r="LI7" t="s">
        <v>4193</v>
      </c>
      <c r="LJ7" s="6">
        <v>45806</v>
      </c>
      <c r="LK7">
        <v>5</v>
      </c>
      <c r="LL7">
        <v>4298760</v>
      </c>
      <c r="LM7">
        <v>69930091</v>
      </c>
      <c r="LN7" t="s">
        <v>4196</v>
      </c>
      <c r="PE7" t="s">
        <v>2720</v>
      </c>
      <c r="PF7" t="s">
        <v>1949</v>
      </c>
      <c r="PG7">
        <v>7.4570999999999998E-2</v>
      </c>
      <c r="PH7">
        <v>0.102178</v>
      </c>
      <c r="PI7" t="s">
        <v>1827</v>
      </c>
      <c r="PJ7">
        <v>2024</v>
      </c>
      <c r="PK7" t="s">
        <v>2721</v>
      </c>
      <c r="PL7" s="6">
        <v>45791</v>
      </c>
      <c r="PM7">
        <v>5</v>
      </c>
      <c r="PN7">
        <v>79844.52</v>
      </c>
      <c r="PO7">
        <v>9834044</v>
      </c>
      <c r="PP7" t="s">
        <v>2722</v>
      </c>
      <c r="PS7" t="s">
        <v>1378</v>
      </c>
      <c r="PT7">
        <v>4.5889049999999996</v>
      </c>
      <c r="PU7" t="s">
        <v>1822</v>
      </c>
      <c r="PV7">
        <v>0.63781200000000005</v>
      </c>
      <c r="PW7" t="s">
        <v>1810</v>
      </c>
      <c r="PX7">
        <v>2025</v>
      </c>
      <c r="PY7" t="s">
        <v>2321</v>
      </c>
      <c r="PZ7" s="6">
        <v>46009</v>
      </c>
      <c r="QA7">
        <v>5</v>
      </c>
      <c r="QB7">
        <v>33700768</v>
      </c>
      <c r="QC7">
        <v>100142</v>
      </c>
      <c r="QD7" t="s">
        <v>2627</v>
      </c>
    </row>
    <row r="8" spans="1:600" x14ac:dyDescent="0.25">
      <c r="EU8" t="s">
        <v>2242</v>
      </c>
      <c r="EV8" t="s">
        <v>1822</v>
      </c>
      <c r="EW8">
        <v>0.238619</v>
      </c>
      <c r="EX8">
        <v>0.71575299999999997</v>
      </c>
      <c r="EY8" t="s">
        <v>1814</v>
      </c>
      <c r="EZ8">
        <v>2025</v>
      </c>
      <c r="FA8" t="s">
        <v>2243</v>
      </c>
      <c r="FB8" s="6">
        <v>46064</v>
      </c>
      <c r="FC8">
        <v>5</v>
      </c>
      <c r="FD8">
        <v>28750000</v>
      </c>
      <c r="FE8">
        <v>100225</v>
      </c>
      <c r="FF8" t="s">
        <v>2244</v>
      </c>
      <c r="FI8" t="s">
        <v>2242</v>
      </c>
      <c r="FJ8">
        <v>11.153900999999999</v>
      </c>
      <c r="FK8" t="s">
        <v>1822</v>
      </c>
      <c r="FL8">
        <v>50.086109</v>
      </c>
      <c r="FM8" t="s">
        <v>1814</v>
      </c>
      <c r="FN8">
        <v>2025</v>
      </c>
      <c r="FO8" t="s">
        <v>2243</v>
      </c>
      <c r="FP8" s="6">
        <v>46064</v>
      </c>
      <c r="FQ8">
        <v>5</v>
      </c>
      <c r="FR8">
        <v>1745000000</v>
      </c>
      <c r="FS8">
        <v>100225</v>
      </c>
      <c r="FT8" t="s">
        <v>2244</v>
      </c>
      <c r="FY8" t="s">
        <v>1533</v>
      </c>
      <c r="FZ8" t="s">
        <v>1822</v>
      </c>
      <c r="GA8">
        <v>1.1725810000000001</v>
      </c>
      <c r="GB8">
        <v>0.15703400000000001</v>
      </c>
      <c r="GC8" t="s">
        <v>1806</v>
      </c>
      <c r="GD8">
        <v>2026</v>
      </c>
      <c r="GE8" t="s">
        <v>1890</v>
      </c>
      <c r="GF8" s="6">
        <v>46051</v>
      </c>
      <c r="GG8">
        <v>5</v>
      </c>
      <c r="GH8">
        <v>4510016</v>
      </c>
      <c r="GI8">
        <v>225757</v>
      </c>
      <c r="GJ8" t="s">
        <v>1891</v>
      </c>
      <c r="GM8" t="s">
        <v>1855</v>
      </c>
      <c r="GN8">
        <v>6.6940000000000003E-3</v>
      </c>
      <c r="GO8" t="s">
        <v>1822</v>
      </c>
      <c r="GP8">
        <v>5.5948409999999997</v>
      </c>
      <c r="GQ8" t="s">
        <v>1814</v>
      </c>
      <c r="GR8">
        <v>2024</v>
      </c>
      <c r="GS8" t="s">
        <v>1856</v>
      </c>
      <c r="GT8" s="6">
        <v>45819</v>
      </c>
      <c r="GU8">
        <v>5</v>
      </c>
      <c r="GV8">
        <v>402911.11</v>
      </c>
      <c r="GW8">
        <v>15291339</v>
      </c>
      <c r="GX8" t="s">
        <v>1857</v>
      </c>
      <c r="IG8" t="s">
        <v>2685</v>
      </c>
      <c r="II8">
        <v>-2.4245362661989844E-14</v>
      </c>
      <c r="IJ8">
        <v>-2.4245362661989844E-14</v>
      </c>
      <c r="IK8" t="s">
        <v>1814</v>
      </c>
      <c r="IL8">
        <v>2021</v>
      </c>
      <c r="IM8" t="s">
        <v>2686</v>
      </c>
      <c r="IN8" s="6">
        <v>44693</v>
      </c>
      <c r="IO8">
        <v>5</v>
      </c>
      <c r="IP8">
        <v>-2.4245362661989844E-14</v>
      </c>
      <c r="IQ8">
        <v>101153</v>
      </c>
      <c r="IR8" t="s">
        <v>2687</v>
      </c>
      <c r="IU8" t="s">
        <v>3710</v>
      </c>
      <c r="IV8">
        <v>-2.4245362661989844E-14</v>
      </c>
      <c r="IX8">
        <v>-2.4245362661989844E-14</v>
      </c>
      <c r="IY8" t="s">
        <v>1814</v>
      </c>
      <c r="IZ8">
        <v>2023</v>
      </c>
      <c r="JA8" t="s">
        <v>3711</v>
      </c>
      <c r="JB8" s="6">
        <v>45407</v>
      </c>
      <c r="JC8">
        <v>5</v>
      </c>
      <c r="JD8">
        <v>-2.4245362661989844E-14</v>
      </c>
      <c r="JE8">
        <v>29180127</v>
      </c>
      <c r="JF8" t="s">
        <v>3712</v>
      </c>
      <c r="LC8" t="s">
        <v>4197</v>
      </c>
      <c r="LD8">
        <v>2.9660630000000001</v>
      </c>
      <c r="LF8">
        <v>-2.4245362661989844E-14</v>
      </c>
      <c r="LG8" t="s">
        <v>1806</v>
      </c>
      <c r="LH8">
        <v>2025</v>
      </c>
      <c r="LI8" t="s">
        <v>4193</v>
      </c>
      <c r="LJ8" s="6">
        <v>45806</v>
      </c>
      <c r="LK8">
        <v>5</v>
      </c>
      <c r="LL8">
        <v>2865840</v>
      </c>
      <c r="LM8">
        <v>7416902</v>
      </c>
      <c r="LN8" t="s">
        <v>4198</v>
      </c>
      <c r="PE8" t="s">
        <v>2351</v>
      </c>
      <c r="PG8">
        <v>-2.4245362661989844E-14</v>
      </c>
      <c r="PH8">
        <v>-2.4245362661989844E-14</v>
      </c>
      <c r="PI8" t="s">
        <v>1814</v>
      </c>
      <c r="PJ8">
        <v>2023</v>
      </c>
      <c r="PK8" t="s">
        <v>2723</v>
      </c>
      <c r="PL8" s="6">
        <v>45209</v>
      </c>
      <c r="PM8">
        <v>5</v>
      </c>
      <c r="PN8">
        <v>-2.4245362661989844E-14</v>
      </c>
      <c r="PO8">
        <v>193974</v>
      </c>
      <c r="PP8" t="s">
        <v>2353</v>
      </c>
      <c r="PS8" t="s">
        <v>2628</v>
      </c>
      <c r="PT8">
        <v>4.087269</v>
      </c>
      <c r="PU8" t="s">
        <v>1822</v>
      </c>
      <c r="PV8">
        <v>0.108293</v>
      </c>
      <c r="PW8" t="s">
        <v>1810</v>
      </c>
      <c r="PX8">
        <v>2025</v>
      </c>
      <c r="PY8" t="s">
        <v>2321</v>
      </c>
      <c r="PZ8" s="6">
        <v>46009</v>
      </c>
      <c r="QA8">
        <v>5</v>
      </c>
      <c r="QB8">
        <v>30016772</v>
      </c>
      <c r="QC8">
        <v>117621</v>
      </c>
      <c r="QD8" t="s">
        <v>2629</v>
      </c>
    </row>
    <row r="9" spans="1:600" x14ac:dyDescent="0.25">
      <c r="EU9" t="s">
        <v>2373</v>
      </c>
      <c r="EV9" t="s">
        <v>1822</v>
      </c>
      <c r="EW9">
        <v>0.82792200000000005</v>
      </c>
      <c r="EX9">
        <v>0.75151400000000002</v>
      </c>
      <c r="EY9" t="s">
        <v>1823</v>
      </c>
      <c r="EZ9">
        <v>2025</v>
      </c>
      <c r="FA9" t="s">
        <v>2374</v>
      </c>
      <c r="FB9" s="6">
        <v>45959</v>
      </c>
      <c r="FC9">
        <v>5</v>
      </c>
      <c r="FD9">
        <v>28398061.84</v>
      </c>
      <c r="FE9">
        <v>113332</v>
      </c>
      <c r="FF9" t="s">
        <v>2375</v>
      </c>
      <c r="FI9" t="s">
        <v>2010</v>
      </c>
      <c r="FJ9">
        <v>6</v>
      </c>
      <c r="FL9">
        <v>-2.4245362661989844E-14</v>
      </c>
      <c r="FM9" t="s">
        <v>1814</v>
      </c>
      <c r="FN9">
        <v>2024</v>
      </c>
      <c r="FO9" t="s">
        <v>2245</v>
      </c>
      <c r="FP9" s="6">
        <v>45715</v>
      </c>
      <c r="FQ9">
        <v>5</v>
      </c>
      <c r="FR9">
        <v>954404992</v>
      </c>
      <c r="FS9">
        <v>218252</v>
      </c>
      <c r="FT9" t="s">
        <v>2012</v>
      </c>
      <c r="FY9" t="s">
        <v>1892</v>
      </c>
      <c r="FZ9" t="s">
        <v>1893</v>
      </c>
      <c r="GA9">
        <v>5.9742000000000003E-2</v>
      </c>
      <c r="GB9">
        <v>0.18884000000000001</v>
      </c>
      <c r="GC9" t="s">
        <v>1823</v>
      </c>
      <c r="GD9">
        <v>2025</v>
      </c>
      <c r="GE9" t="s">
        <v>1894</v>
      </c>
      <c r="GF9" s="6">
        <v>45838</v>
      </c>
      <c r="GG9">
        <v>5</v>
      </c>
      <c r="GH9">
        <v>3508648</v>
      </c>
      <c r="GI9">
        <v>101689</v>
      </c>
      <c r="GJ9" t="s">
        <v>1895</v>
      </c>
      <c r="GM9" t="s">
        <v>1858</v>
      </c>
      <c r="GN9">
        <v>5.1640000000000002E-3</v>
      </c>
      <c r="GO9" t="s">
        <v>1822</v>
      </c>
      <c r="GP9">
        <v>5.0558560000000003</v>
      </c>
      <c r="GQ9" t="s">
        <v>1814</v>
      </c>
      <c r="GR9">
        <v>2024</v>
      </c>
      <c r="GS9" t="s">
        <v>1859</v>
      </c>
      <c r="GT9" s="6">
        <v>45814</v>
      </c>
      <c r="GU9">
        <v>5</v>
      </c>
      <c r="GV9">
        <v>310853.61</v>
      </c>
      <c r="GW9">
        <v>36034450</v>
      </c>
      <c r="GX9" t="s">
        <v>1860</v>
      </c>
      <c r="IG9" t="s">
        <v>2869</v>
      </c>
      <c r="II9">
        <v>-2.4245362661989844E-14</v>
      </c>
      <c r="IJ9">
        <v>-2.4245362661989844E-14</v>
      </c>
      <c r="IK9" t="s">
        <v>1814</v>
      </c>
      <c r="IL9">
        <v>2021</v>
      </c>
      <c r="IM9" t="s">
        <v>2870</v>
      </c>
      <c r="IN9" s="6">
        <v>44693</v>
      </c>
      <c r="IO9">
        <v>5</v>
      </c>
      <c r="IP9">
        <v>-2.4245362661989844E-14</v>
      </c>
      <c r="IQ9">
        <v>107603</v>
      </c>
      <c r="IR9" t="s">
        <v>2871</v>
      </c>
      <c r="IU9" t="s">
        <v>3713</v>
      </c>
      <c r="IV9">
        <v>-2.4245362661989844E-14</v>
      </c>
      <c r="IX9">
        <v>-2.4245362661989844E-14</v>
      </c>
      <c r="IY9" t="s">
        <v>1814</v>
      </c>
      <c r="IZ9">
        <v>2024</v>
      </c>
      <c r="JA9" t="s">
        <v>3714</v>
      </c>
      <c r="JB9" s="6">
        <v>45779</v>
      </c>
      <c r="JC9">
        <v>5</v>
      </c>
      <c r="JD9">
        <v>-2.4245362661989844E-14</v>
      </c>
      <c r="JE9">
        <v>8141783</v>
      </c>
      <c r="JF9" t="s">
        <v>3715</v>
      </c>
      <c r="LC9" t="s">
        <v>4199</v>
      </c>
      <c r="LD9">
        <v>2.9660630000000001</v>
      </c>
      <c r="LF9">
        <v>-2.4245362661989844E-14</v>
      </c>
      <c r="LG9" t="s">
        <v>1806</v>
      </c>
      <c r="LH9">
        <v>2025</v>
      </c>
      <c r="LI9" t="s">
        <v>4193</v>
      </c>
      <c r="LJ9" s="6">
        <v>45806</v>
      </c>
      <c r="LK9">
        <v>5</v>
      </c>
      <c r="LL9">
        <v>2865840</v>
      </c>
      <c r="LM9">
        <v>49651055</v>
      </c>
      <c r="LN9" t="s">
        <v>4200</v>
      </c>
      <c r="PE9" t="s">
        <v>2724</v>
      </c>
      <c r="PG9">
        <v>-2.4245362661989844E-14</v>
      </c>
      <c r="PH9">
        <v>-2.4245362661989844E-14</v>
      </c>
      <c r="PI9" t="s">
        <v>1814</v>
      </c>
      <c r="PJ9">
        <v>2024</v>
      </c>
      <c r="PK9" t="s">
        <v>2725</v>
      </c>
      <c r="PL9" s="6">
        <v>45775</v>
      </c>
      <c r="PM9">
        <v>5</v>
      </c>
      <c r="PN9">
        <v>-2.4245362661989844E-14</v>
      </c>
      <c r="PO9">
        <v>49147296</v>
      </c>
      <c r="PP9" t="s">
        <v>2726</v>
      </c>
      <c r="PS9" t="s">
        <v>2630</v>
      </c>
      <c r="PT9">
        <v>3.999234</v>
      </c>
      <c r="PU9" t="s">
        <v>1822</v>
      </c>
      <c r="PV9">
        <v>0.27762799999999999</v>
      </c>
      <c r="PW9" t="s">
        <v>1810</v>
      </c>
      <c r="PX9">
        <v>2025</v>
      </c>
      <c r="PY9" t="s">
        <v>2321</v>
      </c>
      <c r="PZ9" s="6">
        <v>46009</v>
      </c>
      <c r="QA9">
        <v>5</v>
      </c>
      <c r="QB9">
        <v>29370244</v>
      </c>
      <c r="QC9">
        <v>1459396</v>
      </c>
      <c r="QD9" t="s">
        <v>2631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811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812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813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814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815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816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817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818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819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820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821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822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823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824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825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826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827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828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829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830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831</v>
      </c>
      <c r="AE2" s="3" t="s">
        <v>173</v>
      </c>
      <c r="BI2" s="3" t="s">
        <v>832</v>
      </c>
      <c r="CM2" s="3" t="s">
        <v>833</v>
      </c>
      <c r="DQ2" s="3" t="s">
        <v>834</v>
      </c>
      <c r="EU2" s="3" t="s">
        <v>654</v>
      </c>
      <c r="FY2" s="3" t="s">
        <v>835</v>
      </c>
      <c r="HC2" s="3" t="s">
        <v>351</v>
      </c>
      <c r="IG2" s="3" t="s">
        <v>836</v>
      </c>
      <c r="JK2" s="3" t="s">
        <v>837</v>
      </c>
      <c r="KO2" s="3" t="s">
        <v>838</v>
      </c>
      <c r="LS2" s="3" t="s">
        <v>839</v>
      </c>
      <c r="MW2" s="3" t="s">
        <v>840</v>
      </c>
      <c r="OA2" s="3" t="s">
        <v>841</v>
      </c>
      <c r="PE2" s="3" t="s">
        <v>842</v>
      </c>
      <c r="QI2" s="3" t="s">
        <v>843</v>
      </c>
      <c r="RM2" s="3" t="s">
        <v>844</v>
      </c>
      <c r="SQ2" s="3" t="s">
        <v>845</v>
      </c>
      <c r="TU2" s="3" t="s">
        <v>846</v>
      </c>
      <c r="UY2" s="3" t="s">
        <v>847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_xll.BDS("1022726D US Equity","SUPPLY_CHAIN_SUPPLIERS_ALL_DATA")</f>
        <v>#N/A N/A</v>
      </c>
      <c r="O5" t="str">
        <f>_xll.BDS("1022726D US Equity","SUPPLY_CHAIN_CUSTOMERS_ALL_DATA")</f>
        <v>#N/A N/A</v>
      </c>
      <c r="AE5" t="str">
        <f>_xll.BDS("WBS US Equity","SUPPLY_CHAIN_SUPPLIERS_ALL_DATA","cols=12;rows=2")</f>
        <v>FISV US Equity</v>
      </c>
      <c r="AG5">
        <v>-2.4245362661989844E-14</v>
      </c>
      <c r="AH5">
        <v>-2.4245362661989844E-14</v>
      </c>
      <c r="AI5" t="s">
        <v>1831</v>
      </c>
      <c r="AJ5">
        <v>2023</v>
      </c>
      <c r="AK5" t="s">
        <v>1910</v>
      </c>
      <c r="AL5" s="6">
        <v>45245</v>
      </c>
      <c r="AM5">
        <v>2</v>
      </c>
      <c r="AN5">
        <v>-2.4245362661989844E-14</v>
      </c>
      <c r="AO5">
        <v>103882</v>
      </c>
      <c r="AP5" t="s">
        <v>1911</v>
      </c>
      <c r="AS5" t="str">
        <f>_xll.BDS("WBS US Equity","SUPPLY_CHAIN_CUSTOMERS_ALL_DATA","cols=12;rows=1")</f>
        <v>CNXN US Equity</v>
      </c>
      <c r="AT5">
        <v>-2.4245362661989844E-14</v>
      </c>
      <c r="AV5">
        <v>-2.4245362661989844E-14</v>
      </c>
      <c r="AW5" t="s">
        <v>1806</v>
      </c>
      <c r="AX5">
        <v>2025</v>
      </c>
      <c r="AY5" t="s">
        <v>2086</v>
      </c>
      <c r="AZ5" s="6">
        <v>45799</v>
      </c>
      <c r="BA5">
        <v>1</v>
      </c>
      <c r="BB5">
        <v>-2.4245362661989844E-14</v>
      </c>
      <c r="BC5">
        <v>313021</v>
      </c>
      <c r="BD5" t="s">
        <v>2087</v>
      </c>
      <c r="BI5" t="str">
        <f>_xll.BDS("107436Q US Equity","SUPPLY_CHAIN_SUPPLIERS_ALL_DATA")</f>
        <v>#N/A N/A</v>
      </c>
      <c r="BW5" t="str">
        <f>_xll.BDS("107436Q US Equity","SUPPLY_CHAIN_CUSTOMERS_ALL_DATA")</f>
        <v>#N/A N/A</v>
      </c>
      <c r="CM5" t="str">
        <f>_xll.BDS("UNTD US Equity","SUPPLY_CHAIN_SUPPLIERS_ALL_DATA")</f>
        <v>#N/A N/A</v>
      </c>
      <c r="DA5" t="str">
        <f>_xll.BDS("UNTD US Equity","SUPPLY_CHAIN_CUSTOMERS_ALL_DATA")</f>
        <v>#N/A N/A</v>
      </c>
      <c r="DQ5" t="str">
        <f>_xll.BDS("UFCS US Equity","SUPPLY_CHAIN_SUPPLIERS_ALL_DATA")</f>
        <v>#N/A N/A</v>
      </c>
      <c r="EE5" t="str">
        <f>_xll.BDS("UFCS US Equity","SUPPLY_CHAIN_CUSTOMERS_ALL_DATA")</f>
        <v>#N/A N/A</v>
      </c>
      <c r="EU5" t="str">
        <f>_xll.BDS("BUSE US Equity","SUPPLY_CHAIN_SUPPLIERS_ALL_DATA")</f>
        <v>#N/A N/A</v>
      </c>
      <c r="FI5" t="str">
        <f>_xll.BDS("BUSE US Equity","SUPPLY_CHAIN_CUSTOMERS_ALL_DATA")</f>
        <v>#N/A N/A</v>
      </c>
      <c r="FY5" t="str">
        <f>_xll.BDS("PBOC US Equity","SUPPLY_CHAIN_SUPPLIERS_ALL_DATA")</f>
        <v>#N/A N/A</v>
      </c>
      <c r="GM5" t="str">
        <f>_xll.BDS("PBOC US Equity","SUPPLY_CHAIN_CUSTOMERS_ALL_DATA")</f>
        <v>#N/A N/A</v>
      </c>
      <c r="HC5" t="str">
        <f>_xll.BDS("229195Q US Equity","SUPPLY_CHAIN_SUPPLIERS_ALL_DATA")</f>
        <v>#N/A N/A</v>
      </c>
      <c r="HQ5" t="str">
        <f>_xll.BDS("229195Q US Equity","SUPPLY_CHAIN_CUSTOMERS_ALL_DATA")</f>
        <v>#N/A N/A</v>
      </c>
      <c r="IG5" t="str">
        <f>_xll.BDS("PHWDQ US Equity","SUPPLY_CHAIN_SUPPLIERS_ALL_DATA")</f>
        <v>#N/A N/A</v>
      </c>
      <c r="IU5" t="str">
        <f>_xll.BDS("PHWDQ US Equity","SUPPLY_CHAIN_CUSTOMERS_ALL_DATA")</f>
        <v>#N/A N/A</v>
      </c>
      <c r="JK5" t="str">
        <f>_xll.BDS("FCF US Equity","SUPPLY_CHAIN_SUPPLIERS_ALL_DATA")</f>
        <v>#N/A N/A</v>
      </c>
      <c r="JY5" t="str">
        <f>_xll.BDS("FCF US Equity","SUPPLY_CHAIN_CUSTOMERS_ALL_DATA")</f>
        <v>#N/A N/A</v>
      </c>
      <c r="KO5" t="str">
        <f>_xll.BDS("SAKL US Equity","SUPPLY_CHAIN_SUPPLIERS_ALL_DATA")</f>
        <v>#N/A N/A</v>
      </c>
      <c r="LC5" t="str">
        <f>_xll.BDS("SAKL US Equity","SUPPLY_CHAIN_CUSTOMERS_ALL_DATA","cols=12;rows=1")</f>
        <v>FDX US Equity</v>
      </c>
      <c r="LD5">
        <v>-2.4245362661989844E-14</v>
      </c>
      <c r="LF5">
        <v>-2.4245362661989844E-14</v>
      </c>
      <c r="LG5" t="s">
        <v>1814</v>
      </c>
      <c r="LH5">
        <v>2025</v>
      </c>
      <c r="LI5" t="s">
        <v>2569</v>
      </c>
      <c r="LJ5" s="6">
        <v>45932</v>
      </c>
      <c r="LK5">
        <v>1</v>
      </c>
      <c r="LL5">
        <v>-2.4245362661989844E-14</v>
      </c>
      <c r="LM5">
        <v>100554</v>
      </c>
      <c r="LN5" t="s">
        <v>1918</v>
      </c>
      <c r="LS5" t="str">
        <f>_xll.BDS("CMBC US Equity","SUPPLY_CHAIN_SUPPLIERS_ALL_DATA")</f>
        <v>#N/A N/A</v>
      </c>
      <c r="MG5" t="str">
        <f>_xll.BDS("CMBC US Equity","SUPPLY_CHAIN_CUSTOMERS_ALL_DATA")</f>
        <v>#N/A N/A</v>
      </c>
      <c r="MW5" t="str">
        <f>_xll.BDS("FSCO US Equity","SUPPLY_CHAIN_SUPPLIERS_ALL_DATA")</f>
        <v>#N/A N/A</v>
      </c>
      <c r="NK5" t="str">
        <f>_xll.BDS("FSCO US Equity","SUPPLY_CHAIN_CUSTOMERS_ALL_DATA")</f>
        <v>#N/A N/A</v>
      </c>
      <c r="OA5" t="str">
        <f>_xll.BDS("BOKF US Equity","SUPPLY_CHAIN_SUPPLIERS_ALL_DATA","cols=12;rows=2")</f>
        <v>BLND US Equity</v>
      </c>
      <c r="OC5">
        <v>-2.4245362661989844E-14</v>
      </c>
      <c r="OD5">
        <v>-2.4245362661989844E-14</v>
      </c>
      <c r="OE5" t="s">
        <v>1806</v>
      </c>
      <c r="OF5">
        <v>2025</v>
      </c>
      <c r="OG5" t="s">
        <v>2237</v>
      </c>
      <c r="OH5" s="6">
        <v>45785</v>
      </c>
      <c r="OI5">
        <v>2</v>
      </c>
      <c r="OJ5">
        <v>-2.4245362661989844E-14</v>
      </c>
      <c r="OK5">
        <v>42447088</v>
      </c>
      <c r="OL5" t="s">
        <v>1848</v>
      </c>
      <c r="OO5" t="str">
        <f>_xll.BDS("BOKF US Equity","SUPPLY_CHAIN_CUSTOMERS_ALL_DATA")</f>
        <v>#N/A N/A</v>
      </c>
      <c r="PE5" t="str">
        <f>_xll.BDS("FTFC US Equity","SUPPLY_CHAIN_SUPPLIERS_ALL_DATA")</f>
        <v>#N/A N/A</v>
      </c>
      <c r="PS5" t="str">
        <f>_xll.BDS("FTFC US Equity","SUPPLY_CHAIN_CUSTOMERS_ALL_DATA")</f>
        <v>#N/A N/A</v>
      </c>
      <c r="QI5" t="str">
        <f>_xll.BDS("PCBC US Equity","SUPPLY_CHAIN_SUPPLIERS_ALL_DATA")</f>
        <v>#N/A N/A</v>
      </c>
      <c r="QW5" t="str">
        <f>_xll.BDS("PCBC US Equity","SUPPLY_CHAIN_CUSTOMERS_ALL_DATA")</f>
        <v>#N/A N/A</v>
      </c>
      <c r="RM5" t="str">
        <f>_xll.BDS("TEUM US Equity","SUPPLY_CHAIN_SUPPLIERS_ALL_DATA","cols=12;rows=5")</f>
        <v>0569101D LN Equity</v>
      </c>
      <c r="RO5">
        <v>-2.4245362661989844E-14</v>
      </c>
      <c r="RP5">
        <v>-2.4245362661989844E-14</v>
      </c>
      <c r="RQ5" t="s">
        <v>1823</v>
      </c>
      <c r="RR5">
        <v>2021</v>
      </c>
      <c r="RS5" t="s">
        <v>3142</v>
      </c>
      <c r="RT5" s="6">
        <v>44696</v>
      </c>
      <c r="RU5">
        <v>5</v>
      </c>
      <c r="RV5">
        <v>-2.4245362661989844E-14</v>
      </c>
      <c r="RW5">
        <v>18299843</v>
      </c>
      <c r="RX5" t="s">
        <v>3143</v>
      </c>
      <c r="SA5" t="str">
        <f>_xll.BDS("TEUM US Equity","SUPPLY_CHAIN_CUSTOMERS_ALL_DATA")</f>
        <v>#N/A N/A</v>
      </c>
      <c r="SQ5" t="str">
        <f>_xll.BDS("IDTI US Equity","SUPPLY_CHAIN_SUPPLIERS_ALL_DATA")</f>
        <v>#N/A N/A</v>
      </c>
      <c r="TE5" t="str">
        <f>_xll.BDS("IDTI US Equity","SUPPLY_CHAIN_CUSTOMERS_ALL_DATA")</f>
        <v>#N/A N/A</v>
      </c>
      <c r="TU5" t="str">
        <f>_xll.BDS("IDT US Equity","SUPPLY_CHAIN_SUPPLIERS_ALL_DATA","cols=12;rows=5")</f>
        <v>IDWM US Equity</v>
      </c>
      <c r="TV5" t="s">
        <v>1893</v>
      </c>
      <c r="TW5">
        <v>-2.4245362661989844E-14</v>
      </c>
      <c r="TX5">
        <v>0.173873</v>
      </c>
      <c r="TY5" t="s">
        <v>1814</v>
      </c>
      <c r="TZ5">
        <v>2025</v>
      </c>
      <c r="UA5" t="s">
        <v>2571</v>
      </c>
      <c r="UB5" s="6">
        <v>45929</v>
      </c>
      <c r="UC5">
        <v>5</v>
      </c>
      <c r="UD5">
        <v>125000.25</v>
      </c>
      <c r="UE5">
        <v>16716629</v>
      </c>
      <c r="UF5" t="s">
        <v>2668</v>
      </c>
      <c r="UI5" t="str">
        <f>_xll.BDS("IDT US Equity","SUPPLY_CHAIN_CUSTOMERS_ALL_DATA","cols=12;rows=5")</f>
        <v>GNE US Equity</v>
      </c>
      <c r="UJ5">
        <v>7.3081999999999994E-2</v>
      </c>
      <c r="UK5" t="s">
        <v>1893</v>
      </c>
      <c r="UL5">
        <v>0.96211400000000002</v>
      </c>
      <c r="UM5" t="s">
        <v>1814</v>
      </c>
      <c r="UN5">
        <v>2025</v>
      </c>
      <c r="UO5" t="s">
        <v>2571</v>
      </c>
      <c r="UP5" s="6">
        <v>45929</v>
      </c>
      <c r="UQ5">
        <v>5</v>
      </c>
      <c r="UR5">
        <v>225000</v>
      </c>
      <c r="US5">
        <v>24902659</v>
      </c>
      <c r="UT5" t="s">
        <v>2572</v>
      </c>
      <c r="UY5" t="str">
        <f>_xll.BDS("GWR US Equity","SUPPLY_CHAIN_SUPPLIERS_ALL_DATA","cols=12;rows=5")</f>
        <v>AEE US Equity</v>
      </c>
      <c r="VA5">
        <v>-2.4245362661989844E-14</v>
      </c>
      <c r="VB5">
        <v>-2.4245362661989844E-14</v>
      </c>
      <c r="VC5" t="s">
        <v>1814</v>
      </c>
      <c r="VD5">
        <v>2021</v>
      </c>
      <c r="VE5" t="s">
        <v>2040</v>
      </c>
      <c r="VF5" s="6">
        <v>44693</v>
      </c>
      <c r="VG5">
        <v>5</v>
      </c>
      <c r="VH5">
        <v>-2.4245362661989844E-14</v>
      </c>
      <c r="VI5">
        <v>313098</v>
      </c>
      <c r="VJ5" t="s">
        <v>2041</v>
      </c>
      <c r="VM5" t="str">
        <f>_xll.BDS("GWR US Equity","SUPPLY_CHAIN_CUSTOMERS_ALL_DATA","cols=12;rows=1")</f>
        <v>SDSYA US Equity</v>
      </c>
      <c r="VN5">
        <v>-2.4245362661989844E-14</v>
      </c>
      <c r="VP5">
        <v>-2.4245362661989844E-14</v>
      </c>
      <c r="VQ5" t="s">
        <v>1814</v>
      </c>
      <c r="VR5">
        <v>2024</v>
      </c>
      <c r="VS5" t="s">
        <v>2150</v>
      </c>
      <c r="VT5" s="6">
        <v>45744</v>
      </c>
      <c r="VU5">
        <v>1</v>
      </c>
      <c r="VV5">
        <v>-2.4245362661989844E-14</v>
      </c>
      <c r="VW5">
        <v>951391</v>
      </c>
      <c r="VX5" t="s">
        <v>2151</v>
      </c>
    </row>
    <row r="6" spans="1:600" x14ac:dyDescent="0.25">
      <c r="AE6" t="s">
        <v>2238</v>
      </c>
      <c r="AG6">
        <v>-2.4245362661989844E-14</v>
      </c>
      <c r="AH6">
        <v>-2.4245362661989844E-14</v>
      </c>
      <c r="AI6" t="s">
        <v>1806</v>
      </c>
      <c r="AJ6">
        <v>2024</v>
      </c>
      <c r="AK6" t="s">
        <v>2239</v>
      </c>
      <c r="AL6" s="6">
        <v>45432</v>
      </c>
      <c r="AM6">
        <v>2</v>
      </c>
      <c r="AN6">
        <v>-2.4245362661989844E-14</v>
      </c>
      <c r="AO6">
        <v>1750153</v>
      </c>
      <c r="AP6" t="s">
        <v>2240</v>
      </c>
      <c r="OA6" t="s">
        <v>2238</v>
      </c>
      <c r="OC6">
        <v>-2.4245362661989844E-14</v>
      </c>
      <c r="OD6">
        <v>-2.4245362661989844E-14</v>
      </c>
      <c r="OE6" t="s">
        <v>1806</v>
      </c>
      <c r="OF6">
        <v>2024</v>
      </c>
      <c r="OG6" t="s">
        <v>2239</v>
      </c>
      <c r="OH6" s="6">
        <v>45432</v>
      </c>
      <c r="OI6">
        <v>2</v>
      </c>
      <c r="OJ6">
        <v>-2.4245362661989844E-14</v>
      </c>
      <c r="OK6">
        <v>1750153</v>
      </c>
      <c r="OL6" t="s">
        <v>2240</v>
      </c>
      <c r="RM6" t="s">
        <v>3144</v>
      </c>
      <c r="RO6">
        <v>-2.4245362661989844E-14</v>
      </c>
      <c r="RP6">
        <v>-2.4245362661989844E-14</v>
      </c>
      <c r="RQ6" t="s">
        <v>1823</v>
      </c>
      <c r="RR6">
        <v>2021</v>
      </c>
      <c r="RS6" t="s">
        <v>3142</v>
      </c>
      <c r="RT6" s="6">
        <v>44696</v>
      </c>
      <c r="RU6">
        <v>5</v>
      </c>
      <c r="RV6">
        <v>-2.4245362661989844E-14</v>
      </c>
      <c r="RW6">
        <v>41208711</v>
      </c>
      <c r="RX6" t="s">
        <v>3145</v>
      </c>
      <c r="TU6" t="s">
        <v>2669</v>
      </c>
      <c r="TV6" t="s">
        <v>1822</v>
      </c>
      <c r="TW6">
        <v>0.16927600000000001</v>
      </c>
      <c r="TX6">
        <v>5.9081000000000002E-2</v>
      </c>
      <c r="TY6" t="s">
        <v>1810</v>
      </c>
      <c r="TZ6">
        <v>2025</v>
      </c>
      <c r="UA6" t="s">
        <v>2670</v>
      </c>
      <c r="UB6" s="6">
        <v>46049</v>
      </c>
      <c r="UC6">
        <v>5</v>
      </c>
      <c r="UD6">
        <v>122261.02</v>
      </c>
      <c r="UE6">
        <v>7307056</v>
      </c>
      <c r="UF6" t="s">
        <v>2671</v>
      </c>
      <c r="UI6" t="s">
        <v>2573</v>
      </c>
      <c r="UJ6">
        <v>2.4361000000000001E-2</v>
      </c>
      <c r="UK6" t="s">
        <v>1893</v>
      </c>
      <c r="UL6">
        <v>2.8264559999999999</v>
      </c>
      <c r="UM6" t="s">
        <v>1814</v>
      </c>
      <c r="UN6">
        <v>2025</v>
      </c>
      <c r="UO6" t="s">
        <v>2571</v>
      </c>
      <c r="UP6" s="6">
        <v>45929</v>
      </c>
      <c r="UQ6">
        <v>5</v>
      </c>
      <c r="UR6">
        <v>75000</v>
      </c>
      <c r="US6">
        <v>56014797</v>
      </c>
      <c r="UT6" t="s">
        <v>2574</v>
      </c>
      <c r="UY6" t="s">
        <v>2042</v>
      </c>
      <c r="VA6">
        <v>-2.4245362661989844E-14</v>
      </c>
      <c r="VB6">
        <v>-2.4245362661989844E-14</v>
      </c>
      <c r="VC6" t="s">
        <v>1814</v>
      </c>
      <c r="VD6">
        <v>2021</v>
      </c>
      <c r="VE6" t="s">
        <v>2043</v>
      </c>
      <c r="VF6" s="6">
        <v>44693</v>
      </c>
      <c r="VG6">
        <v>5</v>
      </c>
      <c r="VH6">
        <v>-2.4245362661989844E-14</v>
      </c>
      <c r="VI6">
        <v>100060</v>
      </c>
      <c r="VJ6" t="s">
        <v>2044</v>
      </c>
    </row>
    <row r="7" spans="1:600" x14ac:dyDescent="0.25">
      <c r="RM7" t="s">
        <v>3146</v>
      </c>
      <c r="RO7">
        <v>-2.4245362661989844E-14</v>
      </c>
      <c r="RP7">
        <v>-2.4245362661989844E-14</v>
      </c>
      <c r="RQ7" t="s">
        <v>1823</v>
      </c>
      <c r="RR7">
        <v>2021</v>
      </c>
      <c r="RS7" t="s">
        <v>3142</v>
      </c>
      <c r="RT7" s="6">
        <v>44696</v>
      </c>
      <c r="RU7">
        <v>5</v>
      </c>
      <c r="RV7">
        <v>-2.4245362661989844E-14</v>
      </c>
      <c r="RW7">
        <v>15262173</v>
      </c>
      <c r="RX7" t="s">
        <v>3147</v>
      </c>
      <c r="TU7" t="s">
        <v>2672</v>
      </c>
      <c r="TV7" t="s">
        <v>1893</v>
      </c>
      <c r="TW7">
        <v>0.67771300000000001</v>
      </c>
      <c r="TX7">
        <v>6.9549E-2</v>
      </c>
      <c r="TY7" t="s">
        <v>1814</v>
      </c>
      <c r="TZ7">
        <v>2025</v>
      </c>
      <c r="UA7" t="s">
        <v>2571</v>
      </c>
      <c r="UB7" s="6">
        <v>45929</v>
      </c>
      <c r="UC7">
        <v>5</v>
      </c>
      <c r="UD7">
        <v>50000</v>
      </c>
      <c r="UE7">
        <v>35732914</v>
      </c>
      <c r="UF7" t="s">
        <v>2673</v>
      </c>
      <c r="UI7" t="s">
        <v>2575</v>
      </c>
      <c r="UJ7">
        <v>6.2789999999999999E-3</v>
      </c>
      <c r="UK7" t="s">
        <v>1822</v>
      </c>
      <c r="UL7">
        <v>3.1359999999999999E-3</v>
      </c>
      <c r="UM7" t="s">
        <v>1810</v>
      </c>
      <c r="UN7">
        <v>2025</v>
      </c>
      <c r="UO7" t="s">
        <v>2576</v>
      </c>
      <c r="UP7" s="6">
        <v>45840</v>
      </c>
      <c r="UQ7">
        <v>5</v>
      </c>
      <c r="UR7">
        <v>18962</v>
      </c>
      <c r="US7">
        <v>136424</v>
      </c>
      <c r="UT7" t="s">
        <v>2577</v>
      </c>
      <c r="UY7" t="s">
        <v>2045</v>
      </c>
      <c r="VA7">
        <v>-2.4245362661989844E-14</v>
      </c>
      <c r="VB7">
        <v>-2.4245362661989844E-14</v>
      </c>
      <c r="VC7" t="s">
        <v>1814</v>
      </c>
      <c r="VD7">
        <v>2021</v>
      </c>
      <c r="VE7" t="s">
        <v>2046</v>
      </c>
      <c r="VF7" s="6">
        <v>44693</v>
      </c>
      <c r="VG7">
        <v>5</v>
      </c>
      <c r="VH7">
        <v>-2.4245362661989844E-14</v>
      </c>
      <c r="VI7">
        <v>101690</v>
      </c>
      <c r="VJ7" t="s">
        <v>2047</v>
      </c>
    </row>
    <row r="8" spans="1:600" x14ac:dyDescent="0.25">
      <c r="RM8" t="s">
        <v>3148</v>
      </c>
      <c r="RO8">
        <v>-2.4245362661989844E-14</v>
      </c>
      <c r="RP8">
        <v>-2.4245362661989844E-14</v>
      </c>
      <c r="RQ8" t="s">
        <v>1823</v>
      </c>
      <c r="RR8">
        <v>2021</v>
      </c>
      <c r="RS8" t="s">
        <v>3142</v>
      </c>
      <c r="RT8" s="6">
        <v>44696</v>
      </c>
      <c r="RU8">
        <v>5</v>
      </c>
      <c r="RV8">
        <v>-2.4245362661989844E-14</v>
      </c>
      <c r="RW8">
        <v>100949</v>
      </c>
      <c r="RX8" t="s">
        <v>3149</v>
      </c>
      <c r="TU8" t="s">
        <v>2570</v>
      </c>
      <c r="TW8">
        <v>-2.4245362661989844E-14</v>
      </c>
      <c r="TX8">
        <v>-2.4245362661989844E-14</v>
      </c>
      <c r="TY8" t="s">
        <v>1814</v>
      </c>
      <c r="TZ8">
        <v>2025</v>
      </c>
      <c r="UA8" t="s">
        <v>2571</v>
      </c>
      <c r="UB8" s="6">
        <v>45929</v>
      </c>
      <c r="UC8">
        <v>5</v>
      </c>
      <c r="UD8">
        <v>-2.4245362661989844E-14</v>
      </c>
      <c r="UE8">
        <v>24902659</v>
      </c>
      <c r="UF8" t="s">
        <v>2572</v>
      </c>
      <c r="UI8" t="s">
        <v>2578</v>
      </c>
      <c r="UJ8">
        <v>-2.4245362661989844E-14</v>
      </c>
      <c r="UL8">
        <v>-2.4245362661989844E-14</v>
      </c>
      <c r="UM8" t="s">
        <v>1814</v>
      </c>
      <c r="UN8">
        <v>2023</v>
      </c>
      <c r="UO8" t="s">
        <v>2579</v>
      </c>
      <c r="UP8" s="6">
        <v>45020</v>
      </c>
      <c r="UQ8">
        <v>5</v>
      </c>
      <c r="UR8">
        <v>-2.4245362661989844E-14</v>
      </c>
      <c r="US8">
        <v>32510121</v>
      </c>
      <c r="UT8" t="s">
        <v>2580</v>
      </c>
      <c r="UY8" t="s">
        <v>2255</v>
      </c>
      <c r="VA8">
        <v>-2.4245362661989844E-14</v>
      </c>
      <c r="VB8">
        <v>-2.4245362661989844E-14</v>
      </c>
      <c r="VC8" t="s">
        <v>1814</v>
      </c>
      <c r="VD8">
        <v>2021</v>
      </c>
      <c r="VE8" t="s">
        <v>2256</v>
      </c>
      <c r="VF8" s="6">
        <v>44693</v>
      </c>
      <c r="VG8">
        <v>5</v>
      </c>
      <c r="VH8">
        <v>-2.4245362661989844E-14</v>
      </c>
      <c r="VI8">
        <v>310116</v>
      </c>
      <c r="VJ8" t="s">
        <v>2257</v>
      </c>
    </row>
    <row r="9" spans="1:600" x14ac:dyDescent="0.25">
      <c r="RM9" t="s">
        <v>3150</v>
      </c>
      <c r="RO9">
        <v>-2.4245362661989844E-14</v>
      </c>
      <c r="RP9">
        <v>-2.4245362661989844E-14</v>
      </c>
      <c r="RQ9" t="s">
        <v>1823</v>
      </c>
      <c r="RR9">
        <v>2021</v>
      </c>
      <c r="RS9" t="s">
        <v>3142</v>
      </c>
      <c r="RT9" s="6">
        <v>44696</v>
      </c>
      <c r="RU9">
        <v>5</v>
      </c>
      <c r="RV9">
        <v>-2.4245362661989844E-14</v>
      </c>
      <c r="RW9">
        <v>9903314</v>
      </c>
      <c r="RX9" t="s">
        <v>3151</v>
      </c>
      <c r="TU9" t="s">
        <v>2674</v>
      </c>
      <c r="TW9">
        <v>-2.4245362661989844E-14</v>
      </c>
      <c r="TX9">
        <v>-2.4245362661989844E-14</v>
      </c>
      <c r="TY9" t="s">
        <v>1814</v>
      </c>
      <c r="TZ9">
        <v>2024</v>
      </c>
      <c r="UA9" t="s">
        <v>2675</v>
      </c>
      <c r="UB9" s="6">
        <v>45747</v>
      </c>
      <c r="UC9">
        <v>5</v>
      </c>
      <c r="UD9">
        <v>-2.4245362661989844E-14</v>
      </c>
      <c r="UE9">
        <v>27040502</v>
      </c>
      <c r="UF9" t="s">
        <v>2676</v>
      </c>
      <c r="UI9" t="s">
        <v>2581</v>
      </c>
      <c r="UJ9">
        <v>-2.4245362661989844E-14</v>
      </c>
      <c r="UL9">
        <v>-2.4245362661989844E-14</v>
      </c>
      <c r="UM9" t="s">
        <v>1814</v>
      </c>
      <c r="UN9">
        <v>2022</v>
      </c>
      <c r="UO9" t="s">
        <v>2579</v>
      </c>
      <c r="UP9" s="6">
        <v>44693</v>
      </c>
      <c r="UQ9">
        <v>5</v>
      </c>
      <c r="UR9">
        <v>-2.4245362661989844E-14</v>
      </c>
      <c r="US9">
        <v>50903819</v>
      </c>
      <c r="UT9" t="s">
        <v>2582</v>
      </c>
      <c r="UY9" t="s">
        <v>245</v>
      </c>
      <c r="VA9">
        <v>-2.4245362661989844E-14</v>
      </c>
      <c r="VB9">
        <v>-2.4245362661989844E-14</v>
      </c>
      <c r="VC9" t="s">
        <v>1814</v>
      </c>
      <c r="VD9">
        <v>2021</v>
      </c>
      <c r="VE9" t="s">
        <v>2258</v>
      </c>
      <c r="VF9" s="6">
        <v>44693</v>
      </c>
      <c r="VG9">
        <v>5</v>
      </c>
      <c r="VH9">
        <v>-2.4245362661989844E-14</v>
      </c>
      <c r="VI9">
        <v>100207</v>
      </c>
      <c r="VJ9" t="s">
        <v>2259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848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849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850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851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852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853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854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855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856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857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858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859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860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861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862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863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864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865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866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867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868</v>
      </c>
      <c r="AE2" s="3" t="s">
        <v>869</v>
      </c>
      <c r="BI2" s="3" t="s">
        <v>870</v>
      </c>
      <c r="CM2" s="3" t="s">
        <v>353</v>
      </c>
      <c r="DQ2" s="3" t="s">
        <v>871</v>
      </c>
      <c r="EU2" s="3" t="s">
        <v>872</v>
      </c>
      <c r="FY2" s="3" t="s">
        <v>873</v>
      </c>
      <c r="HC2" s="3" t="s">
        <v>874</v>
      </c>
      <c r="IG2" s="3" t="s">
        <v>875</v>
      </c>
      <c r="JK2" s="3" t="s">
        <v>765</v>
      </c>
      <c r="KO2" s="3" t="s">
        <v>876</v>
      </c>
      <c r="LS2" s="3" t="s">
        <v>506</v>
      </c>
      <c r="MW2" s="3" t="s">
        <v>877</v>
      </c>
      <c r="OA2" s="3" t="s">
        <v>878</v>
      </c>
      <c r="PE2" s="3" t="s">
        <v>879</v>
      </c>
      <c r="QI2" s="3" t="s">
        <v>880</v>
      </c>
      <c r="RM2" s="3" t="s">
        <v>881</v>
      </c>
      <c r="SQ2" s="3" t="s">
        <v>882</v>
      </c>
      <c r="TU2" s="3" t="s">
        <v>883</v>
      </c>
      <c r="UY2" s="3" t="s">
        <v>884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_xll.BDS("ACPIQ US Equity","SUPPLY_CHAIN_SUPPLIERS_ALL_DATA")</f>
        <v>#N/A N/A</v>
      </c>
      <c r="O5" t="str">
        <f>_xll.BDS("ACPIQ US Equity","SUPPLY_CHAIN_CUSTOMERS_ALL_DATA")</f>
        <v>#N/A N/A</v>
      </c>
      <c r="AE5" t="str">
        <f>_xll.BDS("304352Q US Equity","SUPPLY_CHAIN_SUPPLIERS_ALL_DATA")</f>
        <v>#N/A N/A</v>
      </c>
      <c r="AS5" t="str">
        <f>_xll.BDS("304352Q US Equity","SUPPLY_CHAIN_CUSTOMERS_ALL_DATA")</f>
        <v>#N/A N/A</v>
      </c>
      <c r="BI5" t="str">
        <f>_xll.BDS("COFS US Equity","SUPPLY_CHAIN_SUPPLIERS_ALL_DATA")</f>
        <v>#N/A N/A</v>
      </c>
      <c r="BW5" t="str">
        <f>_xll.BDS("COFS US Equity","SUPPLY_CHAIN_CUSTOMERS_ALL_DATA")</f>
        <v>#N/A N/A</v>
      </c>
      <c r="CM5" t="str">
        <f>_xll.BDS("STL US Equity","SUPPLY_CHAIN_SUPPLIERS_ALL_DATA")</f>
        <v>#N/A N/A</v>
      </c>
      <c r="DA5" t="str">
        <f>_xll.BDS("STL US Equity","SUPPLY_CHAIN_CUSTOMERS_ALL_DATA")</f>
        <v>#N/A N/A</v>
      </c>
      <c r="DQ5" t="str">
        <f>_xll.BDS("EVRI US Equity","SUPPLY_CHAIN_SUPPLIERS_ALL_DATA","cols=12;rows=5")</f>
        <v>0384054D US Equity</v>
      </c>
      <c r="DS5">
        <v>-2.4245362661989844E-14</v>
      </c>
      <c r="DT5">
        <v>-2.4245362661989844E-14</v>
      </c>
      <c r="DU5" t="s">
        <v>1814</v>
      </c>
      <c r="DV5">
        <v>2023</v>
      </c>
      <c r="DW5" t="s">
        <v>3011</v>
      </c>
      <c r="DX5" s="6">
        <v>44965</v>
      </c>
      <c r="DY5">
        <v>5</v>
      </c>
      <c r="DZ5">
        <v>-2.4245362661989844E-14</v>
      </c>
      <c r="EA5">
        <v>30368756</v>
      </c>
      <c r="EB5" t="s">
        <v>3081</v>
      </c>
      <c r="EE5" t="str">
        <f>_xll.BDS("EVRI US Equity","SUPPLY_CHAIN_CUSTOMERS_ALL_DATA","cols=12;rows=5")</f>
        <v>1730532D US Equity</v>
      </c>
      <c r="EF5">
        <v>-2.4245362661989844E-14</v>
      </c>
      <c r="EH5">
        <v>-2.4245362661989844E-14</v>
      </c>
      <c r="EI5" t="s">
        <v>1823</v>
      </c>
      <c r="EJ5">
        <v>2025</v>
      </c>
      <c r="EK5" t="s">
        <v>3008</v>
      </c>
      <c r="EL5" s="6">
        <v>45852</v>
      </c>
      <c r="EM5">
        <v>5</v>
      </c>
      <c r="EN5">
        <v>-2.4245362661989844E-14</v>
      </c>
      <c r="EO5">
        <v>65260637</v>
      </c>
      <c r="EP5" t="s">
        <v>3009</v>
      </c>
      <c r="EU5" t="str">
        <f>_xll.BDS("3542013Q US Equity","SUPPLY_CHAIN_SUPPLIERS_ALL_DATA")</f>
        <v>#N/A N/A</v>
      </c>
      <c r="FI5" t="str">
        <f>_xll.BDS("3542013Q US Equity","SUPPLY_CHAIN_CUSTOMERS_ALL_DATA")</f>
        <v>#N/A N/A</v>
      </c>
      <c r="FY5" t="str">
        <f>_xll.BDS("MNKTQ US Equity","SUPPLY_CHAIN_SUPPLIERS_ALL_DATA","cols=12;rows=5")</f>
        <v>CAP FP Equity</v>
      </c>
      <c r="FZ5" t="s">
        <v>1893</v>
      </c>
      <c r="GA5">
        <v>1.3310000000000001E-2</v>
      </c>
      <c r="GB5">
        <v>0.55534899999999998</v>
      </c>
      <c r="GC5" t="s">
        <v>1823</v>
      </c>
      <c r="GD5">
        <v>2025</v>
      </c>
      <c r="GE5" t="s">
        <v>2688</v>
      </c>
      <c r="GF5" s="6">
        <v>45902</v>
      </c>
      <c r="GG5">
        <v>5</v>
      </c>
      <c r="GH5">
        <v>837702.49</v>
      </c>
      <c r="GI5">
        <v>115265</v>
      </c>
      <c r="GJ5" t="s">
        <v>2689</v>
      </c>
      <c r="GM5" t="str">
        <f>_xll.BDS("MNKTQ US Equity","SUPPLY_CHAIN_CUSTOMERS_ALL_DATA","cols=12;rows=5")</f>
        <v>102460 KS Equity</v>
      </c>
      <c r="GN5">
        <v>-2.4245362661989844E-14</v>
      </c>
      <c r="GP5">
        <v>-2.4245362661989844E-14</v>
      </c>
      <c r="GQ5" t="s">
        <v>1814</v>
      </c>
      <c r="GR5">
        <v>2021</v>
      </c>
      <c r="GS5" t="s">
        <v>2563</v>
      </c>
      <c r="GT5" s="6">
        <v>44642</v>
      </c>
      <c r="GU5">
        <v>5</v>
      </c>
      <c r="GV5">
        <v>-2.4245362661989844E-14</v>
      </c>
      <c r="GW5">
        <v>16330577</v>
      </c>
      <c r="GX5" t="s">
        <v>2564</v>
      </c>
      <c r="HC5" t="str">
        <f>_xll.BDS("1919709D US Equity","SUPPLY_CHAIN_SUPPLIERS_ALL_DATA")</f>
        <v>#N/A N/A</v>
      </c>
      <c r="HQ5" t="str">
        <f>_xll.BDS("1919709D US Equity","SUPPLY_CHAIN_CUSTOMERS_ALL_DATA")</f>
        <v>#N/A N/A</v>
      </c>
      <c r="IG5" t="str">
        <f>_xll.BDS("CMHDA US Equity","SUPPLY_CHAIN_SUPPLIERS_ALL_DATA")</f>
        <v>#N/A N/A</v>
      </c>
      <c r="IU5" t="str">
        <f>_xll.BDS("CMHDA US Equity","SUPPLY_CHAIN_CUSTOMERS_ALL_DATA")</f>
        <v>#N/A N/A</v>
      </c>
      <c r="JK5" t="str">
        <f>_xll.BDS("LGND US Equity","SUPPLY_CHAIN_SUPPLIERS_ALL_DATA","cols=12;rows=5")</f>
        <v>1108Z PL Equity</v>
      </c>
      <c r="JM5">
        <v>-2.4245362661989844E-14</v>
      </c>
      <c r="JN5">
        <v>-2.4245362661989844E-14</v>
      </c>
      <c r="JO5" t="s">
        <v>1814</v>
      </c>
      <c r="JP5">
        <v>2025</v>
      </c>
      <c r="JQ5" t="s">
        <v>3519</v>
      </c>
      <c r="JR5" s="6">
        <v>46080</v>
      </c>
      <c r="JS5">
        <v>5</v>
      </c>
      <c r="JT5">
        <v>-2.4245362661989844E-14</v>
      </c>
      <c r="JU5">
        <v>7000430</v>
      </c>
      <c r="JV5" t="s">
        <v>3526</v>
      </c>
      <c r="JY5" t="str">
        <f>_xll.BDS("LGND US Equity","SUPPLY_CHAIN_CUSTOMERS_ALL_DATA","cols=12;rows=5")</f>
        <v>AMGN US Equity</v>
      </c>
      <c r="JZ5">
        <v>13.24197</v>
      </c>
      <c r="KA5" t="s">
        <v>1822</v>
      </c>
      <c r="KB5">
        <v>0.29492400000000002</v>
      </c>
      <c r="KC5" t="s">
        <v>1814</v>
      </c>
      <c r="KD5">
        <v>2025</v>
      </c>
      <c r="KE5" t="s">
        <v>3519</v>
      </c>
      <c r="KF5" s="6">
        <v>46080</v>
      </c>
      <c r="KG5">
        <v>5</v>
      </c>
      <c r="KH5">
        <v>8875000</v>
      </c>
      <c r="KI5">
        <v>101693</v>
      </c>
      <c r="KJ5" t="s">
        <v>3997</v>
      </c>
      <c r="KO5" t="str">
        <f>_xll.BDS("STMH US Equity","SUPPLY_CHAIN_SUPPLIERS_ALL_DATA")</f>
        <v>#N/A N/A</v>
      </c>
      <c r="LC5" t="str">
        <f>_xll.BDS("STMH US Equity","SUPPLY_CHAIN_CUSTOMERS_ALL_DATA")</f>
        <v>#N/A N/A</v>
      </c>
      <c r="LS5" t="str">
        <f>_xll.BDS("FCBC US Equity","SUPPLY_CHAIN_SUPPLIERS_ALL_DATA")</f>
        <v>#N/A N/A</v>
      </c>
      <c r="MG5" t="str">
        <f>_xll.BDS("FCBC US Equity","SUPPLY_CHAIN_CUSTOMERS_ALL_DATA")</f>
        <v>#N/A N/A</v>
      </c>
      <c r="MW5" t="str">
        <f>_xll.BDS("BAC US Equity","SUPPLY_CHAIN_SUPPLIERS_ALL_DATA","cols=12;rows=5")</f>
        <v>ORCL US Equity</v>
      </c>
      <c r="MX5" t="s">
        <v>1822</v>
      </c>
      <c r="MY5">
        <v>0.27107500000000001</v>
      </c>
      <c r="MZ5">
        <v>0.24259500000000001</v>
      </c>
      <c r="NA5" t="s">
        <v>1827</v>
      </c>
      <c r="NB5">
        <v>2025</v>
      </c>
      <c r="NC5" t="s">
        <v>2368</v>
      </c>
      <c r="ND5" s="6">
        <v>45848</v>
      </c>
      <c r="NE5">
        <v>5</v>
      </c>
      <c r="NF5">
        <v>43109056</v>
      </c>
      <c r="NG5">
        <v>101752</v>
      </c>
      <c r="NH5" t="s">
        <v>2369</v>
      </c>
      <c r="NK5" t="str">
        <f>_xll.BDS("BAC US Equity","SUPPLY_CHAIN_CUSTOMERS_ALL_DATA","cols=12;rows=4")</f>
        <v>3147564Z US Equity</v>
      </c>
      <c r="NL5">
        <v>-2.4245362661989844E-14</v>
      </c>
      <c r="NN5">
        <v>-2.4245362661989844E-14</v>
      </c>
      <c r="NO5" t="s">
        <v>1814</v>
      </c>
      <c r="NP5">
        <v>2022</v>
      </c>
      <c r="NQ5" t="s">
        <v>2975</v>
      </c>
      <c r="NR5" s="6">
        <v>44875</v>
      </c>
      <c r="NS5">
        <v>4</v>
      </c>
      <c r="NT5">
        <v>-2.4245362661989844E-14</v>
      </c>
      <c r="NU5">
        <v>15504092</v>
      </c>
      <c r="NV5" t="s">
        <v>2976</v>
      </c>
      <c r="OA5" t="str">
        <f>_xll.BDS("FFSX US Equity","SUPPLY_CHAIN_SUPPLIERS_ALL_DATA")</f>
        <v>#N/A N/A</v>
      </c>
      <c r="OO5" t="str">
        <f>_xll.BDS("FFSX US Equity","SUPPLY_CHAIN_CUSTOMERS_ALL_DATA")</f>
        <v>#N/A N/A</v>
      </c>
      <c r="PE5" t="str">
        <f>_xll.BDS("2071296D US Equity","SUPPLY_CHAIN_SUPPLIERS_ALL_DATA")</f>
        <v>#N/A N/A</v>
      </c>
      <c r="PS5" t="str">
        <f>_xll.BDS("2071296D US Equity","SUPPLY_CHAIN_CUSTOMERS_ALL_DATA")</f>
        <v>#N/A N/A</v>
      </c>
      <c r="QI5" t="str">
        <f>_xll.BDS("LFGRQ US Equity","SUPPLY_CHAIN_SUPPLIERS_ALL_DATA")</f>
        <v>#N/A N/A</v>
      </c>
      <c r="QW5" t="str">
        <f>_xll.BDS("LFGRQ US Equity","SUPPLY_CHAIN_CUSTOMERS_ALL_DATA")</f>
        <v>#N/A N/A</v>
      </c>
      <c r="RM5" t="str">
        <f>_xll.BDS("BBT US Equity","SUPPLY_CHAIN_SUPPLIERS_ALL_DATA")</f>
        <v>#N/A N/A</v>
      </c>
      <c r="SA5" t="str">
        <f>_xll.BDS("BBT US Equity","SUPPLY_CHAIN_CUSTOMERS_ALL_DATA")</f>
        <v>#N/A N/A</v>
      </c>
      <c r="SQ5" t="str">
        <f>_xll.BDS("2636831Q US Equity","SUPPLY_CHAIN_SUPPLIERS_ALL_DATA")</f>
        <v>#N/A N/A</v>
      </c>
      <c r="TE5" t="str">
        <f>_xll.BDS("2636831Q US Equity","SUPPLY_CHAIN_CUSTOMERS_ALL_DATA")</f>
        <v>#N/A N/A</v>
      </c>
      <c r="TU5" t="str">
        <f>_xll.BDS("724309Q US Equity","SUPPLY_CHAIN_SUPPLIERS_ALL_DATA")</f>
        <v>#N/A N/A</v>
      </c>
      <c r="UI5" t="str">
        <f>_xll.BDS("724309Q US Equity","SUPPLY_CHAIN_CUSTOMERS_ALL_DATA")</f>
        <v>#N/A N/A</v>
      </c>
      <c r="UY5" t="str">
        <f>_xll.BDS("LUCK US Equity","SUPPLY_CHAIN_SUPPLIERS_ALL_DATA","cols=12;rows=3")</f>
        <v>REG US Equity</v>
      </c>
      <c r="VA5">
        <v>-2.4245362661989844E-14</v>
      </c>
      <c r="VB5">
        <v>-2.4245362661989844E-14</v>
      </c>
      <c r="VC5" t="s">
        <v>1814</v>
      </c>
      <c r="VD5">
        <v>2025</v>
      </c>
      <c r="VE5" t="s">
        <v>3321</v>
      </c>
      <c r="VF5" s="6">
        <v>46066</v>
      </c>
      <c r="VG5">
        <v>3</v>
      </c>
      <c r="VH5">
        <v>-2.4245362661989844E-14</v>
      </c>
      <c r="VI5">
        <v>126273</v>
      </c>
      <c r="VJ5" t="s">
        <v>3322</v>
      </c>
      <c r="VM5" t="str">
        <f>_xll.BDS("LUCK US Equity","SUPPLY_CHAIN_CUSTOMERS_ALL_DATA")</f>
        <v>#N/A N/A</v>
      </c>
    </row>
    <row r="6" spans="1:600" x14ac:dyDescent="0.25">
      <c r="DQ6" t="s">
        <v>3082</v>
      </c>
      <c r="DS6">
        <v>-2.4245362661989844E-14</v>
      </c>
      <c r="DT6">
        <v>-2.4245362661989844E-14</v>
      </c>
      <c r="DU6" t="s">
        <v>1814</v>
      </c>
      <c r="DV6">
        <v>2022</v>
      </c>
      <c r="DW6" t="s">
        <v>3011</v>
      </c>
      <c r="DX6" s="6">
        <v>44840</v>
      </c>
      <c r="DY6">
        <v>5</v>
      </c>
      <c r="DZ6">
        <v>-2.4245362661989844E-14</v>
      </c>
      <c r="EA6">
        <v>24733264</v>
      </c>
      <c r="EB6" t="s">
        <v>3083</v>
      </c>
      <c r="EE6" t="s">
        <v>3010</v>
      </c>
      <c r="EF6">
        <v>-2.4245362661989844E-14</v>
      </c>
      <c r="EH6">
        <v>-2.4245362661989844E-14</v>
      </c>
      <c r="EI6" t="s">
        <v>1814</v>
      </c>
      <c r="EJ6">
        <v>2022</v>
      </c>
      <c r="EK6" t="s">
        <v>3011</v>
      </c>
      <c r="EL6" s="6">
        <v>44936</v>
      </c>
      <c r="EM6">
        <v>5</v>
      </c>
      <c r="EN6">
        <v>-2.4245362661989844E-14</v>
      </c>
      <c r="EO6">
        <v>7281299</v>
      </c>
      <c r="EP6" t="s">
        <v>3012</v>
      </c>
      <c r="FY6" t="s">
        <v>2690</v>
      </c>
      <c r="GA6">
        <v>-2.4245362661989844E-14</v>
      </c>
      <c r="GB6">
        <v>-2.4245362661989844E-14</v>
      </c>
      <c r="GC6" t="s">
        <v>1810</v>
      </c>
      <c r="GD6">
        <v>2023</v>
      </c>
      <c r="GE6" t="s">
        <v>2568</v>
      </c>
      <c r="GF6" s="6">
        <v>45166</v>
      </c>
      <c r="GG6">
        <v>5</v>
      </c>
      <c r="GH6">
        <v>-2.4245362661989844E-14</v>
      </c>
      <c r="GI6">
        <v>26883157</v>
      </c>
      <c r="GJ6" t="s">
        <v>2691</v>
      </c>
      <c r="GM6" t="s">
        <v>2565</v>
      </c>
      <c r="GN6">
        <v>-2.4245362661989844E-14</v>
      </c>
      <c r="GP6">
        <v>-2.4245362661989844E-14</v>
      </c>
      <c r="GQ6" t="s">
        <v>1806</v>
      </c>
      <c r="GR6">
        <v>2022</v>
      </c>
      <c r="GS6" t="s">
        <v>2566</v>
      </c>
      <c r="GT6" s="6">
        <v>44685</v>
      </c>
      <c r="GU6">
        <v>5</v>
      </c>
      <c r="GV6">
        <v>-2.4245362661989844E-14</v>
      </c>
      <c r="GW6">
        <v>20677318</v>
      </c>
      <c r="GX6" t="s">
        <v>2567</v>
      </c>
      <c r="JK6" t="s">
        <v>317</v>
      </c>
      <c r="JM6">
        <v>-2.4245362661989844E-14</v>
      </c>
      <c r="JN6">
        <v>-2.4245362661989844E-14</v>
      </c>
      <c r="JO6" t="s">
        <v>1814</v>
      </c>
      <c r="JP6">
        <v>2024</v>
      </c>
      <c r="JQ6" t="s">
        <v>3493</v>
      </c>
      <c r="JR6" s="6">
        <v>45733</v>
      </c>
      <c r="JS6">
        <v>5</v>
      </c>
      <c r="JT6">
        <v>-2.4245362661989844E-14</v>
      </c>
      <c r="JU6">
        <v>898673</v>
      </c>
      <c r="JV6" t="s">
        <v>3527</v>
      </c>
      <c r="JY6" t="s">
        <v>3998</v>
      </c>
      <c r="JZ6">
        <v>12.570546</v>
      </c>
      <c r="KA6" t="s">
        <v>1822</v>
      </c>
      <c r="KB6">
        <v>3.5888119999999999</v>
      </c>
      <c r="KC6" t="s">
        <v>1814</v>
      </c>
      <c r="KD6">
        <v>2025</v>
      </c>
      <c r="KE6" t="s">
        <v>3519</v>
      </c>
      <c r="KF6" s="6">
        <v>46080</v>
      </c>
      <c r="KG6">
        <v>5</v>
      </c>
      <c r="KH6">
        <v>8425000</v>
      </c>
      <c r="KI6">
        <v>117886</v>
      </c>
      <c r="KJ6" t="s">
        <v>3999</v>
      </c>
      <c r="MW6" t="s">
        <v>1892</v>
      </c>
      <c r="MX6" t="s">
        <v>1893</v>
      </c>
      <c r="MY6">
        <v>0.46972799999999998</v>
      </c>
      <c r="MZ6">
        <v>0.155246</v>
      </c>
      <c r="NA6" t="s">
        <v>1823</v>
      </c>
      <c r="NB6">
        <v>2025</v>
      </c>
      <c r="NC6" t="s">
        <v>1894</v>
      </c>
      <c r="ND6" s="6">
        <v>45838</v>
      </c>
      <c r="NE6">
        <v>5</v>
      </c>
      <c r="NF6">
        <v>27587124</v>
      </c>
      <c r="NG6">
        <v>101689</v>
      </c>
      <c r="NH6" t="s">
        <v>1895</v>
      </c>
      <c r="NK6" t="s">
        <v>2977</v>
      </c>
      <c r="NL6">
        <v>-2.4245362661989844E-14</v>
      </c>
      <c r="NN6">
        <v>-2.4245362661989844E-14</v>
      </c>
      <c r="NO6" t="s">
        <v>1814</v>
      </c>
      <c r="NP6">
        <v>2025</v>
      </c>
      <c r="NQ6" t="s">
        <v>2978</v>
      </c>
      <c r="NR6" s="6">
        <v>46065</v>
      </c>
      <c r="NS6">
        <v>4</v>
      </c>
      <c r="NT6">
        <v>-2.4245362661989844E-14</v>
      </c>
      <c r="NU6">
        <v>100024</v>
      </c>
      <c r="NV6" t="s">
        <v>2979</v>
      </c>
      <c r="UY6" t="s">
        <v>3323</v>
      </c>
      <c r="VA6">
        <v>-2.4245362661989844E-14</v>
      </c>
      <c r="VB6">
        <v>-2.4245362661989844E-14</v>
      </c>
      <c r="VC6" t="s">
        <v>1814</v>
      </c>
      <c r="VD6">
        <v>2021</v>
      </c>
      <c r="VE6" t="s">
        <v>3324</v>
      </c>
      <c r="VF6" s="6">
        <v>44644</v>
      </c>
      <c r="VG6">
        <v>3</v>
      </c>
      <c r="VH6">
        <v>-2.4245362661989844E-14</v>
      </c>
      <c r="VI6">
        <v>60527610</v>
      </c>
      <c r="VJ6" t="s">
        <v>3325</v>
      </c>
    </row>
    <row r="7" spans="1:600" x14ac:dyDescent="0.25">
      <c r="DQ7" t="s">
        <v>3084</v>
      </c>
      <c r="DS7">
        <v>-2.4245362661989844E-14</v>
      </c>
      <c r="DT7">
        <v>-2.4245362661989844E-14</v>
      </c>
      <c r="DU7" t="s">
        <v>1814</v>
      </c>
      <c r="DV7">
        <v>2023</v>
      </c>
      <c r="DW7" t="s">
        <v>3085</v>
      </c>
      <c r="DX7" s="6">
        <v>45364</v>
      </c>
      <c r="DY7">
        <v>5</v>
      </c>
      <c r="DZ7">
        <v>-2.4245362661989844E-14</v>
      </c>
      <c r="EA7">
        <v>35132092</v>
      </c>
      <c r="EB7" t="s">
        <v>3086</v>
      </c>
      <c r="EE7" t="s">
        <v>3013</v>
      </c>
      <c r="EF7">
        <v>-2.4245362661989844E-14</v>
      </c>
      <c r="EH7">
        <v>-2.4245362661989844E-14</v>
      </c>
      <c r="EI7" t="s">
        <v>1814</v>
      </c>
      <c r="EJ7">
        <v>2024</v>
      </c>
      <c r="EK7" t="s">
        <v>3011</v>
      </c>
      <c r="EL7" s="6">
        <v>45370</v>
      </c>
      <c r="EM7">
        <v>5</v>
      </c>
      <c r="EN7">
        <v>-2.4245362661989844E-14</v>
      </c>
      <c r="EO7">
        <v>69491275</v>
      </c>
      <c r="EP7" t="s">
        <v>3014</v>
      </c>
      <c r="FY7" t="s">
        <v>2692</v>
      </c>
      <c r="GA7">
        <v>-2.4245362661989844E-14</v>
      </c>
      <c r="GB7">
        <v>-2.4245362661989844E-14</v>
      </c>
      <c r="GC7" t="s">
        <v>1810</v>
      </c>
      <c r="GD7">
        <v>2023</v>
      </c>
      <c r="GE7" t="s">
        <v>2568</v>
      </c>
      <c r="GF7" s="6">
        <v>45166</v>
      </c>
      <c r="GG7">
        <v>5</v>
      </c>
      <c r="GH7">
        <v>-2.4245362661989844E-14</v>
      </c>
      <c r="GI7">
        <v>37429492</v>
      </c>
      <c r="GJ7" t="s">
        <v>2693</v>
      </c>
      <c r="GM7" t="s">
        <v>2010</v>
      </c>
      <c r="GN7">
        <v>-2.4245362661989844E-14</v>
      </c>
      <c r="GP7">
        <v>-2.4245362661989844E-14</v>
      </c>
      <c r="GQ7" t="s">
        <v>1806</v>
      </c>
      <c r="GR7">
        <v>2022</v>
      </c>
      <c r="GS7" t="s">
        <v>2566</v>
      </c>
      <c r="GT7" s="6">
        <v>44685</v>
      </c>
      <c r="GU7">
        <v>5</v>
      </c>
      <c r="GV7">
        <v>-2.4245362661989844E-14</v>
      </c>
      <c r="GW7">
        <v>218252</v>
      </c>
      <c r="GX7" t="s">
        <v>2012</v>
      </c>
      <c r="JK7" t="s">
        <v>2242</v>
      </c>
      <c r="JM7">
        <v>-2.4245362661989844E-14</v>
      </c>
      <c r="JN7">
        <v>-2.4245362661989844E-14</v>
      </c>
      <c r="JO7" t="s">
        <v>1810</v>
      </c>
      <c r="JP7">
        <v>2024</v>
      </c>
      <c r="JQ7" t="s">
        <v>3528</v>
      </c>
      <c r="JR7" s="6">
        <v>45604</v>
      </c>
      <c r="JS7">
        <v>5</v>
      </c>
      <c r="JT7">
        <v>-2.4245362661989844E-14</v>
      </c>
      <c r="JU7">
        <v>100225</v>
      </c>
      <c r="JV7" t="s">
        <v>2244</v>
      </c>
      <c r="JY7" t="s">
        <v>4000</v>
      </c>
      <c r="JZ7">
        <v>12.048328</v>
      </c>
      <c r="KA7" t="s">
        <v>1822</v>
      </c>
      <c r="KB7">
        <v>0.19716800000000001</v>
      </c>
      <c r="KC7" t="s">
        <v>1814</v>
      </c>
      <c r="KD7">
        <v>2025</v>
      </c>
      <c r="KE7" t="s">
        <v>3519</v>
      </c>
      <c r="KF7" s="6">
        <v>46080</v>
      </c>
      <c r="KG7">
        <v>5</v>
      </c>
      <c r="KH7">
        <v>8075000</v>
      </c>
      <c r="KI7">
        <v>100978</v>
      </c>
      <c r="KJ7" t="s">
        <v>4001</v>
      </c>
      <c r="MW7" t="s">
        <v>2332</v>
      </c>
      <c r="MX7" t="s">
        <v>1893</v>
      </c>
      <c r="MY7">
        <v>8.5077940000000005</v>
      </c>
      <c r="MZ7">
        <v>8.9352000000000001E-2</v>
      </c>
      <c r="NA7" t="s">
        <v>1806</v>
      </c>
      <c r="NB7">
        <v>2026</v>
      </c>
      <c r="NC7" t="s">
        <v>2333</v>
      </c>
      <c r="ND7" s="6">
        <v>45898</v>
      </c>
      <c r="NE7">
        <v>5</v>
      </c>
      <c r="NF7">
        <v>15354149.300000001</v>
      </c>
      <c r="NG7">
        <v>178651</v>
      </c>
      <c r="NH7" t="s">
        <v>2334</v>
      </c>
      <c r="NK7" t="s">
        <v>2980</v>
      </c>
      <c r="NL7">
        <v>-2.4245362661989844E-14</v>
      </c>
      <c r="NN7">
        <v>-2.4245362661989844E-14</v>
      </c>
      <c r="NO7" t="s">
        <v>1814</v>
      </c>
      <c r="NP7">
        <v>2023</v>
      </c>
      <c r="NQ7" t="s">
        <v>2981</v>
      </c>
      <c r="NR7" s="6">
        <v>45175</v>
      </c>
      <c r="NS7">
        <v>4</v>
      </c>
      <c r="NT7">
        <v>-2.4245362661989844E-14</v>
      </c>
      <c r="NU7">
        <v>100555</v>
      </c>
      <c r="NV7" t="s">
        <v>2982</v>
      </c>
      <c r="UY7" t="s">
        <v>3326</v>
      </c>
      <c r="VA7">
        <v>-2.4245362661989844E-14</v>
      </c>
      <c r="VB7">
        <v>-2.4245362661989844E-14</v>
      </c>
      <c r="VC7" t="s">
        <v>1814</v>
      </c>
      <c r="VD7">
        <v>2024</v>
      </c>
      <c r="VE7" t="s">
        <v>3327</v>
      </c>
      <c r="VF7" s="6">
        <v>45708</v>
      </c>
      <c r="VG7">
        <v>3</v>
      </c>
      <c r="VH7">
        <v>-2.4245362661989844E-14</v>
      </c>
      <c r="VI7">
        <v>55267607</v>
      </c>
      <c r="VJ7" t="s">
        <v>3328</v>
      </c>
    </row>
    <row r="8" spans="1:600" x14ac:dyDescent="0.25">
      <c r="DQ8" t="s">
        <v>2408</v>
      </c>
      <c r="DS8">
        <v>-2.4245362661989844E-14</v>
      </c>
      <c r="DT8">
        <v>-2.4245362661989844E-14</v>
      </c>
      <c r="DU8" t="s">
        <v>1823</v>
      </c>
      <c r="DV8">
        <v>2023</v>
      </c>
      <c r="DW8" t="s">
        <v>2409</v>
      </c>
      <c r="DX8" s="6">
        <v>45173</v>
      </c>
      <c r="DY8">
        <v>5</v>
      </c>
      <c r="DZ8">
        <v>-2.4245362661989844E-14</v>
      </c>
      <c r="EA8">
        <v>202476</v>
      </c>
      <c r="EB8" t="s">
        <v>2410</v>
      </c>
      <c r="EE8" t="s">
        <v>3015</v>
      </c>
      <c r="EF8">
        <v>-2.4245362661989844E-14</v>
      </c>
      <c r="EH8">
        <v>-2.4245362661989844E-14</v>
      </c>
      <c r="EI8" t="s">
        <v>1814</v>
      </c>
      <c r="EJ8">
        <v>2025</v>
      </c>
      <c r="EK8" t="s">
        <v>3011</v>
      </c>
      <c r="EL8" s="6">
        <v>45944</v>
      </c>
      <c r="EM8">
        <v>5</v>
      </c>
      <c r="EN8">
        <v>-2.4245362661989844E-14</v>
      </c>
      <c r="EO8">
        <v>117121</v>
      </c>
      <c r="EP8" t="s">
        <v>3016</v>
      </c>
      <c r="FY8" t="s">
        <v>2694</v>
      </c>
      <c r="GA8">
        <v>-2.4245362661989844E-14</v>
      </c>
      <c r="GB8">
        <v>-2.4245362661989844E-14</v>
      </c>
      <c r="GC8" t="s">
        <v>1810</v>
      </c>
      <c r="GD8">
        <v>2023</v>
      </c>
      <c r="GE8" t="s">
        <v>2568</v>
      </c>
      <c r="GF8" s="6">
        <v>45166</v>
      </c>
      <c r="GG8">
        <v>5</v>
      </c>
      <c r="GH8">
        <v>-2.4245362661989844E-14</v>
      </c>
      <c r="GI8">
        <v>38165208</v>
      </c>
      <c r="GJ8" t="s">
        <v>2695</v>
      </c>
      <c r="GM8" t="s">
        <v>1474</v>
      </c>
      <c r="GN8">
        <v>-2.4245362661989844E-14</v>
      </c>
      <c r="GP8">
        <v>-2.4245362661989844E-14</v>
      </c>
      <c r="GQ8" t="s">
        <v>1810</v>
      </c>
      <c r="GR8">
        <v>2023</v>
      </c>
      <c r="GS8" t="s">
        <v>2568</v>
      </c>
      <c r="GT8" s="6">
        <v>45166</v>
      </c>
      <c r="GU8">
        <v>5</v>
      </c>
      <c r="GV8">
        <v>-2.4245362661989844E-14</v>
      </c>
      <c r="GW8">
        <v>102782</v>
      </c>
      <c r="GX8" t="s">
        <v>2035</v>
      </c>
      <c r="JK8" t="s">
        <v>2050</v>
      </c>
      <c r="JM8">
        <v>-2.4245362661989844E-14</v>
      </c>
      <c r="JN8">
        <v>-2.4245362661989844E-14</v>
      </c>
      <c r="JO8" t="s">
        <v>1814</v>
      </c>
      <c r="JP8">
        <v>2021</v>
      </c>
      <c r="JQ8" t="s">
        <v>2051</v>
      </c>
      <c r="JR8" s="6">
        <v>44693</v>
      </c>
      <c r="JS8">
        <v>5</v>
      </c>
      <c r="JT8">
        <v>-2.4245362661989844E-14</v>
      </c>
      <c r="JU8">
        <v>100481</v>
      </c>
      <c r="JV8" t="s">
        <v>2052</v>
      </c>
      <c r="JY8" t="s">
        <v>4002</v>
      </c>
      <c r="JZ8">
        <v>11.936424000000001</v>
      </c>
      <c r="KB8">
        <v>-2.4245362661989844E-14</v>
      </c>
      <c r="KC8" t="s">
        <v>1814</v>
      </c>
      <c r="KD8">
        <v>2025</v>
      </c>
      <c r="KE8" t="s">
        <v>3519</v>
      </c>
      <c r="KF8" s="6">
        <v>46080</v>
      </c>
      <c r="KG8">
        <v>5</v>
      </c>
      <c r="KH8">
        <v>8000000</v>
      </c>
      <c r="KI8">
        <v>8094743</v>
      </c>
      <c r="KJ8" t="s">
        <v>4003</v>
      </c>
      <c r="MW8" t="s">
        <v>3066</v>
      </c>
      <c r="MX8" t="s">
        <v>1893</v>
      </c>
      <c r="MY8">
        <v>4.256977</v>
      </c>
      <c r="MZ8">
        <v>4.9215000000000002E-2</v>
      </c>
      <c r="NA8" t="s">
        <v>1814</v>
      </c>
      <c r="NB8">
        <v>2025</v>
      </c>
      <c r="NC8" t="s">
        <v>3067</v>
      </c>
      <c r="ND8" s="6">
        <v>46063</v>
      </c>
      <c r="NE8">
        <v>5</v>
      </c>
      <c r="NF8">
        <v>8579000</v>
      </c>
      <c r="NG8">
        <v>143096</v>
      </c>
      <c r="NH8" t="s">
        <v>3068</v>
      </c>
      <c r="NK8" t="s">
        <v>2983</v>
      </c>
      <c r="NL8">
        <v>-2.4245362661989844E-14</v>
      </c>
      <c r="NN8">
        <v>-2.4245362661989844E-14</v>
      </c>
      <c r="NO8" t="s">
        <v>1814</v>
      </c>
      <c r="NP8">
        <v>2023</v>
      </c>
      <c r="NQ8" t="s">
        <v>2984</v>
      </c>
      <c r="NR8" s="6">
        <v>45008</v>
      </c>
      <c r="NS8">
        <v>4</v>
      </c>
      <c r="NT8">
        <v>-2.4245362661989844E-14</v>
      </c>
      <c r="NU8">
        <v>11889410</v>
      </c>
      <c r="NV8" t="s">
        <v>2985</v>
      </c>
    </row>
    <row r="9" spans="1:600" x14ac:dyDescent="0.25">
      <c r="DQ9" t="s">
        <v>3087</v>
      </c>
      <c r="DS9">
        <v>-2.4245362661989844E-14</v>
      </c>
      <c r="DT9">
        <v>-2.4245362661989844E-14</v>
      </c>
      <c r="DU9" t="s">
        <v>1814</v>
      </c>
      <c r="DV9">
        <v>2022</v>
      </c>
      <c r="DW9" t="s">
        <v>3088</v>
      </c>
      <c r="DX9" s="6">
        <v>44986</v>
      </c>
      <c r="DY9">
        <v>5</v>
      </c>
      <c r="DZ9">
        <v>-2.4245362661989844E-14</v>
      </c>
      <c r="EA9">
        <v>101092</v>
      </c>
      <c r="EB9" t="s">
        <v>3089</v>
      </c>
      <c r="EE9" t="s">
        <v>1411</v>
      </c>
      <c r="EF9">
        <v>-2.4245362661989844E-14</v>
      </c>
      <c r="EH9">
        <v>-2.4245362661989844E-14</v>
      </c>
      <c r="EI9" t="s">
        <v>1814</v>
      </c>
      <c r="EJ9">
        <v>2024</v>
      </c>
      <c r="EK9" t="s">
        <v>3011</v>
      </c>
      <c r="EL9" s="6">
        <v>45328</v>
      </c>
      <c r="EM9">
        <v>5</v>
      </c>
      <c r="EN9">
        <v>-2.4245362661989844E-14</v>
      </c>
      <c r="EO9">
        <v>58579521</v>
      </c>
      <c r="EP9" t="s">
        <v>3017</v>
      </c>
      <c r="FY9" t="s">
        <v>2696</v>
      </c>
      <c r="GA9">
        <v>-2.4245362661989844E-14</v>
      </c>
      <c r="GB9">
        <v>-2.4245362661989844E-14</v>
      </c>
      <c r="GC9" t="s">
        <v>1810</v>
      </c>
      <c r="GD9">
        <v>2023</v>
      </c>
      <c r="GE9" t="s">
        <v>2568</v>
      </c>
      <c r="GF9" s="6">
        <v>45166</v>
      </c>
      <c r="GG9">
        <v>5</v>
      </c>
      <c r="GH9">
        <v>-2.4245362661989844E-14</v>
      </c>
      <c r="GI9">
        <v>42618390</v>
      </c>
      <c r="GJ9" t="s">
        <v>2697</v>
      </c>
      <c r="GM9" t="s">
        <v>1878</v>
      </c>
      <c r="GN9">
        <v>-2.4245362661989844E-14</v>
      </c>
      <c r="GP9">
        <v>-2.4245362661989844E-14</v>
      </c>
      <c r="GQ9" t="s">
        <v>1810</v>
      </c>
      <c r="GR9">
        <v>2023</v>
      </c>
      <c r="GS9" t="s">
        <v>2568</v>
      </c>
      <c r="GT9" s="6">
        <v>45166</v>
      </c>
      <c r="GU9">
        <v>5</v>
      </c>
      <c r="GV9">
        <v>-2.4245362661989844E-14</v>
      </c>
      <c r="GW9">
        <v>60401289</v>
      </c>
      <c r="GX9" t="s">
        <v>1879</v>
      </c>
      <c r="JK9" t="s">
        <v>2652</v>
      </c>
      <c r="JM9">
        <v>-2.4245362661989844E-14</v>
      </c>
      <c r="JN9">
        <v>-2.4245362661989844E-14</v>
      </c>
      <c r="JO9" t="s">
        <v>1814</v>
      </c>
      <c r="JP9">
        <v>2021</v>
      </c>
      <c r="JQ9" t="s">
        <v>2653</v>
      </c>
      <c r="JR9" s="6">
        <v>44693</v>
      </c>
      <c r="JS9">
        <v>5</v>
      </c>
      <c r="JT9">
        <v>-2.4245362661989844E-14</v>
      </c>
      <c r="JU9">
        <v>54282724</v>
      </c>
      <c r="JV9" t="s">
        <v>2654</v>
      </c>
      <c r="JY9" t="s">
        <v>4004</v>
      </c>
      <c r="JZ9">
        <v>4.9610760000000003</v>
      </c>
      <c r="KA9" t="s">
        <v>1822</v>
      </c>
      <c r="KB9">
        <v>2.6425800000000002</v>
      </c>
      <c r="KC9" t="s">
        <v>1814</v>
      </c>
      <c r="KD9">
        <v>2025</v>
      </c>
      <c r="KE9" t="s">
        <v>3519</v>
      </c>
      <c r="KF9" s="6">
        <v>46080</v>
      </c>
      <c r="KG9">
        <v>5</v>
      </c>
      <c r="KH9">
        <v>3325000</v>
      </c>
      <c r="KI9">
        <v>9640935</v>
      </c>
      <c r="KJ9" t="s">
        <v>4005</v>
      </c>
      <c r="MW9" t="s">
        <v>3134</v>
      </c>
      <c r="MY9">
        <v>0.824349</v>
      </c>
      <c r="MZ9">
        <v>-2.4245362661989844E-14</v>
      </c>
      <c r="NA9" t="s">
        <v>1810</v>
      </c>
      <c r="NB9">
        <v>2025</v>
      </c>
      <c r="NC9" t="s">
        <v>3135</v>
      </c>
      <c r="ND9" s="6">
        <v>45996</v>
      </c>
      <c r="NE9">
        <v>5</v>
      </c>
      <c r="NF9">
        <v>7184285</v>
      </c>
      <c r="NG9">
        <v>225275</v>
      </c>
      <c r="NH9" t="s">
        <v>3136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885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886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887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888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889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890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891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892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893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894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895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896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897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898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899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900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901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902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903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904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905</v>
      </c>
      <c r="AE2" s="3" t="s">
        <v>162</v>
      </c>
      <c r="BI2" s="3" t="s">
        <v>906</v>
      </c>
      <c r="CM2" s="3" t="s">
        <v>288</v>
      </c>
      <c r="DQ2" s="3" t="s">
        <v>907</v>
      </c>
      <c r="EU2" s="3" t="s">
        <v>908</v>
      </c>
      <c r="FY2" s="3" t="s">
        <v>909</v>
      </c>
      <c r="HC2" s="3" t="s">
        <v>910</v>
      </c>
      <c r="IG2" s="3" t="s">
        <v>911</v>
      </c>
      <c r="JK2" s="3" t="s">
        <v>912</v>
      </c>
      <c r="KO2" s="3" t="s">
        <v>91</v>
      </c>
      <c r="LS2" s="3" t="s">
        <v>913</v>
      </c>
      <c r="MW2" s="3" t="s">
        <v>319</v>
      </c>
      <c r="OA2" s="3" t="s">
        <v>914</v>
      </c>
      <c r="PE2" s="3" t="s">
        <v>402</v>
      </c>
      <c r="QI2" s="3" t="s">
        <v>915</v>
      </c>
      <c r="RM2" s="3" t="s">
        <v>916</v>
      </c>
      <c r="SQ2" s="3" t="s">
        <v>81</v>
      </c>
      <c r="TU2" s="3" t="s">
        <v>325</v>
      </c>
      <c r="UY2" s="3" t="s">
        <v>319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_xll.BDS("ATBA AV Equity","SUPPLY_CHAIN_SUPPLIERS_ALL_DATA","cols=12;rows=5")</f>
        <v>000676 CH Equity</v>
      </c>
      <c r="C5">
        <v>-2.4245362661989844E-14</v>
      </c>
      <c r="D5">
        <v>-2.4245362661989844E-14</v>
      </c>
      <c r="E5" t="s">
        <v>1971</v>
      </c>
      <c r="F5">
        <v>2025</v>
      </c>
      <c r="G5" t="s">
        <v>2872</v>
      </c>
      <c r="H5" s="6">
        <v>45896</v>
      </c>
      <c r="I5">
        <v>5</v>
      </c>
      <c r="J5">
        <v>-2.4245362661989844E-14</v>
      </c>
      <c r="K5">
        <v>193970</v>
      </c>
      <c r="L5" t="s">
        <v>2873</v>
      </c>
      <c r="O5" t="str">
        <f>_xll.BDS("ATBA AV Equity","SUPPLY_CHAIN_CUSTOMERS_ALL_DATA","cols=12;rows=5")</f>
        <v>066570 KS Equity</v>
      </c>
      <c r="P5">
        <v>-2.4245362661989844E-14</v>
      </c>
      <c r="R5">
        <v>-2.4245362661989844E-14</v>
      </c>
      <c r="S5" t="s">
        <v>1814</v>
      </c>
      <c r="T5">
        <v>2025</v>
      </c>
      <c r="U5" t="s">
        <v>2796</v>
      </c>
      <c r="V5" s="6">
        <v>45757</v>
      </c>
      <c r="W5">
        <v>5</v>
      </c>
      <c r="X5">
        <v>-2.4245362661989844E-14</v>
      </c>
      <c r="Y5">
        <v>7583418</v>
      </c>
      <c r="Z5" t="s">
        <v>2797</v>
      </c>
      <c r="AE5" t="str">
        <f>_xll.BDS("PRK US Equity","SUPPLY_CHAIN_SUPPLIERS_ALL_DATA","cols=12;rows=1")</f>
        <v>WK US Equity</v>
      </c>
      <c r="AG5">
        <v>-2.4245362661989844E-14</v>
      </c>
      <c r="AH5">
        <v>-2.4245362661989844E-14</v>
      </c>
      <c r="AI5" t="s">
        <v>1814</v>
      </c>
      <c r="AJ5">
        <v>2025</v>
      </c>
      <c r="AK5" t="s">
        <v>2764</v>
      </c>
      <c r="AL5" s="6">
        <v>46072</v>
      </c>
      <c r="AM5">
        <v>1</v>
      </c>
      <c r="AN5">
        <v>-2.4245362661989844E-14</v>
      </c>
      <c r="AO5">
        <v>42839691</v>
      </c>
      <c r="AP5" t="s">
        <v>2765</v>
      </c>
      <c r="AS5" t="str">
        <f>_xll.BDS("PRK US Equity","SUPPLY_CHAIN_CUSTOMERS_ALL_DATA")</f>
        <v>#N/A N/A</v>
      </c>
      <c r="BI5" t="str">
        <f>_xll.BDS("OPAY US Equity","SUPPLY_CHAIN_SUPPLIERS_ALL_DATA")</f>
        <v>#N/A N/A</v>
      </c>
      <c r="BW5" t="str">
        <f>_xll.BDS("OPAY US Equity","SUPPLY_CHAIN_CUSTOMERS_ALL_DATA")</f>
        <v>#N/A N/A</v>
      </c>
      <c r="CM5" t="str">
        <f>_xll.BDS("SSB US Equity","SUPPLY_CHAIN_SUPPLIERS_ALL_DATA","cols=12;rows=4")</f>
        <v>BLND US Equity</v>
      </c>
      <c r="CO5">
        <v>-2.4245362661989844E-14</v>
      </c>
      <c r="CP5">
        <v>-2.4245362661989844E-14</v>
      </c>
      <c r="CQ5" t="s">
        <v>1806</v>
      </c>
      <c r="CR5">
        <v>2025</v>
      </c>
      <c r="CS5" t="s">
        <v>2237</v>
      </c>
      <c r="CT5" s="6">
        <v>45785</v>
      </c>
      <c r="CU5">
        <v>4</v>
      </c>
      <c r="CV5">
        <v>-2.4245362661989844E-14</v>
      </c>
      <c r="CW5">
        <v>42447088</v>
      </c>
      <c r="CX5" t="s">
        <v>1848</v>
      </c>
      <c r="DA5" t="str">
        <f>_xll.BDS("SSB US Equity","SUPPLY_CHAIN_CUSTOMERS_ALL_DATA")</f>
        <v>#N/A N/A</v>
      </c>
      <c r="DQ5" t="str">
        <f>_xll.BDS("CLKS US Equity","SUPPLY_CHAIN_SUPPLIERS_ALL_DATA")</f>
        <v>#N/A N/A</v>
      </c>
      <c r="EE5" t="str">
        <f>_xll.BDS("CLKS US Equity","SUPPLY_CHAIN_CUSTOMERS_ALL_DATA")</f>
        <v>#N/A N/A</v>
      </c>
      <c r="EU5" t="str">
        <f>_xll.BDS("SBN US Equity","SUPPLY_CHAIN_SUPPLIERS_ALL_DATA")</f>
        <v>#N/A N/A</v>
      </c>
      <c r="FI5" t="str">
        <f>_xll.BDS("SBN US Equity","SUPPLY_CHAIN_CUSTOMERS_ALL_DATA")</f>
        <v>#N/A N/A</v>
      </c>
      <c r="FY5" t="str">
        <f>_xll.BDS("RPTP US Equity","SUPPLY_CHAIN_SUPPLIERS_ALL_DATA")</f>
        <v>#N/A N/A</v>
      </c>
      <c r="GM5" t="str">
        <f>_xll.BDS("RPTP US Equity","SUPPLY_CHAIN_CUSTOMERS_ALL_DATA")</f>
        <v>#N/A N/A</v>
      </c>
      <c r="HC5" t="str">
        <f>_xll.BDS("ANIP US Equity","SUPPLY_CHAIN_SUPPLIERS_ALL_DATA","cols=12;rows=5")</f>
        <v>EYPT US Equity</v>
      </c>
      <c r="HD5" t="s">
        <v>1822</v>
      </c>
      <c r="HE5">
        <v>93.599997999999999</v>
      </c>
      <c r="HF5">
        <v>16.187812999999998</v>
      </c>
      <c r="HG5" t="s">
        <v>1814</v>
      </c>
      <c r="HH5">
        <v>2024</v>
      </c>
      <c r="HI5" t="s">
        <v>3355</v>
      </c>
      <c r="HJ5" s="6">
        <v>45722</v>
      </c>
      <c r="HK5">
        <v>5</v>
      </c>
      <c r="HL5">
        <v>10125882</v>
      </c>
      <c r="HM5">
        <v>113073</v>
      </c>
      <c r="HN5" t="s">
        <v>3356</v>
      </c>
      <c r="HQ5" t="str">
        <f>_xll.BDS("ANIP US Equity","SUPPLY_CHAIN_CUSTOMERS_ALL_DATA","cols=12;rows=5")</f>
        <v>0608872D US Equity</v>
      </c>
      <c r="HR5">
        <v>-2.4245362661989844E-14</v>
      </c>
      <c r="HT5">
        <v>-2.4245362661989844E-14</v>
      </c>
      <c r="HU5" t="s">
        <v>1814</v>
      </c>
      <c r="HV5">
        <v>2024</v>
      </c>
      <c r="HW5" t="s">
        <v>3360</v>
      </c>
      <c r="HX5" s="6">
        <v>45716</v>
      </c>
      <c r="HY5">
        <v>5</v>
      </c>
      <c r="HZ5">
        <v>-2.4245362661989844E-14</v>
      </c>
      <c r="IA5">
        <v>32666280</v>
      </c>
      <c r="IB5" t="s">
        <v>4134</v>
      </c>
      <c r="IG5" t="str">
        <f>_xll.BDS("BHC CN Equity","SUPPLY_CHAIN_SUPPLIERS_ALL_DATA","cols=12;rows=5")</f>
        <v>ATR US Equity</v>
      </c>
      <c r="IH5" t="s">
        <v>1822</v>
      </c>
      <c r="II5">
        <v>0.26260800000000001</v>
      </c>
      <c r="IJ5">
        <v>0.30788500000000002</v>
      </c>
      <c r="IK5" t="s">
        <v>1823</v>
      </c>
      <c r="IL5">
        <v>2025</v>
      </c>
      <c r="IM5" t="s">
        <v>3116</v>
      </c>
      <c r="IN5" s="6">
        <v>45914</v>
      </c>
      <c r="IO5">
        <v>5</v>
      </c>
      <c r="IP5">
        <v>2352239</v>
      </c>
      <c r="IQ5">
        <v>117116</v>
      </c>
      <c r="IR5" t="s">
        <v>3117</v>
      </c>
      <c r="IU5" t="str">
        <f>_xll.BDS("BHC CN Equity","SUPPLY_CHAIN_CUSTOMERS_ALL_DATA","cols=12;rows=5")</f>
        <v>COR US Equity</v>
      </c>
      <c r="IV5">
        <v>19</v>
      </c>
      <c r="IW5" t="s">
        <v>1822</v>
      </c>
      <c r="IX5">
        <v>0.62373500000000004</v>
      </c>
      <c r="IY5" t="s">
        <v>1814</v>
      </c>
      <c r="IZ5">
        <v>2024</v>
      </c>
      <c r="JA5" t="s">
        <v>3002</v>
      </c>
      <c r="JB5" s="6">
        <v>45708</v>
      </c>
      <c r="JC5">
        <v>5</v>
      </c>
      <c r="JD5">
        <v>457187488</v>
      </c>
      <c r="JE5">
        <v>156969</v>
      </c>
      <c r="JF5" t="s">
        <v>1874</v>
      </c>
      <c r="JK5" t="str">
        <f>_xll.BDS("PREM US Equity","SUPPLY_CHAIN_SUPPLIERS_ALL_DATA")</f>
        <v>#N/A N/A</v>
      </c>
      <c r="JY5" t="str">
        <f>_xll.BDS("PREM US Equity","SUPPLY_CHAIN_CUSTOMERS_ALL_DATA")</f>
        <v>#N/A N/A</v>
      </c>
      <c r="KO5" t="str">
        <f>_xll.BDS("FCCO US Equity","SUPPLY_CHAIN_SUPPLIERS_ALL_DATA")</f>
        <v>#N/A N/A</v>
      </c>
      <c r="LC5" t="str">
        <f>_xll.BDS("FCCO US Equity","SUPPLY_CHAIN_CUSTOMERS_ALL_DATA")</f>
        <v>#N/A N/A</v>
      </c>
      <c r="LS5" t="str">
        <f>_xll.BDS("BNCL US Equity","SUPPLY_CHAIN_SUPPLIERS_ALL_DATA")</f>
        <v>#N/A N/A</v>
      </c>
      <c r="MG5" t="str">
        <f>_xll.BDS("BNCL US Equity","SUPPLY_CHAIN_CUSTOMERS_ALL_DATA")</f>
        <v>#N/A N/A</v>
      </c>
      <c r="MW5" t="str">
        <f>_xll.BDS("CVBF US Equity","SUPPLY_CHAIN_SUPPLIERS_ALL_DATA")</f>
        <v>#N/A N/A</v>
      </c>
      <c r="NK5" t="str">
        <f>_xll.BDS("CVBF US Equity","SUPPLY_CHAIN_CUSTOMERS_ALL_DATA")</f>
        <v>#N/A N/A</v>
      </c>
      <c r="OA5" t="str">
        <f>_xll.BDS("215254Q US Equity","SUPPLY_CHAIN_SUPPLIERS_ALL_DATA")</f>
        <v>#N/A N/A</v>
      </c>
      <c r="OO5" t="str">
        <f>_xll.BDS("215254Q US Equity","SUPPLY_CHAIN_CUSTOMERS_ALL_DATA")</f>
        <v>#N/A N/A</v>
      </c>
      <c r="PE5" t="str">
        <f>_xll.BDS("KODK US Equity","SUPPLY_CHAIN_SUPPLIERS_ALL_DATA","cols=12;rows=5")</f>
        <v>AX-U CN Equity</v>
      </c>
      <c r="PF5" t="s">
        <v>1893</v>
      </c>
      <c r="PG5">
        <v>1.6</v>
      </c>
      <c r="PH5">
        <v>1.959516</v>
      </c>
      <c r="PI5" t="s">
        <v>1814</v>
      </c>
      <c r="PJ5">
        <v>2024</v>
      </c>
      <c r="PK5" t="s">
        <v>3160</v>
      </c>
      <c r="PL5" s="6">
        <v>45722</v>
      </c>
      <c r="PM5">
        <v>5</v>
      </c>
      <c r="PN5">
        <v>877121.43</v>
      </c>
      <c r="PO5">
        <v>8674508</v>
      </c>
      <c r="PP5" t="s">
        <v>3161</v>
      </c>
      <c r="PS5" t="str">
        <f>_xll.BDS("KODK US Equity","SUPPLY_CHAIN_CUSTOMERS_ALL_DATA","cols=12;rows=5")</f>
        <v>0918800D US Equity</v>
      </c>
      <c r="PT5">
        <v>8.5743050000000007</v>
      </c>
      <c r="PV5">
        <v>-2.4245362661989844E-14</v>
      </c>
      <c r="PW5" t="s">
        <v>1814</v>
      </c>
      <c r="PX5">
        <v>2024</v>
      </c>
      <c r="PY5" t="s">
        <v>3021</v>
      </c>
      <c r="PZ5" s="6">
        <v>45733</v>
      </c>
      <c r="QA5">
        <v>5</v>
      </c>
      <c r="QB5">
        <v>22357500</v>
      </c>
      <c r="QC5">
        <v>38301935</v>
      </c>
      <c r="QD5" t="s">
        <v>3022</v>
      </c>
      <c r="QI5" t="str">
        <f>_xll.BDS("COBZ US Equity","SUPPLY_CHAIN_SUPPLIERS_ALL_DATA")</f>
        <v>#N/A N/A</v>
      </c>
      <c r="QW5" t="str">
        <f>_xll.BDS("COBZ US Equity","SUPPLY_CHAIN_CUSTOMERS_ALL_DATA")</f>
        <v>#N/A N/A</v>
      </c>
      <c r="RM5" t="str">
        <f>_xll.BDS("1619175D US Equity","SUPPLY_CHAIN_SUPPLIERS_ALL_DATA")</f>
        <v>#N/A N/A</v>
      </c>
      <c r="SA5" t="str">
        <f>_xll.BDS("1619175D US Equity","SUPPLY_CHAIN_CUSTOMERS_ALL_DATA")</f>
        <v>#N/A N/A</v>
      </c>
      <c r="SQ5" t="str">
        <f>_xll.BDS("MSI US Equity","SUPPLY_CHAIN_SUPPLIERS_ALL_DATA","cols=12;rows=5")</f>
        <v>SANM US Equity</v>
      </c>
      <c r="SR5" t="s">
        <v>1822</v>
      </c>
      <c r="SS5">
        <v>11.295623000000001</v>
      </c>
      <c r="ST5">
        <v>18.250340999999999</v>
      </c>
      <c r="SU5" t="s">
        <v>1823</v>
      </c>
      <c r="SV5">
        <v>2025</v>
      </c>
      <c r="SW5" t="s">
        <v>1983</v>
      </c>
      <c r="SX5" s="6">
        <v>45791</v>
      </c>
      <c r="SY5">
        <v>5</v>
      </c>
      <c r="SZ5">
        <v>224114192</v>
      </c>
      <c r="TA5">
        <v>116988</v>
      </c>
      <c r="TB5" t="s">
        <v>1984</v>
      </c>
      <c r="TE5" t="str">
        <f>_xll.BDS("MSI US Equity","SUPPLY_CHAIN_CUSTOMERS_ALL_DATA","cols=12;rows=5")</f>
        <v>3352Z US Equity</v>
      </c>
      <c r="TF5">
        <v>8</v>
      </c>
      <c r="TH5">
        <v>-2.4245362661989844E-14</v>
      </c>
      <c r="TI5" t="s">
        <v>1814</v>
      </c>
      <c r="TJ5">
        <v>2025</v>
      </c>
      <c r="TK5" t="s">
        <v>2173</v>
      </c>
      <c r="TL5" s="6">
        <v>46065</v>
      </c>
      <c r="TM5">
        <v>5</v>
      </c>
      <c r="TN5">
        <v>233640000</v>
      </c>
      <c r="TO5">
        <v>218252</v>
      </c>
      <c r="TP5" t="s">
        <v>2012</v>
      </c>
      <c r="TU5" t="str">
        <f>_xll.BDS("YDKN US Equity","SUPPLY_CHAIN_SUPPLIERS_ALL_DATA")</f>
        <v>#N/A N/A</v>
      </c>
      <c r="UI5" t="str">
        <f>_xll.BDS("YDKN US Equity","SUPPLY_CHAIN_CUSTOMERS_ALL_DATA")</f>
        <v>#N/A N/A</v>
      </c>
      <c r="UY5" t="str">
        <f>_xll.BDS("CVBF US Equity","SUPPLY_CHAIN_SUPPLIERS_ALL_DATA")</f>
        <v>#N/A N/A</v>
      </c>
      <c r="VM5" t="str">
        <f>_xll.BDS("CVBF US Equity","SUPPLY_CHAIN_CUSTOMERS_ALL_DATA")</f>
        <v>#N/A N/A</v>
      </c>
    </row>
    <row r="6" spans="1:600" x14ac:dyDescent="0.25">
      <c r="A6" t="s">
        <v>2874</v>
      </c>
      <c r="C6">
        <v>-2.4245362661989844E-14</v>
      </c>
      <c r="D6">
        <v>-2.4245362661989844E-14</v>
      </c>
      <c r="E6" t="s">
        <v>2342</v>
      </c>
      <c r="F6">
        <v>2023</v>
      </c>
      <c r="G6" t="s">
        <v>2875</v>
      </c>
      <c r="H6" s="6">
        <v>45152</v>
      </c>
      <c r="I6">
        <v>5</v>
      </c>
      <c r="J6">
        <v>-2.4245362661989844E-14</v>
      </c>
      <c r="K6">
        <v>9996300</v>
      </c>
      <c r="L6" t="s">
        <v>2876</v>
      </c>
      <c r="O6" t="s">
        <v>2798</v>
      </c>
      <c r="P6">
        <v>-2.4245362661989844E-14</v>
      </c>
      <c r="R6">
        <v>-2.4245362661989844E-14</v>
      </c>
      <c r="S6" t="s">
        <v>1831</v>
      </c>
      <c r="T6">
        <v>2022</v>
      </c>
      <c r="U6" t="s">
        <v>2799</v>
      </c>
      <c r="V6" s="6">
        <v>44916</v>
      </c>
      <c r="W6">
        <v>5</v>
      </c>
      <c r="X6">
        <v>-2.4245362661989844E-14</v>
      </c>
      <c r="Y6">
        <v>7312672</v>
      </c>
      <c r="Z6" t="s">
        <v>2800</v>
      </c>
      <c r="CM6" t="s">
        <v>2065</v>
      </c>
      <c r="CO6">
        <v>-2.4245362661989844E-14</v>
      </c>
      <c r="CP6">
        <v>-2.4245362661989844E-14</v>
      </c>
      <c r="CQ6" t="s">
        <v>1814</v>
      </c>
      <c r="CR6">
        <v>2024</v>
      </c>
      <c r="CS6" t="s">
        <v>2066</v>
      </c>
      <c r="CT6" s="6">
        <v>45762</v>
      </c>
      <c r="CU6">
        <v>4</v>
      </c>
      <c r="CV6">
        <v>-2.4245362661989844E-14</v>
      </c>
      <c r="CW6">
        <v>46286147</v>
      </c>
      <c r="CX6" t="s">
        <v>2067</v>
      </c>
      <c r="HC6" t="s">
        <v>3357</v>
      </c>
      <c r="HE6">
        <v>-2.4245362661989844E-14</v>
      </c>
      <c r="HF6">
        <v>-2.4245362661989844E-14</v>
      </c>
      <c r="HG6" t="s">
        <v>1814</v>
      </c>
      <c r="HH6">
        <v>2023</v>
      </c>
      <c r="HI6" t="s">
        <v>3358</v>
      </c>
      <c r="HJ6" s="6">
        <v>45351</v>
      </c>
      <c r="HK6">
        <v>5</v>
      </c>
      <c r="HL6">
        <v>-2.4245362661989844E-14</v>
      </c>
      <c r="HM6">
        <v>27133713</v>
      </c>
      <c r="HN6" t="s">
        <v>3359</v>
      </c>
      <c r="HQ6" t="s">
        <v>4135</v>
      </c>
      <c r="HR6">
        <v>-2.4245362661989844E-14</v>
      </c>
      <c r="HT6">
        <v>-2.4245362661989844E-14</v>
      </c>
      <c r="HU6" t="s">
        <v>1814</v>
      </c>
      <c r="HV6">
        <v>2024</v>
      </c>
      <c r="HW6" t="s">
        <v>3360</v>
      </c>
      <c r="HX6" s="6">
        <v>45716</v>
      </c>
      <c r="HY6">
        <v>5</v>
      </c>
      <c r="HZ6">
        <v>-2.4245362661989844E-14</v>
      </c>
      <c r="IA6">
        <v>31989975</v>
      </c>
      <c r="IB6" t="s">
        <v>4136</v>
      </c>
      <c r="IG6" t="s">
        <v>3118</v>
      </c>
      <c r="IH6" t="s">
        <v>1822</v>
      </c>
      <c r="II6">
        <v>2.2218999999999999E-2</v>
      </c>
      <c r="IJ6">
        <v>0.16142799999999999</v>
      </c>
      <c r="IK6" t="s">
        <v>1823</v>
      </c>
      <c r="IL6">
        <v>2026</v>
      </c>
      <c r="IM6" t="s">
        <v>3119</v>
      </c>
      <c r="IN6" s="6">
        <v>46071</v>
      </c>
      <c r="IO6">
        <v>5</v>
      </c>
      <c r="IP6">
        <v>1210713</v>
      </c>
      <c r="IQ6">
        <v>61417091</v>
      </c>
      <c r="IR6" t="s">
        <v>3120</v>
      </c>
      <c r="IU6" t="s">
        <v>239</v>
      </c>
      <c r="IV6">
        <v>15</v>
      </c>
      <c r="IW6" t="s">
        <v>1822</v>
      </c>
      <c r="IX6">
        <v>0.43576500000000001</v>
      </c>
      <c r="IY6" t="s">
        <v>1814</v>
      </c>
      <c r="IZ6">
        <v>2024</v>
      </c>
      <c r="JA6" t="s">
        <v>3002</v>
      </c>
      <c r="JB6" s="6">
        <v>45708</v>
      </c>
      <c r="JC6">
        <v>5</v>
      </c>
      <c r="JD6">
        <v>360937504</v>
      </c>
      <c r="JE6">
        <v>154936</v>
      </c>
      <c r="JF6" t="s">
        <v>1875</v>
      </c>
      <c r="PE6" t="s">
        <v>2753</v>
      </c>
      <c r="PF6" t="s">
        <v>1822</v>
      </c>
      <c r="PG6">
        <v>7.5620000000000001E-3</v>
      </c>
      <c r="PH6">
        <v>3.5623000000000002E-2</v>
      </c>
      <c r="PI6" t="s">
        <v>1823</v>
      </c>
      <c r="PJ6">
        <v>2025</v>
      </c>
      <c r="PK6" t="s">
        <v>2754</v>
      </c>
      <c r="PL6" s="6">
        <v>45950</v>
      </c>
      <c r="PM6">
        <v>5</v>
      </c>
      <c r="PN6">
        <v>75490.25</v>
      </c>
      <c r="PO6">
        <v>22262012</v>
      </c>
      <c r="PP6" t="s">
        <v>2755</v>
      </c>
      <c r="PS6" t="s">
        <v>1849</v>
      </c>
      <c r="PT6">
        <v>0.759884</v>
      </c>
      <c r="PU6" t="s">
        <v>1822</v>
      </c>
      <c r="PV6">
        <v>1.2630000000000001E-2</v>
      </c>
      <c r="PW6" t="s">
        <v>1827</v>
      </c>
      <c r="PX6">
        <v>2025</v>
      </c>
      <c r="PY6" t="s">
        <v>1850</v>
      </c>
      <c r="PZ6" s="6">
        <v>46056</v>
      </c>
      <c r="QA6">
        <v>5</v>
      </c>
      <c r="QB6">
        <v>2044088</v>
      </c>
      <c r="QC6">
        <v>1499717</v>
      </c>
      <c r="QD6" t="s">
        <v>1851</v>
      </c>
      <c r="SQ6" t="s">
        <v>1881</v>
      </c>
      <c r="SR6" t="s">
        <v>1822</v>
      </c>
      <c r="SS6">
        <v>0.46781499999999998</v>
      </c>
      <c r="ST6">
        <v>2.0978080000000001</v>
      </c>
      <c r="SU6" t="s">
        <v>1810</v>
      </c>
      <c r="SV6">
        <v>2025</v>
      </c>
      <c r="SW6" t="s">
        <v>1882</v>
      </c>
      <c r="SX6" s="6">
        <v>45763</v>
      </c>
      <c r="SY6">
        <v>5</v>
      </c>
      <c r="SZ6">
        <v>30669952</v>
      </c>
      <c r="TA6">
        <v>136547</v>
      </c>
      <c r="TB6" t="s">
        <v>1883</v>
      </c>
      <c r="TE6" t="s">
        <v>1849</v>
      </c>
      <c r="TF6">
        <v>2.7820800000000001</v>
      </c>
      <c r="TG6" t="s">
        <v>1822</v>
      </c>
      <c r="TH6">
        <v>0.51724400000000004</v>
      </c>
      <c r="TI6" t="s">
        <v>1827</v>
      </c>
      <c r="TJ6">
        <v>2025</v>
      </c>
      <c r="TK6" t="s">
        <v>1850</v>
      </c>
      <c r="TL6" s="6">
        <v>46056</v>
      </c>
      <c r="TM6">
        <v>5</v>
      </c>
      <c r="TN6">
        <v>83712784</v>
      </c>
      <c r="TO6">
        <v>1499717</v>
      </c>
      <c r="TP6" t="s">
        <v>1851</v>
      </c>
    </row>
    <row r="7" spans="1:600" x14ac:dyDescent="0.25">
      <c r="A7" t="s">
        <v>2877</v>
      </c>
      <c r="C7">
        <v>-2.4245362661989844E-14</v>
      </c>
      <c r="D7">
        <v>-2.4245362661989844E-14</v>
      </c>
      <c r="E7" t="s">
        <v>1814</v>
      </c>
      <c r="F7">
        <v>2021</v>
      </c>
      <c r="G7" t="s">
        <v>2878</v>
      </c>
      <c r="H7" s="6">
        <v>44642</v>
      </c>
      <c r="I7">
        <v>5</v>
      </c>
      <c r="J7">
        <v>-2.4245362661989844E-14</v>
      </c>
      <c r="K7">
        <v>27882222</v>
      </c>
      <c r="L7" t="s">
        <v>2879</v>
      </c>
      <c r="O7" t="s">
        <v>2801</v>
      </c>
      <c r="P7">
        <v>-2.4245362661989844E-14</v>
      </c>
      <c r="R7">
        <v>-2.4245362661989844E-14</v>
      </c>
      <c r="S7" t="s">
        <v>1823</v>
      </c>
      <c r="T7">
        <v>2026</v>
      </c>
      <c r="U7" t="s">
        <v>2802</v>
      </c>
      <c r="V7" s="6">
        <v>45974</v>
      </c>
      <c r="W7">
        <v>5</v>
      </c>
      <c r="X7">
        <v>-2.4245362661989844E-14</v>
      </c>
      <c r="Y7">
        <v>19060015</v>
      </c>
      <c r="Z7" t="s">
        <v>2803</v>
      </c>
      <c r="CM7" t="s">
        <v>2405</v>
      </c>
      <c r="CO7">
        <v>-2.4245362661989844E-14</v>
      </c>
      <c r="CP7">
        <v>-2.4245362661989844E-14</v>
      </c>
      <c r="CQ7" t="s">
        <v>1814</v>
      </c>
      <c r="CR7">
        <v>2024</v>
      </c>
      <c r="CS7" t="s">
        <v>2406</v>
      </c>
      <c r="CT7" s="6">
        <v>45743</v>
      </c>
      <c r="CU7">
        <v>4</v>
      </c>
      <c r="CV7">
        <v>-2.4245362661989844E-14</v>
      </c>
      <c r="CW7">
        <v>33322594</v>
      </c>
      <c r="CX7" t="s">
        <v>2407</v>
      </c>
      <c r="HC7" t="s">
        <v>2183</v>
      </c>
      <c r="HE7">
        <v>-2.4245362661989844E-14</v>
      </c>
      <c r="HF7">
        <v>-2.4245362661989844E-14</v>
      </c>
      <c r="HG7" t="s">
        <v>1814</v>
      </c>
      <c r="HH7">
        <v>2024</v>
      </c>
      <c r="HI7" t="s">
        <v>3360</v>
      </c>
      <c r="HJ7" s="6">
        <v>45716</v>
      </c>
      <c r="HK7">
        <v>5</v>
      </c>
      <c r="HL7">
        <v>-2.4245362661989844E-14</v>
      </c>
      <c r="HM7">
        <v>111093</v>
      </c>
      <c r="HN7" t="s">
        <v>2184</v>
      </c>
      <c r="HQ7" t="s">
        <v>4137</v>
      </c>
      <c r="HR7">
        <v>-2.4245362661989844E-14</v>
      </c>
      <c r="HT7">
        <v>-2.4245362661989844E-14</v>
      </c>
      <c r="HU7" t="s">
        <v>1814</v>
      </c>
      <c r="HV7">
        <v>2024</v>
      </c>
      <c r="HW7" t="s">
        <v>3360</v>
      </c>
      <c r="HX7" s="6">
        <v>45716</v>
      </c>
      <c r="HY7">
        <v>5</v>
      </c>
      <c r="HZ7">
        <v>-2.4245362661989844E-14</v>
      </c>
      <c r="IA7">
        <v>388163</v>
      </c>
      <c r="IB7" t="s">
        <v>4138</v>
      </c>
      <c r="IG7" t="s">
        <v>3121</v>
      </c>
      <c r="II7">
        <v>-2.4245362661989844E-14</v>
      </c>
      <c r="IJ7">
        <v>-2.4245362661989844E-14</v>
      </c>
      <c r="IK7" t="s">
        <v>1814</v>
      </c>
      <c r="IL7">
        <v>2025</v>
      </c>
      <c r="IM7" t="s">
        <v>3122</v>
      </c>
      <c r="IN7" s="6">
        <v>45834</v>
      </c>
      <c r="IO7">
        <v>5</v>
      </c>
      <c r="IP7">
        <v>-2.4245362661989844E-14</v>
      </c>
      <c r="IQ7">
        <v>113879</v>
      </c>
      <c r="IR7" t="s">
        <v>3123</v>
      </c>
      <c r="IU7" t="s">
        <v>1474</v>
      </c>
      <c r="IV7">
        <v>14</v>
      </c>
      <c r="IW7" t="s">
        <v>1822</v>
      </c>
      <c r="IX7">
        <v>0.62815500000000002</v>
      </c>
      <c r="IY7" t="s">
        <v>1814</v>
      </c>
      <c r="IZ7">
        <v>2024</v>
      </c>
      <c r="JA7" t="s">
        <v>3002</v>
      </c>
      <c r="JB7" s="6">
        <v>45708</v>
      </c>
      <c r="JC7">
        <v>5</v>
      </c>
      <c r="JD7">
        <v>336875008</v>
      </c>
      <c r="JE7">
        <v>102782</v>
      </c>
      <c r="JF7" t="s">
        <v>2035</v>
      </c>
      <c r="PE7" t="s">
        <v>3162</v>
      </c>
      <c r="PG7">
        <v>-2.4245362661989844E-14</v>
      </c>
      <c r="PH7">
        <v>-2.4245362661989844E-14</v>
      </c>
      <c r="PI7" t="s">
        <v>1814</v>
      </c>
      <c r="PJ7">
        <v>2021</v>
      </c>
      <c r="PK7" t="s">
        <v>3163</v>
      </c>
      <c r="PL7" s="6">
        <v>44679</v>
      </c>
      <c r="PM7">
        <v>5</v>
      </c>
      <c r="PN7">
        <v>-2.4245362661989844E-14</v>
      </c>
      <c r="PO7">
        <v>12237925</v>
      </c>
      <c r="PP7" t="s">
        <v>3164</v>
      </c>
      <c r="PS7" t="s">
        <v>1840</v>
      </c>
      <c r="PT7">
        <v>0.39695200000000003</v>
      </c>
      <c r="PU7" t="s">
        <v>1822</v>
      </c>
      <c r="PV7">
        <v>2.4049999999999998E-2</v>
      </c>
      <c r="PW7" t="s">
        <v>1806</v>
      </c>
      <c r="PX7">
        <v>2025</v>
      </c>
      <c r="PY7" t="s">
        <v>1841</v>
      </c>
      <c r="PZ7" s="6">
        <v>45820</v>
      </c>
      <c r="QA7">
        <v>5</v>
      </c>
      <c r="QB7">
        <v>980470</v>
      </c>
      <c r="QC7">
        <v>12129192</v>
      </c>
      <c r="QD7" t="s">
        <v>1842</v>
      </c>
      <c r="SQ7" t="s">
        <v>1985</v>
      </c>
      <c r="SR7" t="s">
        <v>1822</v>
      </c>
      <c r="SS7">
        <v>0.39923900000000001</v>
      </c>
      <c r="ST7">
        <v>1.515544</v>
      </c>
      <c r="SU7" t="s">
        <v>1806</v>
      </c>
      <c r="SV7">
        <v>2025</v>
      </c>
      <c r="SW7" t="s">
        <v>1986</v>
      </c>
      <c r="SX7" s="6">
        <v>45866</v>
      </c>
      <c r="SY7">
        <v>5</v>
      </c>
      <c r="SZ7">
        <v>18607183.170000002</v>
      </c>
      <c r="TA7">
        <v>7359591</v>
      </c>
      <c r="TB7" t="s">
        <v>1987</v>
      </c>
      <c r="TE7" t="s">
        <v>2164</v>
      </c>
      <c r="TF7">
        <v>0.49351600000000001</v>
      </c>
      <c r="TG7" t="s">
        <v>1822</v>
      </c>
      <c r="TH7">
        <v>0.16125400000000001</v>
      </c>
      <c r="TI7" t="s">
        <v>1823</v>
      </c>
      <c r="TJ7">
        <v>2026</v>
      </c>
      <c r="TK7" t="s">
        <v>2165</v>
      </c>
      <c r="TL7" s="6">
        <v>45932</v>
      </c>
      <c r="TM7">
        <v>5</v>
      </c>
      <c r="TN7">
        <v>13645717</v>
      </c>
      <c r="TO7">
        <v>100197</v>
      </c>
      <c r="TP7" t="s">
        <v>2166</v>
      </c>
    </row>
    <row r="8" spans="1:600" x14ac:dyDescent="0.25">
      <c r="A8" t="s">
        <v>2880</v>
      </c>
      <c r="C8">
        <v>-2.4245362661989844E-14</v>
      </c>
      <c r="D8">
        <v>-2.4245362661989844E-14</v>
      </c>
      <c r="E8" t="s">
        <v>1814</v>
      </c>
      <c r="F8">
        <v>2024</v>
      </c>
      <c r="G8" t="s">
        <v>2881</v>
      </c>
      <c r="H8" s="6">
        <v>45803</v>
      </c>
      <c r="I8">
        <v>5</v>
      </c>
      <c r="J8">
        <v>-2.4245362661989844E-14</v>
      </c>
      <c r="K8">
        <v>870231</v>
      </c>
      <c r="L8" t="s">
        <v>2882</v>
      </c>
      <c r="O8" t="s">
        <v>2804</v>
      </c>
      <c r="P8">
        <v>-2.4245362661989844E-14</v>
      </c>
      <c r="R8">
        <v>-2.4245362661989844E-14</v>
      </c>
      <c r="S8" t="s">
        <v>1814</v>
      </c>
      <c r="T8">
        <v>2024</v>
      </c>
      <c r="U8" t="s">
        <v>2805</v>
      </c>
      <c r="V8" s="6">
        <v>45767</v>
      </c>
      <c r="W8">
        <v>5</v>
      </c>
      <c r="X8">
        <v>-2.4245362661989844E-14</v>
      </c>
      <c r="Y8">
        <v>26949139</v>
      </c>
      <c r="Z8" t="s">
        <v>2806</v>
      </c>
      <c r="CM8" t="s">
        <v>2408</v>
      </c>
      <c r="CO8">
        <v>-2.4245362661989844E-14</v>
      </c>
      <c r="CP8">
        <v>-2.4245362661989844E-14</v>
      </c>
      <c r="CQ8" t="s">
        <v>1823</v>
      </c>
      <c r="CR8">
        <v>2023</v>
      </c>
      <c r="CS8" t="s">
        <v>2409</v>
      </c>
      <c r="CT8" s="6">
        <v>45174</v>
      </c>
      <c r="CU8">
        <v>4</v>
      </c>
      <c r="CV8">
        <v>-2.4245362661989844E-14</v>
      </c>
      <c r="CW8">
        <v>202476</v>
      </c>
      <c r="CX8" t="s">
        <v>2410</v>
      </c>
      <c r="HC8" t="s">
        <v>3361</v>
      </c>
      <c r="HE8">
        <v>-2.4245362661989844E-14</v>
      </c>
      <c r="HF8">
        <v>-2.4245362661989844E-14</v>
      </c>
      <c r="HG8" t="s">
        <v>1810</v>
      </c>
      <c r="HH8">
        <v>2025</v>
      </c>
      <c r="HI8" t="s">
        <v>3362</v>
      </c>
      <c r="HJ8" s="6">
        <v>45967</v>
      </c>
      <c r="HK8">
        <v>5</v>
      </c>
      <c r="HL8">
        <v>-2.4245362661989844E-14</v>
      </c>
      <c r="HM8">
        <v>8691232</v>
      </c>
      <c r="HN8" t="s">
        <v>3363</v>
      </c>
      <c r="HQ8" t="s">
        <v>4139</v>
      </c>
      <c r="HR8">
        <v>-2.4245362661989844E-14</v>
      </c>
      <c r="HT8">
        <v>-2.4245362661989844E-14</v>
      </c>
      <c r="HU8" t="s">
        <v>1814</v>
      </c>
      <c r="HV8">
        <v>2024</v>
      </c>
      <c r="HW8" t="s">
        <v>3360</v>
      </c>
      <c r="HX8" s="6">
        <v>45716</v>
      </c>
      <c r="HY8">
        <v>5</v>
      </c>
      <c r="HZ8">
        <v>-2.4245362661989844E-14</v>
      </c>
      <c r="IA8">
        <v>62126170</v>
      </c>
      <c r="IB8" t="s">
        <v>4140</v>
      </c>
      <c r="IG8" t="s">
        <v>3124</v>
      </c>
      <c r="II8">
        <v>-2.4245362661989844E-14</v>
      </c>
      <c r="IJ8">
        <v>-2.4245362661989844E-14</v>
      </c>
      <c r="IK8" t="s">
        <v>1814</v>
      </c>
      <c r="IL8">
        <v>2025</v>
      </c>
      <c r="IM8" t="s">
        <v>3125</v>
      </c>
      <c r="IN8" s="6">
        <v>45831</v>
      </c>
      <c r="IO8">
        <v>5</v>
      </c>
      <c r="IP8">
        <v>-2.4245362661989844E-14</v>
      </c>
      <c r="IQ8">
        <v>114633</v>
      </c>
      <c r="IR8" t="s">
        <v>3126</v>
      </c>
      <c r="IU8" t="s">
        <v>2506</v>
      </c>
      <c r="IV8">
        <v>0.56705499999999998</v>
      </c>
      <c r="IW8" t="s">
        <v>1822</v>
      </c>
      <c r="IX8">
        <v>7.4500999999999998E-2</v>
      </c>
      <c r="IY8" t="s">
        <v>1823</v>
      </c>
      <c r="IZ8">
        <v>2025</v>
      </c>
      <c r="JA8" t="s">
        <v>3003</v>
      </c>
      <c r="JB8" s="6">
        <v>45887</v>
      </c>
      <c r="JC8">
        <v>5</v>
      </c>
      <c r="JD8">
        <v>14331914.74</v>
      </c>
      <c r="JE8">
        <v>115643</v>
      </c>
      <c r="JF8" t="s">
        <v>2507</v>
      </c>
      <c r="PE8" t="s">
        <v>3165</v>
      </c>
      <c r="PG8">
        <v>-2.4245362661989844E-14</v>
      </c>
      <c r="PH8">
        <v>-2.4245362661989844E-14</v>
      </c>
      <c r="PI8" t="s">
        <v>1831</v>
      </c>
      <c r="PJ8">
        <v>2025</v>
      </c>
      <c r="PK8" t="s">
        <v>3166</v>
      </c>
      <c r="PL8" s="6">
        <v>45975</v>
      </c>
      <c r="PM8">
        <v>5</v>
      </c>
      <c r="PN8">
        <v>-2.4245362661989844E-14</v>
      </c>
      <c r="PO8">
        <v>17469696</v>
      </c>
      <c r="PP8" t="s">
        <v>3167</v>
      </c>
      <c r="PS8" t="s">
        <v>2036</v>
      </c>
      <c r="PT8">
        <v>0.14593400000000001</v>
      </c>
      <c r="PU8" t="s">
        <v>1822</v>
      </c>
      <c r="PV8">
        <v>1.9580000000000001E-3</v>
      </c>
      <c r="PW8" t="s">
        <v>1823</v>
      </c>
      <c r="PX8">
        <v>2025</v>
      </c>
      <c r="PY8" t="s">
        <v>2037</v>
      </c>
      <c r="PZ8" s="6">
        <v>45919</v>
      </c>
      <c r="QA8">
        <v>5</v>
      </c>
      <c r="QB8">
        <v>383653.78</v>
      </c>
      <c r="QC8">
        <v>115268</v>
      </c>
      <c r="QD8" t="s">
        <v>2038</v>
      </c>
      <c r="SQ8" t="s">
        <v>1988</v>
      </c>
      <c r="SR8" t="s">
        <v>1822</v>
      </c>
      <c r="SS8">
        <v>0.52334800000000004</v>
      </c>
      <c r="ST8">
        <v>0.67549400000000004</v>
      </c>
      <c r="SU8" t="s">
        <v>1806</v>
      </c>
      <c r="SV8">
        <v>2025</v>
      </c>
      <c r="SW8" t="s">
        <v>1989</v>
      </c>
      <c r="SX8" s="6">
        <v>45792</v>
      </c>
      <c r="SY8">
        <v>5</v>
      </c>
      <c r="SZ8">
        <v>8295066</v>
      </c>
      <c r="TA8">
        <v>15242973</v>
      </c>
      <c r="TB8" t="s">
        <v>1990</v>
      </c>
      <c r="TE8" t="s">
        <v>1840</v>
      </c>
      <c r="TF8">
        <v>0.48504599999999998</v>
      </c>
      <c r="TG8" t="s">
        <v>1822</v>
      </c>
      <c r="TH8">
        <v>0.30077399999999999</v>
      </c>
      <c r="TI8" t="s">
        <v>1806</v>
      </c>
      <c r="TJ8">
        <v>2025</v>
      </c>
      <c r="TK8" t="s">
        <v>1841</v>
      </c>
      <c r="TL8" s="6">
        <v>45820</v>
      </c>
      <c r="TM8">
        <v>5</v>
      </c>
      <c r="TN8">
        <v>12261954</v>
      </c>
      <c r="TO8">
        <v>12129192</v>
      </c>
      <c r="TP8" t="s">
        <v>1842</v>
      </c>
    </row>
    <row r="9" spans="1:600" x14ac:dyDescent="0.25">
      <c r="A9" t="s">
        <v>2883</v>
      </c>
      <c r="C9">
        <v>-2.4245362661989844E-14</v>
      </c>
      <c r="D9">
        <v>-2.4245362661989844E-14</v>
      </c>
      <c r="E9" t="s">
        <v>1814</v>
      </c>
      <c r="F9">
        <v>2022</v>
      </c>
      <c r="G9" t="s">
        <v>2884</v>
      </c>
      <c r="H9" s="6">
        <v>45000</v>
      </c>
      <c r="I9">
        <v>5</v>
      </c>
      <c r="J9">
        <v>-2.4245362661989844E-14</v>
      </c>
      <c r="K9">
        <v>69704831</v>
      </c>
      <c r="L9" t="s">
        <v>2885</v>
      </c>
      <c r="O9" t="s">
        <v>2807</v>
      </c>
      <c r="P9">
        <v>-2.4245362661989844E-14</v>
      </c>
      <c r="R9">
        <v>-2.4245362661989844E-14</v>
      </c>
      <c r="S9" t="s">
        <v>1814</v>
      </c>
      <c r="T9">
        <v>2024</v>
      </c>
      <c r="U9" t="s">
        <v>2808</v>
      </c>
      <c r="V9" s="6">
        <v>45777</v>
      </c>
      <c r="W9">
        <v>5</v>
      </c>
      <c r="X9">
        <v>-2.4245362661989844E-14</v>
      </c>
      <c r="Y9">
        <v>384701</v>
      </c>
      <c r="Z9" t="s">
        <v>2809</v>
      </c>
      <c r="HC9" t="s">
        <v>3364</v>
      </c>
      <c r="HE9">
        <v>-2.4245362661989844E-14</v>
      </c>
      <c r="HF9">
        <v>-2.4245362661989844E-14</v>
      </c>
      <c r="HG9" t="s">
        <v>1814</v>
      </c>
      <c r="HH9">
        <v>2024</v>
      </c>
      <c r="HI9" t="s">
        <v>3360</v>
      </c>
      <c r="HJ9" s="6">
        <v>45716</v>
      </c>
      <c r="HK9">
        <v>5</v>
      </c>
      <c r="HL9">
        <v>-2.4245362661989844E-14</v>
      </c>
      <c r="HM9">
        <v>180580</v>
      </c>
      <c r="HN9" t="s">
        <v>3365</v>
      </c>
      <c r="HQ9" t="s">
        <v>4141</v>
      </c>
      <c r="HR9">
        <v>-2.4245362661989844E-14</v>
      </c>
      <c r="HT9">
        <v>-2.4245362661989844E-14</v>
      </c>
      <c r="HU9" t="s">
        <v>1814</v>
      </c>
      <c r="HV9">
        <v>2024</v>
      </c>
      <c r="HW9" t="s">
        <v>3360</v>
      </c>
      <c r="HX9" s="6">
        <v>45716</v>
      </c>
      <c r="HY9">
        <v>5</v>
      </c>
      <c r="HZ9">
        <v>-2.4245362661989844E-14</v>
      </c>
      <c r="IA9">
        <v>62705758</v>
      </c>
      <c r="IB9" t="s">
        <v>4142</v>
      </c>
      <c r="IG9" t="s">
        <v>2039</v>
      </c>
      <c r="II9">
        <v>-2.4245362661989844E-14</v>
      </c>
      <c r="IJ9">
        <v>-2.4245362661989844E-14</v>
      </c>
      <c r="IK9" t="s">
        <v>1814</v>
      </c>
      <c r="IL9">
        <v>2021</v>
      </c>
      <c r="IM9" t="s">
        <v>2040</v>
      </c>
      <c r="IN9" s="6">
        <v>44693</v>
      </c>
      <c r="IO9">
        <v>5</v>
      </c>
      <c r="IP9">
        <v>-2.4245362661989844E-14</v>
      </c>
      <c r="IQ9">
        <v>313098</v>
      </c>
      <c r="IR9" t="s">
        <v>2041</v>
      </c>
      <c r="IU9" t="s">
        <v>3004</v>
      </c>
      <c r="IV9">
        <v>-2.4245362661989844E-14</v>
      </c>
      <c r="IX9">
        <v>-2.4245362661989844E-14</v>
      </c>
      <c r="IY9" t="s">
        <v>1814</v>
      </c>
      <c r="IZ9">
        <v>2024</v>
      </c>
      <c r="JA9" t="s">
        <v>3005</v>
      </c>
      <c r="JB9" s="6">
        <v>45771</v>
      </c>
      <c r="JC9">
        <v>5</v>
      </c>
      <c r="JD9">
        <v>-2.4245362661989844E-14</v>
      </c>
      <c r="JE9">
        <v>16825202</v>
      </c>
      <c r="JF9" t="s">
        <v>3006</v>
      </c>
      <c r="PE9" t="s">
        <v>3168</v>
      </c>
      <c r="PG9">
        <v>-2.4245362661989844E-14</v>
      </c>
      <c r="PH9">
        <v>-2.4245362661989844E-14</v>
      </c>
      <c r="PI9" t="s">
        <v>1814</v>
      </c>
      <c r="PJ9">
        <v>2021</v>
      </c>
      <c r="PK9" t="s">
        <v>3169</v>
      </c>
      <c r="PL9" s="6">
        <v>44728</v>
      </c>
      <c r="PM9">
        <v>5</v>
      </c>
      <c r="PN9">
        <v>-2.4245362661989844E-14</v>
      </c>
      <c r="PO9">
        <v>866835</v>
      </c>
      <c r="PP9" t="s">
        <v>3170</v>
      </c>
      <c r="PS9" t="s">
        <v>2085</v>
      </c>
      <c r="PT9">
        <v>0.117287</v>
      </c>
      <c r="PU9" t="s">
        <v>1822</v>
      </c>
      <c r="PV9">
        <v>5.5309999999999998E-2</v>
      </c>
      <c r="PW9" t="s">
        <v>1810</v>
      </c>
      <c r="PX9">
        <v>2025</v>
      </c>
      <c r="PY9" t="s">
        <v>2768</v>
      </c>
      <c r="PZ9" s="6">
        <v>46034</v>
      </c>
      <c r="QA9">
        <v>5</v>
      </c>
      <c r="QB9">
        <v>315501</v>
      </c>
      <c r="QC9">
        <v>313021</v>
      </c>
      <c r="QD9" t="s">
        <v>2087</v>
      </c>
      <c r="SQ9" t="s">
        <v>1991</v>
      </c>
      <c r="SR9" t="s">
        <v>1822</v>
      </c>
      <c r="SS9">
        <v>12.54</v>
      </c>
      <c r="ST9">
        <v>0.54083499999999995</v>
      </c>
      <c r="SU9" t="s">
        <v>1831</v>
      </c>
      <c r="SV9">
        <v>2025</v>
      </c>
      <c r="SW9" t="s">
        <v>1992</v>
      </c>
      <c r="SX9" s="6">
        <v>45954</v>
      </c>
      <c r="SY9">
        <v>5</v>
      </c>
      <c r="SZ9">
        <v>7432423.6699999999</v>
      </c>
      <c r="TA9">
        <v>13138644</v>
      </c>
      <c r="TB9" t="s">
        <v>1993</v>
      </c>
      <c r="TE9" t="s">
        <v>2174</v>
      </c>
      <c r="TF9">
        <v>0.42185099999999998</v>
      </c>
      <c r="TG9" t="s">
        <v>1822</v>
      </c>
      <c r="TH9">
        <v>43.740009000000001</v>
      </c>
      <c r="TI9" t="s">
        <v>1814</v>
      </c>
      <c r="TJ9">
        <v>2024</v>
      </c>
      <c r="TK9" t="s">
        <v>2175</v>
      </c>
      <c r="TL9" s="6">
        <v>45798</v>
      </c>
      <c r="TM9">
        <v>5</v>
      </c>
      <c r="TN9">
        <v>11679674.470000001</v>
      </c>
      <c r="TO9">
        <v>812726</v>
      </c>
      <c r="TP9" t="s">
        <v>2176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918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919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920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921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922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923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924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925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926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927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928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929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930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931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932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933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934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935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936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937</v>
      </c>
      <c r="AE2" s="3" t="s">
        <v>938</v>
      </c>
      <c r="BI2" s="3" t="s">
        <v>939</v>
      </c>
      <c r="CM2" s="3" t="s">
        <v>940</v>
      </c>
      <c r="DQ2" s="3" t="s">
        <v>941</v>
      </c>
      <c r="EU2" s="3" t="s">
        <v>127</v>
      </c>
      <c r="FY2" s="3" t="s">
        <v>549</v>
      </c>
      <c r="HC2" s="3" t="s">
        <v>553</v>
      </c>
      <c r="IG2" s="3" t="s">
        <v>942</v>
      </c>
      <c r="JK2" s="3" t="s">
        <v>501</v>
      </c>
      <c r="KO2" s="3" t="s">
        <v>943</v>
      </c>
      <c r="LS2" s="3" t="s">
        <v>387</v>
      </c>
      <c r="MW2" s="3" t="s">
        <v>944</v>
      </c>
      <c r="OA2" s="3" t="s">
        <v>945</v>
      </c>
      <c r="PE2" s="3" t="s">
        <v>122</v>
      </c>
      <c r="QI2" s="3" t="s">
        <v>946</v>
      </c>
      <c r="RM2" s="3" t="s">
        <v>947</v>
      </c>
      <c r="SQ2" s="3" t="s">
        <v>120</v>
      </c>
      <c r="TU2" s="3" t="s">
        <v>948</v>
      </c>
      <c r="UY2" s="3" t="s">
        <v>949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_xll.BDS("FCLF US Equity","SUPPLY_CHAIN_SUPPLIERS_ALL_DATA")</f>
        <v>#N/A N/A</v>
      </c>
      <c r="O5" t="str">
        <f>_xll.BDS("FCLF US Equity","SUPPLY_CHAIN_CUSTOMERS_ALL_DATA")</f>
        <v>#N/A N/A</v>
      </c>
      <c r="AE5" t="str">
        <f>_xll.BDS("CMTV US Equity","SUPPLY_CHAIN_SUPPLIERS_ALL_DATA")</f>
        <v>#N/A N/A</v>
      </c>
      <c r="AS5" t="str">
        <f>_xll.BDS("CMTV US Equity","SUPPLY_CHAIN_CUSTOMERS_ALL_DATA")</f>
        <v>#N/A N/A</v>
      </c>
      <c r="BI5" t="str">
        <f>_xll.BDS("HBK US Equity","SUPPLY_CHAIN_SUPPLIERS_ALL_DATA")</f>
        <v>#N/A N/A</v>
      </c>
      <c r="BW5" t="str">
        <f>_xll.BDS("HBK US Equity","SUPPLY_CHAIN_CUSTOMERS_ALL_DATA")</f>
        <v>#N/A N/A</v>
      </c>
      <c r="CM5" t="str">
        <f>_xll.BDS("8144537Q US Equity","SUPPLY_CHAIN_SUPPLIERS_ALL_DATA")</f>
        <v>#N/A N/A</v>
      </c>
      <c r="DA5" t="str">
        <f>_xll.BDS("8144537Q US Equity","SUPPLY_CHAIN_CUSTOMERS_ALL_DATA")</f>
        <v>#N/A N/A</v>
      </c>
      <c r="DQ5" t="str">
        <f>_xll.BDS("1436513D US Equity","SUPPLY_CHAIN_SUPPLIERS_ALL_DATA","cols=12;rows=1")</f>
        <v>FE US Equity</v>
      </c>
      <c r="DS5">
        <v>-2.4245362661989844E-14</v>
      </c>
      <c r="DT5">
        <v>-2.4245362661989844E-14</v>
      </c>
      <c r="DU5" t="s">
        <v>1814</v>
      </c>
      <c r="DV5">
        <v>2021</v>
      </c>
      <c r="DW5" t="s">
        <v>1995</v>
      </c>
      <c r="DX5" s="6">
        <v>44693</v>
      </c>
      <c r="DY5">
        <v>1</v>
      </c>
      <c r="DZ5">
        <v>-2.4245362661989844E-14</v>
      </c>
      <c r="EA5">
        <v>302916</v>
      </c>
      <c r="EB5" t="s">
        <v>1996</v>
      </c>
      <c r="EE5" t="str">
        <f>_xll.BDS("1436513D US Equity","SUPPLY_CHAIN_CUSTOMERS_ALL_DATA")</f>
        <v>#N/A N/A</v>
      </c>
      <c r="EU5" t="str">
        <f>_xll.BDS("HU US Equity","SUPPLY_CHAIN_SUPPLIERS_ALL_DATA")</f>
        <v>#N/A N/A</v>
      </c>
      <c r="FI5" t="str">
        <f>_xll.BDS("HU US Equity","SUPPLY_CHAIN_CUSTOMERS_ALL_DATA")</f>
        <v>#N/A N/A</v>
      </c>
      <c r="FY5" t="str">
        <f>_xll.BDS("HBCP US Equity","SUPPLY_CHAIN_SUPPLIERS_ALL_DATA")</f>
        <v>#N/A N/A</v>
      </c>
      <c r="GM5" t="str">
        <f>_xll.BDS("HBCP US Equity","SUPPLY_CHAIN_CUSTOMERS_ALL_DATA")</f>
        <v>#N/A N/A</v>
      </c>
      <c r="HC5" t="str">
        <f>_xll.BDS("IXYS US Equity","SUPPLY_CHAIN_SUPPLIERS_ALL_DATA")</f>
        <v>#N/A N/A</v>
      </c>
      <c r="HQ5" t="str">
        <f>_xll.BDS("IXYS US Equity","SUPPLY_CHAIN_CUSTOMERS_ALL_DATA")</f>
        <v>#N/A N/A</v>
      </c>
      <c r="IG5" t="str">
        <f>_xll.BDS("GE US Equity","SUPPLY_CHAIN_SUPPLIERS_ALL_DATA")</f>
        <v>SAF FP Equity</v>
      </c>
      <c r="IU5" t="str">
        <f>_xll.BDS("GE US Equity","SUPPLY_CHAIN_CUSTOMERS_ALL_DATA")</f>
        <v>3352Z US Equity</v>
      </c>
      <c r="JK5" t="str">
        <f>_xll.BDS("BNCN US Equity","SUPPLY_CHAIN_SUPPLIERS_ALL_DATA")</f>
        <v>#N/A N/A</v>
      </c>
      <c r="JY5" t="str">
        <f>_xll.BDS("BNCN US Equity","SUPPLY_CHAIN_CUSTOMERS_ALL_DATA")</f>
        <v>#N/A N/A</v>
      </c>
      <c r="KO5" t="str">
        <f>_xll.BDS("MSCC US Equity","SUPPLY_CHAIN_SUPPLIERS_ALL_DATA","cols=12;rows=1")</f>
        <v>FE US Equity</v>
      </c>
      <c r="KQ5">
        <v>-2.4245362661989844E-14</v>
      </c>
      <c r="KR5">
        <v>-2.4245362661989844E-14</v>
      </c>
      <c r="KS5" t="s">
        <v>1814</v>
      </c>
      <c r="KT5">
        <v>2021</v>
      </c>
      <c r="KU5" t="s">
        <v>1995</v>
      </c>
      <c r="KV5" s="6">
        <v>44693</v>
      </c>
      <c r="KW5">
        <v>1</v>
      </c>
      <c r="KX5">
        <v>-2.4245362661989844E-14</v>
      </c>
      <c r="KY5">
        <v>302916</v>
      </c>
      <c r="KZ5" t="s">
        <v>1996</v>
      </c>
      <c r="LC5" t="str">
        <f>_xll.BDS("MSCC US Equity","SUPPLY_CHAIN_CUSTOMERS_ALL_DATA")</f>
        <v>#N/A N/A</v>
      </c>
      <c r="LS5" t="str">
        <f>_xll.BDS("SFNC US Equity","SUPPLY_CHAIN_SUPPLIERS_ALL_DATA")</f>
        <v>#N/A N/A</v>
      </c>
      <c r="MG5" t="str">
        <f>_xll.BDS("SFNC US Equity","SUPPLY_CHAIN_CUSTOMERS_ALL_DATA")</f>
        <v>#N/A N/A</v>
      </c>
      <c r="MW5" t="str">
        <f>_xll.BDS("LHX US Equity","SUPPLY_CHAIN_SUPPLIERS_ALL_DATA","cols=12;rows=5")</f>
        <v>HON US Equity</v>
      </c>
      <c r="MX5" t="s">
        <v>1822</v>
      </c>
      <c r="MY5">
        <v>0.21166299999999999</v>
      </c>
      <c r="MZ5">
        <v>0.55468300000000004</v>
      </c>
      <c r="NA5" t="s">
        <v>1823</v>
      </c>
      <c r="NB5">
        <v>2025</v>
      </c>
      <c r="NC5" t="s">
        <v>3298</v>
      </c>
      <c r="ND5" s="6">
        <v>45898</v>
      </c>
      <c r="NE5">
        <v>5</v>
      </c>
      <c r="NF5">
        <v>21911354</v>
      </c>
      <c r="NG5">
        <v>100043</v>
      </c>
      <c r="NH5" t="s">
        <v>2064</v>
      </c>
      <c r="NK5" t="str">
        <f>_xll.BDS("LHX US Equity","SUPPLY_CHAIN_CUSTOMERS_ALL_DATA","cols=12;rows=5")</f>
        <v>3352Z US Equity</v>
      </c>
      <c r="NL5">
        <v>75</v>
      </c>
      <c r="NN5">
        <v>-2.4245362661989844E-14</v>
      </c>
      <c r="NO5" t="s">
        <v>1814</v>
      </c>
      <c r="NP5">
        <v>2025</v>
      </c>
      <c r="NQ5" t="s">
        <v>3171</v>
      </c>
      <c r="NR5" s="6">
        <v>46065</v>
      </c>
      <c r="NS5">
        <v>5</v>
      </c>
      <c r="NT5">
        <v>4099687424</v>
      </c>
      <c r="NU5">
        <v>218252</v>
      </c>
      <c r="NV5" t="s">
        <v>2012</v>
      </c>
      <c r="OA5" t="str">
        <f>_xll.BDS("VIZY US Equity","SUPPLY_CHAIN_SUPPLIERS_ALL_DATA")</f>
        <v>#N/A N/A</v>
      </c>
      <c r="OO5" t="str">
        <f>_xll.BDS("VIZY US Equity","SUPPLY_CHAIN_CUSTOMERS_ALL_DATA")</f>
        <v>#N/A N/A</v>
      </c>
      <c r="PE5" t="str">
        <f>_xll.BDS("BCAL US Equity","SUPPLY_CHAIN_SUPPLIERS_ALL_DATA")</f>
        <v>#N/A N/A</v>
      </c>
      <c r="PS5" t="str">
        <f>_xll.BDS("BCAL US Equity","SUPPLY_CHAIN_CUSTOMERS_ALL_DATA")</f>
        <v>#N/A N/A</v>
      </c>
      <c r="QI5" t="str">
        <f>_xll.BDS("CHCO US Equity","SUPPLY_CHAIN_SUPPLIERS_ALL_DATA")</f>
        <v>#N/A N/A</v>
      </c>
      <c r="QW5" t="str">
        <f>_xll.BDS("CHCO US Equity","SUPPLY_CHAIN_CUSTOMERS_ALL_DATA")</f>
        <v>#N/A N/A</v>
      </c>
      <c r="RM5" t="str">
        <f>_xll.BDS("NEBS US Equity","SUPPLY_CHAIN_SUPPLIERS_ALL_DATA")</f>
        <v>#N/A N/A</v>
      </c>
      <c r="SA5" t="str">
        <f>_xll.BDS("NEBS US Equity","SUPPLY_CHAIN_CUSTOMERS_ALL_DATA")</f>
        <v>#N/A N/A</v>
      </c>
      <c r="SQ5" t="str">
        <f>_xll.BDS("HTBK US Equity","SUPPLY_CHAIN_SUPPLIERS_ALL_DATA")</f>
        <v>#N/A N/A</v>
      </c>
      <c r="TE5" t="str">
        <f>_xll.BDS("HTBK US Equity","SUPPLY_CHAIN_CUSTOMERS_ALL_DATA")</f>
        <v>#N/A N/A</v>
      </c>
      <c r="TU5" t="str">
        <f>_xll.BDS("0897262D US Equity","SUPPLY_CHAIN_SUPPLIERS_ALL_DATA")</f>
        <v>#N/A N/A</v>
      </c>
      <c r="UI5" t="str">
        <f>_xll.BDS("0897262D US Equity","SUPPLY_CHAIN_CUSTOMERS_ALL_DATA")</f>
        <v>#N/A N/A</v>
      </c>
      <c r="UY5" t="str">
        <f>_xll.BDS("VFC US Equity","SUPPLY_CHAIN_SUPPLIERS_ALL_DATA","cols=12;rows=5")</f>
        <v>300979 CH Equity</v>
      </c>
      <c r="UZ5" t="s">
        <v>1822</v>
      </c>
      <c r="VA5">
        <v>21.384215999999999</v>
      </c>
      <c r="VB5">
        <v>15.711614000000001</v>
      </c>
      <c r="VC5" t="s">
        <v>1827</v>
      </c>
      <c r="VD5">
        <v>2024</v>
      </c>
      <c r="VE5" t="s">
        <v>3307</v>
      </c>
      <c r="VF5" s="6">
        <v>45832</v>
      </c>
      <c r="VG5">
        <v>5</v>
      </c>
      <c r="VH5">
        <v>158955099.71000001</v>
      </c>
      <c r="VI5">
        <v>68423531</v>
      </c>
      <c r="VJ5" t="s">
        <v>3308</v>
      </c>
      <c r="VM5" t="str">
        <f>_xll.BDS("VFC US Equity","SUPPLY_CHAIN_CUSTOMERS_ALL_DATA","cols=12;rows=5")</f>
        <v>JD/ LN Equity</v>
      </c>
      <c r="VN5">
        <v>2.8141630000000002</v>
      </c>
      <c r="VO5" t="s">
        <v>1822</v>
      </c>
      <c r="VP5">
        <v>3.9426100000000002</v>
      </c>
      <c r="VQ5" t="s">
        <v>1823</v>
      </c>
      <c r="VR5">
        <v>2026</v>
      </c>
      <c r="VS5" t="s">
        <v>4143</v>
      </c>
      <c r="VT5" s="6">
        <v>46066</v>
      </c>
      <c r="VU5">
        <v>5</v>
      </c>
      <c r="VV5">
        <v>81982756.680000007</v>
      </c>
      <c r="VW5">
        <v>194968</v>
      </c>
      <c r="VX5" t="s">
        <v>2466</v>
      </c>
    </row>
    <row r="6" spans="1:600" x14ac:dyDescent="0.25">
      <c r="MW6" t="s">
        <v>2217</v>
      </c>
      <c r="MX6" t="s">
        <v>1822</v>
      </c>
      <c r="MY6">
        <v>2.5126179999999998</v>
      </c>
      <c r="MZ6">
        <v>0.47878900000000002</v>
      </c>
      <c r="NA6" t="s">
        <v>1810</v>
      </c>
      <c r="NB6">
        <v>2025</v>
      </c>
      <c r="NC6" t="s">
        <v>2218</v>
      </c>
      <c r="ND6" s="6">
        <v>46001</v>
      </c>
      <c r="NE6">
        <v>5</v>
      </c>
      <c r="NF6">
        <v>18913380</v>
      </c>
      <c r="NG6">
        <v>1182195</v>
      </c>
      <c r="NH6" t="s">
        <v>2219</v>
      </c>
      <c r="NK6" t="s">
        <v>2016</v>
      </c>
      <c r="NL6">
        <v>4.0109130000000004</v>
      </c>
      <c r="NM6" t="s">
        <v>1822</v>
      </c>
      <c r="NN6">
        <v>1.232105</v>
      </c>
      <c r="NO6" t="s">
        <v>1823</v>
      </c>
      <c r="NP6">
        <v>2025</v>
      </c>
      <c r="NQ6" t="s">
        <v>3172</v>
      </c>
      <c r="NR6" s="6">
        <v>45897</v>
      </c>
      <c r="NS6">
        <v>5</v>
      </c>
      <c r="NT6">
        <v>213831792</v>
      </c>
      <c r="NU6">
        <v>156923</v>
      </c>
      <c r="NV6" t="s">
        <v>2017</v>
      </c>
      <c r="UY6" t="s">
        <v>2161</v>
      </c>
      <c r="UZ6" t="s">
        <v>1893</v>
      </c>
      <c r="VA6">
        <v>0.16278100000000001</v>
      </c>
      <c r="VB6">
        <v>4.8976350000000002</v>
      </c>
      <c r="VC6" t="s">
        <v>1806</v>
      </c>
      <c r="VD6">
        <v>2026</v>
      </c>
      <c r="VE6" t="s">
        <v>2162</v>
      </c>
      <c r="VF6" s="6">
        <v>45973</v>
      </c>
      <c r="VG6">
        <v>5</v>
      </c>
      <c r="VH6">
        <v>55757105.289999999</v>
      </c>
      <c r="VI6">
        <v>16857643</v>
      </c>
      <c r="VJ6" t="s">
        <v>2163</v>
      </c>
      <c r="VM6" t="s">
        <v>2142</v>
      </c>
      <c r="VN6">
        <v>2.0342440000000002</v>
      </c>
      <c r="VO6" t="s">
        <v>1822</v>
      </c>
      <c r="VP6">
        <v>4.3429000000000002E-2</v>
      </c>
      <c r="VQ6" t="s">
        <v>1810</v>
      </c>
      <c r="VR6">
        <v>2026</v>
      </c>
      <c r="VS6" t="s">
        <v>4144</v>
      </c>
      <c r="VT6" s="6">
        <v>46051</v>
      </c>
      <c r="VU6">
        <v>5</v>
      </c>
      <c r="VV6">
        <v>58500808</v>
      </c>
      <c r="VW6">
        <v>101616</v>
      </c>
      <c r="VX6" t="s">
        <v>2143</v>
      </c>
    </row>
    <row r="7" spans="1:600" x14ac:dyDescent="0.25">
      <c r="MW7" t="s">
        <v>3299</v>
      </c>
      <c r="MX7" t="s">
        <v>1822</v>
      </c>
      <c r="MY7">
        <v>0.91415500000000005</v>
      </c>
      <c r="MZ7">
        <v>0.41992099999999999</v>
      </c>
      <c r="NA7" t="s">
        <v>1823</v>
      </c>
      <c r="NB7">
        <v>2025</v>
      </c>
      <c r="NC7" t="s">
        <v>3300</v>
      </c>
      <c r="ND7" s="6">
        <v>45903</v>
      </c>
      <c r="NE7">
        <v>5</v>
      </c>
      <c r="NF7">
        <v>16587928</v>
      </c>
      <c r="NG7">
        <v>1184444</v>
      </c>
      <c r="NH7" t="s">
        <v>3301</v>
      </c>
      <c r="NK7" t="s">
        <v>2013</v>
      </c>
      <c r="NL7">
        <v>2.3270849999999998</v>
      </c>
      <c r="NM7" t="s">
        <v>1822</v>
      </c>
      <c r="NN7">
        <v>0.72108499999999998</v>
      </c>
      <c r="NO7" t="s">
        <v>1823</v>
      </c>
      <c r="NP7">
        <v>2025</v>
      </c>
      <c r="NQ7" t="s">
        <v>3172</v>
      </c>
      <c r="NR7" s="6">
        <v>45897</v>
      </c>
      <c r="NS7">
        <v>5</v>
      </c>
      <c r="NT7">
        <v>124062720</v>
      </c>
      <c r="NU7">
        <v>101555</v>
      </c>
      <c r="NV7" t="s">
        <v>2015</v>
      </c>
      <c r="UY7" t="s">
        <v>2482</v>
      </c>
      <c r="UZ7" t="s">
        <v>1822</v>
      </c>
      <c r="VA7">
        <v>2.0287500000000001</v>
      </c>
      <c r="VB7">
        <v>3.3266719999999999</v>
      </c>
      <c r="VC7" t="s">
        <v>1810</v>
      </c>
      <c r="VD7">
        <v>2025</v>
      </c>
      <c r="VE7" t="s">
        <v>3309</v>
      </c>
      <c r="VF7" s="6">
        <v>46058</v>
      </c>
      <c r="VG7">
        <v>5</v>
      </c>
      <c r="VH7">
        <v>41498896</v>
      </c>
      <c r="VI7">
        <v>116620</v>
      </c>
      <c r="VJ7" t="s">
        <v>2484</v>
      </c>
      <c r="VM7" t="s">
        <v>3582</v>
      </c>
      <c r="VN7">
        <v>1.30175</v>
      </c>
      <c r="VO7" t="s">
        <v>1822</v>
      </c>
      <c r="VP7">
        <v>0.81862400000000002</v>
      </c>
      <c r="VQ7" t="s">
        <v>1823</v>
      </c>
      <c r="VR7">
        <v>2025</v>
      </c>
      <c r="VS7" t="s">
        <v>3583</v>
      </c>
      <c r="VT7" s="6">
        <v>45917</v>
      </c>
      <c r="VU7">
        <v>5</v>
      </c>
      <c r="VV7">
        <v>22919466</v>
      </c>
      <c r="VW7">
        <v>126788</v>
      </c>
      <c r="VX7" t="s">
        <v>3584</v>
      </c>
    </row>
    <row r="8" spans="1:600" x14ac:dyDescent="0.25">
      <c r="MW8" t="s">
        <v>3302</v>
      </c>
      <c r="MX8" t="s">
        <v>1822</v>
      </c>
      <c r="MY8">
        <v>6.1110550000000003</v>
      </c>
      <c r="MZ8">
        <v>0.36025400000000002</v>
      </c>
      <c r="NA8" t="s">
        <v>1823</v>
      </c>
      <c r="NB8">
        <v>2026</v>
      </c>
      <c r="NC8" t="s">
        <v>3303</v>
      </c>
      <c r="ND8" s="6">
        <v>46059</v>
      </c>
      <c r="NE8">
        <v>5</v>
      </c>
      <c r="NF8">
        <v>14230936</v>
      </c>
      <c r="NG8">
        <v>313008</v>
      </c>
      <c r="NH8" t="s">
        <v>3304</v>
      </c>
      <c r="NK8" t="s">
        <v>2295</v>
      </c>
      <c r="NL8">
        <v>0.49604900000000002</v>
      </c>
      <c r="NM8" t="s">
        <v>1949</v>
      </c>
      <c r="NN8">
        <v>-2.4245362661989844E-14</v>
      </c>
      <c r="NO8" t="s">
        <v>1814</v>
      </c>
      <c r="NP8">
        <v>2025</v>
      </c>
      <c r="NQ8" t="s">
        <v>2296</v>
      </c>
      <c r="NR8" s="6">
        <v>45925</v>
      </c>
      <c r="NS8">
        <v>5</v>
      </c>
      <c r="NT8">
        <v>26158000</v>
      </c>
      <c r="NU8">
        <v>340053</v>
      </c>
      <c r="NV8" t="s">
        <v>2297</v>
      </c>
      <c r="UY8" t="s">
        <v>3310</v>
      </c>
      <c r="UZ8" t="s">
        <v>1822</v>
      </c>
      <c r="VA8">
        <v>7.0469400000000002</v>
      </c>
      <c r="VB8">
        <v>2.182099</v>
      </c>
      <c r="VC8" t="s">
        <v>1810</v>
      </c>
      <c r="VD8">
        <v>2025</v>
      </c>
      <c r="VE8" t="s">
        <v>3311</v>
      </c>
      <c r="VF8" s="6">
        <v>46058</v>
      </c>
      <c r="VG8">
        <v>5</v>
      </c>
      <c r="VH8">
        <v>27220814</v>
      </c>
      <c r="VI8">
        <v>12116527</v>
      </c>
      <c r="VJ8" t="s">
        <v>3312</v>
      </c>
      <c r="VM8" t="s">
        <v>2139</v>
      </c>
      <c r="VN8">
        <v>0.824013</v>
      </c>
      <c r="VO8" t="s">
        <v>1822</v>
      </c>
      <c r="VP8">
        <v>0.13065499999999999</v>
      </c>
      <c r="VQ8" t="s">
        <v>1810</v>
      </c>
      <c r="VR8">
        <v>2026</v>
      </c>
      <c r="VS8" t="s">
        <v>4144</v>
      </c>
      <c r="VT8" s="6">
        <v>46051</v>
      </c>
      <c r="VU8">
        <v>5</v>
      </c>
      <c r="VV8">
        <v>23696974</v>
      </c>
      <c r="VW8">
        <v>100436</v>
      </c>
      <c r="VX8" t="s">
        <v>2141</v>
      </c>
    </row>
    <row r="9" spans="1:600" x14ac:dyDescent="0.25">
      <c r="MW9" t="s">
        <v>777</v>
      </c>
      <c r="MX9" t="s">
        <v>1822</v>
      </c>
      <c r="MY9">
        <v>0.75061999999999995</v>
      </c>
      <c r="MZ9">
        <v>0.28763100000000003</v>
      </c>
      <c r="NA9" t="s">
        <v>1823</v>
      </c>
      <c r="NB9">
        <v>2025</v>
      </c>
      <c r="NC9" t="s">
        <v>3305</v>
      </c>
      <c r="ND9" s="6">
        <v>45874</v>
      </c>
      <c r="NE9">
        <v>5</v>
      </c>
      <c r="NF9">
        <v>11362135</v>
      </c>
      <c r="NG9">
        <v>1094198</v>
      </c>
      <c r="NH9" t="s">
        <v>3306</v>
      </c>
      <c r="NK9" t="s">
        <v>2018</v>
      </c>
      <c r="NL9">
        <v>0.43229800000000002</v>
      </c>
      <c r="NM9" t="s">
        <v>1822</v>
      </c>
      <c r="NN9">
        <v>0.282169</v>
      </c>
      <c r="NO9" t="s">
        <v>1823</v>
      </c>
      <c r="NP9">
        <v>2025</v>
      </c>
      <c r="NQ9" t="s">
        <v>3172</v>
      </c>
      <c r="NR9" s="6">
        <v>45897</v>
      </c>
      <c r="NS9">
        <v>5</v>
      </c>
      <c r="NT9">
        <v>23046888</v>
      </c>
      <c r="NU9">
        <v>101090</v>
      </c>
      <c r="NV9" t="s">
        <v>2019</v>
      </c>
      <c r="UY9" t="s">
        <v>3313</v>
      </c>
      <c r="UZ9" t="s">
        <v>1822</v>
      </c>
      <c r="VA9">
        <v>46</v>
      </c>
      <c r="VB9">
        <v>1.5506709999999999</v>
      </c>
      <c r="VC9" t="s">
        <v>1810</v>
      </c>
      <c r="VD9">
        <v>2026</v>
      </c>
      <c r="VE9" t="s">
        <v>3314</v>
      </c>
      <c r="VF9" s="6">
        <v>46063</v>
      </c>
      <c r="VG9">
        <v>5</v>
      </c>
      <c r="VH9">
        <v>19344000</v>
      </c>
      <c r="VI9">
        <v>54865572</v>
      </c>
      <c r="VJ9" t="s">
        <v>3315</v>
      </c>
      <c r="VM9" t="s">
        <v>4145</v>
      </c>
      <c r="VN9">
        <v>0.49554799999999999</v>
      </c>
      <c r="VO9" t="s">
        <v>1822</v>
      </c>
      <c r="VP9">
        <v>0.51135299999999995</v>
      </c>
      <c r="VQ9" t="s">
        <v>1810</v>
      </c>
      <c r="VR9">
        <v>2026</v>
      </c>
      <c r="VS9" t="s">
        <v>4144</v>
      </c>
      <c r="VT9" s="6">
        <v>46051</v>
      </c>
      <c r="VU9">
        <v>5</v>
      </c>
      <c r="VV9">
        <v>14250974</v>
      </c>
      <c r="VW9">
        <v>1133363</v>
      </c>
      <c r="VX9" t="s">
        <v>4146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951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952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953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954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955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956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957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958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959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960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961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962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963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964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965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966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967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968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969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970</v>
      </c>
      <c r="AE2" s="3" t="s">
        <v>971</v>
      </c>
      <c r="BI2" s="3" t="s">
        <v>972</v>
      </c>
      <c r="CM2" s="3" t="s">
        <v>973</v>
      </c>
      <c r="DQ2" s="3" t="s">
        <v>771</v>
      </c>
      <c r="EU2" s="3" t="s">
        <v>974</v>
      </c>
      <c r="FY2" s="3" t="s">
        <v>975</v>
      </c>
      <c r="HC2" s="3" t="s">
        <v>976</v>
      </c>
      <c r="IG2" s="3" t="s">
        <v>977</v>
      </c>
      <c r="JK2" s="3" t="s">
        <v>978</v>
      </c>
      <c r="KO2" s="3" t="s">
        <v>979</v>
      </c>
      <c r="LS2" s="3" t="s">
        <v>397</v>
      </c>
      <c r="MW2" s="3" t="s">
        <v>980</v>
      </c>
      <c r="OA2" s="3" t="s">
        <v>981</v>
      </c>
      <c r="PE2" s="3" t="s">
        <v>982</v>
      </c>
      <c r="QI2" s="3" t="s">
        <v>983</v>
      </c>
      <c r="RM2" s="3" t="s">
        <v>984</v>
      </c>
      <c r="SQ2" s="3" t="s">
        <v>985</v>
      </c>
      <c r="TU2" s="3" t="s">
        <v>986</v>
      </c>
      <c r="UY2" s="3" t="s">
        <v>987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_xll.BDS("STTX US Equity","SUPPLY_CHAIN_SUPPLIERS_ALL_DATA")</f>
        <v>#N/A N/A</v>
      </c>
      <c r="O5" t="str">
        <f>_xll.BDS("STTX US Equity","SUPPLY_CHAIN_CUSTOMERS_ALL_DATA")</f>
        <v>#N/A N/A</v>
      </c>
      <c r="AE5" t="str">
        <f>_xll.BDS("AGN US Equity","SUPPLY_CHAIN_SUPPLIERS_ALL_DATA","cols=12;rows=5")</f>
        <v>AEE US Equity</v>
      </c>
      <c r="AG5">
        <v>-2.4245362661989844E-14</v>
      </c>
      <c r="AH5">
        <v>-2.4245362661989844E-14</v>
      </c>
      <c r="AI5" t="s">
        <v>1814</v>
      </c>
      <c r="AJ5">
        <v>2021</v>
      </c>
      <c r="AK5" t="s">
        <v>2040</v>
      </c>
      <c r="AL5" s="6">
        <v>44693</v>
      </c>
      <c r="AM5">
        <v>5</v>
      </c>
      <c r="AN5">
        <v>-2.4245362661989844E-14</v>
      </c>
      <c r="AO5">
        <v>313098</v>
      </c>
      <c r="AP5" t="s">
        <v>2041</v>
      </c>
      <c r="AS5" t="str">
        <f>_xll.BDS("AGN US Equity","SUPPLY_CHAIN_CUSTOMERS_ALL_DATA","cols=12;rows=1")</f>
        <v>4569 JP Equity</v>
      </c>
      <c r="AT5">
        <v>-2.4245362661989844E-14</v>
      </c>
      <c r="AV5">
        <v>-2.4245362661989844E-14</v>
      </c>
      <c r="AW5" t="s">
        <v>1814</v>
      </c>
      <c r="AX5">
        <v>2022</v>
      </c>
      <c r="AY5" t="s">
        <v>2008</v>
      </c>
      <c r="AZ5" s="6">
        <v>44736</v>
      </c>
      <c r="BA5">
        <v>1</v>
      </c>
      <c r="BB5">
        <v>-2.4245362661989844E-14</v>
      </c>
      <c r="BC5">
        <v>10499395</v>
      </c>
      <c r="BD5" t="s">
        <v>2009</v>
      </c>
      <c r="BI5" t="str">
        <f>_xll.BDS("2966Q US Equity","SUPPLY_CHAIN_SUPPLIERS_ALL_DATA")</f>
        <v>#N/A N/A</v>
      </c>
      <c r="BW5" t="str">
        <f>_xll.BDS("2966Q US Equity","SUPPLY_CHAIN_CUSTOMERS_ALL_DATA")</f>
        <v>#N/A N/A</v>
      </c>
      <c r="CM5" t="str">
        <f>_xll.BDS("MFSF US Equity","SUPPLY_CHAIN_SUPPLIERS_ALL_DATA")</f>
        <v>#N/A N/A</v>
      </c>
      <c r="DA5" t="str">
        <f>_xll.BDS("MFSF US Equity","SUPPLY_CHAIN_CUSTOMERS_ALL_DATA")</f>
        <v>#N/A N/A</v>
      </c>
      <c r="DQ5" t="str">
        <f>_xll.BDS("1413542D US Equity","SUPPLY_CHAIN_SUPPLIERS_ALL_DATA")</f>
        <v>#N/A N/A</v>
      </c>
      <c r="EE5" t="str">
        <f>_xll.BDS("1413542D US Equity","SUPPLY_CHAIN_CUSTOMERS_ALL_DATA")</f>
        <v>#N/A N/A</v>
      </c>
      <c r="EU5" t="str">
        <f>_xll.BDS("SYY US Equity","SUPPLY_CHAIN_SUPPLIERS_ALL_DATA","cols=12;rows=5")</f>
        <v>TSN US Equity</v>
      </c>
      <c r="EV5" t="s">
        <v>1822</v>
      </c>
      <c r="EW5">
        <v>7.6089529999999996</v>
      </c>
      <c r="EX5">
        <v>5.9122209999999997</v>
      </c>
      <c r="EY5" t="s">
        <v>1810</v>
      </c>
      <c r="EZ5">
        <v>2025</v>
      </c>
      <c r="FA5" t="s">
        <v>3657</v>
      </c>
      <c r="FB5" s="6">
        <v>45946</v>
      </c>
      <c r="FC5">
        <v>5</v>
      </c>
      <c r="FD5">
        <v>1014064192</v>
      </c>
      <c r="FE5">
        <v>101779</v>
      </c>
      <c r="FF5" t="s">
        <v>3658</v>
      </c>
      <c r="FI5" t="str">
        <f>_xll.BDS("SYY US Equity","SUPPLY_CHAIN_CUSTOMERS_ALL_DATA","cols=12;rows=5")</f>
        <v>ARMK US Equity</v>
      </c>
      <c r="FJ5">
        <v>1.7782070000000001</v>
      </c>
      <c r="FK5" t="s">
        <v>1822</v>
      </c>
      <c r="FL5">
        <v>8.8909129999999994</v>
      </c>
      <c r="FM5" t="s">
        <v>1823</v>
      </c>
      <c r="FN5">
        <v>2025</v>
      </c>
      <c r="FO5" t="s">
        <v>4021</v>
      </c>
      <c r="FP5" s="6">
        <v>45785</v>
      </c>
      <c r="FQ5">
        <v>5</v>
      </c>
      <c r="FR5">
        <v>348492928</v>
      </c>
      <c r="FS5">
        <v>13061296</v>
      </c>
      <c r="FT5" t="s">
        <v>4022</v>
      </c>
      <c r="FY5" t="str">
        <f>_xll.BDS("QCOM US Equity","SUPPLY_CHAIN_SUPPLIERS_ALL_DATA","cols=12;rows=5")</f>
        <v>2330 TT Equity</v>
      </c>
      <c r="FZ5" t="s">
        <v>1822</v>
      </c>
      <c r="GA5">
        <v>5.226388</v>
      </c>
      <c r="GB5">
        <v>27.196342000000001</v>
      </c>
      <c r="GC5" t="s">
        <v>1827</v>
      </c>
      <c r="GD5">
        <v>2024</v>
      </c>
      <c r="GE5" t="s">
        <v>3531</v>
      </c>
      <c r="GF5" s="6">
        <v>45741</v>
      </c>
      <c r="GG5">
        <v>5</v>
      </c>
      <c r="GH5">
        <v>1403070856.74</v>
      </c>
      <c r="GI5">
        <v>153737</v>
      </c>
      <c r="GJ5" t="s">
        <v>1937</v>
      </c>
      <c r="GM5" t="str">
        <f>_xll.BDS("QCOM US Equity","SUPPLY_CHAIN_CUSTOMERS_ALL_DATA","cols=12;rows=5")</f>
        <v>AAPL US Equity</v>
      </c>
      <c r="GN5">
        <v>21.025372999999998</v>
      </c>
      <c r="GO5" t="s">
        <v>1822</v>
      </c>
      <c r="GP5">
        <v>4.3779389999999996</v>
      </c>
      <c r="GQ5" t="s">
        <v>1827</v>
      </c>
      <c r="GR5">
        <v>2025</v>
      </c>
      <c r="GS5" t="s">
        <v>3509</v>
      </c>
      <c r="GT5" s="6">
        <v>46034</v>
      </c>
      <c r="GU5">
        <v>5</v>
      </c>
      <c r="GV5">
        <v>2369559552</v>
      </c>
      <c r="GW5">
        <v>101695</v>
      </c>
      <c r="GX5" t="s">
        <v>2716</v>
      </c>
      <c r="HC5" t="str">
        <f>_xll.BDS("0977894D US Equity","SUPPLY_CHAIN_SUPPLIERS_ALL_DATA")</f>
        <v>#N/A N/A</v>
      </c>
      <c r="HQ5" t="str">
        <f>_xll.BDS("0977894D US Equity","SUPPLY_CHAIN_CUSTOMERS_ALL_DATA")</f>
        <v>#N/A N/A</v>
      </c>
      <c r="IG5" t="str">
        <f>_xll.BDS("696119Q US Equity","SUPPLY_CHAIN_SUPPLIERS_ALL_DATA")</f>
        <v>#N/A N/A</v>
      </c>
      <c r="IU5" t="str">
        <f>_xll.BDS("696119Q US Equity","SUPPLY_CHAIN_CUSTOMERS_ALL_DATA")</f>
        <v>#N/A N/A</v>
      </c>
      <c r="JK5" t="str">
        <f>_xll.BDS("AMZGQ US Equity","SUPPLY_CHAIN_SUPPLIERS_ALL_DATA")</f>
        <v>#N/A N/A</v>
      </c>
      <c r="JY5" t="str">
        <f>_xll.BDS("AMZGQ US Equity","SUPPLY_CHAIN_CUSTOMERS_ALL_DATA")</f>
        <v>#N/A N/A</v>
      </c>
      <c r="KO5" t="str">
        <f>_xll.BDS("BRK/A US Equity","SUPPLY_CHAIN_SUPPLIERS_ALL_DATA","cols=12;rows=5")</f>
        <v>HSY US Equity</v>
      </c>
      <c r="KP5" t="s">
        <v>1822</v>
      </c>
      <c r="KQ5">
        <v>27</v>
      </c>
      <c r="KR5">
        <v>1.2151259999999999</v>
      </c>
      <c r="KS5" t="s">
        <v>1814</v>
      </c>
      <c r="KT5">
        <v>2025</v>
      </c>
      <c r="KU5" t="s">
        <v>1946</v>
      </c>
      <c r="KV5" s="6">
        <v>46070</v>
      </c>
      <c r="KW5">
        <v>5</v>
      </c>
      <c r="KX5">
        <v>789248896</v>
      </c>
      <c r="KY5">
        <v>100731</v>
      </c>
      <c r="KZ5" t="s">
        <v>1947</v>
      </c>
      <c r="LC5" t="str">
        <f>_xll.BDS("BRK/A US Equity","SUPPLY_CHAIN_CUSTOMERS_ALL_DATA","cols=12;rows=5")</f>
        <v>WMT US Equity</v>
      </c>
      <c r="LD5">
        <v>2.1167449999999999</v>
      </c>
      <c r="LE5" t="s">
        <v>1822</v>
      </c>
      <c r="LF5">
        <v>1.7547349999999999</v>
      </c>
      <c r="LG5" t="s">
        <v>1814</v>
      </c>
      <c r="LH5">
        <v>2024</v>
      </c>
      <c r="LI5" t="s">
        <v>2434</v>
      </c>
      <c r="LJ5" s="6">
        <v>45712</v>
      </c>
      <c r="LK5">
        <v>5</v>
      </c>
      <c r="LL5">
        <v>2244977664</v>
      </c>
      <c r="LM5">
        <v>101616</v>
      </c>
      <c r="LN5" t="s">
        <v>2143</v>
      </c>
      <c r="LS5" t="str">
        <f>_xll.BDS("TMD US Equity","SUPPLY_CHAIN_SUPPLIERS_ALL_DATA")</f>
        <v>#N/A N/A</v>
      </c>
      <c r="MG5" t="str">
        <f>_xll.BDS("TMD US Equity","SUPPLY_CHAIN_CUSTOMERS_ALL_DATA")</f>
        <v>#N/A N/A</v>
      </c>
      <c r="MW5" t="str">
        <f>_xll.BDS("CWBC US Equity","SUPPLY_CHAIN_SUPPLIERS_ALL_DATA")</f>
        <v>#N/A N/A</v>
      </c>
      <c r="NK5" t="str">
        <f>_xll.BDS("CWBC US Equity","SUPPLY_CHAIN_CUSTOMERS_ALL_DATA")</f>
        <v>#N/A N/A</v>
      </c>
      <c r="OA5" t="str">
        <f>_xll.BDS("IVIL US Equity","SUPPLY_CHAIN_SUPPLIERS_ALL_DATA")</f>
        <v>#N/A N/A</v>
      </c>
      <c r="OO5" t="str">
        <f>_xll.BDS("IVIL US Equity","SUPPLY_CHAIN_CUSTOMERS_ALL_DATA")</f>
        <v>#N/A N/A</v>
      </c>
      <c r="PE5" t="str">
        <f>_xll.BDS("DVINQ US Equity","SUPPLY_CHAIN_SUPPLIERS_ALL_DATA")</f>
        <v>#N/A N/A</v>
      </c>
      <c r="PS5" t="str">
        <f>_xll.BDS("DVINQ US Equity","SUPPLY_CHAIN_CUSTOMERS_ALL_DATA")</f>
        <v>#N/A N/A</v>
      </c>
      <c r="QI5" t="str">
        <f>_xll.BDS("SMBC US Equity","SUPPLY_CHAIN_SUPPLIERS_ALL_DATA","cols=12;rows=1")</f>
        <v>NICE IT Equity</v>
      </c>
      <c r="QK5">
        <v>-2.4245362661989844E-14</v>
      </c>
      <c r="QL5">
        <v>-2.4245362661989844E-14</v>
      </c>
      <c r="QM5" t="s">
        <v>1806</v>
      </c>
      <c r="QN5">
        <v>2023</v>
      </c>
      <c r="QO5" t="s">
        <v>3281</v>
      </c>
      <c r="QP5" s="6">
        <v>45057</v>
      </c>
      <c r="QQ5">
        <v>1</v>
      </c>
      <c r="QR5">
        <v>-2.4245362661989844E-14</v>
      </c>
      <c r="QS5">
        <v>173249</v>
      </c>
      <c r="QT5" t="s">
        <v>3282</v>
      </c>
      <c r="QW5" t="str">
        <f>_xll.BDS("SMBC US Equity","SUPPLY_CHAIN_CUSTOMERS_ALL_DATA")</f>
        <v>#N/A N/A</v>
      </c>
      <c r="RM5" t="str">
        <f>_xll.BDS("IHRC US Equity","SUPPLY_CHAIN_SUPPLIERS_ALL_DATA")</f>
        <v>#N/A N/A</v>
      </c>
      <c r="SA5" t="str">
        <f>_xll.BDS("IHRC US Equity","SUPPLY_CHAIN_CUSTOMERS_ALL_DATA")</f>
        <v>#N/A N/A</v>
      </c>
      <c r="SQ5" t="str">
        <f>_xll.BDS("BZBC US Equity","SUPPLY_CHAIN_SUPPLIERS_ALL_DATA")</f>
        <v>#N/A N/A</v>
      </c>
      <c r="TE5" t="str">
        <f>_xll.BDS("BZBC US Equity","SUPPLY_CHAIN_CUSTOMERS_ALL_DATA")</f>
        <v>#N/A N/A</v>
      </c>
      <c r="TU5" t="str">
        <f>_xll.BDS("MCBF US Equity","SUPPLY_CHAIN_SUPPLIERS_ALL_DATA")</f>
        <v>#N/A N/A</v>
      </c>
      <c r="UI5" t="str">
        <f>_xll.BDS("MCBF US Equity","SUPPLY_CHAIN_CUSTOMERS_ALL_DATA")</f>
        <v>#N/A N/A</v>
      </c>
      <c r="UY5" t="str">
        <f>_xll.BDS("TGEN US Equity","SUPPLY_CHAIN_SUPPLIERS_ALL_DATA","cols=12;rows=1")</f>
        <v>692101Z US Equity</v>
      </c>
      <c r="VA5">
        <v>-2.4245362661989844E-14</v>
      </c>
      <c r="VB5">
        <v>-2.4245362661989844E-14</v>
      </c>
      <c r="VC5" t="s">
        <v>1814</v>
      </c>
      <c r="VD5">
        <v>2024</v>
      </c>
      <c r="VE5" t="s">
        <v>4325</v>
      </c>
      <c r="VF5" s="6">
        <v>45734</v>
      </c>
      <c r="VG5">
        <v>1</v>
      </c>
      <c r="VH5">
        <v>-2.4245362661989844E-14</v>
      </c>
      <c r="VI5">
        <v>957435</v>
      </c>
      <c r="VJ5" t="s">
        <v>4326</v>
      </c>
      <c r="VM5" t="str">
        <f>_xll.BDS("TGEN US Equity","SUPPLY_CHAIN_CUSTOMERS_ALL_DATA","cols=12;rows=2")</f>
        <v>0186548D JP Equity</v>
      </c>
      <c r="VN5">
        <v>-2.4245362661989844E-14</v>
      </c>
      <c r="VP5">
        <v>-2.4245362661989844E-14</v>
      </c>
      <c r="VQ5" t="s">
        <v>1814</v>
      </c>
      <c r="VR5">
        <v>2023</v>
      </c>
      <c r="VS5" t="s">
        <v>3936</v>
      </c>
      <c r="VT5" s="6">
        <v>45259</v>
      </c>
      <c r="VU5">
        <v>2</v>
      </c>
      <c r="VV5">
        <v>-2.4245362661989844E-14</v>
      </c>
      <c r="VW5">
        <v>20703289</v>
      </c>
      <c r="VX5" t="s">
        <v>3937</v>
      </c>
    </row>
    <row r="6" spans="1:600" x14ac:dyDescent="0.25">
      <c r="AE6" t="s">
        <v>2042</v>
      </c>
      <c r="AG6">
        <v>-2.4245362661989844E-14</v>
      </c>
      <c r="AH6">
        <v>-2.4245362661989844E-14</v>
      </c>
      <c r="AI6" t="s">
        <v>1814</v>
      </c>
      <c r="AJ6">
        <v>2021</v>
      </c>
      <c r="AK6" t="s">
        <v>2043</v>
      </c>
      <c r="AL6" s="6">
        <v>44693</v>
      </c>
      <c r="AM6">
        <v>5</v>
      </c>
      <c r="AN6">
        <v>-2.4245362661989844E-14</v>
      </c>
      <c r="AO6">
        <v>100060</v>
      </c>
      <c r="AP6" t="s">
        <v>2044</v>
      </c>
      <c r="EU6" t="s">
        <v>3659</v>
      </c>
      <c r="EV6" t="s">
        <v>1822</v>
      </c>
      <c r="EW6">
        <v>2.3834110000000002</v>
      </c>
      <c r="EX6">
        <v>0.89293299999999998</v>
      </c>
      <c r="EY6" t="s">
        <v>1810</v>
      </c>
      <c r="EZ6">
        <v>2025</v>
      </c>
      <c r="FA6" t="s">
        <v>3660</v>
      </c>
      <c r="FB6" s="6">
        <v>45960</v>
      </c>
      <c r="FC6">
        <v>5</v>
      </c>
      <c r="FD6">
        <v>154004096</v>
      </c>
      <c r="FE6">
        <v>35299353</v>
      </c>
      <c r="FF6" t="s">
        <v>3661</v>
      </c>
      <c r="FI6" t="s">
        <v>4023</v>
      </c>
      <c r="FJ6">
        <v>-2.4245362661989844E-14</v>
      </c>
      <c r="FL6">
        <v>-2.4245362661989844E-14</v>
      </c>
      <c r="FM6" t="s">
        <v>1814</v>
      </c>
      <c r="FN6">
        <v>2025</v>
      </c>
      <c r="FO6" t="s">
        <v>4024</v>
      </c>
      <c r="FP6" s="6">
        <v>45891</v>
      </c>
      <c r="FQ6">
        <v>5</v>
      </c>
      <c r="FR6">
        <v>-2.4245362661989844E-14</v>
      </c>
      <c r="FS6">
        <v>962217</v>
      </c>
      <c r="FT6" t="s">
        <v>4025</v>
      </c>
      <c r="FY6" t="s">
        <v>2102</v>
      </c>
      <c r="FZ6" t="s">
        <v>1822</v>
      </c>
      <c r="GA6">
        <v>0.57338299999999998</v>
      </c>
      <c r="GB6">
        <v>6.6237620000000001</v>
      </c>
      <c r="GC6" t="s">
        <v>1823</v>
      </c>
      <c r="GD6">
        <v>2025</v>
      </c>
      <c r="GE6" t="s">
        <v>3466</v>
      </c>
      <c r="GF6" s="6">
        <v>45952</v>
      </c>
      <c r="GG6">
        <v>5</v>
      </c>
      <c r="GH6">
        <v>305451118.32999998</v>
      </c>
      <c r="GI6">
        <v>117929</v>
      </c>
      <c r="GJ6" t="s">
        <v>2103</v>
      </c>
      <c r="GM6" t="s">
        <v>2102</v>
      </c>
      <c r="GN6">
        <v>20.070501</v>
      </c>
      <c r="GO6" t="s">
        <v>1822</v>
      </c>
      <c r="GP6">
        <v>5.9667389999999996</v>
      </c>
      <c r="GQ6" t="s">
        <v>1827</v>
      </c>
      <c r="GR6">
        <v>2025</v>
      </c>
      <c r="GS6" t="s">
        <v>3509</v>
      </c>
      <c r="GT6" s="6">
        <v>46034</v>
      </c>
      <c r="GU6">
        <v>5</v>
      </c>
      <c r="GV6">
        <v>2261945600</v>
      </c>
      <c r="GW6">
        <v>117929</v>
      </c>
      <c r="GX6" t="s">
        <v>2103</v>
      </c>
      <c r="KO6" t="s">
        <v>1948</v>
      </c>
      <c r="KP6" t="s">
        <v>1949</v>
      </c>
      <c r="KQ6">
        <v>6.6028770000000003</v>
      </c>
      <c r="KR6">
        <v>5.0506979999999997</v>
      </c>
      <c r="KS6" t="s">
        <v>1823</v>
      </c>
      <c r="KT6">
        <v>2025</v>
      </c>
      <c r="KU6" t="s">
        <v>1950</v>
      </c>
      <c r="KV6" s="6">
        <v>45915</v>
      </c>
      <c r="KW6">
        <v>5</v>
      </c>
      <c r="KX6">
        <v>245362912</v>
      </c>
      <c r="KY6">
        <v>101464</v>
      </c>
      <c r="KZ6" t="s">
        <v>1951</v>
      </c>
      <c r="LC6" t="s">
        <v>2435</v>
      </c>
      <c r="LD6">
        <v>1.615089</v>
      </c>
      <c r="LE6" t="s">
        <v>1822</v>
      </c>
      <c r="LF6">
        <v>12.136977999999999</v>
      </c>
      <c r="LG6" t="s">
        <v>1814</v>
      </c>
      <c r="LH6">
        <v>2024</v>
      </c>
      <c r="LI6" t="s">
        <v>2434</v>
      </c>
      <c r="LJ6" s="6">
        <v>45712</v>
      </c>
      <c r="LK6">
        <v>5</v>
      </c>
      <c r="LL6">
        <v>1712931072</v>
      </c>
      <c r="LM6">
        <v>9917432</v>
      </c>
      <c r="LN6" t="s">
        <v>2436</v>
      </c>
      <c r="VM6" t="s">
        <v>3938</v>
      </c>
      <c r="VN6">
        <v>-2.4245362661989844E-14</v>
      </c>
      <c r="VP6">
        <v>-2.4245362661989844E-14</v>
      </c>
      <c r="VQ6" t="s">
        <v>1814</v>
      </c>
      <c r="VR6">
        <v>2022</v>
      </c>
      <c r="VS6" t="s">
        <v>3936</v>
      </c>
      <c r="VT6" s="6">
        <v>44847</v>
      </c>
      <c r="VU6">
        <v>2</v>
      </c>
      <c r="VV6">
        <v>-2.4245362661989844E-14</v>
      </c>
      <c r="VW6">
        <v>197918</v>
      </c>
      <c r="VX6" t="s">
        <v>3939</v>
      </c>
    </row>
    <row r="7" spans="1:600" x14ac:dyDescent="0.25">
      <c r="AE7" t="s">
        <v>2045</v>
      </c>
      <c r="AG7">
        <v>-2.4245362661989844E-14</v>
      </c>
      <c r="AH7">
        <v>-2.4245362661989844E-14</v>
      </c>
      <c r="AI7" t="s">
        <v>1814</v>
      </c>
      <c r="AJ7">
        <v>2021</v>
      </c>
      <c r="AK7" t="s">
        <v>2046</v>
      </c>
      <c r="AL7" s="6">
        <v>44693</v>
      </c>
      <c r="AM7">
        <v>5</v>
      </c>
      <c r="AN7">
        <v>-2.4245362661989844E-14</v>
      </c>
      <c r="AO7">
        <v>101690</v>
      </c>
      <c r="AP7" t="s">
        <v>2047</v>
      </c>
      <c r="EU7" t="s">
        <v>3662</v>
      </c>
      <c r="EV7" t="s">
        <v>1822</v>
      </c>
      <c r="EW7">
        <v>7.1872030000000002</v>
      </c>
      <c r="EX7">
        <v>0.88877499999999998</v>
      </c>
      <c r="EY7" t="s">
        <v>1823</v>
      </c>
      <c r="EZ7">
        <v>2025</v>
      </c>
      <c r="FA7" t="s">
        <v>3663</v>
      </c>
      <c r="FB7" s="6">
        <v>45867</v>
      </c>
      <c r="FC7">
        <v>5</v>
      </c>
      <c r="FD7">
        <v>142355136</v>
      </c>
      <c r="FE7">
        <v>26174706</v>
      </c>
      <c r="FF7" t="s">
        <v>3664</v>
      </c>
      <c r="FI7" t="s">
        <v>2448</v>
      </c>
      <c r="FJ7">
        <v>-2.4245362661989844E-14</v>
      </c>
      <c r="FL7">
        <v>-2.4245362661989844E-14</v>
      </c>
      <c r="FM7" t="s">
        <v>1814</v>
      </c>
      <c r="FN7">
        <v>2025</v>
      </c>
      <c r="FO7" t="s">
        <v>4024</v>
      </c>
      <c r="FP7" s="6">
        <v>45891</v>
      </c>
      <c r="FQ7">
        <v>5</v>
      </c>
      <c r="FR7">
        <v>-2.4245362661989844E-14</v>
      </c>
      <c r="FS7">
        <v>962205</v>
      </c>
      <c r="FT7" t="s">
        <v>2450</v>
      </c>
      <c r="FY7" t="s">
        <v>1988</v>
      </c>
      <c r="FZ7" t="s">
        <v>1822</v>
      </c>
      <c r="GA7">
        <v>16.371476999999999</v>
      </c>
      <c r="GB7">
        <v>5.2559839999999998</v>
      </c>
      <c r="GC7" t="s">
        <v>1806</v>
      </c>
      <c r="GD7">
        <v>2025</v>
      </c>
      <c r="GE7" t="s">
        <v>1989</v>
      </c>
      <c r="GF7" s="6">
        <v>45792</v>
      </c>
      <c r="GG7">
        <v>5</v>
      </c>
      <c r="GH7">
        <v>259487920</v>
      </c>
      <c r="GI7">
        <v>15242973</v>
      </c>
      <c r="GJ7" t="s">
        <v>1990</v>
      </c>
      <c r="GM7" t="s">
        <v>3510</v>
      </c>
      <c r="GN7">
        <v>13.081865000000001</v>
      </c>
      <c r="GO7" t="s">
        <v>1822</v>
      </c>
      <c r="GP7">
        <v>12.103292</v>
      </c>
      <c r="GQ7" t="s">
        <v>1827</v>
      </c>
      <c r="GR7">
        <v>2025</v>
      </c>
      <c r="GS7" t="s">
        <v>3509</v>
      </c>
      <c r="GT7" s="6">
        <v>46034</v>
      </c>
      <c r="GU7">
        <v>5</v>
      </c>
      <c r="GV7">
        <v>1474326144</v>
      </c>
      <c r="GW7">
        <v>23513321</v>
      </c>
      <c r="GX7" t="s">
        <v>3511</v>
      </c>
      <c r="KO7" t="s">
        <v>1952</v>
      </c>
      <c r="KP7" t="s">
        <v>1822</v>
      </c>
      <c r="KQ7">
        <v>18</v>
      </c>
      <c r="KR7">
        <v>0.28558099999999997</v>
      </c>
      <c r="KS7" t="s">
        <v>1814</v>
      </c>
      <c r="KT7">
        <v>2025</v>
      </c>
      <c r="KU7" t="s">
        <v>1953</v>
      </c>
      <c r="KV7" s="6">
        <v>46079</v>
      </c>
      <c r="KW7">
        <v>5</v>
      </c>
      <c r="KX7">
        <v>185490768</v>
      </c>
      <c r="KY7">
        <v>103442</v>
      </c>
      <c r="KZ7" t="s">
        <v>1954</v>
      </c>
      <c r="LC7" t="s">
        <v>2437</v>
      </c>
      <c r="LD7">
        <v>1.5294399999999999</v>
      </c>
      <c r="LF7">
        <v>-2.4245362661989844E-14</v>
      </c>
      <c r="LG7" t="s">
        <v>1814</v>
      </c>
      <c r="LH7">
        <v>2024</v>
      </c>
      <c r="LI7" t="s">
        <v>2434</v>
      </c>
      <c r="LJ7" s="6">
        <v>45712</v>
      </c>
      <c r="LK7">
        <v>5</v>
      </c>
      <c r="LL7">
        <v>1622093696</v>
      </c>
      <c r="LM7">
        <v>302359</v>
      </c>
      <c r="LN7" t="s">
        <v>2438</v>
      </c>
    </row>
    <row r="8" spans="1:600" x14ac:dyDescent="0.25">
      <c r="AE8" t="s">
        <v>979</v>
      </c>
      <c r="AG8">
        <v>-2.4245362661989844E-14</v>
      </c>
      <c r="AH8">
        <v>-2.4245362661989844E-14</v>
      </c>
      <c r="AI8" t="s">
        <v>1814</v>
      </c>
      <c r="AJ8">
        <v>2021</v>
      </c>
      <c r="AK8" t="s">
        <v>2048</v>
      </c>
      <c r="AL8" s="6">
        <v>44693</v>
      </c>
      <c r="AM8">
        <v>5</v>
      </c>
      <c r="AN8">
        <v>-2.4245362661989844E-14</v>
      </c>
      <c r="AO8">
        <v>100193</v>
      </c>
      <c r="AP8" t="s">
        <v>2049</v>
      </c>
      <c r="EU8" t="s">
        <v>3665</v>
      </c>
      <c r="EV8" t="s">
        <v>1822</v>
      </c>
      <c r="EW8">
        <v>2.6906409999999998</v>
      </c>
      <c r="EX8">
        <v>0.59391099999999997</v>
      </c>
      <c r="EY8" t="s">
        <v>1823</v>
      </c>
      <c r="EZ8">
        <v>2025</v>
      </c>
      <c r="FA8" t="s">
        <v>3666</v>
      </c>
      <c r="FB8" s="6">
        <v>45923</v>
      </c>
      <c r="FC8">
        <v>5</v>
      </c>
      <c r="FD8">
        <v>101867664</v>
      </c>
      <c r="FE8">
        <v>106780</v>
      </c>
      <c r="FF8" t="s">
        <v>3667</v>
      </c>
      <c r="FI8" t="s">
        <v>3007</v>
      </c>
      <c r="FJ8">
        <v>-2.4245362661989844E-14</v>
      </c>
      <c r="FL8">
        <v>-2.4245362661989844E-14</v>
      </c>
      <c r="FM8" t="s">
        <v>1823</v>
      </c>
      <c r="FN8">
        <v>2025</v>
      </c>
      <c r="FO8" t="s">
        <v>3008</v>
      </c>
      <c r="FP8" s="6">
        <v>45852</v>
      </c>
      <c r="FQ8">
        <v>5</v>
      </c>
      <c r="FR8">
        <v>-2.4245362661989844E-14</v>
      </c>
      <c r="FS8">
        <v>65260637</v>
      </c>
      <c r="FT8" t="s">
        <v>3009</v>
      </c>
      <c r="FY8" t="s">
        <v>1932</v>
      </c>
      <c r="FZ8" t="s">
        <v>1822</v>
      </c>
      <c r="GA8">
        <v>11.1</v>
      </c>
      <c r="GB8">
        <v>3.6963159999999999</v>
      </c>
      <c r="GC8" t="s">
        <v>1814</v>
      </c>
      <c r="GD8">
        <v>2025</v>
      </c>
      <c r="GE8" t="s">
        <v>3532</v>
      </c>
      <c r="GF8" s="6">
        <v>46073</v>
      </c>
      <c r="GG8">
        <v>5</v>
      </c>
      <c r="GH8">
        <v>186146480</v>
      </c>
      <c r="GI8">
        <v>302680</v>
      </c>
      <c r="GJ8" t="s">
        <v>1934</v>
      </c>
      <c r="GM8" t="s">
        <v>1820</v>
      </c>
      <c r="GN8">
        <v>1.9016709999999999</v>
      </c>
      <c r="GO8" t="s">
        <v>1822</v>
      </c>
      <c r="GP8">
        <v>2.3280289999999999</v>
      </c>
      <c r="GQ8" t="s">
        <v>1827</v>
      </c>
      <c r="GR8">
        <v>2025</v>
      </c>
      <c r="GS8" t="s">
        <v>3509</v>
      </c>
      <c r="GT8" s="6">
        <v>46034</v>
      </c>
      <c r="GU8">
        <v>5</v>
      </c>
      <c r="GV8">
        <v>214318320</v>
      </c>
      <c r="GW8">
        <v>11092218</v>
      </c>
      <c r="GX8" t="s">
        <v>1821</v>
      </c>
      <c r="KO8" t="s">
        <v>1955</v>
      </c>
      <c r="KP8" t="s">
        <v>1822</v>
      </c>
      <c r="KQ8">
        <v>4.630776</v>
      </c>
      <c r="KR8">
        <v>0.19183800000000001</v>
      </c>
      <c r="KS8" t="s">
        <v>1810</v>
      </c>
      <c r="KT8">
        <v>2025</v>
      </c>
      <c r="KU8" t="s">
        <v>1956</v>
      </c>
      <c r="KV8" s="6">
        <v>45952</v>
      </c>
      <c r="KW8">
        <v>5</v>
      </c>
      <c r="KX8">
        <v>125308800</v>
      </c>
      <c r="KY8">
        <v>171010</v>
      </c>
      <c r="KZ8" t="s">
        <v>1957</v>
      </c>
      <c r="LC8" t="s">
        <v>2108</v>
      </c>
      <c r="LD8">
        <v>0.34598400000000001</v>
      </c>
      <c r="LE8" t="s">
        <v>1822</v>
      </c>
      <c r="LF8">
        <v>1.684086</v>
      </c>
      <c r="LG8" t="s">
        <v>1823</v>
      </c>
      <c r="LH8">
        <v>2025</v>
      </c>
      <c r="LI8" t="s">
        <v>2439</v>
      </c>
      <c r="LJ8" s="6">
        <v>45873</v>
      </c>
      <c r="LK8">
        <v>5</v>
      </c>
      <c r="LL8">
        <v>342105216</v>
      </c>
      <c r="LM8">
        <v>100211</v>
      </c>
      <c r="LN8" t="s">
        <v>2110</v>
      </c>
    </row>
    <row r="9" spans="1:600" x14ac:dyDescent="0.25">
      <c r="AE9" t="s">
        <v>2050</v>
      </c>
      <c r="AG9">
        <v>-2.4245362661989844E-14</v>
      </c>
      <c r="AH9">
        <v>-2.4245362661989844E-14</v>
      </c>
      <c r="AI9" t="s">
        <v>1814</v>
      </c>
      <c r="AJ9">
        <v>2021</v>
      </c>
      <c r="AK9" t="s">
        <v>2051</v>
      </c>
      <c r="AL9" s="6">
        <v>44693</v>
      </c>
      <c r="AM9">
        <v>5</v>
      </c>
      <c r="AN9">
        <v>-2.4245362661989844E-14</v>
      </c>
      <c r="AO9">
        <v>100481</v>
      </c>
      <c r="AP9" t="s">
        <v>2052</v>
      </c>
      <c r="EU9" t="s">
        <v>3668</v>
      </c>
      <c r="EV9" t="s">
        <v>1822</v>
      </c>
      <c r="EW9">
        <v>1.5057400000000001</v>
      </c>
      <c r="EX9">
        <v>0.59391099999999997</v>
      </c>
      <c r="EY9" t="s">
        <v>1823</v>
      </c>
      <c r="EZ9">
        <v>2026</v>
      </c>
      <c r="FA9" t="s">
        <v>3669</v>
      </c>
      <c r="FB9" s="6">
        <v>46081</v>
      </c>
      <c r="FC9">
        <v>5</v>
      </c>
      <c r="FD9">
        <v>100786696</v>
      </c>
      <c r="FE9">
        <v>31670564</v>
      </c>
      <c r="FF9" t="s">
        <v>3670</v>
      </c>
      <c r="FI9" t="s">
        <v>2010</v>
      </c>
      <c r="FJ9">
        <v>-2.4245362661989844E-14</v>
      </c>
      <c r="FL9">
        <v>-2.4245362661989844E-14</v>
      </c>
      <c r="FM9" t="s">
        <v>1814</v>
      </c>
      <c r="FN9">
        <v>2025</v>
      </c>
      <c r="FO9" t="s">
        <v>4024</v>
      </c>
      <c r="FP9" s="6">
        <v>45891</v>
      </c>
      <c r="FQ9">
        <v>5</v>
      </c>
      <c r="FR9">
        <v>-2.4245362661989844E-14</v>
      </c>
      <c r="FS9">
        <v>218252</v>
      </c>
      <c r="FT9" t="s">
        <v>2012</v>
      </c>
      <c r="FY9" t="s">
        <v>1938</v>
      </c>
      <c r="FZ9" t="s">
        <v>1822</v>
      </c>
      <c r="GA9">
        <v>2.5302280000000001</v>
      </c>
      <c r="GB9">
        <v>2.3085650000000002</v>
      </c>
      <c r="GC9" t="s">
        <v>1806</v>
      </c>
      <c r="GD9">
        <v>2025</v>
      </c>
      <c r="GE9" t="s">
        <v>3533</v>
      </c>
      <c r="GF9" s="6">
        <v>45819</v>
      </c>
      <c r="GG9">
        <v>5</v>
      </c>
      <c r="GH9">
        <v>113957192.78</v>
      </c>
      <c r="GI9">
        <v>58244711</v>
      </c>
      <c r="GJ9" t="s">
        <v>1939</v>
      </c>
      <c r="GM9" t="s">
        <v>2630</v>
      </c>
      <c r="GN9">
        <v>1.563129</v>
      </c>
      <c r="GO9" t="s">
        <v>1822</v>
      </c>
      <c r="GP9">
        <v>1.6652290000000001</v>
      </c>
      <c r="GQ9" t="s">
        <v>1827</v>
      </c>
      <c r="GR9">
        <v>2025</v>
      </c>
      <c r="GS9" t="s">
        <v>3509</v>
      </c>
      <c r="GT9" s="6">
        <v>46034</v>
      </c>
      <c r="GU9">
        <v>5</v>
      </c>
      <c r="GV9">
        <v>176164640</v>
      </c>
      <c r="GW9">
        <v>1459396</v>
      </c>
      <c r="GX9" t="s">
        <v>2631</v>
      </c>
      <c r="KO9" t="s">
        <v>1958</v>
      </c>
      <c r="KP9" t="s">
        <v>1949</v>
      </c>
      <c r="KQ9">
        <v>1.650523</v>
      </c>
      <c r="KR9">
        <v>1.7462089999999999</v>
      </c>
      <c r="KS9" t="s">
        <v>1810</v>
      </c>
      <c r="KT9">
        <v>2025</v>
      </c>
      <c r="KU9" t="s">
        <v>1959</v>
      </c>
      <c r="KV9" s="6">
        <v>46029</v>
      </c>
      <c r="KW9">
        <v>5</v>
      </c>
      <c r="KX9">
        <v>97565313.560000002</v>
      </c>
      <c r="KY9">
        <v>115705</v>
      </c>
      <c r="KZ9" t="s">
        <v>1960</v>
      </c>
      <c r="LC9" t="s">
        <v>2013</v>
      </c>
      <c r="LD9">
        <v>0.19926099999999999</v>
      </c>
      <c r="LE9" t="s">
        <v>1822</v>
      </c>
      <c r="LF9">
        <v>1.1451750000000001</v>
      </c>
      <c r="LG9" t="s">
        <v>1823</v>
      </c>
      <c r="LH9">
        <v>2025</v>
      </c>
      <c r="LI9" t="s">
        <v>2440</v>
      </c>
      <c r="LJ9" s="6">
        <v>45895</v>
      </c>
      <c r="LK9">
        <v>5</v>
      </c>
      <c r="LL9">
        <v>197027360</v>
      </c>
      <c r="LM9">
        <v>101555</v>
      </c>
      <c r="LN9" t="s">
        <v>2015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989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990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991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992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993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994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995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996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997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998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999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1000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1001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1002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1003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1004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1005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1006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1007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1008</v>
      </c>
      <c r="AE2" s="3" t="s">
        <v>1009</v>
      </c>
      <c r="BI2" s="3" t="s">
        <v>1010</v>
      </c>
      <c r="CM2" s="3" t="s">
        <v>773</v>
      </c>
      <c r="DQ2" s="3" t="s">
        <v>1011</v>
      </c>
      <c r="EU2" s="3" t="s">
        <v>1012</v>
      </c>
      <c r="FY2" s="3" t="s">
        <v>1013</v>
      </c>
      <c r="HC2" s="3" t="s">
        <v>1014</v>
      </c>
      <c r="IG2" s="3" t="s">
        <v>1015</v>
      </c>
      <c r="JK2" s="3" t="s">
        <v>1016</v>
      </c>
      <c r="KO2" s="3" t="s">
        <v>506</v>
      </c>
      <c r="LS2" s="3" t="s">
        <v>242</v>
      </c>
      <c r="MW2" s="3" t="s">
        <v>199</v>
      </c>
      <c r="OA2" s="3" t="s">
        <v>1017</v>
      </c>
      <c r="PE2" s="3" t="s">
        <v>1018</v>
      </c>
      <c r="QI2" s="3" t="s">
        <v>1019</v>
      </c>
      <c r="RM2" s="3" t="s">
        <v>1020</v>
      </c>
      <c r="SQ2" s="3" t="s">
        <v>1021</v>
      </c>
      <c r="TU2" s="3" t="s">
        <v>1022</v>
      </c>
      <c r="UY2" s="3" t="s">
        <v>1023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_xll.BDS("CNOB US Equity","SUPPLY_CHAIN_SUPPLIERS_ALL_DATA","cols=12;rows=1")</f>
        <v>NCNO US Equity</v>
      </c>
      <c r="C5">
        <v>-2.4245362661989844E-14</v>
      </c>
      <c r="D5">
        <v>-2.4245362661989844E-14</v>
      </c>
      <c r="E5" t="s">
        <v>1814</v>
      </c>
      <c r="F5">
        <v>2025</v>
      </c>
      <c r="G5" t="s">
        <v>2423</v>
      </c>
      <c r="H5" s="6">
        <v>45748</v>
      </c>
      <c r="I5">
        <v>1</v>
      </c>
      <c r="J5">
        <v>-2.4245362661989844E-14</v>
      </c>
      <c r="K5">
        <v>69921002</v>
      </c>
      <c r="L5" t="s">
        <v>2424</v>
      </c>
      <c r="O5" t="str">
        <f>_xll.BDS("CNOB US Equity","SUPPLY_CHAIN_CUSTOMERS_ALL_DATA")</f>
        <v>#N/A N/A</v>
      </c>
      <c r="AE5" t="str">
        <f>_xll.BDS("NWFL US Equity","SUPPLY_CHAIN_SUPPLIERS_ALL_DATA")</f>
        <v>#N/A N/A</v>
      </c>
      <c r="AS5" t="str">
        <f>_xll.BDS("NWFL US Equity","SUPPLY_CHAIN_CUSTOMERS_ALL_DATA")</f>
        <v>#N/A N/A</v>
      </c>
      <c r="BI5" t="str">
        <f>_xll.BDS("WCGRQ US Equity","SUPPLY_CHAIN_SUPPLIERS_ALL_DATA")</f>
        <v>#N/A N/A</v>
      </c>
      <c r="BW5" t="str">
        <f>_xll.BDS("WCGRQ US Equity","SUPPLY_CHAIN_CUSTOMERS_ALL_DATA")</f>
        <v>#N/A N/A</v>
      </c>
      <c r="CM5" t="str">
        <f>_xll.BDS("AWBCQ US Equity","SUPPLY_CHAIN_SUPPLIERS_ALL_DATA")</f>
        <v>#N/A N/A</v>
      </c>
      <c r="DA5" t="str">
        <f>_xll.BDS("AWBCQ US Equity","SUPPLY_CHAIN_CUSTOMERS_ALL_DATA")</f>
        <v>#N/A N/A</v>
      </c>
      <c r="DQ5" t="str">
        <f>_xll.BDS("RRHI US Equity","SUPPLY_CHAIN_SUPPLIERS_ALL_DATA")</f>
        <v>#N/A N/A</v>
      </c>
      <c r="EE5" t="str">
        <f>_xll.BDS("RRHI US Equity","SUPPLY_CHAIN_CUSTOMERS_ALL_DATA")</f>
        <v>#N/A N/A</v>
      </c>
      <c r="EU5" t="str">
        <f>_xll.BDS("PRWT US Equity","SUPPLY_CHAIN_SUPPLIERS_ALL_DATA")</f>
        <v>#N/A N/A</v>
      </c>
      <c r="FI5" t="str">
        <f>_xll.BDS("PRWT US Equity","SUPPLY_CHAIN_CUSTOMERS_ALL_DATA")</f>
        <v>#N/A N/A</v>
      </c>
      <c r="FY5" t="str">
        <f>_xll.BDS("1838147D US Equity","SUPPLY_CHAIN_SUPPLIERS_ALL_DATA")</f>
        <v>#N/A N/A</v>
      </c>
      <c r="GM5" t="str">
        <f>_xll.BDS("1838147D US Equity","SUPPLY_CHAIN_CUSTOMERS_ALL_DATA")</f>
        <v>#N/A N/A</v>
      </c>
      <c r="HC5" t="str">
        <f>_xll.BDS("CHEV US Equity","SUPPLY_CHAIN_SUPPLIERS_ALL_DATA")</f>
        <v>#N/A N/A</v>
      </c>
      <c r="HQ5" t="str">
        <f>_xll.BDS("CHEV US Equity","SUPPLY_CHAIN_CUSTOMERS_ALL_DATA")</f>
        <v>#N/A N/A</v>
      </c>
      <c r="IG5" t="str">
        <f>_xll.BDS("SPXC US Equity","SUPPLY_CHAIN_SUPPLIERS_ALL_DATA","cols=12;rows=5")</f>
        <v>CRS US Equity</v>
      </c>
      <c r="IH5" t="s">
        <v>1822</v>
      </c>
      <c r="II5">
        <v>2.6832000000000002E-2</v>
      </c>
      <c r="IJ5">
        <v>5.9658999999999997E-2</v>
      </c>
      <c r="IK5" t="s">
        <v>1827</v>
      </c>
      <c r="IL5">
        <v>2025</v>
      </c>
      <c r="IM5" t="s">
        <v>3835</v>
      </c>
      <c r="IN5" s="6">
        <v>45884</v>
      </c>
      <c r="IO5">
        <v>5</v>
      </c>
      <c r="IP5">
        <v>192996</v>
      </c>
      <c r="IQ5">
        <v>100277</v>
      </c>
      <c r="IR5" t="s">
        <v>3836</v>
      </c>
      <c r="IU5" t="str">
        <f>_xll.BDS("SPXC US Equity","SUPPLY_CHAIN_CUSTOMERS_ALL_DATA","cols=12;rows=5")</f>
        <v>002564 CH Equity</v>
      </c>
      <c r="IV5">
        <v>-2.4245362661989844E-14</v>
      </c>
      <c r="IX5">
        <v>-2.4245362661989844E-14</v>
      </c>
      <c r="IY5" t="s">
        <v>1814</v>
      </c>
      <c r="IZ5">
        <v>2022</v>
      </c>
      <c r="JA5" t="s">
        <v>3686</v>
      </c>
      <c r="JB5" s="6">
        <v>45105</v>
      </c>
      <c r="JC5">
        <v>5</v>
      </c>
      <c r="JD5">
        <v>-2.4245362661989844E-14</v>
      </c>
      <c r="JE5">
        <v>21808713</v>
      </c>
      <c r="JF5" t="s">
        <v>3687</v>
      </c>
      <c r="JK5" t="str">
        <f>_xll.BDS("CATM US Equity","SUPPLY_CHAIN_SUPPLIERS_ALL_DATA")</f>
        <v>#N/A N/A</v>
      </c>
      <c r="JY5" t="str">
        <f>_xll.BDS("CATM US Equity","SUPPLY_CHAIN_CUSTOMERS_ALL_DATA")</f>
        <v>#N/A N/A</v>
      </c>
      <c r="KO5" t="str">
        <f>_xll.BDS("FCBC US Equity","SUPPLY_CHAIN_SUPPLIERS_ALL_DATA")</f>
        <v>#N/A N/A</v>
      </c>
      <c r="LC5" t="str">
        <f>_xll.BDS("FCBC US Equity","SUPPLY_CHAIN_CUSTOMERS_ALL_DATA")</f>
        <v>#N/A N/A</v>
      </c>
      <c r="LS5" t="str">
        <f>_xll.BDS("SASR US Equity","SUPPLY_CHAIN_SUPPLIERS_ALL_DATA")</f>
        <v>#N/A N/A</v>
      </c>
      <c r="MG5" t="str">
        <f>_xll.BDS("SASR US Equity","SUPPLY_CHAIN_CUSTOMERS_ALL_DATA")</f>
        <v>#N/A N/A</v>
      </c>
      <c r="MW5" t="str">
        <f>_xll.BDS("SBBX US Equity","SUPPLY_CHAIN_SUPPLIERS_ALL_DATA")</f>
        <v>#N/A N/A</v>
      </c>
      <c r="NK5" t="str">
        <f>_xll.BDS("SBBX US Equity","SUPPLY_CHAIN_CUSTOMERS_ALL_DATA")</f>
        <v>#N/A N/A</v>
      </c>
      <c r="OA5" t="str">
        <f>_xll.BDS("nan Equity","SUPPLY_CHAIN_SUPPLIERS_ALL_DATA")</f>
        <v>#N/A N/A</v>
      </c>
      <c r="OO5" t="str">
        <f>_xll.BDS("nan Equity","SUPPLY_CHAIN_CUSTOMERS_ALL_DATA")</f>
        <v>#N/A N/A</v>
      </c>
      <c r="PE5" t="str">
        <f>_xll.BDS("LNCB US Equity","SUPPLY_CHAIN_SUPPLIERS_ALL_DATA")</f>
        <v>#N/A N/A</v>
      </c>
      <c r="PS5" t="str">
        <f>_xll.BDS("LNCB US Equity","SUPPLY_CHAIN_CUSTOMERS_ALL_DATA")</f>
        <v>#N/A N/A</v>
      </c>
      <c r="QI5" t="str">
        <f>_xll.BDS("STC US Equity","SUPPLY_CHAIN_SUPPLIERS_ALL_DATA")</f>
        <v>#N/A N/A</v>
      </c>
      <c r="QW5" t="str">
        <f>_xll.BDS("STC US Equity","SUPPLY_CHAIN_CUSTOMERS_ALL_DATA")</f>
        <v>#N/A N/A</v>
      </c>
      <c r="RM5" t="str">
        <f>_xll.BDS("0948669D US Equity","SUPPLY_CHAIN_SUPPLIERS_ALL_DATA","cols=12;rows=1")</f>
        <v>300703 CH Equity</v>
      </c>
      <c r="RO5">
        <v>2.98</v>
      </c>
      <c r="RP5">
        <v>-2.4245362661989844E-14</v>
      </c>
      <c r="RQ5" t="s">
        <v>1814</v>
      </c>
      <c r="RR5">
        <v>2024</v>
      </c>
      <c r="RS5" t="s">
        <v>3079</v>
      </c>
      <c r="RT5" s="6">
        <v>45768</v>
      </c>
      <c r="RU5">
        <v>1</v>
      </c>
      <c r="RV5">
        <v>2009494.65</v>
      </c>
      <c r="RW5">
        <v>18513638</v>
      </c>
      <c r="RX5" t="s">
        <v>3080</v>
      </c>
      <c r="SA5" t="str">
        <f>_xll.BDS("0948669D US Equity","SUPPLY_CHAIN_CUSTOMERS_ALL_DATA","cols=12;rows=3")</f>
        <v>ACI US Equity</v>
      </c>
      <c r="SB5">
        <v>-2.4245362661989844E-14</v>
      </c>
      <c r="SD5">
        <v>-2.4245362661989844E-14</v>
      </c>
      <c r="SE5" t="s">
        <v>1814</v>
      </c>
      <c r="SF5">
        <v>2025</v>
      </c>
      <c r="SG5" t="s">
        <v>2955</v>
      </c>
      <c r="SH5" s="6">
        <v>46002</v>
      </c>
      <c r="SI5">
        <v>3</v>
      </c>
      <c r="SJ5">
        <v>-2.4245362661989844E-14</v>
      </c>
      <c r="SK5">
        <v>46386935</v>
      </c>
      <c r="SL5" t="s">
        <v>2956</v>
      </c>
      <c r="SQ5" t="str">
        <f>_xll.BDS("WCOEQ US Equity","SUPPLY_CHAIN_SUPPLIERS_ALL_DATA")</f>
        <v>#N/A N/A</v>
      </c>
      <c r="TE5" t="str">
        <f>_xll.BDS("WCOEQ US Equity","SUPPLY_CHAIN_CUSTOMERS_ALL_DATA")</f>
        <v>#N/A N/A</v>
      </c>
      <c r="TU5" t="str">
        <f>_xll.BDS("VRCC US Equity","SUPPLY_CHAIN_SUPPLIERS_ALL_DATA")</f>
        <v>#N/A N/A</v>
      </c>
      <c r="UI5" t="str">
        <f>_xll.BDS("VRCC US Equity","SUPPLY_CHAIN_CUSTOMERS_ALL_DATA")</f>
        <v>#N/A N/A</v>
      </c>
      <c r="UY5" t="str">
        <f>_xll.BDS("623366Q US Equity","SUPPLY_CHAIN_SUPPLIERS_ALL_DATA","cols=12;rows=1")</f>
        <v>CSCO US Equity</v>
      </c>
      <c r="VA5">
        <v>-2.4245362661989844E-14</v>
      </c>
      <c r="VB5">
        <v>-2.4245362661989844E-14</v>
      </c>
      <c r="VC5" t="s">
        <v>1814</v>
      </c>
      <c r="VD5">
        <v>2025</v>
      </c>
      <c r="VE5" t="s">
        <v>2657</v>
      </c>
      <c r="VF5" s="6">
        <v>46006</v>
      </c>
      <c r="VG5">
        <v>1</v>
      </c>
      <c r="VH5">
        <v>-2.4245362661989844E-14</v>
      </c>
      <c r="VI5">
        <v>69423747</v>
      </c>
      <c r="VJ5" t="s">
        <v>2105</v>
      </c>
      <c r="VM5" t="str">
        <f>_xll.BDS("623366Q US Equity","SUPPLY_CHAIN_CUSTOMERS_ALL_DATA")</f>
        <v>#N/A N/A</v>
      </c>
    </row>
    <row r="6" spans="1:600" x14ac:dyDescent="0.25">
      <c r="IG6" t="s">
        <v>2332</v>
      </c>
      <c r="IH6" t="s">
        <v>1893</v>
      </c>
      <c r="II6">
        <v>1.9358E-2</v>
      </c>
      <c r="IJ6">
        <v>2.9807E-2</v>
      </c>
      <c r="IK6" t="s">
        <v>1806</v>
      </c>
      <c r="IL6">
        <v>2026</v>
      </c>
      <c r="IM6" t="s">
        <v>2333</v>
      </c>
      <c r="IN6" s="6">
        <v>45898</v>
      </c>
      <c r="IO6">
        <v>5</v>
      </c>
      <c r="IP6">
        <v>34935.69</v>
      </c>
      <c r="IQ6">
        <v>178651</v>
      </c>
      <c r="IR6" t="s">
        <v>2334</v>
      </c>
      <c r="IU6" t="s">
        <v>3688</v>
      </c>
      <c r="IV6">
        <v>-2.4245362661989844E-14</v>
      </c>
      <c r="IX6">
        <v>-2.4245362661989844E-14</v>
      </c>
      <c r="IY6" t="s">
        <v>1814</v>
      </c>
      <c r="IZ6">
        <v>2023</v>
      </c>
      <c r="JA6" t="s">
        <v>3689</v>
      </c>
      <c r="JB6" s="6">
        <v>45384</v>
      </c>
      <c r="JC6">
        <v>5</v>
      </c>
      <c r="JD6">
        <v>-2.4245362661989844E-14</v>
      </c>
      <c r="JE6">
        <v>21163905</v>
      </c>
      <c r="JF6" t="s">
        <v>3690</v>
      </c>
      <c r="SA6" t="s">
        <v>2957</v>
      </c>
      <c r="SB6">
        <v>-2.4245362661989844E-14</v>
      </c>
      <c r="SD6">
        <v>-2.4245362661989844E-14</v>
      </c>
      <c r="SE6" t="s">
        <v>1814</v>
      </c>
      <c r="SF6">
        <v>2023</v>
      </c>
      <c r="SG6" t="s">
        <v>2958</v>
      </c>
      <c r="SH6" s="6">
        <v>45267</v>
      </c>
      <c r="SI6">
        <v>3</v>
      </c>
      <c r="SJ6">
        <v>-2.4245362661989844E-14</v>
      </c>
      <c r="SK6">
        <v>49373705</v>
      </c>
      <c r="SL6" t="s">
        <v>2959</v>
      </c>
    </row>
    <row r="7" spans="1:600" x14ac:dyDescent="0.25">
      <c r="IG7" t="s">
        <v>3685</v>
      </c>
      <c r="II7">
        <v>-2.4245362661989844E-14</v>
      </c>
      <c r="IJ7">
        <v>-2.4245362661989844E-14</v>
      </c>
      <c r="IK7" t="s">
        <v>1814</v>
      </c>
      <c r="IL7">
        <v>2024</v>
      </c>
      <c r="IM7" t="s">
        <v>3837</v>
      </c>
      <c r="IN7" s="6">
        <v>45771</v>
      </c>
      <c r="IO7">
        <v>5</v>
      </c>
      <c r="IP7">
        <v>-2.4245362661989844E-14</v>
      </c>
      <c r="IQ7">
        <v>21808713</v>
      </c>
      <c r="IR7" t="s">
        <v>3687</v>
      </c>
      <c r="IU7" t="s">
        <v>3691</v>
      </c>
      <c r="IV7">
        <v>-2.4245362661989844E-14</v>
      </c>
      <c r="IX7">
        <v>-2.4245362661989844E-14</v>
      </c>
      <c r="IY7" t="s">
        <v>1814</v>
      </c>
      <c r="IZ7">
        <v>2024</v>
      </c>
      <c r="JA7" t="s">
        <v>3692</v>
      </c>
      <c r="JB7" s="6">
        <v>45772</v>
      </c>
      <c r="JC7">
        <v>5</v>
      </c>
      <c r="JD7">
        <v>-2.4245362661989844E-14</v>
      </c>
      <c r="JE7">
        <v>135870</v>
      </c>
      <c r="JF7" t="s">
        <v>3693</v>
      </c>
      <c r="SA7" t="s">
        <v>2960</v>
      </c>
      <c r="SB7">
        <v>-2.4245362661989844E-14</v>
      </c>
      <c r="SD7">
        <v>-2.4245362661989844E-14</v>
      </c>
      <c r="SE7" t="s">
        <v>1814</v>
      </c>
      <c r="SF7">
        <v>2023</v>
      </c>
      <c r="SG7" t="s">
        <v>2961</v>
      </c>
      <c r="SH7" s="6">
        <v>45412</v>
      </c>
      <c r="SI7">
        <v>3</v>
      </c>
      <c r="SJ7">
        <v>-2.4245362661989844E-14</v>
      </c>
      <c r="SK7">
        <v>9183698</v>
      </c>
      <c r="SL7" t="s">
        <v>2962</v>
      </c>
    </row>
    <row r="8" spans="1:600" x14ac:dyDescent="0.25">
      <c r="IG8" t="s">
        <v>2336</v>
      </c>
      <c r="II8">
        <v>-2.4245362661989844E-14</v>
      </c>
      <c r="IJ8">
        <v>-2.4245362661989844E-14</v>
      </c>
      <c r="IK8" t="s">
        <v>1814</v>
      </c>
      <c r="IL8">
        <v>2023</v>
      </c>
      <c r="IM8" t="s">
        <v>3838</v>
      </c>
      <c r="IN8" s="6">
        <v>45358</v>
      </c>
      <c r="IO8">
        <v>5</v>
      </c>
      <c r="IP8">
        <v>-2.4245362661989844E-14</v>
      </c>
      <c r="IQ8">
        <v>118099</v>
      </c>
      <c r="IR8" t="s">
        <v>2338</v>
      </c>
      <c r="IU8" t="s">
        <v>3694</v>
      </c>
      <c r="IV8">
        <v>-2.4245362661989844E-14</v>
      </c>
      <c r="IX8">
        <v>-2.4245362661989844E-14</v>
      </c>
      <c r="IY8" t="s">
        <v>1814</v>
      </c>
      <c r="IZ8">
        <v>2024</v>
      </c>
      <c r="JA8" t="s">
        <v>3695</v>
      </c>
      <c r="JB8" s="6">
        <v>45349</v>
      </c>
      <c r="JC8">
        <v>5</v>
      </c>
      <c r="JD8">
        <v>-2.4245362661989844E-14</v>
      </c>
      <c r="JE8">
        <v>100181</v>
      </c>
      <c r="JF8" t="s">
        <v>3696</v>
      </c>
    </row>
    <row r="9" spans="1:600" x14ac:dyDescent="0.25">
      <c r="IG9" t="s">
        <v>2042</v>
      </c>
      <c r="II9">
        <v>-2.4245362661989844E-14</v>
      </c>
      <c r="IJ9">
        <v>-2.4245362661989844E-14</v>
      </c>
      <c r="IK9" t="s">
        <v>1814</v>
      </c>
      <c r="IL9">
        <v>2021</v>
      </c>
      <c r="IM9" t="s">
        <v>2043</v>
      </c>
      <c r="IN9" s="6">
        <v>44693</v>
      </c>
      <c r="IO9">
        <v>5</v>
      </c>
      <c r="IP9">
        <v>-2.4245362661989844E-14</v>
      </c>
      <c r="IQ9">
        <v>100060</v>
      </c>
      <c r="IR9" t="s">
        <v>2044</v>
      </c>
      <c r="IU9" t="s">
        <v>3697</v>
      </c>
      <c r="IV9">
        <v>-2.4245362661989844E-14</v>
      </c>
      <c r="IX9">
        <v>-2.4245362661989844E-14</v>
      </c>
      <c r="IY9" t="s">
        <v>1814</v>
      </c>
      <c r="IZ9">
        <v>2025</v>
      </c>
      <c r="JA9" t="s">
        <v>3698</v>
      </c>
      <c r="JB9" s="6">
        <v>46072</v>
      </c>
      <c r="JC9">
        <v>5</v>
      </c>
      <c r="JD9">
        <v>-2.4245362661989844E-14</v>
      </c>
      <c r="JE9">
        <v>233062</v>
      </c>
      <c r="JF9" t="s">
        <v>3699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1024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1025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1026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1027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1028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1029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1030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1031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1032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1033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1034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1035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1036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1037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1038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1039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1040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1041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1042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1043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441</v>
      </c>
      <c r="AE2" s="3" t="s">
        <v>434</v>
      </c>
      <c r="BI2" s="3" t="s">
        <v>979</v>
      </c>
      <c r="CM2" s="3" t="s">
        <v>1044</v>
      </c>
      <c r="DQ2" s="3" t="s">
        <v>1045</v>
      </c>
      <c r="EU2" s="3" t="s">
        <v>1046</v>
      </c>
      <c r="FY2" s="3" t="s">
        <v>1047</v>
      </c>
      <c r="HC2" s="3" t="s">
        <v>1048</v>
      </c>
      <c r="IG2" s="3" t="s">
        <v>839</v>
      </c>
      <c r="JK2" s="3" t="s">
        <v>1049</v>
      </c>
      <c r="KO2" s="3" t="s">
        <v>690</v>
      </c>
      <c r="LS2" s="3" t="s">
        <v>1050</v>
      </c>
      <c r="MW2" s="3" t="s">
        <v>942</v>
      </c>
      <c r="OA2" s="3" t="s">
        <v>1051</v>
      </c>
      <c r="PE2" s="3" t="s">
        <v>1052</v>
      </c>
      <c r="QI2" s="3" t="s">
        <v>441</v>
      </c>
      <c r="RM2" s="3" t="s">
        <v>1053</v>
      </c>
      <c r="SQ2" s="3" t="s">
        <v>1054</v>
      </c>
      <c r="TU2" s="3" t="s">
        <v>1055</v>
      </c>
      <c r="UY2" s="3" t="s">
        <v>1056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_xll.BDS("AMNB US Equity","SUPPLY_CHAIN_SUPPLIERS_ALL_DATA")</f>
        <v>#N/A N/A</v>
      </c>
      <c r="O5" t="str">
        <f>_xll.BDS("AMNB US Equity","SUPPLY_CHAIN_CUSTOMERS_ALL_DATA")</f>
        <v>#N/A N/A</v>
      </c>
      <c r="AE5" t="str">
        <f>_xll.BDS("BANC US Equity","SUPPLY_CHAIN_SUPPLIERS_ALL_DATA","cols=12;rows=2")</f>
        <v>003490 KS Equity</v>
      </c>
      <c r="AG5">
        <v>-2.4245362661989844E-14</v>
      </c>
      <c r="AH5">
        <v>-2.4245362661989844E-14</v>
      </c>
      <c r="AI5" t="s">
        <v>1831</v>
      </c>
      <c r="AJ5">
        <v>2024</v>
      </c>
      <c r="AK5" t="s">
        <v>2898</v>
      </c>
      <c r="AL5" s="6">
        <v>45610</v>
      </c>
      <c r="AM5">
        <v>2</v>
      </c>
      <c r="AN5">
        <v>-2.4245362661989844E-14</v>
      </c>
      <c r="AO5">
        <v>129220</v>
      </c>
      <c r="AP5" t="s">
        <v>2899</v>
      </c>
      <c r="AS5" t="str">
        <f>_xll.BDS("BANC US Equity","SUPPLY_CHAIN_CUSTOMERS_ALL_DATA","cols=12;rows=1")</f>
        <v>SNX US Equity</v>
      </c>
      <c r="AT5">
        <v>-2.4245362661989844E-14</v>
      </c>
      <c r="AV5">
        <v>-2.4245362661989844E-14</v>
      </c>
      <c r="AW5" t="s">
        <v>1814</v>
      </c>
      <c r="AX5">
        <v>2021</v>
      </c>
      <c r="AY5" t="s">
        <v>3957</v>
      </c>
      <c r="AZ5" s="6">
        <v>44656</v>
      </c>
      <c r="BA5">
        <v>1</v>
      </c>
      <c r="BB5">
        <v>-2.4245362661989844E-14</v>
      </c>
      <c r="BC5">
        <v>1499717</v>
      </c>
      <c r="BD5" t="s">
        <v>1851</v>
      </c>
      <c r="BI5" t="str">
        <f>_xll.BDS("BRK/A US Equity","SUPPLY_CHAIN_SUPPLIERS_ALL_DATA","cols=12;rows=5")</f>
        <v>HSY US Equity</v>
      </c>
      <c r="BJ5" t="s">
        <v>1822</v>
      </c>
      <c r="BK5">
        <v>27</v>
      </c>
      <c r="BL5">
        <v>1.2151259999999999</v>
      </c>
      <c r="BM5" t="s">
        <v>1814</v>
      </c>
      <c r="BN5">
        <v>2025</v>
      </c>
      <c r="BO5" t="s">
        <v>1946</v>
      </c>
      <c r="BP5" s="6">
        <v>46070</v>
      </c>
      <c r="BQ5">
        <v>5</v>
      </c>
      <c r="BR5">
        <v>789248896</v>
      </c>
      <c r="BS5">
        <v>100731</v>
      </c>
      <c r="BT5" t="s">
        <v>1947</v>
      </c>
      <c r="BW5" t="str">
        <f>_xll.BDS("BRK/A US Equity","SUPPLY_CHAIN_CUSTOMERS_ALL_DATA","cols=12;rows=5")</f>
        <v>WMT US Equity</v>
      </c>
      <c r="BX5">
        <v>2.1167449999999999</v>
      </c>
      <c r="BY5" t="s">
        <v>1822</v>
      </c>
      <c r="BZ5">
        <v>1.7547349999999999</v>
      </c>
      <c r="CA5" t="s">
        <v>1814</v>
      </c>
      <c r="CB5">
        <v>2024</v>
      </c>
      <c r="CC5" t="s">
        <v>2434</v>
      </c>
      <c r="CD5" s="6">
        <v>45712</v>
      </c>
      <c r="CE5">
        <v>5</v>
      </c>
      <c r="CF5">
        <v>2244977664</v>
      </c>
      <c r="CG5">
        <v>101616</v>
      </c>
      <c r="CH5" t="s">
        <v>2143</v>
      </c>
      <c r="CM5" t="str">
        <f>_xll.BDS("967617Z US Equity","SUPPLY_CHAIN_SUPPLIERS_ALL_DATA","cols=12;rows=1")</f>
        <v>GPE LN Equity</v>
      </c>
      <c r="CO5">
        <v>-2.4245362661989844E-14</v>
      </c>
      <c r="CP5">
        <v>-2.4245362661989844E-14</v>
      </c>
      <c r="CQ5" t="s">
        <v>1814</v>
      </c>
      <c r="CR5">
        <v>2025</v>
      </c>
      <c r="CS5" t="s">
        <v>3949</v>
      </c>
      <c r="CT5" s="6">
        <v>45798</v>
      </c>
      <c r="CU5">
        <v>1</v>
      </c>
      <c r="CV5">
        <v>-2.4245362661989844E-14</v>
      </c>
      <c r="CW5">
        <v>111663</v>
      </c>
      <c r="CX5" t="s">
        <v>3950</v>
      </c>
      <c r="DA5" t="str">
        <f>_xll.BDS("967617Z US Equity","SUPPLY_CHAIN_CUSTOMERS_ALL_DATA")</f>
        <v>#N/A N/A</v>
      </c>
      <c r="DQ5" t="str">
        <f>_xll.BDS("DBAI US Equity","SUPPLY_CHAIN_SUPPLIERS_ALL_DATA")</f>
        <v>#N/A N/A</v>
      </c>
      <c r="EE5" t="str">
        <f>_xll.BDS("DBAI US Equity","SUPPLY_CHAIN_CUSTOMERS_ALL_DATA")</f>
        <v>#N/A N/A</v>
      </c>
      <c r="EU5" t="str">
        <f>_xll.BDS("RILY US Equity","SUPPLY_CHAIN_SUPPLIERS_ALL_DATA","cols=12;rows=5")</f>
        <v>1460 TT Equity</v>
      </c>
      <c r="EW5">
        <v>-2.4245362661989844E-14</v>
      </c>
      <c r="EX5">
        <v>-2.4245362661989844E-14</v>
      </c>
      <c r="EY5" t="s">
        <v>1806</v>
      </c>
      <c r="EZ5">
        <v>2023</v>
      </c>
      <c r="FA5" t="s">
        <v>1807</v>
      </c>
      <c r="FB5" s="6">
        <v>45126</v>
      </c>
      <c r="FC5">
        <v>5</v>
      </c>
      <c r="FD5">
        <v>-2.4245362661989844E-14</v>
      </c>
      <c r="FE5">
        <v>169120</v>
      </c>
      <c r="FF5" t="s">
        <v>1808</v>
      </c>
      <c r="FI5" t="str">
        <f>_xll.BDS("RILY US Equity","SUPPLY_CHAIN_CUSTOMERS_ALL_DATA","cols=12;rows=5")</f>
        <v>CCC LN Equity</v>
      </c>
      <c r="FJ5">
        <v>2.8645E-2</v>
      </c>
      <c r="FK5" t="s">
        <v>1822</v>
      </c>
      <c r="FL5">
        <v>2.4290000000000002E-3</v>
      </c>
      <c r="FM5" t="s">
        <v>1823</v>
      </c>
      <c r="FN5">
        <v>2025</v>
      </c>
      <c r="FO5" t="s">
        <v>1824</v>
      </c>
      <c r="FP5" s="6">
        <v>46008</v>
      </c>
      <c r="FQ5">
        <v>5</v>
      </c>
      <c r="FR5">
        <v>56488.74</v>
      </c>
      <c r="FS5">
        <v>349049</v>
      </c>
      <c r="FT5" t="s">
        <v>1825</v>
      </c>
      <c r="FY5" t="str">
        <f>_xll.BDS("BKYF US Equity","SUPPLY_CHAIN_SUPPLIERS_ALL_DATA")</f>
        <v>#N/A N/A</v>
      </c>
      <c r="GM5" t="str">
        <f>_xll.BDS("BKYF US Equity","SUPPLY_CHAIN_CUSTOMERS_ALL_DATA")</f>
        <v>#N/A N/A</v>
      </c>
      <c r="HC5" t="str">
        <f>_xll.BDS("FMFG US Equity","SUPPLY_CHAIN_SUPPLIERS_ALL_DATA")</f>
        <v>#N/A N/A</v>
      </c>
      <c r="HQ5" t="str">
        <f>_xll.BDS("FMFG US Equity","SUPPLY_CHAIN_CUSTOMERS_ALL_DATA")</f>
        <v>#N/A N/A</v>
      </c>
      <c r="IG5" t="str">
        <f>_xll.BDS("CMBC US Equity","SUPPLY_CHAIN_SUPPLIERS_ALL_DATA")</f>
        <v>#N/A N/A</v>
      </c>
      <c r="IU5" t="str">
        <f>_xll.BDS("CMBC US Equity","SUPPLY_CHAIN_CUSTOMERS_ALL_DATA")</f>
        <v>#N/A N/A</v>
      </c>
      <c r="JK5" t="str">
        <f>_xll.BDS("CTED US Equity","SUPPLY_CHAIN_SUPPLIERS_ALL_DATA")</f>
        <v>#N/A N/A</v>
      </c>
      <c r="JY5" t="str">
        <f>_xll.BDS("CTED US Equity","SUPPLY_CHAIN_CUSTOMERS_ALL_DATA")</f>
        <v>#N/A N/A</v>
      </c>
      <c r="KO5" t="str">
        <f>_xll.BDS("RBI US Equity","SUPPLY_CHAIN_SUPPLIERS_ALL_DATA","cols=12;rows=1")</f>
        <v>UAA US Equity</v>
      </c>
      <c r="KQ5">
        <v>-2.4245362661989844E-14</v>
      </c>
      <c r="KR5">
        <v>-2.4245362661989844E-14</v>
      </c>
      <c r="KS5" t="s">
        <v>1814</v>
      </c>
      <c r="KT5">
        <v>2025</v>
      </c>
      <c r="KU5" t="s">
        <v>2677</v>
      </c>
      <c r="KV5" s="6">
        <v>45811</v>
      </c>
      <c r="KW5">
        <v>1</v>
      </c>
      <c r="KX5">
        <v>-2.4245362661989844E-14</v>
      </c>
      <c r="KY5">
        <v>9996472</v>
      </c>
      <c r="KZ5" t="s">
        <v>2678</v>
      </c>
      <c r="LC5" t="str">
        <f>_xll.BDS("RBI US Equity","SUPPLY_CHAIN_CUSTOMERS_ALL_DATA")</f>
        <v>#N/A N/A</v>
      </c>
      <c r="LS5" t="str">
        <f>_xll.BDS("WFBI US Equity","SUPPLY_CHAIN_SUPPLIERS_ALL_DATA")</f>
        <v>#N/A N/A</v>
      </c>
      <c r="MG5" t="str">
        <f>_xll.BDS("WFBI US Equity","SUPPLY_CHAIN_CUSTOMERS_ALL_DATA")</f>
        <v>#N/A N/A</v>
      </c>
      <c r="MW5" t="str">
        <f>_xll.BDS("GE US Equity","SUPPLY_CHAIN_SUPPLIERS_ALL_DATA")</f>
        <v>SAF FP Equity</v>
      </c>
      <c r="NK5" t="str">
        <f>_xll.BDS("GE US Equity","SUPPLY_CHAIN_CUSTOMERS_ALL_DATA")</f>
        <v>3352Z US Equity</v>
      </c>
      <c r="OA5" t="str">
        <f>_xll.BDS("ARTG US Equity","SUPPLY_CHAIN_SUPPLIERS_ALL_DATA")</f>
        <v>#N/A N/A</v>
      </c>
      <c r="OO5" t="str">
        <f>_xll.BDS("ARTG US Equity","SUPPLY_CHAIN_CUSTOMERS_ALL_DATA")</f>
        <v>#N/A N/A</v>
      </c>
      <c r="PE5" t="str">
        <f>_xll.BDS("CALB US Equity","SUPPLY_CHAIN_SUPPLIERS_ALL_DATA")</f>
        <v>#N/A N/A</v>
      </c>
      <c r="PS5" t="str">
        <f>_xll.BDS("CALB US Equity","SUPPLY_CHAIN_CUSTOMERS_ALL_DATA")</f>
        <v>#N/A N/A</v>
      </c>
      <c r="QI5" t="str">
        <f>_xll.BDS("AMNB US Equity","SUPPLY_CHAIN_SUPPLIERS_ALL_DATA")</f>
        <v>#N/A N/A</v>
      </c>
      <c r="QW5" t="str">
        <f>_xll.BDS("AMNB US Equity","SUPPLY_CHAIN_CUSTOMERS_ALL_DATA")</f>
        <v>#N/A N/A</v>
      </c>
      <c r="RM5" t="str">
        <f>_xll.BDS("AMCX US Equity","SUPPLY_CHAIN_SUPPLIERS_ALL_DATA","cols=12;rows=5")</f>
        <v>6758 JP Equity</v>
      </c>
      <c r="RN5" t="s">
        <v>1822</v>
      </c>
      <c r="RO5">
        <v>0.13780200000000001</v>
      </c>
      <c r="RP5">
        <v>5.7374840000000003</v>
      </c>
      <c r="RQ5" t="s">
        <v>1823</v>
      </c>
      <c r="RR5">
        <v>2026</v>
      </c>
      <c r="RS5" t="s">
        <v>3153</v>
      </c>
      <c r="RT5" s="6">
        <v>46049</v>
      </c>
      <c r="RU5">
        <v>5</v>
      </c>
      <c r="RV5">
        <v>29055887.91</v>
      </c>
      <c r="RW5">
        <v>101365</v>
      </c>
      <c r="RX5" t="s">
        <v>3154</v>
      </c>
      <c r="SA5" t="str">
        <f>_xll.BDS("AMCX US Equity","SUPPLY_CHAIN_CUSTOMERS_ALL_DATA","cols=12;rows=5")</f>
        <v>003550 KS Equity</v>
      </c>
      <c r="SB5">
        <v>-2.4245362661989844E-14</v>
      </c>
      <c r="SD5">
        <v>-2.4245362661989844E-14</v>
      </c>
      <c r="SE5" t="s">
        <v>1814</v>
      </c>
      <c r="SF5">
        <v>2023</v>
      </c>
      <c r="SG5" t="s">
        <v>2965</v>
      </c>
      <c r="SH5" s="6">
        <v>45331</v>
      </c>
      <c r="SI5">
        <v>5</v>
      </c>
      <c r="SJ5">
        <v>-2.4245362661989844E-14</v>
      </c>
      <c r="SK5">
        <v>117750</v>
      </c>
      <c r="SL5" t="s">
        <v>2966</v>
      </c>
      <c r="SQ5" t="str">
        <f>_xll.BDS("NEPF US Equity","SUPPLY_CHAIN_SUPPLIERS_ALL_DATA")</f>
        <v>#N/A N/A</v>
      </c>
      <c r="TE5" t="str">
        <f>_xll.BDS("NEPF US Equity","SUPPLY_CHAIN_CUSTOMERS_ALL_DATA")</f>
        <v>#N/A N/A</v>
      </c>
      <c r="TU5" t="str">
        <f>_xll.BDS("PSBI US Equity","SUPPLY_CHAIN_SUPPLIERS_ALL_DATA")</f>
        <v>#N/A N/A</v>
      </c>
      <c r="UI5" t="str">
        <f>_xll.BDS("PSBI US Equity","SUPPLY_CHAIN_CUSTOMERS_ALL_DATA")</f>
        <v>#N/A N/A</v>
      </c>
      <c r="UY5" t="str">
        <f>_xll.BDS("EXAR US Equity","SUPPLY_CHAIN_SUPPLIERS_ALL_DATA")</f>
        <v>#N/A N/A</v>
      </c>
      <c r="VM5" t="str">
        <f>_xll.BDS("EXAR US Equity","SUPPLY_CHAIN_CUSTOMERS_ALL_DATA")</f>
        <v>#N/A N/A</v>
      </c>
    </row>
    <row r="6" spans="1:600" x14ac:dyDescent="0.25">
      <c r="AE6" t="s">
        <v>2065</v>
      </c>
      <c r="AG6">
        <v>-2.4245362661989844E-14</v>
      </c>
      <c r="AH6">
        <v>-2.4245362661989844E-14</v>
      </c>
      <c r="AI6" t="s">
        <v>1810</v>
      </c>
      <c r="AJ6">
        <v>2025</v>
      </c>
      <c r="AK6" t="s">
        <v>2900</v>
      </c>
      <c r="AL6" s="6">
        <v>45966</v>
      </c>
      <c r="AM6">
        <v>2</v>
      </c>
      <c r="AN6">
        <v>-2.4245362661989844E-14</v>
      </c>
      <c r="AO6">
        <v>46286147</v>
      </c>
      <c r="AP6" t="s">
        <v>2067</v>
      </c>
      <c r="BI6" t="s">
        <v>1948</v>
      </c>
      <c r="BJ6" t="s">
        <v>1949</v>
      </c>
      <c r="BK6">
        <v>6.6028770000000003</v>
      </c>
      <c r="BL6">
        <v>5.0506979999999997</v>
      </c>
      <c r="BM6" t="s">
        <v>1823</v>
      </c>
      <c r="BN6">
        <v>2025</v>
      </c>
      <c r="BO6" t="s">
        <v>1950</v>
      </c>
      <c r="BP6" s="6">
        <v>45915</v>
      </c>
      <c r="BQ6">
        <v>5</v>
      </c>
      <c r="BR6">
        <v>245362912</v>
      </c>
      <c r="BS6">
        <v>101464</v>
      </c>
      <c r="BT6" t="s">
        <v>1951</v>
      </c>
      <c r="BW6" t="s">
        <v>2435</v>
      </c>
      <c r="BX6">
        <v>1.615089</v>
      </c>
      <c r="BY6" t="s">
        <v>1822</v>
      </c>
      <c r="BZ6">
        <v>12.136977999999999</v>
      </c>
      <c r="CA6" t="s">
        <v>1814</v>
      </c>
      <c r="CB6">
        <v>2024</v>
      </c>
      <c r="CC6" t="s">
        <v>2434</v>
      </c>
      <c r="CD6" s="6">
        <v>45712</v>
      </c>
      <c r="CE6">
        <v>5</v>
      </c>
      <c r="CF6">
        <v>1712931072</v>
      </c>
      <c r="CG6">
        <v>9917432</v>
      </c>
      <c r="CH6" t="s">
        <v>2436</v>
      </c>
      <c r="EU6" t="s">
        <v>1809</v>
      </c>
      <c r="EW6">
        <v>-2.4245362661989844E-14</v>
      </c>
      <c r="EX6">
        <v>-2.4245362661989844E-14</v>
      </c>
      <c r="EY6" t="s">
        <v>1810</v>
      </c>
      <c r="EZ6">
        <v>2022</v>
      </c>
      <c r="FA6" t="s">
        <v>1811</v>
      </c>
      <c r="FB6" s="6">
        <v>44910</v>
      </c>
      <c r="FC6">
        <v>5</v>
      </c>
      <c r="FD6">
        <v>-2.4245362661989844E-14</v>
      </c>
      <c r="FE6">
        <v>8073030</v>
      </c>
      <c r="FF6" t="s">
        <v>1812</v>
      </c>
      <c r="FI6" t="s">
        <v>1826</v>
      </c>
      <c r="FJ6">
        <v>1.1117999999999999E-2</v>
      </c>
      <c r="FK6" t="s">
        <v>1822</v>
      </c>
      <c r="FL6">
        <v>1.9680000000000001E-3</v>
      </c>
      <c r="FM6" t="s">
        <v>1827</v>
      </c>
      <c r="FN6">
        <v>2025</v>
      </c>
      <c r="FO6" t="s">
        <v>1828</v>
      </c>
      <c r="FP6" s="6">
        <v>46091</v>
      </c>
      <c r="FQ6">
        <v>5</v>
      </c>
      <c r="FR6">
        <v>30895</v>
      </c>
      <c r="FS6">
        <v>156637</v>
      </c>
      <c r="FT6" t="s">
        <v>1829</v>
      </c>
      <c r="RM6" t="s">
        <v>3155</v>
      </c>
      <c r="RN6" t="s">
        <v>1893</v>
      </c>
      <c r="RO6">
        <v>1.464631</v>
      </c>
      <c r="RP6">
        <v>3.3327390000000001</v>
      </c>
      <c r="RQ6" t="s">
        <v>1814</v>
      </c>
      <c r="RR6">
        <v>2024</v>
      </c>
      <c r="RS6" t="s">
        <v>3156</v>
      </c>
      <c r="RT6" s="6">
        <v>45699</v>
      </c>
      <c r="RU6">
        <v>5</v>
      </c>
      <c r="RV6">
        <v>6545750</v>
      </c>
      <c r="RW6">
        <v>101608</v>
      </c>
      <c r="RX6" t="s">
        <v>3157</v>
      </c>
      <c r="SA6" t="s">
        <v>2102</v>
      </c>
      <c r="SB6">
        <v>-2.4245362661989844E-14</v>
      </c>
      <c r="SD6">
        <v>-2.4245362661989844E-14</v>
      </c>
      <c r="SE6" t="s">
        <v>1814</v>
      </c>
      <c r="SF6">
        <v>2024</v>
      </c>
      <c r="SG6" t="s">
        <v>2967</v>
      </c>
      <c r="SH6" s="6">
        <v>45702</v>
      </c>
      <c r="SI6">
        <v>5</v>
      </c>
      <c r="SJ6">
        <v>-2.4245362661989844E-14</v>
      </c>
      <c r="SK6">
        <v>117929</v>
      </c>
      <c r="SL6" t="s">
        <v>2103</v>
      </c>
    </row>
    <row r="7" spans="1:600" x14ac:dyDescent="0.25">
      <c r="BI7" t="s">
        <v>1952</v>
      </c>
      <c r="BJ7" t="s">
        <v>1822</v>
      </c>
      <c r="BK7">
        <v>18</v>
      </c>
      <c r="BL7">
        <v>0.28558099999999997</v>
      </c>
      <c r="BM7" t="s">
        <v>1814</v>
      </c>
      <c r="BN7">
        <v>2025</v>
      </c>
      <c r="BO7" t="s">
        <v>1953</v>
      </c>
      <c r="BP7" s="6">
        <v>46079</v>
      </c>
      <c r="BQ7">
        <v>5</v>
      </c>
      <c r="BR7">
        <v>185490768</v>
      </c>
      <c r="BS7">
        <v>103442</v>
      </c>
      <c r="BT7" t="s">
        <v>1954</v>
      </c>
      <c r="BW7" t="s">
        <v>2437</v>
      </c>
      <c r="BX7">
        <v>1.5294399999999999</v>
      </c>
      <c r="BZ7">
        <v>-2.4245362661989844E-14</v>
      </c>
      <c r="CA7" t="s">
        <v>1814</v>
      </c>
      <c r="CB7">
        <v>2024</v>
      </c>
      <c r="CC7" t="s">
        <v>2434</v>
      </c>
      <c r="CD7" s="6">
        <v>45712</v>
      </c>
      <c r="CE7">
        <v>5</v>
      </c>
      <c r="CF7">
        <v>1622093696</v>
      </c>
      <c r="CG7">
        <v>302359</v>
      </c>
      <c r="CH7" t="s">
        <v>2438</v>
      </c>
      <c r="EU7" t="s">
        <v>1813</v>
      </c>
      <c r="EW7">
        <v>-2.4245362661989844E-14</v>
      </c>
      <c r="EX7">
        <v>-2.4245362661989844E-14</v>
      </c>
      <c r="EY7" t="s">
        <v>1814</v>
      </c>
      <c r="EZ7">
        <v>2024</v>
      </c>
      <c r="FA7" t="s">
        <v>1815</v>
      </c>
      <c r="FB7" s="6">
        <v>45919</v>
      </c>
      <c r="FC7">
        <v>5</v>
      </c>
      <c r="FD7">
        <v>-2.4245362661989844E-14</v>
      </c>
      <c r="FE7">
        <v>46946968</v>
      </c>
      <c r="FF7" t="s">
        <v>1816</v>
      </c>
      <c r="FI7" t="s">
        <v>1830</v>
      </c>
      <c r="FJ7">
        <v>-2.4245362661989844E-14</v>
      </c>
      <c r="FL7">
        <v>-2.4245362661989844E-14</v>
      </c>
      <c r="FM7" t="s">
        <v>1831</v>
      </c>
      <c r="FN7">
        <v>2024</v>
      </c>
      <c r="FO7" t="s">
        <v>1832</v>
      </c>
      <c r="FP7" s="6">
        <v>45610</v>
      </c>
      <c r="FQ7">
        <v>5</v>
      </c>
      <c r="FR7">
        <v>-2.4245362661989844E-14</v>
      </c>
      <c r="FS7">
        <v>24157992</v>
      </c>
      <c r="FT7" t="s">
        <v>1833</v>
      </c>
      <c r="RM7" t="s">
        <v>2102</v>
      </c>
      <c r="RO7">
        <v>-2.4245362661989844E-14</v>
      </c>
      <c r="RP7">
        <v>-2.4245362661989844E-14</v>
      </c>
      <c r="RQ7" t="s">
        <v>1814</v>
      </c>
      <c r="RR7">
        <v>2024</v>
      </c>
      <c r="RS7" t="s">
        <v>2967</v>
      </c>
      <c r="RT7" s="6">
        <v>45702</v>
      </c>
      <c r="RU7">
        <v>5</v>
      </c>
      <c r="RV7">
        <v>-2.4245362661989844E-14</v>
      </c>
      <c r="RW7">
        <v>117929</v>
      </c>
      <c r="RX7" t="s">
        <v>2103</v>
      </c>
      <c r="SA7" t="s">
        <v>2968</v>
      </c>
      <c r="SB7">
        <v>-2.4245362661989844E-14</v>
      </c>
      <c r="SD7">
        <v>-2.4245362661989844E-14</v>
      </c>
      <c r="SE7" t="s">
        <v>1814</v>
      </c>
      <c r="SF7">
        <v>2023</v>
      </c>
      <c r="SG7" t="s">
        <v>2965</v>
      </c>
      <c r="SH7" s="6">
        <v>45331</v>
      </c>
      <c r="SI7">
        <v>5</v>
      </c>
      <c r="SJ7">
        <v>-2.4245362661989844E-14</v>
      </c>
      <c r="SK7">
        <v>46083047</v>
      </c>
      <c r="SL7" t="s">
        <v>2969</v>
      </c>
    </row>
    <row r="8" spans="1:600" x14ac:dyDescent="0.25">
      <c r="BI8" t="s">
        <v>1955</v>
      </c>
      <c r="BJ8" t="s">
        <v>1822</v>
      </c>
      <c r="BK8">
        <v>4.630776</v>
      </c>
      <c r="BL8">
        <v>0.19183800000000001</v>
      </c>
      <c r="BM8" t="s">
        <v>1810</v>
      </c>
      <c r="BN8">
        <v>2025</v>
      </c>
      <c r="BO8" t="s">
        <v>1956</v>
      </c>
      <c r="BP8" s="6">
        <v>45952</v>
      </c>
      <c r="BQ8">
        <v>5</v>
      </c>
      <c r="BR8">
        <v>125308800</v>
      </c>
      <c r="BS8">
        <v>171010</v>
      </c>
      <c r="BT8" t="s">
        <v>1957</v>
      </c>
      <c r="BW8" t="s">
        <v>2108</v>
      </c>
      <c r="BX8">
        <v>0.34598400000000001</v>
      </c>
      <c r="BY8" t="s">
        <v>1822</v>
      </c>
      <c r="BZ8">
        <v>1.684086</v>
      </c>
      <c r="CA8" t="s">
        <v>1823</v>
      </c>
      <c r="CB8">
        <v>2025</v>
      </c>
      <c r="CC8" t="s">
        <v>2439</v>
      </c>
      <c r="CD8" s="6">
        <v>45873</v>
      </c>
      <c r="CE8">
        <v>5</v>
      </c>
      <c r="CF8">
        <v>342105216</v>
      </c>
      <c r="CG8">
        <v>100211</v>
      </c>
      <c r="CH8" t="s">
        <v>2110</v>
      </c>
      <c r="EU8" t="s">
        <v>1817</v>
      </c>
      <c r="EW8">
        <v>-2.4245362661989844E-14</v>
      </c>
      <c r="EX8">
        <v>-2.4245362661989844E-14</v>
      </c>
      <c r="EY8" t="s">
        <v>1814</v>
      </c>
      <c r="EZ8">
        <v>2022</v>
      </c>
      <c r="FA8" t="s">
        <v>1818</v>
      </c>
      <c r="FB8" s="6">
        <v>44986</v>
      </c>
      <c r="FC8">
        <v>5</v>
      </c>
      <c r="FD8">
        <v>-2.4245362661989844E-14</v>
      </c>
      <c r="FE8">
        <v>115413</v>
      </c>
      <c r="FF8" t="s">
        <v>1819</v>
      </c>
      <c r="FI8" t="s">
        <v>1834</v>
      </c>
      <c r="FJ8">
        <v>-2.4245362661989844E-14</v>
      </c>
      <c r="FL8">
        <v>-2.4245362661989844E-14</v>
      </c>
      <c r="FM8" t="s">
        <v>1814</v>
      </c>
      <c r="FN8">
        <v>2022</v>
      </c>
      <c r="FO8" t="s">
        <v>1835</v>
      </c>
      <c r="FP8" s="6">
        <v>45014</v>
      </c>
      <c r="FQ8">
        <v>5</v>
      </c>
      <c r="FR8">
        <v>-2.4245362661989844E-14</v>
      </c>
      <c r="FS8">
        <v>10108180</v>
      </c>
      <c r="FT8" t="s">
        <v>1836</v>
      </c>
      <c r="RM8" t="s">
        <v>2786</v>
      </c>
      <c r="RO8">
        <v>-2.4245362661989844E-14</v>
      </c>
      <c r="RP8">
        <v>-2.4245362661989844E-14</v>
      </c>
      <c r="RQ8" t="s">
        <v>1814</v>
      </c>
      <c r="RR8">
        <v>2024</v>
      </c>
      <c r="RS8" t="s">
        <v>2787</v>
      </c>
      <c r="RT8" s="6">
        <v>45574</v>
      </c>
      <c r="RU8">
        <v>5</v>
      </c>
      <c r="RV8">
        <v>-2.4245362661989844E-14</v>
      </c>
      <c r="RW8">
        <v>29162065</v>
      </c>
      <c r="RX8" t="s">
        <v>2788</v>
      </c>
      <c r="SA8" t="s">
        <v>2970</v>
      </c>
      <c r="SB8">
        <v>-2.4245362661989844E-14</v>
      </c>
      <c r="SD8">
        <v>-2.4245362661989844E-14</v>
      </c>
      <c r="SE8" t="s">
        <v>1814</v>
      </c>
      <c r="SF8">
        <v>2025</v>
      </c>
      <c r="SG8" t="s">
        <v>2971</v>
      </c>
      <c r="SH8" s="6">
        <v>45874</v>
      </c>
      <c r="SI8">
        <v>5</v>
      </c>
      <c r="SJ8">
        <v>-2.4245362661989844E-14</v>
      </c>
      <c r="SK8">
        <v>12899758</v>
      </c>
      <c r="SL8" t="s">
        <v>2972</v>
      </c>
    </row>
    <row r="9" spans="1:600" x14ac:dyDescent="0.25">
      <c r="BI9" t="s">
        <v>1958</v>
      </c>
      <c r="BJ9" t="s">
        <v>1949</v>
      </c>
      <c r="BK9">
        <v>1.650523</v>
      </c>
      <c r="BL9">
        <v>1.7462089999999999</v>
      </c>
      <c r="BM9" t="s">
        <v>1810</v>
      </c>
      <c r="BN9">
        <v>2025</v>
      </c>
      <c r="BO9" t="s">
        <v>1959</v>
      </c>
      <c r="BP9" s="6">
        <v>46029</v>
      </c>
      <c r="BQ9">
        <v>5</v>
      </c>
      <c r="BR9">
        <v>97565313.560000002</v>
      </c>
      <c r="BS9">
        <v>115705</v>
      </c>
      <c r="BT9" t="s">
        <v>1960</v>
      </c>
      <c r="BW9" t="s">
        <v>2013</v>
      </c>
      <c r="BX9">
        <v>0.19926099999999999</v>
      </c>
      <c r="BY9" t="s">
        <v>1822</v>
      </c>
      <c r="BZ9">
        <v>1.1451750000000001</v>
      </c>
      <c r="CA9" t="s">
        <v>1823</v>
      </c>
      <c r="CB9">
        <v>2025</v>
      </c>
      <c r="CC9" t="s">
        <v>2440</v>
      </c>
      <c r="CD9" s="6">
        <v>45895</v>
      </c>
      <c r="CE9">
        <v>5</v>
      </c>
      <c r="CF9">
        <v>197027360</v>
      </c>
      <c r="CG9">
        <v>101555</v>
      </c>
      <c r="CH9" t="s">
        <v>2015</v>
      </c>
      <c r="EU9" t="s">
        <v>1820</v>
      </c>
      <c r="EW9">
        <v>-2.4245362661989844E-14</v>
      </c>
      <c r="EX9">
        <v>-2.4245362661989844E-14</v>
      </c>
      <c r="EY9" t="s">
        <v>1814</v>
      </c>
      <c r="EZ9">
        <v>2024</v>
      </c>
      <c r="FA9" t="s">
        <v>1815</v>
      </c>
      <c r="FB9" s="6">
        <v>45919</v>
      </c>
      <c r="FC9">
        <v>5</v>
      </c>
      <c r="FD9">
        <v>-2.4245362661989844E-14</v>
      </c>
      <c r="FE9">
        <v>11092218</v>
      </c>
      <c r="FF9" t="s">
        <v>1821</v>
      </c>
      <c r="FI9" t="s">
        <v>1837</v>
      </c>
      <c r="FJ9">
        <v>-2.4245362661989844E-14</v>
      </c>
      <c r="FL9">
        <v>-2.4245362661989844E-14</v>
      </c>
      <c r="FM9" t="s">
        <v>1814</v>
      </c>
      <c r="FN9">
        <v>2025</v>
      </c>
      <c r="FO9" t="s">
        <v>1838</v>
      </c>
      <c r="FP9" s="6">
        <v>45749</v>
      </c>
      <c r="FQ9">
        <v>5</v>
      </c>
      <c r="FR9">
        <v>-2.4245362661989844E-14</v>
      </c>
      <c r="FS9">
        <v>102456</v>
      </c>
      <c r="FT9" t="s">
        <v>1839</v>
      </c>
      <c r="RM9" t="s">
        <v>3158</v>
      </c>
      <c r="RO9">
        <v>-2.4245362661989844E-14</v>
      </c>
      <c r="RP9">
        <v>-2.4245362661989844E-14</v>
      </c>
      <c r="RQ9" t="s">
        <v>1814</v>
      </c>
      <c r="RR9">
        <v>2025</v>
      </c>
      <c r="RS9" t="s">
        <v>2971</v>
      </c>
      <c r="RT9" s="6">
        <v>45993</v>
      </c>
      <c r="RU9">
        <v>5</v>
      </c>
      <c r="RV9">
        <v>-2.4245362661989844E-14</v>
      </c>
      <c r="RW9">
        <v>69473851</v>
      </c>
      <c r="RX9" t="s">
        <v>3159</v>
      </c>
      <c r="SA9" t="s">
        <v>2973</v>
      </c>
      <c r="SB9">
        <v>-2.4245362661989844E-14</v>
      </c>
      <c r="SD9">
        <v>-2.4245362661989844E-14</v>
      </c>
      <c r="SE9" t="s">
        <v>1814</v>
      </c>
      <c r="SF9">
        <v>2023</v>
      </c>
      <c r="SG9" t="s">
        <v>2965</v>
      </c>
      <c r="SH9" s="6">
        <v>45331</v>
      </c>
      <c r="SI9">
        <v>5</v>
      </c>
      <c r="SJ9">
        <v>-2.4245362661989844E-14</v>
      </c>
      <c r="SK9">
        <v>71409058</v>
      </c>
      <c r="SL9" t="s">
        <v>2974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1057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1058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1059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1060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1061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1062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1063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1064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1065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1066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1067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1068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1069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1070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1071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1072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1073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1074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1075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1076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1077</v>
      </c>
      <c r="AE2" s="3" t="s">
        <v>1078</v>
      </c>
      <c r="BI2" s="3" t="s">
        <v>1079</v>
      </c>
      <c r="CM2" s="3" t="s">
        <v>1080</v>
      </c>
      <c r="DQ2" s="3" t="s">
        <v>1081</v>
      </c>
      <c r="EU2" s="3" t="s">
        <v>1082</v>
      </c>
      <c r="FY2" s="3" t="s">
        <v>1083</v>
      </c>
      <c r="HC2" s="3" t="s">
        <v>1084</v>
      </c>
      <c r="IG2" s="3" t="s">
        <v>724</v>
      </c>
      <c r="JK2" s="3" t="s">
        <v>1085</v>
      </c>
      <c r="KO2" s="3" t="s">
        <v>776</v>
      </c>
      <c r="LS2" s="3" t="s">
        <v>509</v>
      </c>
      <c r="MW2" s="3" t="s">
        <v>625</v>
      </c>
      <c r="OA2" s="3" t="s">
        <v>83</v>
      </c>
      <c r="PE2" s="3" t="s">
        <v>508</v>
      </c>
      <c r="QI2" s="3" t="s">
        <v>1086</v>
      </c>
      <c r="RM2" s="3" t="s">
        <v>1087</v>
      </c>
      <c r="SQ2" s="3" t="s">
        <v>1088</v>
      </c>
      <c r="TU2" s="3" t="s">
        <v>1089</v>
      </c>
      <c r="UY2" s="3" t="s">
        <v>1090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_xll.BDS("FRAF US Equity","SUPPLY_CHAIN_SUPPLIERS_ALL_DATA")</f>
        <v>#N/A N/A</v>
      </c>
      <c r="O5" t="str">
        <f>_xll.BDS("FRAF US Equity","SUPPLY_CHAIN_CUSTOMERS_ALL_DATA")</f>
        <v>#N/A N/A</v>
      </c>
      <c r="AE5" t="str">
        <f>_xll.BDS("SBIB US Equity","SUPPLY_CHAIN_SUPPLIERS_ALL_DATA")</f>
        <v>#N/A N/A</v>
      </c>
      <c r="AS5" t="str">
        <f>_xll.BDS("SBIB US Equity","SUPPLY_CHAIN_CUSTOMERS_ALL_DATA")</f>
        <v>#N/A N/A</v>
      </c>
      <c r="BI5" t="str">
        <f>_xll.BDS("SMLE US Equity","SUPPLY_CHAIN_SUPPLIERS_ALL_DATA")</f>
        <v>#N/A N/A</v>
      </c>
      <c r="BW5" t="str">
        <f>_xll.BDS("SMLE US Equity","SUPPLY_CHAIN_CUSTOMERS_ALL_DATA")</f>
        <v>#N/A N/A</v>
      </c>
      <c r="CM5" t="str">
        <f>_xll.BDS("9876552D US Equity","SUPPLY_CHAIN_SUPPLIERS_ALL_DATA")</f>
        <v>#N/A N/A</v>
      </c>
      <c r="DA5" t="str">
        <f>_xll.BDS("9876552D US Equity","SUPPLY_CHAIN_CUSTOMERS_ALL_DATA")</f>
        <v>#N/A N/A</v>
      </c>
      <c r="DQ5" t="str">
        <f>_xll.BDS("PII US Equity","SUPPLY_CHAIN_SUPPLIERS_ALL_DATA","cols=12;rows=5")</f>
        <v>LCII US Equity</v>
      </c>
      <c r="DR5" t="s">
        <v>1822</v>
      </c>
      <c r="DS5">
        <v>1.048</v>
      </c>
      <c r="DT5">
        <v>0.74333000000000005</v>
      </c>
      <c r="DU5" t="s">
        <v>1810</v>
      </c>
      <c r="DV5">
        <v>2025</v>
      </c>
      <c r="DW5" t="s">
        <v>3102</v>
      </c>
      <c r="DX5" s="6">
        <v>46031</v>
      </c>
      <c r="DY5">
        <v>5</v>
      </c>
      <c r="DZ5">
        <v>10862279</v>
      </c>
      <c r="EA5">
        <v>103442</v>
      </c>
      <c r="EB5" t="s">
        <v>1954</v>
      </c>
      <c r="EE5" t="str">
        <f>_xll.BDS("PII US Equity","SUPPLY_CHAIN_CUSTOMERS_ALL_DATA","cols=12;rows=5")</f>
        <v>0219682Z US Equity</v>
      </c>
      <c r="EF5">
        <v>-2.4245362661989844E-14</v>
      </c>
      <c r="EH5">
        <v>-2.4245362661989844E-14</v>
      </c>
      <c r="EI5" t="s">
        <v>1823</v>
      </c>
      <c r="EJ5">
        <v>2023</v>
      </c>
      <c r="EK5" t="s">
        <v>2990</v>
      </c>
      <c r="EL5" s="6">
        <v>45138</v>
      </c>
      <c r="EM5">
        <v>5</v>
      </c>
      <c r="EN5">
        <v>-2.4245362661989844E-14</v>
      </c>
      <c r="EO5">
        <v>962205</v>
      </c>
      <c r="EP5" t="s">
        <v>2450</v>
      </c>
      <c r="EU5" t="str">
        <f>_xll.BDS("PPBI US Equity","SUPPLY_CHAIN_SUPPLIERS_ALL_DATA","cols=12;rows=1")</f>
        <v>MUST SP Equity</v>
      </c>
      <c r="EW5">
        <v>-2.4245362661989844E-14</v>
      </c>
      <c r="EX5">
        <v>-2.4245362661989844E-14</v>
      </c>
      <c r="EY5" t="s">
        <v>1814</v>
      </c>
      <c r="EZ5">
        <v>2024</v>
      </c>
      <c r="FA5" t="s">
        <v>2066</v>
      </c>
      <c r="FB5" s="6">
        <v>45762</v>
      </c>
      <c r="FC5">
        <v>1</v>
      </c>
      <c r="FD5">
        <v>-2.4245362661989844E-14</v>
      </c>
      <c r="FE5">
        <v>46286147</v>
      </c>
      <c r="FF5" t="s">
        <v>2067</v>
      </c>
      <c r="FI5" t="str">
        <f>_xll.BDS("PPBI US Equity","SUPPLY_CHAIN_CUSTOMERS_ALL_DATA")</f>
        <v>#N/A N/A</v>
      </c>
      <c r="FY5" t="str">
        <f>_xll.BDS("MFA US Equity","SUPPLY_CHAIN_SUPPLIERS_ALL_DATA")</f>
        <v>#N/A N/A</v>
      </c>
      <c r="GM5" t="str">
        <f>_xll.BDS("MFA US Equity","SUPPLY_CHAIN_CUSTOMERS_ALL_DATA")</f>
        <v>#N/A N/A</v>
      </c>
      <c r="HC5" t="str">
        <f>_xll.BDS("BLUD US Equity","SUPPLY_CHAIN_SUPPLIERS_ALL_DATA")</f>
        <v>#N/A N/A</v>
      </c>
      <c r="HQ5" t="str">
        <f>_xll.BDS("BLUD US Equity","SUPPLY_CHAIN_CUSTOMERS_ALL_DATA","cols=12;rows=1")</f>
        <v>EPMT IJ Equity</v>
      </c>
      <c r="HR5">
        <v>-2.4245362661989844E-14</v>
      </c>
      <c r="HT5">
        <v>-2.4245362661989844E-14</v>
      </c>
      <c r="HU5" t="s">
        <v>1814</v>
      </c>
      <c r="HV5">
        <v>2024</v>
      </c>
      <c r="HW5" t="s">
        <v>3934</v>
      </c>
      <c r="HX5" s="6">
        <v>45776</v>
      </c>
      <c r="HY5">
        <v>1</v>
      </c>
      <c r="HZ5">
        <v>-2.4245362661989844E-14</v>
      </c>
      <c r="IA5">
        <v>153194</v>
      </c>
      <c r="IB5" t="s">
        <v>3935</v>
      </c>
      <c r="IG5" t="str">
        <f>_xll.BDS("COB US Equity","SUPPLY_CHAIN_SUPPLIERS_ALL_DATA")</f>
        <v>#N/A N/A</v>
      </c>
      <c r="IU5" t="str">
        <f>_xll.BDS("COB US Equity","SUPPLY_CHAIN_CUSTOMERS_ALL_DATA")</f>
        <v>#N/A N/A</v>
      </c>
      <c r="JK5" t="str">
        <f>_xll.BDS("MRVC US Equity","SUPPLY_CHAIN_SUPPLIERS_ALL_DATA")</f>
        <v>#N/A N/A</v>
      </c>
      <c r="JY5" t="str">
        <f>_xll.BDS("MRVC US Equity","SUPPLY_CHAIN_CUSTOMERS_ALL_DATA")</f>
        <v>#N/A N/A</v>
      </c>
      <c r="KO5" t="str">
        <f>_xll.BDS("TCF US Equity","SUPPLY_CHAIN_SUPPLIERS_ALL_DATA")</f>
        <v>#N/A N/A</v>
      </c>
      <c r="LC5" t="str">
        <f>_xll.BDS("TCF US Equity","SUPPLY_CHAIN_CUSTOMERS_ALL_DATA")</f>
        <v>#N/A N/A</v>
      </c>
      <c r="LS5" t="str">
        <f>_xll.BDS("UCFC US Equity","SUPPLY_CHAIN_SUPPLIERS_ALL_DATA")</f>
        <v>#N/A N/A</v>
      </c>
      <c r="MG5" t="str">
        <f>_xll.BDS("UCFC US Equity","SUPPLY_CHAIN_CUSTOMERS_ALL_DATA")</f>
        <v>#N/A N/A</v>
      </c>
      <c r="MW5" t="str">
        <f>_xll.BDS("AIV US Equity","SUPPLY_CHAIN_SUPPLIERS_ALL_DATA","cols=12;rows=1")</f>
        <v>MS US Equity</v>
      </c>
      <c r="MY5">
        <v>-2.4245362661989844E-14</v>
      </c>
      <c r="MZ5">
        <v>-2.4245362661989844E-14</v>
      </c>
      <c r="NA5" t="s">
        <v>1814</v>
      </c>
      <c r="NB5">
        <v>2025</v>
      </c>
      <c r="NC5" t="s">
        <v>2998</v>
      </c>
      <c r="ND5" s="6">
        <v>45875</v>
      </c>
      <c r="NE5">
        <v>1</v>
      </c>
      <c r="NF5">
        <v>-2.4245362661989844E-14</v>
      </c>
      <c r="NG5">
        <v>116646</v>
      </c>
      <c r="NH5" t="s">
        <v>3075</v>
      </c>
      <c r="NK5" t="str">
        <f>_xll.BDS("AIV US Equity","SUPPLY_CHAIN_CUSTOMERS_ALL_DATA","cols=12;rows=1")</f>
        <v>29326Z US Equity</v>
      </c>
      <c r="NL5">
        <v>-2.4245362661989844E-14</v>
      </c>
      <c r="NN5">
        <v>-2.4245362661989844E-14</v>
      </c>
      <c r="NO5" t="s">
        <v>1814</v>
      </c>
      <c r="NP5">
        <v>2025</v>
      </c>
      <c r="NQ5" t="s">
        <v>2998</v>
      </c>
      <c r="NR5" s="6">
        <v>45875</v>
      </c>
      <c r="NS5">
        <v>1</v>
      </c>
      <c r="NT5">
        <v>-2.4245362661989844E-14</v>
      </c>
      <c r="NU5">
        <v>7389859</v>
      </c>
      <c r="NV5" t="s">
        <v>2999</v>
      </c>
      <c r="OA5" t="str">
        <f>_xll.BDS("GABC US Equity","SUPPLY_CHAIN_SUPPLIERS_ALL_DATA")</f>
        <v>#N/A N/A</v>
      </c>
      <c r="OO5" t="str">
        <f>_xll.BDS("GABC US Equity","SUPPLY_CHAIN_CUSTOMERS_ALL_DATA")</f>
        <v>#N/A N/A</v>
      </c>
      <c r="PE5" t="str">
        <f>_xll.BDS("CIVB US Equity","SUPPLY_CHAIN_SUPPLIERS_ALL_DATA")</f>
        <v>#N/A N/A</v>
      </c>
      <c r="PS5" t="str">
        <f>_xll.BDS("CIVB US Equity","SUPPLY_CHAIN_CUSTOMERS_ALL_DATA")</f>
        <v>#N/A N/A</v>
      </c>
      <c r="QI5" t="str">
        <f>_xll.BDS("0838460D US Equity","SUPPLY_CHAIN_SUPPLIERS_ALL_DATA")</f>
        <v>#N/A N/A</v>
      </c>
      <c r="QW5" t="str">
        <f>_xll.BDS("0838460D US Equity","SUPPLY_CHAIN_CUSTOMERS_ALL_DATA")</f>
        <v>#N/A N/A</v>
      </c>
      <c r="RM5" t="str">
        <f>_xll.BDS("DGICA US Equity","SUPPLY_CHAIN_SUPPLIERS_ALL_DATA","cols=12;rows=1")</f>
        <v>OSPN US Equity</v>
      </c>
      <c r="RO5">
        <v>-2.4245362661989844E-14</v>
      </c>
      <c r="RP5">
        <v>-2.4245362661989844E-14</v>
      </c>
      <c r="RQ5" t="s">
        <v>1823</v>
      </c>
      <c r="RR5">
        <v>2025</v>
      </c>
      <c r="RS5" t="s">
        <v>3844</v>
      </c>
      <c r="RT5" s="6">
        <v>45874</v>
      </c>
      <c r="RU5">
        <v>1</v>
      </c>
      <c r="RV5">
        <v>-2.4245362661989844E-14</v>
      </c>
      <c r="RW5">
        <v>313721</v>
      </c>
      <c r="RX5" t="s">
        <v>3845</v>
      </c>
      <c r="SA5" t="str">
        <f>_xll.BDS("DGICA US Equity","SUPPLY_CHAIN_CUSTOMERS_ALL_DATA")</f>
        <v>#N/A N/A</v>
      </c>
      <c r="SQ5" t="str">
        <f>_xll.BDS("THG US Equity","SUPPLY_CHAIN_SUPPLIERS_ALL_DATA")</f>
        <v>#N/A N/A</v>
      </c>
      <c r="TE5" t="str">
        <f>_xll.BDS("THG US Equity","SUPPLY_CHAIN_CUSTOMERS_ALL_DATA")</f>
        <v>#N/A N/A</v>
      </c>
      <c r="TU5" t="str">
        <f>_xll.BDS("NKTR US Equity","SUPPLY_CHAIN_SUPPLIERS_ALL_DATA","cols=12;rows=5")</f>
        <v>KRC US Equity</v>
      </c>
      <c r="TV5" t="s">
        <v>1893</v>
      </c>
      <c r="TW5">
        <v>1.1051820000000001</v>
      </c>
      <c r="TX5">
        <v>16.478833999999999</v>
      </c>
      <c r="TY5" t="s">
        <v>1814</v>
      </c>
      <c r="TZ5">
        <v>2025</v>
      </c>
      <c r="UA5" t="s">
        <v>2355</v>
      </c>
      <c r="UB5" s="6">
        <v>46064</v>
      </c>
      <c r="UC5">
        <v>5</v>
      </c>
      <c r="UD5">
        <v>3074250</v>
      </c>
      <c r="UE5">
        <v>202222</v>
      </c>
      <c r="UF5" t="s">
        <v>2356</v>
      </c>
      <c r="UI5" t="str">
        <f>_xll.BDS("NKTR US Equity","SUPPLY_CHAIN_CUSTOMERS_ALL_DATA","cols=12;rows=5")</f>
        <v>1288642Z US Equity</v>
      </c>
      <c r="UJ5">
        <v>39</v>
      </c>
      <c r="UL5">
        <v>-2.4245362661989844E-14</v>
      </c>
      <c r="UM5" t="s">
        <v>1814</v>
      </c>
      <c r="UN5">
        <v>2024</v>
      </c>
      <c r="UO5" t="s">
        <v>3460</v>
      </c>
      <c r="UP5" s="6">
        <v>45730</v>
      </c>
      <c r="UQ5">
        <v>5</v>
      </c>
      <c r="UR5">
        <v>9596632</v>
      </c>
      <c r="US5">
        <v>11712402</v>
      </c>
      <c r="UT5" t="s">
        <v>3461</v>
      </c>
      <c r="UY5" t="str">
        <f>_xll.BDS("PRDO US Equity","SUPPLY_CHAIN_SUPPLIERS_ALL_DATA")</f>
        <v>#N/A N/A</v>
      </c>
      <c r="VM5" t="str">
        <f>_xll.BDS("PRDO US Equity","SUPPLY_CHAIN_CUSTOMERS_ALL_DATA")</f>
        <v>#N/A N/A</v>
      </c>
    </row>
    <row r="6" spans="1:600" x14ac:dyDescent="0.25">
      <c r="DQ6" t="s">
        <v>3103</v>
      </c>
      <c r="DR6" t="s">
        <v>1822</v>
      </c>
      <c r="DS6">
        <v>0.92582799999999998</v>
      </c>
      <c r="DT6">
        <v>0.68404500000000001</v>
      </c>
      <c r="DU6" t="s">
        <v>1810</v>
      </c>
      <c r="DV6">
        <v>2025</v>
      </c>
      <c r="DW6" t="s">
        <v>3104</v>
      </c>
      <c r="DX6" s="6">
        <v>45995</v>
      </c>
      <c r="DY6">
        <v>5</v>
      </c>
      <c r="DZ6">
        <v>9997820.6199999992</v>
      </c>
      <c r="EA6">
        <v>162870</v>
      </c>
      <c r="EB6" t="s">
        <v>3105</v>
      </c>
      <c r="EE6" t="s">
        <v>2991</v>
      </c>
      <c r="EF6">
        <v>-2.4245362661989844E-14</v>
      </c>
      <c r="EH6">
        <v>-2.4245362661989844E-14</v>
      </c>
      <c r="EI6" t="s">
        <v>1823</v>
      </c>
      <c r="EJ6">
        <v>2023</v>
      </c>
      <c r="EK6" t="s">
        <v>2990</v>
      </c>
      <c r="EL6" s="6">
        <v>45138</v>
      </c>
      <c r="EM6">
        <v>5</v>
      </c>
      <c r="EN6">
        <v>-2.4245362661989844E-14</v>
      </c>
      <c r="EO6">
        <v>65238439</v>
      </c>
      <c r="EP6" t="s">
        <v>2992</v>
      </c>
      <c r="TU6" t="s">
        <v>3588</v>
      </c>
      <c r="TV6" t="s">
        <v>1896</v>
      </c>
      <c r="TW6">
        <v>4.6680000000000003E-3</v>
      </c>
      <c r="TX6">
        <v>1.7919999999999998E-2</v>
      </c>
      <c r="TY6" t="s">
        <v>1810</v>
      </c>
      <c r="TZ6">
        <v>2025</v>
      </c>
      <c r="UA6" t="s">
        <v>3589</v>
      </c>
      <c r="UB6" s="6">
        <v>46018</v>
      </c>
      <c r="UC6">
        <v>5</v>
      </c>
      <c r="UD6">
        <v>4883</v>
      </c>
      <c r="UE6">
        <v>69325080</v>
      </c>
      <c r="UF6" t="s">
        <v>3590</v>
      </c>
      <c r="UI6" t="s">
        <v>3462</v>
      </c>
      <c r="UJ6">
        <v>18</v>
      </c>
      <c r="UK6" t="s">
        <v>1822</v>
      </c>
      <c r="UL6">
        <v>0.169652</v>
      </c>
      <c r="UM6" t="s">
        <v>1814</v>
      </c>
      <c r="UN6">
        <v>2024</v>
      </c>
      <c r="UO6" t="s">
        <v>3460</v>
      </c>
      <c r="UP6" s="6">
        <v>45730</v>
      </c>
      <c r="UQ6">
        <v>5</v>
      </c>
      <c r="UR6">
        <v>4429215</v>
      </c>
      <c r="US6">
        <v>114881</v>
      </c>
      <c r="UT6" t="s">
        <v>3463</v>
      </c>
    </row>
    <row r="7" spans="1:600" x14ac:dyDescent="0.25">
      <c r="DQ7" t="s">
        <v>3106</v>
      </c>
      <c r="DR7" t="s">
        <v>1822</v>
      </c>
      <c r="DS7">
        <v>18.440000999999999</v>
      </c>
      <c r="DT7">
        <v>0.69250199999999995</v>
      </c>
      <c r="DU7" t="s">
        <v>1831</v>
      </c>
      <c r="DV7">
        <v>2025</v>
      </c>
      <c r="DW7" t="s">
        <v>3107</v>
      </c>
      <c r="DX7" s="6">
        <v>46021</v>
      </c>
      <c r="DY7">
        <v>5</v>
      </c>
      <c r="DZ7">
        <v>9882229.7400000002</v>
      </c>
      <c r="EA7">
        <v>42217783</v>
      </c>
      <c r="EB7" t="s">
        <v>3108</v>
      </c>
      <c r="EE7" t="s">
        <v>2010</v>
      </c>
      <c r="EF7">
        <v>-2.4245362661989844E-14</v>
      </c>
      <c r="EH7">
        <v>-2.4245362661989844E-14</v>
      </c>
      <c r="EI7" t="s">
        <v>1823</v>
      </c>
      <c r="EJ7">
        <v>2023</v>
      </c>
      <c r="EK7" t="s">
        <v>2990</v>
      </c>
      <c r="EL7" s="6">
        <v>45138</v>
      </c>
      <c r="EM7">
        <v>5</v>
      </c>
      <c r="EN7">
        <v>-2.4245362661989844E-14</v>
      </c>
      <c r="EO7">
        <v>218252</v>
      </c>
      <c r="EP7" t="s">
        <v>2012</v>
      </c>
      <c r="TU7" t="s">
        <v>3591</v>
      </c>
      <c r="TW7">
        <v>-2.4245362661989844E-14</v>
      </c>
      <c r="TX7">
        <v>-2.4245362661989844E-14</v>
      </c>
      <c r="TY7" t="s">
        <v>2266</v>
      </c>
      <c r="TZ7">
        <v>2023</v>
      </c>
      <c r="UA7" t="s">
        <v>3592</v>
      </c>
      <c r="UB7" s="6">
        <v>45061</v>
      </c>
      <c r="UC7">
        <v>5</v>
      </c>
      <c r="UD7">
        <v>-2.4245362661989844E-14</v>
      </c>
      <c r="UE7">
        <v>129492</v>
      </c>
      <c r="UF7" t="s">
        <v>3593</v>
      </c>
      <c r="UI7" t="s">
        <v>2183</v>
      </c>
      <c r="UJ7">
        <v>17</v>
      </c>
      <c r="UK7" t="s">
        <v>1822</v>
      </c>
      <c r="UL7">
        <v>0.16393199999999999</v>
      </c>
      <c r="UM7" t="s">
        <v>1814</v>
      </c>
      <c r="UN7">
        <v>2024</v>
      </c>
      <c r="UO7" t="s">
        <v>3460</v>
      </c>
      <c r="UP7" s="6">
        <v>45730</v>
      </c>
      <c r="UQ7">
        <v>5</v>
      </c>
      <c r="UR7">
        <v>4183147.5</v>
      </c>
      <c r="US7">
        <v>111093</v>
      </c>
      <c r="UT7" t="s">
        <v>2184</v>
      </c>
    </row>
    <row r="8" spans="1:600" x14ac:dyDescent="0.25">
      <c r="DQ8" t="s">
        <v>3109</v>
      </c>
      <c r="DR8" t="s">
        <v>1822</v>
      </c>
      <c r="DS8">
        <v>0.26198700000000003</v>
      </c>
      <c r="DT8">
        <v>0.43773899999999999</v>
      </c>
      <c r="DU8" t="s">
        <v>1827</v>
      </c>
      <c r="DV8">
        <v>2024</v>
      </c>
      <c r="DW8" t="s">
        <v>3110</v>
      </c>
      <c r="DX8" s="6">
        <v>45720</v>
      </c>
      <c r="DY8">
        <v>5</v>
      </c>
      <c r="DZ8">
        <v>6117396</v>
      </c>
      <c r="EA8">
        <v>13954993</v>
      </c>
      <c r="EB8" t="s">
        <v>3111</v>
      </c>
      <c r="EE8" t="s">
        <v>2993</v>
      </c>
      <c r="EF8">
        <v>-2.4245362661989844E-14</v>
      </c>
      <c r="EH8">
        <v>-2.4245362661989844E-14</v>
      </c>
      <c r="EI8" t="s">
        <v>1971</v>
      </c>
      <c r="EJ8">
        <v>2023</v>
      </c>
      <c r="EK8" t="s">
        <v>2994</v>
      </c>
      <c r="EL8" s="6">
        <v>45156</v>
      </c>
      <c r="EM8">
        <v>5</v>
      </c>
      <c r="EN8">
        <v>-2.4245362661989844E-14</v>
      </c>
      <c r="EO8">
        <v>330346</v>
      </c>
      <c r="EP8" t="s">
        <v>2995</v>
      </c>
      <c r="TU8" t="s">
        <v>3594</v>
      </c>
      <c r="TW8">
        <v>-2.4245362661989844E-14</v>
      </c>
      <c r="TX8">
        <v>-2.4245362661989844E-14</v>
      </c>
      <c r="TY8" t="s">
        <v>1814</v>
      </c>
      <c r="TZ8">
        <v>2024</v>
      </c>
      <c r="UA8" t="s">
        <v>3460</v>
      </c>
      <c r="UB8" s="6">
        <v>45730</v>
      </c>
      <c r="UC8">
        <v>5</v>
      </c>
      <c r="UD8">
        <v>-2.4245362661989844E-14</v>
      </c>
      <c r="UE8">
        <v>69922045</v>
      </c>
      <c r="UF8" t="s">
        <v>3595</v>
      </c>
      <c r="UI8" t="s">
        <v>800</v>
      </c>
      <c r="UJ8">
        <v>12</v>
      </c>
      <c r="UK8" t="s">
        <v>1822</v>
      </c>
      <c r="UL8">
        <v>6.6166000000000003E-2</v>
      </c>
      <c r="UM8" t="s">
        <v>1814</v>
      </c>
      <c r="UN8">
        <v>2024</v>
      </c>
      <c r="UO8" t="s">
        <v>3460</v>
      </c>
      <c r="UP8" s="6">
        <v>45730</v>
      </c>
      <c r="UQ8">
        <v>5</v>
      </c>
      <c r="UR8">
        <v>2952810</v>
      </c>
      <c r="US8">
        <v>101166</v>
      </c>
      <c r="UT8" t="s">
        <v>1915</v>
      </c>
    </row>
    <row r="9" spans="1:600" x14ac:dyDescent="0.25">
      <c r="DQ9" t="s">
        <v>3112</v>
      </c>
      <c r="DR9" t="s">
        <v>1822</v>
      </c>
      <c r="DS9">
        <v>4.6561999999999999E-2</v>
      </c>
      <c r="DT9">
        <v>0.39681</v>
      </c>
      <c r="DU9" t="s">
        <v>1823</v>
      </c>
      <c r="DV9">
        <v>2025</v>
      </c>
      <c r="DW9" t="s">
        <v>3113</v>
      </c>
      <c r="DX9" s="6">
        <v>46002</v>
      </c>
      <c r="DY9">
        <v>5</v>
      </c>
      <c r="DZ9">
        <v>5800868.1799999997</v>
      </c>
      <c r="EA9">
        <v>114418</v>
      </c>
      <c r="EB9" t="s">
        <v>3114</v>
      </c>
      <c r="EE9" t="s">
        <v>2100</v>
      </c>
      <c r="EF9">
        <v>-2.4245362661989844E-14</v>
      </c>
      <c r="EH9">
        <v>-2.4245362661989844E-14</v>
      </c>
      <c r="EI9" t="s">
        <v>1823</v>
      </c>
      <c r="EJ9">
        <v>2023</v>
      </c>
      <c r="EK9" t="s">
        <v>2990</v>
      </c>
      <c r="EL9" s="6">
        <v>45138</v>
      </c>
      <c r="EM9">
        <v>5</v>
      </c>
      <c r="EN9">
        <v>-2.4245362661989844E-14</v>
      </c>
      <c r="EO9">
        <v>216952</v>
      </c>
      <c r="EP9" t="s">
        <v>2101</v>
      </c>
      <c r="TU9" t="s">
        <v>477</v>
      </c>
      <c r="TW9">
        <v>-2.4245362661989844E-14</v>
      </c>
      <c r="TX9">
        <v>-2.4245362661989844E-14</v>
      </c>
      <c r="TY9" t="s">
        <v>1814</v>
      </c>
      <c r="TZ9">
        <v>2023</v>
      </c>
      <c r="UA9" t="s">
        <v>3596</v>
      </c>
      <c r="UB9" s="6">
        <v>45043</v>
      </c>
      <c r="UC9">
        <v>5</v>
      </c>
      <c r="UD9">
        <v>-2.4245362661989844E-14</v>
      </c>
      <c r="UE9">
        <v>100894</v>
      </c>
      <c r="UF9" t="s">
        <v>3513</v>
      </c>
      <c r="UI9" t="s">
        <v>3464</v>
      </c>
      <c r="UJ9">
        <v>10</v>
      </c>
      <c r="UK9" t="s">
        <v>1822</v>
      </c>
      <c r="UL9">
        <v>5.3218000000000001E-2</v>
      </c>
      <c r="UM9" t="s">
        <v>1814</v>
      </c>
      <c r="UN9">
        <v>2024</v>
      </c>
      <c r="UO9" t="s">
        <v>3460</v>
      </c>
      <c r="UP9" s="6">
        <v>45730</v>
      </c>
      <c r="UQ9">
        <v>5</v>
      </c>
      <c r="UR9">
        <v>2460675</v>
      </c>
      <c r="US9">
        <v>115785</v>
      </c>
      <c r="UT9" t="s">
        <v>3465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1091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1092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1093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1094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1095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1096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1097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1098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1099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1100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1101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1102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1103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1104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1105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1106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1107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1108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1109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1110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1111</v>
      </c>
      <c r="AE2" s="3" t="s">
        <v>1112</v>
      </c>
      <c r="BI2" s="3" t="s">
        <v>1113</v>
      </c>
      <c r="CM2" s="3" t="s">
        <v>1114</v>
      </c>
      <c r="DQ2" s="3" t="s">
        <v>249</v>
      </c>
      <c r="EU2" s="3" t="s">
        <v>1115</v>
      </c>
      <c r="FY2" s="3" t="s">
        <v>544</v>
      </c>
      <c r="HC2" s="3" t="s">
        <v>1116</v>
      </c>
      <c r="IG2" s="3" t="s">
        <v>1020</v>
      </c>
      <c r="JK2" s="3" t="s">
        <v>1117</v>
      </c>
      <c r="KO2" s="3" t="s">
        <v>241</v>
      </c>
      <c r="LS2" s="3" t="s">
        <v>1118</v>
      </c>
      <c r="MW2" s="3" t="s">
        <v>1119</v>
      </c>
      <c r="OA2" s="3" t="s">
        <v>1120</v>
      </c>
      <c r="PE2" s="3" t="s">
        <v>1121</v>
      </c>
      <c r="QI2" s="3" t="s">
        <v>1122</v>
      </c>
      <c r="RM2" s="3" t="s">
        <v>1123</v>
      </c>
      <c r="SQ2" s="3" t="s">
        <v>1124</v>
      </c>
      <c r="TU2" s="3" t="s">
        <v>1125</v>
      </c>
      <c r="UY2" s="3" t="s">
        <v>870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_xll.BDS("388103Q US Equity","SUPPLY_CHAIN_SUPPLIERS_ALL_DATA")</f>
        <v>#N/A N/A</v>
      </c>
      <c r="O5" t="str">
        <f>_xll.BDS("388103Q US Equity","SUPPLY_CHAIN_CUSTOMERS_ALL_DATA")</f>
        <v>#N/A N/A</v>
      </c>
      <c r="AE5" t="str">
        <f>_xll.BDS("UBOH US Equity","SUPPLY_CHAIN_SUPPLIERS_ALL_DATA")</f>
        <v>#N/A N/A</v>
      </c>
      <c r="AS5" t="str">
        <f>_xll.BDS("UBOH US Equity","SUPPLY_CHAIN_CUSTOMERS_ALL_DATA")</f>
        <v>#N/A N/A</v>
      </c>
      <c r="BI5" t="str">
        <f>_xll.BDS("CDTI US Equity","SUPPLY_CHAIN_SUPPLIERS_ALL_DATA","cols=12;rows=4")</f>
        <v>ED US Equity</v>
      </c>
      <c r="BK5">
        <v>-2.4245362661989844E-14</v>
      </c>
      <c r="BL5">
        <v>-2.4245362661989844E-14</v>
      </c>
      <c r="BM5" t="s">
        <v>1814</v>
      </c>
      <c r="BN5">
        <v>2021</v>
      </c>
      <c r="BO5" t="s">
        <v>2680</v>
      </c>
      <c r="BP5" s="6">
        <v>44693</v>
      </c>
      <c r="BQ5">
        <v>4</v>
      </c>
      <c r="BR5">
        <v>-2.4245362661989844E-14</v>
      </c>
      <c r="BS5">
        <v>100382</v>
      </c>
      <c r="BT5" t="s">
        <v>2681</v>
      </c>
      <c r="BW5" t="str">
        <f>_xll.BDS("CDTI US Equity","SUPPLY_CHAIN_CUSTOMERS_ALL_DATA","cols=12;rows=1")</f>
        <v>DE US Equity</v>
      </c>
      <c r="BX5">
        <v>2.5163340000000001</v>
      </c>
      <c r="BY5" t="s">
        <v>1822</v>
      </c>
      <c r="BZ5">
        <v>7.4899999999999999E-4</v>
      </c>
      <c r="CA5" t="s">
        <v>1810</v>
      </c>
      <c r="CB5">
        <v>2025</v>
      </c>
      <c r="CC5" t="s">
        <v>2561</v>
      </c>
      <c r="CD5" s="6">
        <v>45904</v>
      </c>
      <c r="CE5">
        <v>1</v>
      </c>
      <c r="CF5">
        <v>56699</v>
      </c>
      <c r="CG5">
        <v>100438</v>
      </c>
      <c r="CH5" t="s">
        <v>2562</v>
      </c>
      <c r="CM5" t="str">
        <f>_xll.BDS("9990527D US Equity","SUPPLY_CHAIN_SUPPLIERS_ALL_DATA","cols=12;rows=1")</f>
        <v>SQNS US Equity</v>
      </c>
      <c r="CO5">
        <v>-2.4245362661989844E-14</v>
      </c>
      <c r="CP5">
        <v>-2.4245362661989844E-14</v>
      </c>
      <c r="CQ5" t="s">
        <v>1814</v>
      </c>
      <c r="CR5">
        <v>2021</v>
      </c>
      <c r="CS5" t="s">
        <v>4244</v>
      </c>
      <c r="CT5" s="6">
        <v>44651</v>
      </c>
      <c r="CU5">
        <v>1</v>
      </c>
      <c r="CV5">
        <v>-2.4245362661989844E-14</v>
      </c>
      <c r="CW5">
        <v>9553651</v>
      </c>
      <c r="CX5" t="s">
        <v>4245</v>
      </c>
      <c r="DA5" t="str">
        <f>_xll.BDS("9990527D US Equity","SUPPLY_CHAIN_CUSTOMERS_ALL_DATA")</f>
        <v>#N/A N/A</v>
      </c>
      <c r="DQ5" t="str">
        <f>_xll.BDS("CACI US Equity","SUPPLY_CHAIN_SUPPLIERS_ALL_DATA","cols=12;rows=5")</f>
        <v>CDP US Equity</v>
      </c>
      <c r="DR5" t="s">
        <v>1893</v>
      </c>
      <c r="DS5">
        <v>1.895742</v>
      </c>
      <c r="DT5">
        <v>0.79286699999999999</v>
      </c>
      <c r="DU5" t="s">
        <v>1814</v>
      </c>
      <c r="DV5">
        <v>2024</v>
      </c>
      <c r="DW5" t="s">
        <v>3377</v>
      </c>
      <c r="DX5" s="6">
        <v>45694</v>
      </c>
      <c r="DY5">
        <v>5</v>
      </c>
      <c r="DZ5">
        <v>3570000</v>
      </c>
      <c r="EA5">
        <v>106543</v>
      </c>
      <c r="EB5" t="s">
        <v>3378</v>
      </c>
      <c r="EE5" t="str">
        <f>_xll.BDS("CACI US Equity","SUPPLY_CHAIN_CUSTOMERS_ALL_DATA","cols=12;rows=5")</f>
        <v>3352Z US Equity</v>
      </c>
      <c r="EF5">
        <v>95.933823000000004</v>
      </c>
      <c r="EH5">
        <v>-2.4245362661989844E-14</v>
      </c>
      <c r="EI5" t="s">
        <v>1823</v>
      </c>
      <c r="EJ5">
        <v>2026</v>
      </c>
      <c r="EK5" t="s">
        <v>3717</v>
      </c>
      <c r="EL5" s="6">
        <v>46044</v>
      </c>
      <c r="EM5">
        <v>5</v>
      </c>
      <c r="EN5">
        <v>2129824000</v>
      </c>
      <c r="EO5">
        <v>218252</v>
      </c>
      <c r="EP5" t="s">
        <v>2012</v>
      </c>
      <c r="EU5" t="str">
        <f>_xll.BDS("MTSC US Equity","SUPPLY_CHAIN_SUPPLIERS_ALL_DATA")</f>
        <v>#N/A N/A</v>
      </c>
      <c r="FI5" t="str">
        <f>_xll.BDS("MTSC US Equity","SUPPLY_CHAIN_CUSTOMERS_ALL_DATA")</f>
        <v>#N/A N/A</v>
      </c>
      <c r="FY5" t="str">
        <f>_xll.BDS("ABCB US Equity","SUPPLY_CHAIN_SUPPLIERS_ALL_DATA","cols=12;rows=1")</f>
        <v>5158754Z SS Equity</v>
      </c>
      <c r="GA5">
        <v>-2.4245362661989844E-14</v>
      </c>
      <c r="GB5">
        <v>-2.4245362661989844E-14</v>
      </c>
      <c r="GC5" t="s">
        <v>1814</v>
      </c>
      <c r="GD5">
        <v>2024</v>
      </c>
      <c r="GE5" t="s">
        <v>2122</v>
      </c>
      <c r="GF5" s="6">
        <v>45411</v>
      </c>
      <c r="GG5">
        <v>1</v>
      </c>
      <c r="GH5">
        <v>-2.4245362661989844E-14</v>
      </c>
      <c r="GI5">
        <v>21680435</v>
      </c>
      <c r="GJ5" t="s">
        <v>2123</v>
      </c>
      <c r="GM5" t="str">
        <f>_xll.BDS("ABCB US Equity","SUPPLY_CHAIN_CUSTOMERS_ALL_DATA")</f>
        <v>#N/A N/A</v>
      </c>
      <c r="HC5" t="str">
        <f>_xll.BDS("CLRO US Equity","SUPPLY_CHAIN_SUPPLIERS_ALL_DATA","cols=12;rows=4")</f>
        <v>FLEX US Equity</v>
      </c>
      <c r="HD5" t="s">
        <v>1822</v>
      </c>
      <c r="HE5">
        <v>1.0820000000000001E-3</v>
      </c>
      <c r="HF5">
        <v>3.2401930000000001</v>
      </c>
      <c r="HG5" t="s">
        <v>1810</v>
      </c>
      <c r="HH5">
        <v>2025</v>
      </c>
      <c r="HI5" t="s">
        <v>1882</v>
      </c>
      <c r="HJ5" s="6">
        <v>45763</v>
      </c>
      <c r="HK5">
        <v>4</v>
      </c>
      <c r="HL5">
        <v>70936</v>
      </c>
      <c r="HM5">
        <v>136547</v>
      </c>
      <c r="HN5" t="s">
        <v>1883</v>
      </c>
      <c r="HQ5" t="str">
        <f>_xll.BDS("CLRO US Equity","SUPPLY_CHAIN_CUSTOMERS_ALL_DATA","cols=12;rows=4")</f>
        <v>SNX US Equity</v>
      </c>
      <c r="HR5">
        <v>4.5529159999999997</v>
      </c>
      <c r="HS5" t="s">
        <v>1822</v>
      </c>
      <c r="HT5">
        <v>5.3899999999999998E-4</v>
      </c>
      <c r="HU5" t="s">
        <v>1827</v>
      </c>
      <c r="HV5">
        <v>2025</v>
      </c>
      <c r="HW5" t="s">
        <v>1850</v>
      </c>
      <c r="HX5" s="6">
        <v>46056</v>
      </c>
      <c r="HY5">
        <v>4</v>
      </c>
      <c r="HZ5">
        <v>87234</v>
      </c>
      <c r="IA5">
        <v>1499717</v>
      </c>
      <c r="IB5" t="s">
        <v>1851</v>
      </c>
      <c r="IG5" t="str">
        <f>_xll.BDS("0948669D US Equity","SUPPLY_CHAIN_SUPPLIERS_ALL_DATA","cols=12;rows=1")</f>
        <v>300703 CH Equity</v>
      </c>
      <c r="II5">
        <v>2.98</v>
      </c>
      <c r="IJ5">
        <v>-2.4245362661989844E-14</v>
      </c>
      <c r="IK5" t="s">
        <v>1814</v>
      </c>
      <c r="IL5">
        <v>2024</v>
      </c>
      <c r="IM5" t="s">
        <v>3079</v>
      </c>
      <c r="IN5" s="6">
        <v>45768</v>
      </c>
      <c r="IO5">
        <v>1</v>
      </c>
      <c r="IP5">
        <v>2009494.65</v>
      </c>
      <c r="IQ5">
        <v>18513638</v>
      </c>
      <c r="IR5" t="s">
        <v>3080</v>
      </c>
      <c r="IU5" t="str">
        <f>_xll.BDS("0948669D US Equity","SUPPLY_CHAIN_CUSTOMERS_ALL_DATA","cols=12;rows=3")</f>
        <v>ACI US Equity</v>
      </c>
      <c r="IV5">
        <v>-2.4245362661989844E-14</v>
      </c>
      <c r="IX5">
        <v>-2.4245362661989844E-14</v>
      </c>
      <c r="IY5" t="s">
        <v>1814</v>
      </c>
      <c r="IZ5">
        <v>2025</v>
      </c>
      <c r="JA5" t="s">
        <v>2955</v>
      </c>
      <c r="JB5" s="6">
        <v>46002</v>
      </c>
      <c r="JC5">
        <v>3</v>
      </c>
      <c r="JD5">
        <v>-2.4245362661989844E-14</v>
      </c>
      <c r="JE5">
        <v>46386935</v>
      </c>
      <c r="JF5" t="s">
        <v>2956</v>
      </c>
      <c r="JK5" t="str">
        <f>_xll.BDS("78651Q US Equity","SUPPLY_CHAIN_SUPPLIERS_ALL_DATA")</f>
        <v>#N/A N/A</v>
      </c>
      <c r="JY5" t="str">
        <f>_xll.BDS("78651Q US Equity","SUPPLY_CHAIN_CUSTOMERS_ALL_DATA")</f>
        <v>#N/A N/A</v>
      </c>
      <c r="KO5" t="str">
        <f>_xll.BDS("SUSQ US Equity","SUPPLY_CHAIN_SUPPLIERS_ALL_DATA")</f>
        <v>#N/A N/A</v>
      </c>
      <c r="LC5" t="str">
        <f>_xll.BDS("SUSQ US Equity","SUPPLY_CHAIN_CUSTOMERS_ALL_DATA")</f>
        <v>#N/A N/A</v>
      </c>
      <c r="LS5" t="str">
        <f>_xll.BDS("1986522D US Equity","SUPPLY_CHAIN_SUPPLIERS_ALL_DATA","cols=12;rows=1")</f>
        <v>FE US Equity</v>
      </c>
      <c r="LU5">
        <v>-2.4245362661989844E-14</v>
      </c>
      <c r="LV5">
        <v>-2.4245362661989844E-14</v>
      </c>
      <c r="LW5" t="s">
        <v>1814</v>
      </c>
      <c r="LX5">
        <v>2021</v>
      </c>
      <c r="LY5" t="s">
        <v>1995</v>
      </c>
      <c r="LZ5" s="6">
        <v>44693</v>
      </c>
      <c r="MA5">
        <v>1</v>
      </c>
      <c r="MB5">
        <v>-2.4245362661989844E-14</v>
      </c>
      <c r="MC5">
        <v>302916</v>
      </c>
      <c r="MD5" t="s">
        <v>1996</v>
      </c>
      <c r="MG5" t="str">
        <f>_xll.BDS("1986522D US Equity","SUPPLY_CHAIN_CUSTOMERS_ALL_DATA")</f>
        <v>#N/A N/A</v>
      </c>
      <c r="MW5" t="str">
        <f>_xll.BDS("KTYB US Equity","SUPPLY_CHAIN_SUPPLIERS_ALL_DATA")</f>
        <v>#N/A N/A</v>
      </c>
      <c r="NK5" t="str">
        <f>_xll.BDS("KTYB US Equity","SUPPLY_CHAIN_CUSTOMERS_ALL_DATA")</f>
        <v>#N/A N/A</v>
      </c>
      <c r="OA5" t="str">
        <f>_xll.BDS("NOVB US Equity","SUPPLY_CHAIN_SUPPLIERS_ALL_DATA")</f>
        <v>#N/A N/A</v>
      </c>
      <c r="OO5" t="str">
        <f>_xll.BDS("NOVB US Equity","SUPPLY_CHAIN_CUSTOMERS_ALL_DATA")</f>
        <v>#N/A N/A</v>
      </c>
      <c r="PE5" t="str">
        <f>_xll.BDS("HRLY US Equity","SUPPLY_CHAIN_SUPPLIERS_ALL_DATA")</f>
        <v>#N/A N/A</v>
      </c>
      <c r="PS5" t="str">
        <f>_xll.BDS("HRLY US Equity","SUPPLY_CHAIN_CUSTOMERS_ALL_DATA")</f>
        <v>#N/A N/A</v>
      </c>
      <c r="QI5" t="str">
        <f>_xll.BDS("PVLY US Equity","SUPPLY_CHAIN_SUPPLIERS_ALL_DATA")</f>
        <v>#N/A N/A</v>
      </c>
      <c r="QW5" t="str">
        <f>_xll.BDS("PVLY US Equity","SUPPLY_CHAIN_CUSTOMERS_ALL_DATA")</f>
        <v>#N/A N/A</v>
      </c>
      <c r="RM5" t="str">
        <f>_xll.BDS("1927294D US Equity","SUPPLY_CHAIN_SUPPLIERS_ALL_DATA","cols=12;rows=1")</f>
        <v>FE US Equity</v>
      </c>
      <c r="RO5">
        <v>-2.4245362661989844E-14</v>
      </c>
      <c r="RP5">
        <v>-2.4245362661989844E-14</v>
      </c>
      <c r="RQ5" t="s">
        <v>1814</v>
      </c>
      <c r="RR5">
        <v>2021</v>
      </c>
      <c r="RS5" t="s">
        <v>1995</v>
      </c>
      <c r="RT5" s="6">
        <v>44693</v>
      </c>
      <c r="RU5">
        <v>1</v>
      </c>
      <c r="RV5">
        <v>-2.4245362661989844E-14</v>
      </c>
      <c r="RW5">
        <v>302916</v>
      </c>
      <c r="RX5" t="s">
        <v>1996</v>
      </c>
      <c r="SA5" t="str">
        <f>_xll.BDS("1927294D US Equity","SUPPLY_CHAIN_CUSTOMERS_ALL_DATA")</f>
        <v>#N/A N/A</v>
      </c>
      <c r="SQ5" t="str">
        <f>_xll.BDS("3129880Q US Equity","SUPPLY_CHAIN_SUPPLIERS_ALL_DATA")</f>
        <v>#N/A N/A</v>
      </c>
      <c r="TE5" t="str">
        <f>_xll.BDS("3129880Q US Equity","SUPPLY_CHAIN_CUSTOMERS_ALL_DATA")</f>
        <v>#N/A N/A</v>
      </c>
      <c r="TU5" t="str">
        <f>_xll.BDS("1850925D US Equity","SUPPLY_CHAIN_SUPPLIERS_ALL_DATA","cols=12;rows=2")</f>
        <v>FCPT US Equity</v>
      </c>
      <c r="TW5">
        <v>-2.4245362661989844E-14</v>
      </c>
      <c r="TX5">
        <v>-2.4245362661989844E-14</v>
      </c>
      <c r="TY5" t="s">
        <v>1814</v>
      </c>
      <c r="TZ5">
        <v>2023</v>
      </c>
      <c r="UA5" t="s">
        <v>2663</v>
      </c>
      <c r="UB5" s="6">
        <v>45337</v>
      </c>
      <c r="UC5">
        <v>2</v>
      </c>
      <c r="UD5">
        <v>-2.4245362661989844E-14</v>
      </c>
      <c r="UE5">
        <v>46177523</v>
      </c>
      <c r="UF5" t="s">
        <v>2664</v>
      </c>
      <c r="UI5" t="str">
        <f>_xll.BDS("1850925D US Equity","SUPPLY_CHAIN_CUSTOMERS_ALL_DATA")</f>
        <v>#N/A N/A</v>
      </c>
      <c r="UY5" t="str">
        <f>_xll.BDS("COFS US Equity","SUPPLY_CHAIN_SUPPLIERS_ALL_DATA")</f>
        <v>#N/A N/A</v>
      </c>
      <c r="VM5" t="str">
        <f>_xll.BDS("COFS US Equity","SUPPLY_CHAIN_CUSTOMERS_ALL_DATA")</f>
        <v>#N/A N/A</v>
      </c>
    </row>
    <row r="6" spans="1:600" x14ac:dyDescent="0.25">
      <c r="BI6" t="s">
        <v>2272</v>
      </c>
      <c r="BK6">
        <v>-2.4245362661989844E-14</v>
      </c>
      <c r="BL6">
        <v>-2.4245362661989844E-14</v>
      </c>
      <c r="BM6" t="s">
        <v>1814</v>
      </c>
      <c r="BN6">
        <v>2021</v>
      </c>
      <c r="BO6" t="s">
        <v>2273</v>
      </c>
      <c r="BP6" s="6">
        <v>44693</v>
      </c>
      <c r="BQ6">
        <v>4</v>
      </c>
      <c r="BR6">
        <v>-2.4245362661989844E-14</v>
      </c>
      <c r="BS6">
        <v>101315</v>
      </c>
      <c r="BT6" t="s">
        <v>2274</v>
      </c>
      <c r="DQ6" t="s">
        <v>2225</v>
      </c>
      <c r="DR6" t="s">
        <v>1822</v>
      </c>
      <c r="DS6">
        <v>6.0135000000000001E-2</v>
      </c>
      <c r="DT6">
        <v>4.3561999999999997E-2</v>
      </c>
      <c r="DU6" t="s">
        <v>1810</v>
      </c>
      <c r="DV6">
        <v>2025</v>
      </c>
      <c r="DW6" t="s">
        <v>2226</v>
      </c>
      <c r="DX6" s="6">
        <v>45905</v>
      </c>
      <c r="DY6">
        <v>5</v>
      </c>
      <c r="DZ6">
        <v>690104</v>
      </c>
      <c r="EA6">
        <v>104365</v>
      </c>
      <c r="EB6" t="s">
        <v>2227</v>
      </c>
      <c r="EE6" t="s">
        <v>3718</v>
      </c>
      <c r="EF6">
        <v>-2.4245362661989844E-14</v>
      </c>
      <c r="EH6">
        <v>-2.4245362661989844E-14</v>
      </c>
      <c r="EI6" t="s">
        <v>1814</v>
      </c>
      <c r="EJ6">
        <v>2022</v>
      </c>
      <c r="EK6" t="s">
        <v>3379</v>
      </c>
      <c r="EL6" s="6">
        <v>44690</v>
      </c>
      <c r="EM6">
        <v>5</v>
      </c>
      <c r="EN6">
        <v>-2.4245362661989844E-14</v>
      </c>
      <c r="EO6">
        <v>18782064</v>
      </c>
      <c r="EP6" t="s">
        <v>3719</v>
      </c>
      <c r="HC6" t="s">
        <v>3444</v>
      </c>
      <c r="HE6">
        <v>-2.4245362661989844E-14</v>
      </c>
      <c r="HF6">
        <v>-2.4245362661989844E-14</v>
      </c>
      <c r="HG6" t="s">
        <v>1971</v>
      </c>
      <c r="HH6">
        <v>2025</v>
      </c>
      <c r="HI6" t="s">
        <v>3445</v>
      </c>
      <c r="HJ6" s="6">
        <v>45883</v>
      </c>
      <c r="HK6">
        <v>4</v>
      </c>
      <c r="HL6">
        <v>-2.4245362661989844E-14</v>
      </c>
      <c r="HM6">
        <v>69490319</v>
      </c>
      <c r="HN6" t="s">
        <v>3446</v>
      </c>
      <c r="HQ6" t="s">
        <v>1840</v>
      </c>
      <c r="HR6">
        <v>0.59398300000000004</v>
      </c>
      <c r="HS6" t="s">
        <v>1822</v>
      </c>
      <c r="HT6">
        <v>3.3700000000000001E-4</v>
      </c>
      <c r="HU6" t="s">
        <v>1806</v>
      </c>
      <c r="HV6">
        <v>2025</v>
      </c>
      <c r="HW6" t="s">
        <v>1841</v>
      </c>
      <c r="HX6" s="6">
        <v>45820</v>
      </c>
      <c r="HY6">
        <v>4</v>
      </c>
      <c r="HZ6">
        <v>13739</v>
      </c>
      <c r="IA6">
        <v>12129192</v>
      </c>
      <c r="IB6" t="s">
        <v>1842</v>
      </c>
      <c r="IU6" t="s">
        <v>2957</v>
      </c>
      <c r="IV6">
        <v>-2.4245362661989844E-14</v>
      </c>
      <c r="IX6">
        <v>-2.4245362661989844E-14</v>
      </c>
      <c r="IY6" t="s">
        <v>1814</v>
      </c>
      <c r="IZ6">
        <v>2023</v>
      </c>
      <c r="JA6" t="s">
        <v>2958</v>
      </c>
      <c r="JB6" s="6">
        <v>45267</v>
      </c>
      <c r="JC6">
        <v>3</v>
      </c>
      <c r="JD6">
        <v>-2.4245362661989844E-14</v>
      </c>
      <c r="JE6">
        <v>49373705</v>
      </c>
      <c r="JF6" t="s">
        <v>2959</v>
      </c>
      <c r="TU6" t="s">
        <v>2665</v>
      </c>
      <c r="TW6">
        <v>-2.4245362661989844E-14</v>
      </c>
      <c r="TX6">
        <v>-2.4245362661989844E-14</v>
      </c>
      <c r="TY6" t="s">
        <v>1814</v>
      </c>
      <c r="TZ6">
        <v>2024</v>
      </c>
      <c r="UA6" t="s">
        <v>2666</v>
      </c>
      <c r="UB6" s="6">
        <v>45709</v>
      </c>
      <c r="UC6">
        <v>2</v>
      </c>
      <c r="UD6">
        <v>-2.4245362661989844E-14</v>
      </c>
      <c r="UE6">
        <v>104601</v>
      </c>
      <c r="UF6" t="s">
        <v>2667</v>
      </c>
    </row>
    <row r="7" spans="1:600" x14ac:dyDescent="0.25">
      <c r="BI7" t="s">
        <v>2682</v>
      </c>
      <c r="BK7">
        <v>-2.4245362661989844E-14</v>
      </c>
      <c r="BL7">
        <v>-2.4245362661989844E-14</v>
      </c>
      <c r="BM7" t="s">
        <v>1814</v>
      </c>
      <c r="BN7">
        <v>2021</v>
      </c>
      <c r="BO7" t="s">
        <v>2683</v>
      </c>
      <c r="BP7" s="6">
        <v>44693</v>
      </c>
      <c r="BQ7">
        <v>4</v>
      </c>
      <c r="BR7">
        <v>-2.4245362661989844E-14</v>
      </c>
      <c r="BS7">
        <v>171311</v>
      </c>
      <c r="BT7" t="s">
        <v>2684</v>
      </c>
      <c r="DQ7" t="s">
        <v>2100</v>
      </c>
      <c r="DS7">
        <v>-2.4245362661989844E-14</v>
      </c>
      <c r="DT7">
        <v>-2.4245362661989844E-14</v>
      </c>
      <c r="DU7" t="s">
        <v>1814</v>
      </c>
      <c r="DV7">
        <v>2023</v>
      </c>
      <c r="DW7" t="s">
        <v>3379</v>
      </c>
      <c r="DX7" s="6">
        <v>45224</v>
      </c>
      <c r="DY7">
        <v>5</v>
      </c>
      <c r="DZ7">
        <v>-2.4245362661989844E-14</v>
      </c>
      <c r="EA7">
        <v>216952</v>
      </c>
      <c r="EB7" t="s">
        <v>2101</v>
      </c>
      <c r="EE7" t="s">
        <v>3720</v>
      </c>
      <c r="EF7">
        <v>-2.4245362661989844E-14</v>
      </c>
      <c r="EH7">
        <v>-2.4245362661989844E-14</v>
      </c>
      <c r="EI7" t="s">
        <v>1814</v>
      </c>
      <c r="EJ7">
        <v>2023</v>
      </c>
      <c r="EK7" t="s">
        <v>3379</v>
      </c>
      <c r="EL7" s="6">
        <v>44949</v>
      </c>
      <c r="EM7">
        <v>5</v>
      </c>
      <c r="EN7">
        <v>-2.4245362661989844E-14</v>
      </c>
      <c r="EO7">
        <v>834168</v>
      </c>
      <c r="EP7" t="s">
        <v>3721</v>
      </c>
      <c r="HC7" t="s">
        <v>979</v>
      </c>
      <c r="HE7">
        <v>-2.4245362661989844E-14</v>
      </c>
      <c r="HF7">
        <v>-2.4245362661989844E-14</v>
      </c>
      <c r="HG7" t="s">
        <v>1814</v>
      </c>
      <c r="HH7">
        <v>2021</v>
      </c>
      <c r="HI7" t="s">
        <v>2048</v>
      </c>
      <c r="HJ7" s="6">
        <v>44693</v>
      </c>
      <c r="HK7">
        <v>4</v>
      </c>
      <c r="HL7">
        <v>-2.4245362661989844E-14</v>
      </c>
      <c r="HM7">
        <v>100193</v>
      </c>
      <c r="HN7" t="s">
        <v>2049</v>
      </c>
      <c r="HQ7" t="s">
        <v>2085</v>
      </c>
      <c r="HR7">
        <v>4.6443999999999999E-2</v>
      </c>
      <c r="HS7" t="s">
        <v>1822</v>
      </c>
      <c r="HT7">
        <v>1.56E-4</v>
      </c>
      <c r="HU7" t="s">
        <v>1810</v>
      </c>
      <c r="HV7">
        <v>2025</v>
      </c>
      <c r="HW7" t="s">
        <v>2768</v>
      </c>
      <c r="HX7" s="6">
        <v>46034</v>
      </c>
      <c r="HY7">
        <v>4</v>
      </c>
      <c r="HZ7">
        <v>890</v>
      </c>
      <c r="IA7">
        <v>313021</v>
      </c>
      <c r="IB7" t="s">
        <v>2087</v>
      </c>
      <c r="IU7" t="s">
        <v>2960</v>
      </c>
      <c r="IV7">
        <v>-2.4245362661989844E-14</v>
      </c>
      <c r="IX7">
        <v>-2.4245362661989844E-14</v>
      </c>
      <c r="IY7" t="s">
        <v>1814</v>
      </c>
      <c r="IZ7">
        <v>2023</v>
      </c>
      <c r="JA7" t="s">
        <v>2961</v>
      </c>
      <c r="JB7" s="6">
        <v>45412</v>
      </c>
      <c r="JC7">
        <v>3</v>
      </c>
      <c r="JD7">
        <v>-2.4245362661989844E-14</v>
      </c>
      <c r="JE7">
        <v>9183698</v>
      </c>
      <c r="JF7" t="s">
        <v>2962</v>
      </c>
    </row>
    <row r="8" spans="1:600" x14ac:dyDescent="0.25">
      <c r="BI8" t="s">
        <v>2685</v>
      </c>
      <c r="BK8">
        <v>-2.4245362661989844E-14</v>
      </c>
      <c r="BL8">
        <v>-2.4245362661989844E-14</v>
      </c>
      <c r="BM8" t="s">
        <v>1814</v>
      </c>
      <c r="BN8">
        <v>2021</v>
      </c>
      <c r="BO8" t="s">
        <v>2686</v>
      </c>
      <c r="BP8" s="6">
        <v>44693</v>
      </c>
      <c r="BQ8">
        <v>4</v>
      </c>
      <c r="BR8">
        <v>-2.4245362661989844E-14</v>
      </c>
      <c r="BS8">
        <v>101153</v>
      </c>
      <c r="BT8" t="s">
        <v>2687</v>
      </c>
      <c r="DQ8" t="s">
        <v>3380</v>
      </c>
      <c r="DS8">
        <v>-2.4245362661989844E-14</v>
      </c>
      <c r="DT8">
        <v>-2.4245362661989844E-14</v>
      </c>
      <c r="DU8" t="s">
        <v>1806</v>
      </c>
      <c r="DV8">
        <v>2024</v>
      </c>
      <c r="DW8" t="s">
        <v>3381</v>
      </c>
      <c r="DX8" s="6">
        <v>45105</v>
      </c>
      <c r="DY8">
        <v>5</v>
      </c>
      <c r="DZ8">
        <v>-2.4245362661989844E-14</v>
      </c>
      <c r="EA8">
        <v>302821</v>
      </c>
      <c r="EB8" t="s">
        <v>3382</v>
      </c>
      <c r="EE8" t="s">
        <v>3722</v>
      </c>
      <c r="EF8">
        <v>-2.4245362661989844E-14</v>
      </c>
      <c r="EH8">
        <v>-2.4245362661989844E-14</v>
      </c>
      <c r="EI8" t="s">
        <v>1814</v>
      </c>
      <c r="EJ8">
        <v>2022</v>
      </c>
      <c r="EK8" t="s">
        <v>3379</v>
      </c>
      <c r="EL8" s="6">
        <v>44783</v>
      </c>
      <c r="EM8">
        <v>5</v>
      </c>
      <c r="EN8">
        <v>-2.4245362661989844E-14</v>
      </c>
      <c r="EO8">
        <v>20648392</v>
      </c>
      <c r="EP8" t="s">
        <v>3723</v>
      </c>
      <c r="HC8" t="s">
        <v>2050</v>
      </c>
      <c r="HE8">
        <v>-2.4245362661989844E-14</v>
      </c>
      <c r="HF8">
        <v>-2.4245362661989844E-14</v>
      </c>
      <c r="HG8" t="s">
        <v>1814</v>
      </c>
      <c r="HH8">
        <v>2021</v>
      </c>
      <c r="HI8" t="s">
        <v>2051</v>
      </c>
      <c r="HJ8" s="6">
        <v>44693</v>
      </c>
      <c r="HK8">
        <v>4</v>
      </c>
      <c r="HL8">
        <v>-2.4245362661989844E-14</v>
      </c>
      <c r="HM8">
        <v>100481</v>
      </c>
      <c r="HN8" t="s">
        <v>2052</v>
      </c>
      <c r="HQ8" t="s">
        <v>3235</v>
      </c>
      <c r="HR8">
        <v>-2.4245362661989844E-14</v>
      </c>
      <c r="HT8">
        <v>-2.4245362661989844E-14</v>
      </c>
      <c r="HU8" t="s">
        <v>1814</v>
      </c>
      <c r="HV8">
        <v>2023</v>
      </c>
      <c r="HW8" t="s">
        <v>3236</v>
      </c>
      <c r="HX8" s="6">
        <v>45436</v>
      </c>
      <c r="HY8">
        <v>4</v>
      </c>
      <c r="HZ8">
        <v>-2.4245362661989844E-14</v>
      </c>
      <c r="IA8">
        <v>16572804</v>
      </c>
      <c r="IB8" t="s">
        <v>3237</v>
      </c>
    </row>
    <row r="9" spans="1:600" x14ac:dyDescent="0.25">
      <c r="DQ9" t="s">
        <v>3134</v>
      </c>
      <c r="DS9">
        <v>-2.4245362661989844E-14</v>
      </c>
      <c r="DT9">
        <v>-2.4245362661989844E-14</v>
      </c>
      <c r="DU9" t="s">
        <v>1823</v>
      </c>
      <c r="DV9">
        <v>2025</v>
      </c>
      <c r="DW9" t="s">
        <v>3293</v>
      </c>
      <c r="DX9" s="6">
        <v>45931</v>
      </c>
      <c r="DY9">
        <v>5</v>
      </c>
      <c r="DZ9">
        <v>-2.4245362661989844E-14</v>
      </c>
      <c r="EA9">
        <v>225275</v>
      </c>
      <c r="EB9" t="s">
        <v>3136</v>
      </c>
      <c r="EE9" t="s">
        <v>3724</v>
      </c>
      <c r="EF9">
        <v>-2.4245362661989844E-14</v>
      </c>
      <c r="EH9">
        <v>-2.4245362661989844E-14</v>
      </c>
      <c r="EI9" t="s">
        <v>1814</v>
      </c>
      <c r="EJ9">
        <v>2025</v>
      </c>
      <c r="EK9" t="s">
        <v>3379</v>
      </c>
      <c r="EL9" s="6">
        <v>45754</v>
      </c>
      <c r="EM9">
        <v>5</v>
      </c>
      <c r="EN9">
        <v>-2.4245362661989844E-14</v>
      </c>
      <c r="EO9">
        <v>27237332</v>
      </c>
      <c r="EP9" t="s">
        <v>3725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1127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1128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1129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1130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1131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1132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1133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1134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1135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1136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1137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1138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1139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1140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1141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1142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1143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1144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1145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1146</v>
      </c>
      <c r="AE2" s="3" t="s">
        <v>1147</v>
      </c>
      <c r="BI2" s="3" t="s">
        <v>980</v>
      </c>
      <c r="CM2" s="3" t="s">
        <v>1148</v>
      </c>
      <c r="DQ2" s="3" t="s">
        <v>1149</v>
      </c>
      <c r="EU2" s="3" t="s">
        <v>438</v>
      </c>
      <c r="FY2" s="3" t="s">
        <v>1150</v>
      </c>
      <c r="HC2" s="3" t="s">
        <v>1151</v>
      </c>
      <c r="IG2" s="3" t="s">
        <v>1152</v>
      </c>
      <c r="JK2" s="3" t="s">
        <v>1153</v>
      </c>
      <c r="KO2" s="3" t="s">
        <v>1154</v>
      </c>
      <c r="LS2" s="3" t="s">
        <v>198</v>
      </c>
      <c r="MW2" s="3" t="s">
        <v>1147</v>
      </c>
      <c r="OA2" s="3" t="s">
        <v>1155</v>
      </c>
      <c r="PE2" s="3" t="s">
        <v>1156</v>
      </c>
      <c r="QI2" s="3" t="s">
        <v>1157</v>
      </c>
      <c r="RM2" s="3" t="s">
        <v>1158</v>
      </c>
      <c r="SQ2" s="3" t="s">
        <v>1159</v>
      </c>
      <c r="TU2" s="3" t="s">
        <v>1160</v>
      </c>
      <c r="UY2" s="3" t="s">
        <v>1161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_xll.BDS("RSFC US Equity","SUPPLY_CHAIN_SUPPLIERS_ALL_DATA")</f>
        <v>#N/A N/A</v>
      </c>
      <c r="O5" t="str">
        <f>_xll.BDS("RSFC US Equity","SUPPLY_CHAIN_CUSTOMERS_ALL_DATA")</f>
        <v>#N/A N/A</v>
      </c>
      <c r="AE5" t="str">
        <f>_xll.BDS("FBNC US Equity","SUPPLY_CHAIN_SUPPLIERS_ALL_DATA")</f>
        <v>#N/A N/A</v>
      </c>
      <c r="AS5" t="str">
        <f>_xll.BDS("FBNC US Equity","SUPPLY_CHAIN_CUSTOMERS_ALL_DATA")</f>
        <v>#N/A N/A</v>
      </c>
      <c r="BI5" t="str">
        <f>_xll.BDS("CWBC US Equity","SUPPLY_CHAIN_SUPPLIERS_ALL_DATA")</f>
        <v>#N/A N/A</v>
      </c>
      <c r="BW5" t="str">
        <f>_xll.BDS("CWBC US Equity","SUPPLY_CHAIN_CUSTOMERS_ALL_DATA")</f>
        <v>#N/A N/A</v>
      </c>
      <c r="CM5" t="str">
        <f>_xll.BDS("CZFS US Equity","SUPPLY_CHAIN_SUPPLIERS_ALL_DATA")</f>
        <v>#N/A N/A</v>
      </c>
      <c r="DA5" t="str">
        <f>_xll.BDS("CZFS US Equity","SUPPLY_CHAIN_CUSTOMERS_ALL_DATA")</f>
        <v>#N/A N/A</v>
      </c>
      <c r="DQ5" t="str">
        <f>_xll.BDS("HBOS US Equity","SUPPLY_CHAIN_SUPPLIERS_ALL_DATA")</f>
        <v>#N/A N/A</v>
      </c>
      <c r="EE5" t="str">
        <f>_xll.BDS("HBOS US Equity","SUPPLY_CHAIN_CUSTOMERS_ALL_DATA")</f>
        <v>#N/A N/A</v>
      </c>
      <c r="EU5" t="str">
        <f>_xll.BDS("NCOG US Equity","SUPPLY_CHAIN_SUPPLIERS_ALL_DATA")</f>
        <v>#N/A N/A</v>
      </c>
      <c r="FI5" t="str">
        <f>_xll.BDS("NCOG US Equity","SUPPLY_CHAIN_CUSTOMERS_ALL_DATA")</f>
        <v>#N/A N/A</v>
      </c>
      <c r="FY5" t="str">
        <f>_xll.BDS("NUI US Equity","SUPPLY_CHAIN_SUPPLIERS_ALL_DATA")</f>
        <v>#N/A N/A</v>
      </c>
      <c r="GM5" t="str">
        <f>_xll.BDS("NUI US Equity","SUPPLY_CHAIN_CUSTOMERS_ALL_DATA")</f>
        <v>#N/A N/A</v>
      </c>
      <c r="HC5" t="str">
        <f>_xll.BDS("WCBO US Equity","SUPPLY_CHAIN_SUPPLIERS_ALL_DATA")</f>
        <v>#N/A N/A</v>
      </c>
      <c r="HQ5" t="str">
        <f>_xll.BDS("WCBO US Equity","SUPPLY_CHAIN_CUSTOMERS_ALL_DATA")</f>
        <v>#N/A N/A</v>
      </c>
      <c r="IG5" t="str">
        <f>_xll.BDS("ABVV US Equity","SUPPLY_CHAIN_SUPPLIERS_ALL_DATA")</f>
        <v>#N/A N/A</v>
      </c>
      <c r="IU5" t="str">
        <f>_xll.BDS("ABVV US Equity","SUPPLY_CHAIN_CUSTOMERS_ALL_DATA")</f>
        <v>#N/A N/A</v>
      </c>
      <c r="JK5" t="str">
        <f>_xll.BDS("2078185D US Equity","SUPPLY_CHAIN_SUPPLIERS_ALL_DATA","cols=12;rows=1")</f>
        <v>FE US Equity</v>
      </c>
      <c r="JM5">
        <v>-2.4245362661989844E-14</v>
      </c>
      <c r="JN5">
        <v>-2.4245362661989844E-14</v>
      </c>
      <c r="JO5" t="s">
        <v>1814</v>
      </c>
      <c r="JP5">
        <v>2021</v>
      </c>
      <c r="JQ5" t="s">
        <v>1995</v>
      </c>
      <c r="JR5" s="6">
        <v>44693</v>
      </c>
      <c r="JS5">
        <v>1</v>
      </c>
      <c r="JT5">
        <v>-2.4245362661989844E-14</v>
      </c>
      <c r="JU5">
        <v>302916</v>
      </c>
      <c r="JV5" t="s">
        <v>1996</v>
      </c>
      <c r="JY5" t="str">
        <f>_xll.BDS("2078185D US Equity","SUPPLY_CHAIN_CUSTOMERS_ALL_DATA")</f>
        <v>#N/A N/A</v>
      </c>
      <c r="KO5" t="str">
        <f>_xll.BDS("GNSC US Equity","SUPPLY_CHAIN_SUPPLIERS_ALL_DATA")</f>
        <v>#N/A N/A</v>
      </c>
      <c r="LC5" t="str">
        <f>_xll.BDS("GNSC US Equity","SUPPLY_CHAIN_CUSTOMERS_ALL_DATA")</f>
        <v>#N/A N/A</v>
      </c>
      <c r="LS5" t="str">
        <f>_xll.BDS("MSFG US Equity","SUPPLY_CHAIN_SUPPLIERS_ALL_DATA")</f>
        <v>#N/A N/A</v>
      </c>
      <c r="MG5" t="str">
        <f>_xll.BDS("MSFG US Equity","SUPPLY_CHAIN_CUSTOMERS_ALL_DATA")</f>
        <v>#N/A N/A</v>
      </c>
      <c r="MW5" t="str">
        <f>_xll.BDS("FBNC US Equity","SUPPLY_CHAIN_SUPPLIERS_ALL_DATA")</f>
        <v>#N/A N/A</v>
      </c>
      <c r="NK5" t="str">
        <f>_xll.BDS("FBNC US Equity","SUPPLY_CHAIN_CUSTOMERS_ALL_DATA")</f>
        <v>#N/A N/A</v>
      </c>
      <c r="OA5" t="str">
        <f>_xll.BDS("UBFO US Equity","SUPPLY_CHAIN_SUPPLIERS_ALL_DATA")</f>
        <v>#N/A N/A</v>
      </c>
      <c r="OO5" t="str">
        <f>_xll.BDS("UBFO US Equity","SUPPLY_CHAIN_CUSTOMERS_ALL_DATA")</f>
        <v>#N/A N/A</v>
      </c>
      <c r="PE5" t="str">
        <f>_xll.BDS("JH US Equity","SUPPLY_CHAIN_SUPPLIERS_ALL_DATA")</f>
        <v>#N/A N/A</v>
      </c>
      <c r="PS5" t="str">
        <f>_xll.BDS("JH US Equity","SUPPLY_CHAIN_CUSTOMERS_ALL_DATA")</f>
        <v>#N/A N/A</v>
      </c>
      <c r="QI5" t="str">
        <f>_xll.BDS("1495307D US Equity","SUPPLY_CHAIN_SUPPLIERS_ALL_DATA")</f>
        <v>#N/A N/A</v>
      </c>
      <c r="QW5" t="str">
        <f>_xll.BDS("1495307D US Equity","SUPPLY_CHAIN_CUSTOMERS_ALL_DATA")</f>
        <v>#N/A N/A</v>
      </c>
      <c r="RM5" t="str">
        <f>_xll.BDS("CPSS US Equity","SUPPLY_CHAIN_SUPPLIERS_ALL_DATA","cols=12;rows=1")</f>
        <v>MUST SP Equity</v>
      </c>
      <c r="RO5">
        <v>-2.4245362661989844E-14</v>
      </c>
      <c r="RP5">
        <v>-2.4245362661989844E-14</v>
      </c>
      <c r="RQ5" t="s">
        <v>1814</v>
      </c>
      <c r="RR5">
        <v>2024</v>
      </c>
      <c r="RS5" t="s">
        <v>2066</v>
      </c>
      <c r="RT5" s="6">
        <v>45762</v>
      </c>
      <c r="RU5">
        <v>1</v>
      </c>
      <c r="RV5">
        <v>-2.4245362661989844E-14</v>
      </c>
      <c r="RW5">
        <v>46286147</v>
      </c>
      <c r="RX5" t="s">
        <v>2067</v>
      </c>
      <c r="SA5" t="str">
        <f>_xll.BDS("CPSS US Equity","SUPPLY_CHAIN_CUSTOMERS_ALL_DATA")</f>
        <v>#N/A N/A</v>
      </c>
      <c r="SQ5" t="str">
        <f>_xll.BDS("ATVI US Equity","SUPPLY_CHAIN_SUPPLIERS_ALL_DATA","cols=12;rows=5")</f>
        <v>066910 KS Equity</v>
      </c>
      <c r="SS5">
        <v>-2.4245362661989844E-14</v>
      </c>
      <c r="ST5">
        <v>-2.4245362661989844E-14</v>
      </c>
      <c r="SU5" t="s">
        <v>1814</v>
      </c>
      <c r="SV5">
        <v>2021</v>
      </c>
      <c r="SW5" t="s">
        <v>3778</v>
      </c>
      <c r="SX5" s="6">
        <v>44641</v>
      </c>
      <c r="SY5">
        <v>5</v>
      </c>
      <c r="SZ5">
        <v>-2.4245362661989844E-14</v>
      </c>
      <c r="TA5">
        <v>9327450</v>
      </c>
      <c r="TB5" t="s">
        <v>3779</v>
      </c>
      <c r="TE5" t="str">
        <f>_xll.BDS("ATVI US Equity","SUPPLY_CHAIN_CUSTOMERS_ALL_DATA","cols=12;rows=5")</f>
        <v>0734523D US Equity</v>
      </c>
      <c r="TF5">
        <v>-2.4245362661989844E-14</v>
      </c>
      <c r="TH5">
        <v>-2.4245362661989844E-14</v>
      </c>
      <c r="TI5" t="s">
        <v>1814</v>
      </c>
      <c r="TJ5">
        <v>2022</v>
      </c>
      <c r="TK5" t="s">
        <v>3585</v>
      </c>
      <c r="TL5" s="6">
        <v>44980</v>
      </c>
      <c r="TM5">
        <v>5</v>
      </c>
      <c r="TN5">
        <v>-2.4245362661989844E-14</v>
      </c>
      <c r="TO5">
        <v>17496682</v>
      </c>
      <c r="TP5" t="s">
        <v>3586</v>
      </c>
      <c r="TU5" t="str">
        <f>_xll.BDS("0203524D US Equity","SUPPLY_CHAIN_SUPPLIERS_ALL_DATA")</f>
        <v>#N/A N/A</v>
      </c>
      <c r="UI5" t="str">
        <f>_xll.BDS("0203524D US Equity","SUPPLY_CHAIN_CUSTOMERS_ALL_DATA")</f>
        <v>#N/A N/A</v>
      </c>
      <c r="UY5" t="str">
        <f>_xll.BDS("SFFB US Equity","SUPPLY_CHAIN_SUPPLIERS_ALL_DATA")</f>
        <v>#N/A N/A</v>
      </c>
      <c r="VM5" t="str">
        <f>_xll.BDS("SFFB US Equity","SUPPLY_CHAIN_CUSTOMERS_ALL_DATA")</f>
        <v>#N/A N/A</v>
      </c>
    </row>
    <row r="6" spans="1:600" x14ac:dyDescent="0.25">
      <c r="SQ6" t="s">
        <v>3780</v>
      </c>
      <c r="SS6">
        <v>-2.4245362661989844E-14</v>
      </c>
      <c r="ST6">
        <v>-2.4245362661989844E-14</v>
      </c>
      <c r="SU6" t="s">
        <v>1814</v>
      </c>
      <c r="SV6">
        <v>2023</v>
      </c>
      <c r="SW6" t="s">
        <v>3781</v>
      </c>
      <c r="SX6" s="6">
        <v>45027</v>
      </c>
      <c r="SY6">
        <v>5</v>
      </c>
      <c r="SZ6">
        <v>-2.4245362661989844E-14</v>
      </c>
      <c r="TA6">
        <v>35389514</v>
      </c>
      <c r="TB6" t="s">
        <v>3782</v>
      </c>
      <c r="TE6" t="s">
        <v>3152</v>
      </c>
      <c r="TF6">
        <v>-2.4245362661989844E-14</v>
      </c>
      <c r="TH6">
        <v>-2.4245362661989844E-14</v>
      </c>
      <c r="TI6" t="s">
        <v>1814</v>
      </c>
      <c r="TJ6">
        <v>2022</v>
      </c>
      <c r="TK6" t="s">
        <v>3585</v>
      </c>
      <c r="TL6" s="6">
        <v>44980</v>
      </c>
      <c r="TM6">
        <v>5</v>
      </c>
      <c r="TN6">
        <v>-2.4245362661989844E-14</v>
      </c>
      <c r="TO6">
        <v>101365</v>
      </c>
      <c r="TP6" t="s">
        <v>3154</v>
      </c>
    </row>
    <row r="7" spans="1:600" x14ac:dyDescent="0.25">
      <c r="SQ7" t="s">
        <v>3783</v>
      </c>
      <c r="SS7">
        <v>-2.4245362661989844E-14</v>
      </c>
      <c r="ST7">
        <v>-2.4245362661989844E-14</v>
      </c>
      <c r="SU7" t="s">
        <v>1814</v>
      </c>
      <c r="SV7">
        <v>2023</v>
      </c>
      <c r="SW7" t="s">
        <v>3781</v>
      </c>
      <c r="SX7" s="6">
        <v>45027</v>
      </c>
      <c r="SY7">
        <v>5</v>
      </c>
      <c r="SZ7">
        <v>-2.4245362661989844E-14</v>
      </c>
      <c r="TA7">
        <v>69413297</v>
      </c>
      <c r="TB7" t="s">
        <v>3784</v>
      </c>
      <c r="TE7" t="s">
        <v>2714</v>
      </c>
      <c r="TF7">
        <v>-2.4245362661989844E-14</v>
      </c>
      <c r="TH7">
        <v>-2.4245362661989844E-14</v>
      </c>
      <c r="TI7" t="s">
        <v>1814</v>
      </c>
      <c r="TJ7">
        <v>2022</v>
      </c>
      <c r="TK7" t="s">
        <v>3585</v>
      </c>
      <c r="TL7" s="6">
        <v>44980</v>
      </c>
      <c r="TM7">
        <v>5</v>
      </c>
      <c r="TN7">
        <v>-2.4245362661989844E-14</v>
      </c>
      <c r="TO7">
        <v>101695</v>
      </c>
      <c r="TP7" t="s">
        <v>2716</v>
      </c>
    </row>
    <row r="8" spans="1:600" x14ac:dyDescent="0.25">
      <c r="SQ8" t="s">
        <v>3785</v>
      </c>
      <c r="SS8">
        <v>-2.4245362661989844E-14</v>
      </c>
      <c r="ST8">
        <v>-2.4245362661989844E-14</v>
      </c>
      <c r="SU8" t="s">
        <v>1814</v>
      </c>
      <c r="SV8">
        <v>2025</v>
      </c>
      <c r="SW8" t="s">
        <v>3781</v>
      </c>
      <c r="SX8" s="6">
        <v>45874</v>
      </c>
      <c r="SY8">
        <v>5</v>
      </c>
      <c r="SZ8">
        <v>-2.4245362661989844E-14</v>
      </c>
      <c r="TA8">
        <v>69995604</v>
      </c>
      <c r="TB8" t="s">
        <v>3786</v>
      </c>
      <c r="TE8" t="s">
        <v>1943</v>
      </c>
      <c r="TF8">
        <v>-2.4245362661989844E-14</v>
      </c>
      <c r="TH8">
        <v>-2.4245362661989844E-14</v>
      </c>
      <c r="TI8" t="s">
        <v>1806</v>
      </c>
      <c r="TJ8">
        <v>2024</v>
      </c>
      <c r="TK8" t="s">
        <v>3587</v>
      </c>
      <c r="TL8" s="6">
        <v>45160</v>
      </c>
      <c r="TM8">
        <v>5</v>
      </c>
      <c r="TN8">
        <v>-2.4245362661989844E-14</v>
      </c>
      <c r="TO8">
        <v>71227770</v>
      </c>
      <c r="TP8" t="s">
        <v>1945</v>
      </c>
    </row>
    <row r="9" spans="1:600" x14ac:dyDescent="0.25">
      <c r="SQ9" t="s">
        <v>3787</v>
      </c>
      <c r="SS9">
        <v>-2.4245362661989844E-14</v>
      </c>
      <c r="ST9">
        <v>-2.4245362661989844E-14</v>
      </c>
      <c r="SU9" t="s">
        <v>1814</v>
      </c>
      <c r="SV9">
        <v>2021</v>
      </c>
      <c r="SW9" t="s">
        <v>3788</v>
      </c>
      <c r="SX9" s="6">
        <v>44679</v>
      </c>
      <c r="SY9">
        <v>5</v>
      </c>
      <c r="SZ9">
        <v>-2.4245362661989844E-14</v>
      </c>
      <c r="TA9">
        <v>116466</v>
      </c>
      <c r="TB9" t="s">
        <v>3789</v>
      </c>
      <c r="TE9" t="s">
        <v>1813</v>
      </c>
      <c r="TF9">
        <v>-2.4245362661989844E-14</v>
      </c>
      <c r="TH9">
        <v>-2.4245362661989844E-14</v>
      </c>
      <c r="TI9" t="s">
        <v>1814</v>
      </c>
      <c r="TJ9">
        <v>2022</v>
      </c>
      <c r="TK9" t="s">
        <v>3585</v>
      </c>
      <c r="TL9" s="6">
        <v>44980</v>
      </c>
      <c r="TM9">
        <v>5</v>
      </c>
      <c r="TN9">
        <v>-2.4245362661989844E-14</v>
      </c>
      <c r="TO9">
        <v>46946968</v>
      </c>
      <c r="TP9" t="s">
        <v>1816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1162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1163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1164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1165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1166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1167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1168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1169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1170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1171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1172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1173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1174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1175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1176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1177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1178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1179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1180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1181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1182</v>
      </c>
      <c r="AE2" s="3" t="s">
        <v>1183</v>
      </c>
      <c r="BI2" s="3" t="s">
        <v>1184</v>
      </c>
      <c r="CM2" s="3" t="s">
        <v>1185</v>
      </c>
      <c r="DQ2" s="3" t="s">
        <v>1186</v>
      </c>
      <c r="EU2" s="3" t="s">
        <v>1187</v>
      </c>
      <c r="FY2" s="3" t="s">
        <v>1188</v>
      </c>
      <c r="HC2" s="3" t="s">
        <v>1189</v>
      </c>
      <c r="IG2" s="3" t="s">
        <v>1190</v>
      </c>
      <c r="JK2" s="3" t="s">
        <v>1191</v>
      </c>
      <c r="KO2" s="3" t="s">
        <v>173</v>
      </c>
      <c r="LS2" s="3" t="s">
        <v>124</v>
      </c>
      <c r="MW2" s="3" t="s">
        <v>1192</v>
      </c>
      <c r="OA2" s="3" t="s">
        <v>1193</v>
      </c>
      <c r="PE2" s="3" t="s">
        <v>1194</v>
      </c>
      <c r="QI2" s="3" t="s">
        <v>692</v>
      </c>
      <c r="RM2" s="3" t="s">
        <v>288</v>
      </c>
      <c r="SQ2" s="3" t="s">
        <v>1195</v>
      </c>
      <c r="TU2" s="3" t="s">
        <v>1196</v>
      </c>
      <c r="UY2" s="3" t="s">
        <v>799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_xll.BDS("PFSW US Equity","SUPPLY_CHAIN_SUPPLIERS_ALL_DATA","cols=12;rows=4")</f>
        <v>BRK/A US Equity</v>
      </c>
      <c r="C5">
        <v>-2.4245362661989844E-14</v>
      </c>
      <c r="D5">
        <v>-2.4245362661989844E-14</v>
      </c>
      <c r="E5" t="s">
        <v>1814</v>
      </c>
      <c r="F5">
        <v>2021</v>
      </c>
      <c r="G5" t="s">
        <v>2048</v>
      </c>
      <c r="H5" s="6">
        <v>44693</v>
      </c>
      <c r="I5">
        <v>4</v>
      </c>
      <c r="J5">
        <v>-2.4245362661989844E-14</v>
      </c>
      <c r="K5">
        <v>100193</v>
      </c>
      <c r="L5" t="s">
        <v>2049</v>
      </c>
      <c r="O5" t="str">
        <f>_xll.BDS("PFSW US Equity","SUPPLY_CHAIN_CUSTOMERS_ALL_DATA","cols=12;rows=5")</f>
        <v>0242072Z US Equity</v>
      </c>
      <c r="P5">
        <v>-2.4245362661989844E-14</v>
      </c>
      <c r="R5">
        <v>-2.4245362661989844E-14</v>
      </c>
      <c r="S5" t="s">
        <v>1814</v>
      </c>
      <c r="T5">
        <v>2023</v>
      </c>
      <c r="U5" t="s">
        <v>3052</v>
      </c>
      <c r="V5" s="6">
        <v>45001</v>
      </c>
      <c r="W5">
        <v>5</v>
      </c>
      <c r="X5">
        <v>-2.4245362661989844E-14</v>
      </c>
      <c r="Y5">
        <v>957070</v>
      </c>
      <c r="Z5" t="s">
        <v>3053</v>
      </c>
      <c r="AE5" t="str">
        <f>_xll.BDS("STBA US Equity","SUPPLY_CHAIN_SUPPLIERS_ALL_DATA")</f>
        <v>#N/A N/A</v>
      </c>
      <c r="AS5" t="str">
        <f>_xll.BDS("STBA US Equity","SUPPLY_CHAIN_CUSTOMERS_ALL_DATA")</f>
        <v>#N/A N/A</v>
      </c>
      <c r="BI5" t="str">
        <f>_xll.BDS("MNTG US Equity","SUPPLY_CHAIN_SUPPLIERS_ALL_DATA")</f>
        <v>#N/A N/A</v>
      </c>
      <c r="BW5" t="str">
        <f>_xll.BDS("MNTG US Equity","SUPPLY_CHAIN_CUSTOMERS_ALL_DATA")</f>
        <v>#N/A N/A</v>
      </c>
      <c r="CM5" t="str">
        <f>_xll.BDS("NASB US Equity","SUPPLY_CHAIN_SUPPLIERS_ALL_DATA")</f>
        <v>#N/A N/A</v>
      </c>
      <c r="DA5" t="str">
        <f>_xll.BDS("NASB US Equity","SUPPLY_CHAIN_CUSTOMERS_ALL_DATA")</f>
        <v>#N/A N/A</v>
      </c>
      <c r="DQ5" t="str">
        <f>_xll.BDS("FVCCQ US Equity","SUPPLY_CHAIN_SUPPLIERS_ALL_DATA")</f>
        <v>#N/A N/A</v>
      </c>
      <c r="EE5" t="str">
        <f>_xll.BDS("FVCCQ US Equity","SUPPLY_CHAIN_CUSTOMERS_ALL_DATA")</f>
        <v>#N/A N/A</v>
      </c>
      <c r="EU5" t="str">
        <f>_xll.BDS("LSBG US Equity","SUPPLY_CHAIN_SUPPLIERS_ALL_DATA")</f>
        <v>#N/A N/A</v>
      </c>
      <c r="FI5" t="str">
        <f>_xll.BDS("LSBG US Equity","SUPPLY_CHAIN_CUSTOMERS_ALL_DATA")</f>
        <v>#N/A N/A</v>
      </c>
      <c r="FY5" t="str">
        <f>_xll.BDS("CMTY US Equity","SUPPLY_CHAIN_SUPPLIERS_ALL_DATA")</f>
        <v>#N/A N/A</v>
      </c>
      <c r="GM5" t="str">
        <f>_xll.BDS("CMTY US Equity","SUPPLY_CHAIN_CUSTOMERS_ALL_DATA")</f>
        <v>#N/A N/A</v>
      </c>
      <c r="HC5" t="str">
        <f>_xll.BDS("AAME US Equity","SUPPLY_CHAIN_SUPPLIERS_ALL_DATA")</f>
        <v>#N/A N/A</v>
      </c>
      <c r="HQ5" t="str">
        <f>_xll.BDS("AAME US Equity","SUPPLY_CHAIN_CUSTOMERS_ALL_DATA")</f>
        <v>#N/A N/A</v>
      </c>
      <c r="IG5" t="str">
        <f>_xll.BDS("MCSIQ US Equity","SUPPLY_CHAIN_SUPPLIERS_ALL_DATA")</f>
        <v>#N/A N/A</v>
      </c>
      <c r="IU5" t="str">
        <f>_xll.BDS("MCSIQ US Equity","SUPPLY_CHAIN_CUSTOMERS_ALL_DATA")</f>
        <v>#N/A N/A</v>
      </c>
      <c r="JK5" t="str">
        <f>_xll.BDS("CHMG US Equity","SUPPLY_CHAIN_SUPPLIERS_ALL_DATA")</f>
        <v>#N/A N/A</v>
      </c>
      <c r="JY5" t="str">
        <f>_xll.BDS("CHMG US Equity","SUPPLY_CHAIN_CUSTOMERS_ALL_DATA")</f>
        <v>#N/A N/A</v>
      </c>
      <c r="KO5" t="str">
        <f>_xll.BDS("WBS US Equity","SUPPLY_CHAIN_SUPPLIERS_ALL_DATA","cols=12;rows=2")</f>
        <v>FISV US Equity</v>
      </c>
      <c r="KQ5">
        <v>-2.4245362661989844E-14</v>
      </c>
      <c r="KR5">
        <v>-2.4245362661989844E-14</v>
      </c>
      <c r="KS5" t="s">
        <v>1831</v>
      </c>
      <c r="KT5">
        <v>2023</v>
      </c>
      <c r="KU5" t="s">
        <v>1910</v>
      </c>
      <c r="KV5" s="6">
        <v>45245</v>
      </c>
      <c r="KW5">
        <v>2</v>
      </c>
      <c r="KX5">
        <v>-2.4245362661989844E-14</v>
      </c>
      <c r="KY5">
        <v>103882</v>
      </c>
      <c r="KZ5" t="s">
        <v>1911</v>
      </c>
      <c r="LC5" t="str">
        <f>_xll.BDS("WBS US Equity","SUPPLY_CHAIN_CUSTOMERS_ALL_DATA","cols=12;rows=1")</f>
        <v>CNXN US Equity</v>
      </c>
      <c r="LD5">
        <v>-2.4245362661989844E-14</v>
      </c>
      <c r="LF5">
        <v>-2.4245362661989844E-14</v>
      </c>
      <c r="LG5" t="s">
        <v>1806</v>
      </c>
      <c r="LH5">
        <v>2025</v>
      </c>
      <c r="LI5" t="s">
        <v>2086</v>
      </c>
      <c r="LJ5" s="6">
        <v>45799</v>
      </c>
      <c r="LK5">
        <v>1</v>
      </c>
      <c r="LL5">
        <v>-2.4245362661989844E-14</v>
      </c>
      <c r="LM5">
        <v>313021</v>
      </c>
      <c r="LN5" t="s">
        <v>2087</v>
      </c>
      <c r="LS5" t="str">
        <f>_xll.BDS("FCCY US Equity","SUPPLY_CHAIN_SUPPLIERS_ALL_DATA")</f>
        <v>#N/A N/A</v>
      </c>
      <c r="MG5" t="str">
        <f>_xll.BDS("FCCY US Equity","SUPPLY_CHAIN_CUSTOMERS_ALL_DATA")</f>
        <v>#N/A N/A</v>
      </c>
      <c r="MW5" t="str">
        <f>_xll.BDS("LUNA US Equity","SUPPLY_CHAIN_SUPPLIERS_ALL_DATA","cols=12;rows=5")</f>
        <v>2150994D US Equity</v>
      </c>
      <c r="MY5">
        <v>-2.4245362661989844E-14</v>
      </c>
      <c r="MZ5">
        <v>-2.4245362661989844E-14</v>
      </c>
      <c r="NA5" t="s">
        <v>1814</v>
      </c>
      <c r="NB5">
        <v>2021</v>
      </c>
      <c r="NC5" t="s">
        <v>3823</v>
      </c>
      <c r="ND5" s="6">
        <v>44635</v>
      </c>
      <c r="NE5">
        <v>5</v>
      </c>
      <c r="NF5">
        <v>-2.4245362661989844E-14</v>
      </c>
      <c r="NG5">
        <v>103049</v>
      </c>
      <c r="NH5" t="s">
        <v>3824</v>
      </c>
      <c r="NK5" t="str">
        <f>_xll.BDS("LUNA US Equity","SUPPLY_CHAIN_CUSTOMERS_ALL_DATA","cols=12;rows=5")</f>
        <v>ARW US Equity</v>
      </c>
      <c r="NL5">
        <v>1.0455890000000001</v>
      </c>
      <c r="NM5" t="s">
        <v>1822</v>
      </c>
      <c r="NN5">
        <v>5.3150000000000003E-3</v>
      </c>
      <c r="NO5" t="s">
        <v>1806</v>
      </c>
      <c r="NP5">
        <v>2025</v>
      </c>
      <c r="NQ5" t="s">
        <v>2026</v>
      </c>
      <c r="NR5" s="6">
        <v>45784</v>
      </c>
      <c r="NS5">
        <v>5</v>
      </c>
      <c r="NT5">
        <v>321027</v>
      </c>
      <c r="NU5">
        <v>100115</v>
      </c>
      <c r="NV5" t="s">
        <v>2027</v>
      </c>
      <c r="OA5" t="str">
        <f>_xll.BDS("NVTAQ US Equity","SUPPLY_CHAIN_SUPPLIERS_ALL_DATA","cols=12;rows=5")</f>
        <v>ECL US Equity</v>
      </c>
      <c r="OB5" t="s">
        <v>1822</v>
      </c>
      <c r="OC5">
        <v>7.6660000000000001E-3</v>
      </c>
      <c r="OD5">
        <v>0.36707499999999998</v>
      </c>
      <c r="OE5" t="s">
        <v>1806</v>
      </c>
      <c r="OF5">
        <v>2025</v>
      </c>
      <c r="OG5" t="s">
        <v>3616</v>
      </c>
      <c r="OH5" s="6">
        <v>45795</v>
      </c>
      <c r="OI5">
        <v>5</v>
      </c>
      <c r="OJ5">
        <v>301684</v>
      </c>
      <c r="OK5">
        <v>100499</v>
      </c>
      <c r="OL5" t="s">
        <v>3093</v>
      </c>
      <c r="OO5" t="str">
        <f>_xll.BDS("NVTAQ US Equity","SUPPLY_CHAIN_CUSTOMERS_ALL_DATA","cols=12;rows=1")</f>
        <v>9877893Z US Equity</v>
      </c>
      <c r="OP5">
        <v>-2.4245362661989844E-14</v>
      </c>
      <c r="OR5">
        <v>-2.4245362661989844E-14</v>
      </c>
      <c r="OS5" t="s">
        <v>1814</v>
      </c>
      <c r="OT5">
        <v>2022</v>
      </c>
      <c r="OU5" t="s">
        <v>3574</v>
      </c>
      <c r="OV5" s="6">
        <v>44986</v>
      </c>
      <c r="OW5">
        <v>1</v>
      </c>
      <c r="OX5">
        <v>-2.4245362661989844E-14</v>
      </c>
      <c r="OY5">
        <v>17483390</v>
      </c>
      <c r="OZ5" t="s">
        <v>3433</v>
      </c>
      <c r="PE5" t="str">
        <f>_xll.BDS("250642Q US Equity","SUPPLY_CHAIN_SUPPLIERS_ALL_DATA")</f>
        <v>#N/A N/A</v>
      </c>
      <c r="PS5" t="str">
        <f>_xll.BDS("250642Q US Equity","SUPPLY_CHAIN_CUSTOMERS_ALL_DATA")</f>
        <v>#N/A N/A</v>
      </c>
      <c r="QI5" t="str">
        <f>_xll.BDS("TMO US Equity","SUPPLY_CHAIN_SUPPLIERS_ALL_DATA","cols=12;rows=5")</f>
        <v>EMR US Equity</v>
      </c>
      <c r="QJ5" t="s">
        <v>1822</v>
      </c>
      <c r="QK5">
        <v>4.2224550000000001</v>
      </c>
      <c r="QL5">
        <v>2.8645350000000001</v>
      </c>
      <c r="QM5" t="s">
        <v>1810</v>
      </c>
      <c r="QN5">
        <v>2025</v>
      </c>
      <c r="QO5" t="s">
        <v>1912</v>
      </c>
      <c r="QP5" s="6">
        <v>45881</v>
      </c>
      <c r="QQ5">
        <v>5</v>
      </c>
      <c r="QR5">
        <v>184647952</v>
      </c>
      <c r="QS5">
        <v>100515</v>
      </c>
      <c r="QT5" t="s">
        <v>1913</v>
      </c>
      <c r="QW5" t="str">
        <f>_xll.BDS("TMO US Equity","SUPPLY_CHAIN_CUSTOMERS_ALL_DATA","cols=12;rows=5")</f>
        <v>4195 TT Equity</v>
      </c>
      <c r="QX5">
        <v>9.7099999999999999E-3</v>
      </c>
      <c r="QY5" t="s">
        <v>1822</v>
      </c>
      <c r="QZ5">
        <v>37.527434999999997</v>
      </c>
      <c r="RA5" t="s">
        <v>1814</v>
      </c>
      <c r="RB5">
        <v>2024</v>
      </c>
      <c r="RC5" t="s">
        <v>1861</v>
      </c>
      <c r="RD5" s="6">
        <v>45803</v>
      </c>
      <c r="RE5">
        <v>5</v>
      </c>
      <c r="RF5">
        <v>1052629.3999999999</v>
      </c>
      <c r="RG5">
        <v>38166930</v>
      </c>
      <c r="RH5" t="s">
        <v>1862</v>
      </c>
      <c r="RM5" t="str">
        <f>_xll.BDS("SSB US Equity","SUPPLY_CHAIN_SUPPLIERS_ALL_DATA","cols=12;rows=4")</f>
        <v>BLND US Equity</v>
      </c>
      <c r="RO5">
        <v>-2.4245362661989844E-14</v>
      </c>
      <c r="RP5">
        <v>-2.4245362661989844E-14</v>
      </c>
      <c r="RQ5" t="s">
        <v>1806</v>
      </c>
      <c r="RR5">
        <v>2025</v>
      </c>
      <c r="RS5" t="s">
        <v>2237</v>
      </c>
      <c r="RT5" s="6">
        <v>45785</v>
      </c>
      <c r="RU5">
        <v>4</v>
      </c>
      <c r="RV5">
        <v>-2.4245362661989844E-14</v>
      </c>
      <c r="RW5">
        <v>42447088</v>
      </c>
      <c r="RX5" t="s">
        <v>1848</v>
      </c>
      <c r="SA5" t="str">
        <f>_xll.BDS("SSB US Equity","SUPPLY_CHAIN_CUSTOMERS_ALL_DATA")</f>
        <v>#N/A N/A</v>
      </c>
      <c r="SQ5" t="str">
        <f>_xll.BDS("RIBT US Equity","SUPPLY_CHAIN_SUPPLIERS_ALL_DATA")</f>
        <v>#N/A N/A</v>
      </c>
      <c r="TE5" t="str">
        <f>_xll.BDS("RIBT US Equity","SUPPLY_CHAIN_CUSTOMERS_ALL_DATA","cols=12;rows=1")</f>
        <v>0530969D US Equity</v>
      </c>
      <c r="TF5">
        <v>-2.4245362661989844E-14</v>
      </c>
      <c r="TH5">
        <v>-2.4245362661989844E-14</v>
      </c>
      <c r="TI5" t="s">
        <v>1814</v>
      </c>
      <c r="TJ5">
        <v>2021</v>
      </c>
      <c r="TK5" t="s">
        <v>2810</v>
      </c>
      <c r="TL5" s="6">
        <v>44637</v>
      </c>
      <c r="TM5">
        <v>1</v>
      </c>
      <c r="TN5">
        <v>-2.4245362661989844E-14</v>
      </c>
      <c r="TO5">
        <v>24905387</v>
      </c>
      <c r="TP5" t="s">
        <v>2811</v>
      </c>
      <c r="TU5" t="str">
        <f>_xll.BDS("HWBK US Equity","SUPPLY_CHAIN_SUPPLIERS_ALL_DATA")</f>
        <v>#N/A N/A</v>
      </c>
      <c r="UI5" t="str">
        <f>_xll.BDS("HWBK US Equity","SUPPLY_CHAIN_CUSTOMERS_ALL_DATA")</f>
        <v>#N/A N/A</v>
      </c>
      <c r="UY5" t="str">
        <f>_xll.BDS("UVSP US Equity","SUPPLY_CHAIN_SUPPLIERS_ALL_DATA")</f>
        <v>#N/A N/A</v>
      </c>
      <c r="VM5" t="str">
        <f>_xll.BDS("UVSP US Equity","SUPPLY_CHAIN_CUSTOMERS_ALL_DATA")</f>
        <v>#N/A N/A</v>
      </c>
    </row>
    <row r="6" spans="1:600" x14ac:dyDescent="0.25">
      <c r="A6" t="s">
        <v>2479</v>
      </c>
      <c r="C6">
        <v>-2.4245362661989844E-14</v>
      </c>
      <c r="D6">
        <v>-2.4245362661989844E-14</v>
      </c>
      <c r="E6" t="s">
        <v>1814</v>
      </c>
      <c r="F6">
        <v>2021</v>
      </c>
      <c r="G6" t="s">
        <v>2480</v>
      </c>
      <c r="H6" s="6">
        <v>44693</v>
      </c>
      <c r="I6">
        <v>4</v>
      </c>
      <c r="J6">
        <v>-2.4245362661989844E-14</v>
      </c>
      <c r="K6">
        <v>100532</v>
      </c>
      <c r="L6" t="s">
        <v>2481</v>
      </c>
      <c r="O6" t="s">
        <v>3054</v>
      </c>
      <c r="P6">
        <v>-2.4245362661989844E-14</v>
      </c>
      <c r="R6">
        <v>-2.4245362661989844E-14</v>
      </c>
      <c r="S6" t="s">
        <v>1814</v>
      </c>
      <c r="T6">
        <v>2022</v>
      </c>
      <c r="U6" t="s">
        <v>3055</v>
      </c>
      <c r="V6" s="6">
        <v>44999</v>
      </c>
      <c r="W6">
        <v>5</v>
      </c>
      <c r="X6">
        <v>-2.4245362661989844E-14</v>
      </c>
      <c r="Y6">
        <v>12558170</v>
      </c>
      <c r="Z6" t="s">
        <v>3056</v>
      </c>
      <c r="KO6" t="s">
        <v>2238</v>
      </c>
      <c r="KQ6">
        <v>-2.4245362661989844E-14</v>
      </c>
      <c r="KR6">
        <v>-2.4245362661989844E-14</v>
      </c>
      <c r="KS6" t="s">
        <v>1806</v>
      </c>
      <c r="KT6">
        <v>2024</v>
      </c>
      <c r="KU6" t="s">
        <v>2239</v>
      </c>
      <c r="KV6" s="6">
        <v>45432</v>
      </c>
      <c r="KW6">
        <v>2</v>
      </c>
      <c r="KX6">
        <v>-2.4245362661989844E-14</v>
      </c>
      <c r="KY6">
        <v>1750153</v>
      </c>
      <c r="KZ6" t="s">
        <v>2240</v>
      </c>
      <c r="MW6" t="s">
        <v>2042</v>
      </c>
      <c r="MY6">
        <v>-2.4245362661989844E-14</v>
      </c>
      <c r="MZ6">
        <v>-2.4245362661989844E-14</v>
      </c>
      <c r="NA6" t="s">
        <v>1814</v>
      </c>
      <c r="NB6">
        <v>2021</v>
      </c>
      <c r="NC6" t="s">
        <v>2043</v>
      </c>
      <c r="ND6" s="6">
        <v>44693</v>
      </c>
      <c r="NE6">
        <v>5</v>
      </c>
      <c r="NF6">
        <v>-2.4245362661989844E-14</v>
      </c>
      <c r="NG6">
        <v>100060</v>
      </c>
      <c r="NH6" t="s">
        <v>2044</v>
      </c>
      <c r="NK6" t="s">
        <v>3675</v>
      </c>
      <c r="NL6">
        <v>-2.4245362661989844E-14</v>
      </c>
      <c r="NN6">
        <v>-2.4245362661989844E-14</v>
      </c>
      <c r="NO6" t="s">
        <v>1814</v>
      </c>
      <c r="NP6">
        <v>2022</v>
      </c>
      <c r="NQ6" t="s">
        <v>3676</v>
      </c>
      <c r="NR6" s="6">
        <v>44916</v>
      </c>
      <c r="NS6">
        <v>5</v>
      </c>
      <c r="NT6">
        <v>-2.4245362661989844E-14</v>
      </c>
      <c r="NU6">
        <v>944996</v>
      </c>
      <c r="NV6" t="s">
        <v>3677</v>
      </c>
      <c r="OA6" t="s">
        <v>3617</v>
      </c>
      <c r="OC6">
        <v>-2.4245362661989844E-14</v>
      </c>
      <c r="OD6">
        <v>-2.4245362661989844E-14</v>
      </c>
      <c r="OE6" t="s">
        <v>1806</v>
      </c>
      <c r="OF6">
        <v>2024</v>
      </c>
      <c r="OG6" t="s">
        <v>3618</v>
      </c>
      <c r="OH6" s="6">
        <v>45335</v>
      </c>
      <c r="OI6">
        <v>5</v>
      </c>
      <c r="OJ6">
        <v>-2.4245362661989844E-14</v>
      </c>
      <c r="OK6">
        <v>19995745</v>
      </c>
      <c r="OL6" t="s">
        <v>3619</v>
      </c>
      <c r="QI6" t="s">
        <v>800</v>
      </c>
      <c r="QJ6" t="s">
        <v>1822</v>
      </c>
      <c r="QK6">
        <v>0.39111600000000002</v>
      </c>
      <c r="QL6">
        <v>0.88908200000000004</v>
      </c>
      <c r="QM6" t="s">
        <v>1823</v>
      </c>
      <c r="QN6">
        <v>2025</v>
      </c>
      <c r="QO6" t="s">
        <v>1914</v>
      </c>
      <c r="QP6" s="6">
        <v>45914</v>
      </c>
      <c r="QQ6">
        <v>5</v>
      </c>
      <c r="QR6">
        <v>57310228</v>
      </c>
      <c r="QS6">
        <v>101166</v>
      </c>
      <c r="QT6" t="s">
        <v>1915</v>
      </c>
      <c r="QW6" t="s">
        <v>1855</v>
      </c>
      <c r="QX6">
        <v>2.545E-3</v>
      </c>
      <c r="QY6" t="s">
        <v>1822</v>
      </c>
      <c r="QZ6">
        <v>3.8306200000000001</v>
      </c>
      <c r="RA6" t="s">
        <v>1814</v>
      </c>
      <c r="RB6">
        <v>2024</v>
      </c>
      <c r="RC6" t="s">
        <v>1856</v>
      </c>
      <c r="RD6" s="6">
        <v>45819</v>
      </c>
      <c r="RE6">
        <v>5</v>
      </c>
      <c r="RF6">
        <v>275861.17</v>
      </c>
      <c r="RG6">
        <v>15291339</v>
      </c>
      <c r="RH6" t="s">
        <v>1857</v>
      </c>
      <c r="RM6" t="s">
        <v>2065</v>
      </c>
      <c r="RO6">
        <v>-2.4245362661989844E-14</v>
      </c>
      <c r="RP6">
        <v>-2.4245362661989844E-14</v>
      </c>
      <c r="RQ6" t="s">
        <v>1814</v>
      </c>
      <c r="RR6">
        <v>2024</v>
      </c>
      <c r="RS6" t="s">
        <v>2066</v>
      </c>
      <c r="RT6" s="6">
        <v>45762</v>
      </c>
      <c r="RU6">
        <v>4</v>
      </c>
      <c r="RV6">
        <v>-2.4245362661989844E-14</v>
      </c>
      <c r="RW6">
        <v>46286147</v>
      </c>
      <c r="RX6" t="s">
        <v>2067</v>
      </c>
    </row>
    <row r="7" spans="1:600" x14ac:dyDescent="0.25">
      <c r="A7" t="s">
        <v>2742</v>
      </c>
      <c r="C7">
        <v>-2.4245362661989844E-14</v>
      </c>
      <c r="D7">
        <v>-2.4245362661989844E-14</v>
      </c>
      <c r="E7" t="s">
        <v>1814</v>
      </c>
      <c r="F7">
        <v>2021</v>
      </c>
      <c r="G7" t="s">
        <v>2743</v>
      </c>
      <c r="H7" s="6">
        <v>44693</v>
      </c>
      <c r="I7">
        <v>4</v>
      </c>
      <c r="J7">
        <v>-2.4245362661989844E-14</v>
      </c>
      <c r="K7">
        <v>350245</v>
      </c>
      <c r="L7" t="s">
        <v>2744</v>
      </c>
      <c r="O7" t="s">
        <v>3057</v>
      </c>
      <c r="P7">
        <v>-2.4245362661989844E-14</v>
      </c>
      <c r="R7">
        <v>-2.4245362661989844E-14</v>
      </c>
      <c r="S7" t="s">
        <v>1814</v>
      </c>
      <c r="T7">
        <v>2023</v>
      </c>
      <c r="U7" t="s">
        <v>3052</v>
      </c>
      <c r="V7" s="6">
        <v>45092</v>
      </c>
      <c r="W7">
        <v>5</v>
      </c>
      <c r="X7">
        <v>-2.4245362661989844E-14</v>
      </c>
      <c r="Y7">
        <v>60427123</v>
      </c>
      <c r="Z7" t="s">
        <v>3058</v>
      </c>
      <c r="MW7" t="s">
        <v>3318</v>
      </c>
      <c r="MY7">
        <v>-2.4245362661989844E-14</v>
      </c>
      <c r="MZ7">
        <v>-2.4245362661989844E-14</v>
      </c>
      <c r="NA7" t="s">
        <v>1814</v>
      </c>
      <c r="NB7">
        <v>2021</v>
      </c>
      <c r="NC7" t="s">
        <v>3319</v>
      </c>
      <c r="ND7" s="6">
        <v>44693</v>
      </c>
      <c r="NE7">
        <v>5</v>
      </c>
      <c r="NF7">
        <v>-2.4245362661989844E-14</v>
      </c>
      <c r="NG7">
        <v>100466</v>
      </c>
      <c r="NH7" t="s">
        <v>3320</v>
      </c>
      <c r="NK7" t="s">
        <v>2010</v>
      </c>
      <c r="NL7">
        <v>-2.4245362661989844E-14</v>
      </c>
      <c r="NN7">
        <v>-2.4245362661989844E-14</v>
      </c>
      <c r="NO7" t="s">
        <v>1814</v>
      </c>
      <c r="NP7">
        <v>2022</v>
      </c>
      <c r="NQ7" t="s">
        <v>3678</v>
      </c>
      <c r="NR7" s="6">
        <v>45001</v>
      </c>
      <c r="NS7">
        <v>5</v>
      </c>
      <c r="NT7">
        <v>-2.4245362661989844E-14</v>
      </c>
      <c r="NU7">
        <v>218252</v>
      </c>
      <c r="NV7" t="s">
        <v>2012</v>
      </c>
      <c r="OA7" t="s">
        <v>3620</v>
      </c>
      <c r="OC7">
        <v>-2.4245362661989844E-14</v>
      </c>
      <c r="OD7">
        <v>-2.4245362661989844E-14</v>
      </c>
      <c r="OE7" t="s">
        <v>1806</v>
      </c>
      <c r="OF7">
        <v>2024</v>
      </c>
      <c r="OG7" t="s">
        <v>3618</v>
      </c>
      <c r="OH7" s="6">
        <v>45335</v>
      </c>
      <c r="OI7">
        <v>5</v>
      </c>
      <c r="OJ7">
        <v>-2.4245362661989844E-14</v>
      </c>
      <c r="OK7">
        <v>26690850</v>
      </c>
      <c r="OL7" t="s">
        <v>3621</v>
      </c>
      <c r="QI7" t="s">
        <v>1881</v>
      </c>
      <c r="QJ7" t="s">
        <v>1822</v>
      </c>
      <c r="QK7">
        <v>0.56451700000000005</v>
      </c>
      <c r="QL7">
        <v>0.57008199999999998</v>
      </c>
      <c r="QM7" t="s">
        <v>1810</v>
      </c>
      <c r="QN7">
        <v>2025</v>
      </c>
      <c r="QO7" t="s">
        <v>1882</v>
      </c>
      <c r="QP7" s="6">
        <v>45763</v>
      </c>
      <c r="QQ7">
        <v>5</v>
      </c>
      <c r="QR7">
        <v>37009736</v>
      </c>
      <c r="QS7">
        <v>136547</v>
      </c>
      <c r="QT7" t="s">
        <v>1883</v>
      </c>
      <c r="QW7" t="s">
        <v>1863</v>
      </c>
      <c r="QX7">
        <v>8.6300000000000005E-4</v>
      </c>
      <c r="QY7" t="s">
        <v>1822</v>
      </c>
      <c r="QZ7">
        <v>0.46444600000000003</v>
      </c>
      <c r="RA7" t="s">
        <v>1814</v>
      </c>
      <c r="RB7">
        <v>2024</v>
      </c>
      <c r="RC7" t="s">
        <v>1864</v>
      </c>
      <c r="RD7" s="6">
        <v>45730</v>
      </c>
      <c r="RE7">
        <v>5</v>
      </c>
      <c r="RF7">
        <v>92615.79</v>
      </c>
      <c r="RG7">
        <v>7369845</v>
      </c>
      <c r="RH7" t="s">
        <v>1865</v>
      </c>
      <c r="RM7" t="s">
        <v>2405</v>
      </c>
      <c r="RO7">
        <v>-2.4245362661989844E-14</v>
      </c>
      <c r="RP7">
        <v>-2.4245362661989844E-14</v>
      </c>
      <c r="RQ7" t="s">
        <v>1814</v>
      </c>
      <c r="RR7">
        <v>2024</v>
      </c>
      <c r="RS7" t="s">
        <v>2406</v>
      </c>
      <c r="RT7" s="6">
        <v>45743</v>
      </c>
      <c r="RU7">
        <v>4</v>
      </c>
      <c r="RV7">
        <v>-2.4245362661989844E-14</v>
      </c>
      <c r="RW7">
        <v>33322594</v>
      </c>
      <c r="RX7" t="s">
        <v>2407</v>
      </c>
    </row>
    <row r="8" spans="1:600" x14ac:dyDescent="0.25">
      <c r="A8" t="s">
        <v>3076</v>
      </c>
      <c r="C8">
        <v>-2.4245362661989844E-14</v>
      </c>
      <c r="D8">
        <v>-2.4245362661989844E-14</v>
      </c>
      <c r="E8" t="s">
        <v>1814</v>
      </c>
      <c r="F8">
        <v>2021</v>
      </c>
      <c r="G8" t="s">
        <v>3077</v>
      </c>
      <c r="H8" s="6">
        <v>44693</v>
      </c>
      <c r="I8">
        <v>4</v>
      </c>
      <c r="J8">
        <v>-2.4245362661989844E-14</v>
      </c>
      <c r="K8">
        <v>101225</v>
      </c>
      <c r="L8" t="s">
        <v>3078</v>
      </c>
      <c r="O8" t="s">
        <v>3059</v>
      </c>
      <c r="P8">
        <v>-2.4245362661989844E-14</v>
      </c>
      <c r="R8">
        <v>-2.4245362661989844E-14</v>
      </c>
      <c r="S8" t="s">
        <v>1814</v>
      </c>
      <c r="T8">
        <v>2022</v>
      </c>
      <c r="U8" t="s">
        <v>3055</v>
      </c>
      <c r="V8" s="6">
        <v>44999</v>
      </c>
      <c r="W8">
        <v>5</v>
      </c>
      <c r="X8">
        <v>-2.4245362661989844E-14</v>
      </c>
      <c r="Y8">
        <v>70059982</v>
      </c>
      <c r="Z8" t="s">
        <v>3060</v>
      </c>
      <c r="MW8" t="s">
        <v>3671</v>
      </c>
      <c r="MY8">
        <v>-2.4245362661989844E-14</v>
      </c>
      <c r="MZ8">
        <v>-2.4245362661989844E-14</v>
      </c>
      <c r="NA8" t="s">
        <v>1814</v>
      </c>
      <c r="NB8">
        <v>2021</v>
      </c>
      <c r="NC8" t="s">
        <v>3672</v>
      </c>
      <c r="ND8" s="6">
        <v>44693</v>
      </c>
      <c r="NE8">
        <v>5</v>
      </c>
      <c r="NF8">
        <v>-2.4245362661989844E-14</v>
      </c>
      <c r="NG8">
        <v>964326</v>
      </c>
      <c r="NH8" t="s">
        <v>3673</v>
      </c>
      <c r="NK8" t="s">
        <v>3679</v>
      </c>
      <c r="NL8">
        <v>-2.4245362661989844E-14</v>
      </c>
      <c r="NN8">
        <v>-2.4245362661989844E-14</v>
      </c>
      <c r="NO8" t="s">
        <v>1814</v>
      </c>
      <c r="NP8">
        <v>2023</v>
      </c>
      <c r="NQ8" t="s">
        <v>3676</v>
      </c>
      <c r="NR8" s="6">
        <v>45190</v>
      </c>
      <c r="NS8">
        <v>5</v>
      </c>
      <c r="NT8">
        <v>-2.4245362661989844E-14</v>
      </c>
      <c r="NU8">
        <v>126987</v>
      </c>
      <c r="NV8" t="s">
        <v>3680</v>
      </c>
      <c r="OA8" t="s">
        <v>3622</v>
      </c>
      <c r="OC8">
        <v>-2.4245362661989844E-14</v>
      </c>
      <c r="OD8">
        <v>-2.4245362661989844E-14</v>
      </c>
      <c r="OE8" t="s">
        <v>1806</v>
      </c>
      <c r="OF8">
        <v>2024</v>
      </c>
      <c r="OG8" t="s">
        <v>3618</v>
      </c>
      <c r="OH8" s="6">
        <v>45335</v>
      </c>
      <c r="OI8">
        <v>5</v>
      </c>
      <c r="OJ8">
        <v>-2.4245362661989844E-14</v>
      </c>
      <c r="OK8">
        <v>27104431</v>
      </c>
      <c r="OL8" t="s">
        <v>3623</v>
      </c>
      <c r="QI8" t="s">
        <v>1884</v>
      </c>
      <c r="QJ8" t="s">
        <v>1822</v>
      </c>
      <c r="QK8">
        <v>0.30367300000000003</v>
      </c>
      <c r="QL8">
        <v>0.37271100000000001</v>
      </c>
      <c r="QM8" t="s">
        <v>1810</v>
      </c>
      <c r="QN8">
        <v>2025</v>
      </c>
      <c r="QO8" t="s">
        <v>1885</v>
      </c>
      <c r="QP8" s="6">
        <v>45867</v>
      </c>
      <c r="QQ8">
        <v>5</v>
      </c>
      <c r="QR8">
        <v>23771522</v>
      </c>
      <c r="QS8">
        <v>117092</v>
      </c>
      <c r="QT8" t="s">
        <v>1886</v>
      </c>
      <c r="QW8" t="s">
        <v>1866</v>
      </c>
      <c r="QX8">
        <v>-2.4245362661989844E-14</v>
      </c>
      <c r="QZ8">
        <v>-2.4245362661989844E-14</v>
      </c>
      <c r="RA8" t="s">
        <v>1831</v>
      </c>
      <c r="RB8">
        <v>2025</v>
      </c>
      <c r="RC8" t="s">
        <v>1867</v>
      </c>
      <c r="RD8" s="6">
        <v>45975</v>
      </c>
      <c r="RE8">
        <v>5</v>
      </c>
      <c r="RF8">
        <v>-2.4245362661989844E-14</v>
      </c>
      <c r="RG8">
        <v>1459457</v>
      </c>
      <c r="RH8" t="s">
        <v>1868</v>
      </c>
      <c r="RM8" t="s">
        <v>2408</v>
      </c>
      <c r="RO8">
        <v>-2.4245362661989844E-14</v>
      </c>
      <c r="RP8">
        <v>-2.4245362661989844E-14</v>
      </c>
      <c r="RQ8" t="s">
        <v>1823</v>
      </c>
      <c r="RR8">
        <v>2023</v>
      </c>
      <c r="RS8" t="s">
        <v>2409</v>
      </c>
      <c r="RT8" s="6">
        <v>45174</v>
      </c>
      <c r="RU8">
        <v>4</v>
      </c>
      <c r="RV8">
        <v>-2.4245362661989844E-14</v>
      </c>
      <c r="RW8">
        <v>202476</v>
      </c>
      <c r="RX8" t="s">
        <v>2410</v>
      </c>
    </row>
    <row r="9" spans="1:600" x14ac:dyDescent="0.25">
      <c r="O9" t="s">
        <v>2010</v>
      </c>
      <c r="P9">
        <v>-2.4245362661989844E-14</v>
      </c>
      <c r="R9">
        <v>-2.4245362661989844E-14</v>
      </c>
      <c r="S9" t="s">
        <v>1814</v>
      </c>
      <c r="T9">
        <v>2023</v>
      </c>
      <c r="U9" t="s">
        <v>3052</v>
      </c>
      <c r="V9" s="6">
        <v>45001</v>
      </c>
      <c r="W9">
        <v>5</v>
      </c>
      <c r="X9">
        <v>-2.4245362661989844E-14</v>
      </c>
      <c r="Y9">
        <v>218252</v>
      </c>
      <c r="Z9" t="s">
        <v>2012</v>
      </c>
      <c r="MW9" t="s">
        <v>2272</v>
      </c>
      <c r="MY9">
        <v>-2.4245362661989844E-14</v>
      </c>
      <c r="MZ9">
        <v>-2.4245362661989844E-14</v>
      </c>
      <c r="NA9" t="s">
        <v>1814</v>
      </c>
      <c r="NB9">
        <v>2021</v>
      </c>
      <c r="NC9" t="s">
        <v>2273</v>
      </c>
      <c r="ND9" s="6">
        <v>44693</v>
      </c>
      <c r="NE9">
        <v>5</v>
      </c>
      <c r="NF9">
        <v>-2.4245362661989844E-14</v>
      </c>
      <c r="NG9">
        <v>101315</v>
      </c>
      <c r="NH9" t="s">
        <v>2274</v>
      </c>
      <c r="NK9" t="s">
        <v>3681</v>
      </c>
      <c r="NL9">
        <v>-2.4245362661989844E-14</v>
      </c>
      <c r="NN9">
        <v>-2.4245362661989844E-14</v>
      </c>
      <c r="NO9" t="s">
        <v>1814</v>
      </c>
      <c r="NP9">
        <v>2024</v>
      </c>
      <c r="NQ9" t="s">
        <v>3682</v>
      </c>
      <c r="NR9" s="6">
        <v>45713</v>
      </c>
      <c r="NS9">
        <v>5</v>
      </c>
      <c r="NT9">
        <v>-2.4245362661989844E-14</v>
      </c>
      <c r="NU9">
        <v>130361</v>
      </c>
      <c r="NV9" t="s">
        <v>3683</v>
      </c>
      <c r="OA9" t="s">
        <v>3624</v>
      </c>
      <c r="OC9">
        <v>-2.4245362661989844E-14</v>
      </c>
      <c r="OD9">
        <v>-2.4245362661989844E-14</v>
      </c>
      <c r="OE9" t="s">
        <v>1806</v>
      </c>
      <c r="OF9">
        <v>2024</v>
      </c>
      <c r="OG9" t="s">
        <v>3618</v>
      </c>
      <c r="OH9" s="6">
        <v>45335</v>
      </c>
      <c r="OI9">
        <v>5</v>
      </c>
      <c r="OJ9">
        <v>-2.4245362661989844E-14</v>
      </c>
      <c r="OK9">
        <v>24802446</v>
      </c>
      <c r="OL9" t="s">
        <v>3625</v>
      </c>
      <c r="QI9" t="s">
        <v>1916</v>
      </c>
      <c r="QJ9" t="s">
        <v>1822</v>
      </c>
      <c r="QK9">
        <v>8.0865999999999993E-2</v>
      </c>
      <c r="QL9">
        <v>0.27508500000000002</v>
      </c>
      <c r="QM9" t="s">
        <v>1806</v>
      </c>
      <c r="QN9">
        <v>2026</v>
      </c>
      <c r="QO9" t="s">
        <v>1917</v>
      </c>
      <c r="QP9" s="6">
        <v>45980</v>
      </c>
      <c r="QQ9">
        <v>5</v>
      </c>
      <c r="QR9">
        <v>17987832</v>
      </c>
      <c r="QS9">
        <v>100554</v>
      </c>
      <c r="QT9" t="s">
        <v>1918</v>
      </c>
      <c r="QW9" t="s">
        <v>1869</v>
      </c>
      <c r="QX9">
        <v>-2.4245362661989844E-14</v>
      </c>
      <c r="QZ9">
        <v>-2.4245362661989844E-14</v>
      </c>
      <c r="RA9" t="s">
        <v>1814</v>
      </c>
      <c r="RB9">
        <v>2024</v>
      </c>
      <c r="RC9" t="s">
        <v>1870</v>
      </c>
      <c r="RD9" s="6">
        <v>45774</v>
      </c>
      <c r="RE9">
        <v>5</v>
      </c>
      <c r="RF9">
        <v>-2.4245362661989844E-14</v>
      </c>
      <c r="RG9">
        <v>9020238</v>
      </c>
      <c r="RH9" t="s">
        <v>1871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1197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1198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1199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1200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1201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1202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1203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1204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1205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1206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1207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1208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1209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1210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1211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1212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1213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1214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1215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1216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1217</v>
      </c>
      <c r="AE2" s="3" t="s">
        <v>1218</v>
      </c>
      <c r="BI2" s="3" t="s">
        <v>1219</v>
      </c>
      <c r="CM2" s="3" t="s">
        <v>74</v>
      </c>
      <c r="DQ2" s="3" t="s">
        <v>1220</v>
      </c>
      <c r="EU2" s="3" t="s">
        <v>397</v>
      </c>
      <c r="FY2" s="3" t="s">
        <v>1221</v>
      </c>
      <c r="HC2" s="3" t="s">
        <v>1222</v>
      </c>
      <c r="IG2" s="3" t="s">
        <v>1223</v>
      </c>
      <c r="JK2" s="3" t="s">
        <v>1224</v>
      </c>
      <c r="KO2" s="3" t="s">
        <v>1225</v>
      </c>
      <c r="LS2" s="3" t="s">
        <v>1226</v>
      </c>
      <c r="MW2" s="3" t="s">
        <v>1227</v>
      </c>
      <c r="OA2" s="3" t="s">
        <v>1228</v>
      </c>
      <c r="PE2" s="3" t="s">
        <v>1229</v>
      </c>
      <c r="QI2" s="3" t="s">
        <v>1230</v>
      </c>
      <c r="RM2" s="3" t="s">
        <v>207</v>
      </c>
      <c r="SQ2" s="3" t="s">
        <v>1231</v>
      </c>
      <c r="TU2" s="3" t="s">
        <v>1232</v>
      </c>
      <c r="UY2" s="3" t="s">
        <v>1233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_xll.BDS("IOTS US Equity","SUPPLY_CHAIN_SUPPLIERS_ALL_DATA")</f>
        <v>#N/A N/A</v>
      </c>
      <c r="O5" t="str">
        <f>_xll.BDS("IOTS US Equity","SUPPLY_CHAIN_CUSTOMERS_ALL_DATA")</f>
        <v>#N/A N/A</v>
      </c>
      <c r="AE5" t="str">
        <f>_xll.BDS("SBLUQ US Equity","SUPPLY_CHAIN_SUPPLIERS_ALL_DATA")</f>
        <v>#N/A N/A</v>
      </c>
      <c r="AS5" t="str">
        <f>_xll.BDS("SBLUQ US Equity","SUPPLY_CHAIN_CUSTOMERS_ALL_DATA")</f>
        <v>#N/A N/A</v>
      </c>
      <c r="BI5" t="str">
        <f>_xll.BDS("IHWY US Equity","SUPPLY_CHAIN_SUPPLIERS_ALL_DATA")</f>
        <v>#N/A N/A</v>
      </c>
      <c r="BW5" t="str">
        <f>_xll.BDS("IHWY US Equity","SUPPLY_CHAIN_CUSTOMERS_ALL_DATA","cols=12;rows=1")</f>
        <v>ADVANC TB Equity</v>
      </c>
      <c r="BX5">
        <v>-2.4245362661989844E-14</v>
      </c>
      <c r="BZ5">
        <v>-2.4245362661989844E-14</v>
      </c>
      <c r="CA5" t="s">
        <v>1814</v>
      </c>
      <c r="CB5">
        <v>2023</v>
      </c>
      <c r="CC5" t="s">
        <v>3477</v>
      </c>
      <c r="CD5" s="6">
        <v>45345</v>
      </c>
      <c r="CE5">
        <v>1</v>
      </c>
      <c r="CF5">
        <v>-2.4245362661989844E-14</v>
      </c>
      <c r="CG5">
        <v>128474</v>
      </c>
      <c r="CH5" t="s">
        <v>3478</v>
      </c>
      <c r="CM5" t="str">
        <f>_xll.BDS("FBA US Equity","SUPPLY_CHAIN_SUPPLIERS_ALL_DATA")</f>
        <v>#N/A N/A</v>
      </c>
      <c r="DA5" t="str">
        <f>_xll.BDS("FBA US Equity","SUPPLY_CHAIN_CUSTOMERS_ALL_DATA")</f>
        <v>#N/A N/A</v>
      </c>
      <c r="DQ5" t="str">
        <f>_xll.BDS("PBCO US Equity","SUPPLY_CHAIN_SUPPLIERS_ALL_DATA")</f>
        <v>#N/A N/A</v>
      </c>
      <c r="EE5" t="str">
        <f>_xll.BDS("PBCO US Equity","SUPPLY_CHAIN_CUSTOMERS_ALL_DATA")</f>
        <v>#N/A N/A</v>
      </c>
      <c r="EU5" t="str">
        <f>_xll.BDS("TMD US Equity","SUPPLY_CHAIN_SUPPLIERS_ALL_DATA")</f>
        <v>#N/A N/A</v>
      </c>
      <c r="FI5" t="str">
        <f>_xll.BDS("TMD US Equity","SUPPLY_CHAIN_CUSTOMERS_ALL_DATA")</f>
        <v>#N/A N/A</v>
      </c>
      <c r="FY5" t="str">
        <f>_xll.BDS("WSBA US Equity","SUPPLY_CHAIN_SUPPLIERS_ALL_DATA")</f>
        <v>#N/A N/A</v>
      </c>
      <c r="GM5" t="str">
        <f>_xll.BDS("WSBA US Equity","SUPPLY_CHAIN_CUSTOMERS_ALL_DATA")</f>
        <v>#N/A N/A</v>
      </c>
      <c r="HC5" t="str">
        <f>_xll.BDS("FPIC US Equity","SUPPLY_CHAIN_SUPPLIERS_ALL_DATA")</f>
        <v>#N/A N/A</v>
      </c>
      <c r="HQ5" t="str">
        <f>_xll.BDS("FPIC US Equity","SUPPLY_CHAIN_CUSTOMERS_ALL_DATA")</f>
        <v>#N/A N/A</v>
      </c>
      <c r="IG5" t="str">
        <f>_xll.BDS("MSBK US Equity","SUPPLY_CHAIN_SUPPLIERS_ALL_DATA")</f>
        <v>#N/A N/A</v>
      </c>
      <c r="IU5" t="str">
        <f>_xll.BDS("MSBK US Equity","SUPPLY_CHAIN_CUSTOMERS_ALL_DATA")</f>
        <v>#N/A N/A</v>
      </c>
      <c r="JK5" t="str">
        <f>_xll.BDS("CEFC US Equity","SUPPLY_CHAIN_SUPPLIERS_ALL_DATA")</f>
        <v>#N/A N/A</v>
      </c>
      <c r="JY5" t="str">
        <f>_xll.BDS("CEFC US Equity","SUPPLY_CHAIN_CUSTOMERS_ALL_DATA")</f>
        <v>#N/A N/A</v>
      </c>
      <c r="KO5" t="str">
        <f>_xll.BDS("IESC US Equity","SUPPLY_CHAIN_SUPPLIERS_ALL_DATA","cols=12;rows=1")</f>
        <v>NTGR US Equity</v>
      </c>
      <c r="KP5" t="s">
        <v>1822</v>
      </c>
      <c r="KQ5">
        <v>0.71123599999999998</v>
      </c>
      <c r="KR5">
        <v>0.18643699999999999</v>
      </c>
      <c r="KS5" t="s">
        <v>1823</v>
      </c>
      <c r="KT5">
        <v>2025</v>
      </c>
      <c r="KU5" t="s">
        <v>3529</v>
      </c>
      <c r="KV5" s="6">
        <v>45889</v>
      </c>
      <c r="KW5">
        <v>1</v>
      </c>
      <c r="KX5">
        <v>1212885</v>
      </c>
      <c r="KY5">
        <v>1184415</v>
      </c>
      <c r="KZ5" t="s">
        <v>3530</v>
      </c>
      <c r="LC5" t="str">
        <f>_xll.BDS("IESC US Equity","SUPPLY_CHAIN_CUSTOMERS_ALL_DATA","cols=12;rows=1")</f>
        <v>VIEWQ US Equity</v>
      </c>
      <c r="LD5">
        <v>-2.4245362661989844E-14</v>
      </c>
      <c r="LF5">
        <v>-2.4245362661989844E-14</v>
      </c>
      <c r="LG5" t="s">
        <v>1823</v>
      </c>
      <c r="LH5">
        <v>2024</v>
      </c>
      <c r="LI5" t="s">
        <v>3450</v>
      </c>
      <c r="LJ5" s="6">
        <v>45384</v>
      </c>
      <c r="LK5">
        <v>1</v>
      </c>
      <c r="LL5">
        <v>-2.4245362661989844E-14</v>
      </c>
      <c r="LM5">
        <v>68623608</v>
      </c>
      <c r="LN5" t="s">
        <v>3451</v>
      </c>
      <c r="LS5" t="str">
        <f>_xll.BDS("MMBI US Equity","SUPPLY_CHAIN_SUPPLIERS_ALL_DATA")</f>
        <v>#N/A N/A</v>
      </c>
      <c r="MG5" t="str">
        <f>_xll.BDS("MMBI US Equity","SUPPLY_CHAIN_CUSTOMERS_ALL_DATA")</f>
        <v>#N/A N/A</v>
      </c>
      <c r="MW5" t="str">
        <f>_xll.BDS("FISV US Equity","SUPPLY_CHAIN_SUPPLIERS_ALL_DATA","cols=12;rows=5")</f>
        <v>ADBE US Equity</v>
      </c>
      <c r="MX5" t="s">
        <v>1893</v>
      </c>
      <c r="MY5">
        <v>4.4098999999999999E-2</v>
      </c>
      <c r="MZ5">
        <v>0.153979</v>
      </c>
      <c r="NA5" t="s">
        <v>1823</v>
      </c>
      <c r="NB5">
        <v>2025</v>
      </c>
      <c r="NC5" t="s">
        <v>1894</v>
      </c>
      <c r="ND5" s="6">
        <v>45838</v>
      </c>
      <c r="NE5">
        <v>5</v>
      </c>
      <c r="NF5">
        <v>2589934</v>
      </c>
      <c r="NG5">
        <v>101689</v>
      </c>
      <c r="NH5" t="s">
        <v>1895</v>
      </c>
      <c r="NK5" t="str">
        <f>_xll.BDS("FISV US Equity","SUPPLY_CHAIN_CUSTOMERS_ALL_DATA","cols=12;rows=5")</f>
        <v>ALE PW Equity</v>
      </c>
      <c r="NL5">
        <v>9.0300000000000005E-4</v>
      </c>
      <c r="NM5" t="s">
        <v>1822</v>
      </c>
      <c r="NN5">
        <v>4.8596E-2</v>
      </c>
      <c r="NO5" t="s">
        <v>1814</v>
      </c>
      <c r="NP5">
        <v>2024</v>
      </c>
      <c r="NQ5" t="s">
        <v>2942</v>
      </c>
      <c r="NR5" s="6">
        <v>45729</v>
      </c>
      <c r="NS5">
        <v>5</v>
      </c>
      <c r="NT5">
        <v>46174.74</v>
      </c>
      <c r="NU5">
        <v>68856100</v>
      </c>
      <c r="NV5" t="s">
        <v>2943</v>
      </c>
      <c r="OA5" t="str">
        <f>_xll.BDS("797725Q US Equity","SUPPLY_CHAIN_SUPPLIERS_ALL_DATA")</f>
        <v>#N/A N/A</v>
      </c>
      <c r="OO5" t="str">
        <f>_xll.BDS("797725Q US Equity","SUPPLY_CHAIN_CUSTOMERS_ALL_DATA")</f>
        <v>#N/A N/A</v>
      </c>
      <c r="PE5" t="str">
        <f>_xll.BDS("PB US Equity","SUPPLY_CHAIN_SUPPLIERS_ALL_DATA")</f>
        <v>#N/A N/A</v>
      </c>
      <c r="PS5" t="str">
        <f>_xll.BDS("PB US Equity","SUPPLY_CHAIN_CUSTOMERS_ALL_DATA")</f>
        <v>#N/A N/A</v>
      </c>
      <c r="QI5" t="str">
        <f>_xll.BDS("TNB US Equity","SUPPLY_CHAIN_SUPPLIERS_ALL_DATA")</f>
        <v>#N/A N/A</v>
      </c>
      <c r="QW5" t="str">
        <f>_xll.BDS("TNB US Equity","SUPPLY_CHAIN_CUSTOMERS_ALL_DATA")</f>
        <v>#N/A N/A</v>
      </c>
      <c r="RM5" t="str">
        <f>_xll.BDS("ORCL US Equity","SUPPLY_CHAIN_SUPPLIERS_ALL_DATA","cols=12;rows=5")</f>
        <v>NVDA US Equity</v>
      </c>
      <c r="RN5" t="s">
        <v>1949</v>
      </c>
      <c r="RO5">
        <v>1.9751799999999999</v>
      </c>
      <c r="RP5">
        <v>11.182838</v>
      </c>
      <c r="RQ5" t="s">
        <v>1827</v>
      </c>
      <c r="RR5">
        <v>2026</v>
      </c>
      <c r="RS5" t="s">
        <v>2357</v>
      </c>
      <c r="RT5" s="6">
        <v>46087</v>
      </c>
      <c r="RU5">
        <v>5</v>
      </c>
      <c r="RV5">
        <v>1345630848</v>
      </c>
      <c r="RW5">
        <v>313657</v>
      </c>
      <c r="RX5" t="s">
        <v>2248</v>
      </c>
      <c r="SA5" t="str">
        <f>_xll.BDS("ORCL US Equity","SUPPLY_CHAIN_CUSTOMERS_ALL_DATA","cols=12;rows=5")</f>
        <v>ACN US Equity</v>
      </c>
      <c r="SB5">
        <v>1.9061380000000001</v>
      </c>
      <c r="SC5" t="s">
        <v>1822</v>
      </c>
      <c r="SD5">
        <v>2.7725070000000001</v>
      </c>
      <c r="SE5" t="s">
        <v>1827</v>
      </c>
      <c r="SF5">
        <v>2025</v>
      </c>
      <c r="SG5" t="s">
        <v>2368</v>
      </c>
      <c r="SH5" s="6">
        <v>45848</v>
      </c>
      <c r="SI5">
        <v>5</v>
      </c>
      <c r="SJ5">
        <v>303133120</v>
      </c>
      <c r="SK5">
        <v>300787</v>
      </c>
      <c r="SL5" t="s">
        <v>3684</v>
      </c>
      <c r="SQ5" t="str">
        <f>_xll.BDS("SMG US Equity","SUPPLY_CHAIN_SUPPLIERS_ALL_DATA","cols=12;rows=5")</f>
        <v>BAYN GR Equity</v>
      </c>
      <c r="SR5" t="s">
        <v>1822</v>
      </c>
      <c r="SS5">
        <v>2.8403999999999999E-2</v>
      </c>
      <c r="ST5">
        <v>0.426394</v>
      </c>
      <c r="SU5" t="s">
        <v>1823</v>
      </c>
      <c r="SV5">
        <v>2025</v>
      </c>
      <c r="SW5" t="s">
        <v>1906</v>
      </c>
      <c r="SX5" s="6">
        <v>45929</v>
      </c>
      <c r="SY5">
        <v>5</v>
      </c>
      <c r="SZ5">
        <v>3456911.79</v>
      </c>
      <c r="TA5">
        <v>115679</v>
      </c>
      <c r="TB5" t="s">
        <v>1907</v>
      </c>
      <c r="TE5" t="str">
        <f>_xll.BDS("SMG US Equity","SUPPLY_CHAIN_CUSTOMERS_ALL_DATA","cols=12;rows=5")</f>
        <v>HD US Equity</v>
      </c>
      <c r="TF5">
        <v>34</v>
      </c>
      <c r="TG5" t="s">
        <v>1822</v>
      </c>
      <c r="TH5">
        <v>1.047757</v>
      </c>
      <c r="TI5" t="s">
        <v>1814</v>
      </c>
      <c r="TJ5">
        <v>2025</v>
      </c>
      <c r="TK5" t="s">
        <v>3575</v>
      </c>
      <c r="TL5" s="6">
        <v>45986</v>
      </c>
      <c r="TM5">
        <v>5</v>
      </c>
      <c r="TN5">
        <v>290113504</v>
      </c>
      <c r="TO5">
        <v>100743</v>
      </c>
      <c r="TP5" t="s">
        <v>3576</v>
      </c>
      <c r="TU5" t="str">
        <f>_xll.BDS("GELX US Equity","SUPPLY_CHAIN_SUPPLIERS_ALL_DATA")</f>
        <v>#N/A N/A</v>
      </c>
      <c r="UI5" t="str">
        <f>_xll.BDS("GELX US Equity","SUPPLY_CHAIN_CUSTOMERS_ALL_DATA")</f>
        <v>#N/A N/A</v>
      </c>
      <c r="UY5" t="str">
        <f>_xll.BDS("1255459D US Equity","SUPPLY_CHAIN_SUPPLIERS_ALL_DATA","cols=12;rows=2")</f>
        <v>CREI LN Equity</v>
      </c>
      <c r="VA5">
        <v>-2.4245362661989844E-14</v>
      </c>
      <c r="VB5">
        <v>-2.4245362661989844E-14</v>
      </c>
      <c r="VC5" t="s">
        <v>1814</v>
      </c>
      <c r="VD5">
        <v>2022</v>
      </c>
      <c r="VE5" t="s">
        <v>2658</v>
      </c>
      <c r="VF5" s="6">
        <v>44757</v>
      </c>
      <c r="VG5">
        <v>2</v>
      </c>
      <c r="VH5">
        <v>-2.4245362661989844E-14</v>
      </c>
      <c r="VI5">
        <v>39775273</v>
      </c>
      <c r="VJ5" t="s">
        <v>2659</v>
      </c>
      <c r="VM5" t="str">
        <f>_xll.BDS("1255459D US Equity","SUPPLY_CHAIN_CUSTOMERS_ALL_DATA","cols=12;rows=5")</f>
        <v>028260 KS Equity</v>
      </c>
      <c r="VN5">
        <v>-2.4245362661989844E-14</v>
      </c>
      <c r="VP5">
        <v>-2.4245362661989844E-14</v>
      </c>
      <c r="VQ5" t="s">
        <v>1831</v>
      </c>
      <c r="VR5">
        <v>2023</v>
      </c>
      <c r="VS5" t="s">
        <v>2524</v>
      </c>
      <c r="VT5" s="6">
        <v>45244</v>
      </c>
      <c r="VU5">
        <v>5</v>
      </c>
      <c r="VV5">
        <v>-2.4245362661989844E-14</v>
      </c>
      <c r="VW5">
        <v>307967</v>
      </c>
      <c r="VX5" t="s">
        <v>2525</v>
      </c>
    </row>
    <row r="6" spans="1:600" x14ac:dyDescent="0.25">
      <c r="MW6" t="s">
        <v>3042</v>
      </c>
      <c r="MX6" t="s">
        <v>1893</v>
      </c>
      <c r="MY6">
        <v>1.337661</v>
      </c>
      <c r="MZ6">
        <v>0.11622499999999999</v>
      </c>
      <c r="NA6" t="s">
        <v>1814</v>
      </c>
      <c r="NB6">
        <v>2024</v>
      </c>
      <c r="NC6" t="s">
        <v>3043</v>
      </c>
      <c r="ND6" s="6">
        <v>45702</v>
      </c>
      <c r="NE6">
        <v>5</v>
      </c>
      <c r="NF6">
        <v>1907250</v>
      </c>
      <c r="NG6">
        <v>225922</v>
      </c>
      <c r="NH6" t="s">
        <v>3044</v>
      </c>
      <c r="NK6" t="s">
        <v>2944</v>
      </c>
      <c r="NL6">
        <v>-2.4245362661989844E-14</v>
      </c>
      <c r="NN6">
        <v>-2.4245362661989844E-14</v>
      </c>
      <c r="NO6" t="s">
        <v>1814</v>
      </c>
      <c r="NP6">
        <v>2023</v>
      </c>
      <c r="NQ6" t="s">
        <v>2945</v>
      </c>
      <c r="NR6" s="6">
        <v>45196</v>
      </c>
      <c r="NS6">
        <v>5</v>
      </c>
      <c r="NT6">
        <v>-2.4245362661989844E-14</v>
      </c>
      <c r="NU6">
        <v>29517823</v>
      </c>
      <c r="NV6" t="s">
        <v>2946</v>
      </c>
      <c r="RM6" t="s">
        <v>1940</v>
      </c>
      <c r="RN6" t="s">
        <v>1949</v>
      </c>
      <c r="RO6">
        <v>3.5808580000000001</v>
      </c>
      <c r="RP6">
        <v>3.236755</v>
      </c>
      <c r="RQ6" t="s">
        <v>1823</v>
      </c>
      <c r="RR6">
        <v>2025</v>
      </c>
      <c r="RS6" t="s">
        <v>3825</v>
      </c>
      <c r="RT6" s="6">
        <v>45947</v>
      </c>
      <c r="RU6">
        <v>5</v>
      </c>
      <c r="RV6">
        <v>275188928</v>
      </c>
      <c r="RW6">
        <v>100010</v>
      </c>
      <c r="RX6" t="s">
        <v>1942</v>
      </c>
      <c r="SA6" t="s">
        <v>2100</v>
      </c>
      <c r="SB6">
        <v>1.3419890000000001</v>
      </c>
      <c r="SC6" t="s">
        <v>1822</v>
      </c>
      <c r="SD6">
        <v>0.27725100000000003</v>
      </c>
      <c r="SE6" t="s">
        <v>1827</v>
      </c>
      <c r="SF6">
        <v>2025</v>
      </c>
      <c r="SG6" t="s">
        <v>2368</v>
      </c>
      <c r="SH6" s="6">
        <v>45848</v>
      </c>
      <c r="SI6">
        <v>5</v>
      </c>
      <c r="SJ6">
        <v>213416512</v>
      </c>
      <c r="SK6">
        <v>216952</v>
      </c>
      <c r="SL6" t="s">
        <v>2101</v>
      </c>
      <c r="SQ6" t="s">
        <v>3626</v>
      </c>
      <c r="SR6" t="s">
        <v>1822</v>
      </c>
      <c r="SS6">
        <v>0.174044</v>
      </c>
      <c r="ST6">
        <v>0.96199100000000004</v>
      </c>
      <c r="SU6" t="s">
        <v>1827</v>
      </c>
      <c r="SV6">
        <v>2025</v>
      </c>
      <c r="SW6" t="s">
        <v>3627</v>
      </c>
      <c r="SX6" s="6">
        <v>46077</v>
      </c>
      <c r="SY6">
        <v>5</v>
      </c>
      <c r="SZ6">
        <v>2556010</v>
      </c>
      <c r="TA6">
        <v>159323</v>
      </c>
      <c r="TB6" t="s">
        <v>3628</v>
      </c>
      <c r="TE6" t="s">
        <v>3577</v>
      </c>
      <c r="TF6">
        <v>18</v>
      </c>
      <c r="TG6" t="s">
        <v>1822</v>
      </c>
      <c r="TH6">
        <v>1.09795</v>
      </c>
      <c r="TI6" t="s">
        <v>1814</v>
      </c>
      <c r="TJ6">
        <v>2025</v>
      </c>
      <c r="TK6" t="s">
        <v>3575</v>
      </c>
      <c r="TL6" s="6">
        <v>45986</v>
      </c>
      <c r="TM6">
        <v>5</v>
      </c>
      <c r="TN6">
        <v>153589504</v>
      </c>
      <c r="TO6">
        <v>100916</v>
      </c>
      <c r="TP6" t="s">
        <v>3578</v>
      </c>
      <c r="UY6" t="s">
        <v>2660</v>
      </c>
      <c r="VA6">
        <v>-2.4245362661989844E-14</v>
      </c>
      <c r="VB6">
        <v>-2.4245362661989844E-14</v>
      </c>
      <c r="VC6" t="s">
        <v>1814</v>
      </c>
      <c r="VD6">
        <v>2022</v>
      </c>
      <c r="VE6" t="s">
        <v>2661</v>
      </c>
      <c r="VF6" s="6">
        <v>44797</v>
      </c>
      <c r="VG6">
        <v>2</v>
      </c>
      <c r="VH6">
        <v>-2.4245362661989844E-14</v>
      </c>
      <c r="VI6">
        <v>42186257</v>
      </c>
      <c r="VJ6" t="s">
        <v>2662</v>
      </c>
      <c r="VM6" t="s">
        <v>2526</v>
      </c>
      <c r="VN6">
        <v>-2.4245362661989844E-14</v>
      </c>
      <c r="VP6">
        <v>-2.4245362661989844E-14</v>
      </c>
      <c r="VQ6" t="s">
        <v>2266</v>
      </c>
      <c r="VR6">
        <v>2025</v>
      </c>
      <c r="VS6" t="s">
        <v>2527</v>
      </c>
      <c r="VT6" s="6">
        <v>45792</v>
      </c>
      <c r="VU6">
        <v>5</v>
      </c>
      <c r="VV6">
        <v>-2.4245362661989844E-14</v>
      </c>
      <c r="VW6">
        <v>25611178</v>
      </c>
      <c r="VX6" t="s">
        <v>2528</v>
      </c>
    </row>
    <row r="7" spans="1:600" x14ac:dyDescent="0.25">
      <c r="MW7" t="s">
        <v>3045</v>
      </c>
      <c r="MX7" t="s">
        <v>1822</v>
      </c>
      <c r="MY7">
        <v>2.7681999999999998E-2</v>
      </c>
      <c r="MZ7">
        <v>1.5102000000000001E-2</v>
      </c>
      <c r="NA7" t="s">
        <v>1810</v>
      </c>
      <c r="NB7">
        <v>2025</v>
      </c>
      <c r="NC7" t="s">
        <v>3046</v>
      </c>
      <c r="ND7" s="6">
        <v>46042</v>
      </c>
      <c r="NE7">
        <v>5</v>
      </c>
      <c r="NF7">
        <v>326950</v>
      </c>
      <c r="NG7">
        <v>16555266</v>
      </c>
      <c r="NH7" t="s">
        <v>3047</v>
      </c>
      <c r="NK7" t="s">
        <v>2947</v>
      </c>
      <c r="NL7">
        <v>-2.4245362661989844E-14</v>
      </c>
      <c r="NN7">
        <v>-2.4245362661989844E-14</v>
      </c>
      <c r="NO7" t="s">
        <v>1810</v>
      </c>
      <c r="NP7">
        <v>2023</v>
      </c>
      <c r="NQ7" t="s">
        <v>2948</v>
      </c>
      <c r="NR7" s="6">
        <v>45223</v>
      </c>
      <c r="NS7">
        <v>5</v>
      </c>
      <c r="NT7">
        <v>-2.4245362661989844E-14</v>
      </c>
      <c r="NU7">
        <v>29720733</v>
      </c>
      <c r="NV7" t="s">
        <v>2949</v>
      </c>
      <c r="RM7" t="s">
        <v>2203</v>
      </c>
      <c r="RN7" t="s">
        <v>1949</v>
      </c>
      <c r="RO7">
        <v>0.91127400000000003</v>
      </c>
      <c r="RP7">
        <v>1.364298</v>
      </c>
      <c r="RQ7" t="s">
        <v>1827</v>
      </c>
      <c r="RR7">
        <v>2025</v>
      </c>
      <c r="RS7" t="s">
        <v>2411</v>
      </c>
      <c r="RT7" s="6">
        <v>46010</v>
      </c>
      <c r="RU7">
        <v>5</v>
      </c>
      <c r="RV7">
        <v>164166016</v>
      </c>
      <c r="RW7">
        <v>59907412</v>
      </c>
      <c r="RX7" t="s">
        <v>2205</v>
      </c>
      <c r="SA7" t="s">
        <v>1849</v>
      </c>
      <c r="SB7">
        <v>1.0301469999999999</v>
      </c>
      <c r="SC7" t="s">
        <v>1822</v>
      </c>
      <c r="SD7">
        <v>1.0221020000000001</v>
      </c>
      <c r="SE7" t="s">
        <v>1827</v>
      </c>
      <c r="SF7">
        <v>2025</v>
      </c>
      <c r="SG7" t="s">
        <v>1850</v>
      </c>
      <c r="SH7" s="6">
        <v>46056</v>
      </c>
      <c r="SI7">
        <v>5</v>
      </c>
      <c r="SJ7">
        <v>165420976</v>
      </c>
      <c r="SK7">
        <v>1499717</v>
      </c>
      <c r="SL7" t="s">
        <v>1851</v>
      </c>
      <c r="SQ7" t="s">
        <v>3629</v>
      </c>
      <c r="SS7">
        <v>-2.4245362661989844E-14</v>
      </c>
      <c r="ST7">
        <v>-2.4245362661989844E-14</v>
      </c>
      <c r="SU7" t="s">
        <v>1814</v>
      </c>
      <c r="SV7">
        <v>2026</v>
      </c>
      <c r="SW7" t="s">
        <v>3630</v>
      </c>
      <c r="SX7" s="6">
        <v>46057</v>
      </c>
      <c r="SY7">
        <v>5</v>
      </c>
      <c r="SZ7">
        <v>-2.4245362661989844E-14</v>
      </c>
      <c r="TA7">
        <v>28250109</v>
      </c>
      <c r="TB7" t="s">
        <v>3631</v>
      </c>
      <c r="TE7" t="s">
        <v>2142</v>
      </c>
      <c r="TF7">
        <v>3.4820540000000002</v>
      </c>
      <c r="TG7" t="s">
        <v>1822</v>
      </c>
      <c r="TH7">
        <v>3.9806000000000001E-2</v>
      </c>
      <c r="TI7" t="s">
        <v>1823</v>
      </c>
      <c r="TJ7">
        <v>2025</v>
      </c>
      <c r="TK7" t="s">
        <v>3579</v>
      </c>
      <c r="TL7" s="6">
        <v>45860</v>
      </c>
      <c r="TM7">
        <v>5</v>
      </c>
      <c r="TN7">
        <v>49479988</v>
      </c>
      <c r="TO7">
        <v>101616</v>
      </c>
      <c r="TP7" t="s">
        <v>2143</v>
      </c>
      <c r="VM7" t="s">
        <v>2529</v>
      </c>
      <c r="VN7">
        <v>-2.4245362661989844E-14</v>
      </c>
      <c r="VP7">
        <v>-2.4245362661989844E-14</v>
      </c>
      <c r="VQ7" t="s">
        <v>1831</v>
      </c>
      <c r="VR7">
        <v>2025</v>
      </c>
      <c r="VS7" t="s">
        <v>2530</v>
      </c>
      <c r="VT7" s="6">
        <v>45973</v>
      </c>
      <c r="VU7">
        <v>5</v>
      </c>
      <c r="VV7">
        <v>-2.4245362661989844E-14</v>
      </c>
      <c r="VW7">
        <v>16444455</v>
      </c>
      <c r="VX7" t="s">
        <v>2531</v>
      </c>
    </row>
    <row r="8" spans="1:600" x14ac:dyDescent="0.25">
      <c r="MW8" t="s">
        <v>2336</v>
      </c>
      <c r="MY8">
        <v>-2.4245362661989844E-14</v>
      </c>
      <c r="MZ8">
        <v>-2.4245362661989844E-14</v>
      </c>
      <c r="NA8" t="s">
        <v>2266</v>
      </c>
      <c r="NB8">
        <v>2022</v>
      </c>
      <c r="NC8" t="s">
        <v>3048</v>
      </c>
      <c r="ND8" s="6">
        <v>44697</v>
      </c>
      <c r="NE8">
        <v>5</v>
      </c>
      <c r="NF8">
        <v>-2.4245362661989844E-14</v>
      </c>
      <c r="NG8">
        <v>118099</v>
      </c>
      <c r="NH8" t="s">
        <v>2338</v>
      </c>
      <c r="NK8" t="s">
        <v>2950</v>
      </c>
      <c r="NL8">
        <v>-2.4245362661989844E-14</v>
      </c>
      <c r="NN8">
        <v>-2.4245362661989844E-14</v>
      </c>
      <c r="NO8" t="s">
        <v>1831</v>
      </c>
      <c r="NP8">
        <v>2023</v>
      </c>
      <c r="NQ8" t="s">
        <v>1910</v>
      </c>
      <c r="NR8" s="6">
        <v>45245</v>
      </c>
      <c r="NS8">
        <v>5</v>
      </c>
      <c r="NT8">
        <v>-2.4245362661989844E-14</v>
      </c>
      <c r="NU8">
        <v>8562684</v>
      </c>
      <c r="NV8" t="s">
        <v>2951</v>
      </c>
      <c r="RM8" t="s">
        <v>3287</v>
      </c>
      <c r="RN8" t="s">
        <v>1949</v>
      </c>
      <c r="RO8">
        <v>6.234559</v>
      </c>
      <c r="RP8">
        <v>1.5138720000000001</v>
      </c>
      <c r="RQ8" t="s">
        <v>1823</v>
      </c>
      <c r="RR8">
        <v>2025</v>
      </c>
      <c r="RS8" t="s">
        <v>3826</v>
      </c>
      <c r="RT8" s="6">
        <v>45897</v>
      </c>
      <c r="RU8">
        <v>5</v>
      </c>
      <c r="RV8">
        <v>137459552</v>
      </c>
      <c r="RW8">
        <v>16532368</v>
      </c>
      <c r="RX8" t="s">
        <v>3289</v>
      </c>
      <c r="SA8" t="s">
        <v>1876</v>
      </c>
      <c r="SB8">
        <v>0.69902799999999998</v>
      </c>
      <c r="SC8" t="s">
        <v>1822</v>
      </c>
      <c r="SD8">
        <v>0.138625</v>
      </c>
      <c r="SE8" t="s">
        <v>1827</v>
      </c>
      <c r="SF8">
        <v>2025</v>
      </c>
      <c r="SG8" t="s">
        <v>2368</v>
      </c>
      <c r="SH8" s="6">
        <v>45848</v>
      </c>
      <c r="SI8">
        <v>5</v>
      </c>
      <c r="SJ8">
        <v>111166424</v>
      </c>
      <c r="SK8">
        <v>100976</v>
      </c>
      <c r="SL8" t="s">
        <v>1877</v>
      </c>
      <c r="SQ8" t="s">
        <v>2039</v>
      </c>
      <c r="SS8">
        <v>-2.4245362661989844E-14</v>
      </c>
      <c r="ST8">
        <v>-2.4245362661989844E-14</v>
      </c>
      <c r="SU8" t="s">
        <v>1814</v>
      </c>
      <c r="SV8">
        <v>2021</v>
      </c>
      <c r="SW8" t="s">
        <v>2040</v>
      </c>
      <c r="SX8" s="6">
        <v>44693</v>
      </c>
      <c r="SY8">
        <v>5</v>
      </c>
      <c r="SZ8">
        <v>-2.4245362661989844E-14</v>
      </c>
      <c r="TA8">
        <v>313098</v>
      </c>
      <c r="TB8" t="s">
        <v>2041</v>
      </c>
      <c r="TE8" t="s">
        <v>3580</v>
      </c>
      <c r="TF8">
        <v>3.1051739999999999</v>
      </c>
      <c r="TG8" t="s">
        <v>1822</v>
      </c>
      <c r="TH8">
        <v>2.3470490000000002</v>
      </c>
      <c r="TI8" t="s">
        <v>1823</v>
      </c>
      <c r="TJ8">
        <v>2025</v>
      </c>
      <c r="TK8" t="s">
        <v>3579</v>
      </c>
      <c r="TL8" s="6">
        <v>45860</v>
      </c>
      <c r="TM8">
        <v>5</v>
      </c>
      <c r="TN8">
        <v>44124524</v>
      </c>
      <c r="TO8">
        <v>159161</v>
      </c>
      <c r="TP8" t="s">
        <v>3581</v>
      </c>
      <c r="VM8" t="s">
        <v>2532</v>
      </c>
      <c r="VN8">
        <v>-2.4245362661989844E-14</v>
      </c>
      <c r="VP8">
        <v>-2.4245362661989844E-14</v>
      </c>
      <c r="VQ8" t="s">
        <v>1814</v>
      </c>
      <c r="VR8">
        <v>2024</v>
      </c>
      <c r="VS8" t="s">
        <v>2533</v>
      </c>
      <c r="VT8" s="6">
        <v>45820</v>
      </c>
      <c r="VU8">
        <v>5</v>
      </c>
      <c r="VV8">
        <v>-2.4245362661989844E-14</v>
      </c>
      <c r="VW8">
        <v>48621274</v>
      </c>
      <c r="VX8" t="s">
        <v>2534</v>
      </c>
    </row>
    <row r="9" spans="1:600" x14ac:dyDescent="0.25">
      <c r="MW9" t="s">
        <v>3049</v>
      </c>
      <c r="MY9">
        <v>-2.4245362661989844E-14</v>
      </c>
      <c r="MZ9">
        <v>-2.4245362661989844E-14</v>
      </c>
      <c r="NA9" t="s">
        <v>1823</v>
      </c>
      <c r="NB9">
        <v>2025</v>
      </c>
      <c r="NC9" t="s">
        <v>3050</v>
      </c>
      <c r="ND9" s="6">
        <v>45861</v>
      </c>
      <c r="NE9">
        <v>5</v>
      </c>
      <c r="NF9">
        <v>-2.4245362661989844E-14</v>
      </c>
      <c r="NG9">
        <v>38030711</v>
      </c>
      <c r="NH9" t="s">
        <v>3051</v>
      </c>
      <c r="NK9" t="s">
        <v>2952</v>
      </c>
      <c r="NL9">
        <v>-2.4245362661989844E-14</v>
      </c>
      <c r="NN9">
        <v>-2.4245362661989844E-14</v>
      </c>
      <c r="NO9" t="s">
        <v>1831</v>
      </c>
      <c r="NP9">
        <v>2023</v>
      </c>
      <c r="NQ9" t="s">
        <v>1910</v>
      </c>
      <c r="NR9" s="6">
        <v>45245</v>
      </c>
      <c r="NS9">
        <v>5</v>
      </c>
      <c r="NT9">
        <v>-2.4245362661989844E-14</v>
      </c>
      <c r="NU9">
        <v>21300729</v>
      </c>
      <c r="NV9" t="s">
        <v>2953</v>
      </c>
      <c r="RM9" t="s">
        <v>3827</v>
      </c>
      <c r="RN9" t="s">
        <v>1949</v>
      </c>
      <c r="RO9">
        <v>3.6037650000000001</v>
      </c>
      <c r="RP9">
        <v>0.90356199999999998</v>
      </c>
      <c r="RQ9" t="s">
        <v>1823</v>
      </c>
      <c r="RR9">
        <v>2026</v>
      </c>
      <c r="RS9" t="s">
        <v>3828</v>
      </c>
      <c r="RT9" s="6">
        <v>46059</v>
      </c>
      <c r="RU9">
        <v>5</v>
      </c>
      <c r="RV9">
        <v>108725592</v>
      </c>
      <c r="RW9">
        <v>101643</v>
      </c>
      <c r="RX9" t="s">
        <v>3829</v>
      </c>
      <c r="SA9" t="s">
        <v>626</v>
      </c>
      <c r="SB9">
        <v>0.66108800000000001</v>
      </c>
      <c r="SC9" t="s">
        <v>1822</v>
      </c>
      <c r="SD9">
        <v>0.122531</v>
      </c>
      <c r="SE9" t="s">
        <v>1827</v>
      </c>
      <c r="SF9">
        <v>2025</v>
      </c>
      <c r="SG9" t="s">
        <v>2368</v>
      </c>
      <c r="SH9" s="6">
        <v>45848</v>
      </c>
      <c r="SI9">
        <v>5</v>
      </c>
      <c r="SJ9">
        <v>105132824</v>
      </c>
      <c r="SK9">
        <v>101548</v>
      </c>
      <c r="SL9" t="s">
        <v>1880</v>
      </c>
      <c r="SQ9" t="s">
        <v>2042</v>
      </c>
      <c r="SS9">
        <v>-2.4245362661989844E-14</v>
      </c>
      <c r="ST9">
        <v>-2.4245362661989844E-14</v>
      </c>
      <c r="SU9" t="s">
        <v>1814</v>
      </c>
      <c r="SV9">
        <v>2021</v>
      </c>
      <c r="SW9" t="s">
        <v>2043</v>
      </c>
      <c r="SX9" s="6">
        <v>44693</v>
      </c>
      <c r="SY9">
        <v>5</v>
      </c>
      <c r="SZ9">
        <v>-2.4245362661989844E-14</v>
      </c>
      <c r="TA9">
        <v>100060</v>
      </c>
      <c r="TB9" t="s">
        <v>2044</v>
      </c>
      <c r="TE9" t="s">
        <v>3582</v>
      </c>
      <c r="TF9">
        <v>3.0128689999999998</v>
      </c>
      <c r="TG9" t="s">
        <v>1822</v>
      </c>
      <c r="TH9">
        <v>1.278429</v>
      </c>
      <c r="TI9" t="s">
        <v>1823</v>
      </c>
      <c r="TJ9">
        <v>2025</v>
      </c>
      <c r="TK9" t="s">
        <v>3583</v>
      </c>
      <c r="TL9" s="6">
        <v>45917</v>
      </c>
      <c r="TM9">
        <v>5</v>
      </c>
      <c r="TN9">
        <v>35792880</v>
      </c>
      <c r="TO9">
        <v>126788</v>
      </c>
      <c r="TP9" t="s">
        <v>3584</v>
      </c>
      <c r="VM9" t="s">
        <v>2535</v>
      </c>
      <c r="VN9">
        <v>-2.4245362661989844E-14</v>
      </c>
      <c r="VP9">
        <v>-2.4245362661989844E-14</v>
      </c>
      <c r="VQ9" t="s">
        <v>1814</v>
      </c>
      <c r="VR9">
        <v>2024</v>
      </c>
      <c r="VS9" t="s">
        <v>2536</v>
      </c>
      <c r="VT9" s="6">
        <v>45730</v>
      </c>
      <c r="VU9">
        <v>5</v>
      </c>
      <c r="VV9">
        <v>-2.4245362661989844E-14</v>
      </c>
      <c r="VW9">
        <v>11486695</v>
      </c>
      <c r="VX9" t="s">
        <v>2537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1235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1236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1237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1238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1239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1240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1241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1242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1243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1244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1245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1246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1247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1248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1249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1250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1251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1252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1253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1254</v>
      </c>
      <c r="AE2" s="3" t="s">
        <v>1255</v>
      </c>
      <c r="BI2" s="3" t="s">
        <v>1256</v>
      </c>
      <c r="CM2" s="3" t="s">
        <v>75</v>
      </c>
      <c r="DQ2" s="3" t="s">
        <v>1257</v>
      </c>
      <c r="EU2" s="3" t="s">
        <v>212</v>
      </c>
      <c r="FY2" s="3" t="s">
        <v>1258</v>
      </c>
      <c r="HC2" s="3" t="s">
        <v>1259</v>
      </c>
      <c r="IG2" s="3" t="s">
        <v>980</v>
      </c>
      <c r="JK2" s="3" t="s">
        <v>1260</v>
      </c>
      <c r="KO2" s="3" t="s">
        <v>1261</v>
      </c>
      <c r="LS2" s="3" t="s">
        <v>1262</v>
      </c>
      <c r="MW2" s="3" t="s">
        <v>977</v>
      </c>
      <c r="OA2" s="3" t="s">
        <v>977</v>
      </c>
      <c r="PE2" s="3" t="s">
        <v>1263</v>
      </c>
      <c r="QI2" s="3" t="s">
        <v>1264</v>
      </c>
      <c r="RM2" s="3" t="s">
        <v>1265</v>
      </c>
      <c r="SQ2" s="3" t="s">
        <v>1266</v>
      </c>
      <c r="TU2" s="3" t="s">
        <v>538</v>
      </c>
      <c r="UY2" s="3" t="s">
        <v>1267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_xll.BDS("ALB US Equity","SUPPLY_CHAIN_SUPPLIERS_ALL_DATA","cols=12;rows=5")</f>
        <v>002466 CH Equity</v>
      </c>
      <c r="B5" t="s">
        <v>1822</v>
      </c>
      <c r="C5">
        <v>33.950001</v>
      </c>
      <c r="D5">
        <v>11.589318</v>
      </c>
      <c r="E5" t="s">
        <v>1814</v>
      </c>
      <c r="F5">
        <v>2024</v>
      </c>
      <c r="G5" t="s">
        <v>3061</v>
      </c>
      <c r="H5" s="6">
        <v>45742</v>
      </c>
      <c r="I5">
        <v>5</v>
      </c>
      <c r="J5">
        <v>154004380.34999999</v>
      </c>
      <c r="K5">
        <v>18495257</v>
      </c>
      <c r="L5" t="s">
        <v>3062</v>
      </c>
      <c r="O5" t="str">
        <f>_xll.BDS("ALB US Equity","SUPPLY_CHAIN_CUSTOMERS_ALL_DATA","cols=12;rows=5")</f>
        <v>UMI BB Equity</v>
      </c>
      <c r="P5">
        <v>7.3872879999999999</v>
      </c>
      <c r="Q5" t="s">
        <v>1822</v>
      </c>
      <c r="R5">
        <v>1.9978260000000001</v>
      </c>
      <c r="S5" t="s">
        <v>1806</v>
      </c>
      <c r="T5">
        <v>2025</v>
      </c>
      <c r="U5" t="s">
        <v>2920</v>
      </c>
      <c r="V5" s="6">
        <v>45779</v>
      </c>
      <c r="W5">
        <v>5</v>
      </c>
      <c r="X5">
        <v>79552304</v>
      </c>
      <c r="Y5">
        <v>118955</v>
      </c>
      <c r="Z5" t="s">
        <v>2921</v>
      </c>
      <c r="AE5" t="str">
        <f>_xll.BDS("BAGL US Equity","SUPPLY_CHAIN_SUPPLIERS_ALL_DATA","cols=12;rows=1")</f>
        <v>ENGI FP Equity</v>
      </c>
      <c r="AG5">
        <v>-2.4245362661989844E-14</v>
      </c>
      <c r="AH5">
        <v>-2.4245362661989844E-14</v>
      </c>
      <c r="AI5" t="s">
        <v>1814</v>
      </c>
      <c r="AJ5">
        <v>2025</v>
      </c>
      <c r="AK5" t="s">
        <v>2963</v>
      </c>
      <c r="AL5" s="6">
        <v>45733</v>
      </c>
      <c r="AM5">
        <v>1</v>
      </c>
      <c r="AN5">
        <v>-2.4245362661989844E-14</v>
      </c>
      <c r="AO5">
        <v>156070</v>
      </c>
      <c r="AP5" t="s">
        <v>2964</v>
      </c>
      <c r="AS5" t="str">
        <f>_xll.BDS("BAGL US Equity","SUPPLY_CHAIN_CUSTOMERS_ALL_DATA","cols=12;rows=1")</f>
        <v>BGS US Equity</v>
      </c>
      <c r="AT5">
        <v>-2.4245362661989844E-14</v>
      </c>
      <c r="AV5">
        <v>-2.4245362661989844E-14</v>
      </c>
      <c r="AW5" t="s">
        <v>1814</v>
      </c>
      <c r="AX5">
        <v>2025</v>
      </c>
      <c r="AY5" t="s">
        <v>2996</v>
      </c>
      <c r="AZ5" s="6">
        <v>46084</v>
      </c>
      <c r="BA5">
        <v>1</v>
      </c>
      <c r="BB5">
        <v>-2.4245362661989844E-14</v>
      </c>
      <c r="BC5">
        <v>8677282</v>
      </c>
      <c r="BD5" t="s">
        <v>2997</v>
      </c>
      <c r="BI5" t="str">
        <f>_xll.BDS("RVLT US Equity","SUPPLY_CHAIN_SUPPLIERS_ALL_DATA")</f>
        <v>#N/A N/A</v>
      </c>
      <c r="BW5" t="str">
        <f>_xll.BDS("RVLT US Equity","SUPPLY_CHAIN_CUSTOMERS_ALL_DATA")</f>
        <v>#N/A N/A</v>
      </c>
      <c r="CM5" t="str">
        <f>_xll.BDS("OLBK US Equity","SUPPLY_CHAIN_SUPPLIERS_ALL_DATA")</f>
        <v>#N/A N/A</v>
      </c>
      <c r="DA5" t="str">
        <f>_xll.BDS("OLBK US Equity","SUPPLY_CHAIN_CUSTOMERS_ALL_DATA")</f>
        <v>#N/A N/A</v>
      </c>
      <c r="DQ5" t="str">
        <f>_xll.BDS("BRC US Equity","SUPPLY_CHAIN_SUPPLIERS_ALL_DATA","cols=12;rows=5")</f>
        <v>1882228D US Equity</v>
      </c>
      <c r="DS5">
        <v>-2.4245362661989844E-14</v>
      </c>
      <c r="DT5">
        <v>-2.4245362661989844E-14</v>
      </c>
      <c r="DU5" t="s">
        <v>1814</v>
      </c>
      <c r="DV5">
        <v>2023</v>
      </c>
      <c r="DW5" t="s">
        <v>3807</v>
      </c>
      <c r="DX5" s="6">
        <v>45225</v>
      </c>
      <c r="DY5">
        <v>5</v>
      </c>
      <c r="DZ5">
        <v>-2.4245362661989844E-14</v>
      </c>
      <c r="EA5">
        <v>69544106</v>
      </c>
      <c r="EB5" t="s">
        <v>3808</v>
      </c>
      <c r="EE5" t="str">
        <f>_xll.BDS("BRC US Equity","SUPPLY_CHAIN_CUSTOMERS_ALL_DATA","cols=12;rows=5")</f>
        <v>SNX US Equity</v>
      </c>
      <c r="EF5">
        <v>0.78532500000000005</v>
      </c>
      <c r="EG5" t="s">
        <v>1822</v>
      </c>
      <c r="EH5">
        <v>1.9665999999999999E-2</v>
      </c>
      <c r="EI5" t="s">
        <v>1827</v>
      </c>
      <c r="EJ5">
        <v>2025</v>
      </c>
      <c r="EK5" t="s">
        <v>1850</v>
      </c>
      <c r="EL5" s="6">
        <v>46056</v>
      </c>
      <c r="EM5">
        <v>5</v>
      </c>
      <c r="EN5">
        <v>3182822</v>
      </c>
      <c r="EO5">
        <v>1499717</v>
      </c>
      <c r="EP5" t="s">
        <v>1851</v>
      </c>
      <c r="EU5" t="str">
        <f>_xll.BDS("CICN US Equity","SUPPLY_CHAIN_SUPPLIERS_ALL_DATA")</f>
        <v>#N/A N/A</v>
      </c>
      <c r="FI5" t="str">
        <f>_xll.BDS("CICN US Equity","SUPPLY_CHAIN_CUSTOMERS_ALL_DATA")</f>
        <v>#N/A N/A</v>
      </c>
      <c r="FY5" t="str">
        <f>_xll.BDS("VBFC US Equity","SUPPLY_CHAIN_SUPPLIERS_ALL_DATA")</f>
        <v>#N/A N/A</v>
      </c>
      <c r="GM5" t="str">
        <f>_xll.BDS("VBFC US Equity","SUPPLY_CHAIN_CUSTOMERS_ALL_DATA")</f>
        <v>#N/A N/A</v>
      </c>
      <c r="HC5" t="str">
        <f>_xll.BDS("CERN US Equity","SUPPLY_CHAIN_SUPPLIERS_ALL_DATA","cols=12;rows=5")</f>
        <v>3611 TT Equity</v>
      </c>
      <c r="HE5">
        <v>-2.4245362661989844E-14</v>
      </c>
      <c r="HF5">
        <v>-2.4245362661989844E-14</v>
      </c>
      <c r="HG5" t="s">
        <v>1814</v>
      </c>
      <c r="HH5">
        <v>2021</v>
      </c>
      <c r="HI5" t="s">
        <v>2831</v>
      </c>
      <c r="HJ5" s="6">
        <v>44707</v>
      </c>
      <c r="HK5">
        <v>5</v>
      </c>
      <c r="HL5">
        <v>-2.4245362661989844E-14</v>
      </c>
      <c r="HM5">
        <v>15343235</v>
      </c>
      <c r="HN5" t="s">
        <v>2832</v>
      </c>
      <c r="HQ5" t="str">
        <f>_xll.BDS("CERN US Equity","SUPPLY_CHAIN_CUSTOMERS_ALL_DATA","cols=12;rows=5")</f>
        <v>0522255D US Equity</v>
      </c>
      <c r="HR5">
        <v>-2.4245362661989844E-14</v>
      </c>
      <c r="HT5">
        <v>-2.4245362661989844E-14</v>
      </c>
      <c r="HU5" t="s">
        <v>1814</v>
      </c>
      <c r="HV5">
        <v>2022</v>
      </c>
      <c r="HW5" t="s">
        <v>2812</v>
      </c>
      <c r="HX5" s="6">
        <v>44712</v>
      </c>
      <c r="HY5">
        <v>5</v>
      </c>
      <c r="HZ5">
        <v>-2.4245362661989844E-14</v>
      </c>
      <c r="IA5">
        <v>31511335</v>
      </c>
      <c r="IB5" t="s">
        <v>2813</v>
      </c>
      <c r="IG5" t="str">
        <f>_xll.BDS("CWBC US Equity","SUPPLY_CHAIN_SUPPLIERS_ALL_DATA")</f>
        <v>#N/A N/A</v>
      </c>
      <c r="IU5" t="str">
        <f>_xll.BDS("CWBC US Equity","SUPPLY_CHAIN_CUSTOMERS_ALL_DATA")</f>
        <v>#N/A N/A</v>
      </c>
      <c r="JK5" t="str">
        <f>_xll.BDS("HIND US Equity","SUPPLY_CHAIN_SUPPLIERS_ALL_DATA","cols=12;rows=1")</f>
        <v>2327198D IT Equity</v>
      </c>
      <c r="JM5">
        <v>-2.4245362661989844E-14</v>
      </c>
      <c r="JN5">
        <v>-2.4245362661989844E-14</v>
      </c>
      <c r="JO5" t="s">
        <v>1814</v>
      </c>
      <c r="JP5">
        <v>2025</v>
      </c>
      <c r="JQ5" t="s">
        <v>2842</v>
      </c>
      <c r="JR5" s="6">
        <v>45756</v>
      </c>
      <c r="JS5">
        <v>1</v>
      </c>
      <c r="JT5">
        <v>-2.4245362661989844E-14</v>
      </c>
      <c r="JU5">
        <v>71379097</v>
      </c>
      <c r="JV5" t="s">
        <v>2843</v>
      </c>
      <c r="JY5" t="str">
        <f>_xll.BDS("HIND US Equity","SUPPLY_CHAIN_CUSTOMERS_ALL_DATA")</f>
        <v>#N/A N/A</v>
      </c>
      <c r="KO5" t="str">
        <f>_xll.BDS("PABK US Equity","SUPPLY_CHAIN_SUPPLIERS_ALL_DATA")</f>
        <v>#N/A N/A</v>
      </c>
      <c r="LC5" t="str">
        <f>_xll.BDS("PABK US Equity","SUPPLY_CHAIN_CUSTOMERS_ALL_DATA")</f>
        <v>#N/A N/A</v>
      </c>
      <c r="LS5" t="str">
        <f>_xll.BDS("BCML US Equity","SUPPLY_CHAIN_SUPPLIERS_ALL_DATA")</f>
        <v>#N/A N/A</v>
      </c>
      <c r="MG5" t="str">
        <f>_xll.BDS("BCML US Equity","SUPPLY_CHAIN_CUSTOMERS_ALL_DATA")</f>
        <v>#N/A N/A</v>
      </c>
      <c r="MW5" t="str">
        <f>_xll.BDS("696119Q US Equity","SUPPLY_CHAIN_SUPPLIERS_ALL_DATA")</f>
        <v>#N/A N/A</v>
      </c>
      <c r="NK5" t="str">
        <f>_xll.BDS("696119Q US Equity","SUPPLY_CHAIN_CUSTOMERS_ALL_DATA")</f>
        <v>#N/A N/A</v>
      </c>
      <c r="OA5" t="str">
        <f>_xll.BDS("696119Q US Equity","SUPPLY_CHAIN_SUPPLIERS_ALL_DATA")</f>
        <v>#N/A N/A</v>
      </c>
      <c r="OO5" t="str">
        <f>_xll.BDS("696119Q US Equity","SUPPLY_CHAIN_CUSTOMERS_ALL_DATA")</f>
        <v>#N/A N/A</v>
      </c>
      <c r="PE5" t="str">
        <f>_xll.BDS("1920486D US Equity","SUPPLY_CHAIN_SUPPLIERS_ALL_DATA")</f>
        <v>#N/A N/A</v>
      </c>
      <c r="PS5" t="str">
        <f>_xll.BDS("1920486D US Equity","SUPPLY_CHAIN_CUSTOMERS_ALL_DATA")</f>
        <v>#N/A N/A</v>
      </c>
      <c r="QI5" t="str">
        <f>_xll.BDS("AMCS US Equity","SUPPLY_CHAIN_SUPPLIERS_ALL_DATA")</f>
        <v>#N/A N/A</v>
      </c>
      <c r="QW5" t="str">
        <f>_xll.BDS("AMCS US Equity","SUPPLY_CHAIN_CUSTOMERS_ALL_DATA")</f>
        <v>#N/A N/A</v>
      </c>
      <c r="RM5" t="str">
        <f>_xll.BDS("PGEN US Equity","SUPPLY_CHAIN_SUPPLIERS_ALL_DATA","cols=12;rows=1")</f>
        <v>COR US Equity</v>
      </c>
      <c r="RO5">
        <v>-2.4245362661989844E-14</v>
      </c>
      <c r="RP5">
        <v>-2.4245362661989844E-14</v>
      </c>
      <c r="RQ5" t="s">
        <v>1814</v>
      </c>
      <c r="RR5">
        <v>2025</v>
      </c>
      <c r="RS5" t="s">
        <v>3195</v>
      </c>
      <c r="RT5" s="6">
        <v>45925</v>
      </c>
      <c r="RU5">
        <v>1</v>
      </c>
      <c r="RV5">
        <v>-2.4245362661989844E-14</v>
      </c>
      <c r="RW5">
        <v>156969</v>
      </c>
      <c r="RX5" t="s">
        <v>1874</v>
      </c>
      <c r="SA5" t="str">
        <f>_xll.BDS("PGEN US Equity","SUPPLY_CHAIN_CUSTOMERS_ALL_DATA","cols=12;rows=2")</f>
        <v>OGEN US Equity</v>
      </c>
      <c r="SB5">
        <v>-2.4245362661989844E-14</v>
      </c>
      <c r="SD5">
        <v>-2.4245362661989844E-14</v>
      </c>
      <c r="SE5" t="s">
        <v>1814</v>
      </c>
      <c r="SF5">
        <v>2022</v>
      </c>
      <c r="SG5" t="s">
        <v>2915</v>
      </c>
      <c r="SH5" s="6">
        <v>45033</v>
      </c>
      <c r="SI5">
        <v>2</v>
      </c>
      <c r="SJ5">
        <v>-2.4245362661989844E-14</v>
      </c>
      <c r="SK5">
        <v>8117246</v>
      </c>
      <c r="SL5" t="s">
        <v>2916</v>
      </c>
      <c r="SQ5" t="str">
        <f>_xll.BDS("LCNB US Equity","SUPPLY_CHAIN_SUPPLIERS_ALL_DATA")</f>
        <v>#N/A N/A</v>
      </c>
      <c r="TE5" t="str">
        <f>_xll.BDS("LCNB US Equity","SUPPLY_CHAIN_CUSTOMERS_ALL_DATA")</f>
        <v>#N/A N/A</v>
      </c>
      <c r="TU5" t="str">
        <f>_xll.BDS("2860436Q US Equity","SUPPLY_CHAIN_SUPPLIERS_ALL_DATA")</f>
        <v>#N/A N/A</v>
      </c>
      <c r="UI5" t="str">
        <f>_xll.BDS("2860436Q US Equity","SUPPLY_CHAIN_CUSTOMERS_ALL_DATA")</f>
        <v>#N/A N/A</v>
      </c>
      <c r="UY5" t="str">
        <f>_xll.BDS("235982Q US Equity","SUPPLY_CHAIN_SUPPLIERS_ALL_DATA")</f>
        <v>#N/A N/A</v>
      </c>
      <c r="VM5" t="str">
        <f>_xll.BDS("235982Q US Equity","SUPPLY_CHAIN_CUSTOMERS_ALL_DATA")</f>
        <v>#N/A N/A</v>
      </c>
    </row>
    <row r="6" spans="1:600" x14ac:dyDescent="0.25">
      <c r="A6" t="s">
        <v>3063</v>
      </c>
      <c r="B6" t="s">
        <v>1822</v>
      </c>
      <c r="C6">
        <v>1.854174</v>
      </c>
      <c r="D6">
        <v>0.32059199999999999</v>
      </c>
      <c r="E6" t="s">
        <v>1814</v>
      </c>
      <c r="F6">
        <v>2024</v>
      </c>
      <c r="G6" t="s">
        <v>3064</v>
      </c>
      <c r="H6" s="6">
        <v>45742</v>
      </c>
      <c r="I6">
        <v>5</v>
      </c>
      <c r="J6">
        <v>4259736.5199999996</v>
      </c>
      <c r="K6">
        <v>182966</v>
      </c>
      <c r="L6" t="s">
        <v>3065</v>
      </c>
      <c r="O6" t="s">
        <v>2922</v>
      </c>
      <c r="P6">
        <v>2.0472709999999998</v>
      </c>
      <c r="Q6" t="s">
        <v>1822</v>
      </c>
      <c r="R6">
        <v>3.2344999999999999E-2</v>
      </c>
      <c r="S6" t="s">
        <v>1806</v>
      </c>
      <c r="T6">
        <v>2025</v>
      </c>
      <c r="U6" t="s">
        <v>2920</v>
      </c>
      <c r="V6" s="6">
        <v>45779</v>
      </c>
      <c r="W6">
        <v>5</v>
      </c>
      <c r="X6">
        <v>22046672</v>
      </c>
      <c r="Y6">
        <v>115757</v>
      </c>
      <c r="Z6" t="s">
        <v>2923</v>
      </c>
      <c r="DQ6" t="s">
        <v>2269</v>
      </c>
      <c r="DS6">
        <v>-2.4245362661989844E-14</v>
      </c>
      <c r="DT6">
        <v>-2.4245362661989844E-14</v>
      </c>
      <c r="DU6" t="s">
        <v>1814</v>
      </c>
      <c r="DV6">
        <v>2022</v>
      </c>
      <c r="DW6" t="s">
        <v>2270</v>
      </c>
      <c r="DX6" s="6">
        <v>44693</v>
      </c>
      <c r="DY6">
        <v>5</v>
      </c>
      <c r="DZ6">
        <v>-2.4245362661989844E-14</v>
      </c>
      <c r="EA6">
        <v>114991</v>
      </c>
      <c r="EB6" t="s">
        <v>2271</v>
      </c>
      <c r="EE6" t="s">
        <v>1840</v>
      </c>
      <c r="EF6">
        <v>0.59423099999999995</v>
      </c>
      <c r="EG6" t="s">
        <v>1822</v>
      </c>
      <c r="EH6">
        <v>5.5766000000000003E-2</v>
      </c>
      <c r="EI6" t="s">
        <v>1806</v>
      </c>
      <c r="EJ6">
        <v>2025</v>
      </c>
      <c r="EK6" t="s">
        <v>1841</v>
      </c>
      <c r="EL6" s="6">
        <v>45820</v>
      </c>
      <c r="EM6">
        <v>5</v>
      </c>
      <c r="EN6">
        <v>2273468</v>
      </c>
      <c r="EO6">
        <v>12129192</v>
      </c>
      <c r="EP6" t="s">
        <v>1842</v>
      </c>
      <c r="HC6" t="s">
        <v>2833</v>
      </c>
      <c r="HE6">
        <v>-2.4245362661989844E-14</v>
      </c>
      <c r="HF6">
        <v>-2.4245362661989844E-14</v>
      </c>
      <c r="HG6" t="s">
        <v>1814</v>
      </c>
      <c r="HH6">
        <v>2022</v>
      </c>
      <c r="HI6" t="s">
        <v>2834</v>
      </c>
      <c r="HJ6" s="6">
        <v>44698</v>
      </c>
      <c r="HK6">
        <v>5</v>
      </c>
      <c r="HL6">
        <v>-2.4245362661989844E-14</v>
      </c>
      <c r="HM6">
        <v>23597214</v>
      </c>
      <c r="HN6" t="s">
        <v>2835</v>
      </c>
      <c r="HQ6" t="s">
        <v>2814</v>
      </c>
      <c r="HR6">
        <v>-2.4245362661989844E-14</v>
      </c>
      <c r="HT6">
        <v>-2.4245362661989844E-14</v>
      </c>
      <c r="HU6" t="s">
        <v>1814</v>
      </c>
      <c r="HV6">
        <v>2022</v>
      </c>
      <c r="HW6" t="s">
        <v>2812</v>
      </c>
      <c r="HX6" s="6">
        <v>44712</v>
      </c>
      <c r="HY6">
        <v>5</v>
      </c>
      <c r="HZ6">
        <v>-2.4245362661989844E-14</v>
      </c>
      <c r="IA6">
        <v>8548296</v>
      </c>
      <c r="IB6" t="s">
        <v>2815</v>
      </c>
      <c r="SA6" t="s">
        <v>2917</v>
      </c>
      <c r="SB6">
        <v>-2.4245362661989844E-14</v>
      </c>
      <c r="SD6">
        <v>-2.4245362661989844E-14</v>
      </c>
      <c r="SE6" t="s">
        <v>1814</v>
      </c>
      <c r="SF6">
        <v>2024</v>
      </c>
      <c r="SG6" t="s">
        <v>2918</v>
      </c>
      <c r="SH6" s="6">
        <v>45747</v>
      </c>
      <c r="SI6">
        <v>2</v>
      </c>
      <c r="SJ6">
        <v>-2.4245362661989844E-14</v>
      </c>
      <c r="SK6">
        <v>1747363</v>
      </c>
      <c r="SL6" t="s">
        <v>2919</v>
      </c>
    </row>
    <row r="7" spans="1:600" x14ac:dyDescent="0.25">
      <c r="A7" t="s">
        <v>3066</v>
      </c>
      <c r="B7" t="s">
        <v>1893</v>
      </c>
      <c r="C7">
        <v>0.77098500000000003</v>
      </c>
      <c r="D7">
        <v>1.129926</v>
      </c>
      <c r="E7" t="s">
        <v>1814</v>
      </c>
      <c r="F7">
        <v>2025</v>
      </c>
      <c r="G7" t="s">
        <v>3067</v>
      </c>
      <c r="H7" s="6">
        <v>46063</v>
      </c>
      <c r="I7">
        <v>5</v>
      </c>
      <c r="J7">
        <v>1553750</v>
      </c>
      <c r="K7">
        <v>143096</v>
      </c>
      <c r="L7" t="s">
        <v>3068</v>
      </c>
      <c r="O7" t="s">
        <v>2924</v>
      </c>
      <c r="P7">
        <v>1.4654</v>
      </c>
      <c r="Q7" t="s">
        <v>1822</v>
      </c>
      <c r="R7">
        <v>3.7242999999999998E-2</v>
      </c>
      <c r="S7" t="s">
        <v>1806</v>
      </c>
      <c r="T7">
        <v>2025</v>
      </c>
      <c r="U7" t="s">
        <v>2920</v>
      </c>
      <c r="V7" s="6">
        <v>45779</v>
      </c>
      <c r="W7">
        <v>5</v>
      </c>
      <c r="X7">
        <v>15780614</v>
      </c>
      <c r="Y7">
        <v>100602</v>
      </c>
      <c r="Z7" t="s">
        <v>2925</v>
      </c>
      <c r="DQ7" t="s">
        <v>2063</v>
      </c>
      <c r="DS7">
        <v>-2.4245362661989844E-14</v>
      </c>
      <c r="DT7">
        <v>-2.4245362661989844E-14</v>
      </c>
      <c r="DU7" t="s">
        <v>1814</v>
      </c>
      <c r="DV7">
        <v>2022</v>
      </c>
      <c r="DW7" t="s">
        <v>3807</v>
      </c>
      <c r="DX7" s="6">
        <v>44645</v>
      </c>
      <c r="DY7">
        <v>5</v>
      </c>
      <c r="DZ7">
        <v>-2.4245362661989844E-14</v>
      </c>
      <c r="EA7">
        <v>100043</v>
      </c>
      <c r="EB7" t="s">
        <v>2064</v>
      </c>
      <c r="EE7" t="s">
        <v>2025</v>
      </c>
      <c r="EF7">
        <v>0.31648399999999999</v>
      </c>
      <c r="EG7" t="s">
        <v>1822</v>
      </c>
      <c r="EH7">
        <v>1.8689000000000001E-2</v>
      </c>
      <c r="EI7" t="s">
        <v>1806</v>
      </c>
      <c r="EJ7">
        <v>2025</v>
      </c>
      <c r="EK7" t="s">
        <v>2026</v>
      </c>
      <c r="EL7" s="6">
        <v>45784</v>
      </c>
      <c r="EM7">
        <v>5</v>
      </c>
      <c r="EN7">
        <v>1128820</v>
      </c>
      <c r="EO7">
        <v>100115</v>
      </c>
      <c r="EP7" t="s">
        <v>2027</v>
      </c>
      <c r="HC7" t="s">
        <v>2836</v>
      </c>
      <c r="HE7">
        <v>-2.4245362661989844E-14</v>
      </c>
      <c r="HF7">
        <v>-2.4245362661989844E-14</v>
      </c>
      <c r="HG7" t="s">
        <v>1806</v>
      </c>
      <c r="HH7">
        <v>2022</v>
      </c>
      <c r="HI7" t="s">
        <v>2837</v>
      </c>
      <c r="HJ7" s="6">
        <v>44714</v>
      </c>
      <c r="HK7">
        <v>5</v>
      </c>
      <c r="HL7">
        <v>-2.4245362661989844E-14</v>
      </c>
      <c r="HM7">
        <v>117288</v>
      </c>
      <c r="HN7" t="s">
        <v>2838</v>
      </c>
      <c r="HQ7" t="s">
        <v>2816</v>
      </c>
      <c r="HR7">
        <v>-2.4245362661989844E-14</v>
      </c>
      <c r="HT7">
        <v>-2.4245362661989844E-14</v>
      </c>
      <c r="HU7" t="s">
        <v>1814</v>
      </c>
      <c r="HV7">
        <v>2022</v>
      </c>
      <c r="HW7" t="s">
        <v>2812</v>
      </c>
      <c r="HX7" s="6">
        <v>44712</v>
      </c>
      <c r="HY7">
        <v>5</v>
      </c>
      <c r="HZ7">
        <v>-2.4245362661989844E-14</v>
      </c>
      <c r="IA7">
        <v>960445</v>
      </c>
      <c r="IB7" t="s">
        <v>2817</v>
      </c>
    </row>
    <row r="8" spans="1:600" x14ac:dyDescent="0.25">
      <c r="A8" t="s">
        <v>3069</v>
      </c>
      <c r="B8" t="s">
        <v>1822</v>
      </c>
      <c r="C8">
        <v>0.132216</v>
      </c>
      <c r="D8">
        <v>2.3352000000000001E-2</v>
      </c>
      <c r="E8" t="s">
        <v>1823</v>
      </c>
      <c r="F8">
        <v>2025</v>
      </c>
      <c r="G8" t="s">
        <v>3070</v>
      </c>
      <c r="H8" s="6">
        <v>45919</v>
      </c>
      <c r="I8">
        <v>5</v>
      </c>
      <c r="J8">
        <v>264601</v>
      </c>
      <c r="K8">
        <v>54027962</v>
      </c>
      <c r="L8" t="s">
        <v>3071</v>
      </c>
      <c r="O8" t="s">
        <v>2061</v>
      </c>
      <c r="P8">
        <v>1.268716</v>
      </c>
      <c r="Q8" t="s">
        <v>1822</v>
      </c>
      <c r="R8">
        <v>3.6177000000000001E-2</v>
      </c>
      <c r="S8" t="s">
        <v>1806</v>
      </c>
      <c r="T8">
        <v>2025</v>
      </c>
      <c r="U8" t="s">
        <v>2920</v>
      </c>
      <c r="V8" s="6">
        <v>45779</v>
      </c>
      <c r="W8">
        <v>5</v>
      </c>
      <c r="X8">
        <v>13662562</v>
      </c>
      <c r="Y8">
        <v>16632863</v>
      </c>
      <c r="Z8" t="s">
        <v>2062</v>
      </c>
      <c r="DQ8" t="s">
        <v>2158</v>
      </c>
      <c r="DS8">
        <v>-2.4245362661989844E-14</v>
      </c>
      <c r="DT8">
        <v>-2.4245362661989844E-14</v>
      </c>
      <c r="DU8" t="s">
        <v>1810</v>
      </c>
      <c r="DV8">
        <v>2022</v>
      </c>
      <c r="DW8" t="s">
        <v>2159</v>
      </c>
      <c r="DX8" s="6">
        <v>44882</v>
      </c>
      <c r="DY8">
        <v>5</v>
      </c>
      <c r="DZ8">
        <v>-2.4245362661989844E-14</v>
      </c>
      <c r="EA8">
        <v>225752</v>
      </c>
      <c r="EB8" t="s">
        <v>2160</v>
      </c>
      <c r="EE8" t="s">
        <v>2085</v>
      </c>
      <c r="EF8">
        <v>0.120146</v>
      </c>
      <c r="EG8" t="s">
        <v>1822</v>
      </c>
      <c r="EH8">
        <v>8.5363999999999995E-2</v>
      </c>
      <c r="EI8" t="s">
        <v>1810</v>
      </c>
      <c r="EJ8">
        <v>2025</v>
      </c>
      <c r="EK8" t="s">
        <v>2768</v>
      </c>
      <c r="EL8" s="6">
        <v>46034</v>
      </c>
      <c r="EM8">
        <v>5</v>
      </c>
      <c r="EN8">
        <v>486936</v>
      </c>
      <c r="EO8">
        <v>313021</v>
      </c>
      <c r="EP8" t="s">
        <v>2087</v>
      </c>
      <c r="HC8" t="s">
        <v>2839</v>
      </c>
      <c r="HE8">
        <v>-2.4245362661989844E-14</v>
      </c>
      <c r="HF8">
        <v>-2.4245362661989844E-14</v>
      </c>
      <c r="HG8" t="s">
        <v>1814</v>
      </c>
      <c r="HH8">
        <v>2022</v>
      </c>
      <c r="HI8" t="s">
        <v>2840</v>
      </c>
      <c r="HJ8" s="6">
        <v>44679</v>
      </c>
      <c r="HK8">
        <v>5</v>
      </c>
      <c r="HL8">
        <v>-2.4245362661989844E-14</v>
      </c>
      <c r="HM8">
        <v>63052670</v>
      </c>
      <c r="HN8" t="s">
        <v>2841</v>
      </c>
      <c r="HQ8" t="s">
        <v>2818</v>
      </c>
      <c r="HR8">
        <v>-2.4245362661989844E-14</v>
      </c>
      <c r="HT8">
        <v>-2.4245362661989844E-14</v>
      </c>
      <c r="HU8" t="s">
        <v>1814</v>
      </c>
      <c r="HV8">
        <v>2022</v>
      </c>
      <c r="HW8" t="s">
        <v>2812</v>
      </c>
      <c r="HX8" s="6">
        <v>44712</v>
      </c>
      <c r="HY8">
        <v>5</v>
      </c>
      <c r="HZ8">
        <v>-2.4245362661989844E-14</v>
      </c>
      <c r="IA8">
        <v>34652516</v>
      </c>
      <c r="IB8" t="s">
        <v>2819</v>
      </c>
    </row>
    <row r="9" spans="1:600" x14ac:dyDescent="0.25">
      <c r="A9" t="s">
        <v>3072</v>
      </c>
      <c r="C9">
        <v>-2.4245362661989844E-14</v>
      </c>
      <c r="D9">
        <v>-2.4245362661989844E-14</v>
      </c>
      <c r="E9" t="s">
        <v>1814</v>
      </c>
      <c r="F9">
        <v>2021</v>
      </c>
      <c r="G9" t="s">
        <v>3073</v>
      </c>
      <c r="H9" s="6">
        <v>44693</v>
      </c>
      <c r="I9">
        <v>5</v>
      </c>
      <c r="J9">
        <v>-2.4245362661989844E-14</v>
      </c>
      <c r="K9">
        <v>101370</v>
      </c>
      <c r="L9" t="s">
        <v>3074</v>
      </c>
      <c r="O9" t="s">
        <v>2926</v>
      </c>
      <c r="P9">
        <v>0.93486800000000003</v>
      </c>
      <c r="Q9" t="s">
        <v>1822</v>
      </c>
      <c r="R9">
        <v>3.0459E-2</v>
      </c>
      <c r="S9" t="s">
        <v>1806</v>
      </c>
      <c r="T9">
        <v>2025</v>
      </c>
      <c r="U9" t="s">
        <v>2920</v>
      </c>
      <c r="V9" s="6">
        <v>45779</v>
      </c>
      <c r="W9">
        <v>5</v>
      </c>
      <c r="X9">
        <v>10067416</v>
      </c>
      <c r="Y9">
        <v>115682</v>
      </c>
      <c r="Z9" t="s">
        <v>2927</v>
      </c>
      <c r="DQ9" t="s">
        <v>3809</v>
      </c>
      <c r="DS9">
        <v>-2.4245362661989844E-14</v>
      </c>
      <c r="DT9">
        <v>-2.4245362661989844E-14</v>
      </c>
      <c r="DU9" t="s">
        <v>1810</v>
      </c>
      <c r="DV9">
        <v>2023</v>
      </c>
      <c r="DW9" t="s">
        <v>3810</v>
      </c>
      <c r="DX9" s="6">
        <v>45271</v>
      </c>
      <c r="DY9">
        <v>5</v>
      </c>
      <c r="DZ9">
        <v>-2.4245362661989844E-14</v>
      </c>
      <c r="EA9">
        <v>110493</v>
      </c>
      <c r="EB9" t="s">
        <v>3811</v>
      </c>
      <c r="EE9" t="s">
        <v>2575</v>
      </c>
      <c r="EF9">
        <v>5.9346999999999997E-2</v>
      </c>
      <c r="EG9" t="s">
        <v>1822</v>
      </c>
      <c r="EH9">
        <v>3.7552000000000002E-2</v>
      </c>
      <c r="EI9" t="s">
        <v>1810</v>
      </c>
      <c r="EJ9">
        <v>2025</v>
      </c>
      <c r="EK9" t="s">
        <v>2576</v>
      </c>
      <c r="EL9" s="6">
        <v>45840</v>
      </c>
      <c r="EM9">
        <v>5</v>
      </c>
      <c r="EN9">
        <v>227056</v>
      </c>
      <c r="EO9">
        <v>136424</v>
      </c>
      <c r="EP9" t="s">
        <v>2577</v>
      </c>
      <c r="HC9" t="s">
        <v>2652</v>
      </c>
      <c r="HE9">
        <v>-2.4245362661989844E-14</v>
      </c>
      <c r="HF9">
        <v>-2.4245362661989844E-14</v>
      </c>
      <c r="HG9" t="s">
        <v>1814</v>
      </c>
      <c r="HH9">
        <v>2021</v>
      </c>
      <c r="HI9" t="s">
        <v>2653</v>
      </c>
      <c r="HJ9" s="6">
        <v>44693</v>
      </c>
      <c r="HK9">
        <v>5</v>
      </c>
      <c r="HL9">
        <v>-2.4245362661989844E-14</v>
      </c>
      <c r="HM9">
        <v>54282724</v>
      </c>
      <c r="HN9" t="s">
        <v>2654</v>
      </c>
      <c r="HQ9" t="s">
        <v>2820</v>
      </c>
      <c r="HR9">
        <v>-2.4245362661989844E-14</v>
      </c>
      <c r="HT9">
        <v>-2.4245362661989844E-14</v>
      </c>
      <c r="HU9" t="s">
        <v>1814</v>
      </c>
      <c r="HV9">
        <v>2022</v>
      </c>
      <c r="HW9" t="s">
        <v>2812</v>
      </c>
      <c r="HX9" s="6">
        <v>44712</v>
      </c>
      <c r="HY9">
        <v>5</v>
      </c>
      <c r="HZ9">
        <v>-2.4245362661989844E-14</v>
      </c>
      <c r="IA9">
        <v>1023910</v>
      </c>
      <c r="IB9" t="s">
        <v>2821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1268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1269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1270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1271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1272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1273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1274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1275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1276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1277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1278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1279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1280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1281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1282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1283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1284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1285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1286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1287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1288</v>
      </c>
      <c r="AE2" s="3" t="s">
        <v>1289</v>
      </c>
      <c r="BI2" s="3" t="s">
        <v>1290</v>
      </c>
      <c r="CM2" s="3" t="s">
        <v>1291</v>
      </c>
      <c r="DQ2" s="3" t="s">
        <v>1292</v>
      </c>
      <c r="EU2" s="3" t="s">
        <v>1293</v>
      </c>
      <c r="FY2" s="3" t="s">
        <v>1294</v>
      </c>
      <c r="HC2" s="3" t="s">
        <v>1295</v>
      </c>
      <c r="IG2" s="3" t="s">
        <v>1296</v>
      </c>
      <c r="JK2" s="3" t="s">
        <v>1297</v>
      </c>
      <c r="KO2" s="3" t="s">
        <v>1298</v>
      </c>
      <c r="LS2" s="3" t="s">
        <v>1299</v>
      </c>
      <c r="MW2" s="3" t="s">
        <v>1300</v>
      </c>
      <c r="OA2" s="3" t="s">
        <v>1301</v>
      </c>
      <c r="PE2" s="3" t="s">
        <v>1302</v>
      </c>
      <c r="QI2" s="3" t="s">
        <v>246</v>
      </c>
      <c r="RM2" s="3" t="s">
        <v>1303</v>
      </c>
      <c r="SQ2" s="3" t="s">
        <v>1304</v>
      </c>
      <c r="TU2" s="3" t="s">
        <v>1305</v>
      </c>
      <c r="UY2" s="3" t="s">
        <v>1306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_xll.BDS("GEN US Equity","SUPPLY_CHAIN_SUPPLIERS_ALL_DATA","cols=12;rows=5")</f>
        <v>354 HK Equity</v>
      </c>
      <c r="B5" t="s">
        <v>1893</v>
      </c>
      <c r="C5">
        <v>9.7283999999999995E-2</v>
      </c>
      <c r="D5">
        <v>0.15382699999999999</v>
      </c>
      <c r="E5" t="s">
        <v>1823</v>
      </c>
      <c r="F5">
        <v>2025</v>
      </c>
      <c r="G5" t="s">
        <v>2192</v>
      </c>
      <c r="H5" s="6">
        <v>45944</v>
      </c>
      <c r="I5">
        <v>5</v>
      </c>
      <c r="J5">
        <v>570196.56999999995</v>
      </c>
      <c r="K5">
        <v>8157006</v>
      </c>
      <c r="L5" t="s">
        <v>2193</v>
      </c>
      <c r="O5" t="str">
        <f>_xll.BDS("GEN US Equity","SUPPLY_CHAIN_CUSTOMERS_ALL_DATA","cols=12;rows=5")</f>
        <v>BABA US Equity</v>
      </c>
      <c r="P5">
        <v>1.718623</v>
      </c>
      <c r="Q5" t="s">
        <v>1822</v>
      </c>
      <c r="R5">
        <v>0.10999200000000001</v>
      </c>
      <c r="S5" t="s">
        <v>1806</v>
      </c>
      <c r="T5">
        <v>2026</v>
      </c>
      <c r="U5" t="s">
        <v>2162</v>
      </c>
      <c r="V5" s="6">
        <v>45973</v>
      </c>
      <c r="W5">
        <v>5</v>
      </c>
      <c r="X5">
        <v>20754987.789999999</v>
      </c>
      <c r="Y5">
        <v>16857643</v>
      </c>
      <c r="Z5" t="s">
        <v>2163</v>
      </c>
      <c r="AE5" t="str">
        <f>_xll.BDS("SORCQ US Equity","SUPPLY_CHAIN_SUPPLIERS_ALL_DATA")</f>
        <v>#N/A N/A</v>
      </c>
      <c r="AS5" t="str">
        <f>_xll.BDS("SORCQ US Equity","SUPPLY_CHAIN_CUSTOMERS_ALL_DATA")</f>
        <v>#N/A N/A</v>
      </c>
      <c r="BI5" t="str">
        <f>_xll.BDS("0959089D US Equity","SUPPLY_CHAIN_SUPPLIERS_ALL_DATA")</f>
        <v>#N/A N/A</v>
      </c>
      <c r="BW5" t="str">
        <f>_xll.BDS("0959089D US Equity","SUPPLY_CHAIN_CUSTOMERS_ALL_DATA")</f>
        <v>#N/A N/A</v>
      </c>
      <c r="CM5" t="str">
        <f>_xll.BDS("SNV US Equity","SUPPLY_CHAIN_SUPPLIERS_ALL_DATA")</f>
        <v>VYX US Equity</v>
      </c>
      <c r="DA5" t="str">
        <f>_xll.BDS("SNV US Equity","SUPPLY_CHAIN_CUSTOMERS_ALL_DATA")</f>
        <v>#N/A N/A</v>
      </c>
      <c r="DQ5" t="str">
        <f>_xll.BDS("SLI US Equity","SUPPLY_CHAIN_SUPPLIERS_ALL_DATA","cols=12;rows=3")</f>
        <v>LXS GR Equity</v>
      </c>
      <c r="DR5" t="s">
        <v>1822</v>
      </c>
      <c r="DS5">
        <v>4.8650000000000004E-3</v>
      </c>
      <c r="DT5">
        <v>1.3590629999999999</v>
      </c>
      <c r="DU5" t="s">
        <v>1823</v>
      </c>
      <c r="DV5">
        <v>2025</v>
      </c>
      <c r="DW5" t="s">
        <v>3206</v>
      </c>
      <c r="DX5" s="6">
        <v>45909</v>
      </c>
      <c r="DY5">
        <v>3</v>
      </c>
      <c r="DZ5">
        <v>80828.09</v>
      </c>
      <c r="EA5">
        <v>9074473</v>
      </c>
      <c r="EB5" t="s">
        <v>3207</v>
      </c>
      <c r="EE5" t="str">
        <f>_xll.BDS("SLI US Equity","SUPPLY_CHAIN_CUSTOMERS_ALL_DATA")</f>
        <v>#N/A N/A</v>
      </c>
      <c r="EU5" t="str">
        <f>_xll.BDS("CBKN US Equity","SUPPLY_CHAIN_SUPPLIERS_ALL_DATA")</f>
        <v>#N/A N/A</v>
      </c>
      <c r="FI5" t="str">
        <f>_xll.BDS("CBKN US Equity","SUPPLY_CHAIN_CUSTOMERS_ALL_DATA")</f>
        <v>#N/A N/A</v>
      </c>
      <c r="FY5" t="str">
        <f>_xll.BDS("NPBC US Equity","SUPPLY_CHAIN_SUPPLIERS_ALL_DATA")</f>
        <v>#N/A N/A</v>
      </c>
      <c r="GM5" t="str">
        <f>_xll.BDS("NPBC US Equity","SUPPLY_CHAIN_CUSTOMERS_ALL_DATA")</f>
        <v>#N/A N/A</v>
      </c>
      <c r="HC5" t="str">
        <f>_xll.BDS("INHX US Equity","SUPPLY_CHAIN_SUPPLIERS_ALL_DATA")</f>
        <v>#N/A N/A</v>
      </c>
      <c r="HQ5" t="str">
        <f>_xll.BDS("INHX US Equity","SUPPLY_CHAIN_CUSTOMERS_ALL_DATA")</f>
        <v>#N/A N/A</v>
      </c>
      <c r="IG5" t="str">
        <f>_xll.BDS("KTO US Equity","SUPPLY_CHAIN_SUPPLIERS_ALL_DATA")</f>
        <v>#N/A N/A</v>
      </c>
      <c r="IU5" t="str">
        <f>_xll.BDS("KTO US Equity","SUPPLY_CHAIN_CUSTOMERS_ALL_DATA")</f>
        <v>#N/A N/A</v>
      </c>
      <c r="JK5" t="str">
        <f>_xll.BDS("UPLD US Equity","SUPPLY_CHAIN_SUPPLIERS_ALL_DATA")</f>
        <v>#N/A N/A</v>
      </c>
      <c r="JY5" t="str">
        <f>_xll.BDS("UPLD US Equity","SUPPLY_CHAIN_CUSTOMERS_ALL_DATA","cols=12;rows=5")</f>
        <v>CDW US Equity</v>
      </c>
      <c r="JZ5">
        <v>0.31311699999999998</v>
      </c>
      <c r="KA5" t="s">
        <v>1822</v>
      </c>
      <c r="KB5">
        <v>4.8890000000000001E-3</v>
      </c>
      <c r="KC5" t="s">
        <v>1806</v>
      </c>
      <c r="KD5">
        <v>2025</v>
      </c>
      <c r="KE5" t="s">
        <v>1841</v>
      </c>
      <c r="KF5" s="6">
        <v>45820</v>
      </c>
      <c r="KG5">
        <v>5</v>
      </c>
      <c r="KH5">
        <v>199315</v>
      </c>
      <c r="KI5">
        <v>12129192</v>
      </c>
      <c r="KJ5" t="s">
        <v>1842</v>
      </c>
      <c r="KO5" t="str">
        <f>_xll.BDS("CBRI US Equity","SUPPLY_CHAIN_SUPPLIERS_ALL_DATA")</f>
        <v>#N/A N/A</v>
      </c>
      <c r="LC5" t="str">
        <f>_xll.BDS("CBRI US Equity","SUPPLY_CHAIN_CUSTOMERS_ALL_DATA")</f>
        <v>#N/A N/A</v>
      </c>
      <c r="LS5" t="str">
        <f>_xll.BDS("MCTIQ US Equity","SUPPLY_CHAIN_SUPPLIERS_ALL_DATA")</f>
        <v>#N/A N/A</v>
      </c>
      <c r="MG5" t="str">
        <f>_xll.BDS("MCTIQ US Equity","SUPPLY_CHAIN_CUSTOMERS_ALL_DATA")</f>
        <v>#N/A N/A</v>
      </c>
      <c r="MW5" t="str">
        <f>_xll.BDS("GRAN US Equity","SUPPLY_CHAIN_SUPPLIERS_ALL_DATA")</f>
        <v>#N/A N/A</v>
      </c>
      <c r="NK5" t="str">
        <f>_xll.BDS("GRAN US Equity","SUPPLY_CHAIN_CUSTOMERS_ALL_DATA")</f>
        <v>#N/A N/A</v>
      </c>
      <c r="OA5" t="str">
        <f>_xll.BDS("BCSB US Equity","SUPPLY_CHAIN_SUPPLIERS_ALL_DATA")</f>
        <v>#N/A N/A</v>
      </c>
      <c r="OO5" t="str">
        <f>_xll.BDS("BCSB US Equity","SUPPLY_CHAIN_CUSTOMERS_ALL_DATA")</f>
        <v>#N/A N/A</v>
      </c>
      <c r="PE5" t="str">
        <f>_xll.BDS("DAEG US Equity","SUPPLY_CHAIN_SUPPLIERS_ALL_DATA")</f>
        <v>#N/A N/A</v>
      </c>
      <c r="PS5" t="str">
        <f>_xll.BDS("DAEG US Equity","SUPPLY_CHAIN_CUSTOMERS_ALL_DATA")</f>
        <v>#N/A N/A</v>
      </c>
      <c r="QI5" t="str">
        <f>_xll.BDS("CNMD US Equity","SUPPLY_CHAIN_SUPPLIERS_ALL_DATA","cols=12;rows=5")</f>
        <v>SODI US Equity</v>
      </c>
      <c r="QJ5" t="s">
        <v>1822</v>
      </c>
      <c r="QK5">
        <v>37</v>
      </c>
      <c r="QL5">
        <v>1.081528</v>
      </c>
      <c r="QM5" t="s">
        <v>1810</v>
      </c>
      <c r="QN5">
        <v>2026</v>
      </c>
      <c r="QO5" t="s">
        <v>3839</v>
      </c>
      <c r="QP5" s="6">
        <v>46035</v>
      </c>
      <c r="QQ5">
        <v>5</v>
      </c>
      <c r="QR5">
        <v>1858140</v>
      </c>
      <c r="QS5">
        <v>101363</v>
      </c>
      <c r="QT5" t="s">
        <v>3840</v>
      </c>
      <c r="QW5" t="str">
        <f>_xll.BDS("CNMD US Equity","SUPPLY_CHAIN_CUSTOMERS_ALL_DATA","cols=12;rows=2")</f>
        <v>3352Z US Equity</v>
      </c>
      <c r="QX5">
        <v>-2.4245362661989844E-14</v>
      </c>
      <c r="QZ5">
        <v>-2.4245362661989844E-14</v>
      </c>
      <c r="RA5" t="s">
        <v>1814</v>
      </c>
      <c r="RB5">
        <v>2024</v>
      </c>
      <c r="RC5" t="s">
        <v>3738</v>
      </c>
      <c r="RD5" s="6">
        <v>45706</v>
      </c>
      <c r="RE5">
        <v>2</v>
      </c>
      <c r="RF5">
        <v>-2.4245362661989844E-14</v>
      </c>
      <c r="RG5">
        <v>218252</v>
      </c>
      <c r="RH5" t="s">
        <v>2012</v>
      </c>
      <c r="RM5" t="str">
        <f>_xll.BDS("TLAG US Equity","SUPPLY_CHAIN_SUPPLIERS_ALL_DATA")</f>
        <v>#N/A N/A</v>
      </c>
      <c r="SA5" t="str">
        <f>_xll.BDS("TLAG US Equity","SUPPLY_CHAIN_CUSTOMERS_ALL_DATA")</f>
        <v>#N/A N/A</v>
      </c>
      <c r="SQ5" t="str">
        <f>_xll.BDS("EXEL US Equity","SUPPLY_CHAIN_SUPPLIERS_ALL_DATA","cols=12;rows=5")</f>
        <v>RPRX US Equity</v>
      </c>
      <c r="SR5" t="s">
        <v>1822</v>
      </c>
      <c r="SS5">
        <v>0.87834500000000004</v>
      </c>
      <c r="ST5">
        <v>20.631041</v>
      </c>
      <c r="SU5" t="s">
        <v>1827</v>
      </c>
      <c r="SV5">
        <v>2025</v>
      </c>
      <c r="SW5" t="s">
        <v>1974</v>
      </c>
      <c r="SX5" s="6">
        <v>46072</v>
      </c>
      <c r="SY5">
        <v>5</v>
      </c>
      <c r="SZ5">
        <v>5463306</v>
      </c>
      <c r="TA5">
        <v>68003261</v>
      </c>
      <c r="TB5" t="s">
        <v>1975</v>
      </c>
      <c r="TE5" t="str">
        <f>_xll.BDS("EXEL US Equity","SUPPLY_CHAIN_CUSTOMERS_ALL_DATA","cols=12;rows=5")</f>
        <v>COR US Equity</v>
      </c>
      <c r="TF5">
        <v>22</v>
      </c>
      <c r="TG5" t="s">
        <v>1822</v>
      </c>
      <c r="TH5">
        <v>0.16266800000000001</v>
      </c>
      <c r="TI5" t="s">
        <v>1814</v>
      </c>
      <c r="TJ5">
        <v>2025</v>
      </c>
      <c r="TK5" t="s">
        <v>1873</v>
      </c>
      <c r="TL5" s="6">
        <v>46063</v>
      </c>
      <c r="TM5">
        <v>5</v>
      </c>
      <c r="TN5">
        <v>127606928</v>
      </c>
      <c r="TO5">
        <v>156969</v>
      </c>
      <c r="TP5" t="s">
        <v>1874</v>
      </c>
      <c r="TU5" t="str">
        <f>_xll.BDS("BRKL US Equity","SUPPLY_CHAIN_SUPPLIERS_ALL_DATA")</f>
        <v>#N/A N/A</v>
      </c>
      <c r="UI5" t="str">
        <f>_xll.BDS("BRKL US Equity","SUPPLY_CHAIN_CUSTOMERS_ALL_DATA")</f>
        <v>#N/A N/A</v>
      </c>
      <c r="UY5" t="str">
        <f>_xll.BDS("OSKY US Equity","SUPPLY_CHAIN_SUPPLIERS_ALL_DATA")</f>
        <v>#N/A N/A</v>
      </c>
      <c r="VM5" t="str">
        <f>_xll.BDS("OSKY US Equity","SUPPLY_CHAIN_CUSTOMERS_ALL_DATA")</f>
        <v>#N/A N/A</v>
      </c>
    </row>
    <row r="6" spans="1:600" x14ac:dyDescent="0.25">
      <c r="A6" t="s">
        <v>2194</v>
      </c>
      <c r="B6" t="s">
        <v>1949</v>
      </c>
      <c r="C6">
        <v>1.6036999999999999E-2</v>
      </c>
      <c r="D6">
        <v>0.55282200000000004</v>
      </c>
      <c r="E6" t="s">
        <v>1806</v>
      </c>
      <c r="F6">
        <v>2026</v>
      </c>
      <c r="G6" t="s">
        <v>2195</v>
      </c>
      <c r="H6" s="6">
        <v>46049</v>
      </c>
      <c r="I6">
        <v>5</v>
      </c>
      <c r="J6">
        <v>49754</v>
      </c>
      <c r="K6">
        <v>386537</v>
      </c>
      <c r="L6" t="s">
        <v>2196</v>
      </c>
      <c r="O6" t="s">
        <v>1849</v>
      </c>
      <c r="P6">
        <v>1.134592</v>
      </c>
      <c r="Q6" t="s">
        <v>1822</v>
      </c>
      <c r="R6">
        <v>8.5527000000000006E-2</v>
      </c>
      <c r="S6" t="s">
        <v>1827</v>
      </c>
      <c r="T6">
        <v>2025</v>
      </c>
      <c r="U6" t="s">
        <v>1850</v>
      </c>
      <c r="V6" s="6">
        <v>46056</v>
      </c>
      <c r="W6">
        <v>5</v>
      </c>
      <c r="X6">
        <v>13842023</v>
      </c>
      <c r="Y6">
        <v>1499717</v>
      </c>
      <c r="Z6" t="s">
        <v>1851</v>
      </c>
      <c r="DQ6" t="s">
        <v>3208</v>
      </c>
      <c r="DS6">
        <v>-2.4245362661989844E-14</v>
      </c>
      <c r="DT6">
        <v>-2.4245362661989844E-14</v>
      </c>
      <c r="DU6" t="s">
        <v>1814</v>
      </c>
      <c r="DV6">
        <v>2022</v>
      </c>
      <c r="DW6" t="s">
        <v>3209</v>
      </c>
      <c r="DX6" s="6">
        <v>44901</v>
      </c>
      <c r="DY6">
        <v>3</v>
      </c>
      <c r="DZ6">
        <v>-2.4245362661989844E-14</v>
      </c>
      <c r="EA6">
        <v>143035</v>
      </c>
      <c r="EB6" t="s">
        <v>3210</v>
      </c>
      <c r="JY6" t="s">
        <v>2575</v>
      </c>
      <c r="JZ6">
        <v>1.1731E-2</v>
      </c>
      <c r="KA6" t="s">
        <v>1822</v>
      </c>
      <c r="KB6">
        <v>1.235E-3</v>
      </c>
      <c r="KC6" t="s">
        <v>1810</v>
      </c>
      <c r="KD6">
        <v>2025</v>
      </c>
      <c r="KE6" t="s">
        <v>2576</v>
      </c>
      <c r="KF6" s="6">
        <v>45840</v>
      </c>
      <c r="KG6">
        <v>5</v>
      </c>
      <c r="KH6">
        <v>7467</v>
      </c>
      <c r="KI6">
        <v>136424</v>
      </c>
      <c r="KJ6" t="s">
        <v>2577</v>
      </c>
      <c r="QI6" t="s">
        <v>3841</v>
      </c>
      <c r="QK6">
        <v>-2.4245362661989844E-14</v>
      </c>
      <c r="QL6">
        <v>-2.4245362661989844E-14</v>
      </c>
      <c r="QM6" t="s">
        <v>1814</v>
      </c>
      <c r="QN6">
        <v>2023</v>
      </c>
      <c r="QO6" t="s">
        <v>3842</v>
      </c>
      <c r="QP6" s="6">
        <v>45135</v>
      </c>
      <c r="QQ6">
        <v>5</v>
      </c>
      <c r="QR6">
        <v>-2.4245362661989844E-14</v>
      </c>
      <c r="QS6">
        <v>69639346</v>
      </c>
      <c r="QT6" t="s">
        <v>3843</v>
      </c>
      <c r="QW6" t="s">
        <v>3739</v>
      </c>
      <c r="QX6">
        <v>-2.4245362661989844E-14</v>
      </c>
      <c r="QZ6">
        <v>-2.4245362661989844E-14</v>
      </c>
      <c r="RA6" t="s">
        <v>1814</v>
      </c>
      <c r="RB6">
        <v>2024</v>
      </c>
      <c r="RC6" t="s">
        <v>3738</v>
      </c>
      <c r="RD6" s="6">
        <v>45706</v>
      </c>
      <c r="RE6">
        <v>2</v>
      </c>
      <c r="RF6">
        <v>-2.4245362661989844E-14</v>
      </c>
      <c r="RG6">
        <v>1418574</v>
      </c>
      <c r="RH6" t="s">
        <v>3740</v>
      </c>
      <c r="SQ6" t="s">
        <v>800</v>
      </c>
      <c r="SR6" t="s">
        <v>1822</v>
      </c>
      <c r="SS6">
        <v>1.6149999999999999E-3</v>
      </c>
      <c r="ST6">
        <v>1.2154389999999999</v>
      </c>
      <c r="SU6" t="s">
        <v>1823</v>
      </c>
      <c r="SV6">
        <v>2025</v>
      </c>
      <c r="SW6" t="s">
        <v>1914</v>
      </c>
      <c r="SX6" s="6">
        <v>45914</v>
      </c>
      <c r="SY6">
        <v>5</v>
      </c>
      <c r="SZ6">
        <v>236646</v>
      </c>
      <c r="TA6">
        <v>101166</v>
      </c>
      <c r="TB6" t="s">
        <v>1915</v>
      </c>
      <c r="TE6" t="s">
        <v>239</v>
      </c>
      <c r="TF6">
        <v>19</v>
      </c>
      <c r="TG6" t="s">
        <v>1822</v>
      </c>
      <c r="TH6">
        <v>0.114854</v>
      </c>
      <c r="TI6" t="s">
        <v>1814</v>
      </c>
      <c r="TJ6">
        <v>2025</v>
      </c>
      <c r="TK6" t="s">
        <v>1873</v>
      </c>
      <c r="TL6" s="6">
        <v>46063</v>
      </c>
      <c r="TM6">
        <v>5</v>
      </c>
      <c r="TN6">
        <v>110205984</v>
      </c>
      <c r="TO6">
        <v>154936</v>
      </c>
      <c r="TP6" t="s">
        <v>1875</v>
      </c>
    </row>
    <row r="7" spans="1:600" x14ac:dyDescent="0.25">
      <c r="A7" t="s">
        <v>2197</v>
      </c>
      <c r="C7">
        <v>-2.4245362661989844E-14</v>
      </c>
      <c r="D7">
        <v>-2.4245362661989844E-14</v>
      </c>
      <c r="E7" t="s">
        <v>1814</v>
      </c>
      <c r="F7">
        <v>2024</v>
      </c>
      <c r="G7" t="s">
        <v>2198</v>
      </c>
      <c r="H7" s="6">
        <v>45460</v>
      </c>
      <c r="I7">
        <v>5</v>
      </c>
      <c r="J7">
        <v>-2.4245362661989844E-14</v>
      </c>
      <c r="K7">
        <v>866053</v>
      </c>
      <c r="L7" t="s">
        <v>2199</v>
      </c>
      <c r="O7" t="s">
        <v>2164</v>
      </c>
      <c r="P7">
        <v>0.82555699999999999</v>
      </c>
      <c r="Q7" t="s">
        <v>1822</v>
      </c>
      <c r="R7">
        <v>0.12263</v>
      </c>
      <c r="S7" t="s">
        <v>1823</v>
      </c>
      <c r="T7">
        <v>2026</v>
      </c>
      <c r="U7" t="s">
        <v>2165</v>
      </c>
      <c r="V7" s="6">
        <v>45932</v>
      </c>
      <c r="W7">
        <v>5</v>
      </c>
      <c r="X7">
        <v>10377257</v>
      </c>
      <c r="Y7">
        <v>100197</v>
      </c>
      <c r="Z7" t="s">
        <v>2166</v>
      </c>
      <c r="DQ7" t="s">
        <v>3211</v>
      </c>
      <c r="DS7">
        <v>-2.4245362661989844E-14</v>
      </c>
      <c r="DT7">
        <v>-2.4245362661989844E-14</v>
      </c>
      <c r="DU7" t="s">
        <v>1814</v>
      </c>
      <c r="DV7">
        <v>2024</v>
      </c>
      <c r="DW7" t="s">
        <v>3209</v>
      </c>
      <c r="DX7" s="6">
        <v>45315</v>
      </c>
      <c r="DY7">
        <v>3</v>
      </c>
      <c r="DZ7">
        <v>-2.4245362661989844E-14</v>
      </c>
      <c r="EA7">
        <v>10783551</v>
      </c>
      <c r="EB7" t="s">
        <v>3212</v>
      </c>
      <c r="JY7" t="s">
        <v>3566</v>
      </c>
      <c r="JZ7">
        <v>-2.4245362661989844E-14</v>
      </c>
      <c r="KB7">
        <v>-2.4245362661989844E-14</v>
      </c>
      <c r="KC7" t="s">
        <v>1823</v>
      </c>
      <c r="KD7">
        <v>2024</v>
      </c>
      <c r="KE7" t="s">
        <v>3567</v>
      </c>
      <c r="KF7" s="6">
        <v>45521</v>
      </c>
      <c r="KG7">
        <v>5</v>
      </c>
      <c r="KH7">
        <v>-2.4245362661989844E-14</v>
      </c>
      <c r="KI7">
        <v>227296</v>
      </c>
      <c r="KJ7" t="s">
        <v>3568</v>
      </c>
      <c r="QI7" t="s">
        <v>2269</v>
      </c>
      <c r="QK7">
        <v>-2.4245362661989844E-14</v>
      </c>
      <c r="QL7">
        <v>-2.4245362661989844E-14</v>
      </c>
      <c r="QM7" t="s">
        <v>1814</v>
      </c>
      <c r="QN7">
        <v>2022</v>
      </c>
      <c r="QO7" t="s">
        <v>2270</v>
      </c>
      <c r="QP7" s="6">
        <v>44693</v>
      </c>
      <c r="QQ7">
        <v>5</v>
      </c>
      <c r="QR7">
        <v>-2.4245362661989844E-14</v>
      </c>
      <c r="QS7">
        <v>114991</v>
      </c>
      <c r="QT7" t="s">
        <v>2271</v>
      </c>
      <c r="SQ7" t="s">
        <v>1976</v>
      </c>
      <c r="SR7" t="s">
        <v>1822</v>
      </c>
      <c r="SS7">
        <v>1.83E-3</v>
      </c>
      <c r="ST7">
        <v>0.172597</v>
      </c>
      <c r="SU7" t="s">
        <v>1827</v>
      </c>
      <c r="SV7">
        <v>2024</v>
      </c>
      <c r="SW7" t="s">
        <v>1977</v>
      </c>
      <c r="SX7" s="6">
        <v>45730</v>
      </c>
      <c r="SY7">
        <v>5</v>
      </c>
      <c r="SZ7">
        <v>34496.199999999997</v>
      </c>
      <c r="TA7">
        <v>239787</v>
      </c>
      <c r="TB7" t="s">
        <v>1978</v>
      </c>
      <c r="TE7" t="s">
        <v>1876</v>
      </c>
      <c r="TF7">
        <v>15</v>
      </c>
      <c r="TG7" t="s">
        <v>1822</v>
      </c>
      <c r="TH7">
        <v>0.100379</v>
      </c>
      <c r="TI7" t="s">
        <v>1814</v>
      </c>
      <c r="TJ7">
        <v>2025</v>
      </c>
      <c r="TK7" t="s">
        <v>1873</v>
      </c>
      <c r="TL7" s="6">
        <v>46063</v>
      </c>
      <c r="TM7">
        <v>5</v>
      </c>
      <c r="TN7">
        <v>87004728</v>
      </c>
      <c r="TO7">
        <v>100976</v>
      </c>
      <c r="TP7" t="s">
        <v>1877</v>
      </c>
    </row>
    <row r="8" spans="1:600" x14ac:dyDescent="0.25">
      <c r="A8" t="s">
        <v>2200</v>
      </c>
      <c r="C8">
        <v>-2.4245362661989844E-14</v>
      </c>
      <c r="D8">
        <v>-2.4245362661989844E-14</v>
      </c>
      <c r="E8" t="s">
        <v>1810</v>
      </c>
      <c r="F8">
        <v>2022</v>
      </c>
      <c r="G8" t="s">
        <v>2201</v>
      </c>
      <c r="H8" s="6">
        <v>44880</v>
      </c>
      <c r="I8">
        <v>5</v>
      </c>
      <c r="J8">
        <v>-2.4245362661989844E-14</v>
      </c>
      <c r="K8">
        <v>1425288</v>
      </c>
      <c r="L8" t="s">
        <v>2202</v>
      </c>
      <c r="O8" t="s">
        <v>2167</v>
      </c>
      <c r="P8">
        <v>0.46699600000000002</v>
      </c>
      <c r="Q8" t="s">
        <v>1822</v>
      </c>
      <c r="R8">
        <v>0.41184700000000002</v>
      </c>
      <c r="S8" t="s">
        <v>1810</v>
      </c>
      <c r="T8">
        <v>2025</v>
      </c>
      <c r="U8" t="s">
        <v>2168</v>
      </c>
      <c r="V8" s="6">
        <v>46014</v>
      </c>
      <c r="W8">
        <v>5</v>
      </c>
      <c r="X8">
        <v>5696961.8099999996</v>
      </c>
      <c r="Y8">
        <v>9034717</v>
      </c>
      <c r="Z8" t="s">
        <v>2169</v>
      </c>
      <c r="JY8" t="s">
        <v>3569</v>
      </c>
      <c r="JZ8">
        <v>-2.4245362661989844E-14</v>
      </c>
      <c r="KB8">
        <v>-2.4245362661989844E-14</v>
      </c>
      <c r="KC8" t="s">
        <v>1823</v>
      </c>
      <c r="KD8">
        <v>2024</v>
      </c>
      <c r="KE8" t="s">
        <v>3567</v>
      </c>
      <c r="KF8" s="6">
        <v>45521</v>
      </c>
      <c r="KG8">
        <v>5</v>
      </c>
      <c r="KH8">
        <v>-2.4245362661989844E-14</v>
      </c>
      <c r="KI8">
        <v>31562792</v>
      </c>
      <c r="KJ8" t="s">
        <v>3570</v>
      </c>
      <c r="QI8" t="s">
        <v>2050</v>
      </c>
      <c r="QK8">
        <v>-2.4245362661989844E-14</v>
      </c>
      <c r="QL8">
        <v>-2.4245362661989844E-14</v>
      </c>
      <c r="QM8" t="s">
        <v>1814</v>
      </c>
      <c r="QN8">
        <v>2021</v>
      </c>
      <c r="QO8" t="s">
        <v>2051</v>
      </c>
      <c r="QP8" s="6">
        <v>44693</v>
      </c>
      <c r="QQ8">
        <v>5</v>
      </c>
      <c r="QR8">
        <v>-2.4245362661989844E-14</v>
      </c>
      <c r="QS8">
        <v>100481</v>
      </c>
      <c r="QT8" t="s">
        <v>2052</v>
      </c>
      <c r="SQ8" t="s">
        <v>765</v>
      </c>
      <c r="SR8" t="s">
        <v>1822</v>
      </c>
      <c r="SS8">
        <v>7.2295999999999999E-2</v>
      </c>
      <c r="ST8">
        <v>0.17684900000000001</v>
      </c>
      <c r="SU8" t="s">
        <v>1823</v>
      </c>
      <c r="SV8">
        <v>2025</v>
      </c>
      <c r="SW8" t="s">
        <v>1979</v>
      </c>
      <c r="SX8" s="6">
        <v>45889</v>
      </c>
      <c r="SY8">
        <v>5</v>
      </c>
      <c r="SZ8">
        <v>34432</v>
      </c>
      <c r="TA8">
        <v>116723</v>
      </c>
      <c r="TB8" t="s">
        <v>1980</v>
      </c>
      <c r="TE8" t="s">
        <v>1878</v>
      </c>
      <c r="TF8">
        <v>12</v>
      </c>
      <c r="TG8" t="s">
        <v>1822</v>
      </c>
      <c r="TH8">
        <v>0.111661</v>
      </c>
      <c r="TI8" t="s">
        <v>1814</v>
      </c>
      <c r="TJ8">
        <v>2025</v>
      </c>
      <c r="TK8" t="s">
        <v>1873</v>
      </c>
      <c r="TL8" s="6">
        <v>46063</v>
      </c>
      <c r="TM8">
        <v>5</v>
      </c>
      <c r="TN8">
        <v>69603776</v>
      </c>
      <c r="TO8">
        <v>60401289</v>
      </c>
      <c r="TP8" t="s">
        <v>1879</v>
      </c>
    </row>
    <row r="9" spans="1:600" x14ac:dyDescent="0.25">
      <c r="A9" t="s">
        <v>2203</v>
      </c>
      <c r="C9">
        <v>-2.4245362661989844E-14</v>
      </c>
      <c r="D9">
        <v>-2.4245362661989844E-14</v>
      </c>
      <c r="E9" t="s">
        <v>1814</v>
      </c>
      <c r="F9">
        <v>2022</v>
      </c>
      <c r="G9" t="s">
        <v>2204</v>
      </c>
      <c r="H9" s="6">
        <v>44701</v>
      </c>
      <c r="I9">
        <v>5</v>
      </c>
      <c r="J9">
        <v>-2.4245362661989844E-14</v>
      </c>
      <c r="K9">
        <v>59907412</v>
      </c>
      <c r="L9" t="s">
        <v>2205</v>
      </c>
      <c r="O9" t="s">
        <v>2170</v>
      </c>
      <c r="P9">
        <v>0.45974599999999999</v>
      </c>
      <c r="Q9" t="s">
        <v>1822</v>
      </c>
      <c r="R9">
        <v>0.12854199999999999</v>
      </c>
      <c r="S9" t="s">
        <v>1810</v>
      </c>
      <c r="T9">
        <v>2025</v>
      </c>
      <c r="U9" t="s">
        <v>2171</v>
      </c>
      <c r="V9" s="6">
        <v>45926</v>
      </c>
      <c r="W9">
        <v>5</v>
      </c>
      <c r="X9">
        <v>5749857.6100000003</v>
      </c>
      <c r="Y9">
        <v>191315</v>
      </c>
      <c r="Z9" t="s">
        <v>2172</v>
      </c>
      <c r="JY9" t="s">
        <v>3571</v>
      </c>
      <c r="JZ9">
        <v>-2.4245362661989844E-14</v>
      </c>
      <c r="KB9">
        <v>-2.4245362661989844E-14</v>
      </c>
      <c r="KC9" t="s">
        <v>1814</v>
      </c>
      <c r="KD9">
        <v>2022</v>
      </c>
      <c r="KE9" t="s">
        <v>3572</v>
      </c>
      <c r="KF9" s="6">
        <v>45057</v>
      </c>
      <c r="KG9">
        <v>5</v>
      </c>
      <c r="KH9">
        <v>-2.4245362661989844E-14</v>
      </c>
      <c r="KI9">
        <v>1080287</v>
      </c>
      <c r="KJ9" t="s">
        <v>3573</v>
      </c>
      <c r="QI9" t="s">
        <v>2679</v>
      </c>
      <c r="QK9">
        <v>-2.4245362661989844E-14</v>
      </c>
      <c r="QL9">
        <v>-2.4245362661989844E-14</v>
      </c>
      <c r="QM9" t="s">
        <v>1814</v>
      </c>
      <c r="QN9">
        <v>2021</v>
      </c>
      <c r="QO9" t="s">
        <v>2680</v>
      </c>
      <c r="QP9" s="6">
        <v>44693</v>
      </c>
      <c r="QQ9">
        <v>5</v>
      </c>
      <c r="QR9">
        <v>-2.4245362661989844E-14</v>
      </c>
      <c r="QS9">
        <v>100382</v>
      </c>
      <c r="QT9" t="s">
        <v>2681</v>
      </c>
      <c r="SQ9" t="s">
        <v>1981</v>
      </c>
      <c r="SS9">
        <v>-2.4245362661989844E-14</v>
      </c>
      <c r="ST9">
        <v>-2.4245362661989844E-14</v>
      </c>
      <c r="SU9" t="s">
        <v>1814</v>
      </c>
      <c r="SV9">
        <v>2025</v>
      </c>
      <c r="SW9" t="s">
        <v>1873</v>
      </c>
      <c r="SX9" s="6">
        <v>46063</v>
      </c>
      <c r="SY9">
        <v>5</v>
      </c>
      <c r="SZ9">
        <v>-2.4245362661989844E-14</v>
      </c>
      <c r="TA9">
        <v>14702474</v>
      </c>
      <c r="TB9" t="s">
        <v>1982</v>
      </c>
      <c r="TE9" t="s">
        <v>626</v>
      </c>
      <c r="TF9">
        <v>10</v>
      </c>
      <c r="TG9" t="s">
        <v>1822</v>
      </c>
      <c r="TH9">
        <v>6.3626000000000002E-2</v>
      </c>
      <c r="TI9" t="s">
        <v>1814</v>
      </c>
      <c r="TJ9">
        <v>2025</v>
      </c>
      <c r="TK9" t="s">
        <v>1873</v>
      </c>
      <c r="TL9" s="6">
        <v>46063</v>
      </c>
      <c r="TM9">
        <v>5</v>
      </c>
      <c r="TN9">
        <v>58003152</v>
      </c>
      <c r="TO9">
        <v>101548</v>
      </c>
      <c r="TP9" t="s">
        <v>1880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1308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1309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1310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1311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1312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1313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1314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1315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1316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1317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1318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1319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1320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1321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1322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1323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1324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1325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1326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1327</v>
      </c>
      <c r="AE2" s="3" t="s">
        <v>1328</v>
      </c>
      <c r="BI2" s="3" t="s">
        <v>1329</v>
      </c>
      <c r="CM2" s="3" t="s">
        <v>1330</v>
      </c>
      <c r="DQ2" s="3" t="s">
        <v>1331</v>
      </c>
      <c r="EU2" s="3" t="s">
        <v>467</v>
      </c>
      <c r="FY2" s="3" t="s">
        <v>1332</v>
      </c>
      <c r="HC2" s="3" t="s">
        <v>1333</v>
      </c>
      <c r="IG2" s="3" t="s">
        <v>1334</v>
      </c>
      <c r="JK2" s="3" t="s">
        <v>1335</v>
      </c>
      <c r="KO2" s="3" t="s">
        <v>1336</v>
      </c>
      <c r="LS2" s="3" t="s">
        <v>1337</v>
      </c>
      <c r="MW2" s="3" t="s">
        <v>74</v>
      </c>
      <c r="OA2" s="3" t="s">
        <v>1338</v>
      </c>
      <c r="PE2" s="3" t="s">
        <v>1339</v>
      </c>
      <c r="QI2" s="3" t="s">
        <v>1340</v>
      </c>
      <c r="RM2" s="3" t="s">
        <v>1341</v>
      </c>
      <c r="SQ2" s="3" t="s">
        <v>1342</v>
      </c>
      <c r="TU2" s="3" t="s">
        <v>1018</v>
      </c>
      <c r="UY2" s="3" t="s">
        <v>1343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_xll.BDS("QCOR US Equity","SUPPLY_CHAIN_SUPPLIERS_ALL_DATA")</f>
        <v>#N/A N/A</v>
      </c>
      <c r="O5" t="str">
        <f>_xll.BDS("QCOR US Equity","SUPPLY_CHAIN_CUSTOMERS_ALL_DATA","cols=12;rows=1")</f>
        <v>ENDPQ US Equity</v>
      </c>
      <c r="P5">
        <v>-2.4245362661989844E-14</v>
      </c>
      <c r="R5">
        <v>-2.4245362661989844E-14</v>
      </c>
      <c r="S5" t="s">
        <v>1810</v>
      </c>
      <c r="T5">
        <v>2022</v>
      </c>
      <c r="U5" t="s">
        <v>3018</v>
      </c>
      <c r="V5" s="6">
        <v>44789</v>
      </c>
      <c r="W5">
        <v>1</v>
      </c>
      <c r="X5">
        <v>-2.4245362661989844E-14</v>
      </c>
      <c r="Y5">
        <v>1175643</v>
      </c>
      <c r="Z5" t="s">
        <v>3019</v>
      </c>
      <c r="AE5" t="str">
        <f>_xll.BDS("CFOK US Equity","SUPPLY_CHAIN_SUPPLIERS_ALL_DATA")</f>
        <v>#N/A N/A</v>
      </c>
      <c r="AS5" t="str">
        <f>_xll.BDS("CFOK US Equity","SUPPLY_CHAIN_CUSTOMERS_ALL_DATA")</f>
        <v>#N/A N/A</v>
      </c>
      <c r="BI5" t="str">
        <f>_xll.BDS("ELED US Equity","SUPPLY_CHAIN_SUPPLIERS_ALL_DATA")</f>
        <v>#N/A N/A</v>
      </c>
      <c r="BW5" t="str">
        <f>_xll.BDS("ELED US Equity","SUPPLY_CHAIN_CUSTOMERS_ALL_DATA")</f>
        <v>#N/A N/A</v>
      </c>
      <c r="CM5" t="str">
        <f>_xll.BDS("RSYS US Equity","SUPPLY_CHAIN_SUPPLIERS_ALL_DATA")</f>
        <v>#N/A N/A</v>
      </c>
      <c r="DA5" t="str">
        <f>_xll.BDS("RSYS US Equity","SUPPLY_CHAIN_CUSTOMERS_ALL_DATA")</f>
        <v>#N/A N/A</v>
      </c>
      <c r="DQ5" t="str">
        <f>_xll.BDS("PGICQ US Equity","SUPPLY_CHAIN_SUPPLIERS_ALL_DATA")</f>
        <v>#N/A N/A</v>
      </c>
      <c r="EE5" t="str">
        <f>_xll.BDS("PGICQ US Equity","SUPPLY_CHAIN_CUSTOMERS_ALL_DATA")</f>
        <v>#N/A N/A</v>
      </c>
      <c r="EU5" t="str">
        <f>_xll.BDS("PACW US Equity","SUPPLY_CHAIN_SUPPLIERS_ALL_DATA")</f>
        <v>#N/A N/A</v>
      </c>
      <c r="FI5" t="str">
        <f>_xll.BDS("PACW US Equity","SUPPLY_CHAIN_CUSTOMERS_ALL_DATA")</f>
        <v>SNX US Equity</v>
      </c>
      <c r="FY5" t="str">
        <f>_xll.BDS("DRMO US Equity","SUPPLY_CHAIN_SUPPLIERS_ALL_DATA")</f>
        <v>#N/A N/A</v>
      </c>
      <c r="GM5" t="str">
        <f>_xll.BDS("DRMO US Equity","SUPPLY_CHAIN_CUSTOMERS_ALL_DATA")</f>
        <v>#N/A N/A</v>
      </c>
      <c r="HC5" t="str">
        <f>_xll.BDS("FIBK US Equity","SUPPLY_CHAIN_SUPPLIERS_ALL_DATA","cols=12;rows=1")</f>
        <v>FISV US Equity</v>
      </c>
      <c r="HE5">
        <v>-2.4245362661989844E-14</v>
      </c>
      <c r="HF5">
        <v>-2.4245362661989844E-14</v>
      </c>
      <c r="HG5" t="s">
        <v>1831</v>
      </c>
      <c r="HH5">
        <v>2023</v>
      </c>
      <c r="HI5" t="s">
        <v>1910</v>
      </c>
      <c r="HJ5" s="6">
        <v>45245</v>
      </c>
      <c r="HK5">
        <v>1</v>
      </c>
      <c r="HL5">
        <v>-2.4245362661989844E-14</v>
      </c>
      <c r="HM5">
        <v>103882</v>
      </c>
      <c r="HN5" t="s">
        <v>1911</v>
      </c>
      <c r="HQ5" t="str">
        <f>_xll.BDS("FIBK US Equity","SUPPLY_CHAIN_CUSTOMERS_ALL_DATA")</f>
        <v>#N/A N/A</v>
      </c>
      <c r="IG5" t="str">
        <f>_xll.BDS("CTWS US Equity","SUPPLY_CHAIN_SUPPLIERS_ALL_DATA")</f>
        <v>#N/A N/A</v>
      </c>
      <c r="IU5" t="str">
        <f>_xll.BDS("CTWS US Equity","SUPPLY_CHAIN_CUSTOMERS_ALL_DATA")</f>
        <v>#N/A N/A</v>
      </c>
      <c r="JK5" t="str">
        <f>_xll.BDS("HSP US Equity","SUPPLY_CHAIN_SUPPLIERS_ALL_DATA")</f>
        <v>#N/A N/A</v>
      </c>
      <c r="JY5" t="str">
        <f>_xll.BDS("HSP US Equity","SUPPLY_CHAIN_CUSTOMERS_ALL_DATA")</f>
        <v>#N/A N/A</v>
      </c>
      <c r="KO5" t="str">
        <f>_xll.BDS("UCBC US Equity","SUPPLY_CHAIN_SUPPLIERS_ALL_DATA")</f>
        <v>#N/A N/A</v>
      </c>
      <c r="LC5" t="str">
        <f>_xll.BDS("UCBC US Equity","SUPPLY_CHAIN_CUSTOMERS_ALL_DATA")</f>
        <v>#N/A N/A</v>
      </c>
      <c r="LS5" t="str">
        <f>_xll.BDS("0852980D US Equity","SUPPLY_CHAIN_SUPPLIERS_ALL_DATA")</f>
        <v>#N/A N/A</v>
      </c>
      <c r="MG5" t="str">
        <f>_xll.BDS("0852980D US Equity","SUPPLY_CHAIN_CUSTOMERS_ALL_DATA")</f>
        <v>#N/A N/A</v>
      </c>
      <c r="MW5" t="str">
        <f>_xll.BDS("FBA US Equity","SUPPLY_CHAIN_SUPPLIERS_ALL_DATA")</f>
        <v>#N/A N/A</v>
      </c>
      <c r="NK5" t="str">
        <f>_xll.BDS("FBA US Equity","SUPPLY_CHAIN_CUSTOMERS_ALL_DATA")</f>
        <v>#N/A N/A</v>
      </c>
      <c r="OA5" t="str">
        <f>_xll.BDS("PDCE US Equity","SUPPLY_CHAIN_SUPPLIERS_ALL_DATA","cols=12;rows=1")</f>
        <v>KNTK US Equity</v>
      </c>
      <c r="OC5">
        <v>-2.4245362661989844E-14</v>
      </c>
      <c r="OD5">
        <v>-2.4245362661989844E-14</v>
      </c>
      <c r="OE5" t="s">
        <v>1827</v>
      </c>
      <c r="OF5">
        <v>2022</v>
      </c>
      <c r="OG5" t="s">
        <v>3614</v>
      </c>
      <c r="OH5" s="6">
        <v>44985</v>
      </c>
      <c r="OI5">
        <v>1</v>
      </c>
      <c r="OJ5">
        <v>-2.4245362661989844E-14</v>
      </c>
      <c r="OK5">
        <v>53071268</v>
      </c>
      <c r="OL5" t="s">
        <v>3615</v>
      </c>
      <c r="OO5" t="str">
        <f>_xll.BDS("PDCE US Equity","SUPPLY_CHAIN_CUSTOMERS_ALL_DATA")</f>
        <v>#N/A N/A</v>
      </c>
      <c r="PE5" t="str">
        <f>_xll.BDS("GSON US Equity","SUPPLY_CHAIN_SUPPLIERS_ALL_DATA")</f>
        <v>#N/A N/A</v>
      </c>
      <c r="PS5" t="str">
        <f>_xll.BDS("GSON US Equity","SUPPLY_CHAIN_CUSTOMERS_ALL_DATA")</f>
        <v>#N/A N/A</v>
      </c>
      <c r="QI5" t="str">
        <f>_xll.BDS("TIBX US Equity","SUPPLY_CHAIN_SUPPLIERS_ALL_DATA","cols=12;rows=5")</f>
        <v>ARE US Equity</v>
      </c>
      <c r="QK5">
        <v>0.67908900000000005</v>
      </c>
      <c r="QL5">
        <v>-2.4245362661989844E-14</v>
      </c>
      <c r="QM5" t="s">
        <v>1814</v>
      </c>
      <c r="QN5">
        <v>2025</v>
      </c>
      <c r="QO5" t="s">
        <v>2377</v>
      </c>
      <c r="QP5" s="6">
        <v>46048</v>
      </c>
      <c r="QQ5">
        <v>5</v>
      </c>
      <c r="QR5">
        <v>5138250</v>
      </c>
      <c r="QS5">
        <v>216867</v>
      </c>
      <c r="QT5" t="s">
        <v>2378</v>
      </c>
      <c r="QW5" t="str">
        <f>_xll.BDS("TIBX US Equity","SUPPLY_CHAIN_CUSTOMERS_ALL_DATA","cols=12;rows=5")</f>
        <v>3565 JP Equity</v>
      </c>
      <c r="QX5">
        <v>-2.4245362661989844E-14</v>
      </c>
      <c r="QZ5">
        <v>-2.4245362661989844E-14</v>
      </c>
      <c r="RA5" t="s">
        <v>1810</v>
      </c>
      <c r="RB5">
        <v>2026</v>
      </c>
      <c r="RC5" t="s">
        <v>2068</v>
      </c>
      <c r="RD5" s="6">
        <v>46006</v>
      </c>
      <c r="RE5">
        <v>5</v>
      </c>
      <c r="RF5">
        <v>-2.4245362661989844E-14</v>
      </c>
      <c r="RG5">
        <v>34983767</v>
      </c>
      <c r="RH5" t="s">
        <v>2069</v>
      </c>
      <c r="RM5" t="str">
        <f>_xll.BDS("MDT US Equity","SUPPLY_CHAIN_SUPPLIERS_ALL_DATA","cols=12;rows=5")</f>
        <v>FLEX US Equity</v>
      </c>
      <c r="RN5" t="s">
        <v>1822</v>
      </c>
      <c r="RO5">
        <v>1.2190190000000001</v>
      </c>
      <c r="RP5">
        <v>2.8758149999999998</v>
      </c>
      <c r="RQ5" t="s">
        <v>1810</v>
      </c>
      <c r="RR5">
        <v>2025</v>
      </c>
      <c r="RS5" t="s">
        <v>1882</v>
      </c>
      <c r="RT5" s="6">
        <v>45763</v>
      </c>
      <c r="RU5">
        <v>5</v>
      </c>
      <c r="RV5">
        <v>79918888</v>
      </c>
      <c r="RW5">
        <v>136547</v>
      </c>
      <c r="RX5" t="s">
        <v>1883</v>
      </c>
      <c r="SA5" t="str">
        <f>_xll.BDS("MDT US Equity","SUPPLY_CHAIN_CUSTOMERS_ALL_DATA","cols=12;rows=5")</f>
        <v>4104 TT Equity</v>
      </c>
      <c r="SB5">
        <v>0.20070099999999999</v>
      </c>
      <c r="SC5" t="s">
        <v>1822</v>
      </c>
      <c r="SD5">
        <v>32.397697000000001</v>
      </c>
      <c r="SE5" t="s">
        <v>1814</v>
      </c>
      <c r="SF5">
        <v>2024</v>
      </c>
      <c r="SG5" t="s">
        <v>2127</v>
      </c>
      <c r="SH5" s="6">
        <v>45814</v>
      </c>
      <c r="SI5">
        <v>5</v>
      </c>
      <c r="SJ5">
        <v>17028014.890000001</v>
      </c>
      <c r="SK5">
        <v>7324380</v>
      </c>
      <c r="SL5" t="s">
        <v>2128</v>
      </c>
      <c r="SQ5" t="str">
        <f>_xll.BDS("FCEC US Equity","SUPPLY_CHAIN_SUPPLIERS_ALL_DATA")</f>
        <v>#N/A N/A</v>
      </c>
      <c r="TE5" t="str">
        <f>_xll.BDS("FCEC US Equity","SUPPLY_CHAIN_CUSTOMERS_ALL_DATA")</f>
        <v>#N/A N/A</v>
      </c>
      <c r="TU5" t="str">
        <f>_xll.BDS("LNCB US Equity","SUPPLY_CHAIN_SUPPLIERS_ALL_DATA")</f>
        <v>#N/A N/A</v>
      </c>
      <c r="UI5" t="str">
        <f>_xll.BDS("LNCB US Equity","SUPPLY_CHAIN_CUSTOMERS_ALL_DATA")</f>
        <v>#N/A N/A</v>
      </c>
      <c r="UY5" t="str">
        <f>_xll.BDS("MROI US Equity","SUPPLY_CHAIN_SUPPLIERS_ALL_DATA")</f>
        <v>#N/A N/A</v>
      </c>
      <c r="VM5" t="str">
        <f>_xll.BDS("MROI US Equity","SUPPLY_CHAIN_CUSTOMERS_ALL_DATA")</f>
        <v>#N/A N/A</v>
      </c>
    </row>
    <row r="6" spans="1:600" x14ac:dyDescent="0.25">
      <c r="QI6" t="s">
        <v>2025</v>
      </c>
      <c r="QK6">
        <v>-2.4245362661989844E-14</v>
      </c>
      <c r="QL6">
        <v>-2.4245362661989844E-14</v>
      </c>
      <c r="QM6" t="s">
        <v>1814</v>
      </c>
      <c r="QN6">
        <v>2025</v>
      </c>
      <c r="QO6" t="s">
        <v>2070</v>
      </c>
      <c r="QP6" s="6">
        <v>45673</v>
      </c>
      <c r="QQ6">
        <v>5</v>
      </c>
      <c r="QR6">
        <v>-2.4245362661989844E-14</v>
      </c>
      <c r="QS6">
        <v>100115</v>
      </c>
      <c r="QT6" t="s">
        <v>2027</v>
      </c>
      <c r="QW6" t="s">
        <v>2025</v>
      </c>
      <c r="QX6">
        <v>-2.4245362661989844E-14</v>
      </c>
      <c r="QZ6">
        <v>-2.4245362661989844E-14</v>
      </c>
      <c r="RA6" t="s">
        <v>1814</v>
      </c>
      <c r="RB6">
        <v>2024</v>
      </c>
      <c r="RC6" t="s">
        <v>2070</v>
      </c>
      <c r="RD6" s="6">
        <v>45533</v>
      </c>
      <c r="RE6">
        <v>5</v>
      </c>
      <c r="RF6">
        <v>-2.4245362661989844E-14</v>
      </c>
      <c r="RG6">
        <v>100115</v>
      </c>
      <c r="RH6" t="s">
        <v>2027</v>
      </c>
      <c r="RM6" t="s">
        <v>2214</v>
      </c>
      <c r="RN6" t="s">
        <v>1822</v>
      </c>
      <c r="RO6">
        <v>2.3008839999999999</v>
      </c>
      <c r="RP6">
        <v>1.9882420000000001</v>
      </c>
      <c r="RQ6" t="s">
        <v>1827</v>
      </c>
      <c r="RR6">
        <v>2024</v>
      </c>
      <c r="RS6" t="s">
        <v>2215</v>
      </c>
      <c r="RT6" s="6">
        <v>45694</v>
      </c>
      <c r="RU6">
        <v>5</v>
      </c>
      <c r="RV6">
        <v>58573604</v>
      </c>
      <c r="RW6">
        <v>349266</v>
      </c>
      <c r="RX6" t="s">
        <v>2216</v>
      </c>
      <c r="SA6" t="s">
        <v>2129</v>
      </c>
      <c r="SB6">
        <v>-2.4245362661989844E-14</v>
      </c>
      <c r="SD6">
        <v>-2.4245362661989844E-14</v>
      </c>
      <c r="SE6" t="s">
        <v>1814</v>
      </c>
      <c r="SF6">
        <v>2021</v>
      </c>
      <c r="SG6" t="s">
        <v>2130</v>
      </c>
      <c r="SH6" s="6">
        <v>44676</v>
      </c>
      <c r="SI6">
        <v>5</v>
      </c>
      <c r="SJ6">
        <v>-2.4245362661989844E-14</v>
      </c>
      <c r="SK6">
        <v>24598477</v>
      </c>
      <c r="SL6" t="s">
        <v>2131</v>
      </c>
    </row>
    <row r="7" spans="1:600" x14ac:dyDescent="0.25">
      <c r="QI7" t="s">
        <v>2379</v>
      </c>
      <c r="QK7">
        <v>-2.4245362661989844E-14</v>
      </c>
      <c r="QL7">
        <v>-2.4245362661989844E-14</v>
      </c>
      <c r="QM7" t="s">
        <v>1814</v>
      </c>
      <c r="QN7">
        <v>2022</v>
      </c>
      <c r="QO7" t="s">
        <v>2380</v>
      </c>
      <c r="QP7" s="6">
        <v>44986</v>
      </c>
      <c r="QQ7">
        <v>5</v>
      </c>
      <c r="QR7">
        <v>-2.4245362661989844E-14</v>
      </c>
      <c r="QS7">
        <v>1197519</v>
      </c>
      <c r="QT7" t="s">
        <v>2381</v>
      </c>
      <c r="QW7" t="s">
        <v>2071</v>
      </c>
      <c r="QX7">
        <v>-2.4245362661989844E-14</v>
      </c>
      <c r="QZ7">
        <v>-2.4245362661989844E-14</v>
      </c>
      <c r="RA7" t="s">
        <v>1814</v>
      </c>
      <c r="RB7">
        <v>2021</v>
      </c>
      <c r="RC7" t="s">
        <v>2072</v>
      </c>
      <c r="RD7" s="6">
        <v>44657</v>
      </c>
      <c r="RE7">
        <v>5</v>
      </c>
      <c r="RF7">
        <v>-2.4245362661989844E-14</v>
      </c>
      <c r="RG7">
        <v>115240</v>
      </c>
      <c r="RH7" t="s">
        <v>2073</v>
      </c>
      <c r="RM7" t="s">
        <v>1884</v>
      </c>
      <c r="RN7" t="s">
        <v>1822</v>
      </c>
      <c r="RO7">
        <v>0.23526900000000001</v>
      </c>
      <c r="RP7">
        <v>0.58521900000000004</v>
      </c>
      <c r="RQ7" t="s">
        <v>1810</v>
      </c>
      <c r="RR7">
        <v>2025</v>
      </c>
      <c r="RS7" t="s">
        <v>1885</v>
      </c>
      <c r="RT7" s="6">
        <v>45867</v>
      </c>
      <c r="RU7">
        <v>5</v>
      </c>
      <c r="RV7">
        <v>18416856</v>
      </c>
      <c r="RW7">
        <v>117092</v>
      </c>
      <c r="RX7" t="s">
        <v>1886</v>
      </c>
      <c r="SA7" t="s">
        <v>246</v>
      </c>
      <c r="SB7">
        <v>-2.4245362661989844E-14</v>
      </c>
      <c r="SD7">
        <v>-2.4245362661989844E-14</v>
      </c>
      <c r="SE7" t="s">
        <v>1814</v>
      </c>
      <c r="SF7">
        <v>2023</v>
      </c>
      <c r="SG7" t="s">
        <v>2132</v>
      </c>
      <c r="SH7" s="6">
        <v>45135</v>
      </c>
      <c r="SI7">
        <v>5</v>
      </c>
      <c r="SJ7">
        <v>-2.4245362661989844E-14</v>
      </c>
      <c r="SK7">
        <v>103017</v>
      </c>
      <c r="SL7" t="s">
        <v>2133</v>
      </c>
    </row>
    <row r="8" spans="1:600" x14ac:dyDescent="0.25">
      <c r="QI8" t="s">
        <v>2382</v>
      </c>
      <c r="QK8">
        <v>-2.4245362661989844E-14</v>
      </c>
      <c r="QL8">
        <v>-2.4245362661989844E-14</v>
      </c>
      <c r="QM8" t="s">
        <v>1814</v>
      </c>
      <c r="QN8">
        <v>2021</v>
      </c>
      <c r="QO8" t="s">
        <v>2383</v>
      </c>
      <c r="QP8" s="6">
        <v>44631</v>
      </c>
      <c r="QQ8">
        <v>5</v>
      </c>
      <c r="QR8">
        <v>-2.4245362661989844E-14</v>
      </c>
      <c r="QS8">
        <v>7419924</v>
      </c>
      <c r="QT8" t="s">
        <v>2384</v>
      </c>
      <c r="QW8" t="s">
        <v>1840</v>
      </c>
      <c r="QX8">
        <v>-2.4245362661989844E-14</v>
      </c>
      <c r="QZ8">
        <v>-2.4245362661989844E-14</v>
      </c>
      <c r="RA8" t="s">
        <v>1810</v>
      </c>
      <c r="RB8">
        <v>2022</v>
      </c>
      <c r="RC8" t="s">
        <v>2074</v>
      </c>
      <c r="RD8" s="6">
        <v>44957</v>
      </c>
      <c r="RE8">
        <v>5</v>
      </c>
      <c r="RF8">
        <v>-2.4245362661989844E-14</v>
      </c>
      <c r="RG8">
        <v>12129192</v>
      </c>
      <c r="RH8" t="s">
        <v>1842</v>
      </c>
      <c r="RM8" t="s">
        <v>2217</v>
      </c>
      <c r="RN8" t="s">
        <v>1822</v>
      </c>
      <c r="RO8">
        <v>1.69564</v>
      </c>
      <c r="RP8">
        <v>0.41697800000000002</v>
      </c>
      <c r="RQ8" t="s">
        <v>1810</v>
      </c>
      <c r="RR8">
        <v>2025</v>
      </c>
      <c r="RS8" t="s">
        <v>2218</v>
      </c>
      <c r="RT8" s="6">
        <v>46001</v>
      </c>
      <c r="RU8">
        <v>5</v>
      </c>
      <c r="RV8">
        <v>12763693</v>
      </c>
      <c r="RW8">
        <v>1182195</v>
      </c>
      <c r="RX8" t="s">
        <v>2219</v>
      </c>
      <c r="SA8" t="s">
        <v>1368</v>
      </c>
      <c r="SB8">
        <v>-2.4245362661989844E-14</v>
      </c>
      <c r="SD8">
        <v>-2.4245362661989844E-14</v>
      </c>
      <c r="SE8" t="s">
        <v>1814</v>
      </c>
      <c r="SF8">
        <v>2022</v>
      </c>
      <c r="SG8" t="s">
        <v>2134</v>
      </c>
      <c r="SH8" s="6">
        <v>44887</v>
      </c>
      <c r="SI8">
        <v>5</v>
      </c>
      <c r="SJ8">
        <v>-2.4245362661989844E-14</v>
      </c>
      <c r="SK8">
        <v>104917</v>
      </c>
      <c r="SL8" t="s">
        <v>2135</v>
      </c>
    </row>
    <row r="9" spans="1:600" x14ac:dyDescent="0.25">
      <c r="QI9" t="s">
        <v>2385</v>
      </c>
      <c r="QK9">
        <v>-2.4245362661989844E-14</v>
      </c>
      <c r="QL9">
        <v>-2.4245362661989844E-14</v>
      </c>
      <c r="QM9" t="s">
        <v>1814</v>
      </c>
      <c r="QN9">
        <v>2024</v>
      </c>
      <c r="QO9" t="s">
        <v>2386</v>
      </c>
      <c r="QP9" s="6">
        <v>45736</v>
      </c>
      <c r="QQ9">
        <v>5</v>
      </c>
      <c r="QR9">
        <v>-2.4245362661989844E-14</v>
      </c>
      <c r="QS9">
        <v>125287</v>
      </c>
      <c r="QT9" t="s">
        <v>2387</v>
      </c>
      <c r="QW9" t="s">
        <v>2075</v>
      </c>
      <c r="QX9">
        <v>-2.4245362661989844E-14</v>
      </c>
      <c r="QZ9">
        <v>-2.4245362661989844E-14</v>
      </c>
      <c r="RA9" t="s">
        <v>1814</v>
      </c>
      <c r="RB9">
        <v>2023</v>
      </c>
      <c r="RC9" t="s">
        <v>2076</v>
      </c>
      <c r="RD9" s="6">
        <v>45329</v>
      </c>
      <c r="RE9">
        <v>5</v>
      </c>
      <c r="RF9">
        <v>-2.4245362661989844E-14</v>
      </c>
      <c r="RG9">
        <v>43152573</v>
      </c>
      <c r="RH9" t="s">
        <v>2077</v>
      </c>
      <c r="RM9" t="s">
        <v>2220</v>
      </c>
      <c r="RN9" t="s">
        <v>1822</v>
      </c>
      <c r="RO9">
        <v>1.749268</v>
      </c>
      <c r="RP9">
        <v>0.29281299999999999</v>
      </c>
      <c r="RQ9" t="s">
        <v>1823</v>
      </c>
      <c r="RR9">
        <v>2025</v>
      </c>
      <c r="RS9" t="s">
        <v>2221</v>
      </c>
      <c r="RT9" s="6">
        <v>45867</v>
      </c>
      <c r="RU9">
        <v>5</v>
      </c>
      <c r="RV9">
        <v>9701879.8399999999</v>
      </c>
      <c r="RW9">
        <v>157487</v>
      </c>
      <c r="RX9" t="s">
        <v>2222</v>
      </c>
      <c r="SA9" t="s">
        <v>2136</v>
      </c>
      <c r="SB9">
        <v>-2.4245362661989844E-14</v>
      </c>
      <c r="SD9">
        <v>-2.4245362661989844E-14</v>
      </c>
      <c r="SE9" t="s">
        <v>1814</v>
      </c>
      <c r="SF9">
        <v>2025</v>
      </c>
      <c r="SG9" t="s">
        <v>2137</v>
      </c>
      <c r="SH9" s="6">
        <v>45834</v>
      </c>
      <c r="SI9">
        <v>5</v>
      </c>
      <c r="SJ9">
        <v>-2.4245362661989844E-14</v>
      </c>
      <c r="SK9">
        <v>11745327</v>
      </c>
      <c r="SL9" t="s">
        <v>2138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1345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1346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1347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1348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1349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1350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1351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1352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1353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1354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1355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1356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1357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1358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1359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1360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1361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1362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1363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1364</v>
      </c>
      <c r="AE2" s="3" t="s">
        <v>1365</v>
      </c>
      <c r="BI2" s="3" t="s">
        <v>317</v>
      </c>
      <c r="CM2" s="3" t="s">
        <v>1366</v>
      </c>
      <c r="DQ2" s="3" t="s">
        <v>25</v>
      </c>
      <c r="EU2" s="3" t="s">
        <v>85</v>
      </c>
      <c r="FY2" s="3" t="s">
        <v>467</v>
      </c>
      <c r="HC2" s="3" t="s">
        <v>1367</v>
      </c>
      <c r="IG2" s="3" t="s">
        <v>1368</v>
      </c>
      <c r="JK2" s="3" t="s">
        <v>1369</v>
      </c>
      <c r="KO2" s="3" t="s">
        <v>1370</v>
      </c>
      <c r="LS2" s="3" t="s">
        <v>1371</v>
      </c>
      <c r="MW2" s="3" t="s">
        <v>1372</v>
      </c>
      <c r="OA2" s="3" t="s">
        <v>1373</v>
      </c>
      <c r="PE2" s="3" t="s">
        <v>1374</v>
      </c>
      <c r="QI2" s="3" t="s">
        <v>1375</v>
      </c>
      <c r="RM2" s="3" t="s">
        <v>1376</v>
      </c>
      <c r="SQ2" s="3" t="s">
        <v>1377</v>
      </c>
      <c r="TU2" s="3" t="s">
        <v>1378</v>
      </c>
      <c r="UY2" s="3" t="s">
        <v>1379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_xll.BDS("HRL US Equity","SUPPLY_CHAIN_SUPPLIERS_ALL_DATA","cols=12;rows=5")</f>
        <v>SLGN US Equity</v>
      </c>
      <c r="B5" t="s">
        <v>1822</v>
      </c>
      <c r="C5">
        <v>1.758534</v>
      </c>
      <c r="D5">
        <v>1.011355</v>
      </c>
      <c r="E5" t="s">
        <v>1827</v>
      </c>
      <c r="F5">
        <v>2025</v>
      </c>
      <c r="G5" t="s">
        <v>3627</v>
      </c>
      <c r="H5" s="6">
        <v>46077</v>
      </c>
      <c r="I5">
        <v>5</v>
      </c>
      <c r="J5">
        <v>25825830</v>
      </c>
      <c r="K5">
        <v>159323</v>
      </c>
      <c r="L5" t="s">
        <v>3628</v>
      </c>
      <c r="O5" t="str">
        <f>_xll.BDS("HRL US Equity","SUPPLY_CHAIN_CUSTOMERS_ALL_DATA","cols=12;rows=5")</f>
        <v>WMT US Equity</v>
      </c>
      <c r="P5">
        <v>15.6</v>
      </c>
      <c r="Q5" t="s">
        <v>1822</v>
      </c>
      <c r="R5">
        <v>0.35771500000000001</v>
      </c>
      <c r="S5" t="s">
        <v>1814</v>
      </c>
      <c r="T5">
        <v>2025</v>
      </c>
      <c r="U5" t="s">
        <v>3800</v>
      </c>
      <c r="V5" s="6">
        <v>45996</v>
      </c>
      <c r="W5">
        <v>5</v>
      </c>
      <c r="X5">
        <v>472140224</v>
      </c>
      <c r="Y5">
        <v>101616</v>
      </c>
      <c r="Z5" t="s">
        <v>2143</v>
      </c>
      <c r="AE5" t="str">
        <f>_xll.BDS("NUAN US Equity","SUPPLY_CHAIN_SUPPLIERS_ALL_DATA")</f>
        <v>#N/A N/A</v>
      </c>
      <c r="AS5" t="str">
        <f>_xll.BDS("NUAN US Equity","SUPPLY_CHAIN_CUSTOMERS_ALL_DATA")</f>
        <v>#N/A N/A</v>
      </c>
      <c r="BI5" t="str">
        <f>_xll.BDS("AGEN US Equity","SUPPLY_CHAIN_SUPPLIERS_ALL_DATA","cols=12;rows=5")</f>
        <v>4476731Z US Equity</v>
      </c>
      <c r="BK5">
        <v>-2.4245362661989844E-14</v>
      </c>
      <c r="BL5">
        <v>-2.4245362661989844E-14</v>
      </c>
      <c r="BM5" t="s">
        <v>1814</v>
      </c>
      <c r="BN5">
        <v>2024</v>
      </c>
      <c r="BO5" t="s">
        <v>3493</v>
      </c>
      <c r="BP5" s="6">
        <v>45733</v>
      </c>
      <c r="BQ5">
        <v>5</v>
      </c>
      <c r="BR5">
        <v>-2.4245362661989844E-14</v>
      </c>
      <c r="BS5">
        <v>7266192</v>
      </c>
      <c r="BT5" t="s">
        <v>3518</v>
      </c>
      <c r="BW5" t="str">
        <f>_xll.BDS("AGEN US Equity","SUPPLY_CHAIN_CUSTOMERS_ALL_DATA","cols=12;rows=5")</f>
        <v>0243048Z US Equity</v>
      </c>
      <c r="BX5">
        <v>-2.4245362661989844E-14</v>
      </c>
      <c r="BZ5">
        <v>-2.4245362661989844E-14</v>
      </c>
      <c r="CA5" t="s">
        <v>1814</v>
      </c>
      <c r="CB5">
        <v>2024</v>
      </c>
      <c r="CC5" t="s">
        <v>3493</v>
      </c>
      <c r="CD5" s="6">
        <v>45733</v>
      </c>
      <c r="CE5">
        <v>5</v>
      </c>
      <c r="CF5">
        <v>-2.4245362661989844E-14</v>
      </c>
      <c r="CG5">
        <v>14724479</v>
      </c>
      <c r="CH5" t="s">
        <v>3494</v>
      </c>
      <c r="CM5" t="str">
        <f>_xll.BDS("ZD US Equity","SUPPLY_CHAIN_SUPPLIERS_ALL_DATA","cols=12;rows=5")</f>
        <v>ANET US Equity</v>
      </c>
      <c r="CO5">
        <v>-2.4245362661989844E-14</v>
      </c>
      <c r="CP5">
        <v>-2.4245362661989844E-14</v>
      </c>
      <c r="CQ5" t="s">
        <v>1806</v>
      </c>
      <c r="CR5">
        <v>2025</v>
      </c>
      <c r="CS5" t="s">
        <v>3288</v>
      </c>
      <c r="CT5" s="6">
        <v>45819</v>
      </c>
      <c r="CU5">
        <v>5</v>
      </c>
      <c r="CV5">
        <v>-2.4245362661989844E-14</v>
      </c>
      <c r="CW5">
        <v>16532368</v>
      </c>
      <c r="CX5" t="s">
        <v>3289</v>
      </c>
      <c r="DA5" t="str">
        <f>_xll.BDS("ZD US Equity","SUPPLY_CHAIN_CUSTOMERS_ALL_DATA","cols=12;rows=5")</f>
        <v>SNX US Equity</v>
      </c>
      <c r="DB5">
        <v>1.1346080000000001</v>
      </c>
      <c r="DC5" t="s">
        <v>1822</v>
      </c>
      <c r="DD5">
        <v>2.5498E-2</v>
      </c>
      <c r="DE5" t="s">
        <v>1827</v>
      </c>
      <c r="DF5">
        <v>2025</v>
      </c>
      <c r="DG5" t="s">
        <v>1850</v>
      </c>
      <c r="DH5" s="6">
        <v>46056</v>
      </c>
      <c r="DI5">
        <v>5</v>
      </c>
      <c r="DJ5">
        <v>4126696</v>
      </c>
      <c r="DK5">
        <v>1499717</v>
      </c>
      <c r="DL5" t="s">
        <v>1851</v>
      </c>
      <c r="DQ5" t="str">
        <f>_xll.BDS("355488Q US Equity","SUPPLY_CHAIN_SUPPLIERS_ALL_DATA")</f>
        <v>#N/A N/A</v>
      </c>
      <c r="EE5" t="str">
        <f>_xll.BDS("355488Q US Equity","SUPPLY_CHAIN_CUSTOMERS_ALL_DATA")</f>
        <v>#N/A N/A</v>
      </c>
      <c r="EU5" t="str">
        <f>_xll.BDS("NFBK US Equity","SUPPLY_CHAIN_SUPPLIERS_ALL_DATA")</f>
        <v>#N/A N/A</v>
      </c>
      <c r="FI5" t="str">
        <f>_xll.BDS("NFBK US Equity","SUPPLY_CHAIN_CUSTOMERS_ALL_DATA")</f>
        <v>#N/A N/A</v>
      </c>
      <c r="FY5" t="str">
        <f>_xll.BDS("PACW US Equity","SUPPLY_CHAIN_SUPPLIERS_ALL_DATA")</f>
        <v>#N/A N/A</v>
      </c>
      <c r="GM5" t="str">
        <f>_xll.BDS("PACW US Equity","SUPPLY_CHAIN_CUSTOMERS_ALL_DATA")</f>
        <v>SNX US Equity</v>
      </c>
      <c r="HC5" t="str">
        <f>_xll.BDS("LRNS US Equity","SUPPLY_CHAIN_SUPPLIERS_ALL_DATA")</f>
        <v>#N/A N/A</v>
      </c>
      <c r="HQ5" t="str">
        <f>_xll.BDS("LRNS US Equity","SUPPLY_CHAIN_CUSTOMERS_ALL_DATA")</f>
        <v>#N/A N/A</v>
      </c>
      <c r="IG5" t="str">
        <f>_xll.BDS("VIVO US Equity","SUPPLY_CHAIN_SUPPLIERS_ALL_DATA","cols=12;rows=5")</f>
        <v>0360489Z US Equity</v>
      </c>
      <c r="II5">
        <v>-2.4245362661989844E-14</v>
      </c>
      <c r="IJ5">
        <v>-2.4245362661989844E-14</v>
      </c>
      <c r="IK5" t="s">
        <v>1814</v>
      </c>
      <c r="IL5">
        <v>2022</v>
      </c>
      <c r="IM5" t="s">
        <v>2134</v>
      </c>
      <c r="IN5" s="6">
        <v>44887</v>
      </c>
      <c r="IO5">
        <v>5</v>
      </c>
      <c r="IP5">
        <v>-2.4245362661989844E-14</v>
      </c>
      <c r="IQ5">
        <v>946185</v>
      </c>
      <c r="IR5" t="s">
        <v>2639</v>
      </c>
      <c r="IU5" t="str">
        <f>_xll.BDS("VIVO US Equity","SUPPLY_CHAIN_CUSTOMERS_ALL_DATA")</f>
        <v>#N/A N/A</v>
      </c>
      <c r="JK5" t="str">
        <f>_xll.BDS("FDC US Equity","SUPPLY_CHAIN_SUPPLIERS_ALL_DATA")</f>
        <v>#N/A N/A</v>
      </c>
      <c r="JY5" t="str">
        <f>_xll.BDS("FDC US Equity","SUPPLY_CHAIN_CUSTOMERS_ALL_DATA")</f>
        <v>#N/A N/A</v>
      </c>
      <c r="KO5" t="str">
        <f>_xll.BDS("BTFG US Equity","SUPPLY_CHAIN_SUPPLIERS_ALL_DATA")</f>
        <v>#N/A N/A</v>
      </c>
      <c r="LC5" t="str">
        <f>_xll.BDS("BTFG US Equity","SUPPLY_CHAIN_CUSTOMERS_ALL_DATA")</f>
        <v>#N/A N/A</v>
      </c>
      <c r="LS5" t="str">
        <f>_xll.BDS("ADRX US Equity","SUPPLY_CHAIN_SUPPLIERS_ALL_DATA")</f>
        <v>#N/A N/A</v>
      </c>
      <c r="MG5" t="str">
        <f>_xll.BDS("ADRX US Equity","SUPPLY_CHAIN_CUSTOMERS_ALL_DATA")</f>
        <v>#N/A N/A</v>
      </c>
      <c r="MW5" t="str">
        <f>_xll.BDS("OSIP US Equity","SUPPLY_CHAIN_SUPPLIERS_ALL_DATA")</f>
        <v>#N/A N/A</v>
      </c>
      <c r="NK5" t="str">
        <f>_xll.BDS("OSIP US Equity","SUPPLY_CHAIN_CUSTOMERS_ALL_DATA")</f>
        <v>#N/A N/A</v>
      </c>
      <c r="OA5" t="str">
        <f>_xll.BDS("CRMT US Equity","SUPPLY_CHAIN_SUPPLIERS_ALL_DATA","cols=12;rows=1")</f>
        <v>SNS AU Equity</v>
      </c>
      <c r="OC5">
        <v>-2.4245362661989844E-14</v>
      </c>
      <c r="OD5">
        <v>-2.4245362661989844E-14</v>
      </c>
      <c r="OE5" t="s">
        <v>1814</v>
      </c>
      <c r="OF5">
        <v>2022</v>
      </c>
      <c r="OG5" t="s">
        <v>3000</v>
      </c>
      <c r="OH5" s="6">
        <v>44834</v>
      </c>
      <c r="OI5">
        <v>1</v>
      </c>
      <c r="OJ5">
        <v>-2.4245362661989844E-14</v>
      </c>
      <c r="OK5">
        <v>11762003</v>
      </c>
      <c r="OL5" t="s">
        <v>3001</v>
      </c>
      <c r="OO5" t="str">
        <f>_xll.BDS("CRMT US Equity","SUPPLY_CHAIN_CUSTOMERS_ALL_DATA")</f>
        <v>#N/A N/A</v>
      </c>
      <c r="PE5" t="str">
        <f>_xll.BDS("TSICQ US Equity","SUPPLY_CHAIN_SUPPLIERS_ALL_DATA")</f>
        <v>#N/A N/A</v>
      </c>
      <c r="PS5" t="str">
        <f>_xll.BDS("TSICQ US Equity","SUPPLY_CHAIN_CUSTOMERS_ALL_DATA")</f>
        <v>#N/A N/A</v>
      </c>
      <c r="QI5" t="str">
        <f>_xll.BDS("VSNT US Equity","SUPPLY_CHAIN_SUPPLIERS_ALL_DATA","cols=12;rows=3")</f>
        <v>LION US Equity</v>
      </c>
      <c r="QK5">
        <v>-2.4245362661989844E-14</v>
      </c>
      <c r="QL5">
        <v>-2.4245362661989844E-14</v>
      </c>
      <c r="QM5" t="s">
        <v>1814</v>
      </c>
      <c r="QN5">
        <v>2025</v>
      </c>
      <c r="QO5" t="s">
        <v>3982</v>
      </c>
      <c r="QP5" s="6">
        <v>45867</v>
      </c>
      <c r="QQ5">
        <v>3</v>
      </c>
      <c r="QR5">
        <v>-2.4245362661989844E-14</v>
      </c>
      <c r="QS5">
        <v>71992941</v>
      </c>
      <c r="QT5" t="s">
        <v>3983</v>
      </c>
      <c r="QW5" t="str">
        <f>_xll.BDS("VSNT US Equity","SUPPLY_CHAIN_CUSTOMERS_ALL_DATA","cols=12;rows=1")</f>
        <v>FUBO US Equity</v>
      </c>
      <c r="QX5">
        <v>-2.4245362661989844E-14</v>
      </c>
      <c r="QZ5">
        <v>-2.4245362661989844E-14</v>
      </c>
      <c r="RA5" t="s">
        <v>1810</v>
      </c>
      <c r="RB5">
        <v>2024</v>
      </c>
      <c r="RC5" t="s">
        <v>3940</v>
      </c>
      <c r="RD5" s="6">
        <v>45663</v>
      </c>
      <c r="RE5">
        <v>1</v>
      </c>
      <c r="RF5">
        <v>-2.4245362661989844E-14</v>
      </c>
      <c r="RG5">
        <v>28707504</v>
      </c>
      <c r="RH5" t="s">
        <v>3941</v>
      </c>
      <c r="RM5" t="str">
        <f>_xll.BDS("UMPQ US Equity","SUPPLY_CHAIN_SUPPLIERS_ALL_DATA")</f>
        <v>#N/A N/A</v>
      </c>
      <c r="SA5" t="str">
        <f>_xll.BDS("UMPQ US Equity","SUPPLY_CHAIN_CUSTOMERS_ALL_DATA")</f>
        <v>#N/A N/A</v>
      </c>
      <c r="SQ5" t="str">
        <f>_xll.BDS("PXFG US Equity","SUPPLY_CHAIN_SUPPLIERS_ALL_DATA")</f>
        <v>#N/A N/A</v>
      </c>
      <c r="TE5" t="str">
        <f>_xll.BDS("PXFG US Equity","SUPPLY_CHAIN_CUSTOMERS_ALL_DATA")</f>
        <v>#N/A N/A</v>
      </c>
      <c r="TU5" t="str">
        <f>_xll.BDS("AVT US Equity","SUPPLY_CHAIN_SUPPLIERS_ALL_DATA","cols=12;rows=5")</f>
        <v>NXPI US Equity</v>
      </c>
      <c r="TV5" t="s">
        <v>1822</v>
      </c>
      <c r="TW5">
        <v>23</v>
      </c>
      <c r="TX5">
        <v>13.637885000000001</v>
      </c>
      <c r="TY5" t="s">
        <v>1814</v>
      </c>
      <c r="TZ5">
        <v>2025</v>
      </c>
      <c r="UA5" t="s">
        <v>3553</v>
      </c>
      <c r="UB5" s="6">
        <v>46072</v>
      </c>
      <c r="UC5">
        <v>5</v>
      </c>
      <c r="UD5">
        <v>705467520</v>
      </c>
      <c r="UE5">
        <v>11109358</v>
      </c>
      <c r="UF5" t="s">
        <v>3554</v>
      </c>
      <c r="UI5" t="str">
        <f>_xll.BDS("AVT US Equity","SUPPLY_CHAIN_CUSTOMERS_ALL_DATA","cols=12;rows=5")</f>
        <v>005930 KS Equity</v>
      </c>
      <c r="UJ5">
        <v>0.32775599999999999</v>
      </c>
      <c r="UK5" t="s">
        <v>1822</v>
      </c>
      <c r="UL5">
        <v>5.2585E-2</v>
      </c>
      <c r="UM5" t="s">
        <v>1823</v>
      </c>
      <c r="UN5">
        <v>2025</v>
      </c>
      <c r="UO5" t="s">
        <v>3466</v>
      </c>
      <c r="UP5" s="6">
        <v>45952</v>
      </c>
      <c r="UQ5">
        <v>5</v>
      </c>
      <c r="UR5">
        <v>18434370.91</v>
      </c>
      <c r="US5">
        <v>117929</v>
      </c>
      <c r="UT5" t="s">
        <v>2103</v>
      </c>
      <c r="UY5" t="str">
        <f>_xll.BDS("HCMC US Equity","SUPPLY_CHAIN_SUPPLIERS_ALL_DATA","cols=12;rows=2")</f>
        <v>ADFL IN Equity</v>
      </c>
      <c r="VA5">
        <v>-2.4245362661989844E-14</v>
      </c>
      <c r="VB5">
        <v>-2.4245362661989844E-14</v>
      </c>
      <c r="VC5" t="s">
        <v>1810</v>
      </c>
      <c r="VD5">
        <v>2026</v>
      </c>
      <c r="VE5" t="s">
        <v>3283</v>
      </c>
      <c r="VF5" s="6">
        <v>46056</v>
      </c>
      <c r="VG5">
        <v>2</v>
      </c>
      <c r="VH5">
        <v>-2.4245362661989844E-14</v>
      </c>
      <c r="VI5">
        <v>183281</v>
      </c>
      <c r="VJ5" t="s">
        <v>3284</v>
      </c>
      <c r="VM5" t="str">
        <f>_xll.BDS("HCMC US Equity","SUPPLY_CHAIN_CUSTOMERS_ALL_DATA","cols=12;rows=1")</f>
        <v>AMZN US Equity</v>
      </c>
      <c r="VN5">
        <v>-2.4245362661989844E-14</v>
      </c>
      <c r="VP5">
        <v>-2.4245362661989844E-14</v>
      </c>
      <c r="VQ5" t="s">
        <v>1814</v>
      </c>
      <c r="VR5">
        <v>2021</v>
      </c>
      <c r="VS5" t="s">
        <v>3271</v>
      </c>
      <c r="VT5" s="6">
        <v>44651</v>
      </c>
      <c r="VU5">
        <v>1</v>
      </c>
      <c r="VV5">
        <v>-2.4245362661989844E-14</v>
      </c>
      <c r="VW5">
        <v>216952</v>
      </c>
      <c r="VX5" t="s">
        <v>2101</v>
      </c>
    </row>
    <row r="6" spans="1:600" x14ac:dyDescent="0.25">
      <c r="A6" t="s">
        <v>133</v>
      </c>
      <c r="B6" t="s">
        <v>1822</v>
      </c>
      <c r="C6">
        <v>0.127578</v>
      </c>
      <c r="D6">
        <v>0.19661100000000001</v>
      </c>
      <c r="E6" t="s">
        <v>1827</v>
      </c>
      <c r="F6">
        <v>2025</v>
      </c>
      <c r="G6" t="s">
        <v>3616</v>
      </c>
      <c r="H6" s="6">
        <v>46071</v>
      </c>
      <c r="I6">
        <v>5</v>
      </c>
      <c r="J6">
        <v>5020641</v>
      </c>
      <c r="K6">
        <v>100499</v>
      </c>
      <c r="L6" t="s">
        <v>3093</v>
      </c>
      <c r="O6" t="s">
        <v>2145</v>
      </c>
      <c r="P6">
        <v>7.5781460000000003</v>
      </c>
      <c r="Q6" t="s">
        <v>1822</v>
      </c>
      <c r="R6">
        <v>0.30097699999999999</v>
      </c>
      <c r="S6" t="s">
        <v>1827</v>
      </c>
      <c r="T6">
        <v>2025</v>
      </c>
      <c r="U6" t="s">
        <v>3801</v>
      </c>
      <c r="V6" s="6">
        <v>45996</v>
      </c>
      <c r="W6">
        <v>5</v>
      </c>
      <c r="X6">
        <v>225843856</v>
      </c>
      <c r="Y6">
        <v>101758</v>
      </c>
      <c r="Z6" t="s">
        <v>2147</v>
      </c>
      <c r="BI6" t="s">
        <v>2441</v>
      </c>
      <c r="BK6">
        <v>-2.4245362661989844E-14</v>
      </c>
      <c r="BL6">
        <v>-2.4245362661989844E-14</v>
      </c>
      <c r="BM6" t="s">
        <v>1814</v>
      </c>
      <c r="BN6">
        <v>2022</v>
      </c>
      <c r="BO6" t="s">
        <v>3496</v>
      </c>
      <c r="BP6" s="6">
        <v>45001</v>
      </c>
      <c r="BQ6">
        <v>5</v>
      </c>
      <c r="BR6">
        <v>-2.4245362661989844E-14</v>
      </c>
      <c r="BS6">
        <v>1456450</v>
      </c>
      <c r="BT6" t="s">
        <v>2442</v>
      </c>
      <c r="BW6" t="s">
        <v>3495</v>
      </c>
      <c r="BX6">
        <v>-2.4245362661989844E-14</v>
      </c>
      <c r="BZ6">
        <v>-2.4245362661989844E-14</v>
      </c>
      <c r="CA6" t="s">
        <v>1814</v>
      </c>
      <c r="CB6">
        <v>2022</v>
      </c>
      <c r="CC6" t="s">
        <v>3496</v>
      </c>
      <c r="CD6" s="6">
        <v>45001</v>
      </c>
      <c r="CE6">
        <v>5</v>
      </c>
      <c r="CF6">
        <v>-2.4245362661989844E-14</v>
      </c>
      <c r="CG6">
        <v>51237588</v>
      </c>
      <c r="CH6" t="s">
        <v>3497</v>
      </c>
      <c r="CM6" t="s">
        <v>3290</v>
      </c>
      <c r="CO6">
        <v>-2.4245362661989844E-14</v>
      </c>
      <c r="CP6">
        <v>-2.4245362661989844E-14</v>
      </c>
      <c r="CQ6" t="s">
        <v>1810</v>
      </c>
      <c r="CR6">
        <v>2025</v>
      </c>
      <c r="CS6" t="s">
        <v>3291</v>
      </c>
      <c r="CT6" s="6">
        <v>45637</v>
      </c>
      <c r="CU6">
        <v>5</v>
      </c>
      <c r="CV6">
        <v>-2.4245362661989844E-14</v>
      </c>
      <c r="CW6">
        <v>28458029</v>
      </c>
      <c r="CX6" t="s">
        <v>3292</v>
      </c>
      <c r="DA6" t="s">
        <v>1826</v>
      </c>
      <c r="DB6">
        <v>4.8994000000000003E-2</v>
      </c>
      <c r="DC6" t="s">
        <v>1822</v>
      </c>
      <c r="DD6">
        <v>1.2692999999999999E-2</v>
      </c>
      <c r="DE6" t="s">
        <v>1827</v>
      </c>
      <c r="DF6">
        <v>2025</v>
      </c>
      <c r="DG6" t="s">
        <v>1828</v>
      </c>
      <c r="DH6" s="6">
        <v>46091</v>
      </c>
      <c r="DI6">
        <v>5</v>
      </c>
      <c r="DJ6">
        <v>199263</v>
      </c>
      <c r="DK6">
        <v>156637</v>
      </c>
      <c r="DL6" t="s">
        <v>1829</v>
      </c>
      <c r="IG6" t="s">
        <v>3846</v>
      </c>
      <c r="II6">
        <v>-2.4245362661989844E-14</v>
      </c>
      <c r="IJ6">
        <v>-2.4245362661989844E-14</v>
      </c>
      <c r="IK6" t="s">
        <v>1814</v>
      </c>
      <c r="IL6">
        <v>2022</v>
      </c>
      <c r="IM6" t="s">
        <v>2134</v>
      </c>
      <c r="IN6" s="6">
        <v>44887</v>
      </c>
      <c r="IO6">
        <v>5</v>
      </c>
      <c r="IP6">
        <v>-2.4245362661989844E-14</v>
      </c>
      <c r="IQ6">
        <v>113553</v>
      </c>
      <c r="IR6" t="s">
        <v>3847</v>
      </c>
      <c r="QI6" t="s">
        <v>3984</v>
      </c>
      <c r="QK6">
        <v>-2.4245362661989844E-14</v>
      </c>
      <c r="QL6">
        <v>-2.4245362661989844E-14</v>
      </c>
      <c r="QM6" t="s">
        <v>1814</v>
      </c>
      <c r="QN6">
        <v>2025</v>
      </c>
      <c r="QO6" t="s">
        <v>3985</v>
      </c>
      <c r="QP6" s="6">
        <v>46037</v>
      </c>
      <c r="QQ6">
        <v>3</v>
      </c>
      <c r="QR6">
        <v>-2.4245362661989844E-14</v>
      </c>
      <c r="QS6">
        <v>179734</v>
      </c>
      <c r="QT6" t="s">
        <v>3986</v>
      </c>
      <c r="TU6" t="s">
        <v>1924</v>
      </c>
      <c r="TV6" t="s">
        <v>1822</v>
      </c>
      <c r="TW6">
        <v>2.7653910000000002</v>
      </c>
      <c r="TX6">
        <v>10.856536</v>
      </c>
      <c r="TY6" t="s">
        <v>1823</v>
      </c>
      <c r="TZ6">
        <v>2025</v>
      </c>
      <c r="UA6" t="s">
        <v>1925</v>
      </c>
      <c r="UB6" s="6">
        <v>46065</v>
      </c>
      <c r="UC6">
        <v>5</v>
      </c>
      <c r="UD6">
        <v>614036672</v>
      </c>
      <c r="UE6">
        <v>130929</v>
      </c>
      <c r="UF6" t="s">
        <v>1926</v>
      </c>
      <c r="UI6" t="s">
        <v>2156</v>
      </c>
      <c r="UJ6">
        <v>2.2931E-2</v>
      </c>
      <c r="UK6" t="s">
        <v>1822</v>
      </c>
      <c r="UL6">
        <v>3.4938999999999998E-2</v>
      </c>
      <c r="UM6" t="s">
        <v>1823</v>
      </c>
      <c r="UN6">
        <v>2025</v>
      </c>
      <c r="UO6" t="s">
        <v>3467</v>
      </c>
      <c r="UP6" s="6">
        <v>45908</v>
      </c>
      <c r="UQ6">
        <v>5</v>
      </c>
      <c r="UR6">
        <v>1288502.0900000001</v>
      </c>
      <c r="US6">
        <v>304299</v>
      </c>
      <c r="UT6" t="s">
        <v>2157</v>
      </c>
      <c r="UY6" t="s">
        <v>3285</v>
      </c>
      <c r="VA6">
        <v>-2.4245362661989844E-14</v>
      </c>
      <c r="VB6">
        <v>-2.4245362661989844E-14</v>
      </c>
      <c r="VC6" t="s">
        <v>1814</v>
      </c>
      <c r="VD6">
        <v>2021</v>
      </c>
      <c r="VE6" t="s">
        <v>3271</v>
      </c>
      <c r="VF6" s="6">
        <v>44651</v>
      </c>
      <c r="VG6">
        <v>2</v>
      </c>
      <c r="VH6">
        <v>-2.4245362661989844E-14</v>
      </c>
      <c r="VI6">
        <v>196139</v>
      </c>
      <c r="VJ6" t="s">
        <v>3286</v>
      </c>
    </row>
    <row r="7" spans="1:600" x14ac:dyDescent="0.25">
      <c r="A7" t="s">
        <v>2194</v>
      </c>
      <c r="B7" t="s">
        <v>1949</v>
      </c>
      <c r="C7">
        <v>8.3598000000000006E-2</v>
      </c>
      <c r="D7">
        <v>0.33368500000000001</v>
      </c>
      <c r="E7" t="s">
        <v>1806</v>
      </c>
      <c r="F7">
        <v>2026</v>
      </c>
      <c r="G7" t="s">
        <v>2195</v>
      </c>
      <c r="H7" s="6">
        <v>46049</v>
      </c>
      <c r="I7">
        <v>5</v>
      </c>
      <c r="J7">
        <v>259359</v>
      </c>
      <c r="K7">
        <v>386537</v>
      </c>
      <c r="L7" t="s">
        <v>2196</v>
      </c>
      <c r="O7" t="s">
        <v>3458</v>
      </c>
      <c r="P7">
        <v>5.3304210000000003</v>
      </c>
      <c r="Q7" t="s">
        <v>1822</v>
      </c>
      <c r="R7">
        <v>0.61200100000000002</v>
      </c>
      <c r="S7" t="s">
        <v>1827</v>
      </c>
      <c r="T7">
        <v>2025</v>
      </c>
      <c r="U7" t="s">
        <v>3801</v>
      </c>
      <c r="V7" s="6">
        <v>45996</v>
      </c>
      <c r="W7">
        <v>5</v>
      </c>
      <c r="X7">
        <v>158857168</v>
      </c>
      <c r="Y7">
        <v>100864</v>
      </c>
      <c r="Z7" t="s">
        <v>3459</v>
      </c>
      <c r="BI7" t="s">
        <v>765</v>
      </c>
      <c r="BK7">
        <v>-2.4245362661989844E-14</v>
      </c>
      <c r="BL7">
        <v>-2.4245362661989844E-14</v>
      </c>
      <c r="BM7" t="s">
        <v>1814</v>
      </c>
      <c r="BN7">
        <v>2025</v>
      </c>
      <c r="BO7" t="s">
        <v>3519</v>
      </c>
      <c r="BP7" s="6">
        <v>46080</v>
      </c>
      <c r="BQ7">
        <v>5</v>
      </c>
      <c r="BR7">
        <v>-2.4245362661989844E-14</v>
      </c>
      <c r="BS7">
        <v>116723</v>
      </c>
      <c r="BT7" t="s">
        <v>1980</v>
      </c>
      <c r="BW7" t="s">
        <v>3498</v>
      </c>
      <c r="BX7">
        <v>-2.4245362661989844E-14</v>
      </c>
      <c r="BZ7">
        <v>-2.4245362661989844E-14</v>
      </c>
      <c r="CA7" t="s">
        <v>1814</v>
      </c>
      <c r="CB7">
        <v>2024</v>
      </c>
      <c r="CC7" t="s">
        <v>3499</v>
      </c>
      <c r="CD7" s="6">
        <v>45399</v>
      </c>
      <c r="CE7">
        <v>5</v>
      </c>
      <c r="CF7">
        <v>-2.4245362661989844E-14</v>
      </c>
      <c r="CG7">
        <v>50176896</v>
      </c>
      <c r="CH7" t="s">
        <v>3500</v>
      </c>
      <c r="CM7" t="s">
        <v>3134</v>
      </c>
      <c r="CO7">
        <v>-2.4245362661989844E-14</v>
      </c>
      <c r="CP7">
        <v>-2.4245362661989844E-14</v>
      </c>
      <c r="CQ7" t="s">
        <v>1823</v>
      </c>
      <c r="CR7">
        <v>2025</v>
      </c>
      <c r="CS7" t="s">
        <v>3293</v>
      </c>
      <c r="CT7" s="6">
        <v>45931</v>
      </c>
      <c r="CU7">
        <v>5</v>
      </c>
      <c r="CV7">
        <v>-2.4245362661989844E-14</v>
      </c>
      <c r="CW7">
        <v>225275</v>
      </c>
      <c r="CX7" t="s">
        <v>3136</v>
      </c>
      <c r="DA7" t="s">
        <v>3246</v>
      </c>
      <c r="DB7">
        <v>-2.4245362661989844E-14</v>
      </c>
      <c r="DD7">
        <v>-2.4245362661989844E-14</v>
      </c>
      <c r="DE7" t="s">
        <v>1814</v>
      </c>
      <c r="DF7">
        <v>2024</v>
      </c>
      <c r="DG7" t="s">
        <v>3247</v>
      </c>
      <c r="DH7" s="6">
        <v>45405</v>
      </c>
      <c r="DI7">
        <v>5</v>
      </c>
      <c r="DJ7">
        <v>-2.4245362661989844E-14</v>
      </c>
      <c r="DK7">
        <v>49726936</v>
      </c>
      <c r="DL7" t="s">
        <v>3248</v>
      </c>
      <c r="IG7" t="s">
        <v>2050</v>
      </c>
      <c r="II7">
        <v>-2.4245362661989844E-14</v>
      </c>
      <c r="IJ7">
        <v>-2.4245362661989844E-14</v>
      </c>
      <c r="IK7" t="s">
        <v>1814</v>
      </c>
      <c r="IL7">
        <v>2021</v>
      </c>
      <c r="IM7" t="s">
        <v>2051</v>
      </c>
      <c r="IN7" s="6">
        <v>44693</v>
      </c>
      <c r="IO7">
        <v>5</v>
      </c>
      <c r="IP7">
        <v>-2.4245362661989844E-14</v>
      </c>
      <c r="IQ7">
        <v>100481</v>
      </c>
      <c r="IR7" t="s">
        <v>2052</v>
      </c>
      <c r="QI7" t="s">
        <v>3987</v>
      </c>
      <c r="QK7">
        <v>-2.4245362661989844E-14</v>
      </c>
      <c r="QL7">
        <v>-2.4245362661989844E-14</v>
      </c>
      <c r="QM7" t="s">
        <v>1810</v>
      </c>
      <c r="QN7">
        <v>2025</v>
      </c>
      <c r="QO7" t="s">
        <v>3988</v>
      </c>
      <c r="QP7" s="6">
        <v>45967</v>
      </c>
      <c r="QQ7">
        <v>3</v>
      </c>
      <c r="QR7">
        <v>-2.4245362661989844E-14</v>
      </c>
      <c r="QS7">
        <v>41924717</v>
      </c>
      <c r="QT7" t="s">
        <v>3989</v>
      </c>
      <c r="TU7" t="s">
        <v>1940</v>
      </c>
      <c r="TV7" t="s">
        <v>1822</v>
      </c>
      <c r="TW7">
        <v>4.4623819999999998</v>
      </c>
      <c r="TX7">
        <v>8.1027819999999995</v>
      </c>
      <c r="TY7" t="s">
        <v>1823</v>
      </c>
      <c r="TZ7">
        <v>2026</v>
      </c>
      <c r="UA7" t="s">
        <v>3555</v>
      </c>
      <c r="UB7" s="6">
        <v>46063</v>
      </c>
      <c r="UC7">
        <v>5</v>
      </c>
      <c r="UD7">
        <v>458286624</v>
      </c>
      <c r="UE7">
        <v>100010</v>
      </c>
      <c r="UF7" t="s">
        <v>1942</v>
      </c>
      <c r="UI7" t="s">
        <v>3468</v>
      </c>
      <c r="UJ7">
        <v>9.7490000000000007E-3</v>
      </c>
      <c r="UK7" t="s">
        <v>1822</v>
      </c>
      <c r="UL7">
        <v>2.8011149999999998</v>
      </c>
      <c r="UM7" t="s">
        <v>1814</v>
      </c>
      <c r="UN7">
        <v>2024</v>
      </c>
      <c r="UO7" t="s">
        <v>3469</v>
      </c>
      <c r="UP7" s="6">
        <v>45769</v>
      </c>
      <c r="UQ7">
        <v>5</v>
      </c>
      <c r="UR7">
        <v>541353.6</v>
      </c>
      <c r="US7">
        <v>49153272</v>
      </c>
      <c r="UT7" t="s">
        <v>3470</v>
      </c>
    </row>
    <row r="8" spans="1:600" x14ac:dyDescent="0.25">
      <c r="A8" t="s">
        <v>3868</v>
      </c>
      <c r="B8" t="s">
        <v>1822</v>
      </c>
      <c r="C8">
        <v>9.6442E-2</v>
      </c>
      <c r="D8">
        <v>7.4640000000000001E-3</v>
      </c>
      <c r="E8" t="s">
        <v>1831</v>
      </c>
      <c r="F8">
        <v>2025</v>
      </c>
      <c r="G8" t="s">
        <v>3869</v>
      </c>
      <c r="H8" s="6">
        <v>45959</v>
      </c>
      <c r="I8">
        <v>5</v>
      </c>
      <c r="J8">
        <v>184909.18</v>
      </c>
      <c r="K8">
        <v>9583030</v>
      </c>
      <c r="L8" t="s">
        <v>3870</v>
      </c>
      <c r="O8" t="s">
        <v>3802</v>
      </c>
      <c r="P8">
        <v>3.1884250000000001</v>
      </c>
      <c r="Q8" t="s">
        <v>1822</v>
      </c>
      <c r="R8">
        <v>0.63098200000000004</v>
      </c>
      <c r="S8" t="s">
        <v>1827</v>
      </c>
      <c r="T8">
        <v>2025</v>
      </c>
      <c r="U8" t="s">
        <v>3801</v>
      </c>
      <c r="V8" s="6">
        <v>45996</v>
      </c>
      <c r="W8">
        <v>5</v>
      </c>
      <c r="X8">
        <v>95021416</v>
      </c>
      <c r="Y8">
        <v>47114179</v>
      </c>
      <c r="Z8" t="s">
        <v>3803</v>
      </c>
      <c r="BI8" t="s">
        <v>3520</v>
      </c>
      <c r="BK8">
        <v>-2.4245362661989844E-14</v>
      </c>
      <c r="BL8">
        <v>-2.4245362661989844E-14</v>
      </c>
      <c r="BM8" t="s">
        <v>1814</v>
      </c>
      <c r="BN8">
        <v>2024</v>
      </c>
      <c r="BO8" t="s">
        <v>3521</v>
      </c>
      <c r="BP8" s="6">
        <v>45733</v>
      </c>
      <c r="BQ8">
        <v>5</v>
      </c>
      <c r="BR8">
        <v>-2.4245362661989844E-14</v>
      </c>
      <c r="BS8">
        <v>107951</v>
      </c>
      <c r="BT8" t="s">
        <v>3522</v>
      </c>
      <c r="BW8" t="s">
        <v>3501</v>
      </c>
      <c r="BX8">
        <v>-2.4245362661989844E-14</v>
      </c>
      <c r="BZ8">
        <v>-2.4245362661989844E-14</v>
      </c>
      <c r="CA8" t="s">
        <v>1814</v>
      </c>
      <c r="CB8">
        <v>2024</v>
      </c>
      <c r="CC8" t="s">
        <v>3493</v>
      </c>
      <c r="CD8" s="6">
        <v>45733</v>
      </c>
      <c r="CE8">
        <v>5</v>
      </c>
      <c r="CF8">
        <v>-2.4245362661989844E-14</v>
      </c>
      <c r="CG8">
        <v>41186157</v>
      </c>
      <c r="CH8" t="s">
        <v>3502</v>
      </c>
      <c r="CM8" t="s">
        <v>2075</v>
      </c>
      <c r="CO8">
        <v>-2.4245362661989844E-14</v>
      </c>
      <c r="CP8">
        <v>-2.4245362661989844E-14</v>
      </c>
      <c r="CQ8" t="s">
        <v>1810</v>
      </c>
      <c r="CR8">
        <v>2025</v>
      </c>
      <c r="CS8" t="s">
        <v>3294</v>
      </c>
      <c r="CT8" s="6">
        <v>45957</v>
      </c>
      <c r="CU8">
        <v>5</v>
      </c>
      <c r="CV8">
        <v>-2.4245362661989844E-14</v>
      </c>
      <c r="CW8">
        <v>43152573</v>
      </c>
      <c r="CX8" t="s">
        <v>2077</v>
      </c>
      <c r="DA8" t="s">
        <v>3249</v>
      </c>
      <c r="DB8">
        <v>-2.4245362661989844E-14</v>
      </c>
      <c r="DD8">
        <v>-2.4245362661989844E-14</v>
      </c>
      <c r="DE8" t="s">
        <v>1814</v>
      </c>
      <c r="DF8">
        <v>2023</v>
      </c>
      <c r="DG8" t="s">
        <v>3250</v>
      </c>
      <c r="DH8" s="6">
        <v>45195</v>
      </c>
      <c r="DI8">
        <v>5</v>
      </c>
      <c r="DJ8">
        <v>-2.4245362661989844E-14</v>
      </c>
      <c r="DK8">
        <v>53083024</v>
      </c>
      <c r="DL8" t="s">
        <v>3251</v>
      </c>
      <c r="IG8" t="s">
        <v>1341</v>
      </c>
      <c r="II8">
        <v>-2.4245362661989844E-14</v>
      </c>
      <c r="IJ8">
        <v>-2.4245362661989844E-14</v>
      </c>
      <c r="IK8" t="s">
        <v>1814</v>
      </c>
      <c r="IL8">
        <v>2022</v>
      </c>
      <c r="IM8" t="s">
        <v>2134</v>
      </c>
      <c r="IN8" s="6">
        <v>44887</v>
      </c>
      <c r="IO8">
        <v>5</v>
      </c>
      <c r="IP8">
        <v>-2.4245362661989844E-14</v>
      </c>
      <c r="IQ8">
        <v>100972</v>
      </c>
      <c r="IR8" t="s">
        <v>3848</v>
      </c>
      <c r="TU8" t="s">
        <v>2247</v>
      </c>
      <c r="TV8" t="s">
        <v>1822</v>
      </c>
      <c r="TW8">
        <v>0.69696199999999997</v>
      </c>
      <c r="TX8">
        <v>7.0246810000000002</v>
      </c>
      <c r="TY8" t="s">
        <v>1823</v>
      </c>
      <c r="TZ8">
        <v>2026</v>
      </c>
      <c r="UA8" t="s">
        <v>3555</v>
      </c>
      <c r="UB8" s="6">
        <v>46063</v>
      </c>
      <c r="UC8">
        <v>5</v>
      </c>
      <c r="UD8">
        <v>397310112</v>
      </c>
      <c r="UE8">
        <v>313657</v>
      </c>
      <c r="UF8" t="s">
        <v>2248</v>
      </c>
      <c r="UI8" t="s">
        <v>3471</v>
      </c>
      <c r="UJ8">
        <v>3.3630000000000001E-3</v>
      </c>
      <c r="UK8" t="s">
        <v>1822</v>
      </c>
      <c r="UL8">
        <v>2.5916320000000002</v>
      </c>
      <c r="UM8" t="s">
        <v>1831</v>
      </c>
      <c r="UN8">
        <v>2025</v>
      </c>
      <c r="UO8" t="s">
        <v>3472</v>
      </c>
      <c r="UP8" s="6">
        <v>45974</v>
      </c>
      <c r="UQ8">
        <v>5</v>
      </c>
      <c r="UR8">
        <v>188733.74</v>
      </c>
      <c r="US8">
        <v>38417413</v>
      </c>
      <c r="UT8" t="s">
        <v>3473</v>
      </c>
    </row>
    <row r="9" spans="1:600" x14ac:dyDescent="0.25">
      <c r="A9" t="s">
        <v>3871</v>
      </c>
      <c r="C9">
        <v>-2.4245362661989844E-14</v>
      </c>
      <c r="D9">
        <v>-2.4245362661989844E-14</v>
      </c>
      <c r="E9" t="s">
        <v>1814</v>
      </c>
      <c r="F9">
        <v>2024</v>
      </c>
      <c r="G9" t="s">
        <v>3872</v>
      </c>
      <c r="H9" s="6">
        <v>45773</v>
      </c>
      <c r="I9">
        <v>5</v>
      </c>
      <c r="J9">
        <v>-2.4245362661989844E-14</v>
      </c>
      <c r="K9">
        <v>21756021</v>
      </c>
      <c r="L9" t="s">
        <v>3873</v>
      </c>
      <c r="O9" t="s">
        <v>974</v>
      </c>
      <c r="P9">
        <v>3.0039129999999998</v>
      </c>
      <c r="Q9" t="s">
        <v>1822</v>
      </c>
      <c r="R9">
        <v>0.51906200000000002</v>
      </c>
      <c r="S9" t="s">
        <v>1827</v>
      </c>
      <c r="T9">
        <v>2025</v>
      </c>
      <c r="U9" t="s">
        <v>3801</v>
      </c>
      <c r="V9" s="6">
        <v>45996</v>
      </c>
      <c r="W9">
        <v>5</v>
      </c>
      <c r="X9">
        <v>89522592</v>
      </c>
      <c r="Y9">
        <v>101433</v>
      </c>
      <c r="Z9" t="s">
        <v>3804</v>
      </c>
      <c r="BI9" t="s">
        <v>3523</v>
      </c>
      <c r="BK9">
        <v>-2.4245362661989844E-14</v>
      </c>
      <c r="BL9">
        <v>-2.4245362661989844E-14</v>
      </c>
      <c r="BM9" t="s">
        <v>1814</v>
      </c>
      <c r="BN9">
        <v>2025</v>
      </c>
      <c r="BO9" t="s">
        <v>3524</v>
      </c>
      <c r="BP9" s="6">
        <v>46037</v>
      </c>
      <c r="BQ9">
        <v>5</v>
      </c>
      <c r="BR9">
        <v>-2.4245362661989844E-14</v>
      </c>
      <c r="BS9">
        <v>815820</v>
      </c>
      <c r="BT9" t="s">
        <v>3525</v>
      </c>
      <c r="BW9" t="s">
        <v>2010</v>
      </c>
      <c r="BX9">
        <v>-2.4245362661989844E-14</v>
      </c>
      <c r="BZ9">
        <v>-2.4245362661989844E-14</v>
      </c>
      <c r="CA9" t="s">
        <v>1814</v>
      </c>
      <c r="CB9">
        <v>2024</v>
      </c>
      <c r="CC9" t="s">
        <v>3493</v>
      </c>
      <c r="CD9" s="6">
        <v>45733</v>
      </c>
      <c r="CE9">
        <v>5</v>
      </c>
      <c r="CF9">
        <v>-2.4245362661989844E-14</v>
      </c>
      <c r="CG9">
        <v>218252</v>
      </c>
      <c r="CH9" t="s">
        <v>2012</v>
      </c>
      <c r="CM9" t="s">
        <v>3295</v>
      </c>
      <c r="CO9">
        <v>-2.4245362661989844E-14</v>
      </c>
      <c r="CP9">
        <v>-2.4245362661989844E-14</v>
      </c>
      <c r="CQ9" t="s">
        <v>1810</v>
      </c>
      <c r="CR9">
        <v>2024</v>
      </c>
      <c r="CS9" t="s">
        <v>3296</v>
      </c>
      <c r="CT9" s="6">
        <v>45575</v>
      </c>
      <c r="CU9">
        <v>5</v>
      </c>
      <c r="CV9">
        <v>-2.4245362661989844E-14</v>
      </c>
      <c r="CW9">
        <v>180556</v>
      </c>
      <c r="CX9" t="s">
        <v>3297</v>
      </c>
      <c r="DA9" t="s">
        <v>3252</v>
      </c>
      <c r="DB9">
        <v>-2.4245362661989844E-14</v>
      </c>
      <c r="DD9">
        <v>-2.4245362661989844E-14</v>
      </c>
      <c r="DE9" t="s">
        <v>1814</v>
      </c>
      <c r="DF9">
        <v>2024</v>
      </c>
      <c r="DG9" t="s">
        <v>3253</v>
      </c>
      <c r="DH9" s="6">
        <v>45742</v>
      </c>
      <c r="DI9">
        <v>5</v>
      </c>
      <c r="DJ9">
        <v>-2.4245362661989844E-14</v>
      </c>
      <c r="DK9">
        <v>328286</v>
      </c>
      <c r="DL9" t="s">
        <v>3254</v>
      </c>
      <c r="IG9" t="s">
        <v>3849</v>
      </c>
      <c r="II9">
        <v>-2.4245362661989844E-14</v>
      </c>
      <c r="IJ9">
        <v>-2.4245362661989844E-14</v>
      </c>
      <c r="IK9" t="s">
        <v>1814</v>
      </c>
      <c r="IL9">
        <v>2021</v>
      </c>
      <c r="IM9" t="s">
        <v>3850</v>
      </c>
      <c r="IN9" s="6">
        <v>44693</v>
      </c>
      <c r="IO9">
        <v>5</v>
      </c>
      <c r="IP9">
        <v>-2.4245362661989844E-14</v>
      </c>
      <c r="IQ9">
        <v>100607</v>
      </c>
      <c r="IR9" t="s">
        <v>3851</v>
      </c>
      <c r="TU9" t="s">
        <v>3556</v>
      </c>
      <c r="TV9" t="s">
        <v>1822</v>
      </c>
      <c r="TW9">
        <v>2.9171480000000001</v>
      </c>
      <c r="TX9">
        <v>3.8580190000000001</v>
      </c>
      <c r="TY9" t="s">
        <v>1810</v>
      </c>
      <c r="TZ9">
        <v>2025</v>
      </c>
      <c r="UA9" t="s">
        <v>3557</v>
      </c>
      <c r="UB9" s="6">
        <v>46003</v>
      </c>
      <c r="UC9">
        <v>5</v>
      </c>
      <c r="UD9">
        <v>203850304</v>
      </c>
      <c r="UE9">
        <v>100496</v>
      </c>
      <c r="UF9" t="s">
        <v>3558</v>
      </c>
      <c r="UI9" t="s">
        <v>3474</v>
      </c>
      <c r="UJ9">
        <v>2.7060000000000001E-3</v>
      </c>
      <c r="UK9" t="s">
        <v>1822</v>
      </c>
      <c r="UL9">
        <v>9.5002829999999996</v>
      </c>
      <c r="UM9" t="s">
        <v>1814</v>
      </c>
      <c r="UN9">
        <v>2024</v>
      </c>
      <c r="UO9" t="s">
        <v>3475</v>
      </c>
      <c r="UP9" s="6">
        <v>45826</v>
      </c>
      <c r="UQ9">
        <v>5</v>
      </c>
      <c r="UR9">
        <v>151457.47</v>
      </c>
      <c r="US9">
        <v>7121552</v>
      </c>
      <c r="UT9" t="s">
        <v>3476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1381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1382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1383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1384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1385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1386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1387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1388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1389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1390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1391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1392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1393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1394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1395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1396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1397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1398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1399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162</v>
      </c>
      <c r="AE2" s="3" t="s">
        <v>285</v>
      </c>
      <c r="BI2" s="3" t="s">
        <v>1400</v>
      </c>
      <c r="CM2" s="3" t="s">
        <v>37</v>
      </c>
      <c r="DQ2" s="3" t="s">
        <v>1401</v>
      </c>
      <c r="EU2" s="3" t="s">
        <v>1402</v>
      </c>
      <c r="FY2" s="3" t="s">
        <v>1403</v>
      </c>
      <c r="HC2" s="3" t="s">
        <v>1404</v>
      </c>
      <c r="IG2" s="3" t="s">
        <v>511</v>
      </c>
      <c r="JK2" s="3" t="s">
        <v>1401</v>
      </c>
      <c r="KO2" s="3" t="s">
        <v>1023</v>
      </c>
      <c r="LS2" s="3" t="s">
        <v>1405</v>
      </c>
      <c r="MW2" s="3" t="s">
        <v>1406</v>
      </c>
      <c r="OA2" s="3" t="s">
        <v>1407</v>
      </c>
      <c r="PE2" s="3" t="s">
        <v>1408</v>
      </c>
      <c r="QI2" s="3" t="s">
        <v>1409</v>
      </c>
      <c r="RM2" s="3" t="s">
        <v>1410</v>
      </c>
      <c r="SQ2" s="3" t="s">
        <v>253</v>
      </c>
      <c r="TU2" s="3" t="s">
        <v>1411</v>
      </c>
      <c r="UY2" s="3" t="s">
        <v>589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_xll.BDS("PRK US Equity","SUPPLY_CHAIN_SUPPLIERS_ALL_DATA","cols=12;rows=1")</f>
        <v>WK US Equity</v>
      </c>
      <c r="C5">
        <v>-2.4245362661989844E-14</v>
      </c>
      <c r="D5">
        <v>-2.4245362661989844E-14</v>
      </c>
      <c r="E5" t="s">
        <v>1814</v>
      </c>
      <c r="F5">
        <v>2025</v>
      </c>
      <c r="G5" t="s">
        <v>2764</v>
      </c>
      <c r="H5" s="6">
        <v>46072</v>
      </c>
      <c r="I5">
        <v>1</v>
      </c>
      <c r="J5">
        <v>-2.4245362661989844E-14</v>
      </c>
      <c r="K5">
        <v>42839691</v>
      </c>
      <c r="L5" t="s">
        <v>2765</v>
      </c>
      <c r="O5" t="str">
        <f>_xll.BDS("PRK US Equity","SUPPLY_CHAIN_CUSTOMERS_ALL_DATA")</f>
        <v>#N/A N/A</v>
      </c>
      <c r="AE5" t="str">
        <f>_xll.BDS("CBU US Equity","SUPPLY_CHAIN_SUPPLIERS_ALL_DATA")</f>
        <v>#N/A N/A</v>
      </c>
      <c r="AS5" t="str">
        <f>_xll.BDS("CBU US Equity","SUPPLY_CHAIN_CUSTOMERS_ALL_DATA")</f>
        <v>#N/A N/A</v>
      </c>
      <c r="BI5" t="str">
        <f>_xll.BDS("AUTO US Equity","SUPPLY_CHAIN_SUPPLIERS_ALL_DATA","cols=12;rows=1")</f>
        <v>GOOGL US Equity</v>
      </c>
      <c r="BK5">
        <v>-2.4245362661989844E-14</v>
      </c>
      <c r="BL5">
        <v>-2.4245362661989844E-14</v>
      </c>
      <c r="BM5" t="s">
        <v>1814</v>
      </c>
      <c r="BN5">
        <v>2021</v>
      </c>
      <c r="BO5" t="s">
        <v>2555</v>
      </c>
      <c r="BP5" s="6">
        <v>44645</v>
      </c>
      <c r="BQ5">
        <v>1</v>
      </c>
      <c r="BR5">
        <v>-2.4245362661989844E-14</v>
      </c>
      <c r="BS5">
        <v>46946968</v>
      </c>
      <c r="BT5" t="s">
        <v>1816</v>
      </c>
      <c r="BW5" t="str">
        <f>_xll.BDS("AUTO US Equity","SUPPLY_CHAIN_CUSTOMERS_ALL_DATA","cols=12;rows=4")</f>
        <v>0125318D US Equity</v>
      </c>
      <c r="BX5">
        <v>-2.4245362661989844E-14</v>
      </c>
      <c r="BZ5">
        <v>-2.4245362661989844E-14</v>
      </c>
      <c r="CA5" t="s">
        <v>1806</v>
      </c>
      <c r="CB5">
        <v>2022</v>
      </c>
      <c r="CC5" t="s">
        <v>2552</v>
      </c>
      <c r="CD5" s="6">
        <v>44698</v>
      </c>
      <c r="CE5">
        <v>4</v>
      </c>
      <c r="CF5">
        <v>-2.4245362661989844E-14</v>
      </c>
      <c r="CG5">
        <v>20120169</v>
      </c>
      <c r="CH5" t="s">
        <v>2553</v>
      </c>
      <c r="CM5" t="str">
        <f>_xll.BDS("9990253D US Equity","SUPPLY_CHAIN_SUPPLIERS_ALL_DATA","cols=12;rows=1")</f>
        <v>FE US Equity</v>
      </c>
      <c r="CO5">
        <v>-2.4245362661989844E-14</v>
      </c>
      <c r="CP5">
        <v>-2.4245362661989844E-14</v>
      </c>
      <c r="CQ5" t="s">
        <v>1814</v>
      </c>
      <c r="CR5">
        <v>2021</v>
      </c>
      <c r="CS5" t="s">
        <v>1995</v>
      </c>
      <c r="CT5" s="6">
        <v>44693</v>
      </c>
      <c r="CU5">
        <v>1</v>
      </c>
      <c r="CV5">
        <v>-2.4245362661989844E-14</v>
      </c>
      <c r="CW5">
        <v>302916</v>
      </c>
      <c r="CX5" t="s">
        <v>1996</v>
      </c>
      <c r="DA5" t="str">
        <f>_xll.BDS("9990253D US Equity","SUPPLY_CHAIN_CUSTOMERS_ALL_DATA","cols=12;rows=5")</f>
        <v>0065069D US Equity</v>
      </c>
      <c r="DB5">
        <v>-2.4245362661989844E-14</v>
      </c>
      <c r="DD5">
        <v>-2.4245362661989844E-14</v>
      </c>
      <c r="DE5" t="s">
        <v>1814</v>
      </c>
      <c r="DF5">
        <v>2021</v>
      </c>
      <c r="DG5" t="s">
        <v>2388</v>
      </c>
      <c r="DH5" s="6">
        <v>44650</v>
      </c>
      <c r="DI5">
        <v>5</v>
      </c>
      <c r="DJ5">
        <v>-2.4245362661989844E-14</v>
      </c>
      <c r="DK5">
        <v>28515817</v>
      </c>
      <c r="DL5" t="s">
        <v>2389</v>
      </c>
      <c r="DQ5" t="str">
        <f>_xll.BDS("LARK US Equity","SUPPLY_CHAIN_SUPPLIERS_ALL_DATA")</f>
        <v>#N/A N/A</v>
      </c>
      <c r="EE5" t="str">
        <f>_xll.BDS("LARK US Equity","SUPPLY_CHAIN_CUSTOMERS_ALL_DATA")</f>
        <v>#N/A N/A</v>
      </c>
      <c r="EU5" t="str">
        <f>_xll.BDS("PFCI US Equity","SUPPLY_CHAIN_SUPPLIERS_ALL_DATA")</f>
        <v>#N/A N/A</v>
      </c>
      <c r="FI5" t="str">
        <f>_xll.BDS("PFCI US Equity","SUPPLY_CHAIN_CUSTOMERS_ALL_DATA")</f>
        <v>#N/A N/A</v>
      </c>
      <c r="FY5" t="str">
        <f>_xll.BDS("ABNK US Equity","SUPPLY_CHAIN_SUPPLIERS_ALL_DATA")</f>
        <v>#N/A N/A</v>
      </c>
      <c r="GM5" t="str">
        <f>_xll.BDS("ABNK US Equity","SUPPLY_CHAIN_CUSTOMERS_ALL_DATA")</f>
        <v>#N/A N/A</v>
      </c>
      <c r="HC5" t="str">
        <f>_xll.BDS("EBSB US Equity","SUPPLY_CHAIN_SUPPLIERS_ALL_DATA")</f>
        <v>#N/A N/A</v>
      </c>
      <c r="HQ5" t="str">
        <f>_xll.BDS("EBSB US Equity","SUPPLY_CHAIN_CUSTOMERS_ALL_DATA")</f>
        <v>#N/A N/A</v>
      </c>
      <c r="IG5" t="str">
        <f>_xll.BDS("DHR US Equity","SUPPLY_CHAIN_SUPPLIERS_ALL_DATA","cols=12;rows=5")</f>
        <v>FLEX US Equity</v>
      </c>
      <c r="IH5" t="s">
        <v>1822</v>
      </c>
      <c r="II5">
        <v>1.165869</v>
      </c>
      <c r="IJ5">
        <v>2.8864939999999999</v>
      </c>
      <c r="IK5" t="s">
        <v>1810</v>
      </c>
      <c r="IL5">
        <v>2025</v>
      </c>
      <c r="IM5" t="s">
        <v>1882</v>
      </c>
      <c r="IN5" s="6">
        <v>45763</v>
      </c>
      <c r="IO5">
        <v>5</v>
      </c>
      <c r="IP5">
        <v>76434368</v>
      </c>
      <c r="IQ5">
        <v>136547</v>
      </c>
      <c r="IR5" t="s">
        <v>1883</v>
      </c>
      <c r="IU5" t="str">
        <f>_xll.BDS("DHR US Equity","SUPPLY_CHAIN_CUSTOMERS_ALL_DATA","cols=12;rows=5")</f>
        <v>CDW US Equity</v>
      </c>
      <c r="IV5">
        <v>0.25350099999999998</v>
      </c>
      <c r="IW5" t="s">
        <v>1822</v>
      </c>
      <c r="IX5">
        <v>0.35698299999999999</v>
      </c>
      <c r="IY5" t="s">
        <v>1806</v>
      </c>
      <c r="IZ5">
        <v>2025</v>
      </c>
      <c r="JA5" t="s">
        <v>1841</v>
      </c>
      <c r="JB5" s="6">
        <v>45820</v>
      </c>
      <c r="JC5">
        <v>5</v>
      </c>
      <c r="JD5">
        <v>14553483</v>
      </c>
      <c r="JE5">
        <v>12129192</v>
      </c>
      <c r="JF5" t="s">
        <v>1842</v>
      </c>
      <c r="JK5" t="str">
        <f>_xll.BDS("LARK US Equity","SUPPLY_CHAIN_SUPPLIERS_ALL_DATA")</f>
        <v>#N/A N/A</v>
      </c>
      <c r="JY5" t="str">
        <f>_xll.BDS("LARK US Equity","SUPPLY_CHAIN_CUSTOMERS_ALL_DATA")</f>
        <v>#N/A N/A</v>
      </c>
      <c r="KO5" t="str">
        <f>_xll.BDS("623366Q US Equity","SUPPLY_CHAIN_SUPPLIERS_ALL_DATA","cols=12;rows=1")</f>
        <v>CSCO US Equity</v>
      </c>
      <c r="KQ5">
        <v>-2.4245362661989844E-14</v>
      </c>
      <c r="KR5">
        <v>-2.4245362661989844E-14</v>
      </c>
      <c r="KS5" t="s">
        <v>1814</v>
      </c>
      <c r="KT5">
        <v>2025</v>
      </c>
      <c r="KU5" t="s">
        <v>2657</v>
      </c>
      <c r="KV5" s="6">
        <v>46006</v>
      </c>
      <c r="KW5">
        <v>1</v>
      </c>
      <c r="KX5">
        <v>-2.4245362661989844E-14</v>
      </c>
      <c r="KY5">
        <v>69423747</v>
      </c>
      <c r="KZ5" t="s">
        <v>2105</v>
      </c>
      <c r="LC5" t="str">
        <f>_xll.BDS("623366Q US Equity","SUPPLY_CHAIN_CUSTOMERS_ALL_DATA")</f>
        <v>#N/A N/A</v>
      </c>
      <c r="LS5" t="str">
        <f>_xll.BDS("OAKF US Equity","SUPPLY_CHAIN_SUPPLIERS_ALL_DATA")</f>
        <v>#N/A N/A</v>
      </c>
      <c r="MG5" t="str">
        <f>_xll.BDS("OAKF US Equity","SUPPLY_CHAIN_CUSTOMERS_ALL_DATA")</f>
        <v>#N/A N/A</v>
      </c>
      <c r="MW5" t="str">
        <f>_xll.BDS("CIA US Equity","SUPPLY_CHAIN_SUPPLIERS_ALL_DATA")</f>
        <v>#N/A N/A</v>
      </c>
      <c r="NK5" t="str">
        <f>_xll.BDS("CIA US Equity","SUPPLY_CHAIN_CUSTOMERS_ALL_DATA")</f>
        <v>#N/A N/A</v>
      </c>
      <c r="OA5" t="str">
        <f>_xll.BDS("SFNT US Equity","SUPPLY_CHAIN_SUPPLIERS_ALL_DATA")</f>
        <v>#N/A N/A</v>
      </c>
      <c r="OO5" t="str">
        <f>_xll.BDS("SFNT US Equity","SUPPLY_CHAIN_CUSTOMERS_ALL_DATA")</f>
        <v>#N/A N/A</v>
      </c>
      <c r="PE5" t="str">
        <f>_xll.BDS("2228652D US Equity","SUPPLY_CHAIN_SUPPLIERS_ALL_DATA","cols=12;rows=1")</f>
        <v>069510 KS Equity</v>
      </c>
      <c r="PG5">
        <v>-2.4245362661989844E-14</v>
      </c>
      <c r="PH5">
        <v>-2.4245362661989844E-14</v>
      </c>
      <c r="PI5" t="s">
        <v>2266</v>
      </c>
      <c r="PJ5">
        <v>2025</v>
      </c>
      <c r="PK5" t="s">
        <v>3504</v>
      </c>
      <c r="PL5" s="6">
        <v>45792</v>
      </c>
      <c r="PM5">
        <v>1</v>
      </c>
      <c r="PN5">
        <v>-2.4245362661989844E-14</v>
      </c>
      <c r="PO5">
        <v>8421990</v>
      </c>
      <c r="PP5" t="s">
        <v>3505</v>
      </c>
      <c r="PS5" t="str">
        <f>_xll.BDS("2228652D US Equity","SUPPLY_CHAIN_CUSTOMERS_ALL_DATA","cols=12;rows=2")</f>
        <v>2324 TT Equity</v>
      </c>
      <c r="PT5">
        <v>-2.4245362661989844E-14</v>
      </c>
      <c r="PV5">
        <v>-2.4245362661989844E-14</v>
      </c>
      <c r="PW5" t="s">
        <v>1814</v>
      </c>
      <c r="PX5">
        <v>2024</v>
      </c>
      <c r="PY5" t="s">
        <v>3479</v>
      </c>
      <c r="PZ5" s="6">
        <v>45786</v>
      </c>
      <c r="QA5">
        <v>2</v>
      </c>
      <c r="QB5">
        <v>-2.4245362661989844E-14</v>
      </c>
      <c r="QC5">
        <v>119012</v>
      </c>
      <c r="QD5" t="s">
        <v>3480</v>
      </c>
      <c r="QI5" t="str">
        <f>_xll.BDS("EMCF US Equity","SUPPLY_CHAIN_SUPPLIERS_ALL_DATA")</f>
        <v>#N/A N/A</v>
      </c>
      <c r="QW5" t="str">
        <f>_xll.BDS("EMCF US Equity","SUPPLY_CHAIN_CUSTOMERS_ALL_DATA")</f>
        <v>#N/A N/A</v>
      </c>
      <c r="RM5" t="str">
        <f>_xll.BDS("FWBN US Equity","SUPPLY_CHAIN_SUPPLIERS_ALL_DATA")</f>
        <v>#N/A N/A</v>
      </c>
      <c r="SA5" t="str">
        <f>_xll.BDS("FWBN US Equity","SUPPLY_CHAIN_CUSTOMERS_ALL_DATA")</f>
        <v>#N/A N/A</v>
      </c>
      <c r="SQ5" t="str">
        <f>_xll.BDS("PRGS US Equity","SUPPLY_CHAIN_SUPPLIERS_ALL_DATA","cols=12;rows=5")</f>
        <v>DDOG US Equity</v>
      </c>
      <c r="SS5">
        <v>-2.4245362661989844E-14</v>
      </c>
      <c r="ST5">
        <v>-2.4245362661989844E-14</v>
      </c>
      <c r="SU5" t="s">
        <v>1814</v>
      </c>
      <c r="SV5">
        <v>2025</v>
      </c>
      <c r="SW5" t="s">
        <v>2858</v>
      </c>
      <c r="SX5" s="6">
        <v>46070</v>
      </c>
      <c r="SY5">
        <v>5</v>
      </c>
      <c r="SZ5">
        <v>-2.4245362661989844E-14</v>
      </c>
      <c r="TA5">
        <v>33410852</v>
      </c>
      <c r="TB5" t="s">
        <v>2859</v>
      </c>
      <c r="TE5" t="str">
        <f>_xll.BDS("PRGS US Equity","SUPPLY_CHAIN_CUSTOMERS_ALL_DATA","cols=12;rows=5")</f>
        <v>TSCO LN Equity</v>
      </c>
      <c r="TF5">
        <v>0.21691099999999999</v>
      </c>
      <c r="TG5" t="s">
        <v>1822</v>
      </c>
      <c r="TH5">
        <v>2.415E-3</v>
      </c>
      <c r="TI5" t="s">
        <v>1806</v>
      </c>
      <c r="TJ5">
        <v>2026</v>
      </c>
      <c r="TK5" t="s">
        <v>2766</v>
      </c>
      <c r="TL5" s="6">
        <v>45898</v>
      </c>
      <c r="TM5">
        <v>5</v>
      </c>
      <c r="TN5">
        <v>512424.81</v>
      </c>
      <c r="TO5">
        <v>112370</v>
      </c>
      <c r="TP5" t="s">
        <v>2767</v>
      </c>
      <c r="TU5" t="str">
        <f>_xll.BDS("LNWO US Equity","SUPPLY_CHAIN_SUPPLIERS_ALL_DATA","cols=12;rows=5")</f>
        <v>HAS US Equity</v>
      </c>
      <c r="TV5" t="s">
        <v>1822</v>
      </c>
      <c r="TW5">
        <v>0.180285</v>
      </c>
      <c r="TX5">
        <v>0.863487</v>
      </c>
      <c r="TY5" t="s">
        <v>1827</v>
      </c>
      <c r="TZ5">
        <v>2024</v>
      </c>
      <c r="UA5" t="s">
        <v>2703</v>
      </c>
      <c r="UB5" s="6">
        <v>45769</v>
      </c>
      <c r="UC5">
        <v>5</v>
      </c>
      <c r="UD5">
        <v>1986020</v>
      </c>
      <c r="UE5">
        <v>104314</v>
      </c>
      <c r="UF5" t="s">
        <v>2704</v>
      </c>
      <c r="UI5" t="str">
        <f>_xll.BDS("LNWO US Equity","SUPPLY_CHAIN_CUSTOMERS_ALL_DATA","cols=12;rows=5")</f>
        <v>ENT LN Equity</v>
      </c>
      <c r="UJ5">
        <v>-2.4245362661989844E-14</v>
      </c>
      <c r="UL5">
        <v>-2.4245362661989844E-14</v>
      </c>
      <c r="UM5" t="s">
        <v>1814</v>
      </c>
      <c r="UN5">
        <v>2022</v>
      </c>
      <c r="UO5" t="s">
        <v>2538</v>
      </c>
      <c r="UP5" s="6">
        <v>44665</v>
      </c>
      <c r="UQ5">
        <v>5</v>
      </c>
      <c r="UR5">
        <v>-2.4245362661989844E-14</v>
      </c>
      <c r="US5">
        <v>9335259</v>
      </c>
      <c r="UT5" t="s">
        <v>2539</v>
      </c>
      <c r="UY5" t="str">
        <f>_xll.BDS("PCBI US Equity","SUPPLY_CHAIN_SUPPLIERS_ALL_DATA")</f>
        <v>#N/A N/A</v>
      </c>
      <c r="VM5" t="str">
        <f>_xll.BDS("PCBI US Equity","SUPPLY_CHAIN_CUSTOMERS_ALL_DATA")</f>
        <v>#N/A N/A</v>
      </c>
    </row>
    <row r="6" spans="1:600" x14ac:dyDescent="0.25">
      <c r="BW6" t="s">
        <v>2554</v>
      </c>
      <c r="BX6">
        <v>-2.4245362661989844E-14</v>
      </c>
      <c r="BZ6">
        <v>-2.4245362661989844E-14</v>
      </c>
      <c r="CA6" t="s">
        <v>1814</v>
      </c>
      <c r="CB6">
        <v>2021</v>
      </c>
      <c r="CC6" t="s">
        <v>2555</v>
      </c>
      <c r="CD6" s="6">
        <v>44645</v>
      </c>
      <c r="CE6">
        <v>4</v>
      </c>
      <c r="CF6">
        <v>-2.4245362661989844E-14</v>
      </c>
      <c r="CG6">
        <v>29963530</v>
      </c>
      <c r="CH6" t="s">
        <v>2556</v>
      </c>
      <c r="DA6" t="s">
        <v>2390</v>
      </c>
      <c r="DB6">
        <v>-2.4245362661989844E-14</v>
      </c>
      <c r="DD6">
        <v>-2.4245362661989844E-14</v>
      </c>
      <c r="DE6" t="s">
        <v>1814</v>
      </c>
      <c r="DF6">
        <v>2021</v>
      </c>
      <c r="DG6" t="s">
        <v>2388</v>
      </c>
      <c r="DH6" s="6">
        <v>44650</v>
      </c>
      <c r="DI6">
        <v>5</v>
      </c>
      <c r="DJ6">
        <v>-2.4245362661989844E-14</v>
      </c>
      <c r="DK6">
        <v>908570</v>
      </c>
      <c r="DL6" t="s">
        <v>2391</v>
      </c>
      <c r="IG6" t="s">
        <v>1884</v>
      </c>
      <c r="IH6" t="s">
        <v>1822</v>
      </c>
      <c r="II6">
        <v>0.147895</v>
      </c>
      <c r="IJ6">
        <v>0.47978500000000002</v>
      </c>
      <c r="IK6" t="s">
        <v>1810</v>
      </c>
      <c r="IL6">
        <v>2025</v>
      </c>
      <c r="IM6" t="s">
        <v>1885</v>
      </c>
      <c r="IN6" s="6">
        <v>45867</v>
      </c>
      <c r="IO6">
        <v>5</v>
      </c>
      <c r="IP6">
        <v>11577221</v>
      </c>
      <c r="IQ6">
        <v>117092</v>
      </c>
      <c r="IR6" t="s">
        <v>1886</v>
      </c>
      <c r="IU6" t="s">
        <v>1849</v>
      </c>
      <c r="IV6">
        <v>0.22051499999999999</v>
      </c>
      <c r="IW6" t="s">
        <v>1822</v>
      </c>
      <c r="IX6">
        <v>9.3169000000000002E-2</v>
      </c>
      <c r="IY6" t="s">
        <v>1827</v>
      </c>
      <c r="IZ6">
        <v>2025</v>
      </c>
      <c r="JA6" t="s">
        <v>1850</v>
      </c>
      <c r="JB6" s="6">
        <v>46056</v>
      </c>
      <c r="JC6">
        <v>5</v>
      </c>
      <c r="JD6">
        <v>15078834</v>
      </c>
      <c r="JE6">
        <v>1499717</v>
      </c>
      <c r="JF6" t="s">
        <v>1851</v>
      </c>
      <c r="PS6" t="s">
        <v>3481</v>
      </c>
      <c r="PT6">
        <v>-2.4245362661989844E-14</v>
      </c>
      <c r="PV6">
        <v>-2.4245362661989844E-14</v>
      </c>
      <c r="PW6" t="s">
        <v>1814</v>
      </c>
      <c r="PX6">
        <v>2022</v>
      </c>
      <c r="PY6" t="s">
        <v>3482</v>
      </c>
      <c r="PZ6" s="6">
        <v>45085</v>
      </c>
      <c r="QA6">
        <v>2</v>
      </c>
      <c r="QB6">
        <v>-2.4245362661989844E-14</v>
      </c>
      <c r="QC6">
        <v>9134399</v>
      </c>
      <c r="QD6" t="s">
        <v>3483</v>
      </c>
      <c r="SQ6" t="s">
        <v>2860</v>
      </c>
      <c r="SS6">
        <v>-2.4245362661989844E-14</v>
      </c>
      <c r="ST6">
        <v>-2.4245362661989844E-14</v>
      </c>
      <c r="SU6" t="s">
        <v>1814</v>
      </c>
      <c r="SV6">
        <v>2025</v>
      </c>
      <c r="SW6" t="s">
        <v>2861</v>
      </c>
      <c r="SX6" s="6">
        <v>46065</v>
      </c>
      <c r="SY6">
        <v>5</v>
      </c>
      <c r="SZ6">
        <v>-2.4245362661989844E-14</v>
      </c>
      <c r="TA6">
        <v>41041124</v>
      </c>
      <c r="TB6" t="s">
        <v>2862</v>
      </c>
      <c r="TE6" t="s">
        <v>1840</v>
      </c>
      <c r="TF6">
        <v>7.6906000000000002E-2</v>
      </c>
      <c r="TG6" t="s">
        <v>1822</v>
      </c>
      <c r="TH6">
        <v>4.4900000000000001E-3</v>
      </c>
      <c r="TI6" t="s">
        <v>1806</v>
      </c>
      <c r="TJ6">
        <v>2025</v>
      </c>
      <c r="TK6" t="s">
        <v>1841</v>
      </c>
      <c r="TL6" s="6">
        <v>45820</v>
      </c>
      <c r="TM6">
        <v>5</v>
      </c>
      <c r="TN6">
        <v>183048</v>
      </c>
      <c r="TO6">
        <v>12129192</v>
      </c>
      <c r="TP6" t="s">
        <v>1842</v>
      </c>
      <c r="TU6" t="s">
        <v>2705</v>
      </c>
      <c r="TV6" t="s">
        <v>1822</v>
      </c>
      <c r="TW6">
        <v>6</v>
      </c>
      <c r="TX6">
        <v>0.27959600000000001</v>
      </c>
      <c r="TY6" t="s">
        <v>1814</v>
      </c>
      <c r="TZ6">
        <v>2024</v>
      </c>
      <c r="UA6" t="s">
        <v>2706</v>
      </c>
      <c r="UB6" s="6">
        <v>45740</v>
      </c>
      <c r="UC6">
        <v>5</v>
      </c>
      <c r="UD6">
        <v>650760</v>
      </c>
      <c r="UE6">
        <v>194466</v>
      </c>
      <c r="UF6" t="s">
        <v>2707</v>
      </c>
      <c r="UI6" t="s">
        <v>2540</v>
      </c>
      <c r="UJ6">
        <v>-2.4245362661989844E-14</v>
      </c>
      <c r="UL6">
        <v>-2.4245362661989844E-14</v>
      </c>
      <c r="UM6" t="s">
        <v>1814</v>
      </c>
      <c r="UN6">
        <v>2024</v>
      </c>
      <c r="UO6" t="s">
        <v>2541</v>
      </c>
      <c r="UP6" s="6">
        <v>45776</v>
      </c>
      <c r="UQ6">
        <v>5</v>
      </c>
      <c r="UR6">
        <v>-2.4245362661989844E-14</v>
      </c>
      <c r="US6">
        <v>8540383</v>
      </c>
      <c r="UT6" t="s">
        <v>2542</v>
      </c>
    </row>
    <row r="7" spans="1:600" x14ac:dyDescent="0.25">
      <c r="BW7" t="s">
        <v>2557</v>
      </c>
      <c r="BX7">
        <v>-2.4245362661989844E-14</v>
      </c>
      <c r="BZ7">
        <v>-2.4245362661989844E-14</v>
      </c>
      <c r="CA7" t="s">
        <v>1806</v>
      </c>
      <c r="CB7">
        <v>2022</v>
      </c>
      <c r="CC7" t="s">
        <v>2552</v>
      </c>
      <c r="CD7" s="6">
        <v>44698</v>
      </c>
      <c r="CE7">
        <v>4</v>
      </c>
      <c r="CF7">
        <v>-2.4245362661989844E-14</v>
      </c>
      <c r="CG7">
        <v>17080191</v>
      </c>
      <c r="CH7" t="s">
        <v>2558</v>
      </c>
      <c r="DA7" t="s">
        <v>2392</v>
      </c>
      <c r="DB7">
        <v>-2.4245362661989844E-14</v>
      </c>
      <c r="DD7">
        <v>-2.4245362661989844E-14</v>
      </c>
      <c r="DE7" t="s">
        <v>1814</v>
      </c>
      <c r="DF7">
        <v>2021</v>
      </c>
      <c r="DG7" t="s">
        <v>2388</v>
      </c>
      <c r="DH7" s="6">
        <v>44650</v>
      </c>
      <c r="DI7">
        <v>5</v>
      </c>
      <c r="DJ7">
        <v>-2.4245362661989844E-14</v>
      </c>
      <c r="DK7">
        <v>7334430</v>
      </c>
      <c r="DL7" t="s">
        <v>2393</v>
      </c>
      <c r="IG7" t="s">
        <v>1887</v>
      </c>
      <c r="IH7" t="s">
        <v>1822</v>
      </c>
      <c r="II7">
        <v>0.32230900000000001</v>
      </c>
      <c r="IJ7">
        <v>0.38473400000000002</v>
      </c>
      <c r="IK7" t="s">
        <v>1810</v>
      </c>
      <c r="IL7">
        <v>2025</v>
      </c>
      <c r="IM7" t="s">
        <v>1888</v>
      </c>
      <c r="IN7" s="6">
        <v>45891</v>
      </c>
      <c r="IO7">
        <v>5</v>
      </c>
      <c r="IP7">
        <v>9283621</v>
      </c>
      <c r="IQ7">
        <v>100097</v>
      </c>
      <c r="IR7" t="s">
        <v>1889</v>
      </c>
      <c r="IU7" t="s">
        <v>1852</v>
      </c>
      <c r="IV7">
        <v>8.1423999999999996E-2</v>
      </c>
      <c r="IW7" t="s">
        <v>1822</v>
      </c>
      <c r="IX7">
        <v>0.194387</v>
      </c>
      <c r="IY7" t="s">
        <v>1810</v>
      </c>
      <c r="IZ7">
        <v>2025</v>
      </c>
      <c r="JA7" t="s">
        <v>1853</v>
      </c>
      <c r="JB7" s="6">
        <v>45694</v>
      </c>
      <c r="JC7">
        <v>5</v>
      </c>
      <c r="JD7">
        <v>5430637.3600000003</v>
      </c>
      <c r="JE7">
        <v>111827</v>
      </c>
      <c r="JF7" t="s">
        <v>1854</v>
      </c>
      <c r="SQ7" t="s">
        <v>2863</v>
      </c>
      <c r="SS7">
        <v>-2.4245362661989844E-14</v>
      </c>
      <c r="ST7">
        <v>-2.4245362661989844E-14</v>
      </c>
      <c r="SU7" t="s">
        <v>1814</v>
      </c>
      <c r="SV7">
        <v>2021</v>
      </c>
      <c r="SW7" t="s">
        <v>2864</v>
      </c>
      <c r="SX7" s="6">
        <v>44693</v>
      </c>
      <c r="SY7">
        <v>5</v>
      </c>
      <c r="SZ7">
        <v>-2.4245362661989844E-14</v>
      </c>
      <c r="TA7">
        <v>179563</v>
      </c>
      <c r="TB7" t="s">
        <v>2865</v>
      </c>
      <c r="TE7" t="s">
        <v>1826</v>
      </c>
      <c r="TF7">
        <v>4.8991E-2</v>
      </c>
      <c r="TG7" t="s">
        <v>1822</v>
      </c>
      <c r="TH7">
        <v>7.8849999999999996E-3</v>
      </c>
      <c r="TI7" t="s">
        <v>1827</v>
      </c>
      <c r="TJ7">
        <v>2025</v>
      </c>
      <c r="TK7" t="s">
        <v>1828</v>
      </c>
      <c r="TL7" s="6">
        <v>46091</v>
      </c>
      <c r="TM7">
        <v>5</v>
      </c>
      <c r="TN7">
        <v>123784</v>
      </c>
      <c r="TO7">
        <v>156637</v>
      </c>
      <c r="TP7" t="s">
        <v>1829</v>
      </c>
      <c r="TU7" t="s">
        <v>2708</v>
      </c>
      <c r="TW7">
        <v>-2.4245362661989844E-14</v>
      </c>
      <c r="TX7">
        <v>-2.4245362661989844E-14</v>
      </c>
      <c r="TY7" t="s">
        <v>1814</v>
      </c>
      <c r="TZ7">
        <v>2024</v>
      </c>
      <c r="UA7" t="s">
        <v>2709</v>
      </c>
      <c r="UB7" s="6">
        <v>45765</v>
      </c>
      <c r="UC7">
        <v>5</v>
      </c>
      <c r="UD7">
        <v>-2.4245362661989844E-14</v>
      </c>
      <c r="UE7">
        <v>29636955</v>
      </c>
      <c r="UF7" t="s">
        <v>2710</v>
      </c>
      <c r="UI7" t="s">
        <v>2543</v>
      </c>
      <c r="UJ7">
        <v>-2.4245362661989844E-14</v>
      </c>
      <c r="UL7">
        <v>-2.4245362661989844E-14</v>
      </c>
      <c r="UM7" t="s">
        <v>1814</v>
      </c>
      <c r="UN7">
        <v>2024</v>
      </c>
      <c r="UO7" t="s">
        <v>2544</v>
      </c>
      <c r="UP7" s="6">
        <v>45760</v>
      </c>
      <c r="UQ7">
        <v>5</v>
      </c>
      <c r="UR7">
        <v>-2.4245362661989844E-14</v>
      </c>
      <c r="US7">
        <v>7855260</v>
      </c>
      <c r="UT7" t="s">
        <v>2545</v>
      </c>
    </row>
    <row r="8" spans="1:600" x14ac:dyDescent="0.25">
      <c r="BW8" t="s">
        <v>2559</v>
      </c>
      <c r="BX8">
        <v>-2.4245362661989844E-14</v>
      </c>
      <c r="BZ8">
        <v>-2.4245362661989844E-14</v>
      </c>
      <c r="CA8" t="s">
        <v>1806</v>
      </c>
      <c r="CB8">
        <v>2022</v>
      </c>
      <c r="CC8" t="s">
        <v>2552</v>
      </c>
      <c r="CD8" s="6">
        <v>44698</v>
      </c>
      <c r="CE8">
        <v>4</v>
      </c>
      <c r="CF8">
        <v>-2.4245362661989844E-14</v>
      </c>
      <c r="CG8">
        <v>136978</v>
      </c>
      <c r="CH8" t="s">
        <v>2560</v>
      </c>
      <c r="DA8" t="s">
        <v>2010</v>
      </c>
      <c r="DB8">
        <v>-2.4245362661989844E-14</v>
      </c>
      <c r="DD8">
        <v>-2.4245362661989844E-14</v>
      </c>
      <c r="DE8" t="s">
        <v>1814</v>
      </c>
      <c r="DF8">
        <v>2021</v>
      </c>
      <c r="DG8" t="s">
        <v>2388</v>
      </c>
      <c r="DH8" s="6">
        <v>44650</v>
      </c>
      <c r="DI8">
        <v>5</v>
      </c>
      <c r="DJ8">
        <v>-2.4245362661989844E-14</v>
      </c>
      <c r="DK8">
        <v>218252</v>
      </c>
      <c r="DL8" t="s">
        <v>2012</v>
      </c>
      <c r="IG8" t="s">
        <v>1533</v>
      </c>
      <c r="IH8" t="s">
        <v>1822</v>
      </c>
      <c r="II8">
        <v>1.1725810000000001</v>
      </c>
      <c r="IJ8">
        <v>0.15703400000000001</v>
      </c>
      <c r="IK8" t="s">
        <v>1806</v>
      </c>
      <c r="IL8">
        <v>2026</v>
      </c>
      <c r="IM8" t="s">
        <v>1890</v>
      </c>
      <c r="IN8" s="6">
        <v>46051</v>
      </c>
      <c r="IO8">
        <v>5</v>
      </c>
      <c r="IP8">
        <v>4510016</v>
      </c>
      <c r="IQ8">
        <v>225757</v>
      </c>
      <c r="IR8" t="s">
        <v>1891</v>
      </c>
      <c r="IU8" t="s">
        <v>1855</v>
      </c>
      <c r="IV8">
        <v>6.6940000000000003E-3</v>
      </c>
      <c r="IW8" t="s">
        <v>1822</v>
      </c>
      <c r="IX8">
        <v>5.5948409999999997</v>
      </c>
      <c r="IY8" t="s">
        <v>1814</v>
      </c>
      <c r="IZ8">
        <v>2024</v>
      </c>
      <c r="JA8" t="s">
        <v>1856</v>
      </c>
      <c r="JB8" s="6">
        <v>45819</v>
      </c>
      <c r="JC8">
        <v>5</v>
      </c>
      <c r="JD8">
        <v>402911.11</v>
      </c>
      <c r="JE8">
        <v>15291339</v>
      </c>
      <c r="JF8" t="s">
        <v>1857</v>
      </c>
      <c r="SQ8" t="s">
        <v>2866</v>
      </c>
      <c r="SS8">
        <v>-2.4245362661989844E-14</v>
      </c>
      <c r="ST8">
        <v>-2.4245362661989844E-14</v>
      </c>
      <c r="SU8" t="s">
        <v>1810</v>
      </c>
      <c r="SV8">
        <v>2022</v>
      </c>
      <c r="SW8" t="s">
        <v>2867</v>
      </c>
      <c r="SX8" s="6">
        <v>44867</v>
      </c>
      <c r="SY8">
        <v>5</v>
      </c>
      <c r="SZ8">
        <v>-2.4245362661989844E-14</v>
      </c>
      <c r="TA8">
        <v>1481607</v>
      </c>
      <c r="TB8" t="s">
        <v>2868</v>
      </c>
      <c r="TE8" t="s">
        <v>2085</v>
      </c>
      <c r="TF8">
        <v>2.4205999999999998E-2</v>
      </c>
      <c r="TG8" t="s">
        <v>1822</v>
      </c>
      <c r="TH8">
        <v>1.06E-2</v>
      </c>
      <c r="TI8" t="s">
        <v>1810</v>
      </c>
      <c r="TJ8">
        <v>2025</v>
      </c>
      <c r="TK8" t="s">
        <v>2768</v>
      </c>
      <c r="TL8" s="6">
        <v>46034</v>
      </c>
      <c r="TM8">
        <v>5</v>
      </c>
      <c r="TN8">
        <v>60465</v>
      </c>
      <c r="TO8">
        <v>313021</v>
      </c>
      <c r="TP8" t="s">
        <v>2087</v>
      </c>
      <c r="TU8" t="s">
        <v>2711</v>
      </c>
      <c r="TW8">
        <v>-2.4245362661989844E-14</v>
      </c>
      <c r="TX8">
        <v>-2.4245362661989844E-14</v>
      </c>
      <c r="TY8" t="s">
        <v>1814</v>
      </c>
      <c r="TZ8">
        <v>2023</v>
      </c>
      <c r="UA8" t="s">
        <v>2712</v>
      </c>
      <c r="UB8" s="6">
        <v>45350</v>
      </c>
      <c r="UC8">
        <v>5</v>
      </c>
      <c r="UD8">
        <v>-2.4245362661989844E-14</v>
      </c>
      <c r="UE8">
        <v>101376</v>
      </c>
      <c r="UF8" t="s">
        <v>2713</v>
      </c>
      <c r="UI8" t="s">
        <v>2546</v>
      </c>
      <c r="UJ8">
        <v>-2.4245362661989844E-14</v>
      </c>
      <c r="UL8">
        <v>-2.4245362661989844E-14</v>
      </c>
      <c r="UM8" t="s">
        <v>1814</v>
      </c>
      <c r="UN8">
        <v>2024</v>
      </c>
      <c r="UO8" t="s">
        <v>2547</v>
      </c>
      <c r="UP8" s="6">
        <v>45786</v>
      </c>
      <c r="UQ8">
        <v>5</v>
      </c>
      <c r="UR8">
        <v>-2.4245362661989844E-14</v>
      </c>
      <c r="US8">
        <v>7321067</v>
      </c>
      <c r="UT8" t="s">
        <v>2548</v>
      </c>
    </row>
    <row r="9" spans="1:600" x14ac:dyDescent="0.25">
      <c r="DA9" t="s">
        <v>2394</v>
      </c>
      <c r="DB9">
        <v>-2.4245362661989844E-14</v>
      </c>
      <c r="DD9">
        <v>-2.4245362661989844E-14</v>
      </c>
      <c r="DE9" t="s">
        <v>1814</v>
      </c>
      <c r="DF9">
        <v>2021</v>
      </c>
      <c r="DG9" t="s">
        <v>2388</v>
      </c>
      <c r="DH9" s="6">
        <v>44650</v>
      </c>
      <c r="DI9">
        <v>5</v>
      </c>
      <c r="DJ9">
        <v>-2.4245362661989844E-14</v>
      </c>
      <c r="DK9">
        <v>214099</v>
      </c>
      <c r="DL9" t="s">
        <v>2395</v>
      </c>
      <c r="IG9" t="s">
        <v>1892</v>
      </c>
      <c r="IH9" t="s">
        <v>1893</v>
      </c>
      <c r="II9">
        <v>5.9742000000000003E-2</v>
      </c>
      <c r="IJ9">
        <v>0.18884000000000001</v>
      </c>
      <c r="IK9" t="s">
        <v>1823</v>
      </c>
      <c r="IL9">
        <v>2025</v>
      </c>
      <c r="IM9" t="s">
        <v>1894</v>
      </c>
      <c r="IN9" s="6">
        <v>45838</v>
      </c>
      <c r="IO9">
        <v>5</v>
      </c>
      <c r="IP9">
        <v>3508648</v>
      </c>
      <c r="IQ9">
        <v>101689</v>
      </c>
      <c r="IR9" t="s">
        <v>1895</v>
      </c>
      <c r="IU9" t="s">
        <v>1858</v>
      </c>
      <c r="IV9">
        <v>5.1640000000000002E-3</v>
      </c>
      <c r="IW9" t="s">
        <v>1822</v>
      </c>
      <c r="IX9">
        <v>5.0558560000000003</v>
      </c>
      <c r="IY9" t="s">
        <v>1814</v>
      </c>
      <c r="IZ9">
        <v>2024</v>
      </c>
      <c r="JA9" t="s">
        <v>1859</v>
      </c>
      <c r="JB9" s="6">
        <v>45814</v>
      </c>
      <c r="JC9">
        <v>5</v>
      </c>
      <c r="JD9">
        <v>310853.61</v>
      </c>
      <c r="JE9">
        <v>36034450</v>
      </c>
      <c r="JF9" t="s">
        <v>1860</v>
      </c>
      <c r="SQ9" t="s">
        <v>2869</v>
      </c>
      <c r="SS9">
        <v>-2.4245362661989844E-14</v>
      </c>
      <c r="ST9">
        <v>-2.4245362661989844E-14</v>
      </c>
      <c r="SU9" t="s">
        <v>1814</v>
      </c>
      <c r="SV9">
        <v>2021</v>
      </c>
      <c r="SW9" t="s">
        <v>2870</v>
      </c>
      <c r="SX9" s="6">
        <v>44693</v>
      </c>
      <c r="SY9">
        <v>5</v>
      </c>
      <c r="SZ9">
        <v>-2.4245362661989844E-14</v>
      </c>
      <c r="TA9">
        <v>107603</v>
      </c>
      <c r="TB9" t="s">
        <v>2871</v>
      </c>
      <c r="TE9" t="s">
        <v>2769</v>
      </c>
      <c r="TF9">
        <v>-2.4245362661989844E-14</v>
      </c>
      <c r="TH9">
        <v>-2.4245362661989844E-14</v>
      </c>
      <c r="TI9" t="s">
        <v>1806</v>
      </c>
      <c r="TJ9">
        <v>2023</v>
      </c>
      <c r="TK9" t="s">
        <v>2770</v>
      </c>
      <c r="TL9" s="6">
        <v>45020</v>
      </c>
      <c r="TM9">
        <v>5</v>
      </c>
      <c r="TN9">
        <v>-2.4245362661989844E-14</v>
      </c>
      <c r="TO9">
        <v>27524902</v>
      </c>
      <c r="TP9" t="s">
        <v>2771</v>
      </c>
      <c r="TU9" t="s">
        <v>2714</v>
      </c>
      <c r="TW9">
        <v>-2.4245362661989844E-14</v>
      </c>
      <c r="TX9">
        <v>-2.4245362661989844E-14</v>
      </c>
      <c r="TY9" t="s">
        <v>1814</v>
      </c>
      <c r="TZ9">
        <v>2024</v>
      </c>
      <c r="UA9" t="s">
        <v>2715</v>
      </c>
      <c r="UB9" s="6">
        <v>45713</v>
      </c>
      <c r="UC9">
        <v>5</v>
      </c>
      <c r="UD9">
        <v>-2.4245362661989844E-14</v>
      </c>
      <c r="UE9">
        <v>101695</v>
      </c>
      <c r="UF9" t="s">
        <v>2716</v>
      </c>
      <c r="UI9" t="s">
        <v>2549</v>
      </c>
      <c r="UJ9">
        <v>-2.4245362661989844E-14</v>
      </c>
      <c r="UL9">
        <v>-2.4245362661989844E-14</v>
      </c>
      <c r="UM9" t="s">
        <v>1814</v>
      </c>
      <c r="UN9">
        <v>2025</v>
      </c>
      <c r="UO9" t="s">
        <v>2550</v>
      </c>
      <c r="UP9" s="6">
        <v>46066</v>
      </c>
      <c r="UQ9">
        <v>5</v>
      </c>
      <c r="UR9">
        <v>-2.4245362661989844E-14</v>
      </c>
      <c r="US9">
        <v>69790650</v>
      </c>
      <c r="UT9" t="s">
        <v>2551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1412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1413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1414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1415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1416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1417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1418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1419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1420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1421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1422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1423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1424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1425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1426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1427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1428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1429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1430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1431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1432</v>
      </c>
      <c r="AE2" s="3" t="s">
        <v>400</v>
      </c>
      <c r="BI2" s="3" t="s">
        <v>1433</v>
      </c>
      <c r="CM2" s="3" t="s">
        <v>1434</v>
      </c>
      <c r="DQ2" s="3" t="s">
        <v>589</v>
      </c>
      <c r="EU2" s="3" t="s">
        <v>20</v>
      </c>
      <c r="FY2" s="3" t="s">
        <v>1435</v>
      </c>
      <c r="HC2" s="3" t="s">
        <v>1436</v>
      </c>
      <c r="IG2" s="3" t="s">
        <v>1437</v>
      </c>
      <c r="JK2" s="3" t="s">
        <v>1438</v>
      </c>
      <c r="KO2" s="3" t="s">
        <v>1439</v>
      </c>
      <c r="LS2" s="3" t="s">
        <v>538</v>
      </c>
      <c r="MW2" s="3" t="s">
        <v>1440</v>
      </c>
      <c r="OA2" s="3" t="s">
        <v>1441</v>
      </c>
      <c r="PE2" s="3" t="s">
        <v>1293</v>
      </c>
      <c r="QI2" s="3" t="s">
        <v>202</v>
      </c>
      <c r="RM2" s="3" t="s">
        <v>1442</v>
      </c>
      <c r="SQ2" s="3" t="s">
        <v>467</v>
      </c>
      <c r="TU2" s="3" t="s">
        <v>1443</v>
      </c>
      <c r="UY2" s="3" t="s">
        <v>1444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_xll.BDS("QCRH US Equity","SUPPLY_CHAIN_SUPPLIERS_ALL_DATA")</f>
        <v>#N/A N/A</v>
      </c>
      <c r="O5" t="str">
        <f>_xll.BDS("QCRH US Equity","SUPPLY_CHAIN_CUSTOMERS_ALL_DATA")</f>
        <v>#N/A N/A</v>
      </c>
      <c r="AE5" t="str">
        <f>_xll.BDS("CUNB US Equity","SUPPLY_CHAIN_SUPPLIERS_ALL_DATA")</f>
        <v>#N/A N/A</v>
      </c>
      <c r="AS5" t="str">
        <f>_xll.BDS("CUNB US Equity","SUPPLY_CHAIN_CUSTOMERS_ALL_DATA")</f>
        <v>#N/A N/A</v>
      </c>
      <c r="BI5" t="str">
        <f>_xll.BDS("1822785D US Equity","SUPPLY_CHAIN_SUPPLIERS_ALL_DATA")</f>
        <v>#N/A N/A</v>
      </c>
      <c r="BW5" t="str">
        <f>_xll.BDS("1822785D US Equity","SUPPLY_CHAIN_CUSTOMERS_ALL_DATA")</f>
        <v>#N/A N/A</v>
      </c>
      <c r="CM5" t="str">
        <f>_xll.BDS("YCB US Equity","SUPPLY_CHAIN_SUPPLIERS_ALL_DATA")</f>
        <v>#N/A N/A</v>
      </c>
      <c r="DA5" t="str">
        <f>_xll.BDS("YCB US Equity","SUPPLY_CHAIN_CUSTOMERS_ALL_DATA")</f>
        <v>#N/A N/A</v>
      </c>
      <c r="DQ5" t="str">
        <f>_xll.BDS("PCBI US Equity","SUPPLY_CHAIN_SUPPLIERS_ALL_DATA")</f>
        <v>#N/A N/A</v>
      </c>
      <c r="EE5" t="str">
        <f>_xll.BDS("PCBI US Equity","SUPPLY_CHAIN_CUSTOMERS_ALL_DATA")</f>
        <v>#N/A N/A</v>
      </c>
      <c r="EU5" t="str">
        <f>_xll.BDS("BX US Equity","SUPPLY_CHAIN_SUPPLIERS_ALL_DATA","cols=12;rows=5")</f>
        <v>ORCL US Equity</v>
      </c>
      <c r="EV5" t="s">
        <v>1822</v>
      </c>
      <c r="EW5">
        <v>3.7003000000000001E-2</v>
      </c>
      <c r="EX5">
        <v>0.33128000000000002</v>
      </c>
      <c r="EY5" t="s">
        <v>1827</v>
      </c>
      <c r="EZ5">
        <v>2025</v>
      </c>
      <c r="FA5" t="s">
        <v>2368</v>
      </c>
      <c r="FB5" s="6">
        <v>45848</v>
      </c>
      <c r="FC5">
        <v>5</v>
      </c>
      <c r="FD5">
        <v>5884587</v>
      </c>
      <c r="FE5">
        <v>101752</v>
      </c>
      <c r="FF5" t="s">
        <v>2369</v>
      </c>
      <c r="FI5" t="str">
        <f>_xll.BDS("BX US Equity","SUPPLY_CHAIN_CUSTOMERS_ALL_DATA","cols=12;rows=5")</f>
        <v>002284 CH Equity</v>
      </c>
      <c r="FJ5">
        <v>-2.4245362661989844E-14</v>
      </c>
      <c r="FL5">
        <v>-2.4245362661989844E-14</v>
      </c>
      <c r="FM5" t="s">
        <v>1814</v>
      </c>
      <c r="FN5">
        <v>2024</v>
      </c>
      <c r="FO5" t="s">
        <v>2772</v>
      </c>
      <c r="FP5" s="6">
        <v>45744</v>
      </c>
      <c r="FQ5">
        <v>5</v>
      </c>
      <c r="FR5">
        <v>-2.4245362661989844E-14</v>
      </c>
      <c r="FS5">
        <v>15069854</v>
      </c>
      <c r="FT5" t="s">
        <v>2773</v>
      </c>
      <c r="FY5" t="str">
        <f>_xll.BDS("GADS US Equity","SUPPLY_CHAIN_SUPPLIERS_ALL_DATA")</f>
        <v>#N/A N/A</v>
      </c>
      <c r="GM5" t="str">
        <f>_xll.BDS("GADS US Equity","SUPPLY_CHAIN_CUSTOMERS_ALL_DATA")</f>
        <v>#N/A N/A</v>
      </c>
      <c r="HC5" t="str">
        <f>_xll.BDS("WABC US Equity","SUPPLY_CHAIN_SUPPLIERS_ALL_DATA","cols=12;rows=1")</f>
        <v>QUIS CN Equity</v>
      </c>
      <c r="HE5">
        <v>-2.4245362661989844E-14</v>
      </c>
      <c r="HF5">
        <v>-2.4245362661989844E-14</v>
      </c>
      <c r="HG5" t="s">
        <v>1810</v>
      </c>
      <c r="HH5">
        <v>2022</v>
      </c>
      <c r="HI5" t="s">
        <v>2426</v>
      </c>
      <c r="HJ5" s="6">
        <v>44902</v>
      </c>
      <c r="HK5">
        <v>1</v>
      </c>
      <c r="HL5">
        <v>-2.4245362661989844E-14</v>
      </c>
      <c r="HM5">
        <v>28615713</v>
      </c>
      <c r="HN5" t="s">
        <v>2427</v>
      </c>
      <c r="HQ5" t="str">
        <f>_xll.BDS("WABC US Equity","SUPPLY_CHAIN_CUSTOMERS_ALL_DATA")</f>
        <v>#N/A N/A</v>
      </c>
      <c r="IG5" t="str">
        <f>_xll.BDS("ULB US Equity","SUPPLY_CHAIN_SUPPLIERS_ALL_DATA")</f>
        <v>#N/A N/A</v>
      </c>
      <c r="IU5" t="str">
        <f>_xll.BDS("ULB US Equity","SUPPLY_CHAIN_CUSTOMERS_ALL_DATA")</f>
        <v>#N/A N/A</v>
      </c>
      <c r="JK5" t="str">
        <f>_xll.BDS("PCTI US Equity","SUPPLY_CHAIN_SUPPLIERS_ALL_DATA","cols=12;rows=3")</f>
        <v>DUK US Equity</v>
      </c>
      <c r="JM5">
        <v>-2.4245362661989844E-14</v>
      </c>
      <c r="JN5">
        <v>-2.4245362661989844E-14</v>
      </c>
      <c r="JO5" t="s">
        <v>1814</v>
      </c>
      <c r="JP5">
        <v>2021</v>
      </c>
      <c r="JQ5" t="s">
        <v>2051</v>
      </c>
      <c r="JR5" s="6">
        <v>44693</v>
      </c>
      <c r="JS5">
        <v>3</v>
      </c>
      <c r="JT5">
        <v>-2.4245362661989844E-14</v>
      </c>
      <c r="JU5">
        <v>100481</v>
      </c>
      <c r="JV5" t="s">
        <v>2052</v>
      </c>
      <c r="JY5" t="str">
        <f>_xll.BDS("PCTI US Equity","SUPPLY_CHAIN_CUSTOMERS_ALL_DATA","cols=12;rows=5")</f>
        <v>0109590D US Equity</v>
      </c>
      <c r="JZ5">
        <v>-2.4245362661989844E-14</v>
      </c>
      <c r="KB5">
        <v>-2.4245362661989844E-14</v>
      </c>
      <c r="KC5" t="s">
        <v>1814</v>
      </c>
      <c r="KD5">
        <v>2021</v>
      </c>
      <c r="KE5" t="s">
        <v>3597</v>
      </c>
      <c r="KF5" s="6">
        <v>44739</v>
      </c>
      <c r="KG5">
        <v>5</v>
      </c>
      <c r="KH5">
        <v>-2.4245362661989844E-14</v>
      </c>
      <c r="KI5">
        <v>28308178</v>
      </c>
      <c r="KJ5" t="s">
        <v>3598</v>
      </c>
      <c r="KO5" t="str">
        <f>_xll.BDS("IHC US Equity","SUPPLY_CHAIN_SUPPLIERS_ALL_DATA")</f>
        <v>#N/A N/A</v>
      </c>
      <c r="LC5" t="str">
        <f>_xll.BDS("IHC US Equity","SUPPLY_CHAIN_CUSTOMERS_ALL_DATA")</f>
        <v>#N/A N/A</v>
      </c>
      <c r="LS5" t="str">
        <f>_xll.BDS("2860436Q US Equity","SUPPLY_CHAIN_SUPPLIERS_ALL_DATA")</f>
        <v>#N/A N/A</v>
      </c>
      <c r="MG5" t="str">
        <f>_xll.BDS("2860436Q US Equity","SUPPLY_CHAIN_CUSTOMERS_ALL_DATA")</f>
        <v>#N/A N/A</v>
      </c>
      <c r="MW5" t="str">
        <f>_xll.BDS("GRA US Equity","SUPPLY_CHAIN_SUPPLIERS_ALL_DATA","cols=12;rows=5")</f>
        <v>9501 JP Equity</v>
      </c>
      <c r="MY5">
        <v>-2.4245362661989844E-14</v>
      </c>
      <c r="MZ5">
        <v>-2.4245362661989844E-14</v>
      </c>
      <c r="NA5" t="s">
        <v>1814</v>
      </c>
      <c r="NB5">
        <v>2022</v>
      </c>
      <c r="NC5" t="s">
        <v>2270</v>
      </c>
      <c r="ND5" s="6">
        <v>44693</v>
      </c>
      <c r="NE5">
        <v>5</v>
      </c>
      <c r="NF5">
        <v>-2.4245362661989844E-14</v>
      </c>
      <c r="NG5">
        <v>114991</v>
      </c>
      <c r="NH5" t="s">
        <v>2271</v>
      </c>
      <c r="NK5" t="str">
        <f>_xll.BDS("GRA US Equity","SUPPLY_CHAIN_CUSTOMERS_ALL_DATA","cols=12;rows=5")</f>
        <v>002221 CH Equity</v>
      </c>
      <c r="NL5">
        <v>-2.4245362661989844E-14</v>
      </c>
      <c r="NN5">
        <v>-2.4245362661989844E-14</v>
      </c>
      <c r="NO5" t="s">
        <v>1814</v>
      </c>
      <c r="NP5">
        <v>2023</v>
      </c>
      <c r="NQ5" t="s">
        <v>2928</v>
      </c>
      <c r="NR5" s="6">
        <v>45399</v>
      </c>
      <c r="NS5">
        <v>5</v>
      </c>
      <c r="NT5">
        <v>-2.4245362661989844E-14</v>
      </c>
      <c r="NU5">
        <v>14088951</v>
      </c>
      <c r="NV5" t="s">
        <v>2929</v>
      </c>
      <c r="OA5" t="str">
        <f>_xll.BDS("IFCJ US Equity","SUPPLY_CHAIN_SUPPLIERS_ALL_DATA")</f>
        <v>#N/A N/A</v>
      </c>
      <c r="OO5" t="str">
        <f>_xll.BDS("IFCJ US Equity","SUPPLY_CHAIN_CUSTOMERS_ALL_DATA")</f>
        <v>#N/A N/A</v>
      </c>
      <c r="PE5" t="str">
        <f>_xll.BDS("CBKN US Equity","SUPPLY_CHAIN_SUPPLIERS_ALL_DATA")</f>
        <v>#N/A N/A</v>
      </c>
      <c r="PS5" t="str">
        <f>_xll.BDS("CBKN US Equity","SUPPLY_CHAIN_CUSTOMERS_ALL_DATA")</f>
        <v>#N/A N/A</v>
      </c>
      <c r="QI5" t="str">
        <f>_xll.BDS("CARO US Equity","SUPPLY_CHAIN_SUPPLIERS_ALL_DATA")</f>
        <v>#N/A N/A</v>
      </c>
      <c r="QW5" t="str">
        <f>_xll.BDS("CARO US Equity","SUPPLY_CHAIN_CUSTOMERS_ALL_DATA")</f>
        <v>#N/A N/A</v>
      </c>
      <c r="RM5" t="str">
        <f>_xll.BDS("FGBI US Equity","SUPPLY_CHAIN_SUPPLIERS_ALL_DATA")</f>
        <v>#N/A N/A</v>
      </c>
      <c r="SA5" t="str">
        <f>_xll.BDS("FGBI US Equity","SUPPLY_CHAIN_CUSTOMERS_ALL_DATA")</f>
        <v>#N/A N/A</v>
      </c>
      <c r="SQ5" t="str">
        <f>_xll.BDS("PACW US Equity","SUPPLY_CHAIN_SUPPLIERS_ALL_DATA")</f>
        <v>#N/A N/A</v>
      </c>
      <c r="TE5" t="str">
        <f>_xll.BDS("PACW US Equity","SUPPLY_CHAIN_CUSTOMERS_ALL_DATA")</f>
        <v>SNX US Equity</v>
      </c>
      <c r="TU5" t="str">
        <f>_xll.BDS("AVLY US Equity","SUPPLY_CHAIN_SUPPLIERS_ALL_DATA")</f>
        <v>#N/A N/A</v>
      </c>
      <c r="UI5" t="str">
        <f>_xll.BDS("AVLY US Equity","SUPPLY_CHAIN_CUSTOMERS_ALL_DATA")</f>
        <v>#N/A N/A</v>
      </c>
      <c r="UY5" t="str">
        <f>_xll.BDS("FXNC US Equity","SUPPLY_CHAIN_SUPPLIERS_ALL_DATA")</f>
        <v>#N/A N/A</v>
      </c>
      <c r="VM5" t="str">
        <f>_xll.BDS("FXNC US Equity","SUPPLY_CHAIN_CUSTOMERS_ALL_DATA")</f>
        <v>#N/A N/A</v>
      </c>
    </row>
    <row r="6" spans="1:600" x14ac:dyDescent="0.25">
      <c r="EU6" t="s">
        <v>2886</v>
      </c>
      <c r="EV6" t="s">
        <v>1893</v>
      </c>
      <c r="EW6">
        <v>0.597939</v>
      </c>
      <c r="EX6">
        <v>5.9714000000000003E-2</v>
      </c>
      <c r="EY6" t="s">
        <v>1814</v>
      </c>
      <c r="EZ6">
        <v>2024</v>
      </c>
      <c r="FA6" t="s">
        <v>2887</v>
      </c>
      <c r="FB6" s="6">
        <v>45694</v>
      </c>
      <c r="FC6">
        <v>5</v>
      </c>
      <c r="FD6">
        <v>957052.25</v>
      </c>
      <c r="FE6">
        <v>103579</v>
      </c>
      <c r="FF6" t="s">
        <v>2888</v>
      </c>
      <c r="FI6" t="s">
        <v>2774</v>
      </c>
      <c r="FJ6">
        <v>-2.4245362661989844E-14</v>
      </c>
      <c r="FL6">
        <v>-2.4245362661989844E-14</v>
      </c>
      <c r="FM6" t="s">
        <v>1971</v>
      </c>
      <c r="FN6">
        <v>2025</v>
      </c>
      <c r="FO6" t="s">
        <v>2775</v>
      </c>
      <c r="FP6" s="6">
        <v>45894</v>
      </c>
      <c r="FQ6">
        <v>5</v>
      </c>
      <c r="FR6">
        <v>-2.4245362661989844E-14</v>
      </c>
      <c r="FS6">
        <v>15149577</v>
      </c>
      <c r="FT6" t="s">
        <v>2776</v>
      </c>
      <c r="JK6" t="s">
        <v>3197</v>
      </c>
      <c r="JM6">
        <v>-2.4245362661989844E-14</v>
      </c>
      <c r="JN6">
        <v>-2.4245362661989844E-14</v>
      </c>
      <c r="JO6" t="s">
        <v>1814</v>
      </c>
      <c r="JP6">
        <v>2021</v>
      </c>
      <c r="JQ6" t="s">
        <v>3198</v>
      </c>
      <c r="JR6" s="6">
        <v>44693</v>
      </c>
      <c r="JS6">
        <v>3</v>
      </c>
      <c r="JT6">
        <v>-2.4245362661989844E-14</v>
      </c>
      <c r="JU6">
        <v>101170</v>
      </c>
      <c r="JV6" t="s">
        <v>3199</v>
      </c>
      <c r="JY6" t="s">
        <v>3599</v>
      </c>
      <c r="JZ6">
        <v>-2.4245362661989844E-14</v>
      </c>
      <c r="KB6">
        <v>-2.4245362661989844E-14</v>
      </c>
      <c r="KC6" t="s">
        <v>1814</v>
      </c>
      <c r="KD6">
        <v>2021</v>
      </c>
      <c r="KE6" t="s">
        <v>3597</v>
      </c>
      <c r="KF6" s="6">
        <v>44739</v>
      </c>
      <c r="KG6">
        <v>5</v>
      </c>
      <c r="KH6">
        <v>-2.4245362661989844E-14</v>
      </c>
      <c r="KI6">
        <v>54219576</v>
      </c>
      <c r="KJ6" t="s">
        <v>3600</v>
      </c>
      <c r="MW6" t="s">
        <v>3039</v>
      </c>
      <c r="MY6">
        <v>-2.4245362661989844E-14</v>
      </c>
      <c r="MZ6">
        <v>-2.4245362661989844E-14</v>
      </c>
      <c r="NA6" t="s">
        <v>1814</v>
      </c>
      <c r="NB6">
        <v>2022</v>
      </c>
      <c r="NC6" t="s">
        <v>3040</v>
      </c>
      <c r="ND6" s="6">
        <v>44693</v>
      </c>
      <c r="NE6">
        <v>5</v>
      </c>
      <c r="NF6">
        <v>-2.4245362661989844E-14</v>
      </c>
      <c r="NG6">
        <v>114958</v>
      </c>
      <c r="NH6" t="s">
        <v>3041</v>
      </c>
      <c r="NK6" t="s">
        <v>2930</v>
      </c>
      <c r="NL6">
        <v>-2.4245362661989844E-14</v>
      </c>
      <c r="NN6">
        <v>-2.4245362661989844E-14</v>
      </c>
      <c r="NO6" t="s">
        <v>1971</v>
      </c>
      <c r="NP6">
        <v>2025</v>
      </c>
      <c r="NQ6" t="s">
        <v>2931</v>
      </c>
      <c r="NR6" s="6">
        <v>45884</v>
      </c>
      <c r="NS6">
        <v>5</v>
      </c>
      <c r="NT6">
        <v>-2.4245362661989844E-14</v>
      </c>
      <c r="NU6">
        <v>68106763</v>
      </c>
      <c r="NV6" t="s">
        <v>2932</v>
      </c>
    </row>
    <row r="7" spans="1:600" x14ac:dyDescent="0.25">
      <c r="EU7" t="s">
        <v>2889</v>
      </c>
      <c r="EV7" t="s">
        <v>1822</v>
      </c>
      <c r="EW7">
        <v>7.4065000000000006E-2</v>
      </c>
      <c r="EX7">
        <v>2.879E-3</v>
      </c>
      <c r="EY7" t="s">
        <v>1814</v>
      </c>
      <c r="EZ7">
        <v>2024</v>
      </c>
      <c r="FA7" t="s">
        <v>2890</v>
      </c>
      <c r="FB7" s="6">
        <v>45758</v>
      </c>
      <c r="FC7">
        <v>5</v>
      </c>
      <c r="FD7">
        <v>46697.46</v>
      </c>
      <c r="FE7">
        <v>130878</v>
      </c>
      <c r="FF7" t="s">
        <v>2891</v>
      </c>
      <c r="FI7" t="s">
        <v>2777</v>
      </c>
      <c r="FJ7">
        <v>-2.4245362661989844E-14</v>
      </c>
      <c r="FL7">
        <v>-2.4245362661989844E-14</v>
      </c>
      <c r="FM7" t="s">
        <v>1823</v>
      </c>
      <c r="FN7">
        <v>2024</v>
      </c>
      <c r="FO7" t="s">
        <v>2778</v>
      </c>
      <c r="FP7" s="6">
        <v>45433</v>
      </c>
      <c r="FQ7">
        <v>5</v>
      </c>
      <c r="FR7">
        <v>-2.4245362661989844E-14</v>
      </c>
      <c r="FS7">
        <v>27196144</v>
      </c>
      <c r="FT7" t="s">
        <v>2779</v>
      </c>
      <c r="JK7" t="s">
        <v>1994</v>
      </c>
      <c r="JM7">
        <v>-2.4245362661989844E-14</v>
      </c>
      <c r="JN7">
        <v>-2.4245362661989844E-14</v>
      </c>
      <c r="JO7" t="s">
        <v>1814</v>
      </c>
      <c r="JP7">
        <v>2021</v>
      </c>
      <c r="JQ7" t="s">
        <v>1995</v>
      </c>
      <c r="JR7" s="6">
        <v>44693</v>
      </c>
      <c r="JS7">
        <v>3</v>
      </c>
      <c r="JT7">
        <v>-2.4245362661989844E-14</v>
      </c>
      <c r="JU7">
        <v>302916</v>
      </c>
      <c r="JV7" t="s">
        <v>1996</v>
      </c>
      <c r="JY7" t="s">
        <v>3601</v>
      </c>
      <c r="JZ7">
        <v>-2.4245362661989844E-14</v>
      </c>
      <c r="KB7">
        <v>-2.4245362661989844E-14</v>
      </c>
      <c r="KC7" t="s">
        <v>1971</v>
      </c>
      <c r="KD7">
        <v>2024</v>
      </c>
      <c r="KE7" t="s">
        <v>3602</v>
      </c>
      <c r="KF7" s="6">
        <v>45237</v>
      </c>
      <c r="KG7">
        <v>5</v>
      </c>
      <c r="KH7">
        <v>-2.4245362661989844E-14</v>
      </c>
      <c r="KI7">
        <v>203219</v>
      </c>
      <c r="KJ7" t="s">
        <v>3603</v>
      </c>
      <c r="MW7" t="s">
        <v>2042</v>
      </c>
      <c r="MY7">
        <v>-2.4245362661989844E-14</v>
      </c>
      <c r="MZ7">
        <v>-2.4245362661989844E-14</v>
      </c>
      <c r="NA7" t="s">
        <v>1814</v>
      </c>
      <c r="NB7">
        <v>2021</v>
      </c>
      <c r="NC7" t="s">
        <v>2043</v>
      </c>
      <c r="ND7" s="6">
        <v>44693</v>
      </c>
      <c r="NE7">
        <v>5</v>
      </c>
      <c r="NF7">
        <v>-2.4245362661989844E-14</v>
      </c>
      <c r="NG7">
        <v>100060</v>
      </c>
      <c r="NH7" t="s">
        <v>2044</v>
      </c>
      <c r="NK7" t="s">
        <v>2933</v>
      </c>
      <c r="NL7">
        <v>-2.4245362661989844E-14</v>
      </c>
      <c r="NN7">
        <v>-2.4245362661989844E-14</v>
      </c>
      <c r="NO7" t="s">
        <v>1814</v>
      </c>
      <c r="NP7">
        <v>2023</v>
      </c>
      <c r="NQ7" t="s">
        <v>2934</v>
      </c>
      <c r="NR7" s="6">
        <v>45042</v>
      </c>
      <c r="NS7">
        <v>5</v>
      </c>
      <c r="NT7">
        <v>-2.4245362661989844E-14</v>
      </c>
      <c r="NU7">
        <v>1404288</v>
      </c>
      <c r="NV7" t="s">
        <v>2935</v>
      </c>
    </row>
    <row r="8" spans="1:600" x14ac:dyDescent="0.25">
      <c r="EU8" t="s">
        <v>2892</v>
      </c>
      <c r="EV8" t="s">
        <v>1949</v>
      </c>
      <c r="EW8">
        <v>2.0240000000000002E-3</v>
      </c>
      <c r="EX8">
        <v>2.6168E-2</v>
      </c>
      <c r="EY8" t="s">
        <v>1810</v>
      </c>
      <c r="EZ8">
        <v>2025</v>
      </c>
      <c r="FA8" t="s">
        <v>2893</v>
      </c>
      <c r="FB8" s="6">
        <v>45964</v>
      </c>
      <c r="FC8">
        <v>5</v>
      </c>
      <c r="FD8">
        <v>10506</v>
      </c>
      <c r="FE8">
        <v>16546862</v>
      </c>
      <c r="FF8" t="s">
        <v>2894</v>
      </c>
      <c r="FI8" t="s">
        <v>2780</v>
      </c>
      <c r="FJ8">
        <v>-2.4245362661989844E-14</v>
      </c>
      <c r="FL8">
        <v>-2.4245362661989844E-14</v>
      </c>
      <c r="FM8" t="s">
        <v>1814</v>
      </c>
      <c r="FN8">
        <v>2024</v>
      </c>
      <c r="FO8" t="s">
        <v>2781</v>
      </c>
      <c r="FP8" s="6">
        <v>45771</v>
      </c>
      <c r="FQ8">
        <v>5</v>
      </c>
      <c r="FR8">
        <v>-2.4245362661989844E-14</v>
      </c>
      <c r="FS8">
        <v>135686</v>
      </c>
      <c r="FT8" t="s">
        <v>2782</v>
      </c>
      <c r="JY8" t="s">
        <v>2058</v>
      </c>
      <c r="JZ8">
        <v>-2.4245362661989844E-14</v>
      </c>
      <c r="KB8">
        <v>-2.4245362661989844E-14</v>
      </c>
      <c r="KC8" t="s">
        <v>1814</v>
      </c>
      <c r="KD8">
        <v>2021</v>
      </c>
      <c r="KE8" t="s">
        <v>3597</v>
      </c>
      <c r="KF8" s="6">
        <v>44739</v>
      </c>
      <c r="KG8">
        <v>5</v>
      </c>
      <c r="KH8">
        <v>-2.4245362661989844E-14</v>
      </c>
      <c r="KI8">
        <v>825197</v>
      </c>
      <c r="KJ8" t="s">
        <v>2060</v>
      </c>
      <c r="MW8" t="s">
        <v>979</v>
      </c>
      <c r="MY8">
        <v>-2.4245362661989844E-14</v>
      </c>
      <c r="MZ8">
        <v>-2.4245362661989844E-14</v>
      </c>
      <c r="NA8" t="s">
        <v>1814</v>
      </c>
      <c r="NB8">
        <v>2021</v>
      </c>
      <c r="NC8" t="s">
        <v>2048</v>
      </c>
      <c r="ND8" s="6">
        <v>44693</v>
      </c>
      <c r="NE8">
        <v>5</v>
      </c>
      <c r="NF8">
        <v>-2.4245362661989844E-14</v>
      </c>
      <c r="NG8">
        <v>100193</v>
      </c>
      <c r="NH8" t="s">
        <v>2049</v>
      </c>
      <c r="NK8" t="s">
        <v>2936</v>
      </c>
      <c r="NL8">
        <v>-2.4245362661989844E-14</v>
      </c>
      <c r="NN8">
        <v>-2.4245362661989844E-14</v>
      </c>
      <c r="NO8" t="s">
        <v>1814</v>
      </c>
      <c r="NP8">
        <v>2022</v>
      </c>
      <c r="NQ8" t="s">
        <v>2937</v>
      </c>
      <c r="NR8" s="6">
        <v>45041</v>
      </c>
      <c r="NS8">
        <v>5</v>
      </c>
      <c r="NT8">
        <v>-2.4245362661989844E-14</v>
      </c>
      <c r="NU8">
        <v>158477</v>
      </c>
      <c r="NV8" t="s">
        <v>2938</v>
      </c>
    </row>
    <row r="9" spans="1:600" x14ac:dyDescent="0.25">
      <c r="EU9" t="s">
        <v>2895</v>
      </c>
      <c r="EV9" t="s">
        <v>1822</v>
      </c>
      <c r="EW9">
        <v>1.2467000000000001E-2</v>
      </c>
      <c r="EX9">
        <v>4.5800000000000002E-4</v>
      </c>
      <c r="EY9" t="s">
        <v>1823</v>
      </c>
      <c r="EZ9">
        <v>2025</v>
      </c>
      <c r="FA9" t="s">
        <v>2896</v>
      </c>
      <c r="FB9" s="6">
        <v>45744</v>
      </c>
      <c r="FC9">
        <v>5</v>
      </c>
      <c r="FD9">
        <v>6232.4</v>
      </c>
      <c r="FE9">
        <v>28653435</v>
      </c>
      <c r="FF9" t="s">
        <v>2897</v>
      </c>
      <c r="FI9" t="s">
        <v>2783</v>
      </c>
      <c r="FJ9">
        <v>-2.4245362661989844E-14</v>
      </c>
      <c r="FL9">
        <v>-2.4245362661989844E-14</v>
      </c>
      <c r="FM9" t="s">
        <v>1814</v>
      </c>
      <c r="FN9">
        <v>2022</v>
      </c>
      <c r="FO9" t="s">
        <v>2784</v>
      </c>
      <c r="FP9" s="6">
        <v>45083</v>
      </c>
      <c r="FQ9">
        <v>5</v>
      </c>
      <c r="FR9">
        <v>-2.4245362661989844E-14</v>
      </c>
      <c r="FS9">
        <v>34532225</v>
      </c>
      <c r="FT9" t="s">
        <v>2785</v>
      </c>
      <c r="JY9" t="s">
        <v>3604</v>
      </c>
      <c r="JZ9">
        <v>-2.4245362661989844E-14</v>
      </c>
      <c r="KB9">
        <v>-2.4245362661989844E-14</v>
      </c>
      <c r="KC9" t="s">
        <v>1814</v>
      </c>
      <c r="KD9">
        <v>2021</v>
      </c>
      <c r="KE9" t="s">
        <v>3597</v>
      </c>
      <c r="KF9" s="6">
        <v>44739</v>
      </c>
      <c r="KG9">
        <v>5</v>
      </c>
      <c r="KH9">
        <v>-2.4245362661989844E-14</v>
      </c>
      <c r="KI9">
        <v>115444</v>
      </c>
      <c r="KJ9" t="s">
        <v>3605</v>
      </c>
      <c r="MW9" t="s">
        <v>2363</v>
      </c>
      <c r="MY9">
        <v>-2.4245362661989844E-14</v>
      </c>
      <c r="MZ9">
        <v>-2.4245362661989844E-14</v>
      </c>
      <c r="NA9" t="s">
        <v>1814</v>
      </c>
      <c r="NB9">
        <v>2021</v>
      </c>
      <c r="NC9" t="s">
        <v>2364</v>
      </c>
      <c r="ND9" s="6">
        <v>44693</v>
      </c>
      <c r="NE9">
        <v>5</v>
      </c>
      <c r="NF9">
        <v>-2.4245362661989844E-14</v>
      </c>
      <c r="NG9">
        <v>100760</v>
      </c>
      <c r="NH9" t="s">
        <v>2365</v>
      </c>
      <c r="NK9" t="s">
        <v>2939</v>
      </c>
      <c r="NL9">
        <v>-2.4245362661989844E-14</v>
      </c>
      <c r="NN9">
        <v>-2.4245362661989844E-14</v>
      </c>
      <c r="NO9" t="s">
        <v>2266</v>
      </c>
      <c r="NP9">
        <v>2024</v>
      </c>
      <c r="NQ9" t="s">
        <v>2940</v>
      </c>
      <c r="NR9" s="6">
        <v>45411</v>
      </c>
      <c r="NS9">
        <v>5</v>
      </c>
      <c r="NT9">
        <v>-2.4245362661989844E-14</v>
      </c>
      <c r="NU9">
        <v>19141634</v>
      </c>
      <c r="NV9" t="s">
        <v>2941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1445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1446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1447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1448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1449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1450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1451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1452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1453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1454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1455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1456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1457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1458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1459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1460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1461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1462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1463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1464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1465</v>
      </c>
      <c r="AE2" s="3" t="s">
        <v>1259</v>
      </c>
      <c r="BI2" s="3" t="s">
        <v>1466</v>
      </c>
      <c r="CM2" s="3" t="s">
        <v>1467</v>
      </c>
      <c r="DQ2" s="3" t="s">
        <v>1468</v>
      </c>
      <c r="EU2" s="3" t="s">
        <v>83</v>
      </c>
      <c r="FY2" s="3" t="s">
        <v>1469</v>
      </c>
      <c r="HC2" s="3" t="s">
        <v>1470</v>
      </c>
      <c r="IG2" s="3" t="s">
        <v>1471</v>
      </c>
      <c r="JK2" s="3" t="s">
        <v>1436</v>
      </c>
      <c r="KO2" s="3" t="s">
        <v>1472</v>
      </c>
      <c r="LS2" s="3" t="s">
        <v>581</v>
      </c>
      <c r="MW2" s="3" t="s">
        <v>1473</v>
      </c>
      <c r="OA2" s="3" t="s">
        <v>435</v>
      </c>
      <c r="PE2" s="3" t="s">
        <v>1474</v>
      </c>
      <c r="QI2" s="3" t="s">
        <v>319</v>
      </c>
      <c r="RM2" s="3" t="s">
        <v>1009</v>
      </c>
      <c r="SQ2" s="3" t="s">
        <v>1405</v>
      </c>
      <c r="TU2" s="3" t="s">
        <v>1233</v>
      </c>
      <c r="UY2" s="3" t="s">
        <v>1475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_xll.BDS("ALAB US Equity","SUPPLY_CHAIN_SUPPLIERS_ALL_DATA","cols=12;rows=5")</f>
        <v>AMKR US Equity</v>
      </c>
      <c r="B5" t="s">
        <v>1822</v>
      </c>
      <c r="C5">
        <v>3.4271999999999997E-2</v>
      </c>
      <c r="D5">
        <v>1.243492</v>
      </c>
      <c r="E5" t="s">
        <v>1810</v>
      </c>
      <c r="F5">
        <v>2025</v>
      </c>
      <c r="G5" t="s">
        <v>1933</v>
      </c>
      <c r="H5" s="6">
        <v>46035</v>
      </c>
      <c r="I5">
        <v>5</v>
      </c>
      <c r="J5">
        <v>680974</v>
      </c>
      <c r="K5">
        <v>302680</v>
      </c>
      <c r="L5" t="s">
        <v>1934</v>
      </c>
      <c r="O5" t="str">
        <f>_xll.BDS("ALAB US Equity","SUPPLY_CHAIN_CUSTOMERS_ALL_DATA","cols=12;rows=5")</f>
        <v>AMZN US Equity</v>
      </c>
      <c r="P5">
        <v>24</v>
      </c>
      <c r="Q5" t="s">
        <v>1949</v>
      </c>
      <c r="R5">
        <v>0.143125</v>
      </c>
      <c r="S5" t="s">
        <v>1823</v>
      </c>
      <c r="T5">
        <v>2025</v>
      </c>
      <c r="U5" t="s">
        <v>2246</v>
      </c>
      <c r="V5" s="6">
        <v>45877</v>
      </c>
      <c r="W5">
        <v>5</v>
      </c>
      <c r="X5">
        <v>46062000</v>
      </c>
      <c r="Y5">
        <v>216952</v>
      </c>
      <c r="Z5" t="s">
        <v>2101</v>
      </c>
      <c r="AE5" t="str">
        <f>_xll.BDS("CERN US Equity","SUPPLY_CHAIN_SUPPLIERS_ALL_DATA","cols=12;rows=5")</f>
        <v>3611 TT Equity</v>
      </c>
      <c r="AG5">
        <v>-2.4245362661989844E-14</v>
      </c>
      <c r="AH5">
        <v>-2.4245362661989844E-14</v>
      </c>
      <c r="AI5" t="s">
        <v>1814</v>
      </c>
      <c r="AJ5">
        <v>2021</v>
      </c>
      <c r="AK5" t="s">
        <v>2831</v>
      </c>
      <c r="AL5" s="6">
        <v>44707</v>
      </c>
      <c r="AM5">
        <v>5</v>
      </c>
      <c r="AN5">
        <v>-2.4245362661989844E-14</v>
      </c>
      <c r="AO5">
        <v>15343235</v>
      </c>
      <c r="AP5" t="s">
        <v>2832</v>
      </c>
      <c r="AS5" t="str">
        <f>_xll.BDS("CERN US Equity","SUPPLY_CHAIN_CUSTOMERS_ALL_DATA","cols=12;rows=5")</f>
        <v>0522255D US Equity</v>
      </c>
      <c r="AT5">
        <v>-2.4245362661989844E-14</v>
      </c>
      <c r="AV5">
        <v>-2.4245362661989844E-14</v>
      </c>
      <c r="AW5" t="s">
        <v>1814</v>
      </c>
      <c r="AX5">
        <v>2022</v>
      </c>
      <c r="AY5" t="s">
        <v>2812</v>
      </c>
      <c r="AZ5" s="6">
        <v>44712</v>
      </c>
      <c r="BA5">
        <v>5</v>
      </c>
      <c r="BB5">
        <v>-2.4245362661989844E-14</v>
      </c>
      <c r="BC5">
        <v>31511335</v>
      </c>
      <c r="BD5" t="s">
        <v>2813</v>
      </c>
      <c r="BI5" t="str">
        <f>_xll.BDS("1284849D US Equity","SUPPLY_CHAIN_SUPPLIERS_ALL_DATA","cols=12;rows=5")</f>
        <v>AEE US Equity</v>
      </c>
      <c r="BK5">
        <v>-2.4245362661989844E-14</v>
      </c>
      <c r="BL5">
        <v>-2.4245362661989844E-14</v>
      </c>
      <c r="BM5" t="s">
        <v>1814</v>
      </c>
      <c r="BN5">
        <v>2021</v>
      </c>
      <c r="BO5" t="s">
        <v>2040</v>
      </c>
      <c r="BP5" s="6">
        <v>44693</v>
      </c>
      <c r="BQ5">
        <v>5</v>
      </c>
      <c r="BR5">
        <v>-2.4245362661989844E-14</v>
      </c>
      <c r="BS5">
        <v>313098</v>
      </c>
      <c r="BT5" t="s">
        <v>2041</v>
      </c>
      <c r="BW5" t="str">
        <f>_xll.BDS("1284849D US Equity","SUPPLY_CHAIN_CUSTOMERS_ALL_DATA","cols=12;rows=1")</f>
        <v>4569 JP Equity</v>
      </c>
      <c r="BX5">
        <v>-2.4245362661989844E-14</v>
      </c>
      <c r="BZ5">
        <v>-2.4245362661989844E-14</v>
      </c>
      <c r="CA5" t="s">
        <v>1814</v>
      </c>
      <c r="CB5">
        <v>2022</v>
      </c>
      <c r="CC5" t="s">
        <v>2008</v>
      </c>
      <c r="CD5" s="6">
        <v>44736</v>
      </c>
      <c r="CE5">
        <v>1</v>
      </c>
      <c r="CF5">
        <v>-2.4245362661989844E-14</v>
      </c>
      <c r="CG5">
        <v>10499395</v>
      </c>
      <c r="CH5" t="s">
        <v>2009</v>
      </c>
      <c r="CM5" t="str">
        <f>_xll.BDS("SPGZ US Equity","SUPPLY_CHAIN_SUPPLIERS_ALL_DATA","cols=12;rows=1")</f>
        <v>GOLD US Equity</v>
      </c>
      <c r="CO5">
        <v>1.1581239999999999</v>
      </c>
      <c r="CP5">
        <v>-2.4245362661989844E-14</v>
      </c>
      <c r="CQ5" t="s">
        <v>1814</v>
      </c>
      <c r="CR5">
        <v>2025</v>
      </c>
      <c r="CS5" t="s">
        <v>3918</v>
      </c>
      <c r="CT5" s="6">
        <v>45911</v>
      </c>
      <c r="CU5">
        <v>1</v>
      </c>
      <c r="CV5">
        <v>31786492</v>
      </c>
      <c r="CW5">
        <v>39012504</v>
      </c>
      <c r="CX5" t="s">
        <v>3919</v>
      </c>
      <c r="DA5" t="str">
        <f>_xll.BDS("SPGZ US Equity","SUPPLY_CHAIN_CUSTOMERS_ALL_DATA","cols=12;rows=1")</f>
        <v>GOLD US Equity</v>
      </c>
      <c r="DB5">
        <v>-2.4245362661989844E-14</v>
      </c>
      <c r="DC5" t="s">
        <v>1822</v>
      </c>
      <c r="DD5">
        <v>0.94425899999999996</v>
      </c>
      <c r="DE5" t="s">
        <v>1814</v>
      </c>
      <c r="DF5">
        <v>2025</v>
      </c>
      <c r="DG5" t="s">
        <v>3918</v>
      </c>
      <c r="DH5" s="6">
        <v>45911</v>
      </c>
      <c r="DI5">
        <v>1</v>
      </c>
      <c r="DJ5">
        <v>25418740</v>
      </c>
      <c r="DK5">
        <v>39012504</v>
      </c>
      <c r="DL5" t="s">
        <v>3919</v>
      </c>
      <c r="DQ5" t="str">
        <f>_xll.BDS("ABBK US Equity","SUPPLY_CHAIN_SUPPLIERS_ALL_DATA")</f>
        <v>#N/A N/A</v>
      </c>
      <c r="EE5" t="str">
        <f>_xll.BDS("ABBK US Equity","SUPPLY_CHAIN_CUSTOMERS_ALL_DATA")</f>
        <v>#N/A N/A</v>
      </c>
      <c r="EU5" t="str">
        <f>_xll.BDS("GABC US Equity","SUPPLY_CHAIN_SUPPLIERS_ALL_DATA")</f>
        <v>#N/A N/A</v>
      </c>
      <c r="FI5" t="str">
        <f>_xll.BDS("GABC US Equity","SUPPLY_CHAIN_CUSTOMERS_ALL_DATA")</f>
        <v>#N/A N/A</v>
      </c>
      <c r="FY5" t="str">
        <f>_xll.BDS("LVCI US Equity","SUPPLY_CHAIN_SUPPLIERS_ALL_DATA")</f>
        <v>#N/A N/A</v>
      </c>
      <c r="GM5" t="str">
        <f>_xll.BDS("LVCI US Equity","SUPPLY_CHAIN_CUSTOMERS_ALL_DATA")</f>
        <v>#N/A N/A</v>
      </c>
      <c r="HC5" t="str">
        <f>_xll.BDS("HBIO US Equity","SUPPLY_CHAIN_SUPPLIERS_ALL_DATA","cols=12;rows=5")</f>
        <v>DUK US Equity</v>
      </c>
      <c r="HE5">
        <v>-2.4245362661989844E-14</v>
      </c>
      <c r="HF5">
        <v>-2.4245362661989844E-14</v>
      </c>
      <c r="HG5" t="s">
        <v>1814</v>
      </c>
      <c r="HH5">
        <v>2021</v>
      </c>
      <c r="HI5" t="s">
        <v>2051</v>
      </c>
      <c r="HJ5" s="6">
        <v>44693</v>
      </c>
      <c r="HK5">
        <v>5</v>
      </c>
      <c r="HL5">
        <v>-2.4245362661989844E-14</v>
      </c>
      <c r="HM5">
        <v>100481</v>
      </c>
      <c r="HN5" t="s">
        <v>2052</v>
      </c>
      <c r="HQ5" t="str">
        <f>_xll.BDS("HBIO US Equity","SUPPLY_CHAIN_CUSTOMERS_ALL_DATA","cols=12;rows=5")</f>
        <v>0031457D US Equity</v>
      </c>
      <c r="HR5">
        <v>-2.4245362661989844E-14</v>
      </c>
      <c r="HT5">
        <v>-2.4245362661989844E-14</v>
      </c>
      <c r="HU5" t="s">
        <v>1814</v>
      </c>
      <c r="HV5">
        <v>2022</v>
      </c>
      <c r="HW5" t="s">
        <v>3213</v>
      </c>
      <c r="HX5" s="6">
        <v>44994</v>
      </c>
      <c r="HY5">
        <v>5</v>
      </c>
      <c r="HZ5">
        <v>-2.4245362661989844E-14</v>
      </c>
      <c r="IA5">
        <v>934951</v>
      </c>
      <c r="IB5" t="s">
        <v>2261</v>
      </c>
      <c r="IG5" t="str">
        <f>_xll.BDS("JEF US Equity","SUPPLY_CHAIN_SUPPLIERS_ALL_DATA","cols=12;rows=5")</f>
        <v>000063 CH Equity</v>
      </c>
      <c r="II5">
        <v>-2.4245362661989844E-14</v>
      </c>
      <c r="IJ5">
        <v>-2.4245362661989844E-14</v>
      </c>
      <c r="IK5" t="s">
        <v>1814</v>
      </c>
      <c r="IL5">
        <v>2025</v>
      </c>
      <c r="IM5" t="s">
        <v>3030</v>
      </c>
      <c r="IN5" s="6">
        <v>45904</v>
      </c>
      <c r="IO5">
        <v>5</v>
      </c>
      <c r="IP5">
        <v>-2.4245362661989844E-14</v>
      </c>
      <c r="IQ5">
        <v>304299</v>
      </c>
      <c r="IR5" t="s">
        <v>2157</v>
      </c>
      <c r="IU5" t="str">
        <f>_xll.BDS("JEF US Equity","SUPPLY_CHAIN_CUSTOMERS_ALL_DATA")</f>
        <v>#N/A N/A</v>
      </c>
      <c r="JK5" t="str">
        <f>_xll.BDS("WABC US Equity","SUPPLY_CHAIN_SUPPLIERS_ALL_DATA","cols=12;rows=1")</f>
        <v>QUIS CN Equity</v>
      </c>
      <c r="JM5">
        <v>-2.4245362661989844E-14</v>
      </c>
      <c r="JN5">
        <v>-2.4245362661989844E-14</v>
      </c>
      <c r="JO5" t="s">
        <v>1810</v>
      </c>
      <c r="JP5">
        <v>2022</v>
      </c>
      <c r="JQ5" t="s">
        <v>2426</v>
      </c>
      <c r="JR5" s="6">
        <v>44902</v>
      </c>
      <c r="JS5">
        <v>1</v>
      </c>
      <c r="JT5">
        <v>-2.4245362661989844E-14</v>
      </c>
      <c r="JU5">
        <v>28615713</v>
      </c>
      <c r="JV5" t="s">
        <v>2427</v>
      </c>
      <c r="JY5" t="str">
        <f>_xll.BDS("WABC US Equity","SUPPLY_CHAIN_CUSTOMERS_ALL_DATA")</f>
        <v>#N/A N/A</v>
      </c>
      <c r="KO5" t="str">
        <f>_xll.BDS("8184823Q US Equity","SUPPLY_CHAIN_SUPPLIERS_ALL_DATA")</f>
        <v>#N/A N/A</v>
      </c>
      <c r="LC5" t="str">
        <f>_xll.BDS("8184823Q US Equity","SUPPLY_CHAIN_CUSTOMERS_ALL_DATA")</f>
        <v>#N/A N/A</v>
      </c>
      <c r="LS5" t="str">
        <f>_xll.BDS("1368189D US Equity","SUPPLY_CHAIN_SUPPLIERS_ALL_DATA")</f>
        <v>#N/A N/A</v>
      </c>
      <c r="MG5" t="str">
        <f>_xll.BDS("1368189D US Equity","SUPPLY_CHAIN_CUSTOMERS_ALL_DATA")</f>
        <v>#N/A N/A</v>
      </c>
      <c r="MW5" t="str">
        <f>_xll.BDS("CTS US Equity","SUPPLY_CHAIN_SUPPLIERS_ALL_DATA","cols=12;rows=5")</f>
        <v>MELE BB Equity</v>
      </c>
      <c r="MX5" t="s">
        <v>1822</v>
      </c>
      <c r="MY5">
        <v>4.8085999999999997E-2</v>
      </c>
      <c r="MZ5">
        <v>0.138042</v>
      </c>
      <c r="NA5" t="s">
        <v>1810</v>
      </c>
      <c r="NB5">
        <v>2025</v>
      </c>
      <c r="NC5" t="s">
        <v>2339</v>
      </c>
      <c r="ND5" s="6">
        <v>45968</v>
      </c>
      <c r="NE5">
        <v>5</v>
      </c>
      <c r="NF5">
        <v>120987.33</v>
      </c>
      <c r="NG5">
        <v>307033</v>
      </c>
      <c r="NH5" t="s">
        <v>2340</v>
      </c>
      <c r="NK5" t="str">
        <f>_xll.BDS("CTS US Equity","SUPPLY_CHAIN_CUSTOMERS_ALL_DATA","cols=12;rows=5")</f>
        <v>7203 JP Equity</v>
      </c>
      <c r="NL5">
        <v>11.2</v>
      </c>
      <c r="NM5" t="s">
        <v>1822</v>
      </c>
      <c r="NN5">
        <v>2.1808999999999999E-2</v>
      </c>
      <c r="NO5" t="s">
        <v>1814</v>
      </c>
      <c r="NP5">
        <v>2025</v>
      </c>
      <c r="NQ5" t="s">
        <v>2054</v>
      </c>
      <c r="NR5" s="6">
        <v>46077</v>
      </c>
      <c r="NS5">
        <v>5</v>
      </c>
      <c r="NT5">
        <v>15156904</v>
      </c>
      <c r="NU5">
        <v>115114</v>
      </c>
      <c r="NV5" t="s">
        <v>2055</v>
      </c>
      <c r="OA5" t="str">
        <f>_xll.BDS("FNB US Equity","SUPPLY_CHAIN_SUPPLIERS_ALL_DATA")</f>
        <v>HY US Equity</v>
      </c>
      <c r="OO5" t="str">
        <f>_xll.BDS("FNB US Equity","SUPPLY_CHAIN_CUSTOMERS_ALL_DATA")</f>
        <v>#N/A N/A</v>
      </c>
      <c r="PE5" t="str">
        <f>_xll.BDS("CAH US Equity","SUPPLY_CHAIN_SUPPLIERS_ALL_DATA","cols=12;rows=5")</f>
        <v>LLY US Equity</v>
      </c>
      <c r="PF5" t="s">
        <v>1822</v>
      </c>
      <c r="PG5">
        <v>19.020800000000001</v>
      </c>
      <c r="PH5">
        <v>5.4268320000000001</v>
      </c>
      <c r="PI5" t="s">
        <v>1810</v>
      </c>
      <c r="PJ5">
        <v>2025</v>
      </c>
      <c r="PK5" t="s">
        <v>3512</v>
      </c>
      <c r="PL5" s="6">
        <v>46041</v>
      </c>
      <c r="PM5">
        <v>5</v>
      </c>
      <c r="PN5">
        <v>3347812864</v>
      </c>
      <c r="PO5">
        <v>100894</v>
      </c>
      <c r="PP5" t="s">
        <v>3513</v>
      </c>
      <c r="PS5" t="str">
        <f>_xll.BDS("CAH US Equity","SUPPLY_CHAIN_CUSTOMERS_ALL_DATA","cols=12;rows=5")</f>
        <v>CVS US Equity</v>
      </c>
      <c r="PT5">
        <v>30</v>
      </c>
      <c r="PU5" t="s">
        <v>1822</v>
      </c>
      <c r="PV5">
        <v>20.040337000000001</v>
      </c>
      <c r="PW5" t="s">
        <v>1814</v>
      </c>
      <c r="PX5">
        <v>2025</v>
      </c>
      <c r="PY5" t="s">
        <v>3452</v>
      </c>
      <c r="PZ5" s="6">
        <v>45881</v>
      </c>
      <c r="QA5">
        <v>5</v>
      </c>
      <c r="QB5">
        <v>16693350400</v>
      </c>
      <c r="QC5">
        <v>100976</v>
      </c>
      <c r="QD5" t="s">
        <v>1877</v>
      </c>
      <c r="QI5" t="str">
        <f>_xll.BDS("CVBF US Equity","SUPPLY_CHAIN_SUPPLIERS_ALL_DATA")</f>
        <v>#N/A N/A</v>
      </c>
      <c r="QW5" t="str">
        <f>_xll.BDS("CVBF US Equity","SUPPLY_CHAIN_CUSTOMERS_ALL_DATA")</f>
        <v>#N/A N/A</v>
      </c>
      <c r="RM5" t="str">
        <f>_xll.BDS("NWFL US Equity","SUPPLY_CHAIN_SUPPLIERS_ALL_DATA")</f>
        <v>#N/A N/A</v>
      </c>
      <c r="SA5" t="str">
        <f>_xll.BDS("NWFL US Equity","SUPPLY_CHAIN_CUSTOMERS_ALL_DATA")</f>
        <v>#N/A N/A</v>
      </c>
      <c r="SQ5" t="str">
        <f>_xll.BDS("OAKF US Equity","SUPPLY_CHAIN_SUPPLIERS_ALL_DATA")</f>
        <v>#N/A N/A</v>
      </c>
      <c r="TE5" t="str">
        <f>_xll.BDS("OAKF US Equity","SUPPLY_CHAIN_CUSTOMERS_ALL_DATA")</f>
        <v>#N/A N/A</v>
      </c>
      <c r="TU5" t="str">
        <f>_xll.BDS("1255459D US Equity","SUPPLY_CHAIN_SUPPLIERS_ALL_DATA","cols=12;rows=2")</f>
        <v>CREI LN Equity</v>
      </c>
      <c r="TW5">
        <v>-2.4245362661989844E-14</v>
      </c>
      <c r="TX5">
        <v>-2.4245362661989844E-14</v>
      </c>
      <c r="TY5" t="s">
        <v>1814</v>
      </c>
      <c r="TZ5">
        <v>2022</v>
      </c>
      <c r="UA5" t="s">
        <v>2658</v>
      </c>
      <c r="UB5" s="6">
        <v>44757</v>
      </c>
      <c r="UC5">
        <v>2</v>
      </c>
      <c r="UD5">
        <v>-2.4245362661989844E-14</v>
      </c>
      <c r="UE5">
        <v>39775273</v>
      </c>
      <c r="UF5" t="s">
        <v>2659</v>
      </c>
      <c r="UI5" t="str">
        <f>_xll.BDS("1255459D US Equity","SUPPLY_CHAIN_CUSTOMERS_ALL_DATA","cols=12;rows=5")</f>
        <v>028260 KS Equity</v>
      </c>
      <c r="UJ5">
        <v>-2.4245362661989844E-14</v>
      </c>
      <c r="UL5">
        <v>-2.4245362661989844E-14</v>
      </c>
      <c r="UM5" t="s">
        <v>1831</v>
      </c>
      <c r="UN5">
        <v>2023</v>
      </c>
      <c r="UO5" t="s">
        <v>2524</v>
      </c>
      <c r="UP5" s="6">
        <v>45244</v>
      </c>
      <c r="UQ5">
        <v>5</v>
      </c>
      <c r="UR5">
        <v>-2.4245362661989844E-14</v>
      </c>
      <c r="US5">
        <v>307967</v>
      </c>
      <c r="UT5" t="s">
        <v>2525</v>
      </c>
      <c r="UY5" t="str">
        <f>_xll.BDS("ORXE US Equity","SUPPLY_CHAIN_SUPPLIERS_ALL_DATA")</f>
        <v>#N/A N/A</v>
      </c>
      <c r="VM5" t="str">
        <f>_xll.BDS("ORXE US Equity","SUPPLY_CHAIN_CUSTOMERS_ALL_DATA")</f>
        <v>#N/A N/A</v>
      </c>
    </row>
    <row r="6" spans="1:600" x14ac:dyDescent="0.25">
      <c r="A6" t="s">
        <v>1935</v>
      </c>
      <c r="C6">
        <v>-2.4245362661989844E-14</v>
      </c>
      <c r="D6">
        <v>-2.4245362661989844E-14</v>
      </c>
      <c r="E6" t="s">
        <v>1814</v>
      </c>
      <c r="F6">
        <v>2025</v>
      </c>
      <c r="G6" t="s">
        <v>1936</v>
      </c>
      <c r="H6" s="6">
        <v>46073</v>
      </c>
      <c r="I6">
        <v>5</v>
      </c>
      <c r="J6">
        <v>-2.4245362661989844E-14</v>
      </c>
      <c r="K6">
        <v>153737</v>
      </c>
      <c r="L6" t="s">
        <v>1937</v>
      </c>
      <c r="O6" t="s">
        <v>2247</v>
      </c>
      <c r="P6">
        <v>13.013496</v>
      </c>
      <c r="Q6" t="s">
        <v>1822</v>
      </c>
      <c r="R6">
        <v>0.143591</v>
      </c>
      <c r="S6" t="s">
        <v>1823</v>
      </c>
      <c r="T6">
        <v>2025</v>
      </c>
      <c r="U6" t="s">
        <v>2246</v>
      </c>
      <c r="V6" s="6">
        <v>45877</v>
      </c>
      <c r="W6">
        <v>5</v>
      </c>
      <c r="X6">
        <v>24976152</v>
      </c>
      <c r="Y6">
        <v>313657</v>
      </c>
      <c r="Z6" t="s">
        <v>2248</v>
      </c>
      <c r="AE6" t="s">
        <v>2833</v>
      </c>
      <c r="AG6">
        <v>-2.4245362661989844E-14</v>
      </c>
      <c r="AH6">
        <v>-2.4245362661989844E-14</v>
      </c>
      <c r="AI6" t="s">
        <v>1814</v>
      </c>
      <c r="AJ6">
        <v>2022</v>
      </c>
      <c r="AK6" t="s">
        <v>2834</v>
      </c>
      <c r="AL6" s="6">
        <v>44698</v>
      </c>
      <c r="AM6">
        <v>5</v>
      </c>
      <c r="AN6">
        <v>-2.4245362661989844E-14</v>
      </c>
      <c r="AO6">
        <v>23597214</v>
      </c>
      <c r="AP6" t="s">
        <v>2835</v>
      </c>
      <c r="AS6" t="s">
        <v>2814</v>
      </c>
      <c r="AT6">
        <v>-2.4245362661989844E-14</v>
      </c>
      <c r="AV6">
        <v>-2.4245362661989844E-14</v>
      </c>
      <c r="AW6" t="s">
        <v>1814</v>
      </c>
      <c r="AX6">
        <v>2022</v>
      </c>
      <c r="AY6" t="s">
        <v>2812</v>
      </c>
      <c r="AZ6" s="6">
        <v>44712</v>
      </c>
      <c r="BA6">
        <v>5</v>
      </c>
      <c r="BB6">
        <v>-2.4245362661989844E-14</v>
      </c>
      <c r="BC6">
        <v>8548296</v>
      </c>
      <c r="BD6" t="s">
        <v>2815</v>
      </c>
      <c r="BI6" t="s">
        <v>2042</v>
      </c>
      <c r="BK6">
        <v>-2.4245362661989844E-14</v>
      </c>
      <c r="BL6">
        <v>-2.4245362661989844E-14</v>
      </c>
      <c r="BM6" t="s">
        <v>1814</v>
      </c>
      <c r="BN6">
        <v>2021</v>
      </c>
      <c r="BO6" t="s">
        <v>2043</v>
      </c>
      <c r="BP6" s="6">
        <v>44693</v>
      </c>
      <c r="BQ6">
        <v>5</v>
      </c>
      <c r="BR6">
        <v>-2.4245362661989844E-14</v>
      </c>
      <c r="BS6">
        <v>100060</v>
      </c>
      <c r="BT6" t="s">
        <v>2044</v>
      </c>
      <c r="HC6" t="s">
        <v>3272</v>
      </c>
      <c r="HE6">
        <v>-2.4245362661989844E-14</v>
      </c>
      <c r="HF6">
        <v>-2.4245362661989844E-14</v>
      </c>
      <c r="HG6" t="s">
        <v>1814</v>
      </c>
      <c r="HH6">
        <v>2021</v>
      </c>
      <c r="HI6" t="s">
        <v>3273</v>
      </c>
      <c r="HJ6" s="6">
        <v>44693</v>
      </c>
      <c r="HK6">
        <v>5</v>
      </c>
      <c r="HL6">
        <v>-2.4245362661989844E-14</v>
      </c>
      <c r="HM6">
        <v>101086</v>
      </c>
      <c r="HN6" t="s">
        <v>3274</v>
      </c>
      <c r="HQ6" t="s">
        <v>3214</v>
      </c>
      <c r="HR6">
        <v>-2.4245362661989844E-14</v>
      </c>
      <c r="HT6">
        <v>-2.4245362661989844E-14</v>
      </c>
      <c r="HU6" t="s">
        <v>1814</v>
      </c>
      <c r="HV6">
        <v>2024</v>
      </c>
      <c r="HW6" t="s">
        <v>3215</v>
      </c>
      <c r="HX6" s="6">
        <v>45730</v>
      </c>
      <c r="HY6">
        <v>5</v>
      </c>
      <c r="HZ6">
        <v>-2.4245362661989844E-14</v>
      </c>
      <c r="IA6">
        <v>358083</v>
      </c>
      <c r="IB6" t="s">
        <v>3216</v>
      </c>
      <c r="IG6" t="s">
        <v>3031</v>
      </c>
      <c r="II6">
        <v>-2.4245362661989844E-14</v>
      </c>
      <c r="IJ6">
        <v>-2.4245362661989844E-14</v>
      </c>
      <c r="IK6" t="s">
        <v>1814</v>
      </c>
      <c r="IL6">
        <v>2026</v>
      </c>
      <c r="IM6" t="s">
        <v>3032</v>
      </c>
      <c r="IN6" s="6">
        <v>46042</v>
      </c>
      <c r="IO6">
        <v>5</v>
      </c>
      <c r="IP6">
        <v>-2.4245362661989844E-14</v>
      </c>
      <c r="IQ6">
        <v>9095890</v>
      </c>
      <c r="IR6" t="s">
        <v>3033</v>
      </c>
      <c r="MW6" t="s">
        <v>2341</v>
      </c>
      <c r="MY6">
        <v>-2.4245362661989844E-14</v>
      </c>
      <c r="MZ6">
        <v>-2.4245362661989844E-14</v>
      </c>
      <c r="NA6" t="s">
        <v>2342</v>
      </c>
      <c r="NB6">
        <v>2024</v>
      </c>
      <c r="NC6" t="s">
        <v>2343</v>
      </c>
      <c r="ND6" s="6">
        <v>45547</v>
      </c>
      <c r="NE6">
        <v>5</v>
      </c>
      <c r="NF6">
        <v>-2.4245362661989844E-14</v>
      </c>
      <c r="NG6">
        <v>37768477</v>
      </c>
      <c r="NH6" t="s">
        <v>2344</v>
      </c>
      <c r="NK6" t="s">
        <v>2056</v>
      </c>
      <c r="NL6">
        <v>8.4</v>
      </c>
      <c r="NM6" t="s">
        <v>1822</v>
      </c>
      <c r="NN6">
        <v>0.18076900000000001</v>
      </c>
      <c r="NO6" t="s">
        <v>1814</v>
      </c>
      <c r="NP6">
        <v>2025</v>
      </c>
      <c r="NQ6" t="s">
        <v>2054</v>
      </c>
      <c r="NR6" s="6">
        <v>46077</v>
      </c>
      <c r="NS6">
        <v>5</v>
      </c>
      <c r="NT6">
        <v>11367678</v>
      </c>
      <c r="NU6">
        <v>100419</v>
      </c>
      <c r="NV6" t="s">
        <v>2057</v>
      </c>
      <c r="PE6" t="s">
        <v>1899</v>
      </c>
      <c r="PF6" t="s">
        <v>1822</v>
      </c>
      <c r="PG6">
        <v>18.560427000000001</v>
      </c>
      <c r="PH6">
        <v>4.8780200000000002</v>
      </c>
      <c r="PI6" t="s">
        <v>1827</v>
      </c>
      <c r="PJ6">
        <v>2025</v>
      </c>
      <c r="PK6" t="s">
        <v>1900</v>
      </c>
      <c r="PL6" s="6">
        <v>46077</v>
      </c>
      <c r="PM6">
        <v>5</v>
      </c>
      <c r="PN6">
        <v>3084371712</v>
      </c>
      <c r="PO6">
        <v>28046509</v>
      </c>
      <c r="PP6" t="s">
        <v>1901</v>
      </c>
      <c r="PS6" t="s">
        <v>3453</v>
      </c>
      <c r="PT6">
        <v>4</v>
      </c>
      <c r="PV6">
        <v>-2.4245362661989844E-14</v>
      </c>
      <c r="PW6" t="s">
        <v>1827</v>
      </c>
      <c r="PX6">
        <v>2025</v>
      </c>
      <c r="PY6" t="s">
        <v>3454</v>
      </c>
      <c r="PZ6" s="6">
        <v>45954</v>
      </c>
      <c r="QA6">
        <v>5</v>
      </c>
      <c r="QB6">
        <v>2406360064</v>
      </c>
      <c r="QC6">
        <v>48003505</v>
      </c>
      <c r="QD6" t="s">
        <v>3455</v>
      </c>
      <c r="TU6" t="s">
        <v>2660</v>
      </c>
      <c r="TW6">
        <v>-2.4245362661989844E-14</v>
      </c>
      <c r="TX6">
        <v>-2.4245362661989844E-14</v>
      </c>
      <c r="TY6" t="s">
        <v>1814</v>
      </c>
      <c r="TZ6">
        <v>2022</v>
      </c>
      <c r="UA6" t="s">
        <v>2661</v>
      </c>
      <c r="UB6" s="6">
        <v>44797</v>
      </c>
      <c r="UC6">
        <v>2</v>
      </c>
      <c r="UD6">
        <v>-2.4245362661989844E-14</v>
      </c>
      <c r="UE6">
        <v>42186257</v>
      </c>
      <c r="UF6" t="s">
        <v>2662</v>
      </c>
      <c r="UI6" t="s">
        <v>2526</v>
      </c>
      <c r="UJ6">
        <v>-2.4245362661989844E-14</v>
      </c>
      <c r="UL6">
        <v>-2.4245362661989844E-14</v>
      </c>
      <c r="UM6" t="s">
        <v>2266</v>
      </c>
      <c r="UN6">
        <v>2025</v>
      </c>
      <c r="UO6" t="s">
        <v>2527</v>
      </c>
      <c r="UP6" s="6">
        <v>45792</v>
      </c>
      <c r="UQ6">
        <v>5</v>
      </c>
      <c r="UR6">
        <v>-2.4245362661989844E-14</v>
      </c>
      <c r="US6">
        <v>25611178</v>
      </c>
      <c r="UT6" t="s">
        <v>2528</v>
      </c>
    </row>
    <row r="7" spans="1:600" x14ac:dyDescent="0.25">
      <c r="A7" t="s">
        <v>1938</v>
      </c>
      <c r="C7">
        <v>-2.4245362661989844E-14</v>
      </c>
      <c r="D7">
        <v>-2.4245362661989844E-14</v>
      </c>
      <c r="E7" t="s">
        <v>1814</v>
      </c>
      <c r="F7">
        <v>2025</v>
      </c>
      <c r="G7" t="s">
        <v>1936</v>
      </c>
      <c r="H7" s="6">
        <v>46073</v>
      </c>
      <c r="I7">
        <v>5</v>
      </c>
      <c r="J7">
        <v>-2.4245362661989844E-14</v>
      </c>
      <c r="K7">
        <v>58244711</v>
      </c>
      <c r="L7" t="s">
        <v>1939</v>
      </c>
      <c r="O7" t="s">
        <v>2249</v>
      </c>
      <c r="P7">
        <v>6.5809350000000002</v>
      </c>
      <c r="Q7" t="s">
        <v>1822</v>
      </c>
      <c r="R7">
        <v>9.2913999999999997E-2</v>
      </c>
      <c r="S7" t="s">
        <v>1823</v>
      </c>
      <c r="T7">
        <v>2025</v>
      </c>
      <c r="U7" t="s">
        <v>2246</v>
      </c>
      <c r="V7" s="6">
        <v>45877</v>
      </c>
      <c r="W7">
        <v>5</v>
      </c>
      <c r="X7">
        <v>12630459</v>
      </c>
      <c r="Y7">
        <v>330541</v>
      </c>
      <c r="Z7" t="s">
        <v>2250</v>
      </c>
      <c r="AE7" t="s">
        <v>2836</v>
      </c>
      <c r="AG7">
        <v>-2.4245362661989844E-14</v>
      </c>
      <c r="AH7">
        <v>-2.4245362661989844E-14</v>
      </c>
      <c r="AI7" t="s">
        <v>1806</v>
      </c>
      <c r="AJ7">
        <v>2022</v>
      </c>
      <c r="AK7" t="s">
        <v>2837</v>
      </c>
      <c r="AL7" s="6">
        <v>44714</v>
      </c>
      <c r="AM7">
        <v>5</v>
      </c>
      <c r="AN7">
        <v>-2.4245362661989844E-14</v>
      </c>
      <c r="AO7">
        <v>117288</v>
      </c>
      <c r="AP7" t="s">
        <v>2838</v>
      </c>
      <c r="AS7" t="s">
        <v>2816</v>
      </c>
      <c r="AT7">
        <v>-2.4245362661989844E-14</v>
      </c>
      <c r="AV7">
        <v>-2.4245362661989844E-14</v>
      </c>
      <c r="AW7" t="s">
        <v>1814</v>
      </c>
      <c r="AX7">
        <v>2022</v>
      </c>
      <c r="AY7" t="s">
        <v>2812</v>
      </c>
      <c r="AZ7" s="6">
        <v>44712</v>
      </c>
      <c r="BA7">
        <v>5</v>
      </c>
      <c r="BB7">
        <v>-2.4245362661989844E-14</v>
      </c>
      <c r="BC7">
        <v>960445</v>
      </c>
      <c r="BD7" t="s">
        <v>2817</v>
      </c>
      <c r="BI7" t="s">
        <v>2045</v>
      </c>
      <c r="BK7">
        <v>-2.4245362661989844E-14</v>
      </c>
      <c r="BL7">
        <v>-2.4245362661989844E-14</v>
      </c>
      <c r="BM7" t="s">
        <v>1814</v>
      </c>
      <c r="BN7">
        <v>2021</v>
      </c>
      <c r="BO7" t="s">
        <v>2046</v>
      </c>
      <c r="BP7" s="6">
        <v>44693</v>
      </c>
      <c r="BQ7">
        <v>5</v>
      </c>
      <c r="BR7">
        <v>-2.4245362661989844E-14</v>
      </c>
      <c r="BS7">
        <v>101690</v>
      </c>
      <c r="BT7" t="s">
        <v>2047</v>
      </c>
      <c r="HC7" t="s">
        <v>3275</v>
      </c>
      <c r="HE7">
        <v>-2.4245362661989844E-14</v>
      </c>
      <c r="HF7">
        <v>-2.4245362661989844E-14</v>
      </c>
      <c r="HG7" t="s">
        <v>1814</v>
      </c>
      <c r="HH7">
        <v>2021</v>
      </c>
      <c r="HI7" t="s">
        <v>3276</v>
      </c>
      <c r="HJ7" s="6">
        <v>44693</v>
      </c>
      <c r="HK7">
        <v>5</v>
      </c>
      <c r="HL7">
        <v>-2.4245362661989844E-14</v>
      </c>
      <c r="HM7">
        <v>115724</v>
      </c>
      <c r="HN7" t="s">
        <v>3277</v>
      </c>
      <c r="HQ7" t="s">
        <v>3217</v>
      </c>
      <c r="HR7">
        <v>-2.4245362661989844E-14</v>
      </c>
      <c r="HT7">
        <v>-2.4245362661989844E-14</v>
      </c>
      <c r="HU7" t="s">
        <v>1814</v>
      </c>
      <c r="HV7">
        <v>2024</v>
      </c>
      <c r="HW7" t="s">
        <v>3215</v>
      </c>
      <c r="HX7" s="6">
        <v>45730</v>
      </c>
      <c r="HY7">
        <v>5</v>
      </c>
      <c r="HZ7">
        <v>-2.4245362661989844E-14</v>
      </c>
      <c r="IA7">
        <v>962190</v>
      </c>
      <c r="IB7" t="s">
        <v>3218</v>
      </c>
      <c r="IG7" t="s">
        <v>2839</v>
      </c>
      <c r="II7">
        <v>-2.4245362661989844E-14</v>
      </c>
      <c r="IJ7">
        <v>-2.4245362661989844E-14</v>
      </c>
      <c r="IK7" t="s">
        <v>1823</v>
      </c>
      <c r="IL7">
        <v>2026</v>
      </c>
      <c r="IM7" t="s">
        <v>3034</v>
      </c>
      <c r="IN7" s="6">
        <v>45966</v>
      </c>
      <c r="IO7">
        <v>5</v>
      </c>
      <c r="IP7">
        <v>-2.4245362661989844E-14</v>
      </c>
      <c r="IQ7">
        <v>63052670</v>
      </c>
      <c r="IR7" t="s">
        <v>2841</v>
      </c>
      <c r="MW7" t="s">
        <v>2345</v>
      </c>
      <c r="MY7">
        <v>-2.4245362661989844E-14</v>
      </c>
      <c r="MZ7">
        <v>-2.4245362661989844E-14</v>
      </c>
      <c r="NA7" t="s">
        <v>1814</v>
      </c>
      <c r="NB7">
        <v>2021</v>
      </c>
      <c r="NC7" t="s">
        <v>2346</v>
      </c>
      <c r="ND7" s="6">
        <v>44686</v>
      </c>
      <c r="NE7">
        <v>5</v>
      </c>
      <c r="NF7">
        <v>-2.4245362661989844E-14</v>
      </c>
      <c r="NG7">
        <v>9752530</v>
      </c>
      <c r="NH7" t="s">
        <v>2347</v>
      </c>
      <c r="NK7" t="s">
        <v>2058</v>
      </c>
      <c r="NL7">
        <v>3.652952</v>
      </c>
      <c r="NM7" t="s">
        <v>1822</v>
      </c>
      <c r="NN7">
        <v>9.9357000000000001E-2</v>
      </c>
      <c r="NO7" t="s">
        <v>1806</v>
      </c>
      <c r="NP7">
        <v>2025</v>
      </c>
      <c r="NQ7" t="s">
        <v>2059</v>
      </c>
      <c r="NR7" s="6">
        <v>45787</v>
      </c>
      <c r="NS7">
        <v>5</v>
      </c>
      <c r="NT7">
        <v>4594281</v>
      </c>
      <c r="NU7">
        <v>825197</v>
      </c>
      <c r="NV7" t="s">
        <v>2060</v>
      </c>
      <c r="PE7" t="s">
        <v>396</v>
      </c>
      <c r="PF7" t="s">
        <v>1822</v>
      </c>
      <c r="PG7">
        <v>12.373919000000001</v>
      </c>
      <c r="PH7">
        <v>4.81257</v>
      </c>
      <c r="PI7" t="s">
        <v>1810</v>
      </c>
      <c r="PJ7">
        <v>2025</v>
      </c>
      <c r="PK7" t="s">
        <v>2034</v>
      </c>
      <c r="PL7" s="6">
        <v>46018</v>
      </c>
      <c r="PM7">
        <v>5</v>
      </c>
      <c r="PN7">
        <v>2968874496</v>
      </c>
      <c r="PO7">
        <v>100828</v>
      </c>
      <c r="PP7" t="s">
        <v>3514</v>
      </c>
      <c r="PS7" t="s">
        <v>3456</v>
      </c>
      <c r="PT7">
        <v>3.75</v>
      </c>
      <c r="PV7">
        <v>-2.4245362661989844E-14</v>
      </c>
      <c r="PW7" t="s">
        <v>1827</v>
      </c>
      <c r="PX7">
        <v>2025</v>
      </c>
      <c r="PY7" t="s">
        <v>3454</v>
      </c>
      <c r="PZ7" s="6">
        <v>45954</v>
      </c>
      <c r="QA7">
        <v>5</v>
      </c>
      <c r="QB7">
        <v>2255962624</v>
      </c>
      <c r="QC7">
        <v>353064</v>
      </c>
      <c r="QD7" t="s">
        <v>3457</v>
      </c>
      <c r="UI7" t="s">
        <v>2529</v>
      </c>
      <c r="UJ7">
        <v>-2.4245362661989844E-14</v>
      </c>
      <c r="UL7">
        <v>-2.4245362661989844E-14</v>
      </c>
      <c r="UM7" t="s">
        <v>1831</v>
      </c>
      <c r="UN7">
        <v>2025</v>
      </c>
      <c r="UO7" t="s">
        <v>2530</v>
      </c>
      <c r="UP7" s="6">
        <v>45973</v>
      </c>
      <c r="UQ7">
        <v>5</v>
      </c>
      <c r="UR7">
        <v>-2.4245362661989844E-14</v>
      </c>
      <c r="US7">
        <v>16444455</v>
      </c>
      <c r="UT7" t="s">
        <v>2531</v>
      </c>
    </row>
    <row r="8" spans="1:600" x14ac:dyDescent="0.25">
      <c r="A8" t="s">
        <v>1940</v>
      </c>
      <c r="C8">
        <v>-2.4245362661989844E-14</v>
      </c>
      <c r="D8">
        <v>-2.4245362661989844E-14</v>
      </c>
      <c r="E8" t="s">
        <v>1814</v>
      </c>
      <c r="F8">
        <v>2024</v>
      </c>
      <c r="G8" t="s">
        <v>1941</v>
      </c>
      <c r="H8" s="6">
        <v>45702</v>
      </c>
      <c r="I8">
        <v>5</v>
      </c>
      <c r="J8">
        <v>-2.4245362661989844E-14</v>
      </c>
      <c r="K8">
        <v>100010</v>
      </c>
      <c r="L8" t="s">
        <v>1942</v>
      </c>
      <c r="O8" t="s">
        <v>2251</v>
      </c>
      <c r="P8">
        <v>6.2638559999999996</v>
      </c>
      <c r="Q8" t="s">
        <v>1822</v>
      </c>
      <c r="R8">
        <v>5.8458000000000003E-2</v>
      </c>
      <c r="S8" t="s">
        <v>1823</v>
      </c>
      <c r="T8">
        <v>2025</v>
      </c>
      <c r="U8" t="s">
        <v>2246</v>
      </c>
      <c r="V8" s="6">
        <v>45877</v>
      </c>
      <c r="W8">
        <v>5</v>
      </c>
      <c r="X8">
        <v>12021906</v>
      </c>
      <c r="Y8">
        <v>52332183</v>
      </c>
      <c r="Z8" t="s">
        <v>2252</v>
      </c>
      <c r="AE8" t="s">
        <v>2839</v>
      </c>
      <c r="AG8">
        <v>-2.4245362661989844E-14</v>
      </c>
      <c r="AH8">
        <v>-2.4245362661989844E-14</v>
      </c>
      <c r="AI8" t="s">
        <v>1814</v>
      </c>
      <c r="AJ8">
        <v>2022</v>
      </c>
      <c r="AK8" t="s">
        <v>2840</v>
      </c>
      <c r="AL8" s="6">
        <v>44679</v>
      </c>
      <c r="AM8">
        <v>5</v>
      </c>
      <c r="AN8">
        <v>-2.4245362661989844E-14</v>
      </c>
      <c r="AO8">
        <v>63052670</v>
      </c>
      <c r="AP8" t="s">
        <v>2841</v>
      </c>
      <c r="AS8" t="s">
        <v>2818</v>
      </c>
      <c r="AT8">
        <v>-2.4245362661989844E-14</v>
      </c>
      <c r="AV8">
        <v>-2.4245362661989844E-14</v>
      </c>
      <c r="AW8" t="s">
        <v>1814</v>
      </c>
      <c r="AX8">
        <v>2022</v>
      </c>
      <c r="AY8" t="s">
        <v>2812</v>
      </c>
      <c r="AZ8" s="6">
        <v>44712</v>
      </c>
      <c r="BA8">
        <v>5</v>
      </c>
      <c r="BB8">
        <v>-2.4245362661989844E-14</v>
      </c>
      <c r="BC8">
        <v>34652516</v>
      </c>
      <c r="BD8" t="s">
        <v>2819</v>
      </c>
      <c r="BI8" t="s">
        <v>979</v>
      </c>
      <c r="BK8">
        <v>-2.4245362661989844E-14</v>
      </c>
      <c r="BL8">
        <v>-2.4245362661989844E-14</v>
      </c>
      <c r="BM8" t="s">
        <v>1814</v>
      </c>
      <c r="BN8">
        <v>2021</v>
      </c>
      <c r="BO8" t="s">
        <v>2048</v>
      </c>
      <c r="BP8" s="6">
        <v>44693</v>
      </c>
      <c r="BQ8">
        <v>5</v>
      </c>
      <c r="BR8">
        <v>-2.4245362661989844E-14</v>
      </c>
      <c r="BS8">
        <v>100193</v>
      </c>
      <c r="BT8" t="s">
        <v>2049</v>
      </c>
      <c r="HC8" t="s">
        <v>3278</v>
      </c>
      <c r="HE8">
        <v>-2.4245362661989844E-14</v>
      </c>
      <c r="HF8">
        <v>-2.4245362661989844E-14</v>
      </c>
      <c r="HG8" t="s">
        <v>1814</v>
      </c>
      <c r="HH8">
        <v>2021</v>
      </c>
      <c r="HI8" t="s">
        <v>3279</v>
      </c>
      <c r="HJ8" s="6">
        <v>44693</v>
      </c>
      <c r="HK8">
        <v>5</v>
      </c>
      <c r="HL8">
        <v>-2.4245362661989844E-14</v>
      </c>
      <c r="HM8">
        <v>101139</v>
      </c>
      <c r="HN8" t="s">
        <v>3280</v>
      </c>
      <c r="HQ8" t="s">
        <v>3219</v>
      </c>
      <c r="HR8">
        <v>-2.4245362661989844E-14</v>
      </c>
      <c r="HT8">
        <v>-2.4245362661989844E-14</v>
      </c>
      <c r="HU8" t="s">
        <v>1814</v>
      </c>
      <c r="HV8">
        <v>2024</v>
      </c>
      <c r="HW8" t="s">
        <v>3215</v>
      </c>
      <c r="HX8" s="6">
        <v>45730</v>
      </c>
      <c r="HY8">
        <v>5</v>
      </c>
      <c r="HZ8">
        <v>-2.4245362661989844E-14</v>
      </c>
      <c r="IA8">
        <v>27512590</v>
      </c>
      <c r="IB8" t="s">
        <v>3220</v>
      </c>
      <c r="IG8" t="s">
        <v>3035</v>
      </c>
      <c r="II8">
        <v>-2.4245362661989844E-14</v>
      </c>
      <c r="IJ8">
        <v>-2.4245362661989844E-14</v>
      </c>
      <c r="IK8" t="s">
        <v>1810</v>
      </c>
      <c r="IL8">
        <v>2025</v>
      </c>
      <c r="IM8" t="s">
        <v>3036</v>
      </c>
      <c r="IN8" s="6">
        <v>45971</v>
      </c>
      <c r="IO8">
        <v>5</v>
      </c>
      <c r="IP8">
        <v>-2.4245362661989844E-14</v>
      </c>
      <c r="IQ8">
        <v>45683508</v>
      </c>
      <c r="IR8" t="s">
        <v>3037</v>
      </c>
      <c r="MW8" t="s">
        <v>2269</v>
      </c>
      <c r="MY8">
        <v>-2.4245362661989844E-14</v>
      </c>
      <c r="MZ8">
        <v>-2.4245362661989844E-14</v>
      </c>
      <c r="NA8" t="s">
        <v>1814</v>
      </c>
      <c r="NB8">
        <v>2022</v>
      </c>
      <c r="NC8" t="s">
        <v>2270</v>
      </c>
      <c r="ND8" s="6">
        <v>44693</v>
      </c>
      <c r="NE8">
        <v>5</v>
      </c>
      <c r="NF8">
        <v>-2.4245362661989844E-14</v>
      </c>
      <c r="NG8">
        <v>114991</v>
      </c>
      <c r="NH8" t="s">
        <v>2271</v>
      </c>
      <c r="NK8" t="s">
        <v>2061</v>
      </c>
      <c r="NL8">
        <v>3.5995360000000001</v>
      </c>
      <c r="NM8" t="s">
        <v>1822</v>
      </c>
      <c r="NN8">
        <v>1.1986999999999999E-2</v>
      </c>
      <c r="NO8" t="s">
        <v>1806</v>
      </c>
      <c r="NP8">
        <v>2025</v>
      </c>
      <c r="NQ8" t="s">
        <v>2059</v>
      </c>
      <c r="NR8" s="6">
        <v>45787</v>
      </c>
      <c r="NS8">
        <v>5</v>
      </c>
      <c r="NT8">
        <v>4527100</v>
      </c>
      <c r="NU8">
        <v>16632863</v>
      </c>
      <c r="NV8" t="s">
        <v>2062</v>
      </c>
      <c r="PE8" t="s">
        <v>2242</v>
      </c>
      <c r="PF8" t="s">
        <v>1822</v>
      </c>
      <c r="PG8">
        <v>22</v>
      </c>
      <c r="PH8">
        <v>4.4996770000000001</v>
      </c>
      <c r="PI8" t="s">
        <v>1814</v>
      </c>
      <c r="PJ8">
        <v>2025</v>
      </c>
      <c r="PK8" t="s">
        <v>2243</v>
      </c>
      <c r="PL8" s="6">
        <v>46064</v>
      </c>
      <c r="PM8">
        <v>5</v>
      </c>
      <c r="PN8">
        <v>2650670080</v>
      </c>
      <c r="PO8">
        <v>100225</v>
      </c>
      <c r="PP8" t="s">
        <v>2244</v>
      </c>
      <c r="PS8" t="s">
        <v>3458</v>
      </c>
      <c r="PT8">
        <v>3.1469290000000001</v>
      </c>
      <c r="PU8" t="s">
        <v>1822</v>
      </c>
      <c r="PV8">
        <v>7.2451629999999998</v>
      </c>
      <c r="PW8" t="s">
        <v>1827</v>
      </c>
      <c r="PX8">
        <v>2025</v>
      </c>
      <c r="PY8" t="s">
        <v>3454</v>
      </c>
      <c r="PZ8" s="6">
        <v>45954</v>
      </c>
      <c r="QA8">
        <v>5</v>
      </c>
      <c r="QB8">
        <v>1893160960</v>
      </c>
      <c r="QC8">
        <v>100864</v>
      </c>
      <c r="QD8" t="s">
        <v>3459</v>
      </c>
      <c r="UI8" t="s">
        <v>2532</v>
      </c>
      <c r="UJ8">
        <v>-2.4245362661989844E-14</v>
      </c>
      <c r="UL8">
        <v>-2.4245362661989844E-14</v>
      </c>
      <c r="UM8" t="s">
        <v>1814</v>
      </c>
      <c r="UN8">
        <v>2024</v>
      </c>
      <c r="UO8" t="s">
        <v>2533</v>
      </c>
      <c r="UP8" s="6">
        <v>45820</v>
      </c>
      <c r="UQ8">
        <v>5</v>
      </c>
      <c r="UR8">
        <v>-2.4245362661989844E-14</v>
      </c>
      <c r="US8">
        <v>48621274</v>
      </c>
      <c r="UT8" t="s">
        <v>2534</v>
      </c>
    </row>
    <row r="9" spans="1:600" x14ac:dyDescent="0.25">
      <c r="A9" t="s">
        <v>1943</v>
      </c>
      <c r="C9">
        <v>-2.4245362661989844E-14</v>
      </c>
      <c r="D9">
        <v>-2.4245362661989844E-14</v>
      </c>
      <c r="E9" t="s">
        <v>1810</v>
      </c>
      <c r="F9">
        <v>2026</v>
      </c>
      <c r="G9" t="s">
        <v>1944</v>
      </c>
      <c r="H9" s="6">
        <v>46057</v>
      </c>
      <c r="I9">
        <v>5</v>
      </c>
      <c r="J9">
        <v>-2.4245362661989844E-14</v>
      </c>
      <c r="K9">
        <v>71227770</v>
      </c>
      <c r="L9" t="s">
        <v>1945</v>
      </c>
      <c r="O9" t="s">
        <v>2253</v>
      </c>
      <c r="P9">
        <v>4.5987859999999996</v>
      </c>
      <c r="Q9" t="s">
        <v>1822</v>
      </c>
      <c r="R9">
        <v>9.0897000000000006E-2</v>
      </c>
      <c r="S9" t="s">
        <v>1823</v>
      </c>
      <c r="T9">
        <v>2025</v>
      </c>
      <c r="U9" t="s">
        <v>2246</v>
      </c>
      <c r="V9" s="6">
        <v>45877</v>
      </c>
      <c r="W9">
        <v>5</v>
      </c>
      <c r="X9">
        <v>8826220</v>
      </c>
      <c r="Y9">
        <v>7975354</v>
      </c>
      <c r="Z9" t="s">
        <v>2254</v>
      </c>
      <c r="AE9" t="s">
        <v>2652</v>
      </c>
      <c r="AG9">
        <v>-2.4245362661989844E-14</v>
      </c>
      <c r="AH9">
        <v>-2.4245362661989844E-14</v>
      </c>
      <c r="AI9" t="s">
        <v>1814</v>
      </c>
      <c r="AJ9">
        <v>2021</v>
      </c>
      <c r="AK9" t="s">
        <v>2653</v>
      </c>
      <c r="AL9" s="6">
        <v>44693</v>
      </c>
      <c r="AM9">
        <v>5</v>
      </c>
      <c r="AN9">
        <v>-2.4245362661989844E-14</v>
      </c>
      <c r="AO9">
        <v>54282724</v>
      </c>
      <c r="AP9" t="s">
        <v>2654</v>
      </c>
      <c r="AS9" t="s">
        <v>2820</v>
      </c>
      <c r="AT9">
        <v>-2.4245362661989844E-14</v>
      </c>
      <c r="AV9">
        <v>-2.4245362661989844E-14</v>
      </c>
      <c r="AW9" t="s">
        <v>1814</v>
      </c>
      <c r="AX9">
        <v>2022</v>
      </c>
      <c r="AY9" t="s">
        <v>2812</v>
      </c>
      <c r="AZ9" s="6">
        <v>44712</v>
      </c>
      <c r="BA9">
        <v>5</v>
      </c>
      <c r="BB9">
        <v>-2.4245362661989844E-14</v>
      </c>
      <c r="BC9">
        <v>1023910</v>
      </c>
      <c r="BD9" t="s">
        <v>2821</v>
      </c>
      <c r="BI9" t="s">
        <v>2050</v>
      </c>
      <c r="BK9">
        <v>-2.4245362661989844E-14</v>
      </c>
      <c r="BL9">
        <v>-2.4245362661989844E-14</v>
      </c>
      <c r="BM9" t="s">
        <v>1814</v>
      </c>
      <c r="BN9">
        <v>2021</v>
      </c>
      <c r="BO9" t="s">
        <v>2051</v>
      </c>
      <c r="BP9" s="6">
        <v>44693</v>
      </c>
      <c r="BQ9">
        <v>5</v>
      </c>
      <c r="BR9">
        <v>-2.4245362661989844E-14</v>
      </c>
      <c r="BS9">
        <v>100481</v>
      </c>
      <c r="BT9" t="s">
        <v>2052</v>
      </c>
      <c r="HC9" t="s">
        <v>2869</v>
      </c>
      <c r="HE9">
        <v>-2.4245362661989844E-14</v>
      </c>
      <c r="HF9">
        <v>-2.4245362661989844E-14</v>
      </c>
      <c r="HG9" t="s">
        <v>1814</v>
      </c>
      <c r="HH9">
        <v>2021</v>
      </c>
      <c r="HI9" t="s">
        <v>2870</v>
      </c>
      <c r="HJ9" s="6">
        <v>44693</v>
      </c>
      <c r="HK9">
        <v>5</v>
      </c>
      <c r="HL9">
        <v>-2.4245362661989844E-14</v>
      </c>
      <c r="HM9">
        <v>107603</v>
      </c>
      <c r="HN9" t="s">
        <v>2871</v>
      </c>
      <c r="HQ9" t="s">
        <v>3221</v>
      </c>
      <c r="HR9">
        <v>-2.4245362661989844E-14</v>
      </c>
      <c r="HT9">
        <v>-2.4245362661989844E-14</v>
      </c>
      <c r="HU9" t="s">
        <v>1814</v>
      </c>
      <c r="HV9">
        <v>2024</v>
      </c>
      <c r="HW9" t="s">
        <v>3215</v>
      </c>
      <c r="HX9" s="6">
        <v>45730</v>
      </c>
      <c r="HY9">
        <v>5</v>
      </c>
      <c r="HZ9">
        <v>-2.4245362661989844E-14</v>
      </c>
      <c r="IA9">
        <v>952239</v>
      </c>
      <c r="IB9" t="s">
        <v>3222</v>
      </c>
      <c r="IG9" t="s">
        <v>2065</v>
      </c>
      <c r="II9">
        <v>-2.4245362661989844E-14</v>
      </c>
      <c r="IJ9">
        <v>-2.4245362661989844E-14</v>
      </c>
      <c r="IK9" t="s">
        <v>1814</v>
      </c>
      <c r="IL9">
        <v>2023</v>
      </c>
      <c r="IM9" t="s">
        <v>3038</v>
      </c>
      <c r="IN9" s="6">
        <v>45377</v>
      </c>
      <c r="IO9">
        <v>5</v>
      </c>
      <c r="IP9">
        <v>-2.4245362661989844E-14</v>
      </c>
      <c r="IQ9">
        <v>46286147</v>
      </c>
      <c r="IR9" t="s">
        <v>2067</v>
      </c>
      <c r="MW9" t="s">
        <v>2348</v>
      </c>
      <c r="MY9">
        <v>-2.4245362661989844E-14</v>
      </c>
      <c r="MZ9">
        <v>-2.4245362661989844E-14</v>
      </c>
      <c r="NA9" t="s">
        <v>1806</v>
      </c>
      <c r="NB9">
        <v>2022</v>
      </c>
      <c r="NC9" t="s">
        <v>2349</v>
      </c>
      <c r="ND9" s="6">
        <v>44713</v>
      </c>
      <c r="NE9">
        <v>5</v>
      </c>
      <c r="NF9">
        <v>-2.4245362661989844E-14</v>
      </c>
      <c r="NG9">
        <v>27905666</v>
      </c>
      <c r="NH9" t="s">
        <v>2350</v>
      </c>
      <c r="NK9" t="s">
        <v>2063</v>
      </c>
      <c r="NL9">
        <v>3.5821610000000002</v>
      </c>
      <c r="NM9" t="s">
        <v>1822</v>
      </c>
      <c r="NN9">
        <v>7.4626999999999999E-2</v>
      </c>
      <c r="NO9" t="s">
        <v>1806</v>
      </c>
      <c r="NP9">
        <v>2025</v>
      </c>
      <c r="NQ9" t="s">
        <v>2059</v>
      </c>
      <c r="NR9" s="6">
        <v>45787</v>
      </c>
      <c r="NS9">
        <v>5</v>
      </c>
      <c r="NT9">
        <v>4505248</v>
      </c>
      <c r="NU9">
        <v>100043</v>
      </c>
      <c r="NV9" t="s">
        <v>2064</v>
      </c>
      <c r="PE9" t="s">
        <v>3515</v>
      </c>
      <c r="PF9" t="s">
        <v>1822</v>
      </c>
      <c r="PG9">
        <v>29</v>
      </c>
      <c r="PH9">
        <v>3.6236459999999999</v>
      </c>
      <c r="PI9" t="s">
        <v>1814</v>
      </c>
      <c r="PJ9">
        <v>2025</v>
      </c>
      <c r="PK9" t="s">
        <v>3516</v>
      </c>
      <c r="PL9" s="6">
        <v>46077</v>
      </c>
      <c r="PM9">
        <v>5</v>
      </c>
      <c r="PN9">
        <v>2134617472</v>
      </c>
      <c r="PO9">
        <v>104161</v>
      </c>
      <c r="PP9" t="s">
        <v>3517</v>
      </c>
      <c r="PS9" t="s">
        <v>2517</v>
      </c>
      <c r="PT9">
        <v>1.1000000000000001</v>
      </c>
      <c r="PV9">
        <v>-2.4245362661989844E-14</v>
      </c>
      <c r="PW9" t="s">
        <v>1827</v>
      </c>
      <c r="PX9">
        <v>2025</v>
      </c>
      <c r="PY9" t="s">
        <v>3454</v>
      </c>
      <c r="PZ9" s="6">
        <v>45954</v>
      </c>
      <c r="QA9">
        <v>5</v>
      </c>
      <c r="QB9">
        <v>661748992</v>
      </c>
      <c r="QC9">
        <v>935121</v>
      </c>
      <c r="QD9" t="s">
        <v>2519</v>
      </c>
      <c r="UI9" t="s">
        <v>2535</v>
      </c>
      <c r="UJ9">
        <v>-2.4245362661989844E-14</v>
      </c>
      <c r="UL9">
        <v>-2.4245362661989844E-14</v>
      </c>
      <c r="UM9" t="s">
        <v>1814</v>
      </c>
      <c r="UN9">
        <v>2024</v>
      </c>
      <c r="UO9" t="s">
        <v>2536</v>
      </c>
      <c r="UP9" s="6">
        <v>45730</v>
      </c>
      <c r="UQ9">
        <v>5</v>
      </c>
      <c r="UR9">
        <v>-2.4245362661989844E-14</v>
      </c>
      <c r="US9">
        <v>11486695</v>
      </c>
      <c r="UT9" t="s">
        <v>2537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1476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1477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1478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1479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1480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1481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1482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1483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1484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1485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1486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1487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1488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1489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1490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1491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1492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1493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1494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1495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1185</v>
      </c>
      <c r="AE2" s="3" t="s">
        <v>1496</v>
      </c>
      <c r="BI2" s="3" t="s">
        <v>1497</v>
      </c>
      <c r="CM2" s="3" t="s">
        <v>1498</v>
      </c>
      <c r="DQ2" s="3" t="s">
        <v>1499</v>
      </c>
      <c r="EU2" s="3" t="s">
        <v>1500</v>
      </c>
      <c r="FY2" s="3" t="s">
        <v>660</v>
      </c>
      <c r="HC2" s="3" t="s">
        <v>1161</v>
      </c>
      <c r="IG2" s="3" t="s">
        <v>1501</v>
      </c>
      <c r="JK2" s="3" t="s">
        <v>1502</v>
      </c>
      <c r="KO2" s="3" t="s">
        <v>1503</v>
      </c>
      <c r="LS2" s="3" t="s">
        <v>1504</v>
      </c>
      <c r="MW2" s="3" t="s">
        <v>762</v>
      </c>
      <c r="OA2" s="3" t="s">
        <v>1123</v>
      </c>
      <c r="PE2" s="3" t="s">
        <v>1223</v>
      </c>
      <c r="QI2" s="3" t="s">
        <v>1505</v>
      </c>
      <c r="RM2" s="3" t="s">
        <v>1506</v>
      </c>
      <c r="SQ2" s="3" t="s">
        <v>1507</v>
      </c>
      <c r="TU2" s="3" t="s">
        <v>1508</v>
      </c>
      <c r="UY2" s="3" t="s">
        <v>1509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_xll.BDS("NASB US Equity","SUPPLY_CHAIN_SUPPLIERS_ALL_DATA")</f>
        <v>#N/A N/A</v>
      </c>
      <c r="O5" t="str">
        <f>_xll.BDS("NASB US Equity","SUPPLY_CHAIN_CUSTOMERS_ALL_DATA")</f>
        <v>#N/A N/A</v>
      </c>
      <c r="AE5" t="str">
        <f>_xll.BDS("MDCO US Equity","SUPPLY_CHAIN_SUPPLIERS_ALL_DATA")</f>
        <v>#N/A N/A</v>
      </c>
      <c r="AS5" t="str">
        <f>_xll.BDS("MDCO US Equity","SUPPLY_CHAIN_CUSTOMERS_ALL_DATA")</f>
        <v>#N/A N/A</v>
      </c>
      <c r="BI5" t="str">
        <f>_xll.BDS("2447428D US Equity","SUPPLY_CHAIN_SUPPLIERS_ALL_DATA","cols=12;rows=2")</f>
        <v>551 HK Equity</v>
      </c>
      <c r="BK5">
        <v>-2.4245362661989844E-14</v>
      </c>
      <c r="BL5">
        <v>-2.4245362661989844E-14</v>
      </c>
      <c r="BM5" t="s">
        <v>1810</v>
      </c>
      <c r="BN5">
        <v>2025</v>
      </c>
      <c r="BO5" t="s">
        <v>2483</v>
      </c>
      <c r="BP5" s="6">
        <v>45973</v>
      </c>
      <c r="BQ5">
        <v>2</v>
      </c>
      <c r="BR5">
        <v>-2.4245362661989844E-14</v>
      </c>
      <c r="BS5">
        <v>116620</v>
      </c>
      <c r="BT5" t="s">
        <v>2484</v>
      </c>
      <c r="BW5" t="str">
        <f>_xll.BDS("2447428D US Equity","SUPPLY_CHAIN_CUSTOMERS_ALL_DATA","cols=12;rows=5")</f>
        <v>ARVINDFA IN Equity</v>
      </c>
      <c r="BX5">
        <v>-2.4245362661989844E-14</v>
      </c>
      <c r="BZ5">
        <v>-2.4245362661989844E-14</v>
      </c>
      <c r="CA5" t="s">
        <v>1823</v>
      </c>
      <c r="CB5">
        <v>2024</v>
      </c>
      <c r="CC5" t="s">
        <v>2453</v>
      </c>
      <c r="CD5" s="6">
        <v>45237</v>
      </c>
      <c r="CE5">
        <v>5</v>
      </c>
      <c r="CF5">
        <v>-2.4245362661989844E-14</v>
      </c>
      <c r="CG5">
        <v>51465059</v>
      </c>
      <c r="CH5" t="s">
        <v>2454</v>
      </c>
      <c r="CM5" t="str">
        <f>_xll.BDS("BDX US Equity","SUPPLY_CHAIN_SUPPLIERS_ALL_DATA","cols=12;rows=5")</f>
        <v>FLEX US Equity</v>
      </c>
      <c r="CN5" t="s">
        <v>1822</v>
      </c>
      <c r="CO5">
        <v>0.65342299999999998</v>
      </c>
      <c r="CP5">
        <v>1.460566</v>
      </c>
      <c r="CQ5" t="s">
        <v>1810</v>
      </c>
      <c r="CR5">
        <v>2025</v>
      </c>
      <c r="CS5" t="s">
        <v>1882</v>
      </c>
      <c r="CT5" s="6">
        <v>45763</v>
      </c>
      <c r="CU5">
        <v>5</v>
      </c>
      <c r="CV5">
        <v>42838412</v>
      </c>
      <c r="CW5">
        <v>136547</v>
      </c>
      <c r="CX5" t="s">
        <v>1883</v>
      </c>
      <c r="DA5" t="str">
        <f>_xll.BDS("BDX US Equity","SUPPLY_CHAIN_CUSTOMERS_ALL_DATA","cols=12;rows=5")</f>
        <v>300326 CH Equity</v>
      </c>
      <c r="DB5">
        <v>4.1838E-2</v>
      </c>
      <c r="DC5" t="s">
        <v>1822</v>
      </c>
      <c r="DD5">
        <v>12.966013999999999</v>
      </c>
      <c r="DE5" t="s">
        <v>1814</v>
      </c>
      <c r="DF5">
        <v>2024</v>
      </c>
      <c r="DG5" t="s">
        <v>3255</v>
      </c>
      <c r="DH5" s="6">
        <v>45777</v>
      </c>
      <c r="DI5">
        <v>5</v>
      </c>
      <c r="DJ5">
        <v>2189021.09</v>
      </c>
      <c r="DK5">
        <v>28668877</v>
      </c>
      <c r="DL5" t="s">
        <v>3256</v>
      </c>
      <c r="DQ5" t="str">
        <f>_xll.BDS("HTRN US Equity","SUPPLY_CHAIN_SUPPLIERS_ALL_DATA")</f>
        <v>#N/A N/A</v>
      </c>
      <c r="EE5" t="str">
        <f>_xll.BDS("HTRN US Equity","SUPPLY_CHAIN_CUSTOMERS_ALL_DATA")</f>
        <v>#N/A N/A</v>
      </c>
      <c r="EU5" t="str">
        <f>_xll.BDS("IFHI US Equity","SUPPLY_CHAIN_SUPPLIERS_ALL_DATA")</f>
        <v>#N/A N/A</v>
      </c>
      <c r="FI5" t="str">
        <f>_xll.BDS("IFHI US Equity","SUPPLY_CHAIN_CUSTOMERS_ALL_DATA")</f>
        <v>#N/A N/A</v>
      </c>
      <c r="FY5" t="str">
        <f>_xll.BDS("FMNB US Equity","SUPPLY_CHAIN_SUPPLIERS_ALL_DATA")</f>
        <v>#N/A N/A</v>
      </c>
      <c r="GM5" t="str">
        <f>_xll.BDS("FMNB US Equity","SUPPLY_CHAIN_CUSTOMERS_ALL_DATA")</f>
        <v>#N/A N/A</v>
      </c>
      <c r="HC5" t="str">
        <f>_xll.BDS("SFFB US Equity","SUPPLY_CHAIN_SUPPLIERS_ALL_DATA")</f>
        <v>#N/A N/A</v>
      </c>
      <c r="HQ5" t="str">
        <f>_xll.BDS("SFFB US Equity","SUPPLY_CHAIN_CUSTOMERS_ALL_DATA")</f>
        <v>#N/A N/A</v>
      </c>
      <c r="IG5" t="str">
        <f>_xll.BDS("NBOH US Equity","SUPPLY_CHAIN_SUPPLIERS_ALL_DATA")</f>
        <v>#N/A N/A</v>
      </c>
      <c r="IU5" t="str">
        <f>_xll.BDS("NBOH US Equity","SUPPLY_CHAIN_CUSTOMERS_ALL_DATA")</f>
        <v>#N/A N/A</v>
      </c>
      <c r="JK5" t="str">
        <f>_xll.BDS("0569919D LN Equity","SUPPLY_CHAIN_SUPPLIERS_ALL_DATA")</f>
        <v>#N/A N/A</v>
      </c>
      <c r="JY5" t="str">
        <f>_xll.BDS("0569919D LN Equity","SUPPLY_CHAIN_CUSTOMERS_ALL_DATA")</f>
        <v>#N/A N/A</v>
      </c>
      <c r="KO5" t="str">
        <f>_xll.BDS("3523914Q US Equity","SUPPLY_CHAIN_SUPPLIERS_ALL_DATA")</f>
        <v>#N/A N/A</v>
      </c>
      <c r="LC5" t="str">
        <f>_xll.BDS("3523914Q US Equity","SUPPLY_CHAIN_CUSTOMERS_ALL_DATA")</f>
        <v>#N/A N/A</v>
      </c>
      <c r="LS5" t="str">
        <f>_xll.BDS("SYMM US Equity","SUPPLY_CHAIN_SUPPLIERS_ALL_DATA")</f>
        <v>#N/A N/A</v>
      </c>
      <c r="MG5" t="str">
        <f>_xll.BDS("SYMM US Equity","SUPPLY_CHAIN_CUSTOMERS_ALL_DATA")</f>
        <v>#N/A N/A</v>
      </c>
      <c r="MW5" t="str">
        <f>_xll.BDS("HL US Equity","SUPPLY_CHAIN_SUPPLIERS_ALL_DATA","cols=12;rows=5")</f>
        <v>0082624D US Equity</v>
      </c>
      <c r="MY5">
        <v>-2.4245362661989844E-14</v>
      </c>
      <c r="MZ5">
        <v>-2.4245362661989844E-14</v>
      </c>
      <c r="NA5" t="s">
        <v>1810</v>
      </c>
      <c r="NB5">
        <v>2023</v>
      </c>
      <c r="NC5" t="s">
        <v>2467</v>
      </c>
      <c r="ND5" s="6">
        <v>45202</v>
      </c>
      <c r="NE5">
        <v>5</v>
      </c>
      <c r="NF5">
        <v>-2.4245362661989844E-14</v>
      </c>
      <c r="NG5">
        <v>26894537</v>
      </c>
      <c r="NH5" t="s">
        <v>2468</v>
      </c>
      <c r="NK5" t="str">
        <f>_xll.BDS("HL US Equity","SUPPLY_CHAIN_CUSTOMERS_ALL_DATA")</f>
        <v>#N/A N/A</v>
      </c>
      <c r="OA5" t="str">
        <f>_xll.BDS("1927294D US Equity","SUPPLY_CHAIN_SUPPLIERS_ALL_DATA","cols=12;rows=1")</f>
        <v>FE US Equity</v>
      </c>
      <c r="OC5">
        <v>-2.4245362661989844E-14</v>
      </c>
      <c r="OD5">
        <v>-2.4245362661989844E-14</v>
      </c>
      <c r="OE5" t="s">
        <v>1814</v>
      </c>
      <c r="OF5">
        <v>2021</v>
      </c>
      <c r="OG5" t="s">
        <v>1995</v>
      </c>
      <c r="OH5" s="6">
        <v>44693</v>
      </c>
      <c r="OI5">
        <v>1</v>
      </c>
      <c r="OJ5">
        <v>-2.4245362661989844E-14</v>
      </c>
      <c r="OK5">
        <v>302916</v>
      </c>
      <c r="OL5" t="s">
        <v>1996</v>
      </c>
      <c r="OO5" t="str">
        <f>_xll.BDS("1927294D US Equity","SUPPLY_CHAIN_CUSTOMERS_ALL_DATA")</f>
        <v>#N/A N/A</v>
      </c>
      <c r="PE5" t="str">
        <f>_xll.BDS("MSBK US Equity","SUPPLY_CHAIN_SUPPLIERS_ALL_DATA")</f>
        <v>#N/A N/A</v>
      </c>
      <c r="PS5" t="str">
        <f>_xll.BDS("MSBK US Equity","SUPPLY_CHAIN_CUSTOMERS_ALL_DATA")</f>
        <v>#N/A N/A</v>
      </c>
      <c r="QI5" t="str">
        <f>_xll.BDS("3077Q US Equity","SUPPLY_CHAIN_SUPPLIERS_ALL_DATA")</f>
        <v>#N/A N/A</v>
      </c>
      <c r="QW5" t="str">
        <f>_xll.BDS("3077Q US Equity","SUPPLY_CHAIN_CUSTOMERS_ALL_DATA")</f>
        <v>#N/A N/A</v>
      </c>
      <c r="RM5" t="str">
        <f>_xll.BDS("9856660D US Equity","SUPPLY_CHAIN_SUPPLIERS_ALL_DATA")</f>
        <v>#N/A N/A</v>
      </c>
      <c r="SA5" t="str">
        <f>_xll.BDS("9856660D US Equity","SUPPLY_CHAIN_CUSTOMERS_ALL_DATA")</f>
        <v>#N/A N/A</v>
      </c>
      <c r="SQ5" t="str">
        <f>_xll.BDS("FSII US Equity","SUPPLY_CHAIN_SUPPLIERS_ALL_DATA")</f>
        <v>#N/A N/A</v>
      </c>
      <c r="TE5" t="str">
        <f>_xll.BDS("FSII US Equity","SUPPLY_CHAIN_CUSTOMERS_ALL_DATA")</f>
        <v>#N/A N/A</v>
      </c>
      <c r="TU5" t="str">
        <f>_xll.BDS("ASTV US Equity","SUPPLY_CHAIN_SUPPLIERS_ALL_DATA")</f>
        <v>#N/A N/A</v>
      </c>
      <c r="UI5" t="str">
        <f>_xll.BDS("ASTV US Equity","SUPPLY_CHAIN_CUSTOMERS_ALL_DATA")</f>
        <v>#N/A N/A</v>
      </c>
      <c r="UY5" t="str">
        <f>_xll.BDS("JFBI US Equity","SUPPLY_CHAIN_SUPPLIERS_ALL_DATA")</f>
        <v>#N/A N/A</v>
      </c>
      <c r="VM5" t="str">
        <f>_xll.BDS("JFBI US Equity","SUPPLY_CHAIN_CUSTOMERS_ALL_DATA")</f>
        <v>#N/A N/A</v>
      </c>
    </row>
    <row r="6" spans="1:600" x14ac:dyDescent="0.25">
      <c r="BI6" t="s">
        <v>2461</v>
      </c>
      <c r="BK6">
        <v>-2.4245362661989844E-14</v>
      </c>
      <c r="BL6">
        <v>-2.4245362661989844E-14</v>
      </c>
      <c r="BM6" t="s">
        <v>1823</v>
      </c>
      <c r="BN6">
        <v>2025</v>
      </c>
      <c r="BO6" t="s">
        <v>2485</v>
      </c>
      <c r="BP6" s="6">
        <v>45972</v>
      </c>
      <c r="BQ6">
        <v>2</v>
      </c>
      <c r="BR6">
        <v>-2.4245362661989844E-14</v>
      </c>
      <c r="BS6">
        <v>181414</v>
      </c>
      <c r="BT6" t="s">
        <v>2463</v>
      </c>
      <c r="BW6" t="s">
        <v>2455</v>
      </c>
      <c r="BX6">
        <v>-2.4245362661989844E-14</v>
      </c>
      <c r="BZ6">
        <v>-2.4245362661989844E-14</v>
      </c>
      <c r="CA6" t="s">
        <v>1814</v>
      </c>
      <c r="CB6">
        <v>2025</v>
      </c>
      <c r="CC6" t="s">
        <v>2456</v>
      </c>
      <c r="CD6" s="6">
        <v>45742</v>
      </c>
      <c r="CE6">
        <v>5</v>
      </c>
      <c r="CF6">
        <v>-2.4245362661989844E-14</v>
      </c>
      <c r="CG6">
        <v>100646</v>
      </c>
      <c r="CH6" t="s">
        <v>2457</v>
      </c>
      <c r="CM6" t="s">
        <v>3115</v>
      </c>
      <c r="CN6" t="s">
        <v>1822</v>
      </c>
      <c r="CO6">
        <v>1.4071180000000001</v>
      </c>
      <c r="CP6">
        <v>0.43839600000000001</v>
      </c>
      <c r="CQ6" t="s">
        <v>1823</v>
      </c>
      <c r="CR6">
        <v>2025</v>
      </c>
      <c r="CS6" t="s">
        <v>3116</v>
      </c>
      <c r="CT6" s="6">
        <v>45914</v>
      </c>
      <c r="CU6">
        <v>5</v>
      </c>
      <c r="CV6">
        <v>12603873</v>
      </c>
      <c r="CW6">
        <v>117116</v>
      </c>
      <c r="CX6" t="s">
        <v>3117</v>
      </c>
      <c r="DA6" t="s">
        <v>3257</v>
      </c>
      <c r="DB6">
        <v>2.3125E-2</v>
      </c>
      <c r="DC6" t="s">
        <v>1822</v>
      </c>
      <c r="DD6">
        <v>1.6582479999999999</v>
      </c>
      <c r="DE6" t="s">
        <v>1831</v>
      </c>
      <c r="DF6">
        <v>2025</v>
      </c>
      <c r="DG6" t="s">
        <v>3258</v>
      </c>
      <c r="DH6" s="6">
        <v>45975</v>
      </c>
      <c r="DI6">
        <v>5</v>
      </c>
      <c r="DJ6">
        <v>1260135.7</v>
      </c>
      <c r="DK6">
        <v>33043329</v>
      </c>
      <c r="DL6" t="s">
        <v>3259</v>
      </c>
      <c r="MW6" t="s">
        <v>2469</v>
      </c>
      <c r="MY6">
        <v>-2.4245362661989844E-14</v>
      </c>
      <c r="MZ6">
        <v>-2.4245362661989844E-14</v>
      </c>
      <c r="NA6" t="s">
        <v>1814</v>
      </c>
      <c r="NB6">
        <v>2023</v>
      </c>
      <c r="NC6" t="s">
        <v>2470</v>
      </c>
      <c r="ND6" s="6">
        <v>44978</v>
      </c>
      <c r="NE6">
        <v>5</v>
      </c>
      <c r="NF6">
        <v>-2.4245362661989844E-14</v>
      </c>
      <c r="NG6">
        <v>61329618</v>
      </c>
      <c r="NH6" t="s">
        <v>2471</v>
      </c>
    </row>
    <row r="7" spans="1:600" x14ac:dyDescent="0.25">
      <c r="BW7" t="s">
        <v>2458</v>
      </c>
      <c r="BX7">
        <v>-2.4245362661989844E-14</v>
      </c>
      <c r="BZ7">
        <v>-2.4245362661989844E-14</v>
      </c>
      <c r="CA7" t="s">
        <v>1814</v>
      </c>
      <c r="CB7">
        <v>2025</v>
      </c>
      <c r="CC7" t="s">
        <v>2459</v>
      </c>
      <c r="CD7" s="6">
        <v>45740</v>
      </c>
      <c r="CE7">
        <v>5</v>
      </c>
      <c r="CF7">
        <v>-2.4245362661989844E-14</v>
      </c>
      <c r="CG7">
        <v>104159</v>
      </c>
      <c r="CH7" t="s">
        <v>2460</v>
      </c>
      <c r="CM7" t="s">
        <v>1884</v>
      </c>
      <c r="CN7" t="s">
        <v>1822</v>
      </c>
      <c r="CO7">
        <v>0.112723</v>
      </c>
      <c r="CP7">
        <v>0.29266900000000001</v>
      </c>
      <c r="CQ7" t="s">
        <v>1810</v>
      </c>
      <c r="CR7">
        <v>2025</v>
      </c>
      <c r="CS7" t="s">
        <v>1885</v>
      </c>
      <c r="CT7" s="6">
        <v>45867</v>
      </c>
      <c r="CU7">
        <v>5</v>
      </c>
      <c r="CV7">
        <v>8823956</v>
      </c>
      <c r="CW7">
        <v>117092</v>
      </c>
      <c r="CX7" t="s">
        <v>1886</v>
      </c>
      <c r="DA7" t="s">
        <v>3260</v>
      </c>
      <c r="DB7">
        <v>1.9157E-2</v>
      </c>
      <c r="DC7" t="s">
        <v>1822</v>
      </c>
      <c r="DD7">
        <v>1.0409630000000001</v>
      </c>
      <c r="DE7" t="s">
        <v>1831</v>
      </c>
      <c r="DF7">
        <v>2025</v>
      </c>
      <c r="DG7" t="s">
        <v>3261</v>
      </c>
      <c r="DH7" s="6">
        <v>45975</v>
      </c>
      <c r="DI7">
        <v>5</v>
      </c>
      <c r="DJ7">
        <v>1043896.27</v>
      </c>
      <c r="DK7">
        <v>44623346</v>
      </c>
      <c r="DL7" t="s">
        <v>3262</v>
      </c>
      <c r="MW7" t="s">
        <v>2472</v>
      </c>
      <c r="MY7">
        <v>-2.4245362661989844E-14</v>
      </c>
      <c r="MZ7">
        <v>-2.4245362661989844E-14</v>
      </c>
      <c r="NA7" t="s">
        <v>1810</v>
      </c>
      <c r="NB7">
        <v>2023</v>
      </c>
      <c r="NC7" t="s">
        <v>2467</v>
      </c>
      <c r="ND7" s="6">
        <v>45202</v>
      </c>
      <c r="NE7">
        <v>5</v>
      </c>
      <c r="NF7">
        <v>-2.4245362661989844E-14</v>
      </c>
      <c r="NG7">
        <v>71158739</v>
      </c>
      <c r="NH7" t="s">
        <v>2473</v>
      </c>
    </row>
    <row r="8" spans="1:600" x14ac:dyDescent="0.25">
      <c r="BW8" t="s">
        <v>2461</v>
      </c>
      <c r="BX8">
        <v>-2.4245362661989844E-14</v>
      </c>
      <c r="BZ8">
        <v>-2.4245362661989844E-14</v>
      </c>
      <c r="CA8" t="s">
        <v>1806</v>
      </c>
      <c r="CB8">
        <v>2026</v>
      </c>
      <c r="CC8" t="s">
        <v>2462</v>
      </c>
      <c r="CD8" s="6">
        <v>45881</v>
      </c>
      <c r="CE8">
        <v>5</v>
      </c>
      <c r="CF8">
        <v>-2.4245362661989844E-14</v>
      </c>
      <c r="CG8">
        <v>181414</v>
      </c>
      <c r="CH8" t="s">
        <v>2463</v>
      </c>
      <c r="CM8" t="s">
        <v>207</v>
      </c>
      <c r="CN8" t="s">
        <v>1822</v>
      </c>
      <c r="CO8">
        <v>5.2456999999999997E-2</v>
      </c>
      <c r="CP8">
        <v>0.27669100000000002</v>
      </c>
      <c r="CQ8" t="s">
        <v>1827</v>
      </c>
      <c r="CR8">
        <v>2025</v>
      </c>
      <c r="CS8" t="s">
        <v>2368</v>
      </c>
      <c r="CT8" s="6">
        <v>45848</v>
      </c>
      <c r="CU8">
        <v>5</v>
      </c>
      <c r="CV8">
        <v>8342237</v>
      </c>
      <c r="CW8">
        <v>101752</v>
      </c>
      <c r="CX8" t="s">
        <v>2369</v>
      </c>
      <c r="DA8" t="s">
        <v>3263</v>
      </c>
      <c r="DB8">
        <v>1.9157E-2</v>
      </c>
      <c r="DC8" t="s">
        <v>1822</v>
      </c>
      <c r="DD8">
        <v>0.30064800000000003</v>
      </c>
      <c r="DE8" t="s">
        <v>1831</v>
      </c>
      <c r="DF8">
        <v>2025</v>
      </c>
      <c r="DG8" t="s">
        <v>3264</v>
      </c>
      <c r="DH8" s="6">
        <v>45975</v>
      </c>
      <c r="DI8">
        <v>5</v>
      </c>
      <c r="DJ8">
        <v>1043897.85</v>
      </c>
      <c r="DK8">
        <v>31500775</v>
      </c>
      <c r="DL8" t="s">
        <v>3265</v>
      </c>
      <c r="MW8" t="s">
        <v>2474</v>
      </c>
      <c r="MY8">
        <v>-2.4245362661989844E-14</v>
      </c>
      <c r="MZ8">
        <v>-2.4245362661989844E-14</v>
      </c>
      <c r="NA8" t="s">
        <v>1810</v>
      </c>
      <c r="NB8">
        <v>2023</v>
      </c>
      <c r="NC8" t="s">
        <v>2467</v>
      </c>
      <c r="ND8" s="6">
        <v>45202</v>
      </c>
      <c r="NE8">
        <v>5</v>
      </c>
      <c r="NF8">
        <v>-2.4245362661989844E-14</v>
      </c>
      <c r="NG8">
        <v>58890738</v>
      </c>
      <c r="NH8" t="s">
        <v>2475</v>
      </c>
    </row>
    <row r="9" spans="1:600" x14ac:dyDescent="0.25">
      <c r="BW9" t="s">
        <v>2464</v>
      </c>
      <c r="BX9">
        <v>-2.4245362661989844E-14</v>
      </c>
      <c r="BZ9">
        <v>-2.4245362661989844E-14</v>
      </c>
      <c r="CA9" t="s">
        <v>1814</v>
      </c>
      <c r="CB9">
        <v>2025</v>
      </c>
      <c r="CC9" t="s">
        <v>2465</v>
      </c>
      <c r="CD9" s="6">
        <v>45891</v>
      </c>
      <c r="CE9">
        <v>5</v>
      </c>
      <c r="CF9">
        <v>-2.4245362661989844E-14</v>
      </c>
      <c r="CG9">
        <v>194968</v>
      </c>
      <c r="CH9" t="s">
        <v>2466</v>
      </c>
      <c r="CM9" t="s">
        <v>3118</v>
      </c>
      <c r="CN9" t="s">
        <v>1822</v>
      </c>
      <c r="CO9">
        <v>0.122061</v>
      </c>
      <c r="CP9">
        <v>0.23411100000000001</v>
      </c>
      <c r="CQ9" t="s">
        <v>1823</v>
      </c>
      <c r="CR9">
        <v>2026</v>
      </c>
      <c r="CS9" t="s">
        <v>3119</v>
      </c>
      <c r="CT9" s="6">
        <v>46071</v>
      </c>
      <c r="CU9">
        <v>5</v>
      </c>
      <c r="CV9">
        <v>6651104</v>
      </c>
      <c r="CW9">
        <v>61417091</v>
      </c>
      <c r="CX9" t="s">
        <v>3120</v>
      </c>
      <c r="DA9" t="s">
        <v>3266</v>
      </c>
      <c r="DB9">
        <v>1.6264000000000001E-2</v>
      </c>
      <c r="DC9" t="s">
        <v>1822</v>
      </c>
      <c r="DD9">
        <v>9.9381559999999993</v>
      </c>
      <c r="DE9" t="s">
        <v>1814</v>
      </c>
      <c r="DF9">
        <v>2024</v>
      </c>
      <c r="DG9" t="s">
        <v>3267</v>
      </c>
      <c r="DH9" s="6">
        <v>45810</v>
      </c>
      <c r="DI9">
        <v>5</v>
      </c>
      <c r="DJ9">
        <v>857742.71</v>
      </c>
      <c r="DK9">
        <v>11741814</v>
      </c>
      <c r="DL9" t="s">
        <v>3268</v>
      </c>
      <c r="MW9" t="s">
        <v>2476</v>
      </c>
      <c r="MY9">
        <v>-2.4245362661989844E-14</v>
      </c>
      <c r="MZ9">
        <v>-2.4245362661989844E-14</v>
      </c>
      <c r="NA9" t="s">
        <v>1806</v>
      </c>
      <c r="NB9">
        <v>2026</v>
      </c>
      <c r="NC9" t="s">
        <v>2477</v>
      </c>
      <c r="ND9" s="6">
        <v>45993</v>
      </c>
      <c r="NE9">
        <v>5</v>
      </c>
      <c r="NF9">
        <v>-2.4245362661989844E-14</v>
      </c>
      <c r="NG9">
        <v>14699050</v>
      </c>
      <c r="NH9" t="s">
        <v>2478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1510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1511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1512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1513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1514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1515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1516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1517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1518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1519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1520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1521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1522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1523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1524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1525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1526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1527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1528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1529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659</v>
      </c>
      <c r="AE2" s="3" t="s">
        <v>942</v>
      </c>
      <c r="BI2" s="3" t="s">
        <v>1530</v>
      </c>
      <c r="CM2" s="3" t="s">
        <v>1531</v>
      </c>
      <c r="DQ2" s="3" t="s">
        <v>1532</v>
      </c>
      <c r="EU2" s="3" t="s">
        <v>1533</v>
      </c>
      <c r="FY2" s="3" t="s">
        <v>659</v>
      </c>
      <c r="HC2" s="3" t="s">
        <v>1534</v>
      </c>
      <c r="IG2" s="3" t="s">
        <v>939</v>
      </c>
      <c r="JK2" s="3" t="s">
        <v>1340</v>
      </c>
      <c r="KO2" s="3" t="s">
        <v>912</v>
      </c>
      <c r="LS2" s="3" t="s">
        <v>1535</v>
      </c>
      <c r="MW2" s="3" t="s">
        <v>1536</v>
      </c>
      <c r="OA2" s="3" t="s">
        <v>1537</v>
      </c>
      <c r="PE2" s="3" t="s">
        <v>1538</v>
      </c>
      <c r="QI2" s="3" t="s">
        <v>692</v>
      </c>
      <c r="RM2" s="3" t="s">
        <v>1539</v>
      </c>
      <c r="SQ2" s="3" t="s">
        <v>724</v>
      </c>
      <c r="TU2" s="3" t="s">
        <v>1540</v>
      </c>
      <c r="UY2" s="3" t="s">
        <v>1541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_xll.BDS("NWBI US Equity","SUPPLY_CHAIN_SUPPLIERS_ALL_DATA","cols=12;rows=1")</f>
        <v>FISV US Equity</v>
      </c>
      <c r="C5">
        <v>-2.4245362661989844E-14</v>
      </c>
      <c r="D5">
        <v>-2.4245362661989844E-14</v>
      </c>
      <c r="E5" t="s">
        <v>1831</v>
      </c>
      <c r="F5">
        <v>2023</v>
      </c>
      <c r="G5" t="s">
        <v>1910</v>
      </c>
      <c r="H5" s="6">
        <v>45245</v>
      </c>
      <c r="I5">
        <v>1</v>
      </c>
      <c r="J5">
        <v>-2.4245362661989844E-14</v>
      </c>
      <c r="K5">
        <v>103882</v>
      </c>
      <c r="L5" t="s">
        <v>1911</v>
      </c>
      <c r="O5" t="str">
        <f>_xll.BDS("NWBI US Equity","SUPPLY_CHAIN_CUSTOMERS_ALL_DATA")</f>
        <v>#N/A N/A</v>
      </c>
      <c r="AE5" t="str">
        <f>_xll.BDS("GE US Equity","SUPPLY_CHAIN_SUPPLIERS_ALL_DATA")</f>
        <v>SAF FP Equity</v>
      </c>
      <c r="AS5" t="str">
        <f>_xll.BDS("GE US Equity","SUPPLY_CHAIN_CUSTOMERS_ALL_DATA")</f>
        <v>3352Z US Equity</v>
      </c>
      <c r="BI5" t="str">
        <f>_xll.BDS("ROMA US Equity","SUPPLY_CHAIN_SUPPLIERS_ALL_DATA")</f>
        <v>#N/A N/A</v>
      </c>
      <c r="BW5" t="str">
        <f>_xll.BDS("ROMA US Equity","SUPPLY_CHAIN_CUSTOMERS_ALL_DATA")</f>
        <v>#N/A N/A</v>
      </c>
      <c r="CM5" t="str">
        <f>_xll.BDS("PCLE US Equity","SUPPLY_CHAIN_SUPPLIERS_ALL_DATA")</f>
        <v>#N/A N/A</v>
      </c>
      <c r="DA5" t="str">
        <f>_xll.BDS("PCLE US Equity","SUPPLY_CHAIN_CUSTOMERS_ALL_DATA")</f>
        <v>#N/A N/A</v>
      </c>
      <c r="DQ5" t="str">
        <f>_xll.BDS("SCUR US Equity","SUPPLY_CHAIN_SUPPLIERS_ALL_DATA")</f>
        <v>#N/A N/A</v>
      </c>
      <c r="EE5" t="str">
        <f>_xll.BDS("SCUR US Equity","SUPPLY_CHAIN_CUSTOMERS_ALL_DATA")</f>
        <v>#N/A N/A</v>
      </c>
      <c r="EU5" t="str">
        <f>_xll.BDS("OSIS US Equity","SUPPLY_CHAIN_SUPPLIERS_ALL_DATA","cols=12;rows=5")</f>
        <v>VREX US Equity</v>
      </c>
      <c r="EV5" t="s">
        <v>1822</v>
      </c>
      <c r="EW5">
        <v>0.58712500000000001</v>
      </c>
      <c r="EX5">
        <v>0.51405299999999998</v>
      </c>
      <c r="EY5" t="s">
        <v>1827</v>
      </c>
      <c r="EZ5">
        <v>2025</v>
      </c>
      <c r="FA5" t="s">
        <v>3606</v>
      </c>
      <c r="FB5" s="6">
        <v>45985</v>
      </c>
      <c r="FC5">
        <v>5</v>
      </c>
      <c r="FD5">
        <v>1343929</v>
      </c>
      <c r="FE5">
        <v>49991909</v>
      </c>
      <c r="FF5" t="s">
        <v>3607</v>
      </c>
      <c r="FI5" t="str">
        <f>_xll.BDS("OSIS US Equity","SUPPLY_CHAIN_CUSTOMERS_ALL_DATA","cols=12;rows=5")</f>
        <v>3352Z US Equity</v>
      </c>
      <c r="FJ5">
        <v>10.670303000000001</v>
      </c>
      <c r="FL5">
        <v>-2.4245362661989844E-14</v>
      </c>
      <c r="FM5" t="s">
        <v>1814</v>
      </c>
      <c r="FN5">
        <v>2025</v>
      </c>
      <c r="FO5" t="s">
        <v>3559</v>
      </c>
      <c r="FP5" s="6">
        <v>45894</v>
      </c>
      <c r="FQ5">
        <v>5</v>
      </c>
      <c r="FR5">
        <v>45700000</v>
      </c>
      <c r="FS5">
        <v>218252</v>
      </c>
      <c r="FT5" t="s">
        <v>2012</v>
      </c>
      <c r="FY5" t="str">
        <f>_xll.BDS("NWBI US Equity","SUPPLY_CHAIN_SUPPLIERS_ALL_DATA","cols=12;rows=1")</f>
        <v>FISV US Equity</v>
      </c>
      <c r="GA5">
        <v>-2.4245362661989844E-14</v>
      </c>
      <c r="GB5">
        <v>-2.4245362661989844E-14</v>
      </c>
      <c r="GC5" t="s">
        <v>1831</v>
      </c>
      <c r="GD5">
        <v>2023</v>
      </c>
      <c r="GE5" t="s">
        <v>1910</v>
      </c>
      <c r="GF5" s="6">
        <v>45245</v>
      </c>
      <c r="GG5">
        <v>1</v>
      </c>
      <c r="GH5">
        <v>-2.4245362661989844E-14</v>
      </c>
      <c r="GI5">
        <v>103882</v>
      </c>
      <c r="GJ5" t="s">
        <v>1911</v>
      </c>
      <c r="GM5" t="str">
        <f>_xll.BDS("NWBI US Equity","SUPPLY_CHAIN_CUSTOMERS_ALL_DATA")</f>
        <v>#N/A N/A</v>
      </c>
      <c r="HC5" t="str">
        <f>_xll.BDS("FBPI US Equity","SUPPLY_CHAIN_SUPPLIERS_ALL_DATA")</f>
        <v>#N/A N/A</v>
      </c>
      <c r="HQ5" t="str">
        <f>_xll.BDS("FBPI US Equity","SUPPLY_CHAIN_CUSTOMERS_ALL_DATA")</f>
        <v>#N/A N/A</v>
      </c>
      <c r="IG5" t="str">
        <f>_xll.BDS("HBK US Equity","SUPPLY_CHAIN_SUPPLIERS_ALL_DATA")</f>
        <v>#N/A N/A</v>
      </c>
      <c r="IU5" t="str">
        <f>_xll.BDS("HBK US Equity","SUPPLY_CHAIN_CUSTOMERS_ALL_DATA")</f>
        <v>#N/A N/A</v>
      </c>
      <c r="JK5" t="str">
        <f>_xll.BDS("TIBX US Equity","SUPPLY_CHAIN_SUPPLIERS_ALL_DATA","cols=12;rows=5")</f>
        <v>ARE US Equity</v>
      </c>
      <c r="JM5">
        <v>0.67908900000000005</v>
      </c>
      <c r="JN5">
        <v>-2.4245362661989844E-14</v>
      </c>
      <c r="JO5" t="s">
        <v>1814</v>
      </c>
      <c r="JP5">
        <v>2025</v>
      </c>
      <c r="JQ5" t="s">
        <v>2377</v>
      </c>
      <c r="JR5" s="6">
        <v>46048</v>
      </c>
      <c r="JS5">
        <v>5</v>
      </c>
      <c r="JT5">
        <v>5138250</v>
      </c>
      <c r="JU5">
        <v>216867</v>
      </c>
      <c r="JV5" t="s">
        <v>2378</v>
      </c>
      <c r="JY5" t="str">
        <f>_xll.BDS("TIBX US Equity","SUPPLY_CHAIN_CUSTOMERS_ALL_DATA","cols=12;rows=5")</f>
        <v>3565 JP Equity</v>
      </c>
      <c r="JZ5">
        <v>-2.4245362661989844E-14</v>
      </c>
      <c r="KB5">
        <v>-2.4245362661989844E-14</v>
      </c>
      <c r="KC5" t="s">
        <v>1810</v>
      </c>
      <c r="KD5">
        <v>2026</v>
      </c>
      <c r="KE5" t="s">
        <v>2068</v>
      </c>
      <c r="KF5" s="6">
        <v>46006</v>
      </c>
      <c r="KG5">
        <v>5</v>
      </c>
      <c r="KH5">
        <v>-2.4245362661989844E-14</v>
      </c>
      <c r="KI5">
        <v>34983767</v>
      </c>
      <c r="KJ5" t="s">
        <v>2069</v>
      </c>
      <c r="KO5" t="str">
        <f>_xll.BDS("PREM US Equity","SUPPLY_CHAIN_SUPPLIERS_ALL_DATA")</f>
        <v>#N/A N/A</v>
      </c>
      <c r="LC5" t="str">
        <f>_xll.BDS("PREM US Equity","SUPPLY_CHAIN_CUSTOMERS_ALL_DATA")</f>
        <v>#N/A N/A</v>
      </c>
      <c r="LS5" t="str">
        <f>_xll.BDS("THRD US Equity","SUPPLY_CHAIN_SUPPLIERS_ALL_DATA")</f>
        <v>#N/A N/A</v>
      </c>
      <c r="MG5" t="str">
        <f>_xll.BDS("THRD US Equity","SUPPLY_CHAIN_CUSTOMERS_ALL_DATA")</f>
        <v>#N/A N/A</v>
      </c>
      <c r="MW5" t="str">
        <f>_xll.BDS("ENMC US Equity","SUPPLY_CHAIN_SUPPLIERS_ALL_DATA")</f>
        <v>#N/A N/A</v>
      </c>
      <c r="NK5" t="str">
        <f>_xll.BDS("ENMC US Equity","SUPPLY_CHAIN_CUSTOMERS_ALL_DATA")</f>
        <v>#N/A N/A</v>
      </c>
      <c r="OA5" t="str">
        <f>_xll.BDS("SLBK US Equity","SUPPLY_CHAIN_SUPPLIERS_ALL_DATA")</f>
        <v>#N/A N/A</v>
      </c>
      <c r="OO5" t="str">
        <f>_xll.BDS("SLBK US Equity","SUPPLY_CHAIN_CUSTOMERS_ALL_DATA")</f>
        <v>#N/A N/A</v>
      </c>
      <c r="PE5" t="str">
        <f>_xll.BDS("MPB US Equity","SUPPLY_CHAIN_SUPPLIERS_ALL_DATA")</f>
        <v>#N/A N/A</v>
      </c>
      <c r="PS5" t="str">
        <f>_xll.BDS("MPB US Equity","SUPPLY_CHAIN_CUSTOMERS_ALL_DATA")</f>
        <v>#N/A N/A</v>
      </c>
      <c r="QI5" t="str">
        <f>_xll.BDS("TMO US Equity","SUPPLY_CHAIN_SUPPLIERS_ALL_DATA","cols=12;rows=5")</f>
        <v>EMR US Equity</v>
      </c>
      <c r="QJ5" t="s">
        <v>1822</v>
      </c>
      <c r="QK5">
        <v>4.2224550000000001</v>
      </c>
      <c r="QL5">
        <v>2.8645350000000001</v>
      </c>
      <c r="QM5" t="s">
        <v>1810</v>
      </c>
      <c r="QN5">
        <v>2025</v>
      </c>
      <c r="QO5" t="s">
        <v>1912</v>
      </c>
      <c r="QP5" s="6">
        <v>45881</v>
      </c>
      <c r="QQ5">
        <v>5</v>
      </c>
      <c r="QR5">
        <v>184647952</v>
      </c>
      <c r="QS5">
        <v>100515</v>
      </c>
      <c r="QT5" t="s">
        <v>1913</v>
      </c>
      <c r="QW5" t="str">
        <f>_xll.BDS("TMO US Equity","SUPPLY_CHAIN_CUSTOMERS_ALL_DATA","cols=12;rows=5")</f>
        <v>4195 TT Equity</v>
      </c>
      <c r="QX5">
        <v>9.7099999999999999E-3</v>
      </c>
      <c r="QY5" t="s">
        <v>1822</v>
      </c>
      <c r="QZ5">
        <v>37.527434999999997</v>
      </c>
      <c r="RA5" t="s">
        <v>1814</v>
      </c>
      <c r="RB5">
        <v>2024</v>
      </c>
      <c r="RC5" t="s">
        <v>1861</v>
      </c>
      <c r="RD5" s="6">
        <v>45803</v>
      </c>
      <c r="RE5">
        <v>5</v>
      </c>
      <c r="RF5">
        <v>1052629.3999999999</v>
      </c>
      <c r="RG5">
        <v>38166930</v>
      </c>
      <c r="RH5" t="s">
        <v>1862</v>
      </c>
      <c r="RM5" t="str">
        <f>_xll.BDS("9876544D US Equity","SUPPLY_CHAIN_SUPPLIERS_ALL_DATA")</f>
        <v>#N/A N/A</v>
      </c>
      <c r="SA5" t="str">
        <f>_xll.BDS("9876544D US Equity","SUPPLY_CHAIN_CUSTOMERS_ALL_DATA")</f>
        <v>#N/A N/A</v>
      </c>
      <c r="SQ5" t="str">
        <f>_xll.BDS("COB US Equity","SUPPLY_CHAIN_SUPPLIERS_ALL_DATA")</f>
        <v>#N/A N/A</v>
      </c>
      <c r="TE5" t="str">
        <f>_xll.BDS("COB US Equity","SUPPLY_CHAIN_CUSTOMERS_ALL_DATA")</f>
        <v>#N/A N/A</v>
      </c>
      <c r="TU5" t="str">
        <f>_xll.BDS("LEBC US Equity","SUPPLY_CHAIN_SUPPLIERS_ALL_DATA")</f>
        <v>#N/A N/A</v>
      </c>
      <c r="UI5" t="str">
        <f>_xll.BDS("LEBC US Equity","SUPPLY_CHAIN_CUSTOMERS_ALL_DATA")</f>
        <v>#N/A N/A</v>
      </c>
      <c r="UY5" t="str">
        <f>_xll.BDS("IEX US Equity","SUPPLY_CHAIN_SUPPLIERS_ALL_DATA","cols=12;rows=5")</f>
        <v>1972 HK Equity</v>
      </c>
      <c r="VA5">
        <v>-2.4245362661989844E-14</v>
      </c>
      <c r="VB5">
        <v>-2.4245362661989844E-14</v>
      </c>
      <c r="VC5" t="s">
        <v>1814</v>
      </c>
      <c r="VD5">
        <v>2021</v>
      </c>
      <c r="VE5" t="s">
        <v>4026</v>
      </c>
      <c r="VF5" s="6">
        <v>44652</v>
      </c>
      <c r="VG5">
        <v>5</v>
      </c>
      <c r="VH5">
        <v>-2.4245362661989844E-14</v>
      </c>
      <c r="VI5">
        <v>953675</v>
      </c>
      <c r="VJ5" t="s">
        <v>2911</v>
      </c>
      <c r="VM5" t="str">
        <f>_xll.BDS("IEX US Equity","SUPPLY_CHAIN_CUSTOMERS_ALL_DATA","cols=12;rows=5")</f>
        <v>PCAR US Equity</v>
      </c>
      <c r="VN5">
        <v>0.15042700000000001</v>
      </c>
      <c r="VO5" t="s">
        <v>1822</v>
      </c>
      <c r="VP5">
        <v>1.9841000000000001E-2</v>
      </c>
      <c r="VQ5" t="s">
        <v>1823</v>
      </c>
      <c r="VR5">
        <v>2025</v>
      </c>
      <c r="VS5" t="s">
        <v>3920</v>
      </c>
      <c r="VT5" s="6">
        <v>45943</v>
      </c>
      <c r="VU5">
        <v>5</v>
      </c>
      <c r="VV5">
        <v>1229289</v>
      </c>
      <c r="VW5">
        <v>101754</v>
      </c>
      <c r="VX5" t="s">
        <v>3921</v>
      </c>
    </row>
    <row r="6" spans="1:600" x14ac:dyDescent="0.25">
      <c r="EU6" t="s">
        <v>3608</v>
      </c>
      <c r="EW6">
        <v>-2.4245362661989844E-14</v>
      </c>
      <c r="EX6">
        <v>-2.4245362661989844E-14</v>
      </c>
      <c r="EY6" t="s">
        <v>1814</v>
      </c>
      <c r="EZ6">
        <v>2023</v>
      </c>
      <c r="FA6" t="s">
        <v>3609</v>
      </c>
      <c r="FB6" s="6">
        <v>45238</v>
      </c>
      <c r="FC6">
        <v>5</v>
      </c>
      <c r="FD6">
        <v>-2.4245362661989844E-14</v>
      </c>
      <c r="FE6">
        <v>34361150</v>
      </c>
      <c r="FF6" t="s">
        <v>3610</v>
      </c>
      <c r="FI6" t="s">
        <v>3560</v>
      </c>
      <c r="FJ6">
        <v>2.6241629999999998</v>
      </c>
      <c r="FK6" t="s">
        <v>1949</v>
      </c>
      <c r="FL6">
        <v>0.72140899999999997</v>
      </c>
      <c r="FM6" t="s">
        <v>1806</v>
      </c>
      <c r="FN6">
        <v>2026</v>
      </c>
      <c r="FO6" t="s">
        <v>1890</v>
      </c>
      <c r="FP6" s="6">
        <v>46051</v>
      </c>
      <c r="FQ6">
        <v>5</v>
      </c>
      <c r="FR6">
        <v>10093134</v>
      </c>
      <c r="FS6">
        <v>945228</v>
      </c>
      <c r="FT6" t="s">
        <v>3561</v>
      </c>
      <c r="JK6" t="s">
        <v>2025</v>
      </c>
      <c r="JM6">
        <v>-2.4245362661989844E-14</v>
      </c>
      <c r="JN6">
        <v>-2.4245362661989844E-14</v>
      </c>
      <c r="JO6" t="s">
        <v>1814</v>
      </c>
      <c r="JP6">
        <v>2025</v>
      </c>
      <c r="JQ6" t="s">
        <v>2070</v>
      </c>
      <c r="JR6" s="6">
        <v>45673</v>
      </c>
      <c r="JS6">
        <v>5</v>
      </c>
      <c r="JT6">
        <v>-2.4245362661989844E-14</v>
      </c>
      <c r="JU6">
        <v>100115</v>
      </c>
      <c r="JV6" t="s">
        <v>2027</v>
      </c>
      <c r="JY6" t="s">
        <v>2025</v>
      </c>
      <c r="JZ6">
        <v>-2.4245362661989844E-14</v>
      </c>
      <c r="KB6">
        <v>-2.4245362661989844E-14</v>
      </c>
      <c r="KC6" t="s">
        <v>1814</v>
      </c>
      <c r="KD6">
        <v>2024</v>
      </c>
      <c r="KE6" t="s">
        <v>2070</v>
      </c>
      <c r="KF6" s="6">
        <v>45533</v>
      </c>
      <c r="KG6">
        <v>5</v>
      </c>
      <c r="KH6">
        <v>-2.4245362661989844E-14</v>
      </c>
      <c r="KI6">
        <v>100115</v>
      </c>
      <c r="KJ6" t="s">
        <v>2027</v>
      </c>
      <c r="QI6" t="s">
        <v>800</v>
      </c>
      <c r="QJ6" t="s">
        <v>1822</v>
      </c>
      <c r="QK6">
        <v>0.39111600000000002</v>
      </c>
      <c r="QL6">
        <v>0.88908200000000004</v>
      </c>
      <c r="QM6" t="s">
        <v>1823</v>
      </c>
      <c r="QN6">
        <v>2025</v>
      </c>
      <c r="QO6" t="s">
        <v>1914</v>
      </c>
      <c r="QP6" s="6">
        <v>45914</v>
      </c>
      <c r="QQ6">
        <v>5</v>
      </c>
      <c r="QR6">
        <v>57310228</v>
      </c>
      <c r="QS6">
        <v>101166</v>
      </c>
      <c r="QT6" t="s">
        <v>1915</v>
      </c>
      <c r="QW6" t="s">
        <v>1855</v>
      </c>
      <c r="QX6">
        <v>2.545E-3</v>
      </c>
      <c r="QY6" t="s">
        <v>1822</v>
      </c>
      <c r="QZ6">
        <v>3.8306200000000001</v>
      </c>
      <c r="RA6" t="s">
        <v>1814</v>
      </c>
      <c r="RB6">
        <v>2024</v>
      </c>
      <c r="RC6" t="s">
        <v>1856</v>
      </c>
      <c r="RD6" s="6">
        <v>45819</v>
      </c>
      <c r="RE6">
        <v>5</v>
      </c>
      <c r="RF6">
        <v>275861.17</v>
      </c>
      <c r="RG6">
        <v>15291339</v>
      </c>
      <c r="RH6" t="s">
        <v>1857</v>
      </c>
      <c r="UY6" t="s">
        <v>4027</v>
      </c>
      <c r="VA6">
        <v>-2.4245362661989844E-14</v>
      </c>
      <c r="VB6">
        <v>-2.4245362661989844E-14</v>
      </c>
      <c r="VC6" t="s">
        <v>1814</v>
      </c>
      <c r="VD6">
        <v>2024</v>
      </c>
      <c r="VE6" t="s">
        <v>4028</v>
      </c>
      <c r="VF6" s="6">
        <v>45812</v>
      </c>
      <c r="VG6">
        <v>5</v>
      </c>
      <c r="VH6">
        <v>-2.4245362661989844E-14</v>
      </c>
      <c r="VI6">
        <v>1459395</v>
      </c>
      <c r="VJ6" t="s">
        <v>4029</v>
      </c>
      <c r="VM6" t="s">
        <v>3922</v>
      </c>
      <c r="VN6">
        <v>6.4159999999999998E-3</v>
      </c>
      <c r="VO6" t="s">
        <v>1822</v>
      </c>
      <c r="VP6">
        <v>1.9361699999999999</v>
      </c>
      <c r="VQ6" t="s">
        <v>1831</v>
      </c>
      <c r="VR6">
        <v>2025</v>
      </c>
      <c r="VS6" t="s">
        <v>3923</v>
      </c>
      <c r="VT6" s="6">
        <v>45974</v>
      </c>
      <c r="VU6">
        <v>5</v>
      </c>
      <c r="VV6">
        <v>54767.98</v>
      </c>
      <c r="VW6">
        <v>54336485</v>
      </c>
      <c r="VX6" t="s">
        <v>3924</v>
      </c>
    </row>
    <row r="7" spans="1:600" x14ac:dyDescent="0.25">
      <c r="EU7" t="s">
        <v>2863</v>
      </c>
      <c r="EW7">
        <v>-2.4245362661989844E-14</v>
      </c>
      <c r="EX7">
        <v>-2.4245362661989844E-14</v>
      </c>
      <c r="EY7" t="s">
        <v>1814</v>
      </c>
      <c r="EZ7">
        <v>2021</v>
      </c>
      <c r="FA7" t="s">
        <v>2864</v>
      </c>
      <c r="FB7" s="6">
        <v>44693</v>
      </c>
      <c r="FC7">
        <v>5</v>
      </c>
      <c r="FD7">
        <v>-2.4245362661989844E-14</v>
      </c>
      <c r="FE7">
        <v>179563</v>
      </c>
      <c r="FF7" t="s">
        <v>2865</v>
      </c>
      <c r="FI7" t="s">
        <v>2013</v>
      </c>
      <c r="FJ7">
        <v>2.5769839999999999</v>
      </c>
      <c r="FK7" t="s">
        <v>1822</v>
      </c>
      <c r="FL7">
        <v>5.0774E-2</v>
      </c>
      <c r="FM7" t="s">
        <v>1806</v>
      </c>
      <c r="FN7">
        <v>2026</v>
      </c>
      <c r="FO7" t="s">
        <v>1890</v>
      </c>
      <c r="FP7" s="6">
        <v>46051</v>
      </c>
      <c r="FQ7">
        <v>5</v>
      </c>
      <c r="FR7">
        <v>9911673</v>
      </c>
      <c r="FS7">
        <v>101555</v>
      </c>
      <c r="FT7" t="s">
        <v>2015</v>
      </c>
      <c r="JK7" t="s">
        <v>2379</v>
      </c>
      <c r="JM7">
        <v>-2.4245362661989844E-14</v>
      </c>
      <c r="JN7">
        <v>-2.4245362661989844E-14</v>
      </c>
      <c r="JO7" t="s">
        <v>1814</v>
      </c>
      <c r="JP7">
        <v>2022</v>
      </c>
      <c r="JQ7" t="s">
        <v>2380</v>
      </c>
      <c r="JR7" s="6">
        <v>44986</v>
      </c>
      <c r="JS7">
        <v>5</v>
      </c>
      <c r="JT7">
        <v>-2.4245362661989844E-14</v>
      </c>
      <c r="JU7">
        <v>1197519</v>
      </c>
      <c r="JV7" t="s">
        <v>2381</v>
      </c>
      <c r="JY7" t="s">
        <v>2071</v>
      </c>
      <c r="JZ7">
        <v>-2.4245362661989844E-14</v>
      </c>
      <c r="KB7">
        <v>-2.4245362661989844E-14</v>
      </c>
      <c r="KC7" t="s">
        <v>1814</v>
      </c>
      <c r="KD7">
        <v>2021</v>
      </c>
      <c r="KE7" t="s">
        <v>2072</v>
      </c>
      <c r="KF7" s="6">
        <v>44657</v>
      </c>
      <c r="KG7">
        <v>5</v>
      </c>
      <c r="KH7">
        <v>-2.4245362661989844E-14</v>
      </c>
      <c r="KI7">
        <v>115240</v>
      </c>
      <c r="KJ7" t="s">
        <v>2073</v>
      </c>
      <c r="QI7" t="s">
        <v>1881</v>
      </c>
      <c r="QJ7" t="s">
        <v>1822</v>
      </c>
      <c r="QK7">
        <v>0.56451700000000005</v>
      </c>
      <c r="QL7">
        <v>0.57008199999999998</v>
      </c>
      <c r="QM7" t="s">
        <v>1810</v>
      </c>
      <c r="QN7">
        <v>2025</v>
      </c>
      <c r="QO7" t="s">
        <v>1882</v>
      </c>
      <c r="QP7" s="6">
        <v>45763</v>
      </c>
      <c r="QQ7">
        <v>5</v>
      </c>
      <c r="QR7">
        <v>37009736</v>
      </c>
      <c r="QS7">
        <v>136547</v>
      </c>
      <c r="QT7" t="s">
        <v>1883</v>
      </c>
      <c r="QW7" t="s">
        <v>1863</v>
      </c>
      <c r="QX7">
        <v>8.6300000000000005E-4</v>
      </c>
      <c r="QY7" t="s">
        <v>1822</v>
      </c>
      <c r="QZ7">
        <v>0.46444600000000003</v>
      </c>
      <c r="RA7" t="s">
        <v>1814</v>
      </c>
      <c r="RB7">
        <v>2024</v>
      </c>
      <c r="RC7" t="s">
        <v>1864</v>
      </c>
      <c r="RD7" s="6">
        <v>45730</v>
      </c>
      <c r="RE7">
        <v>5</v>
      </c>
      <c r="RF7">
        <v>92615.79</v>
      </c>
      <c r="RG7">
        <v>7369845</v>
      </c>
      <c r="RH7" t="s">
        <v>1865</v>
      </c>
      <c r="UY7" t="s">
        <v>2269</v>
      </c>
      <c r="VA7">
        <v>-2.4245362661989844E-14</v>
      </c>
      <c r="VB7">
        <v>-2.4245362661989844E-14</v>
      </c>
      <c r="VC7" t="s">
        <v>1814</v>
      </c>
      <c r="VD7">
        <v>2022</v>
      </c>
      <c r="VE7" t="s">
        <v>2270</v>
      </c>
      <c r="VF7" s="6">
        <v>44693</v>
      </c>
      <c r="VG7">
        <v>5</v>
      </c>
      <c r="VH7">
        <v>-2.4245362661989844E-14</v>
      </c>
      <c r="VI7">
        <v>114991</v>
      </c>
      <c r="VJ7" t="s">
        <v>2271</v>
      </c>
      <c r="VM7" t="s">
        <v>3925</v>
      </c>
      <c r="VN7">
        <v>-2.4245362661989844E-14</v>
      </c>
      <c r="VP7">
        <v>-2.4245362661989844E-14</v>
      </c>
      <c r="VQ7" t="s">
        <v>1814</v>
      </c>
      <c r="VR7">
        <v>2024</v>
      </c>
      <c r="VS7" t="s">
        <v>3926</v>
      </c>
      <c r="VT7" s="6">
        <v>45762</v>
      </c>
      <c r="VU7">
        <v>5</v>
      </c>
      <c r="VV7">
        <v>-2.4245362661989844E-14</v>
      </c>
      <c r="VW7">
        <v>24053080</v>
      </c>
      <c r="VX7" t="s">
        <v>3927</v>
      </c>
    </row>
    <row r="8" spans="1:600" x14ac:dyDescent="0.25">
      <c r="EU8" t="s">
        <v>3506</v>
      </c>
      <c r="EW8">
        <v>-2.4245362661989844E-14</v>
      </c>
      <c r="EX8">
        <v>-2.4245362661989844E-14</v>
      </c>
      <c r="EY8" t="s">
        <v>1814</v>
      </c>
      <c r="EZ8">
        <v>2021</v>
      </c>
      <c r="FA8" t="s">
        <v>3507</v>
      </c>
      <c r="FB8" s="6">
        <v>44693</v>
      </c>
      <c r="FC8">
        <v>5</v>
      </c>
      <c r="FD8">
        <v>-2.4245362661989844E-14</v>
      </c>
      <c r="FE8">
        <v>1419689</v>
      </c>
      <c r="FF8" t="s">
        <v>3508</v>
      </c>
      <c r="FI8" t="s">
        <v>3562</v>
      </c>
      <c r="FJ8">
        <v>1.949136</v>
      </c>
      <c r="FK8" t="s">
        <v>1949</v>
      </c>
      <c r="FL8">
        <v>0.50348099999999996</v>
      </c>
      <c r="FM8" t="s">
        <v>1806</v>
      </c>
      <c r="FN8">
        <v>2026</v>
      </c>
      <c r="FO8" t="s">
        <v>1890</v>
      </c>
      <c r="FP8" s="6">
        <v>46051</v>
      </c>
      <c r="FQ8">
        <v>5</v>
      </c>
      <c r="FR8">
        <v>7496825</v>
      </c>
      <c r="FS8">
        <v>21445200</v>
      </c>
      <c r="FT8" t="s">
        <v>3563</v>
      </c>
      <c r="JK8" t="s">
        <v>2382</v>
      </c>
      <c r="JM8">
        <v>-2.4245362661989844E-14</v>
      </c>
      <c r="JN8">
        <v>-2.4245362661989844E-14</v>
      </c>
      <c r="JO8" t="s">
        <v>1814</v>
      </c>
      <c r="JP8">
        <v>2021</v>
      </c>
      <c r="JQ8" t="s">
        <v>2383</v>
      </c>
      <c r="JR8" s="6">
        <v>44631</v>
      </c>
      <c r="JS8">
        <v>5</v>
      </c>
      <c r="JT8">
        <v>-2.4245362661989844E-14</v>
      </c>
      <c r="JU8">
        <v>7419924</v>
      </c>
      <c r="JV8" t="s">
        <v>2384</v>
      </c>
      <c r="JY8" t="s">
        <v>1840</v>
      </c>
      <c r="JZ8">
        <v>-2.4245362661989844E-14</v>
      </c>
      <c r="KB8">
        <v>-2.4245362661989844E-14</v>
      </c>
      <c r="KC8" t="s">
        <v>1810</v>
      </c>
      <c r="KD8">
        <v>2022</v>
      </c>
      <c r="KE8" t="s">
        <v>2074</v>
      </c>
      <c r="KF8" s="6">
        <v>44957</v>
      </c>
      <c r="KG8">
        <v>5</v>
      </c>
      <c r="KH8">
        <v>-2.4245362661989844E-14</v>
      </c>
      <c r="KI8">
        <v>12129192</v>
      </c>
      <c r="KJ8" t="s">
        <v>1842</v>
      </c>
      <c r="QI8" t="s">
        <v>1884</v>
      </c>
      <c r="QJ8" t="s">
        <v>1822</v>
      </c>
      <c r="QK8">
        <v>0.30367300000000003</v>
      </c>
      <c r="QL8">
        <v>0.37271100000000001</v>
      </c>
      <c r="QM8" t="s">
        <v>1810</v>
      </c>
      <c r="QN8">
        <v>2025</v>
      </c>
      <c r="QO8" t="s">
        <v>1885</v>
      </c>
      <c r="QP8" s="6">
        <v>45867</v>
      </c>
      <c r="QQ8">
        <v>5</v>
      </c>
      <c r="QR8">
        <v>23771522</v>
      </c>
      <c r="QS8">
        <v>117092</v>
      </c>
      <c r="QT8" t="s">
        <v>1886</v>
      </c>
      <c r="QW8" t="s">
        <v>1866</v>
      </c>
      <c r="QX8">
        <v>-2.4245362661989844E-14</v>
      </c>
      <c r="QZ8">
        <v>-2.4245362661989844E-14</v>
      </c>
      <c r="RA8" t="s">
        <v>1831</v>
      </c>
      <c r="RB8">
        <v>2025</v>
      </c>
      <c r="RC8" t="s">
        <v>1867</v>
      </c>
      <c r="RD8" s="6">
        <v>45975</v>
      </c>
      <c r="RE8">
        <v>5</v>
      </c>
      <c r="RF8">
        <v>-2.4245362661989844E-14</v>
      </c>
      <c r="RG8">
        <v>1459457</v>
      </c>
      <c r="RH8" t="s">
        <v>1868</v>
      </c>
      <c r="UY8" t="s">
        <v>2039</v>
      </c>
      <c r="VA8">
        <v>-2.4245362661989844E-14</v>
      </c>
      <c r="VB8">
        <v>-2.4245362661989844E-14</v>
      </c>
      <c r="VC8" t="s">
        <v>1814</v>
      </c>
      <c r="VD8">
        <v>2021</v>
      </c>
      <c r="VE8" t="s">
        <v>2040</v>
      </c>
      <c r="VF8" s="6">
        <v>44693</v>
      </c>
      <c r="VG8">
        <v>5</v>
      </c>
      <c r="VH8">
        <v>-2.4245362661989844E-14</v>
      </c>
      <c r="VI8">
        <v>313098</v>
      </c>
      <c r="VJ8" t="s">
        <v>2041</v>
      </c>
      <c r="VM8" t="s">
        <v>3928</v>
      </c>
      <c r="VN8">
        <v>-2.4245362661989844E-14</v>
      </c>
      <c r="VP8">
        <v>-2.4245362661989844E-14</v>
      </c>
      <c r="VQ8" t="s">
        <v>1814</v>
      </c>
      <c r="VR8">
        <v>2023</v>
      </c>
      <c r="VS8" t="s">
        <v>3929</v>
      </c>
      <c r="VT8" s="6">
        <v>45028</v>
      </c>
      <c r="VU8">
        <v>5</v>
      </c>
      <c r="VV8">
        <v>-2.4245362661989844E-14</v>
      </c>
      <c r="VW8">
        <v>21481240</v>
      </c>
      <c r="VX8" t="s">
        <v>3930</v>
      </c>
    </row>
    <row r="9" spans="1:600" x14ac:dyDescent="0.25">
      <c r="EU9" t="s">
        <v>3611</v>
      </c>
      <c r="EW9">
        <v>-2.4245362661989844E-14</v>
      </c>
      <c r="EX9">
        <v>-2.4245362661989844E-14</v>
      </c>
      <c r="EY9" t="s">
        <v>1814</v>
      </c>
      <c r="EZ9">
        <v>2025</v>
      </c>
      <c r="FA9" t="s">
        <v>3612</v>
      </c>
      <c r="FB9" s="6">
        <v>45947</v>
      </c>
      <c r="FC9">
        <v>5</v>
      </c>
      <c r="FD9">
        <v>-2.4245362661989844E-14</v>
      </c>
      <c r="FE9">
        <v>112457</v>
      </c>
      <c r="FF9" t="s">
        <v>3613</v>
      </c>
      <c r="FI9" t="s">
        <v>3564</v>
      </c>
      <c r="FJ9">
        <v>1.8738319999999999</v>
      </c>
      <c r="FK9" t="s">
        <v>1949</v>
      </c>
      <c r="FL9">
        <v>0.72140899999999997</v>
      </c>
      <c r="FM9" t="s">
        <v>1806</v>
      </c>
      <c r="FN9">
        <v>2026</v>
      </c>
      <c r="FO9" t="s">
        <v>1890</v>
      </c>
      <c r="FP9" s="6">
        <v>46051</v>
      </c>
      <c r="FQ9">
        <v>5</v>
      </c>
      <c r="FR9">
        <v>7207189</v>
      </c>
      <c r="FS9">
        <v>115505</v>
      </c>
      <c r="FT9" t="s">
        <v>3565</v>
      </c>
      <c r="JK9" t="s">
        <v>2385</v>
      </c>
      <c r="JM9">
        <v>-2.4245362661989844E-14</v>
      </c>
      <c r="JN9">
        <v>-2.4245362661989844E-14</v>
      </c>
      <c r="JO9" t="s">
        <v>1814</v>
      </c>
      <c r="JP9">
        <v>2024</v>
      </c>
      <c r="JQ9" t="s">
        <v>2386</v>
      </c>
      <c r="JR9" s="6">
        <v>45736</v>
      </c>
      <c r="JS9">
        <v>5</v>
      </c>
      <c r="JT9">
        <v>-2.4245362661989844E-14</v>
      </c>
      <c r="JU9">
        <v>125287</v>
      </c>
      <c r="JV9" t="s">
        <v>2387</v>
      </c>
      <c r="JY9" t="s">
        <v>2075</v>
      </c>
      <c r="JZ9">
        <v>-2.4245362661989844E-14</v>
      </c>
      <c r="KB9">
        <v>-2.4245362661989844E-14</v>
      </c>
      <c r="KC9" t="s">
        <v>1814</v>
      </c>
      <c r="KD9">
        <v>2023</v>
      </c>
      <c r="KE9" t="s">
        <v>2076</v>
      </c>
      <c r="KF9" s="6">
        <v>45329</v>
      </c>
      <c r="KG9">
        <v>5</v>
      </c>
      <c r="KH9">
        <v>-2.4245362661989844E-14</v>
      </c>
      <c r="KI9">
        <v>43152573</v>
      </c>
      <c r="KJ9" t="s">
        <v>2077</v>
      </c>
      <c r="QI9" t="s">
        <v>1916</v>
      </c>
      <c r="QJ9" t="s">
        <v>1822</v>
      </c>
      <c r="QK9">
        <v>8.0865999999999993E-2</v>
      </c>
      <c r="QL9">
        <v>0.27508500000000002</v>
      </c>
      <c r="QM9" t="s">
        <v>1806</v>
      </c>
      <c r="QN9">
        <v>2026</v>
      </c>
      <c r="QO9" t="s">
        <v>1917</v>
      </c>
      <c r="QP9" s="6">
        <v>45980</v>
      </c>
      <c r="QQ9">
        <v>5</v>
      </c>
      <c r="QR9">
        <v>17987832</v>
      </c>
      <c r="QS9">
        <v>100554</v>
      </c>
      <c r="QT9" t="s">
        <v>1918</v>
      </c>
      <c r="QW9" t="s">
        <v>1869</v>
      </c>
      <c r="QX9">
        <v>-2.4245362661989844E-14</v>
      </c>
      <c r="QZ9">
        <v>-2.4245362661989844E-14</v>
      </c>
      <c r="RA9" t="s">
        <v>1814</v>
      </c>
      <c r="RB9">
        <v>2024</v>
      </c>
      <c r="RC9" t="s">
        <v>1870</v>
      </c>
      <c r="RD9" s="6">
        <v>45774</v>
      </c>
      <c r="RE9">
        <v>5</v>
      </c>
      <c r="RF9">
        <v>-2.4245362661989844E-14</v>
      </c>
      <c r="RG9">
        <v>9020238</v>
      </c>
      <c r="RH9" t="s">
        <v>1871</v>
      </c>
      <c r="UY9" t="s">
        <v>2042</v>
      </c>
      <c r="VA9">
        <v>-2.4245362661989844E-14</v>
      </c>
      <c r="VB9">
        <v>-2.4245362661989844E-14</v>
      </c>
      <c r="VC9" t="s">
        <v>1814</v>
      </c>
      <c r="VD9">
        <v>2021</v>
      </c>
      <c r="VE9" t="s">
        <v>2043</v>
      </c>
      <c r="VF9" s="6">
        <v>44693</v>
      </c>
      <c r="VG9">
        <v>5</v>
      </c>
      <c r="VH9">
        <v>-2.4245362661989844E-14</v>
      </c>
      <c r="VI9">
        <v>100060</v>
      </c>
      <c r="VJ9" t="s">
        <v>2044</v>
      </c>
      <c r="VM9" t="s">
        <v>3931</v>
      </c>
      <c r="VN9">
        <v>-2.4245362661989844E-14</v>
      </c>
      <c r="VP9">
        <v>-2.4245362661989844E-14</v>
      </c>
      <c r="VQ9" t="s">
        <v>1814</v>
      </c>
      <c r="VR9">
        <v>2024</v>
      </c>
      <c r="VS9" t="s">
        <v>3932</v>
      </c>
      <c r="VT9" s="6">
        <v>45765</v>
      </c>
      <c r="VU9">
        <v>5</v>
      </c>
      <c r="VV9">
        <v>-2.4245362661989844E-14</v>
      </c>
      <c r="VW9">
        <v>65076051</v>
      </c>
      <c r="VX9" t="s">
        <v>3933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1542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1543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1544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1545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1546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1547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1548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1549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1550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1551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1552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1553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1554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1555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1556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1557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1558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1559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1560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1561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1562</v>
      </c>
      <c r="AE2" s="3" t="s">
        <v>1563</v>
      </c>
      <c r="BI2" s="3" t="s">
        <v>1564</v>
      </c>
      <c r="CM2" s="3" t="s">
        <v>1565</v>
      </c>
      <c r="DQ2" s="3" t="s">
        <v>1566</v>
      </c>
      <c r="EU2" s="3" t="s">
        <v>591</v>
      </c>
      <c r="FY2" s="3" t="s">
        <v>1294</v>
      </c>
      <c r="HC2" s="3" t="s">
        <v>666</v>
      </c>
      <c r="IG2" s="3" t="s">
        <v>1567</v>
      </c>
      <c r="JK2" s="3" t="s">
        <v>1568</v>
      </c>
      <c r="KO2" s="3" t="s">
        <v>83</v>
      </c>
      <c r="LS2" s="3" t="s">
        <v>1569</v>
      </c>
      <c r="MW2" s="3" t="s">
        <v>1570</v>
      </c>
      <c r="OA2" s="3" t="s">
        <v>1262</v>
      </c>
      <c r="PE2" s="3" t="s">
        <v>1571</v>
      </c>
      <c r="QI2" s="3" t="s">
        <v>1572</v>
      </c>
      <c r="RM2" s="3" t="s">
        <v>314</v>
      </c>
      <c r="SQ2" s="3" t="s">
        <v>1017</v>
      </c>
      <c r="TU2" s="3" t="s">
        <v>619</v>
      </c>
      <c r="UY2" s="3" t="s">
        <v>1296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_xll.BDS("FNBG US Equity","SUPPLY_CHAIN_SUPPLIERS_ALL_DATA")</f>
        <v>#N/A N/A</v>
      </c>
      <c r="O5" t="str">
        <f>_xll.BDS("FNBG US Equity","SUPPLY_CHAIN_CUSTOMERS_ALL_DATA")</f>
        <v>#N/A N/A</v>
      </c>
      <c r="AE5" t="str">
        <f>_xll.BDS("ACBA US Equity","SUPPLY_CHAIN_SUPPLIERS_ALL_DATA")</f>
        <v>#N/A N/A</v>
      </c>
      <c r="AS5" t="str">
        <f>_xll.BDS("ACBA US Equity","SUPPLY_CHAIN_CUSTOMERS_ALL_DATA")</f>
        <v>#N/A N/A</v>
      </c>
      <c r="BI5" t="str">
        <f>_xll.BDS("CBBI US Equity","SUPPLY_CHAIN_SUPPLIERS_ALL_DATA")</f>
        <v>#N/A N/A</v>
      </c>
      <c r="BW5" t="str">
        <f>_xll.BDS("CBBI US Equity","SUPPLY_CHAIN_CUSTOMERS_ALL_DATA")</f>
        <v>#N/A N/A</v>
      </c>
      <c r="CM5" t="str">
        <f>_xll.BDS("544763Q US Equity","SUPPLY_CHAIN_SUPPLIERS_ALL_DATA")</f>
        <v>#N/A N/A</v>
      </c>
      <c r="DA5" t="str">
        <f>_xll.BDS("544763Q US Equity","SUPPLY_CHAIN_CUSTOMERS_ALL_DATA")</f>
        <v>#N/A N/A</v>
      </c>
      <c r="DQ5" t="str">
        <f>_xll.BDS("GECC US Equity","SUPPLY_CHAIN_SUPPLIERS_ALL_DATA")</f>
        <v>#N/A N/A</v>
      </c>
      <c r="EE5" t="str">
        <f>_xll.BDS("GECC US Equity","SUPPLY_CHAIN_CUSTOMERS_ALL_DATA")</f>
        <v>#N/A N/A</v>
      </c>
      <c r="EU5" t="str">
        <f>_xll.BDS("IFCB US Equity","SUPPLY_CHAIN_SUPPLIERS_ALL_DATA")</f>
        <v>#N/A N/A</v>
      </c>
      <c r="FI5" t="str">
        <f>_xll.BDS("IFCB US Equity","SUPPLY_CHAIN_CUSTOMERS_ALL_DATA")</f>
        <v>#N/A N/A</v>
      </c>
      <c r="FY5" t="str">
        <f>_xll.BDS("NPBC US Equity","SUPPLY_CHAIN_SUPPLIERS_ALL_DATA")</f>
        <v>#N/A N/A</v>
      </c>
      <c r="GM5" t="str">
        <f>_xll.BDS("NPBC US Equity","SUPPLY_CHAIN_CUSTOMERS_ALL_DATA")</f>
        <v>#N/A N/A</v>
      </c>
      <c r="HC5" t="str">
        <f>_xll.BDS("GBTB US Equity","SUPPLY_CHAIN_SUPPLIERS_ALL_DATA")</f>
        <v>#N/A N/A</v>
      </c>
      <c r="HQ5" t="str">
        <f>_xll.BDS("GBTB US Equity","SUPPLY_CHAIN_CUSTOMERS_ALL_DATA")</f>
        <v>#N/A N/A</v>
      </c>
      <c r="IG5" t="str">
        <f>_xll.BDS("KBH US Equity","SUPPLY_CHAIN_SUPPLIERS_ALL_DATA","cols=12;rows=5")</f>
        <v>OC US Equity</v>
      </c>
      <c r="IH5" t="s">
        <v>1822</v>
      </c>
      <c r="II5">
        <v>1.446393</v>
      </c>
      <c r="IJ5">
        <v>3.0038260000000001</v>
      </c>
      <c r="IK5" t="s">
        <v>1823</v>
      </c>
      <c r="IL5">
        <v>2025</v>
      </c>
      <c r="IM5" t="s">
        <v>3874</v>
      </c>
      <c r="IN5" s="6">
        <v>45954</v>
      </c>
      <c r="IO5">
        <v>5</v>
      </c>
      <c r="IP5">
        <v>39732416</v>
      </c>
      <c r="IQ5">
        <v>11089797</v>
      </c>
      <c r="IR5" t="s">
        <v>3875</v>
      </c>
      <c r="IU5" t="str">
        <f>_xll.BDS("KBH US Equity","SUPPLY_CHAIN_CUSTOMERS_ALL_DATA")</f>
        <v>#N/A N/A</v>
      </c>
      <c r="JK5" t="str">
        <f>_xll.BDS("PARR US Equity","SUPPLY_CHAIN_SUPPLIERS_ALL_DATA","cols=12;rows=3")</f>
        <v>CNR CN Equity</v>
      </c>
      <c r="JL5" t="s">
        <v>1822</v>
      </c>
      <c r="JM5">
        <v>0.14164299999999999</v>
      </c>
      <c r="JN5">
        <v>0.27873500000000001</v>
      </c>
      <c r="JO5" t="s">
        <v>1806</v>
      </c>
      <c r="JP5">
        <v>2025</v>
      </c>
      <c r="JQ5" t="s">
        <v>2397</v>
      </c>
      <c r="JR5" s="6">
        <v>45849</v>
      </c>
      <c r="JS5">
        <v>3</v>
      </c>
      <c r="JT5">
        <v>4346444.67</v>
      </c>
      <c r="JU5">
        <v>179551</v>
      </c>
      <c r="JV5" t="s">
        <v>2398</v>
      </c>
      <c r="JY5" t="str">
        <f>_xll.BDS("PARR US Equity","SUPPLY_CHAIN_CUSTOMERS_ALL_DATA","cols=12;rows=1")</f>
        <v>HE US Equity</v>
      </c>
      <c r="JZ5">
        <v>-2.4245362661989844E-14</v>
      </c>
      <c r="KB5">
        <v>-2.4245362661989844E-14</v>
      </c>
      <c r="KC5" t="s">
        <v>1814</v>
      </c>
      <c r="KD5">
        <v>2024</v>
      </c>
      <c r="KE5" t="s">
        <v>2428</v>
      </c>
      <c r="KF5" s="6">
        <v>45712</v>
      </c>
      <c r="KG5">
        <v>1</v>
      </c>
      <c r="KH5">
        <v>-2.4245362661989844E-14</v>
      </c>
      <c r="KI5">
        <v>100715</v>
      </c>
      <c r="KJ5" t="s">
        <v>2429</v>
      </c>
      <c r="KO5" t="str">
        <f>_xll.BDS("GABC US Equity","SUPPLY_CHAIN_SUPPLIERS_ALL_DATA")</f>
        <v>#N/A N/A</v>
      </c>
      <c r="LC5" t="str">
        <f>_xll.BDS("GABC US Equity","SUPPLY_CHAIN_CUSTOMERS_ALL_DATA")</f>
        <v>#N/A N/A</v>
      </c>
      <c r="LS5" t="str">
        <f>_xll.BDS("GRKA US Equity","SUPPLY_CHAIN_SUPPLIERS_ALL_DATA")</f>
        <v>#N/A N/A</v>
      </c>
      <c r="MG5" t="str">
        <f>_xll.BDS("GRKA US Equity","SUPPLY_CHAIN_CUSTOMERS_ALL_DATA")</f>
        <v>#N/A N/A</v>
      </c>
      <c r="MW5" t="str">
        <f>_xll.BDS("CVLY US Equity","SUPPLY_CHAIN_SUPPLIERS_ALL_DATA")</f>
        <v>#N/A N/A</v>
      </c>
      <c r="NK5" t="str">
        <f>_xll.BDS("CVLY US Equity","SUPPLY_CHAIN_CUSTOMERS_ALL_DATA")</f>
        <v>#N/A N/A</v>
      </c>
      <c r="OA5" t="str">
        <f>_xll.BDS("BCML US Equity","SUPPLY_CHAIN_SUPPLIERS_ALL_DATA")</f>
        <v>#N/A N/A</v>
      </c>
      <c r="OO5" t="str">
        <f>_xll.BDS("BCML US Equity","SUPPLY_CHAIN_CUSTOMERS_ALL_DATA")</f>
        <v>#N/A N/A</v>
      </c>
      <c r="PE5" t="str">
        <f>_xll.BDS("PBCA US Equity","SUPPLY_CHAIN_SUPPLIERS_ALL_DATA")</f>
        <v>#N/A N/A</v>
      </c>
      <c r="PS5" t="str">
        <f>_xll.BDS("PBCA US Equity","SUPPLY_CHAIN_CUSTOMERS_ALL_DATA")</f>
        <v>#N/A N/A</v>
      </c>
      <c r="QI5" t="str">
        <f>_xll.BDS("FELE US Equity","SUPPLY_CHAIN_SUPPLIERS_ALL_DATA","cols=12;rows=5")</f>
        <v>EGLA IM Equity</v>
      </c>
      <c r="QJ5" t="s">
        <v>1822</v>
      </c>
      <c r="QK5">
        <v>0.25544800000000001</v>
      </c>
      <c r="QL5">
        <v>0.16545799999999999</v>
      </c>
      <c r="QM5" t="s">
        <v>1823</v>
      </c>
      <c r="QN5">
        <v>2025</v>
      </c>
      <c r="QO5" t="s">
        <v>4016</v>
      </c>
      <c r="QP5" s="6">
        <v>45894</v>
      </c>
      <c r="QQ5">
        <v>5</v>
      </c>
      <c r="QR5">
        <v>621225.18999999994</v>
      </c>
      <c r="QS5">
        <v>39388651</v>
      </c>
      <c r="QT5" t="s">
        <v>4017</v>
      </c>
      <c r="QW5" t="str">
        <f>_xll.BDS("FELE US Equity","SUPPLY_CHAIN_CUSTOMERS_ALL_DATA","cols=12;rows=1")</f>
        <v>MSM US Equity</v>
      </c>
      <c r="QX5">
        <v>-2.4245362661989844E-14</v>
      </c>
      <c r="QZ5">
        <v>-2.4245362661989844E-14</v>
      </c>
      <c r="RA5" t="s">
        <v>1823</v>
      </c>
      <c r="RB5">
        <v>2025</v>
      </c>
      <c r="RC5" t="s">
        <v>3441</v>
      </c>
      <c r="RD5" s="6">
        <v>45802</v>
      </c>
      <c r="RE5">
        <v>1</v>
      </c>
      <c r="RF5">
        <v>-2.4245362661989844E-14</v>
      </c>
      <c r="RG5">
        <v>171397</v>
      </c>
      <c r="RH5" t="s">
        <v>3442</v>
      </c>
      <c r="RM5" t="str">
        <f>_xll.BDS("CFNL US Equity","SUPPLY_CHAIN_SUPPLIERS_ALL_DATA")</f>
        <v>#N/A N/A</v>
      </c>
      <c r="SA5" t="str">
        <f>_xll.BDS("CFNL US Equity","SUPPLY_CHAIN_CUSTOMERS_ALL_DATA")</f>
        <v>#N/A N/A</v>
      </c>
      <c r="SQ5" t="str">
        <f>_xll.BDS("nan Equity","SUPPLY_CHAIN_SUPPLIERS_ALL_DATA")</f>
        <v>#N/A N/A</v>
      </c>
      <c r="TE5" t="str">
        <f>_xll.BDS("nan Equity","SUPPLY_CHAIN_CUSTOMERS_ALL_DATA")</f>
        <v>#N/A N/A</v>
      </c>
      <c r="TU5" t="str">
        <f>_xll.BDS("HBNC US Equity","SUPPLY_CHAIN_SUPPLIERS_ALL_DATA")</f>
        <v>#N/A N/A</v>
      </c>
      <c r="UI5" t="str">
        <f>_xll.BDS("HBNC US Equity","SUPPLY_CHAIN_CUSTOMERS_ALL_DATA")</f>
        <v>#N/A N/A</v>
      </c>
      <c r="UY5" t="str">
        <f>_xll.BDS("KTO US Equity","SUPPLY_CHAIN_SUPPLIERS_ALL_DATA")</f>
        <v>#N/A N/A</v>
      </c>
      <c r="VM5" t="str">
        <f>_xll.BDS("KTO US Equity","SUPPLY_CHAIN_CUSTOMERS_ALL_DATA")</f>
        <v>#N/A N/A</v>
      </c>
    </row>
    <row r="6" spans="1:600" x14ac:dyDescent="0.25">
      <c r="IG6" t="s">
        <v>3876</v>
      </c>
      <c r="IH6" t="s">
        <v>1822</v>
      </c>
      <c r="II6">
        <v>1.065442</v>
      </c>
      <c r="IJ6">
        <v>2.5545520000000002</v>
      </c>
      <c r="IK6" t="s">
        <v>1823</v>
      </c>
      <c r="IL6">
        <v>2025</v>
      </c>
      <c r="IM6" t="s">
        <v>3877</v>
      </c>
      <c r="IN6" s="6">
        <v>45922</v>
      </c>
      <c r="IO6">
        <v>5</v>
      </c>
      <c r="IP6">
        <v>31462502</v>
      </c>
      <c r="IQ6">
        <v>7785692</v>
      </c>
      <c r="IR6" t="s">
        <v>3878</v>
      </c>
      <c r="JK6" t="s">
        <v>2399</v>
      </c>
      <c r="JM6">
        <v>-2.4245362661989844E-14</v>
      </c>
      <c r="JN6">
        <v>-2.4245362661989844E-14</v>
      </c>
      <c r="JO6" t="s">
        <v>1814</v>
      </c>
      <c r="JP6">
        <v>2023</v>
      </c>
      <c r="JQ6" t="s">
        <v>2400</v>
      </c>
      <c r="JR6" s="6">
        <v>45343</v>
      </c>
      <c r="JS6">
        <v>3</v>
      </c>
      <c r="JT6">
        <v>-2.4245362661989844E-14</v>
      </c>
      <c r="JU6">
        <v>56648823</v>
      </c>
      <c r="JV6" t="s">
        <v>2401</v>
      </c>
      <c r="QI6" t="s">
        <v>4018</v>
      </c>
      <c r="QK6">
        <v>-2.4245362661989844E-14</v>
      </c>
      <c r="QL6">
        <v>-2.4245362661989844E-14</v>
      </c>
      <c r="QM6" t="s">
        <v>1971</v>
      </c>
      <c r="QN6">
        <v>2025</v>
      </c>
      <c r="QO6" t="s">
        <v>4019</v>
      </c>
      <c r="QP6" s="6">
        <v>45889</v>
      </c>
      <c r="QQ6">
        <v>5</v>
      </c>
      <c r="QR6">
        <v>-2.4245362661989844E-14</v>
      </c>
      <c r="QS6">
        <v>21807325</v>
      </c>
      <c r="QT6" t="s">
        <v>4020</v>
      </c>
    </row>
    <row r="7" spans="1:600" x14ac:dyDescent="0.25">
      <c r="IG7" t="s">
        <v>3879</v>
      </c>
      <c r="IH7" t="s">
        <v>1822</v>
      </c>
      <c r="II7">
        <v>0.42077700000000001</v>
      </c>
      <c r="IJ7">
        <v>0.95731999999999995</v>
      </c>
      <c r="IK7" t="s">
        <v>1823</v>
      </c>
      <c r="IL7">
        <v>2025</v>
      </c>
      <c r="IM7" t="s">
        <v>3880</v>
      </c>
      <c r="IN7" s="6">
        <v>45890</v>
      </c>
      <c r="IO7">
        <v>5</v>
      </c>
      <c r="IP7">
        <v>11790592</v>
      </c>
      <c r="IQ7">
        <v>105429</v>
      </c>
      <c r="IR7" t="s">
        <v>3881</v>
      </c>
      <c r="JK7" t="s">
        <v>2402</v>
      </c>
      <c r="JM7">
        <v>-2.4245362661989844E-14</v>
      </c>
      <c r="JN7">
        <v>-2.4245362661989844E-14</v>
      </c>
      <c r="JO7" t="s">
        <v>1814</v>
      </c>
      <c r="JP7">
        <v>2023</v>
      </c>
      <c r="JQ7" t="s">
        <v>2403</v>
      </c>
      <c r="JR7" s="6">
        <v>45302</v>
      </c>
      <c r="JS7">
        <v>3</v>
      </c>
      <c r="JT7">
        <v>-2.4245362661989844E-14</v>
      </c>
      <c r="JU7">
        <v>100546</v>
      </c>
      <c r="JV7" t="s">
        <v>2404</v>
      </c>
      <c r="QI7" t="s">
        <v>2269</v>
      </c>
      <c r="QK7">
        <v>-2.4245362661989844E-14</v>
      </c>
      <c r="QL7">
        <v>-2.4245362661989844E-14</v>
      </c>
      <c r="QM7" t="s">
        <v>1814</v>
      </c>
      <c r="QN7">
        <v>2022</v>
      </c>
      <c r="QO7" t="s">
        <v>2270</v>
      </c>
      <c r="QP7" s="6">
        <v>44693</v>
      </c>
      <c r="QQ7">
        <v>5</v>
      </c>
      <c r="QR7">
        <v>-2.4245362661989844E-14</v>
      </c>
      <c r="QS7">
        <v>114991</v>
      </c>
      <c r="QT7" t="s">
        <v>2271</v>
      </c>
    </row>
    <row r="8" spans="1:600" x14ac:dyDescent="0.25">
      <c r="IG8" t="s">
        <v>3882</v>
      </c>
      <c r="IH8" t="s">
        <v>1822</v>
      </c>
      <c r="II8">
        <v>0.28014800000000001</v>
      </c>
      <c r="IJ8">
        <v>0.82364000000000004</v>
      </c>
      <c r="IK8" t="s">
        <v>1806</v>
      </c>
      <c r="IL8">
        <v>2025</v>
      </c>
      <c r="IM8" t="s">
        <v>3883</v>
      </c>
      <c r="IN8" s="6">
        <v>45849</v>
      </c>
      <c r="IO8">
        <v>5</v>
      </c>
      <c r="IP8">
        <v>10144159</v>
      </c>
      <c r="IQ8">
        <v>101655</v>
      </c>
      <c r="IR8" t="s">
        <v>3884</v>
      </c>
      <c r="QI8" t="s">
        <v>2039</v>
      </c>
      <c r="QK8">
        <v>-2.4245362661989844E-14</v>
      </c>
      <c r="QL8">
        <v>-2.4245362661989844E-14</v>
      </c>
      <c r="QM8" t="s">
        <v>1814</v>
      </c>
      <c r="QN8">
        <v>2021</v>
      </c>
      <c r="QO8" t="s">
        <v>2040</v>
      </c>
      <c r="QP8" s="6">
        <v>44693</v>
      </c>
      <c r="QQ8">
        <v>5</v>
      </c>
      <c r="QR8">
        <v>-2.4245362661989844E-14</v>
      </c>
      <c r="QS8">
        <v>313098</v>
      </c>
      <c r="QT8" t="s">
        <v>2041</v>
      </c>
    </row>
    <row r="9" spans="1:600" x14ac:dyDescent="0.25">
      <c r="IG9" t="s">
        <v>3885</v>
      </c>
      <c r="IH9" t="s">
        <v>1822</v>
      </c>
      <c r="II9">
        <v>7.6841999999999994E-2</v>
      </c>
      <c r="IJ9">
        <v>0.39396599999999998</v>
      </c>
      <c r="IK9" t="s">
        <v>1823</v>
      </c>
      <c r="IL9">
        <v>2025</v>
      </c>
      <c r="IM9" t="s">
        <v>3886</v>
      </c>
      <c r="IN9" s="6">
        <v>45869</v>
      </c>
      <c r="IO9">
        <v>5</v>
      </c>
      <c r="IP9">
        <v>4852188</v>
      </c>
      <c r="IQ9">
        <v>101341</v>
      </c>
      <c r="IR9" t="s">
        <v>3887</v>
      </c>
      <c r="QI9" t="s">
        <v>2042</v>
      </c>
      <c r="QK9">
        <v>-2.4245362661989844E-14</v>
      </c>
      <c r="QL9">
        <v>-2.4245362661989844E-14</v>
      </c>
      <c r="QM9" t="s">
        <v>1814</v>
      </c>
      <c r="QN9">
        <v>2021</v>
      </c>
      <c r="QO9" t="s">
        <v>2043</v>
      </c>
      <c r="QP9" s="6">
        <v>44693</v>
      </c>
      <c r="QQ9">
        <v>5</v>
      </c>
      <c r="QR9">
        <v>-2.4245362661989844E-14</v>
      </c>
      <c r="QS9">
        <v>100060</v>
      </c>
      <c r="QT9" t="s">
        <v>2044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WB6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1573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1574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1575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1576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1577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1578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1579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1580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1581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1582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1583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1584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1585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1586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1587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1588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1589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1590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1591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1592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1593</v>
      </c>
      <c r="AE2" s="3" t="s">
        <v>737</v>
      </c>
      <c r="BI2" s="3" t="s">
        <v>1594</v>
      </c>
      <c r="CM2" s="3" t="s">
        <v>1595</v>
      </c>
      <c r="DQ2" s="3" t="s">
        <v>1012</v>
      </c>
      <c r="EU2" s="3" t="s">
        <v>1596</v>
      </c>
      <c r="FY2" s="3" t="s">
        <v>798</v>
      </c>
      <c r="HC2" s="3" t="s">
        <v>1597</v>
      </c>
      <c r="IG2" s="3" t="s">
        <v>1598</v>
      </c>
      <c r="JK2" s="3" t="s">
        <v>592</v>
      </c>
      <c r="KO2" s="3" t="s">
        <v>160</v>
      </c>
      <c r="LS2" s="3" t="s">
        <v>1599</v>
      </c>
      <c r="MW2" s="3" t="s">
        <v>1188</v>
      </c>
      <c r="OA2" s="3" t="s">
        <v>170</v>
      </c>
      <c r="PE2" s="3" t="s">
        <v>1600</v>
      </c>
      <c r="QI2" s="3" t="s">
        <v>1601</v>
      </c>
      <c r="RM2" s="3" t="s">
        <v>467</v>
      </c>
      <c r="SQ2" s="3" t="s">
        <v>1602</v>
      </c>
      <c r="TU2" s="3" t="s">
        <v>1603</v>
      </c>
      <c r="UY2" s="3" t="s">
        <v>1604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_xll.BDS("USBU US Equity","SUPPLY_CHAIN_SUPPLIERS_ALL_DATA")</f>
        <v>#N/A N/A</v>
      </c>
      <c r="O5" t="str">
        <f>_xll.BDS("USBU US Equity","SUPPLY_CHAIN_CUSTOMERS_ALL_DATA")</f>
        <v>#N/A N/A</v>
      </c>
      <c r="AE5" t="str">
        <f>_xll.BDS("BSRR US Equity","SUPPLY_CHAIN_SUPPLIERS_ALL_DATA")</f>
        <v>#N/A N/A</v>
      </c>
      <c r="AS5" t="str">
        <f>_xll.BDS("BSRR US Equity","SUPPLY_CHAIN_CUSTOMERS_ALL_DATA")</f>
        <v>#N/A N/A</v>
      </c>
      <c r="BI5" t="str">
        <f>_xll.BDS("CKFB US Equity","SUPPLY_CHAIN_SUPPLIERS_ALL_DATA")</f>
        <v>#N/A N/A</v>
      </c>
      <c r="BW5" t="str">
        <f>_xll.BDS("CKFB US Equity","SUPPLY_CHAIN_CUSTOMERS_ALL_DATA")</f>
        <v>#N/A N/A</v>
      </c>
      <c r="CM5" t="str">
        <f>_xll.BDS("NRIM US Equity","SUPPLY_CHAIN_SUPPLIERS_ALL_DATA")</f>
        <v>#N/A N/A</v>
      </c>
      <c r="DA5" t="str">
        <f>_xll.BDS("NRIM US Equity","SUPPLY_CHAIN_CUSTOMERS_ALL_DATA")</f>
        <v>#N/A N/A</v>
      </c>
      <c r="DQ5" t="str">
        <f>_xll.BDS("PRWT US Equity","SUPPLY_CHAIN_SUPPLIERS_ALL_DATA")</f>
        <v>#N/A N/A</v>
      </c>
      <c r="EE5" t="str">
        <f>_xll.BDS("PRWT US Equity","SUPPLY_CHAIN_CUSTOMERS_ALL_DATA")</f>
        <v>#N/A N/A</v>
      </c>
      <c r="EU5" t="str">
        <f>_xll.BDS("PBNI US Equity","SUPPLY_CHAIN_SUPPLIERS_ALL_DATA")</f>
        <v>#N/A N/A</v>
      </c>
      <c r="FI5" t="str">
        <f>_xll.BDS("PBNI US Equity","SUPPLY_CHAIN_CUSTOMERS_ALL_DATA")</f>
        <v>#N/A N/A</v>
      </c>
      <c r="FY5" t="str">
        <f>_xll.BDS("FRBA US Equity","SUPPLY_CHAIN_SUPPLIERS_ALL_DATA")</f>
        <v>#N/A N/A</v>
      </c>
      <c r="GM5" t="str">
        <f>_xll.BDS("FRBA US Equity","SUPPLY_CHAIN_CUSTOMERS_ALL_DATA")</f>
        <v>#N/A N/A</v>
      </c>
      <c r="HC5" t="str">
        <f>_xll.BDS("8374857Q US Equity","SUPPLY_CHAIN_SUPPLIERS_ALL_DATA")</f>
        <v>#N/A N/A</v>
      </c>
      <c r="HQ5" t="str">
        <f>_xll.BDS("8374857Q US Equity","SUPPLY_CHAIN_CUSTOMERS_ALL_DATA")</f>
        <v>#N/A N/A</v>
      </c>
      <c r="IG5" t="str">
        <f>_xll.BDS("USEG US Equity","SUPPLY_CHAIN_SUPPLIERS_ALL_DATA")</f>
        <v>#N/A N/A</v>
      </c>
      <c r="IU5" t="str">
        <f>_xll.BDS("USEG US Equity","SUPPLY_CHAIN_CUSTOMERS_ALL_DATA","cols=12;rows=2")</f>
        <v>0406568D US Equity</v>
      </c>
      <c r="IV5">
        <v>-2.4245362661989844E-14</v>
      </c>
      <c r="IX5">
        <v>-2.4245362661989844E-14</v>
      </c>
      <c r="IY5" t="s">
        <v>1814</v>
      </c>
      <c r="IZ5">
        <v>2021</v>
      </c>
      <c r="JA5" t="s">
        <v>2986</v>
      </c>
      <c r="JB5" s="6">
        <v>44649</v>
      </c>
      <c r="JC5">
        <v>2</v>
      </c>
      <c r="JD5">
        <v>-2.4245362661989844E-14</v>
      </c>
      <c r="JE5">
        <v>21487504</v>
      </c>
      <c r="JF5" t="s">
        <v>2987</v>
      </c>
      <c r="JK5" t="str">
        <f>_xll.BDS("EWBC US Equity","SUPPLY_CHAIN_SUPPLIERS_ALL_DATA","cols=12;rows=1")</f>
        <v>BRX US Equity</v>
      </c>
      <c r="JM5">
        <v>-2.4245362661989844E-14</v>
      </c>
      <c r="JN5">
        <v>-2.4245362661989844E-14</v>
      </c>
      <c r="JO5" t="s">
        <v>1814</v>
      </c>
      <c r="JP5">
        <v>2024</v>
      </c>
      <c r="JQ5" t="s">
        <v>2188</v>
      </c>
      <c r="JR5" s="6">
        <v>45698</v>
      </c>
      <c r="JS5">
        <v>1</v>
      </c>
      <c r="JT5">
        <v>-2.4245362661989844E-14</v>
      </c>
      <c r="JU5">
        <v>24112045</v>
      </c>
      <c r="JV5" t="s">
        <v>2189</v>
      </c>
      <c r="JY5" t="str">
        <f>_xll.BDS("EWBC US Equity","SUPPLY_CHAIN_CUSTOMERS_ALL_DATA")</f>
        <v>#N/A N/A</v>
      </c>
      <c r="KO5" t="str">
        <f>_xll.BDS("PWOD US Equity","SUPPLY_CHAIN_SUPPLIERS_ALL_DATA")</f>
        <v>#N/A N/A</v>
      </c>
      <c r="LC5" t="str">
        <f>_xll.BDS("PWOD US Equity","SUPPLY_CHAIN_CUSTOMERS_ALL_DATA")</f>
        <v>#N/A N/A</v>
      </c>
      <c r="LS5" t="str">
        <f>_xll.BDS("BWFG US Equity","SUPPLY_CHAIN_SUPPLIERS_ALL_DATA")</f>
        <v>#N/A N/A</v>
      </c>
      <c r="MG5" t="str">
        <f>_xll.BDS("BWFG US Equity","SUPPLY_CHAIN_CUSTOMERS_ALL_DATA")</f>
        <v>#N/A N/A</v>
      </c>
      <c r="MW5" t="str">
        <f>_xll.BDS("CMTY US Equity","SUPPLY_CHAIN_SUPPLIERS_ALL_DATA")</f>
        <v>#N/A N/A</v>
      </c>
      <c r="NK5" t="str">
        <f>_xll.BDS("CMTY US Equity","SUPPLY_CHAIN_CUSTOMERS_ALL_DATA")</f>
        <v>#N/A N/A</v>
      </c>
      <c r="OA5" t="str">
        <f>_xll.BDS("PCBK US Equity","SUPPLY_CHAIN_SUPPLIERS_ALL_DATA")</f>
        <v>#N/A N/A</v>
      </c>
      <c r="OO5" t="str">
        <f>_xll.BDS("PCBK US Equity","SUPPLY_CHAIN_CUSTOMERS_ALL_DATA")</f>
        <v>#N/A N/A</v>
      </c>
      <c r="PE5" t="str">
        <f>_xll.BDS("2412675D US Equity","SUPPLY_CHAIN_SUPPLIERS_ALL_DATA")</f>
        <v>#N/A N/A</v>
      </c>
      <c r="PS5" t="str">
        <f>_xll.BDS("2412675D US Equity","SUPPLY_CHAIN_CUSTOMERS_ALL_DATA")</f>
        <v>#N/A N/A</v>
      </c>
      <c r="QI5" t="str">
        <f>_xll.BDS("RDMPQ US Equity","SUPPLY_CHAIN_SUPPLIERS_ALL_DATA")</f>
        <v>#N/A N/A</v>
      </c>
      <c r="QW5" t="str">
        <f>_xll.BDS("RDMPQ US Equity","SUPPLY_CHAIN_CUSTOMERS_ALL_DATA")</f>
        <v>#N/A N/A</v>
      </c>
      <c r="RM5" t="str">
        <f>_xll.BDS("PACW US Equity","SUPPLY_CHAIN_SUPPLIERS_ALL_DATA")</f>
        <v>#N/A N/A</v>
      </c>
      <c r="SA5" t="str">
        <f>_xll.BDS("PACW US Equity","SUPPLY_CHAIN_CUSTOMERS_ALL_DATA")</f>
        <v>SNX US Equity</v>
      </c>
      <c r="SQ5" t="str">
        <f>_xll.BDS("JUVF US Equity","SUPPLY_CHAIN_SUPPLIERS_ALL_DATA")</f>
        <v>#N/A N/A</v>
      </c>
      <c r="TE5" t="str">
        <f>_xll.BDS("JUVF US Equity","SUPPLY_CHAIN_CUSTOMERS_ALL_DATA")</f>
        <v>#N/A N/A</v>
      </c>
      <c r="TU5" t="str">
        <f>_xll.BDS("CNQR US Equity","SUPPLY_CHAIN_SUPPLIERS_ALL_DATA")</f>
        <v>#N/A N/A</v>
      </c>
      <c r="UI5" t="str">
        <f>_xll.BDS("CNQR US Equity","SUPPLY_CHAIN_CUSTOMERS_ALL_DATA")</f>
        <v>#N/A N/A</v>
      </c>
      <c r="UY5" t="str">
        <f>_xll.BDS("ELA US Equity","SUPPLY_CHAIN_SUPPLIERS_ALL_DATA")</f>
        <v>#N/A N/A</v>
      </c>
      <c r="VM5" t="str">
        <f>_xll.BDS("ELA US Equity","SUPPLY_CHAIN_CUSTOMERS_ALL_DATA")</f>
        <v>#N/A N/A</v>
      </c>
    </row>
    <row r="6" spans="1:600" x14ac:dyDescent="0.25">
      <c r="IU6" t="s">
        <v>2988</v>
      </c>
      <c r="IV6">
        <v>-2.4245362661989844E-14</v>
      </c>
      <c r="IX6">
        <v>-2.4245362661989844E-14</v>
      </c>
      <c r="IY6" t="s">
        <v>1814</v>
      </c>
      <c r="IZ6">
        <v>2021</v>
      </c>
      <c r="JA6" t="s">
        <v>2986</v>
      </c>
      <c r="JB6" s="6">
        <v>44649</v>
      </c>
      <c r="JC6">
        <v>2</v>
      </c>
      <c r="JD6">
        <v>-2.4245362661989844E-14</v>
      </c>
      <c r="JE6">
        <v>20956348</v>
      </c>
      <c r="JF6" t="s">
        <v>2989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1605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1606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1607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1608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1609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1610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1611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1612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1613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1614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1615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1616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1617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1618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1619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1620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1621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1622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1623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1624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1625</v>
      </c>
      <c r="AE2" s="3" t="s">
        <v>1626</v>
      </c>
      <c r="BI2" s="3" t="s">
        <v>1627</v>
      </c>
      <c r="CM2" s="3" t="s">
        <v>1628</v>
      </c>
      <c r="DQ2" s="3" t="s">
        <v>1629</v>
      </c>
      <c r="EU2" s="3" t="s">
        <v>1630</v>
      </c>
      <c r="FY2" s="3" t="s">
        <v>1631</v>
      </c>
      <c r="HC2" s="3" t="s">
        <v>1632</v>
      </c>
      <c r="IG2" s="3" t="s">
        <v>396</v>
      </c>
      <c r="JK2" s="3" t="s">
        <v>1633</v>
      </c>
      <c r="KO2" s="3" t="s">
        <v>1634</v>
      </c>
      <c r="LS2" s="3" t="s">
        <v>1635</v>
      </c>
      <c r="MW2" s="3" t="s">
        <v>1636</v>
      </c>
      <c r="OA2" s="3" t="s">
        <v>771</v>
      </c>
      <c r="PE2" s="3" t="s">
        <v>1637</v>
      </c>
      <c r="QI2" s="3" t="s">
        <v>1638</v>
      </c>
      <c r="RM2" s="3" t="s">
        <v>431</v>
      </c>
      <c r="SQ2" s="3" t="s">
        <v>1639</v>
      </c>
      <c r="TU2" s="3" t="s">
        <v>1640</v>
      </c>
      <c r="UY2" s="3" t="s">
        <v>1641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_xll.BDS("SHPI US Equity","SUPPLY_CHAIN_SUPPLIERS_ALL_DATA")</f>
        <v>#N/A N/A</v>
      </c>
      <c r="O5" t="str">
        <f>_xll.BDS("SHPI US Equity","SUPPLY_CHAIN_CUSTOMERS_ALL_DATA")</f>
        <v>#N/A N/A</v>
      </c>
      <c r="AE5" t="str">
        <f>_xll.BDS("ASFN US Equity","SUPPLY_CHAIN_SUPPLIERS_ALL_DATA")</f>
        <v>#N/A N/A</v>
      </c>
      <c r="AS5" t="str">
        <f>_xll.BDS("ASFN US Equity","SUPPLY_CHAIN_CUSTOMERS_ALL_DATA")</f>
        <v>#N/A N/A</v>
      </c>
      <c r="BI5" t="str">
        <f>_xll.BDS("FNFG US Equity","SUPPLY_CHAIN_SUPPLIERS_ALL_DATA")</f>
        <v>#N/A N/A</v>
      </c>
      <c r="BW5" t="str">
        <f>_xll.BDS("FNFG US Equity","SUPPLY_CHAIN_CUSTOMERS_ALL_DATA")</f>
        <v>#N/A N/A</v>
      </c>
      <c r="CM5" t="str">
        <f>_xll.BDS("DGX US Equity","SUPPLY_CHAIN_SUPPLIERS_ALL_DATA","cols=12;rows=5")</f>
        <v>PLUS US Equity</v>
      </c>
      <c r="CN5" t="s">
        <v>1822</v>
      </c>
      <c r="CO5">
        <v>0.65</v>
      </c>
      <c r="CP5">
        <v>0.21196400000000001</v>
      </c>
      <c r="CQ5" t="s">
        <v>1823</v>
      </c>
      <c r="CR5">
        <v>2026</v>
      </c>
      <c r="CS5" t="s">
        <v>2614</v>
      </c>
      <c r="CT5" s="6">
        <v>46036</v>
      </c>
      <c r="CU5">
        <v>5</v>
      </c>
      <c r="CV5">
        <v>3957369</v>
      </c>
      <c r="CW5">
        <v>194585</v>
      </c>
      <c r="CX5" t="s">
        <v>2615</v>
      </c>
      <c r="DA5" t="str">
        <f>_xll.BDS("DGX US Equity","SUPPLY_CHAIN_CUSTOMERS_ALL_DATA","cols=12;rows=5")</f>
        <v>950220 KS Equity</v>
      </c>
      <c r="DB5">
        <v>1.7000000000000001E-4</v>
      </c>
      <c r="DC5" t="s">
        <v>1822</v>
      </c>
      <c r="DD5">
        <v>0.102143</v>
      </c>
      <c r="DE5" t="s">
        <v>1831</v>
      </c>
      <c r="DF5">
        <v>2025</v>
      </c>
      <c r="DG5" t="s">
        <v>3223</v>
      </c>
      <c r="DH5" s="6">
        <v>45968</v>
      </c>
      <c r="DI5">
        <v>5</v>
      </c>
      <c r="DJ5">
        <v>4616.33</v>
      </c>
      <c r="DK5">
        <v>46755389</v>
      </c>
      <c r="DL5" t="s">
        <v>3224</v>
      </c>
      <c r="DQ5" t="str">
        <f>_xll.BDS("ENHT US Equity","SUPPLY_CHAIN_SUPPLIERS_ALL_DATA")</f>
        <v>#N/A N/A</v>
      </c>
      <c r="EE5" t="str">
        <f>_xll.BDS("ENHT US Equity","SUPPLY_CHAIN_CUSTOMERS_ALL_DATA")</f>
        <v>#N/A N/A</v>
      </c>
      <c r="EU5" t="str">
        <f>_xll.BDS("CNSL US Equity","SUPPLY_CHAIN_SUPPLIERS_ALL_DATA","cols=12;rows=5")</f>
        <v>DY US Equity</v>
      </c>
      <c r="EV5" t="s">
        <v>1949</v>
      </c>
      <c r="EW5">
        <v>0.457036</v>
      </c>
      <c r="EX5">
        <v>4.6460840000000001</v>
      </c>
      <c r="EY5" t="s">
        <v>1827</v>
      </c>
      <c r="EZ5">
        <v>2025</v>
      </c>
      <c r="FA5" t="s">
        <v>2845</v>
      </c>
      <c r="FB5" s="6">
        <v>45756</v>
      </c>
      <c r="FC5">
        <v>5</v>
      </c>
      <c r="FD5">
        <v>4956674</v>
      </c>
      <c r="FE5">
        <v>100487</v>
      </c>
      <c r="FF5" t="s">
        <v>2846</v>
      </c>
      <c r="FI5" t="str">
        <f>_xll.BDS("CNSL US Equity","SUPPLY_CHAIN_CUSTOMERS_ALL_DATA","cols=12;rows=2")</f>
        <v>SCSC US Equity</v>
      </c>
      <c r="FJ5">
        <v>-2.4245362661989844E-14</v>
      </c>
      <c r="FL5">
        <v>-2.4245362661989844E-14</v>
      </c>
      <c r="FM5" t="s">
        <v>1806</v>
      </c>
      <c r="FN5">
        <v>2024</v>
      </c>
      <c r="FO5" t="s">
        <v>2792</v>
      </c>
      <c r="FP5" s="6">
        <v>45265</v>
      </c>
      <c r="FQ5">
        <v>2</v>
      </c>
      <c r="FR5">
        <v>-2.4245362661989844E-14</v>
      </c>
      <c r="FS5">
        <v>136424</v>
      </c>
      <c r="FT5" t="s">
        <v>2577</v>
      </c>
      <c r="FY5" t="str">
        <f>_xll.BDS("1878409D US Equity","SUPPLY_CHAIN_SUPPLIERS_ALL_DATA")</f>
        <v>#N/A N/A</v>
      </c>
      <c r="GM5" t="str">
        <f>_xll.BDS("1878409D US Equity","SUPPLY_CHAIN_CUSTOMERS_ALL_DATA")</f>
        <v>#N/A N/A</v>
      </c>
      <c r="HC5" t="str">
        <f>_xll.BDS("FOFN US Equity","SUPPLY_CHAIN_SUPPLIERS_ALL_DATA")</f>
        <v>#N/A N/A</v>
      </c>
      <c r="HQ5" t="str">
        <f>_xll.BDS("FOFN US Equity","SUPPLY_CHAIN_CUSTOMERS_ALL_DATA")</f>
        <v>#N/A N/A</v>
      </c>
      <c r="IG5" t="str">
        <f>_xll.BDS("JNJ US Equity","SUPPLY_CHAIN_SUPPLIERS_ALL_DATA","cols=12;rows=5")</f>
        <v>GMAB DC Equity</v>
      </c>
      <c r="IH5" t="s">
        <v>1896</v>
      </c>
      <c r="II5">
        <v>66.998047</v>
      </c>
      <c r="IJ5">
        <v>11.040321</v>
      </c>
      <c r="IK5" t="s">
        <v>1814</v>
      </c>
      <c r="IL5">
        <v>2024</v>
      </c>
      <c r="IM5" t="s">
        <v>1897</v>
      </c>
      <c r="IN5" s="6">
        <v>45701</v>
      </c>
      <c r="IO5">
        <v>5</v>
      </c>
      <c r="IP5">
        <v>522920364.22000003</v>
      </c>
      <c r="IQ5">
        <v>1405715</v>
      </c>
      <c r="IR5" t="s">
        <v>1898</v>
      </c>
      <c r="IU5" t="str">
        <f>_xll.BDS("JNJ US Equity","SUPPLY_CHAIN_CUSTOMERS_ALL_DATA","cols=12;rows=5")</f>
        <v>MCK US Equity</v>
      </c>
      <c r="IV5">
        <v>20.476745999999999</v>
      </c>
      <c r="IW5" t="s">
        <v>1822</v>
      </c>
      <c r="IX5">
        <v>6.636412</v>
      </c>
      <c r="IY5" t="s">
        <v>1810</v>
      </c>
      <c r="IZ5">
        <v>2025</v>
      </c>
      <c r="JA5" t="s">
        <v>2034</v>
      </c>
      <c r="JB5" s="6">
        <v>46018</v>
      </c>
      <c r="JC5">
        <v>5</v>
      </c>
      <c r="JD5">
        <v>4912985600</v>
      </c>
      <c r="JE5">
        <v>154936</v>
      </c>
      <c r="JF5" t="s">
        <v>1875</v>
      </c>
      <c r="JK5" t="str">
        <f>_xll.BDS("SBFG US Equity","SUPPLY_CHAIN_SUPPLIERS_ALL_DATA")</f>
        <v>#N/A N/A</v>
      </c>
      <c r="JY5" t="str">
        <f>_xll.BDS("SBFG US Equity","SUPPLY_CHAIN_CUSTOMERS_ALL_DATA")</f>
        <v>#N/A N/A</v>
      </c>
      <c r="KO5" t="str">
        <f>_xll.BDS("GORXQ US Equity","SUPPLY_CHAIN_SUPPLIERS_ALL_DATA")</f>
        <v>#N/A N/A</v>
      </c>
      <c r="LC5" t="str">
        <f>_xll.BDS("GORXQ US Equity","SUPPLY_CHAIN_CUSTOMERS_ALL_DATA")</f>
        <v>#N/A N/A</v>
      </c>
      <c r="LS5" t="str">
        <f>_xll.BDS("2592980D US Equity","SUPPLY_CHAIN_SUPPLIERS_ALL_DATA")</f>
        <v>#N/A N/A</v>
      </c>
      <c r="MG5" t="str">
        <f>_xll.BDS("2592980D US Equity","SUPPLY_CHAIN_CUSTOMERS_ALL_DATA")</f>
        <v>#N/A N/A</v>
      </c>
      <c r="MW5" t="str">
        <f>_xll.BDS("TODDA US Equity","SUPPLY_CHAIN_SUPPLIERS_ALL_DATA")</f>
        <v>#N/A N/A</v>
      </c>
      <c r="NK5" t="str">
        <f>_xll.BDS("TODDA US Equity","SUPPLY_CHAIN_CUSTOMERS_ALL_DATA")</f>
        <v>#N/A N/A</v>
      </c>
      <c r="OA5" t="str">
        <f>_xll.BDS("1413542D US Equity","SUPPLY_CHAIN_SUPPLIERS_ALL_DATA")</f>
        <v>#N/A N/A</v>
      </c>
      <c r="OO5" t="str">
        <f>_xll.BDS("1413542D US Equity","SUPPLY_CHAIN_CUSTOMERS_ALL_DATA")</f>
        <v>#N/A N/A</v>
      </c>
      <c r="PE5" t="str">
        <f>_xll.BDS("SEELQ US Equity","SUPPLY_CHAIN_SUPPLIERS_ALL_DATA","cols=12;rows=5")</f>
        <v>0360489Z US Equity</v>
      </c>
      <c r="PG5">
        <v>-2.4245362661989844E-14</v>
      </c>
      <c r="PH5">
        <v>-2.4245362661989844E-14</v>
      </c>
      <c r="PI5" t="s">
        <v>1814</v>
      </c>
      <c r="PJ5">
        <v>2023</v>
      </c>
      <c r="PK5" t="s">
        <v>2638</v>
      </c>
      <c r="PL5" s="6">
        <v>45358</v>
      </c>
      <c r="PM5">
        <v>5</v>
      </c>
      <c r="PN5">
        <v>-2.4245362661989844E-14</v>
      </c>
      <c r="PO5">
        <v>946185</v>
      </c>
      <c r="PP5" t="s">
        <v>2639</v>
      </c>
      <c r="PS5" t="str">
        <f>_xll.BDS("SEELQ US Equity","SUPPLY_CHAIN_CUSTOMERS_ALL_DATA")</f>
        <v>#N/A N/A</v>
      </c>
      <c r="QI5" t="str">
        <f>_xll.BDS("CCLD US Equity","SUPPLY_CHAIN_SUPPLIERS_ALL_DATA","cols=12;rows=2")</f>
        <v>88216Z US Equity</v>
      </c>
      <c r="QK5">
        <v>-2.4245362661989844E-14</v>
      </c>
      <c r="QL5">
        <v>-2.4245362661989844E-14</v>
      </c>
      <c r="QM5" t="s">
        <v>1814</v>
      </c>
      <c r="QN5">
        <v>2023</v>
      </c>
      <c r="QO5" t="s">
        <v>3908</v>
      </c>
      <c r="QP5" s="6">
        <v>45194</v>
      </c>
      <c r="QQ5">
        <v>2</v>
      </c>
      <c r="QR5">
        <v>-2.4245362661989844E-14</v>
      </c>
      <c r="QS5">
        <v>935080</v>
      </c>
      <c r="QT5" t="s">
        <v>3942</v>
      </c>
      <c r="QW5" t="str">
        <f>_xll.BDS("CCLD US Equity","SUPPLY_CHAIN_CUSTOMERS_ALL_DATA","cols=12;rows=5")</f>
        <v>0891501D US Equity</v>
      </c>
      <c r="QX5">
        <v>-2.4245362661989844E-14</v>
      </c>
      <c r="QZ5">
        <v>-2.4245362661989844E-14</v>
      </c>
      <c r="RA5" t="s">
        <v>1814</v>
      </c>
      <c r="RB5">
        <v>2022</v>
      </c>
      <c r="RC5" t="s">
        <v>3908</v>
      </c>
      <c r="RD5" s="6">
        <v>44757</v>
      </c>
      <c r="RE5">
        <v>5</v>
      </c>
      <c r="RF5">
        <v>-2.4245362661989844E-14</v>
      </c>
      <c r="RG5">
        <v>37730440</v>
      </c>
      <c r="RH5" t="s">
        <v>3909</v>
      </c>
      <c r="RM5" t="str">
        <f>_xll.BDS("PEBO US Equity","SUPPLY_CHAIN_SUPPLIERS_ALL_DATA")</f>
        <v>#N/A N/A</v>
      </c>
      <c r="SA5" t="str">
        <f>_xll.BDS("PEBO US Equity","SUPPLY_CHAIN_CUSTOMERS_ALL_DATA")</f>
        <v>#N/A N/A</v>
      </c>
      <c r="SQ5" t="str">
        <f>_xll.BDS("862395Q GR Equity","SUPPLY_CHAIN_SUPPLIERS_ALL_DATA")</f>
        <v>#N/A N/A</v>
      </c>
      <c r="TE5" t="str">
        <f>_xll.BDS("862395Q GR Equity","SUPPLY_CHAIN_CUSTOMERS_ALL_DATA")</f>
        <v>#N/A N/A</v>
      </c>
      <c r="TU5" t="str">
        <f>_xll.BDS("WTT US Equity","SUPPLY_CHAIN_SUPPLIERS_ALL_DATA","cols=12;rows=2")</f>
        <v>FE US Equity</v>
      </c>
      <c r="TW5">
        <v>-2.4245362661989844E-14</v>
      </c>
      <c r="TX5">
        <v>-2.4245362661989844E-14</v>
      </c>
      <c r="TY5" t="s">
        <v>1814</v>
      </c>
      <c r="TZ5">
        <v>2021</v>
      </c>
      <c r="UA5" t="s">
        <v>1995</v>
      </c>
      <c r="UB5" s="6">
        <v>44693</v>
      </c>
      <c r="UC5">
        <v>2</v>
      </c>
      <c r="UD5">
        <v>-2.4245362661989844E-14</v>
      </c>
      <c r="UE5">
        <v>302916</v>
      </c>
      <c r="UF5" t="s">
        <v>1996</v>
      </c>
      <c r="UI5" t="str">
        <f>_xll.BDS("WTT US Equity","SUPPLY_CHAIN_CUSTOMERS_ALL_DATA","cols=12;rows=2")</f>
        <v>0219682Z US Equity</v>
      </c>
      <c r="UJ5">
        <v>-2.4245362661989844E-14</v>
      </c>
      <c r="UL5">
        <v>-2.4245362661989844E-14</v>
      </c>
      <c r="UM5" t="s">
        <v>1814</v>
      </c>
      <c r="UN5">
        <v>2022</v>
      </c>
      <c r="UO5" t="s">
        <v>3443</v>
      </c>
      <c r="UP5" s="6">
        <v>45008</v>
      </c>
      <c r="UQ5">
        <v>2</v>
      </c>
      <c r="UR5">
        <v>-2.4245362661989844E-14</v>
      </c>
      <c r="US5">
        <v>962205</v>
      </c>
      <c r="UT5" t="s">
        <v>2450</v>
      </c>
      <c r="UY5" t="str">
        <f>_xll.BDS("DYNE US Equity","SUPPLY_CHAIN_SUPPLIERS_ALL_DATA")</f>
        <v>#N/A N/A</v>
      </c>
      <c r="VM5" t="str">
        <f>_xll.BDS("DYNE US Equity","SUPPLY_CHAIN_CUSTOMERS_ALL_DATA")</f>
        <v>#N/A N/A</v>
      </c>
    </row>
    <row r="6" spans="1:600" x14ac:dyDescent="0.25">
      <c r="CM6" t="s">
        <v>2065</v>
      </c>
      <c r="CN6" t="s">
        <v>1893</v>
      </c>
      <c r="CO6">
        <v>3.7</v>
      </c>
      <c r="CP6">
        <v>0.35031299999999999</v>
      </c>
      <c r="CQ6" t="s">
        <v>1814</v>
      </c>
      <c r="CR6">
        <v>2024</v>
      </c>
      <c r="CS6" t="s">
        <v>2066</v>
      </c>
      <c r="CT6" s="6">
        <v>45708</v>
      </c>
      <c r="CU6">
        <v>5</v>
      </c>
      <c r="CV6">
        <v>1550133.5</v>
      </c>
      <c r="CW6">
        <v>46286147</v>
      </c>
      <c r="CX6" t="s">
        <v>2067</v>
      </c>
      <c r="DA6" t="s">
        <v>3225</v>
      </c>
      <c r="DB6">
        <v>-2.4245362661989844E-14</v>
      </c>
      <c r="DD6">
        <v>-2.4245362661989844E-14</v>
      </c>
      <c r="DE6" t="s">
        <v>1814</v>
      </c>
      <c r="DF6">
        <v>2024</v>
      </c>
      <c r="DG6" t="s">
        <v>3226</v>
      </c>
      <c r="DH6" s="6">
        <v>45588</v>
      </c>
      <c r="DI6">
        <v>5</v>
      </c>
      <c r="DJ6">
        <v>-2.4245362661989844E-14</v>
      </c>
      <c r="DK6">
        <v>25341310</v>
      </c>
      <c r="DL6" t="s">
        <v>3227</v>
      </c>
      <c r="EU6" t="s">
        <v>2847</v>
      </c>
      <c r="EV6" t="s">
        <v>1949</v>
      </c>
      <c r="EW6">
        <v>4.9496999999999999E-2</v>
      </c>
      <c r="EX6">
        <v>0.59395500000000001</v>
      </c>
      <c r="EY6" t="s">
        <v>1806</v>
      </c>
      <c r="EZ6">
        <v>2025</v>
      </c>
      <c r="FA6" t="s">
        <v>2848</v>
      </c>
      <c r="FB6" s="6">
        <v>45847</v>
      </c>
      <c r="FC6">
        <v>5</v>
      </c>
      <c r="FD6">
        <v>633661</v>
      </c>
      <c r="FE6">
        <v>929589</v>
      </c>
      <c r="FF6" t="s">
        <v>2849</v>
      </c>
      <c r="FI6" t="s">
        <v>2793</v>
      </c>
      <c r="FJ6">
        <v>-2.4245362661989844E-14</v>
      </c>
      <c r="FL6">
        <v>-2.4245362661989844E-14</v>
      </c>
      <c r="FM6" t="s">
        <v>1814</v>
      </c>
      <c r="FN6">
        <v>2022</v>
      </c>
      <c r="FO6" t="s">
        <v>2794</v>
      </c>
      <c r="FP6" s="6">
        <v>44705</v>
      </c>
      <c r="FQ6">
        <v>2</v>
      </c>
      <c r="FR6">
        <v>-2.4245362661989844E-14</v>
      </c>
      <c r="FS6">
        <v>1067639</v>
      </c>
      <c r="FT6" t="s">
        <v>2795</v>
      </c>
      <c r="IG6" t="s">
        <v>1884</v>
      </c>
      <c r="IH6" t="s">
        <v>1822</v>
      </c>
      <c r="II6">
        <v>6.6266720000000001</v>
      </c>
      <c r="IJ6">
        <v>6.8004179999999996</v>
      </c>
      <c r="IK6" t="s">
        <v>1810</v>
      </c>
      <c r="IL6">
        <v>2025</v>
      </c>
      <c r="IM6" t="s">
        <v>1885</v>
      </c>
      <c r="IN6" s="6">
        <v>45867</v>
      </c>
      <c r="IO6">
        <v>5</v>
      </c>
      <c r="IP6">
        <v>518735872</v>
      </c>
      <c r="IQ6">
        <v>117092</v>
      </c>
      <c r="IR6" t="s">
        <v>1886</v>
      </c>
      <c r="IU6" t="s">
        <v>1872</v>
      </c>
      <c r="IV6">
        <v>15.549336</v>
      </c>
      <c r="IW6" t="s">
        <v>1822</v>
      </c>
      <c r="IX6">
        <v>4.6186980000000002</v>
      </c>
      <c r="IY6" t="s">
        <v>1810</v>
      </c>
      <c r="IZ6">
        <v>2025</v>
      </c>
      <c r="JA6" t="s">
        <v>2034</v>
      </c>
      <c r="JB6" s="6">
        <v>46018</v>
      </c>
      <c r="JC6">
        <v>5</v>
      </c>
      <c r="JD6">
        <v>3730752256</v>
      </c>
      <c r="JE6">
        <v>156969</v>
      </c>
      <c r="JF6" t="s">
        <v>1874</v>
      </c>
      <c r="PE6" t="s">
        <v>2640</v>
      </c>
      <c r="PG6">
        <v>-2.4245362661989844E-14</v>
      </c>
      <c r="PH6">
        <v>-2.4245362661989844E-14</v>
      </c>
      <c r="PI6" t="s">
        <v>1814</v>
      </c>
      <c r="PJ6">
        <v>2023</v>
      </c>
      <c r="PK6" t="s">
        <v>2638</v>
      </c>
      <c r="PL6" s="6">
        <v>45358</v>
      </c>
      <c r="PM6">
        <v>5</v>
      </c>
      <c r="PN6">
        <v>-2.4245362661989844E-14</v>
      </c>
      <c r="PO6">
        <v>202917</v>
      </c>
      <c r="PP6" t="s">
        <v>2641</v>
      </c>
      <c r="QI6" t="s">
        <v>1813</v>
      </c>
      <c r="QK6">
        <v>-2.4245362661989844E-14</v>
      </c>
      <c r="QL6">
        <v>-2.4245362661989844E-14</v>
      </c>
      <c r="QM6" t="s">
        <v>1827</v>
      </c>
      <c r="QN6">
        <v>2023</v>
      </c>
      <c r="QO6" t="s">
        <v>3943</v>
      </c>
      <c r="QP6" s="6">
        <v>45317</v>
      </c>
      <c r="QQ6">
        <v>2</v>
      </c>
      <c r="QR6">
        <v>-2.4245362661989844E-14</v>
      </c>
      <c r="QS6">
        <v>46946968</v>
      </c>
      <c r="QT6" t="s">
        <v>1816</v>
      </c>
      <c r="QW6" t="s">
        <v>3910</v>
      </c>
      <c r="QX6">
        <v>-2.4245362661989844E-14</v>
      </c>
      <c r="QZ6">
        <v>-2.4245362661989844E-14</v>
      </c>
      <c r="RA6" t="s">
        <v>1814</v>
      </c>
      <c r="RB6">
        <v>2023</v>
      </c>
      <c r="RC6" t="s">
        <v>3908</v>
      </c>
      <c r="RD6" s="6">
        <v>45194</v>
      </c>
      <c r="RE6">
        <v>5</v>
      </c>
      <c r="RF6">
        <v>-2.4245362661989844E-14</v>
      </c>
      <c r="RG6">
        <v>34653211</v>
      </c>
      <c r="RH6" t="s">
        <v>3911</v>
      </c>
      <c r="TU6" t="s">
        <v>3506</v>
      </c>
      <c r="TW6">
        <v>-2.4245362661989844E-14</v>
      </c>
      <c r="TX6">
        <v>-2.4245362661989844E-14</v>
      </c>
      <c r="TY6" t="s">
        <v>1814</v>
      </c>
      <c r="TZ6">
        <v>2021</v>
      </c>
      <c r="UA6" t="s">
        <v>3507</v>
      </c>
      <c r="UB6" s="6">
        <v>44693</v>
      </c>
      <c r="UC6">
        <v>2</v>
      </c>
      <c r="UD6">
        <v>-2.4245362661989844E-14</v>
      </c>
      <c r="UE6">
        <v>1419689</v>
      </c>
      <c r="UF6" t="s">
        <v>3508</v>
      </c>
      <c r="UI6" t="s">
        <v>2010</v>
      </c>
      <c r="UJ6">
        <v>-2.4245362661989844E-14</v>
      </c>
      <c r="UL6">
        <v>-2.4245362661989844E-14</v>
      </c>
      <c r="UM6" t="s">
        <v>1814</v>
      </c>
      <c r="UN6">
        <v>2022</v>
      </c>
      <c r="UO6" t="s">
        <v>3443</v>
      </c>
      <c r="UP6" s="6">
        <v>45008</v>
      </c>
      <c r="UQ6">
        <v>2</v>
      </c>
      <c r="UR6">
        <v>-2.4245362661989844E-14</v>
      </c>
      <c r="US6">
        <v>218252</v>
      </c>
      <c r="UT6" t="s">
        <v>2012</v>
      </c>
    </row>
    <row r="7" spans="1:600" x14ac:dyDescent="0.25">
      <c r="CM7" t="s">
        <v>3238</v>
      </c>
      <c r="CN7" t="s">
        <v>1949</v>
      </c>
      <c r="CO7">
        <v>5.9080000000000001E-3</v>
      </c>
      <c r="CP7">
        <v>0.28640199999999999</v>
      </c>
      <c r="CQ7" t="s">
        <v>1823</v>
      </c>
      <c r="CR7">
        <v>2025</v>
      </c>
      <c r="CS7" t="s">
        <v>3239</v>
      </c>
      <c r="CT7" s="6">
        <v>46024</v>
      </c>
      <c r="CU7">
        <v>5</v>
      </c>
      <c r="CV7">
        <v>412581.71</v>
      </c>
      <c r="CW7">
        <v>115110</v>
      </c>
      <c r="CX7" t="s">
        <v>3240</v>
      </c>
      <c r="DA7" t="s">
        <v>3228</v>
      </c>
      <c r="DB7">
        <v>-2.4245362661989844E-14</v>
      </c>
      <c r="DD7">
        <v>-2.4245362661989844E-14</v>
      </c>
      <c r="DE7" t="s">
        <v>1814</v>
      </c>
      <c r="DF7">
        <v>2022</v>
      </c>
      <c r="DG7" t="s">
        <v>3226</v>
      </c>
      <c r="DH7" s="6">
        <v>44817</v>
      </c>
      <c r="DI7">
        <v>5</v>
      </c>
      <c r="DJ7">
        <v>-2.4245362661989844E-14</v>
      </c>
      <c r="DK7">
        <v>53781538</v>
      </c>
      <c r="DL7" t="s">
        <v>3229</v>
      </c>
      <c r="EU7" t="s">
        <v>2850</v>
      </c>
      <c r="EV7" t="s">
        <v>1949</v>
      </c>
      <c r="EW7">
        <v>3.4476E-2</v>
      </c>
      <c r="EX7">
        <v>0.363265</v>
      </c>
      <c r="EY7" t="s">
        <v>1827</v>
      </c>
      <c r="EZ7">
        <v>2024</v>
      </c>
      <c r="FA7" t="s">
        <v>2851</v>
      </c>
      <c r="FB7" s="6">
        <v>45687</v>
      </c>
      <c r="FC7">
        <v>5</v>
      </c>
      <c r="FD7">
        <v>387549</v>
      </c>
      <c r="FE7">
        <v>211040</v>
      </c>
      <c r="FF7" t="s">
        <v>2852</v>
      </c>
      <c r="IG7" t="s">
        <v>1899</v>
      </c>
      <c r="IH7" t="s">
        <v>1822</v>
      </c>
      <c r="II7">
        <v>1.3419449999999999</v>
      </c>
      <c r="IJ7">
        <v>2.7987500000000001</v>
      </c>
      <c r="IK7" t="s">
        <v>1827</v>
      </c>
      <c r="IL7">
        <v>2025</v>
      </c>
      <c r="IM7" t="s">
        <v>1900</v>
      </c>
      <c r="IN7" s="6">
        <v>46077</v>
      </c>
      <c r="IO7">
        <v>5</v>
      </c>
      <c r="IP7">
        <v>223004416</v>
      </c>
      <c r="IQ7">
        <v>28046509</v>
      </c>
      <c r="IR7" t="s">
        <v>1901</v>
      </c>
      <c r="IU7" t="s">
        <v>1474</v>
      </c>
      <c r="IV7">
        <v>12.373919000000001</v>
      </c>
      <c r="IW7" t="s">
        <v>1822</v>
      </c>
      <c r="IX7">
        <v>4.81257</v>
      </c>
      <c r="IY7" t="s">
        <v>1810</v>
      </c>
      <c r="IZ7">
        <v>2025</v>
      </c>
      <c r="JA7" t="s">
        <v>2034</v>
      </c>
      <c r="JB7" s="6">
        <v>46018</v>
      </c>
      <c r="JC7">
        <v>5</v>
      </c>
      <c r="JD7">
        <v>2968874496</v>
      </c>
      <c r="JE7">
        <v>102782</v>
      </c>
      <c r="JF7" t="s">
        <v>2035</v>
      </c>
      <c r="PE7" t="s">
        <v>1899</v>
      </c>
      <c r="PG7">
        <v>-2.4245362661989844E-14</v>
      </c>
      <c r="PH7">
        <v>-2.4245362661989844E-14</v>
      </c>
      <c r="PI7" t="s">
        <v>1814</v>
      </c>
      <c r="PJ7">
        <v>2023</v>
      </c>
      <c r="PK7" t="s">
        <v>2638</v>
      </c>
      <c r="PL7" s="6">
        <v>45358</v>
      </c>
      <c r="PM7">
        <v>5</v>
      </c>
      <c r="PN7">
        <v>-2.4245362661989844E-14</v>
      </c>
      <c r="PO7">
        <v>28046509</v>
      </c>
      <c r="PP7" t="s">
        <v>1901</v>
      </c>
      <c r="QW7" t="s">
        <v>3912</v>
      </c>
      <c r="QX7">
        <v>-2.4245362661989844E-14</v>
      </c>
      <c r="QZ7">
        <v>-2.4245362661989844E-14</v>
      </c>
      <c r="RA7" t="s">
        <v>1814</v>
      </c>
      <c r="RB7">
        <v>2023</v>
      </c>
      <c r="RC7" t="s">
        <v>3908</v>
      </c>
      <c r="RD7" s="6">
        <v>44984</v>
      </c>
      <c r="RE7">
        <v>5</v>
      </c>
      <c r="RF7">
        <v>-2.4245362661989844E-14</v>
      </c>
      <c r="RG7">
        <v>70680624</v>
      </c>
      <c r="RH7" t="s">
        <v>3913</v>
      </c>
    </row>
    <row r="8" spans="1:600" x14ac:dyDescent="0.25">
      <c r="CM8" t="s">
        <v>3241</v>
      </c>
      <c r="CO8">
        <v>-2.4245362661989844E-14</v>
      </c>
      <c r="CP8">
        <v>-2.4245362661989844E-14</v>
      </c>
      <c r="CQ8" t="s">
        <v>1814</v>
      </c>
      <c r="CR8">
        <v>2024</v>
      </c>
      <c r="CS8" t="s">
        <v>3226</v>
      </c>
      <c r="CT8" s="6">
        <v>45358</v>
      </c>
      <c r="CU8">
        <v>5</v>
      </c>
      <c r="CV8">
        <v>-2.4245362661989844E-14</v>
      </c>
      <c r="CW8">
        <v>41866638</v>
      </c>
      <c r="CX8" t="s">
        <v>3242</v>
      </c>
      <c r="DA8" t="s">
        <v>3230</v>
      </c>
      <c r="DB8">
        <v>-2.4245362661989844E-14</v>
      </c>
      <c r="DD8">
        <v>-2.4245362661989844E-14</v>
      </c>
      <c r="DE8" t="s">
        <v>1814</v>
      </c>
      <c r="DF8">
        <v>2023</v>
      </c>
      <c r="DG8" t="s">
        <v>3226</v>
      </c>
      <c r="DH8" s="6">
        <v>45105</v>
      </c>
      <c r="DI8">
        <v>5</v>
      </c>
      <c r="DJ8">
        <v>-2.4245362661989844E-14</v>
      </c>
      <c r="DK8">
        <v>69444555</v>
      </c>
      <c r="DL8" t="s">
        <v>3231</v>
      </c>
      <c r="EU8" t="s">
        <v>2853</v>
      </c>
      <c r="EV8" t="s">
        <v>1822</v>
      </c>
      <c r="EW8">
        <v>3.9360000000000003E-3</v>
      </c>
      <c r="EX8">
        <v>7.9015000000000002E-2</v>
      </c>
      <c r="EY8" t="s">
        <v>1810</v>
      </c>
      <c r="EZ8">
        <v>2025</v>
      </c>
      <c r="FA8" t="s">
        <v>2854</v>
      </c>
      <c r="FB8" s="6">
        <v>45974</v>
      </c>
      <c r="FC8">
        <v>5</v>
      </c>
      <c r="FD8">
        <v>96555.28</v>
      </c>
      <c r="FE8">
        <v>193571</v>
      </c>
      <c r="FF8" t="s">
        <v>2855</v>
      </c>
      <c r="IG8" t="s">
        <v>1902</v>
      </c>
      <c r="IH8" t="s">
        <v>1822</v>
      </c>
      <c r="II8">
        <v>49.056618</v>
      </c>
      <c r="IJ8">
        <v>2.3797060000000001</v>
      </c>
      <c r="IK8" t="s">
        <v>1810</v>
      </c>
      <c r="IL8">
        <v>2025</v>
      </c>
      <c r="IM8" t="s">
        <v>1903</v>
      </c>
      <c r="IN8" s="6">
        <v>46050</v>
      </c>
      <c r="IO8">
        <v>5</v>
      </c>
      <c r="IP8">
        <v>173789936</v>
      </c>
      <c r="IQ8">
        <v>1753841</v>
      </c>
      <c r="IR8" t="s">
        <v>1904</v>
      </c>
      <c r="IU8" t="s">
        <v>1878</v>
      </c>
      <c r="IV8">
        <v>2.966253</v>
      </c>
      <c r="IW8" t="s">
        <v>1822</v>
      </c>
      <c r="IX8">
        <v>1.12304</v>
      </c>
      <c r="IY8" t="s">
        <v>1810</v>
      </c>
      <c r="IZ8">
        <v>2025</v>
      </c>
      <c r="JA8" t="s">
        <v>2034</v>
      </c>
      <c r="JB8" s="6">
        <v>46018</v>
      </c>
      <c r="JC8">
        <v>5</v>
      </c>
      <c r="JD8">
        <v>711693056</v>
      </c>
      <c r="JE8">
        <v>60401289</v>
      </c>
      <c r="JF8" t="s">
        <v>1879</v>
      </c>
      <c r="PE8" t="s">
        <v>2642</v>
      </c>
      <c r="PG8">
        <v>-2.4245362661989844E-14</v>
      </c>
      <c r="PH8">
        <v>-2.4245362661989844E-14</v>
      </c>
      <c r="PI8" t="s">
        <v>1814</v>
      </c>
      <c r="PJ8">
        <v>2022</v>
      </c>
      <c r="PK8" t="s">
        <v>2643</v>
      </c>
      <c r="PL8" s="6">
        <v>44995</v>
      </c>
      <c r="PM8">
        <v>5</v>
      </c>
      <c r="PN8">
        <v>-2.4245362661989844E-14</v>
      </c>
      <c r="PO8">
        <v>46506724</v>
      </c>
      <c r="PP8" t="s">
        <v>2644</v>
      </c>
      <c r="QW8" t="s">
        <v>3914</v>
      </c>
      <c r="QX8">
        <v>-2.4245362661989844E-14</v>
      </c>
      <c r="QZ8">
        <v>-2.4245362661989844E-14</v>
      </c>
      <c r="RA8" t="s">
        <v>1814</v>
      </c>
      <c r="RB8">
        <v>2023</v>
      </c>
      <c r="RC8" t="s">
        <v>3908</v>
      </c>
      <c r="RD8" s="6">
        <v>45194</v>
      </c>
      <c r="RE8">
        <v>5</v>
      </c>
      <c r="RF8">
        <v>-2.4245362661989844E-14</v>
      </c>
      <c r="RG8">
        <v>20349635</v>
      </c>
      <c r="RH8" t="s">
        <v>3915</v>
      </c>
    </row>
    <row r="9" spans="1:600" x14ac:dyDescent="0.25">
      <c r="CM9" t="s">
        <v>3243</v>
      </c>
      <c r="CO9">
        <v>-2.4245362661989844E-14</v>
      </c>
      <c r="CP9">
        <v>-2.4245362661989844E-14</v>
      </c>
      <c r="CQ9" t="s">
        <v>1814</v>
      </c>
      <c r="CR9">
        <v>2023</v>
      </c>
      <c r="CS9" t="s">
        <v>3244</v>
      </c>
      <c r="CT9" s="6">
        <v>45300</v>
      </c>
      <c r="CU9">
        <v>5</v>
      </c>
      <c r="CV9">
        <v>-2.4245362661989844E-14</v>
      </c>
      <c r="CW9">
        <v>70165912</v>
      </c>
      <c r="CX9" t="s">
        <v>3245</v>
      </c>
      <c r="DA9" t="s">
        <v>3232</v>
      </c>
      <c r="DB9">
        <v>-2.4245362661989844E-14</v>
      </c>
      <c r="DD9">
        <v>-2.4245362661989844E-14</v>
      </c>
      <c r="DE9" t="s">
        <v>1814</v>
      </c>
      <c r="DF9">
        <v>2024</v>
      </c>
      <c r="DG9" t="s">
        <v>3233</v>
      </c>
      <c r="DH9" s="6">
        <v>45769</v>
      </c>
      <c r="DI9">
        <v>5</v>
      </c>
      <c r="DJ9">
        <v>-2.4245362661989844E-14</v>
      </c>
      <c r="DK9">
        <v>25491917</v>
      </c>
      <c r="DL9" t="s">
        <v>3234</v>
      </c>
      <c r="EU9" t="s">
        <v>2856</v>
      </c>
      <c r="EW9">
        <v>-2.4245362661989844E-14</v>
      </c>
      <c r="EX9">
        <v>-2.4245362661989844E-14</v>
      </c>
      <c r="EY9" t="s">
        <v>1814</v>
      </c>
      <c r="EZ9">
        <v>2023</v>
      </c>
      <c r="FA9" t="s">
        <v>2794</v>
      </c>
      <c r="FB9" s="6">
        <v>45302</v>
      </c>
      <c r="FC9">
        <v>5</v>
      </c>
      <c r="FD9">
        <v>-2.4245362661989844E-14</v>
      </c>
      <c r="FE9">
        <v>931651</v>
      </c>
      <c r="FF9" t="s">
        <v>2857</v>
      </c>
      <c r="IG9" t="s">
        <v>1905</v>
      </c>
      <c r="IH9" t="s">
        <v>1822</v>
      </c>
      <c r="II9">
        <v>1.017503</v>
      </c>
      <c r="IJ9">
        <v>1.621964</v>
      </c>
      <c r="IK9" t="s">
        <v>1823</v>
      </c>
      <c r="IL9">
        <v>2025</v>
      </c>
      <c r="IM9" t="s">
        <v>1906</v>
      </c>
      <c r="IN9" s="6">
        <v>45929</v>
      </c>
      <c r="IO9">
        <v>5</v>
      </c>
      <c r="IP9">
        <v>123835292.08</v>
      </c>
      <c r="IQ9">
        <v>115679</v>
      </c>
      <c r="IR9" t="s">
        <v>1907</v>
      </c>
      <c r="IU9" t="s">
        <v>2036</v>
      </c>
      <c r="IV9">
        <v>2.108371</v>
      </c>
      <c r="IW9" t="s">
        <v>1822</v>
      </c>
      <c r="IX9">
        <v>2.5571009999999998</v>
      </c>
      <c r="IY9" t="s">
        <v>1823</v>
      </c>
      <c r="IZ9">
        <v>2025</v>
      </c>
      <c r="JA9" t="s">
        <v>2037</v>
      </c>
      <c r="JB9" s="6">
        <v>45919</v>
      </c>
      <c r="JC9">
        <v>5</v>
      </c>
      <c r="JD9">
        <v>501043244.87</v>
      </c>
      <c r="JE9">
        <v>115268</v>
      </c>
      <c r="JF9" t="s">
        <v>2038</v>
      </c>
      <c r="PE9" t="s">
        <v>765</v>
      </c>
      <c r="PG9">
        <v>-2.4245362661989844E-14</v>
      </c>
      <c r="PH9">
        <v>-2.4245362661989844E-14</v>
      </c>
      <c r="PI9" t="s">
        <v>1814</v>
      </c>
      <c r="PJ9">
        <v>2023</v>
      </c>
      <c r="PK9" t="s">
        <v>2638</v>
      </c>
      <c r="PL9" s="6">
        <v>45358</v>
      </c>
      <c r="PM9">
        <v>5</v>
      </c>
      <c r="PN9">
        <v>-2.4245362661989844E-14</v>
      </c>
      <c r="PO9">
        <v>116723</v>
      </c>
      <c r="PP9" t="s">
        <v>1980</v>
      </c>
      <c r="QW9" t="s">
        <v>3916</v>
      </c>
      <c r="QX9">
        <v>-2.4245362661989844E-14</v>
      </c>
      <c r="QZ9">
        <v>-2.4245362661989844E-14</v>
      </c>
      <c r="RA9" t="s">
        <v>1814</v>
      </c>
      <c r="RB9">
        <v>2022</v>
      </c>
      <c r="RC9" t="s">
        <v>3908</v>
      </c>
      <c r="RD9" s="6">
        <v>44894</v>
      </c>
      <c r="RE9">
        <v>5</v>
      </c>
      <c r="RF9">
        <v>-2.4245362661989844E-14</v>
      </c>
      <c r="RG9">
        <v>23358529</v>
      </c>
      <c r="RH9" t="s">
        <v>3917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1642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1643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1644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1645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1646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1647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1648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1649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1650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1651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1652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1653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1654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1655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1656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1657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1658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1659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1660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1661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515</v>
      </c>
      <c r="AE2" s="3" t="s">
        <v>905</v>
      </c>
      <c r="BI2" s="3" t="s">
        <v>977</v>
      </c>
      <c r="CM2" s="3" t="s">
        <v>277</v>
      </c>
      <c r="DQ2" s="3" t="s">
        <v>980</v>
      </c>
      <c r="EU2" s="3" t="s">
        <v>1662</v>
      </c>
      <c r="FY2" s="3" t="s">
        <v>1663</v>
      </c>
      <c r="HC2" s="3" t="s">
        <v>1664</v>
      </c>
      <c r="IG2" s="3" t="s">
        <v>1665</v>
      </c>
      <c r="JK2" s="3" t="s">
        <v>320</v>
      </c>
      <c r="KO2" s="3" t="s">
        <v>1666</v>
      </c>
      <c r="LS2" s="3" t="s">
        <v>197</v>
      </c>
      <c r="MW2" s="3" t="s">
        <v>1667</v>
      </c>
      <c r="OA2" s="3" t="s">
        <v>985</v>
      </c>
      <c r="PE2" s="3" t="s">
        <v>1668</v>
      </c>
      <c r="QI2" s="3" t="s">
        <v>363</v>
      </c>
      <c r="RM2" s="3" t="s">
        <v>1669</v>
      </c>
      <c r="SQ2" s="3" t="s">
        <v>1670</v>
      </c>
      <c r="TU2" s="3" t="s">
        <v>431</v>
      </c>
      <c r="UY2" s="3" t="s">
        <v>1671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_xll.BDS("LBAI US Equity","SUPPLY_CHAIN_SUPPLIERS_ALL_DATA")</f>
        <v>#N/A N/A</v>
      </c>
      <c r="O5" t="str">
        <f>_xll.BDS("LBAI US Equity","SUPPLY_CHAIN_CUSTOMERS_ALL_DATA")</f>
        <v>#N/A N/A</v>
      </c>
      <c r="AE5" t="str">
        <f>_xll.BDS("ATBA AV Equity","SUPPLY_CHAIN_SUPPLIERS_ALL_DATA","cols=12;rows=5")</f>
        <v>000676 CH Equity</v>
      </c>
      <c r="AG5">
        <v>-2.4245362661989844E-14</v>
      </c>
      <c r="AH5">
        <v>-2.4245362661989844E-14</v>
      </c>
      <c r="AI5" t="s">
        <v>1971</v>
      </c>
      <c r="AJ5">
        <v>2025</v>
      </c>
      <c r="AK5" t="s">
        <v>2872</v>
      </c>
      <c r="AL5" s="6">
        <v>45896</v>
      </c>
      <c r="AM5">
        <v>5</v>
      </c>
      <c r="AN5">
        <v>-2.4245362661989844E-14</v>
      </c>
      <c r="AO5">
        <v>193970</v>
      </c>
      <c r="AP5" t="s">
        <v>2873</v>
      </c>
      <c r="AS5" t="str">
        <f>_xll.BDS("ATBA AV Equity","SUPPLY_CHAIN_CUSTOMERS_ALL_DATA","cols=12;rows=5")</f>
        <v>066570 KS Equity</v>
      </c>
      <c r="AT5">
        <v>-2.4245362661989844E-14</v>
      </c>
      <c r="AV5">
        <v>-2.4245362661989844E-14</v>
      </c>
      <c r="AW5" t="s">
        <v>1814</v>
      </c>
      <c r="AX5">
        <v>2025</v>
      </c>
      <c r="AY5" t="s">
        <v>2796</v>
      </c>
      <c r="AZ5" s="6">
        <v>45757</v>
      </c>
      <c r="BA5">
        <v>5</v>
      </c>
      <c r="BB5">
        <v>-2.4245362661989844E-14</v>
      </c>
      <c r="BC5">
        <v>7583418</v>
      </c>
      <c r="BD5" t="s">
        <v>2797</v>
      </c>
      <c r="BI5" t="str">
        <f>_xll.BDS("696119Q US Equity","SUPPLY_CHAIN_SUPPLIERS_ALL_DATA")</f>
        <v>#N/A N/A</v>
      </c>
      <c r="BW5" t="str">
        <f>_xll.BDS("696119Q US Equity","SUPPLY_CHAIN_CUSTOMERS_ALL_DATA")</f>
        <v>#N/A N/A</v>
      </c>
      <c r="CM5" t="str">
        <f>_xll.BDS("UCB US Equity","SUPPLY_CHAIN_SUPPLIERS_ALL_DATA")</f>
        <v>3764228Z US Equity</v>
      </c>
      <c r="DA5" t="str">
        <f>_xll.BDS("UCB US Equity","SUPPLY_CHAIN_CUSTOMERS_ALL_DATA")</f>
        <v>#N/A N/A</v>
      </c>
      <c r="DQ5" t="str">
        <f>_xll.BDS("CWBC US Equity","SUPPLY_CHAIN_SUPPLIERS_ALL_DATA")</f>
        <v>#N/A N/A</v>
      </c>
      <c r="EE5" t="str">
        <f>_xll.BDS("CWBC US Equity","SUPPLY_CHAIN_CUSTOMERS_ALL_DATA")</f>
        <v>#N/A N/A</v>
      </c>
      <c r="EU5" t="str">
        <f>_xll.BDS("LJPC US Equity","SUPPLY_CHAIN_SUPPLIERS_ALL_DATA")</f>
        <v>#N/A N/A</v>
      </c>
      <c r="FI5" t="str">
        <f>_xll.BDS("LJPC US Equity","SUPPLY_CHAIN_CUSTOMERS_ALL_DATA","cols=12;rows=1")</f>
        <v>PA8 GR Equity</v>
      </c>
      <c r="FJ5">
        <v>-2.4245362661989844E-14</v>
      </c>
      <c r="FL5">
        <v>-2.4245362661989844E-14</v>
      </c>
      <c r="FM5" t="s">
        <v>1814</v>
      </c>
      <c r="FN5">
        <v>2021</v>
      </c>
      <c r="FO5" t="s">
        <v>3541</v>
      </c>
      <c r="FP5" s="6">
        <v>44650</v>
      </c>
      <c r="FQ5">
        <v>1</v>
      </c>
      <c r="FR5">
        <v>-2.4245362661989844E-14</v>
      </c>
      <c r="FS5">
        <v>9371524</v>
      </c>
      <c r="FT5" t="s">
        <v>3542</v>
      </c>
      <c r="FY5" t="str">
        <f>_xll.BDS("GHC US Equity","SUPPLY_CHAIN_SUPPLIERS_ALL_DATA","cols=12;rows=5")</f>
        <v>000270 KS Equity</v>
      </c>
      <c r="GA5">
        <v>-2.4245362661989844E-14</v>
      </c>
      <c r="GB5">
        <v>-2.4245362661989844E-14</v>
      </c>
      <c r="GC5" t="s">
        <v>1814</v>
      </c>
      <c r="GD5">
        <v>2023</v>
      </c>
      <c r="GE5" t="s">
        <v>3534</v>
      </c>
      <c r="GF5" s="6">
        <v>45196</v>
      </c>
      <c r="GG5">
        <v>5</v>
      </c>
      <c r="GH5">
        <v>-2.4245362661989844E-14</v>
      </c>
      <c r="GI5">
        <v>117682</v>
      </c>
      <c r="GJ5" t="s">
        <v>3535</v>
      </c>
      <c r="GM5" t="str">
        <f>_xll.BDS("GHC US Equity","SUPPLY_CHAIN_CUSTOMERS_ALL_DATA","cols=12;rows=4")</f>
        <v>9877893Z US Equity</v>
      </c>
      <c r="GN5">
        <v>-2.4245362661989844E-14</v>
      </c>
      <c r="GP5">
        <v>-2.4245362661989844E-14</v>
      </c>
      <c r="GQ5" t="s">
        <v>1814</v>
      </c>
      <c r="GR5">
        <v>2024</v>
      </c>
      <c r="GS5" t="s">
        <v>3432</v>
      </c>
      <c r="GT5" s="6">
        <v>45714</v>
      </c>
      <c r="GU5">
        <v>4</v>
      </c>
      <c r="GV5">
        <v>-2.4245362661989844E-14</v>
      </c>
      <c r="GW5">
        <v>17483390</v>
      </c>
      <c r="GX5" t="s">
        <v>3433</v>
      </c>
      <c r="HC5" t="str">
        <f>_xll.BDS("MGAM US Equity","SUPPLY_CHAIN_SUPPLIERS_ALL_DATA")</f>
        <v>#N/A N/A</v>
      </c>
      <c r="HQ5" t="str">
        <f>_xll.BDS("MGAM US Equity","SUPPLY_CHAIN_CUSTOMERS_ALL_DATA")</f>
        <v>#N/A N/A</v>
      </c>
      <c r="IG5" t="str">
        <f>_xll.BDS("1638692D US Equity","SUPPLY_CHAIN_SUPPLIERS_ALL_DATA")</f>
        <v>#N/A N/A</v>
      </c>
      <c r="IU5" t="str">
        <f>_xll.BDS("1638692D US Equity","SUPPLY_CHAIN_CUSTOMERS_ALL_DATA")</f>
        <v>#N/A N/A</v>
      </c>
      <c r="JK5" t="str">
        <f>_xll.BDS("QVDX US Equity","SUPPLY_CHAIN_SUPPLIERS_ALL_DATA")</f>
        <v>#N/A N/A</v>
      </c>
      <c r="JY5" t="str">
        <f>_xll.BDS("QVDX US Equity","SUPPLY_CHAIN_CUSTOMERS_ALL_DATA")</f>
        <v>#N/A N/A</v>
      </c>
      <c r="KO5" t="str">
        <f>_xll.BDS("ALNT US Equity","SUPPLY_CHAIN_SUPPLIERS_ALL_DATA","cols=12;rows=5")</f>
        <v>AEP US Equity</v>
      </c>
      <c r="KQ5">
        <v>-2.4245362661989844E-14</v>
      </c>
      <c r="KR5">
        <v>-2.4245362661989844E-14</v>
      </c>
      <c r="KS5" t="s">
        <v>1814</v>
      </c>
      <c r="KT5">
        <v>2021</v>
      </c>
      <c r="KU5" t="s">
        <v>2043</v>
      </c>
      <c r="KV5" s="6">
        <v>44693</v>
      </c>
      <c r="KW5">
        <v>5</v>
      </c>
      <c r="KX5">
        <v>-2.4245362661989844E-14</v>
      </c>
      <c r="KY5">
        <v>100060</v>
      </c>
      <c r="KZ5" t="s">
        <v>2044</v>
      </c>
      <c r="LC5" t="str">
        <f>_xll.BDS("ALNT US Equity","SUPPLY_CHAIN_CUSTOMERS_ALL_DATA","cols=12;rows=1")</f>
        <v>WCC US Equity</v>
      </c>
      <c r="LD5">
        <v>-2.4245362661989844E-14</v>
      </c>
      <c r="LF5">
        <v>-2.4245362661989844E-14</v>
      </c>
      <c r="LG5" t="s">
        <v>1810</v>
      </c>
      <c r="LH5">
        <v>2023</v>
      </c>
      <c r="LI5" t="s">
        <v>2500</v>
      </c>
      <c r="LJ5" s="6">
        <v>45216</v>
      </c>
      <c r="LK5">
        <v>1</v>
      </c>
      <c r="LL5">
        <v>-2.4245362661989844E-14</v>
      </c>
      <c r="LM5">
        <v>305945</v>
      </c>
      <c r="LN5" t="s">
        <v>2501</v>
      </c>
      <c r="LS5" t="str">
        <f>_xll.BDS("IEP US Equity","SUPPLY_CHAIN_SUPPLIERS_ALL_DATA","cols=12;rows=5")</f>
        <v>SMP US Equity</v>
      </c>
      <c r="LT5" t="s">
        <v>1822</v>
      </c>
      <c r="LU5">
        <v>0.58005099999999998</v>
      </c>
      <c r="LV5">
        <v>0.126083</v>
      </c>
      <c r="LW5" t="s">
        <v>1823</v>
      </c>
      <c r="LX5">
        <v>2025</v>
      </c>
      <c r="LY5" t="s">
        <v>3384</v>
      </c>
      <c r="LZ5" s="6">
        <v>45908</v>
      </c>
      <c r="MA5">
        <v>5</v>
      </c>
      <c r="MB5">
        <v>2864599</v>
      </c>
      <c r="MC5">
        <v>101392</v>
      </c>
      <c r="MD5" t="s">
        <v>3385</v>
      </c>
      <c r="MG5" t="str">
        <f>_xll.BDS("IEP US Equity","SUPPLY_CHAIN_CUSTOMERS_ALL_DATA","cols=12;rows=2")</f>
        <v>FMGI IN Equity</v>
      </c>
      <c r="MH5">
        <v>-2.4245362661989844E-14</v>
      </c>
      <c r="MJ5">
        <v>-2.4245362661989844E-14</v>
      </c>
      <c r="MK5" t="s">
        <v>1814</v>
      </c>
      <c r="ML5">
        <v>2023</v>
      </c>
      <c r="MM5" t="s">
        <v>3903</v>
      </c>
      <c r="MN5" s="6">
        <v>45076</v>
      </c>
      <c r="MO5">
        <v>2</v>
      </c>
      <c r="MP5">
        <v>-2.4245362661989844E-14</v>
      </c>
      <c r="MQ5">
        <v>174503</v>
      </c>
      <c r="MR5" t="s">
        <v>3904</v>
      </c>
      <c r="MW5" t="str">
        <f>_xll.BDS("PFSL US Equity","SUPPLY_CHAIN_SUPPLIERS_ALL_DATA")</f>
        <v>#N/A N/A</v>
      </c>
      <c r="NK5" t="str">
        <f>_xll.BDS("PFSL US Equity","SUPPLY_CHAIN_CUSTOMERS_ALL_DATA")</f>
        <v>#N/A N/A</v>
      </c>
      <c r="OA5" t="str">
        <f>_xll.BDS("BZBC US Equity","SUPPLY_CHAIN_SUPPLIERS_ALL_DATA")</f>
        <v>#N/A N/A</v>
      </c>
      <c r="OO5" t="str">
        <f>_xll.BDS("BZBC US Equity","SUPPLY_CHAIN_CUSTOMERS_ALL_DATA")</f>
        <v>#N/A N/A</v>
      </c>
      <c r="PE5" t="str">
        <f>_xll.BDS("0700734D US Equity","SUPPLY_CHAIN_SUPPLIERS_ALL_DATA")</f>
        <v>#N/A N/A</v>
      </c>
      <c r="PS5" t="str">
        <f>_xll.BDS("0700734D US Equity","SUPPLY_CHAIN_CUSTOMERS_ALL_DATA")</f>
        <v>#N/A N/A</v>
      </c>
      <c r="QI5" t="str">
        <f>_xll.BDS("375689Q US Equity","SUPPLY_CHAIN_SUPPLIERS_ALL_DATA")</f>
        <v>#N/A N/A</v>
      </c>
      <c r="QW5" t="str">
        <f>_xll.BDS("375689Q US Equity","SUPPLY_CHAIN_CUSTOMERS_ALL_DATA")</f>
        <v>#N/A N/A</v>
      </c>
      <c r="RM5" t="str">
        <f>_xll.BDS("ANGQC US Equity","SUPPLY_CHAIN_SUPPLIERS_ALL_DATA")</f>
        <v>#N/A N/A</v>
      </c>
      <c r="SA5" t="str">
        <f>_xll.BDS("ANGQC US Equity","SUPPLY_CHAIN_CUSTOMERS_ALL_DATA")</f>
        <v>#N/A N/A</v>
      </c>
      <c r="SQ5" t="str">
        <f>_xll.BDS("EPEXQ US Equity","SUPPLY_CHAIN_SUPPLIERS_ALL_DATA")</f>
        <v>#N/A N/A</v>
      </c>
      <c r="TE5" t="str">
        <f>_xll.BDS("EPEXQ US Equity","SUPPLY_CHAIN_CUSTOMERS_ALL_DATA")</f>
        <v>#N/A N/A</v>
      </c>
      <c r="TU5" t="str">
        <f>_xll.BDS("PEBO US Equity","SUPPLY_CHAIN_SUPPLIERS_ALL_DATA")</f>
        <v>#N/A N/A</v>
      </c>
      <c r="UI5" t="str">
        <f>_xll.BDS("PEBO US Equity","SUPPLY_CHAIN_CUSTOMERS_ALL_DATA")</f>
        <v>#N/A N/A</v>
      </c>
      <c r="UY5" t="str">
        <f>_xll.BDS("ALLP US Equity","SUPPLY_CHAIN_SUPPLIERS_ALL_DATA")</f>
        <v>#N/A N/A</v>
      </c>
      <c r="VM5" t="str">
        <f>_xll.BDS("ALLP US Equity","SUPPLY_CHAIN_CUSTOMERS_ALL_DATA")</f>
        <v>#N/A N/A</v>
      </c>
    </row>
    <row r="6" spans="1:600" x14ac:dyDescent="0.25">
      <c r="AE6" t="s">
        <v>2874</v>
      </c>
      <c r="AG6">
        <v>-2.4245362661989844E-14</v>
      </c>
      <c r="AH6">
        <v>-2.4245362661989844E-14</v>
      </c>
      <c r="AI6" t="s">
        <v>2342</v>
      </c>
      <c r="AJ6">
        <v>2023</v>
      </c>
      <c r="AK6" t="s">
        <v>2875</v>
      </c>
      <c r="AL6" s="6">
        <v>45152</v>
      </c>
      <c r="AM6">
        <v>5</v>
      </c>
      <c r="AN6">
        <v>-2.4245362661989844E-14</v>
      </c>
      <c r="AO6">
        <v>9996300</v>
      </c>
      <c r="AP6" t="s">
        <v>2876</v>
      </c>
      <c r="AS6" t="s">
        <v>2798</v>
      </c>
      <c r="AT6">
        <v>-2.4245362661989844E-14</v>
      </c>
      <c r="AV6">
        <v>-2.4245362661989844E-14</v>
      </c>
      <c r="AW6" t="s">
        <v>1831</v>
      </c>
      <c r="AX6">
        <v>2022</v>
      </c>
      <c r="AY6" t="s">
        <v>2799</v>
      </c>
      <c r="AZ6" s="6">
        <v>44916</v>
      </c>
      <c r="BA6">
        <v>5</v>
      </c>
      <c r="BB6">
        <v>-2.4245362661989844E-14</v>
      </c>
      <c r="BC6">
        <v>7312672</v>
      </c>
      <c r="BD6" t="s">
        <v>2800</v>
      </c>
      <c r="FY6" t="s">
        <v>3536</v>
      </c>
      <c r="GA6">
        <v>-2.4245362661989844E-14</v>
      </c>
      <c r="GB6">
        <v>-2.4245362661989844E-14</v>
      </c>
      <c r="GC6" t="s">
        <v>1814</v>
      </c>
      <c r="GD6">
        <v>2023</v>
      </c>
      <c r="GE6" t="s">
        <v>3537</v>
      </c>
      <c r="GF6" s="6">
        <v>45346</v>
      </c>
      <c r="GG6">
        <v>5</v>
      </c>
      <c r="GH6">
        <v>-2.4245362661989844E-14</v>
      </c>
      <c r="GI6">
        <v>196885</v>
      </c>
      <c r="GJ6" t="s">
        <v>3538</v>
      </c>
      <c r="GM6" t="s">
        <v>3434</v>
      </c>
      <c r="GN6">
        <v>-2.4245362661989844E-14</v>
      </c>
      <c r="GP6">
        <v>-2.4245362661989844E-14</v>
      </c>
      <c r="GQ6" t="s">
        <v>1810</v>
      </c>
      <c r="GR6">
        <v>2025</v>
      </c>
      <c r="GS6" t="s">
        <v>3435</v>
      </c>
      <c r="GT6" s="6">
        <v>45966</v>
      </c>
      <c r="GU6">
        <v>4</v>
      </c>
      <c r="GV6">
        <v>-2.4245362661989844E-14</v>
      </c>
      <c r="GW6">
        <v>9221017</v>
      </c>
      <c r="GX6" t="s">
        <v>3436</v>
      </c>
      <c r="KO6" t="s">
        <v>2045</v>
      </c>
      <c r="KQ6">
        <v>-2.4245362661989844E-14</v>
      </c>
      <c r="KR6">
        <v>-2.4245362661989844E-14</v>
      </c>
      <c r="KS6" t="s">
        <v>1814</v>
      </c>
      <c r="KT6">
        <v>2021</v>
      </c>
      <c r="KU6" t="s">
        <v>2046</v>
      </c>
      <c r="KV6" s="6">
        <v>44693</v>
      </c>
      <c r="KW6">
        <v>5</v>
      </c>
      <c r="KX6">
        <v>-2.4245362661989844E-14</v>
      </c>
      <c r="KY6">
        <v>101690</v>
      </c>
      <c r="KZ6" t="s">
        <v>2047</v>
      </c>
      <c r="LS6" t="s">
        <v>3386</v>
      </c>
      <c r="LT6" t="s">
        <v>1822</v>
      </c>
      <c r="LU6">
        <v>3.8052999999999997E-2</v>
      </c>
      <c r="LV6">
        <v>3.3156999999999999E-2</v>
      </c>
      <c r="LW6" t="s">
        <v>1823</v>
      </c>
      <c r="LX6">
        <v>2025</v>
      </c>
      <c r="LY6" t="s">
        <v>3387</v>
      </c>
      <c r="LZ6" s="6">
        <v>45954</v>
      </c>
      <c r="MA6">
        <v>5</v>
      </c>
      <c r="MB6">
        <v>753034.07</v>
      </c>
      <c r="MC6">
        <v>114817</v>
      </c>
      <c r="MD6" t="s">
        <v>3388</v>
      </c>
      <c r="MG6" t="s">
        <v>3905</v>
      </c>
      <c r="MH6">
        <v>-2.4245362661989844E-14</v>
      </c>
      <c r="MJ6">
        <v>-2.4245362661989844E-14</v>
      </c>
      <c r="MK6" t="s">
        <v>1814</v>
      </c>
      <c r="ML6">
        <v>2022</v>
      </c>
      <c r="MM6" t="s">
        <v>3906</v>
      </c>
      <c r="MN6" s="6">
        <v>44994</v>
      </c>
      <c r="MO6">
        <v>2</v>
      </c>
      <c r="MP6">
        <v>-2.4245362661989844E-14</v>
      </c>
      <c r="MQ6">
        <v>10498790</v>
      </c>
      <c r="MR6" t="s">
        <v>3907</v>
      </c>
    </row>
    <row r="7" spans="1:600" x14ac:dyDescent="0.25">
      <c r="AE7" t="s">
        <v>2877</v>
      </c>
      <c r="AG7">
        <v>-2.4245362661989844E-14</v>
      </c>
      <c r="AH7">
        <v>-2.4245362661989844E-14</v>
      </c>
      <c r="AI7" t="s">
        <v>1814</v>
      </c>
      <c r="AJ7">
        <v>2021</v>
      </c>
      <c r="AK7" t="s">
        <v>2878</v>
      </c>
      <c r="AL7" s="6">
        <v>44642</v>
      </c>
      <c r="AM7">
        <v>5</v>
      </c>
      <c r="AN7">
        <v>-2.4245362661989844E-14</v>
      </c>
      <c r="AO7">
        <v>27882222</v>
      </c>
      <c r="AP7" t="s">
        <v>2879</v>
      </c>
      <c r="AS7" t="s">
        <v>2801</v>
      </c>
      <c r="AT7">
        <v>-2.4245362661989844E-14</v>
      </c>
      <c r="AV7">
        <v>-2.4245362661989844E-14</v>
      </c>
      <c r="AW7" t="s">
        <v>1823</v>
      </c>
      <c r="AX7">
        <v>2026</v>
      </c>
      <c r="AY7" t="s">
        <v>2802</v>
      </c>
      <c r="AZ7" s="6">
        <v>45974</v>
      </c>
      <c r="BA7">
        <v>5</v>
      </c>
      <c r="BB7">
        <v>-2.4245362661989844E-14</v>
      </c>
      <c r="BC7">
        <v>19060015</v>
      </c>
      <c r="BD7" t="s">
        <v>2803</v>
      </c>
      <c r="FY7" t="s">
        <v>2053</v>
      </c>
      <c r="GA7">
        <v>-2.4245362661989844E-14</v>
      </c>
      <c r="GB7">
        <v>-2.4245362661989844E-14</v>
      </c>
      <c r="GC7" t="s">
        <v>1814</v>
      </c>
      <c r="GD7">
        <v>2023</v>
      </c>
      <c r="GE7" t="s">
        <v>3534</v>
      </c>
      <c r="GF7" s="6">
        <v>45196</v>
      </c>
      <c r="GG7">
        <v>5</v>
      </c>
      <c r="GH7">
        <v>-2.4245362661989844E-14</v>
      </c>
      <c r="GI7">
        <v>115114</v>
      </c>
      <c r="GJ7" t="s">
        <v>2055</v>
      </c>
      <c r="GM7" t="s">
        <v>3437</v>
      </c>
      <c r="GN7">
        <v>-2.4245362661989844E-14</v>
      </c>
      <c r="GP7">
        <v>-2.4245362661989844E-14</v>
      </c>
      <c r="GQ7" t="s">
        <v>1814</v>
      </c>
      <c r="GR7">
        <v>2025</v>
      </c>
      <c r="GS7" t="s">
        <v>3438</v>
      </c>
      <c r="GT7" s="6">
        <v>45960</v>
      </c>
      <c r="GU7">
        <v>4</v>
      </c>
      <c r="GV7">
        <v>-2.4245362661989844E-14</v>
      </c>
      <c r="GW7">
        <v>11891475</v>
      </c>
      <c r="GX7" t="s">
        <v>3439</v>
      </c>
      <c r="KO7" t="s">
        <v>2632</v>
      </c>
      <c r="KQ7">
        <v>-2.4245362661989844E-14</v>
      </c>
      <c r="KR7">
        <v>-2.4245362661989844E-14</v>
      </c>
      <c r="KS7" t="s">
        <v>1814</v>
      </c>
      <c r="KT7">
        <v>2023</v>
      </c>
      <c r="KU7" t="s">
        <v>2633</v>
      </c>
      <c r="KV7" s="6">
        <v>45287</v>
      </c>
      <c r="KW7">
        <v>5</v>
      </c>
      <c r="KX7">
        <v>-2.4245362661989844E-14</v>
      </c>
      <c r="KY7">
        <v>10851571</v>
      </c>
      <c r="KZ7" t="s">
        <v>2634</v>
      </c>
      <c r="LS7" t="s">
        <v>3389</v>
      </c>
      <c r="LT7" t="s">
        <v>1822</v>
      </c>
      <c r="LU7">
        <v>8.6390000000000008E-3</v>
      </c>
      <c r="LV7">
        <v>2.8081999999999999E-2</v>
      </c>
      <c r="LW7" t="s">
        <v>1823</v>
      </c>
      <c r="LX7">
        <v>2025</v>
      </c>
      <c r="LY7" t="s">
        <v>3390</v>
      </c>
      <c r="LZ7" s="6">
        <v>45951</v>
      </c>
      <c r="MA7">
        <v>5</v>
      </c>
      <c r="MB7">
        <v>637757.78</v>
      </c>
      <c r="MC7">
        <v>115439</v>
      </c>
      <c r="MD7" t="s">
        <v>3391</v>
      </c>
    </row>
    <row r="8" spans="1:600" x14ac:dyDescent="0.25">
      <c r="AE8" t="s">
        <v>2880</v>
      </c>
      <c r="AG8">
        <v>-2.4245362661989844E-14</v>
      </c>
      <c r="AH8">
        <v>-2.4245362661989844E-14</v>
      </c>
      <c r="AI8" t="s">
        <v>1814</v>
      </c>
      <c r="AJ8">
        <v>2024</v>
      </c>
      <c r="AK8" t="s">
        <v>2881</v>
      </c>
      <c r="AL8" s="6">
        <v>45803</v>
      </c>
      <c r="AM8">
        <v>5</v>
      </c>
      <c r="AN8">
        <v>-2.4245362661989844E-14</v>
      </c>
      <c r="AO8">
        <v>870231</v>
      </c>
      <c r="AP8" t="s">
        <v>2882</v>
      </c>
      <c r="AS8" t="s">
        <v>2804</v>
      </c>
      <c r="AT8">
        <v>-2.4245362661989844E-14</v>
      </c>
      <c r="AV8">
        <v>-2.4245362661989844E-14</v>
      </c>
      <c r="AW8" t="s">
        <v>1814</v>
      </c>
      <c r="AX8">
        <v>2024</v>
      </c>
      <c r="AY8" t="s">
        <v>2805</v>
      </c>
      <c r="AZ8" s="6">
        <v>45767</v>
      </c>
      <c r="BA8">
        <v>5</v>
      </c>
      <c r="BB8">
        <v>-2.4245362661989844E-14</v>
      </c>
      <c r="BC8">
        <v>26949139</v>
      </c>
      <c r="BD8" t="s">
        <v>2806</v>
      </c>
      <c r="FY8" t="s">
        <v>3539</v>
      </c>
      <c r="GA8">
        <v>-2.4245362661989844E-14</v>
      </c>
      <c r="GB8">
        <v>-2.4245362661989844E-14</v>
      </c>
      <c r="GC8" t="s">
        <v>1814</v>
      </c>
      <c r="GD8">
        <v>2023</v>
      </c>
      <c r="GE8" t="s">
        <v>3534</v>
      </c>
      <c r="GF8" s="6">
        <v>45196</v>
      </c>
      <c r="GG8">
        <v>5</v>
      </c>
      <c r="GH8">
        <v>-2.4245362661989844E-14</v>
      </c>
      <c r="GI8">
        <v>100747</v>
      </c>
      <c r="GJ8" t="s">
        <v>3540</v>
      </c>
      <c r="GM8" t="s">
        <v>3440</v>
      </c>
      <c r="GN8">
        <v>-2.4245362661989844E-14</v>
      </c>
      <c r="GP8">
        <v>-2.4245362661989844E-14</v>
      </c>
      <c r="GQ8" t="s">
        <v>1823</v>
      </c>
      <c r="GR8">
        <v>2025</v>
      </c>
      <c r="GS8" t="s">
        <v>3441</v>
      </c>
      <c r="GT8" s="6">
        <v>45800</v>
      </c>
      <c r="GU8">
        <v>4</v>
      </c>
      <c r="GV8">
        <v>-2.4245362661989844E-14</v>
      </c>
      <c r="GW8">
        <v>171397</v>
      </c>
      <c r="GX8" t="s">
        <v>3442</v>
      </c>
      <c r="KO8" t="s">
        <v>2635</v>
      </c>
      <c r="KQ8">
        <v>-2.4245362661989844E-14</v>
      </c>
      <c r="KR8">
        <v>-2.4245362661989844E-14</v>
      </c>
      <c r="KS8" t="s">
        <v>1814</v>
      </c>
      <c r="KT8">
        <v>2021</v>
      </c>
      <c r="KU8" t="s">
        <v>2636</v>
      </c>
      <c r="KV8" s="6">
        <v>44693</v>
      </c>
      <c r="KW8">
        <v>5</v>
      </c>
      <c r="KX8">
        <v>-2.4245362661989844E-14</v>
      </c>
      <c r="KY8">
        <v>100348</v>
      </c>
      <c r="KZ8" t="s">
        <v>2637</v>
      </c>
      <c r="LS8" t="s">
        <v>3392</v>
      </c>
      <c r="LT8" t="s">
        <v>1822</v>
      </c>
      <c r="LU8">
        <v>3.1126000000000001E-2</v>
      </c>
      <c r="LV8">
        <v>3.6621000000000001E-2</v>
      </c>
      <c r="LW8" t="s">
        <v>1810</v>
      </c>
      <c r="LX8">
        <v>2025</v>
      </c>
      <c r="LY8" t="s">
        <v>3393</v>
      </c>
      <c r="LZ8" s="6">
        <v>45974</v>
      </c>
      <c r="MA8">
        <v>5</v>
      </c>
      <c r="MB8">
        <v>617178.78</v>
      </c>
      <c r="MC8">
        <v>128163</v>
      </c>
      <c r="MD8" t="s">
        <v>3394</v>
      </c>
    </row>
    <row r="9" spans="1:600" x14ac:dyDescent="0.25">
      <c r="AE9" t="s">
        <v>2883</v>
      </c>
      <c r="AG9">
        <v>-2.4245362661989844E-14</v>
      </c>
      <c r="AH9">
        <v>-2.4245362661989844E-14</v>
      </c>
      <c r="AI9" t="s">
        <v>1814</v>
      </c>
      <c r="AJ9">
        <v>2022</v>
      </c>
      <c r="AK9" t="s">
        <v>2884</v>
      </c>
      <c r="AL9" s="6">
        <v>45000</v>
      </c>
      <c r="AM9">
        <v>5</v>
      </c>
      <c r="AN9">
        <v>-2.4245362661989844E-14</v>
      </c>
      <c r="AO9">
        <v>69704831</v>
      </c>
      <c r="AP9" t="s">
        <v>2885</v>
      </c>
      <c r="AS9" t="s">
        <v>2807</v>
      </c>
      <c r="AT9">
        <v>-2.4245362661989844E-14</v>
      </c>
      <c r="AV9">
        <v>-2.4245362661989844E-14</v>
      </c>
      <c r="AW9" t="s">
        <v>1814</v>
      </c>
      <c r="AX9">
        <v>2024</v>
      </c>
      <c r="AY9" t="s">
        <v>2808</v>
      </c>
      <c r="AZ9" s="6">
        <v>45777</v>
      </c>
      <c r="BA9">
        <v>5</v>
      </c>
      <c r="BB9">
        <v>-2.4245362661989844E-14</v>
      </c>
      <c r="BC9">
        <v>384701</v>
      </c>
      <c r="BD9" t="s">
        <v>2809</v>
      </c>
      <c r="FY9" t="s">
        <v>2042</v>
      </c>
      <c r="GA9">
        <v>-2.4245362661989844E-14</v>
      </c>
      <c r="GB9">
        <v>-2.4245362661989844E-14</v>
      </c>
      <c r="GC9" t="s">
        <v>1814</v>
      </c>
      <c r="GD9">
        <v>2021</v>
      </c>
      <c r="GE9" t="s">
        <v>2043</v>
      </c>
      <c r="GF9" s="6">
        <v>44693</v>
      </c>
      <c r="GG9">
        <v>5</v>
      </c>
      <c r="GH9">
        <v>-2.4245362661989844E-14</v>
      </c>
      <c r="GI9">
        <v>100060</v>
      </c>
      <c r="GJ9" t="s">
        <v>2044</v>
      </c>
      <c r="KO9" t="s">
        <v>1994</v>
      </c>
      <c r="KQ9">
        <v>-2.4245362661989844E-14</v>
      </c>
      <c r="KR9">
        <v>-2.4245362661989844E-14</v>
      </c>
      <c r="KS9" t="s">
        <v>1814</v>
      </c>
      <c r="KT9">
        <v>2021</v>
      </c>
      <c r="KU9" t="s">
        <v>1995</v>
      </c>
      <c r="KV9" s="6">
        <v>44693</v>
      </c>
      <c r="KW9">
        <v>5</v>
      </c>
      <c r="KX9">
        <v>-2.4245362661989844E-14</v>
      </c>
      <c r="KY9">
        <v>302916</v>
      </c>
      <c r="KZ9" t="s">
        <v>1996</v>
      </c>
      <c r="LS9" t="s">
        <v>3395</v>
      </c>
      <c r="LT9" t="s">
        <v>1822</v>
      </c>
      <c r="LU9">
        <v>3.4840000000000001E-3</v>
      </c>
      <c r="LV9">
        <v>1.7006E-2</v>
      </c>
      <c r="LW9" t="s">
        <v>1827</v>
      </c>
      <c r="LX9">
        <v>2024</v>
      </c>
      <c r="LY9" t="s">
        <v>3396</v>
      </c>
      <c r="LZ9" s="6">
        <v>45740</v>
      </c>
      <c r="MA9">
        <v>5</v>
      </c>
      <c r="MB9">
        <v>375380.08</v>
      </c>
      <c r="MC9">
        <v>115688</v>
      </c>
      <c r="MD9" t="s">
        <v>3397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1672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1673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1674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1675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1676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1677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1678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1679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1680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1681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1682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1683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1684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1685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1686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1687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1688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1689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1690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1691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582</v>
      </c>
      <c r="AE2" s="3" t="s">
        <v>1692</v>
      </c>
      <c r="BI2" s="3" t="s">
        <v>1693</v>
      </c>
      <c r="CM2" s="3" t="s">
        <v>800</v>
      </c>
      <c r="DQ2" s="3" t="s">
        <v>1694</v>
      </c>
      <c r="EU2" s="3" t="s">
        <v>1695</v>
      </c>
      <c r="FY2" s="3" t="s">
        <v>1696</v>
      </c>
      <c r="HC2" s="3" t="s">
        <v>1697</v>
      </c>
      <c r="IG2" s="3" t="s">
        <v>1698</v>
      </c>
      <c r="JK2" s="3" t="s">
        <v>1699</v>
      </c>
      <c r="KO2" s="3" t="s">
        <v>698</v>
      </c>
      <c r="LS2" s="3" t="s">
        <v>115</v>
      </c>
      <c r="MW2" s="3" t="s">
        <v>1700</v>
      </c>
      <c r="OA2" s="3" t="s">
        <v>943</v>
      </c>
      <c r="PE2" s="3" t="s">
        <v>1701</v>
      </c>
      <c r="QI2" s="3" t="s">
        <v>467</v>
      </c>
      <c r="RM2" s="3" t="s">
        <v>1702</v>
      </c>
      <c r="SQ2" s="3" t="s">
        <v>766</v>
      </c>
      <c r="TU2" s="3" t="s">
        <v>1703</v>
      </c>
      <c r="UY2" s="3" t="s">
        <v>1704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_xll.BDS("EFII US Equity","SUPPLY_CHAIN_SUPPLIERS_ALL_DATA","cols=12;rows=5")</f>
        <v>AQN CN Equity</v>
      </c>
      <c r="C5">
        <v>-2.4245362661989844E-14</v>
      </c>
      <c r="D5">
        <v>-2.4245362661989844E-14</v>
      </c>
      <c r="E5" t="s">
        <v>1814</v>
      </c>
      <c r="F5">
        <v>2021</v>
      </c>
      <c r="G5" t="s">
        <v>2256</v>
      </c>
      <c r="H5" s="6">
        <v>44693</v>
      </c>
      <c r="I5">
        <v>5</v>
      </c>
      <c r="J5">
        <v>-2.4245362661989844E-14</v>
      </c>
      <c r="K5">
        <v>310116</v>
      </c>
      <c r="L5" t="s">
        <v>2257</v>
      </c>
      <c r="O5" t="str">
        <f>_xll.BDS("EFII US Equity","SUPPLY_CHAIN_CUSTOMERS_ALL_DATA")</f>
        <v>#N/A N/A</v>
      </c>
      <c r="AE5" t="str">
        <f>_xll.BDS("AIII US Equity","SUPPLY_CHAIN_SUPPLIERS_ALL_DATA")</f>
        <v>#N/A N/A</v>
      </c>
      <c r="AS5" t="str">
        <f>_xll.BDS("AIII US Equity","SUPPLY_CHAIN_CUSTOMERS_ALL_DATA")</f>
        <v>#N/A N/A</v>
      </c>
      <c r="BI5" t="str">
        <f>_xll.BDS("MJCO US Equity","SUPPLY_CHAIN_SUPPLIERS_ALL_DATA","cols=12;rows=1")</f>
        <v>1286084D US Equity</v>
      </c>
      <c r="BK5">
        <v>-2.4245362661989844E-14</v>
      </c>
      <c r="BL5">
        <v>-2.4245362661989844E-14</v>
      </c>
      <c r="BM5" t="s">
        <v>1814</v>
      </c>
      <c r="BN5">
        <v>2024</v>
      </c>
      <c r="BO5" t="s">
        <v>3423</v>
      </c>
      <c r="BP5" s="6">
        <v>45400</v>
      </c>
      <c r="BQ5">
        <v>1</v>
      </c>
      <c r="BR5">
        <v>-2.4245362661989844E-14</v>
      </c>
      <c r="BS5">
        <v>45992610</v>
      </c>
      <c r="BT5" t="s">
        <v>3503</v>
      </c>
      <c r="BW5" t="str">
        <f>_xll.BDS("MJCO US Equity","SUPPLY_CHAIN_CUSTOMERS_ALL_DATA","cols=12;rows=4")</f>
        <v>10755Z US Equity</v>
      </c>
      <c r="BX5">
        <v>-2.4245362661989844E-14</v>
      </c>
      <c r="BZ5">
        <v>-2.4245362661989844E-14</v>
      </c>
      <c r="CA5" t="s">
        <v>1814</v>
      </c>
      <c r="CB5">
        <v>2023</v>
      </c>
      <c r="CC5" t="s">
        <v>3423</v>
      </c>
      <c r="CD5" s="6">
        <v>44952</v>
      </c>
      <c r="CE5">
        <v>4</v>
      </c>
      <c r="CF5">
        <v>-2.4245362661989844E-14</v>
      </c>
      <c r="CG5">
        <v>355936</v>
      </c>
      <c r="CH5" t="s">
        <v>3424</v>
      </c>
      <c r="CM5" t="str">
        <f>_xll.BDS("PFE US Equity","SUPPLY_CHAIN_SUPPLIERS_ALL_DATA","cols=12;rows=5")</f>
        <v>BNTX US Equity</v>
      </c>
      <c r="CN5" t="s">
        <v>1822</v>
      </c>
      <c r="CO5">
        <v>73</v>
      </c>
      <c r="CP5">
        <v>12.187704999999999</v>
      </c>
      <c r="CQ5" t="s">
        <v>1814</v>
      </c>
      <c r="CR5">
        <v>2024</v>
      </c>
      <c r="CS5" t="s">
        <v>2366</v>
      </c>
      <c r="CT5" s="6">
        <v>45726</v>
      </c>
      <c r="CU5">
        <v>5</v>
      </c>
      <c r="CV5">
        <v>544064265</v>
      </c>
      <c r="CW5">
        <v>65839686</v>
      </c>
      <c r="CX5" t="s">
        <v>2367</v>
      </c>
      <c r="DA5" t="str">
        <f>_xll.BDS("PFE US Equity","SUPPLY_CHAIN_CUSTOMERS_ALL_DATA","cols=12;rows=5")</f>
        <v>MCK US Equity</v>
      </c>
      <c r="DB5">
        <v>25</v>
      </c>
      <c r="DC5" t="s">
        <v>1822</v>
      </c>
      <c r="DD5">
        <v>4.0761390000000004</v>
      </c>
      <c r="DE5" t="s">
        <v>1814</v>
      </c>
      <c r="DF5">
        <v>2025</v>
      </c>
      <c r="DG5" t="s">
        <v>2241</v>
      </c>
      <c r="DH5" s="6">
        <v>46079</v>
      </c>
      <c r="DI5">
        <v>5</v>
      </c>
      <c r="DJ5">
        <v>3911187456</v>
      </c>
      <c r="DK5">
        <v>154936</v>
      </c>
      <c r="DL5" t="s">
        <v>1875</v>
      </c>
      <c r="DQ5" t="str">
        <f>_xll.BDS("ONFC US Equity","SUPPLY_CHAIN_SUPPLIERS_ALL_DATA")</f>
        <v>#N/A N/A</v>
      </c>
      <c r="EE5" t="str">
        <f>_xll.BDS("ONFC US Equity","SUPPLY_CHAIN_CUSTOMERS_ALL_DATA")</f>
        <v>#N/A N/A</v>
      </c>
      <c r="EU5" t="str">
        <f>_xll.BDS("VERD US Equity","SUPPLY_CHAIN_SUPPLIERS_ALL_DATA")</f>
        <v>#N/A N/A</v>
      </c>
      <c r="FI5" t="str">
        <f>_xll.BDS("VERD US Equity","SUPPLY_CHAIN_CUSTOMERS_ALL_DATA")</f>
        <v>#N/A N/A</v>
      </c>
      <c r="FY5" t="str">
        <f>_xll.BDS("TSA US Equity","SUPPLY_CHAIN_SUPPLIERS_ALL_DATA")</f>
        <v>#N/A N/A</v>
      </c>
      <c r="GM5" t="str">
        <f>_xll.BDS("TSA US Equity","SUPPLY_CHAIN_CUSTOMERS_ALL_DATA")</f>
        <v>#N/A N/A</v>
      </c>
      <c r="HC5" t="str">
        <f>_xll.BDS("TUTR US Equity","SUPPLY_CHAIN_SUPPLIERS_ALL_DATA")</f>
        <v>#N/A N/A</v>
      </c>
      <c r="HQ5" t="str">
        <f>_xll.BDS("TUTR US Equity","SUPPLY_CHAIN_CUSTOMERS_ALL_DATA")</f>
        <v>#N/A N/A</v>
      </c>
      <c r="IG5" t="str">
        <f>_xll.BDS("CACB US Equity","SUPPLY_CHAIN_SUPPLIERS_ALL_DATA")</f>
        <v>#N/A N/A</v>
      </c>
      <c r="IU5" t="str">
        <f>_xll.BDS("CACB US Equity","SUPPLY_CHAIN_CUSTOMERS_ALL_DATA")</f>
        <v>#N/A N/A</v>
      </c>
      <c r="JK5" t="str">
        <f>_xll.BDS("PRPX US Equity","SUPPLY_CHAIN_SUPPLIERS_ALL_DATA")</f>
        <v>#N/A N/A</v>
      </c>
      <c r="JY5" t="str">
        <f>_xll.BDS("PRPX US Equity","SUPPLY_CHAIN_CUSTOMERS_ALL_DATA")</f>
        <v>#N/A N/A</v>
      </c>
      <c r="KO5" t="str">
        <f>_xll.BDS("KFFB US Equity","SUPPLY_CHAIN_SUPPLIERS_ALL_DATA")</f>
        <v>#N/A N/A</v>
      </c>
      <c r="LC5" t="str">
        <f>_xll.BDS("KFFB US Equity","SUPPLY_CHAIN_CUSTOMERS_ALL_DATA")</f>
        <v>#N/A N/A</v>
      </c>
      <c r="LS5" t="str">
        <f>_xll.BDS("PFBI US Equity","SUPPLY_CHAIN_SUPPLIERS_ALL_DATA")</f>
        <v>#N/A N/A</v>
      </c>
      <c r="MG5" t="str">
        <f>_xll.BDS("PFBI US Equity","SUPPLY_CHAIN_CUSTOMERS_ALL_DATA")</f>
        <v>#N/A N/A</v>
      </c>
      <c r="MW5" t="str">
        <f>_xll.BDS("ONVI US Equity","SUPPLY_CHAIN_SUPPLIERS_ALL_DATA")</f>
        <v>#N/A N/A</v>
      </c>
      <c r="NK5" t="str">
        <f>_xll.BDS("ONVI US Equity","SUPPLY_CHAIN_CUSTOMERS_ALL_DATA")</f>
        <v>#N/A N/A</v>
      </c>
      <c r="OA5" t="str">
        <f>_xll.BDS("MSCC US Equity","SUPPLY_CHAIN_SUPPLIERS_ALL_DATA","cols=12;rows=1")</f>
        <v>FE US Equity</v>
      </c>
      <c r="OC5">
        <v>-2.4245362661989844E-14</v>
      </c>
      <c r="OD5">
        <v>-2.4245362661989844E-14</v>
      </c>
      <c r="OE5" t="s">
        <v>1814</v>
      </c>
      <c r="OF5">
        <v>2021</v>
      </c>
      <c r="OG5" t="s">
        <v>1995</v>
      </c>
      <c r="OH5" s="6">
        <v>44693</v>
      </c>
      <c r="OI5">
        <v>1</v>
      </c>
      <c r="OJ5">
        <v>-2.4245362661989844E-14</v>
      </c>
      <c r="OK5">
        <v>302916</v>
      </c>
      <c r="OL5" t="s">
        <v>1996</v>
      </c>
      <c r="OO5" t="str">
        <f>_xll.BDS("MSCC US Equity","SUPPLY_CHAIN_CUSTOMERS_ALL_DATA")</f>
        <v>#N/A N/A</v>
      </c>
      <c r="PE5" t="str">
        <f>_xll.BDS("KEGS US Equity","SUPPLY_CHAIN_SUPPLIERS_ALL_DATA")</f>
        <v>#N/A N/A</v>
      </c>
      <c r="PS5" t="str">
        <f>_xll.BDS("KEGS US Equity","SUPPLY_CHAIN_CUSTOMERS_ALL_DATA")</f>
        <v>#N/A N/A</v>
      </c>
      <c r="QI5" t="str">
        <f>_xll.BDS("PACW US Equity","SUPPLY_CHAIN_SUPPLIERS_ALL_DATA")</f>
        <v>#N/A N/A</v>
      </c>
      <c r="QW5" t="str">
        <f>_xll.BDS("PACW US Equity","SUPPLY_CHAIN_CUSTOMERS_ALL_DATA")</f>
        <v>SNX US Equity</v>
      </c>
      <c r="RM5" t="str">
        <f>_xll.BDS("NATH US Equity","SUPPLY_CHAIN_SUPPLIERS_ALL_DATA","cols=12;rows=5")</f>
        <v>LW US Equity</v>
      </c>
      <c r="RN5" t="s">
        <v>1822</v>
      </c>
      <c r="RO5">
        <v>1.392E-3</v>
      </c>
      <c r="RP5">
        <v>6.9338999999999998E-2</v>
      </c>
      <c r="RQ5" t="s">
        <v>1823</v>
      </c>
      <c r="RR5">
        <v>2026</v>
      </c>
      <c r="RS5" t="s">
        <v>3741</v>
      </c>
      <c r="RT5" s="6">
        <v>46020</v>
      </c>
      <c r="RU5">
        <v>5</v>
      </c>
      <c r="RV5">
        <v>22451</v>
      </c>
      <c r="RW5">
        <v>966124</v>
      </c>
      <c r="RX5" t="s">
        <v>3096</v>
      </c>
      <c r="SA5" t="str">
        <f>_xll.BDS("NATH US Equity","SUPPLY_CHAIN_CUSTOMERS_ALL_DATA","cols=12;rows=5")</f>
        <v>288 HK Equity</v>
      </c>
      <c r="SB5">
        <v>22.667397000000001</v>
      </c>
      <c r="SC5" t="s">
        <v>1822</v>
      </c>
      <c r="SD5">
        <v>0.16194500000000001</v>
      </c>
      <c r="SE5" t="s">
        <v>1814</v>
      </c>
      <c r="SF5">
        <v>2025</v>
      </c>
      <c r="SG5" t="s">
        <v>3743</v>
      </c>
      <c r="SH5" s="6">
        <v>45818</v>
      </c>
      <c r="SI5">
        <v>5</v>
      </c>
      <c r="SJ5">
        <v>8397250</v>
      </c>
      <c r="SK5">
        <v>31670564</v>
      </c>
      <c r="SL5" t="s">
        <v>3670</v>
      </c>
      <c r="SQ5" t="str">
        <f>_xll.BDS("2894314Q US Equity","SUPPLY_CHAIN_SUPPLIERS_ALL_DATA")</f>
        <v>#N/A N/A</v>
      </c>
      <c r="TE5" t="str">
        <f>_xll.BDS("2894314Q US Equity","SUPPLY_CHAIN_CUSTOMERS_ALL_DATA")</f>
        <v>#N/A N/A</v>
      </c>
      <c r="TU5" t="str">
        <f>_xll.BDS("ARL US Equity","SUPPLY_CHAIN_SUPPLIERS_ALL_DATA")</f>
        <v>#N/A N/A</v>
      </c>
      <c r="UI5" t="str">
        <f>_xll.BDS("ARL US Equity","SUPPLY_CHAIN_CUSTOMERS_ALL_DATA")</f>
        <v>#N/A N/A</v>
      </c>
      <c r="UY5" t="str">
        <f>_xll.BDS("USXP US Equity","SUPPLY_CHAIN_SUPPLIERS_ALL_DATA")</f>
        <v>#N/A N/A</v>
      </c>
      <c r="VM5" t="str">
        <f>_xll.BDS("USXP US Equity","SUPPLY_CHAIN_CUSTOMERS_ALL_DATA")</f>
        <v>#N/A N/A</v>
      </c>
    </row>
    <row r="6" spans="1:600" x14ac:dyDescent="0.25">
      <c r="A6" t="s">
        <v>3671</v>
      </c>
      <c r="C6">
        <v>-2.4245362661989844E-14</v>
      </c>
      <c r="D6">
        <v>-2.4245362661989844E-14</v>
      </c>
      <c r="E6" t="s">
        <v>1814</v>
      </c>
      <c r="F6">
        <v>2021</v>
      </c>
      <c r="G6" t="s">
        <v>3672</v>
      </c>
      <c r="H6" s="6">
        <v>44693</v>
      </c>
      <c r="I6">
        <v>5</v>
      </c>
      <c r="J6">
        <v>-2.4245362661989844E-14</v>
      </c>
      <c r="K6">
        <v>964326</v>
      </c>
      <c r="L6" t="s">
        <v>3673</v>
      </c>
      <c r="BW6" t="s">
        <v>3425</v>
      </c>
      <c r="BX6">
        <v>-2.4245362661989844E-14</v>
      </c>
      <c r="BZ6">
        <v>-2.4245362661989844E-14</v>
      </c>
      <c r="CA6" t="s">
        <v>1814</v>
      </c>
      <c r="CB6">
        <v>2026</v>
      </c>
      <c r="CC6" t="s">
        <v>3423</v>
      </c>
      <c r="CD6" s="6">
        <v>46053</v>
      </c>
      <c r="CE6">
        <v>4</v>
      </c>
      <c r="CF6">
        <v>-2.4245362661989844E-14</v>
      </c>
      <c r="CG6">
        <v>62748597</v>
      </c>
      <c r="CH6" t="s">
        <v>3426</v>
      </c>
      <c r="CM6" t="s">
        <v>207</v>
      </c>
      <c r="CN6" t="s">
        <v>1822</v>
      </c>
      <c r="CO6">
        <v>0.22900000000000001</v>
      </c>
      <c r="CP6">
        <v>1.2800659999999999</v>
      </c>
      <c r="CQ6" t="s">
        <v>1827</v>
      </c>
      <c r="CR6">
        <v>2025</v>
      </c>
      <c r="CS6" t="s">
        <v>2368</v>
      </c>
      <c r="CT6" s="6">
        <v>45848</v>
      </c>
      <c r="CU6">
        <v>5</v>
      </c>
      <c r="CV6">
        <v>36417872</v>
      </c>
      <c r="CW6">
        <v>101752</v>
      </c>
      <c r="CX6" t="s">
        <v>2369</v>
      </c>
      <c r="DA6" t="s">
        <v>1872</v>
      </c>
      <c r="DB6">
        <v>16</v>
      </c>
      <c r="DC6" t="s">
        <v>1822</v>
      </c>
      <c r="DD6">
        <v>3.190922</v>
      </c>
      <c r="DE6" t="s">
        <v>1814</v>
      </c>
      <c r="DF6">
        <v>2025</v>
      </c>
      <c r="DG6" t="s">
        <v>2241</v>
      </c>
      <c r="DH6" s="6">
        <v>46079</v>
      </c>
      <c r="DI6">
        <v>5</v>
      </c>
      <c r="DJ6">
        <v>2503160064</v>
      </c>
      <c r="DK6">
        <v>156969</v>
      </c>
      <c r="DL6" t="s">
        <v>1874</v>
      </c>
      <c r="RM6" t="s">
        <v>3742</v>
      </c>
      <c r="RO6">
        <v>-2.4245362661989844E-14</v>
      </c>
      <c r="RP6">
        <v>-2.4245362661989844E-14</v>
      </c>
      <c r="RQ6" t="s">
        <v>1814</v>
      </c>
      <c r="RR6">
        <v>2025</v>
      </c>
      <c r="RS6" t="s">
        <v>3743</v>
      </c>
      <c r="RT6" s="6">
        <v>45818</v>
      </c>
      <c r="RU6">
        <v>5</v>
      </c>
      <c r="RV6">
        <v>-2.4245362661989844E-14</v>
      </c>
      <c r="RW6">
        <v>923183</v>
      </c>
      <c r="RX6" t="s">
        <v>3744</v>
      </c>
      <c r="SA6" t="s">
        <v>974</v>
      </c>
      <c r="SB6">
        <v>3.6588509999999999</v>
      </c>
      <c r="SC6" t="s">
        <v>1822</v>
      </c>
      <c r="SD6">
        <v>8.9899999999999997E-3</v>
      </c>
      <c r="SE6" t="s">
        <v>1806</v>
      </c>
      <c r="SF6">
        <v>2025</v>
      </c>
      <c r="SG6" t="s">
        <v>3669</v>
      </c>
      <c r="SH6" s="6">
        <v>45674</v>
      </c>
      <c r="SI6">
        <v>5</v>
      </c>
      <c r="SJ6">
        <v>1504117</v>
      </c>
      <c r="SK6">
        <v>101433</v>
      </c>
      <c r="SL6" t="s">
        <v>3804</v>
      </c>
    </row>
    <row r="7" spans="1:600" x14ac:dyDescent="0.25">
      <c r="A7" t="s">
        <v>3272</v>
      </c>
      <c r="C7">
        <v>-2.4245362661989844E-14</v>
      </c>
      <c r="D7">
        <v>-2.4245362661989844E-14</v>
      </c>
      <c r="E7" t="s">
        <v>1814</v>
      </c>
      <c r="F7">
        <v>2021</v>
      </c>
      <c r="G7" t="s">
        <v>3273</v>
      </c>
      <c r="H7" s="6">
        <v>44693</v>
      </c>
      <c r="I7">
        <v>5</v>
      </c>
      <c r="J7">
        <v>-2.4245362661989844E-14</v>
      </c>
      <c r="K7">
        <v>101086</v>
      </c>
      <c r="L7" t="s">
        <v>3274</v>
      </c>
      <c r="BW7" t="s">
        <v>3427</v>
      </c>
      <c r="BX7">
        <v>-2.4245362661989844E-14</v>
      </c>
      <c r="BZ7">
        <v>-2.4245362661989844E-14</v>
      </c>
      <c r="CA7" t="s">
        <v>1814</v>
      </c>
      <c r="CB7">
        <v>2023</v>
      </c>
      <c r="CC7" t="s">
        <v>3423</v>
      </c>
      <c r="CD7" s="6">
        <v>45001</v>
      </c>
      <c r="CE7">
        <v>4</v>
      </c>
      <c r="CF7">
        <v>-2.4245362661989844E-14</v>
      </c>
      <c r="CG7">
        <v>111398</v>
      </c>
      <c r="CH7" t="s">
        <v>3428</v>
      </c>
      <c r="CM7" t="s">
        <v>2370</v>
      </c>
      <c r="CN7" t="s">
        <v>1822</v>
      </c>
      <c r="CO7">
        <v>3.7231350000000001</v>
      </c>
      <c r="CP7">
        <v>0.80518199999999995</v>
      </c>
      <c r="CQ7" t="s">
        <v>1810</v>
      </c>
      <c r="CR7">
        <v>2025</v>
      </c>
      <c r="CS7" t="s">
        <v>2371</v>
      </c>
      <c r="CT7" s="6">
        <v>46069</v>
      </c>
      <c r="CU7">
        <v>5</v>
      </c>
      <c r="CV7">
        <v>33600181.100000001</v>
      </c>
      <c r="CW7">
        <v>153809</v>
      </c>
      <c r="CX7" t="s">
        <v>2372</v>
      </c>
      <c r="DA7" t="s">
        <v>1474</v>
      </c>
      <c r="DB7">
        <v>13</v>
      </c>
      <c r="DC7" t="s">
        <v>1822</v>
      </c>
      <c r="DD7">
        <v>3.4525320000000002</v>
      </c>
      <c r="DE7" t="s">
        <v>1814</v>
      </c>
      <c r="DF7">
        <v>2025</v>
      </c>
      <c r="DG7" t="s">
        <v>2241</v>
      </c>
      <c r="DH7" s="6">
        <v>46079</v>
      </c>
      <c r="DI7">
        <v>5</v>
      </c>
      <c r="DJ7">
        <v>2033817472</v>
      </c>
      <c r="DK7">
        <v>102782</v>
      </c>
      <c r="DL7" t="s">
        <v>2035</v>
      </c>
      <c r="RM7" t="s">
        <v>3745</v>
      </c>
      <c r="RO7">
        <v>-2.4245362661989844E-14</v>
      </c>
      <c r="RP7">
        <v>-2.4245362661989844E-14</v>
      </c>
      <c r="RQ7" t="s">
        <v>1814</v>
      </c>
      <c r="RR7">
        <v>2025</v>
      </c>
      <c r="RS7" t="s">
        <v>3743</v>
      </c>
      <c r="RT7" s="6">
        <v>45818</v>
      </c>
      <c r="RU7">
        <v>5</v>
      </c>
      <c r="RV7">
        <v>-2.4245362661989844E-14</v>
      </c>
      <c r="RW7">
        <v>915044</v>
      </c>
      <c r="RX7" t="s">
        <v>3746</v>
      </c>
      <c r="SA7" t="s">
        <v>2506</v>
      </c>
      <c r="SB7">
        <v>1.1433139999999999</v>
      </c>
      <c r="SC7" t="s">
        <v>1822</v>
      </c>
      <c r="SD7">
        <v>2.794E-3</v>
      </c>
      <c r="SE7" t="s">
        <v>1823</v>
      </c>
      <c r="SF7">
        <v>2025</v>
      </c>
      <c r="SG7" t="s">
        <v>3003</v>
      </c>
      <c r="SH7" s="6">
        <v>45887</v>
      </c>
      <c r="SI7">
        <v>5</v>
      </c>
      <c r="SJ7">
        <v>537487.79</v>
      </c>
      <c r="SK7">
        <v>115643</v>
      </c>
      <c r="SL7" t="s">
        <v>2507</v>
      </c>
    </row>
    <row r="8" spans="1:600" x14ac:dyDescent="0.25">
      <c r="A8" t="s">
        <v>1884</v>
      </c>
      <c r="C8">
        <v>-2.4245362661989844E-14</v>
      </c>
      <c r="D8">
        <v>-2.4245362661989844E-14</v>
      </c>
      <c r="E8" t="s">
        <v>1814</v>
      </c>
      <c r="F8">
        <v>2023</v>
      </c>
      <c r="G8" t="s">
        <v>3674</v>
      </c>
      <c r="H8" s="6">
        <v>45197</v>
      </c>
      <c r="I8">
        <v>5</v>
      </c>
      <c r="J8">
        <v>-2.4245362661989844E-14</v>
      </c>
      <c r="K8">
        <v>117092</v>
      </c>
      <c r="L8" t="s">
        <v>1886</v>
      </c>
      <c r="BW8" t="s">
        <v>3429</v>
      </c>
      <c r="BX8">
        <v>-2.4245362661989844E-14</v>
      </c>
      <c r="BZ8">
        <v>-2.4245362661989844E-14</v>
      </c>
      <c r="CA8" t="s">
        <v>1814</v>
      </c>
      <c r="CB8">
        <v>2025</v>
      </c>
      <c r="CC8" t="s">
        <v>3430</v>
      </c>
      <c r="CD8" s="6">
        <v>45784</v>
      </c>
      <c r="CE8">
        <v>4</v>
      </c>
      <c r="CF8">
        <v>-2.4245362661989844E-14</v>
      </c>
      <c r="CG8">
        <v>19416055</v>
      </c>
      <c r="CH8" t="s">
        <v>3431</v>
      </c>
      <c r="CM8" t="s">
        <v>2242</v>
      </c>
      <c r="CN8" t="s">
        <v>1822</v>
      </c>
      <c r="CO8">
        <v>0.238619</v>
      </c>
      <c r="CP8">
        <v>0.71575299999999997</v>
      </c>
      <c r="CQ8" t="s">
        <v>1814</v>
      </c>
      <c r="CR8">
        <v>2025</v>
      </c>
      <c r="CS8" t="s">
        <v>2243</v>
      </c>
      <c r="CT8" s="6">
        <v>46064</v>
      </c>
      <c r="CU8">
        <v>5</v>
      </c>
      <c r="CV8">
        <v>28750000</v>
      </c>
      <c r="CW8">
        <v>100225</v>
      </c>
      <c r="CX8" t="s">
        <v>2244</v>
      </c>
      <c r="DA8" t="s">
        <v>2242</v>
      </c>
      <c r="DB8">
        <v>11.153900999999999</v>
      </c>
      <c r="DC8" t="s">
        <v>1822</v>
      </c>
      <c r="DD8">
        <v>50.086109</v>
      </c>
      <c r="DE8" t="s">
        <v>1814</v>
      </c>
      <c r="DF8">
        <v>2025</v>
      </c>
      <c r="DG8" t="s">
        <v>2243</v>
      </c>
      <c r="DH8" s="6">
        <v>46064</v>
      </c>
      <c r="DI8">
        <v>5</v>
      </c>
      <c r="DJ8">
        <v>1745000000</v>
      </c>
      <c r="DK8">
        <v>100225</v>
      </c>
      <c r="DL8" t="s">
        <v>2244</v>
      </c>
      <c r="RM8" t="s">
        <v>3747</v>
      </c>
      <c r="RO8">
        <v>-2.4245362661989844E-14</v>
      </c>
      <c r="RP8">
        <v>-2.4245362661989844E-14</v>
      </c>
      <c r="RQ8" t="s">
        <v>1814</v>
      </c>
      <c r="RR8">
        <v>2025</v>
      </c>
      <c r="RS8" t="s">
        <v>3743</v>
      </c>
      <c r="RT8" s="6">
        <v>45818</v>
      </c>
      <c r="RU8">
        <v>5</v>
      </c>
      <c r="RV8">
        <v>-2.4245362661989844E-14</v>
      </c>
      <c r="RW8">
        <v>28581492</v>
      </c>
      <c r="RX8" t="s">
        <v>3748</v>
      </c>
      <c r="SA8" t="s">
        <v>3094</v>
      </c>
      <c r="SB8">
        <v>1.1128210000000001</v>
      </c>
      <c r="SC8" t="s">
        <v>1822</v>
      </c>
      <c r="SD8">
        <v>3.3359E-2</v>
      </c>
      <c r="SE8" t="s">
        <v>1814</v>
      </c>
      <c r="SF8">
        <v>2025</v>
      </c>
      <c r="SG8" t="s">
        <v>3743</v>
      </c>
      <c r="SH8" s="6">
        <v>45818</v>
      </c>
      <c r="SI8">
        <v>5</v>
      </c>
      <c r="SJ8">
        <v>412250</v>
      </c>
      <c r="SK8">
        <v>966124</v>
      </c>
      <c r="SL8" t="s">
        <v>3096</v>
      </c>
    </row>
    <row r="9" spans="1:600" x14ac:dyDescent="0.25">
      <c r="A9" t="s">
        <v>3278</v>
      </c>
      <c r="C9">
        <v>-2.4245362661989844E-14</v>
      </c>
      <c r="D9">
        <v>-2.4245362661989844E-14</v>
      </c>
      <c r="E9" t="s">
        <v>1814</v>
      </c>
      <c r="F9">
        <v>2021</v>
      </c>
      <c r="G9" t="s">
        <v>3279</v>
      </c>
      <c r="H9" s="6">
        <v>44693</v>
      </c>
      <c r="I9">
        <v>5</v>
      </c>
      <c r="J9">
        <v>-2.4245362661989844E-14</v>
      </c>
      <c r="K9">
        <v>101139</v>
      </c>
      <c r="L9" t="s">
        <v>3280</v>
      </c>
      <c r="CM9" t="s">
        <v>2373</v>
      </c>
      <c r="CN9" t="s">
        <v>1822</v>
      </c>
      <c r="CO9">
        <v>0.82792200000000005</v>
      </c>
      <c r="CP9">
        <v>0.75151400000000002</v>
      </c>
      <c r="CQ9" t="s">
        <v>1823</v>
      </c>
      <c r="CR9">
        <v>2025</v>
      </c>
      <c r="CS9" t="s">
        <v>2374</v>
      </c>
      <c r="CT9" s="6">
        <v>45959</v>
      </c>
      <c r="CU9">
        <v>5</v>
      </c>
      <c r="CV9">
        <v>28398061.84</v>
      </c>
      <c r="CW9">
        <v>113332</v>
      </c>
      <c r="CX9" t="s">
        <v>2375</v>
      </c>
      <c r="DA9" t="s">
        <v>2010</v>
      </c>
      <c r="DB9">
        <v>6</v>
      </c>
      <c r="DD9">
        <v>-2.4245362661989844E-14</v>
      </c>
      <c r="DE9" t="s">
        <v>1814</v>
      </c>
      <c r="DF9">
        <v>2024</v>
      </c>
      <c r="DG9" t="s">
        <v>2245</v>
      </c>
      <c r="DH9" s="6">
        <v>45715</v>
      </c>
      <c r="DI9">
        <v>5</v>
      </c>
      <c r="DJ9">
        <v>954404992</v>
      </c>
      <c r="DK9">
        <v>218252</v>
      </c>
      <c r="DL9" t="s">
        <v>2012</v>
      </c>
      <c r="RM9" t="s">
        <v>3749</v>
      </c>
      <c r="RO9">
        <v>-2.4245362661989844E-14</v>
      </c>
      <c r="RP9">
        <v>-2.4245362661989844E-14</v>
      </c>
      <c r="RQ9" t="s">
        <v>1814</v>
      </c>
      <c r="RR9">
        <v>2025</v>
      </c>
      <c r="RS9" t="s">
        <v>3743</v>
      </c>
      <c r="RT9" s="6">
        <v>45818</v>
      </c>
      <c r="RU9">
        <v>5</v>
      </c>
      <c r="RV9">
        <v>-2.4245362661989844E-14</v>
      </c>
      <c r="RW9">
        <v>24213877</v>
      </c>
      <c r="RX9" t="s">
        <v>3750</v>
      </c>
      <c r="SA9" t="s">
        <v>3805</v>
      </c>
      <c r="SB9">
        <v>1.0520849999999999</v>
      </c>
      <c r="SD9">
        <v>-2.4245362661989844E-14</v>
      </c>
      <c r="SE9" t="s">
        <v>1814</v>
      </c>
      <c r="SF9">
        <v>2025</v>
      </c>
      <c r="SG9" t="s">
        <v>3743</v>
      </c>
      <c r="SH9" s="6">
        <v>45818</v>
      </c>
      <c r="SI9">
        <v>5</v>
      </c>
      <c r="SJ9">
        <v>389750</v>
      </c>
      <c r="SK9">
        <v>70578700</v>
      </c>
      <c r="SL9" t="s">
        <v>3806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1705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1706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1707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1708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1709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1710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1711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1712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1713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1714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1715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1716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1717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1718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1719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1720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1721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1722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1723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1724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1725</v>
      </c>
      <c r="AE2" s="3" t="s">
        <v>1409</v>
      </c>
      <c r="BI2" s="3" t="s">
        <v>1726</v>
      </c>
      <c r="CM2" s="3" t="s">
        <v>1727</v>
      </c>
      <c r="DQ2" s="3" t="s">
        <v>210</v>
      </c>
      <c r="EU2" s="3" t="s">
        <v>1471</v>
      </c>
      <c r="FY2" s="3" t="s">
        <v>1728</v>
      </c>
      <c r="HC2" s="3" t="s">
        <v>1694</v>
      </c>
      <c r="IG2" s="3" t="s">
        <v>1729</v>
      </c>
      <c r="JK2" s="3" t="s">
        <v>1730</v>
      </c>
      <c r="KO2" s="3" t="s">
        <v>1731</v>
      </c>
      <c r="LS2" s="3" t="s">
        <v>1732</v>
      </c>
      <c r="MW2" s="3" t="s">
        <v>1733</v>
      </c>
      <c r="OA2" s="3" t="s">
        <v>1562</v>
      </c>
      <c r="PE2" s="3" t="s">
        <v>1734</v>
      </c>
      <c r="QI2" s="3" t="s">
        <v>1735</v>
      </c>
      <c r="RM2" s="3" t="s">
        <v>1736</v>
      </c>
      <c r="SQ2" s="3" t="s">
        <v>1737</v>
      </c>
      <c r="TU2" s="3" t="s">
        <v>1738</v>
      </c>
      <c r="UY2" s="3" t="s">
        <v>664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_xll.BDS("MSLPQ US Equity","SUPPLY_CHAIN_SUPPLIERS_ALL_DATA")</f>
        <v>#N/A N/A</v>
      </c>
      <c r="O5" t="str">
        <f>_xll.BDS("MSLPQ US Equity","SUPPLY_CHAIN_CUSTOMERS_ALL_DATA")</f>
        <v>#N/A N/A</v>
      </c>
      <c r="AE5" t="str">
        <f>_xll.BDS("EMCF US Equity","SUPPLY_CHAIN_SUPPLIERS_ALL_DATA")</f>
        <v>#N/A N/A</v>
      </c>
      <c r="AS5" t="str">
        <f>_xll.BDS("EMCF US Equity","SUPPLY_CHAIN_CUSTOMERS_ALL_DATA")</f>
        <v>#N/A N/A</v>
      </c>
      <c r="BI5" t="str">
        <f>_xll.BDS("UNTC US Equity","SUPPLY_CHAIN_SUPPLIERS_ALL_DATA")</f>
        <v>#N/A N/A</v>
      </c>
      <c r="BW5" t="str">
        <f>_xll.BDS("UNTC US Equity","SUPPLY_CHAIN_CUSTOMERS_ALL_DATA","cols=12;rows=5")</f>
        <v>0006815D US Equity</v>
      </c>
      <c r="BX5">
        <v>-2.4245362661989844E-14</v>
      </c>
      <c r="BZ5">
        <v>-2.4245362661989844E-14</v>
      </c>
      <c r="CA5" t="s">
        <v>1814</v>
      </c>
      <c r="CB5">
        <v>2022</v>
      </c>
      <c r="CC5" t="s">
        <v>2310</v>
      </c>
      <c r="CD5" s="6">
        <v>45003</v>
      </c>
      <c r="CE5">
        <v>5</v>
      </c>
      <c r="CF5">
        <v>-2.4245362661989844E-14</v>
      </c>
      <c r="CG5">
        <v>13759993</v>
      </c>
      <c r="CH5" t="s">
        <v>2311</v>
      </c>
      <c r="CM5" t="str">
        <f>_xll.BDS("WWWX US Equity","SUPPLY_CHAIN_SUPPLIERS_ALL_DATA")</f>
        <v>#N/A N/A</v>
      </c>
      <c r="DA5" t="str">
        <f>_xll.BDS("WWWX US Equity","SUPPLY_CHAIN_CUSTOMERS_ALL_DATA")</f>
        <v>#N/A N/A</v>
      </c>
      <c r="DQ5" t="str">
        <f>_xll.BDS("CLDA US Equity","SUPPLY_CHAIN_SUPPLIERS_ALL_DATA")</f>
        <v>#N/A N/A</v>
      </c>
      <c r="EE5" t="str">
        <f>_xll.BDS("CLDA US Equity","SUPPLY_CHAIN_CUSTOMERS_ALL_DATA")</f>
        <v>#N/A N/A</v>
      </c>
      <c r="EU5" t="str">
        <f>_xll.BDS("JEF US Equity","SUPPLY_CHAIN_SUPPLIERS_ALL_DATA","cols=12;rows=5")</f>
        <v>000063 CH Equity</v>
      </c>
      <c r="EW5">
        <v>-2.4245362661989844E-14</v>
      </c>
      <c r="EX5">
        <v>-2.4245362661989844E-14</v>
      </c>
      <c r="EY5" t="s">
        <v>1814</v>
      </c>
      <c r="EZ5">
        <v>2025</v>
      </c>
      <c r="FA5" t="s">
        <v>3030</v>
      </c>
      <c r="FB5" s="6">
        <v>45904</v>
      </c>
      <c r="FC5">
        <v>5</v>
      </c>
      <c r="FD5">
        <v>-2.4245362661989844E-14</v>
      </c>
      <c r="FE5">
        <v>304299</v>
      </c>
      <c r="FF5" t="s">
        <v>2157</v>
      </c>
      <c r="FI5" t="str">
        <f>_xll.BDS("JEF US Equity","SUPPLY_CHAIN_CUSTOMERS_ALL_DATA")</f>
        <v>#N/A N/A</v>
      </c>
      <c r="FY5" t="str">
        <f>_xll.BDS("597946Q US Equity","SUPPLY_CHAIN_SUPPLIERS_ALL_DATA")</f>
        <v>#N/A N/A</v>
      </c>
      <c r="GM5" t="str">
        <f>_xll.BDS("597946Q US Equity","SUPPLY_CHAIN_CUSTOMERS_ALL_DATA")</f>
        <v>#N/A N/A</v>
      </c>
      <c r="HC5" t="str">
        <f>_xll.BDS("ONFC US Equity","SUPPLY_CHAIN_SUPPLIERS_ALL_DATA")</f>
        <v>#N/A N/A</v>
      </c>
      <c r="HQ5" t="str">
        <f>_xll.BDS("ONFC US Equity","SUPPLY_CHAIN_CUSTOMERS_ALL_DATA")</f>
        <v>#N/A N/A</v>
      </c>
      <c r="IG5" t="str">
        <f>_xll.BDS("MGLD US Equity","SUPPLY_CHAIN_SUPPLIERS_ALL_DATA","cols=12;rows=3")</f>
        <v>002353 CH Equity</v>
      </c>
      <c r="II5">
        <v>-2.4245362661989844E-14</v>
      </c>
      <c r="IJ5">
        <v>-2.4245362661989844E-14</v>
      </c>
      <c r="IK5" t="s">
        <v>1814</v>
      </c>
      <c r="IL5">
        <v>2022</v>
      </c>
      <c r="IM5" t="s">
        <v>3023</v>
      </c>
      <c r="IN5" s="6">
        <v>45036</v>
      </c>
      <c r="IO5">
        <v>3</v>
      </c>
      <c r="IP5">
        <v>-2.4245362661989844E-14</v>
      </c>
      <c r="IQ5">
        <v>17505266</v>
      </c>
      <c r="IR5" t="s">
        <v>3024</v>
      </c>
      <c r="IU5" t="str">
        <f>_xll.BDS("MGLD US Equity","SUPPLY_CHAIN_CUSTOMERS_ALL_DATA")</f>
        <v>#N/A N/A</v>
      </c>
      <c r="JK5" t="str">
        <f>_xll.BDS("TRMK US Equity","SUPPLY_CHAIN_SUPPLIERS_ALL_DATA","cols=12;rows=1")</f>
        <v>1514239D US Equity</v>
      </c>
      <c r="JM5">
        <v>-2.4245362661989844E-14</v>
      </c>
      <c r="JN5">
        <v>-2.4245362661989844E-14</v>
      </c>
      <c r="JO5" t="s">
        <v>1814</v>
      </c>
      <c r="JP5">
        <v>2025</v>
      </c>
      <c r="JQ5" t="s">
        <v>2432</v>
      </c>
      <c r="JR5" s="6">
        <v>46036</v>
      </c>
      <c r="JS5">
        <v>1</v>
      </c>
      <c r="JT5">
        <v>-2.4245362661989844E-14</v>
      </c>
      <c r="JU5">
        <v>53911736</v>
      </c>
      <c r="JV5" t="s">
        <v>2433</v>
      </c>
      <c r="JY5" t="str">
        <f>_xll.BDS("TRMK US Equity","SUPPLY_CHAIN_CUSTOMERS_ALL_DATA")</f>
        <v>#N/A N/A</v>
      </c>
      <c r="KO5" t="str">
        <f>_xll.BDS("DNDNQ US Equity","SUPPLY_CHAIN_SUPPLIERS_ALL_DATA")</f>
        <v>#N/A N/A</v>
      </c>
      <c r="LC5" t="str">
        <f>_xll.BDS("DNDNQ US Equity","SUPPLY_CHAIN_CUSTOMERS_ALL_DATA")</f>
        <v>#N/A N/A</v>
      </c>
      <c r="LS5" t="str">
        <f>_xll.BDS("PCBB US Equity","SUPPLY_CHAIN_SUPPLIERS_ALL_DATA")</f>
        <v>#N/A N/A</v>
      </c>
      <c r="MG5" t="str">
        <f>_xll.BDS("PCBB US Equity","SUPPLY_CHAIN_CUSTOMERS_ALL_DATA")</f>
        <v>#N/A N/A</v>
      </c>
      <c r="MW5" t="str">
        <f>_xll.BDS("NDN US Equity","SUPPLY_CHAIN_SUPPLIERS_ALL_DATA","cols=12;rows=5")</f>
        <v>0070994D US Equity</v>
      </c>
      <c r="MY5">
        <v>-2.4245362661989844E-14</v>
      </c>
      <c r="MZ5">
        <v>-2.4245362661989844E-14</v>
      </c>
      <c r="NA5" t="s">
        <v>1806</v>
      </c>
      <c r="NB5">
        <v>2025</v>
      </c>
      <c r="NC5" t="s">
        <v>3790</v>
      </c>
      <c r="ND5" s="6">
        <v>45389</v>
      </c>
      <c r="NE5">
        <v>5</v>
      </c>
      <c r="NF5">
        <v>-2.4245362661989844E-14</v>
      </c>
      <c r="NG5">
        <v>944574</v>
      </c>
      <c r="NH5" t="s">
        <v>3791</v>
      </c>
      <c r="NK5" t="str">
        <f>_xll.BDS("NDN US Equity","SUPPLY_CHAIN_CUSTOMERS_ALL_DATA")</f>
        <v>#N/A N/A</v>
      </c>
      <c r="OA5" t="str">
        <f>_xll.BDS("FNBG US Equity","SUPPLY_CHAIN_SUPPLIERS_ALL_DATA")</f>
        <v>#N/A N/A</v>
      </c>
      <c r="OO5" t="str">
        <f>_xll.BDS("FNBG US Equity","SUPPLY_CHAIN_CUSTOMERS_ALL_DATA")</f>
        <v>#N/A N/A</v>
      </c>
      <c r="PE5" t="str">
        <f>_xll.BDS("FTRCQ US Equity","SUPPLY_CHAIN_SUPPLIERS_ALL_DATA","cols=12;rows=4")</f>
        <v>2296295D US Equity</v>
      </c>
      <c r="PG5">
        <v>-2.4245362661989844E-14</v>
      </c>
      <c r="PH5">
        <v>-2.4245362661989844E-14</v>
      </c>
      <c r="PI5" t="s">
        <v>1814</v>
      </c>
      <c r="PJ5">
        <v>2024</v>
      </c>
      <c r="PK5" t="s">
        <v>3484</v>
      </c>
      <c r="PL5" s="6">
        <v>45316</v>
      </c>
      <c r="PM5">
        <v>4</v>
      </c>
      <c r="PN5">
        <v>-2.4245362661989844E-14</v>
      </c>
      <c r="PO5">
        <v>71201164</v>
      </c>
      <c r="PP5" t="s">
        <v>3485</v>
      </c>
      <c r="PS5" t="str">
        <f>_xll.BDS("FTRCQ US Equity","SUPPLY_CHAIN_CUSTOMERS_ALL_DATA")</f>
        <v>#N/A N/A</v>
      </c>
      <c r="QI5" t="str">
        <f>_xll.BDS("CARV US Equity","SUPPLY_CHAIN_SUPPLIERS_ALL_DATA")</f>
        <v>#N/A N/A</v>
      </c>
      <c r="QW5" t="str">
        <f>_xll.BDS("CARV US Equity","SUPPLY_CHAIN_CUSTOMERS_ALL_DATA")</f>
        <v>#N/A N/A</v>
      </c>
      <c r="RM5" t="str">
        <f>_xll.BDS("CWBK US Equity","SUPPLY_CHAIN_SUPPLIERS_ALL_DATA")</f>
        <v>#N/A N/A</v>
      </c>
      <c r="SA5" t="str">
        <f>_xll.BDS("CWBK US Equity","SUPPLY_CHAIN_CUSTOMERS_ALL_DATA")</f>
        <v>#N/A N/A</v>
      </c>
      <c r="SQ5" t="str">
        <f>_xll.BDS("HEAL US Equity","SUPPLY_CHAIN_SUPPLIERS_ALL_DATA")</f>
        <v>#N/A N/A</v>
      </c>
      <c r="TE5" t="str">
        <f>_xll.BDS("HEAL US Equity","SUPPLY_CHAIN_CUSTOMERS_ALL_DATA")</f>
        <v>#N/A N/A</v>
      </c>
      <c r="TU5" t="str">
        <f>_xll.BDS("SSNC US Equity","SUPPLY_CHAIN_SUPPLIERS_ALL_DATA","cols=12;rows=5")</f>
        <v>D-U CN Equity</v>
      </c>
      <c r="TV5" t="s">
        <v>1893</v>
      </c>
      <c r="TW5">
        <v>4.0999999999999996</v>
      </c>
      <c r="TX5">
        <v>0.51905900000000005</v>
      </c>
      <c r="TY5" t="s">
        <v>1810</v>
      </c>
      <c r="TZ5">
        <v>2025</v>
      </c>
      <c r="UA5" t="s">
        <v>2645</v>
      </c>
      <c r="UB5" s="6">
        <v>45967</v>
      </c>
      <c r="UC5">
        <v>5</v>
      </c>
      <c r="UD5">
        <v>1367986.04</v>
      </c>
      <c r="UE5">
        <v>179603</v>
      </c>
      <c r="UF5" t="s">
        <v>2646</v>
      </c>
      <c r="UI5" t="str">
        <f>_xll.BDS("SSNC US Equity","SUPPLY_CHAIN_CUSTOMERS_ALL_DATA","cols=12;rows=5")</f>
        <v>AYX US Equity</v>
      </c>
      <c r="UJ5">
        <v>-2.4245362661989844E-14</v>
      </c>
      <c r="UL5">
        <v>-2.4245362661989844E-14</v>
      </c>
      <c r="UM5" t="s">
        <v>1814</v>
      </c>
      <c r="UN5">
        <v>2022</v>
      </c>
      <c r="UO5" t="s">
        <v>2486</v>
      </c>
      <c r="UP5" s="6">
        <v>44967</v>
      </c>
      <c r="UQ5">
        <v>5</v>
      </c>
      <c r="UR5">
        <v>-2.4245362661989844E-14</v>
      </c>
      <c r="US5">
        <v>20343647</v>
      </c>
      <c r="UT5" t="s">
        <v>2487</v>
      </c>
      <c r="UY5" t="str">
        <f>_xll.BDS("598014Q US Equity","SUPPLY_CHAIN_SUPPLIERS_ALL_DATA")</f>
        <v>#N/A N/A</v>
      </c>
      <c r="VM5" t="str">
        <f>_xll.BDS("598014Q US Equity","SUPPLY_CHAIN_CUSTOMERS_ALL_DATA")</f>
        <v>#N/A N/A</v>
      </c>
    </row>
    <row r="6" spans="1:600" x14ac:dyDescent="0.25">
      <c r="BW6" t="s">
        <v>2312</v>
      </c>
      <c r="BX6">
        <v>-2.4245362661989844E-14</v>
      </c>
      <c r="BZ6">
        <v>-2.4245362661989844E-14</v>
      </c>
      <c r="CA6" t="s">
        <v>1814</v>
      </c>
      <c r="CB6">
        <v>2023</v>
      </c>
      <c r="CC6" t="s">
        <v>2313</v>
      </c>
      <c r="CD6" s="6">
        <v>45365</v>
      </c>
      <c r="CE6">
        <v>5</v>
      </c>
      <c r="CF6">
        <v>-2.4245362661989844E-14</v>
      </c>
      <c r="CG6">
        <v>17671846</v>
      </c>
      <c r="CH6" t="s">
        <v>2314</v>
      </c>
      <c r="EU6" t="s">
        <v>3031</v>
      </c>
      <c r="EW6">
        <v>-2.4245362661989844E-14</v>
      </c>
      <c r="EX6">
        <v>-2.4245362661989844E-14</v>
      </c>
      <c r="EY6" t="s">
        <v>1814</v>
      </c>
      <c r="EZ6">
        <v>2026</v>
      </c>
      <c r="FA6" t="s">
        <v>3032</v>
      </c>
      <c r="FB6" s="6">
        <v>46042</v>
      </c>
      <c r="FC6">
        <v>5</v>
      </c>
      <c r="FD6">
        <v>-2.4245362661989844E-14</v>
      </c>
      <c r="FE6">
        <v>9095890</v>
      </c>
      <c r="FF6" t="s">
        <v>3033</v>
      </c>
      <c r="IG6" t="s">
        <v>3025</v>
      </c>
      <c r="II6">
        <v>-2.4245362661989844E-14</v>
      </c>
      <c r="IJ6">
        <v>-2.4245362661989844E-14</v>
      </c>
      <c r="IK6" t="s">
        <v>1814</v>
      </c>
      <c r="IL6">
        <v>2023</v>
      </c>
      <c r="IM6" t="s">
        <v>3026</v>
      </c>
      <c r="IN6" s="6">
        <v>45181</v>
      </c>
      <c r="IO6">
        <v>3</v>
      </c>
      <c r="IP6">
        <v>-2.4245362661989844E-14</v>
      </c>
      <c r="IQ6">
        <v>66293920</v>
      </c>
      <c r="IR6" t="s">
        <v>3027</v>
      </c>
      <c r="MW6" t="s">
        <v>3792</v>
      </c>
      <c r="MY6">
        <v>-2.4245362661989844E-14</v>
      </c>
      <c r="MZ6">
        <v>-2.4245362661989844E-14</v>
      </c>
      <c r="NA6" t="s">
        <v>1806</v>
      </c>
      <c r="NB6">
        <v>2025</v>
      </c>
      <c r="NC6" t="s">
        <v>3790</v>
      </c>
      <c r="ND6" s="6">
        <v>45389</v>
      </c>
      <c r="NE6">
        <v>5</v>
      </c>
      <c r="NF6">
        <v>-2.4245362661989844E-14</v>
      </c>
      <c r="NG6">
        <v>28745817</v>
      </c>
      <c r="NH6" t="s">
        <v>3793</v>
      </c>
      <c r="PE6" t="s">
        <v>3486</v>
      </c>
      <c r="PG6">
        <v>-2.4245362661989844E-14</v>
      </c>
      <c r="PH6">
        <v>-2.4245362661989844E-14</v>
      </c>
      <c r="PI6" t="s">
        <v>1814</v>
      </c>
      <c r="PJ6">
        <v>2021</v>
      </c>
      <c r="PK6" t="s">
        <v>3487</v>
      </c>
      <c r="PL6" s="6">
        <v>44630</v>
      </c>
      <c r="PM6">
        <v>4</v>
      </c>
      <c r="PN6">
        <v>-2.4245362661989844E-14</v>
      </c>
      <c r="PO6">
        <v>28128169</v>
      </c>
      <c r="PP6" t="s">
        <v>3488</v>
      </c>
      <c r="TU6" t="s">
        <v>2647</v>
      </c>
      <c r="TW6">
        <v>-2.4245362661989844E-14</v>
      </c>
      <c r="TX6">
        <v>-2.4245362661989844E-14</v>
      </c>
      <c r="TY6" t="s">
        <v>1806</v>
      </c>
      <c r="TZ6">
        <v>2026</v>
      </c>
      <c r="UA6" t="s">
        <v>2648</v>
      </c>
      <c r="UB6" s="6">
        <v>45862</v>
      </c>
      <c r="UC6">
        <v>5</v>
      </c>
      <c r="UD6">
        <v>-2.4245362661989844E-14</v>
      </c>
      <c r="UE6">
        <v>68511165</v>
      </c>
      <c r="UF6" t="s">
        <v>2649</v>
      </c>
      <c r="UI6" t="s">
        <v>2488</v>
      </c>
      <c r="UJ6">
        <v>-2.4245362661989844E-14</v>
      </c>
      <c r="UL6">
        <v>-2.4245362661989844E-14</v>
      </c>
      <c r="UM6" t="s">
        <v>1814</v>
      </c>
      <c r="UN6">
        <v>2024</v>
      </c>
      <c r="UO6" t="s">
        <v>2489</v>
      </c>
      <c r="UP6" s="6">
        <v>45544</v>
      </c>
      <c r="UQ6">
        <v>5</v>
      </c>
      <c r="UR6">
        <v>-2.4245362661989844E-14</v>
      </c>
      <c r="US6">
        <v>101650</v>
      </c>
      <c r="UT6" t="s">
        <v>2490</v>
      </c>
    </row>
    <row r="7" spans="1:600" x14ac:dyDescent="0.25">
      <c r="BW7" t="s">
        <v>2315</v>
      </c>
      <c r="BX7">
        <v>-2.4245362661989844E-14</v>
      </c>
      <c r="BZ7">
        <v>-2.4245362661989844E-14</v>
      </c>
      <c r="CA7" t="s">
        <v>1814</v>
      </c>
      <c r="CB7">
        <v>2023</v>
      </c>
      <c r="CC7" t="s">
        <v>2313</v>
      </c>
      <c r="CD7" s="6">
        <v>45365</v>
      </c>
      <c r="CE7">
        <v>5</v>
      </c>
      <c r="CF7">
        <v>-2.4245362661989844E-14</v>
      </c>
      <c r="CG7">
        <v>19492414</v>
      </c>
      <c r="CH7" t="s">
        <v>2316</v>
      </c>
      <c r="EU7" t="s">
        <v>2839</v>
      </c>
      <c r="EW7">
        <v>-2.4245362661989844E-14</v>
      </c>
      <c r="EX7">
        <v>-2.4245362661989844E-14</v>
      </c>
      <c r="EY7" t="s">
        <v>1823</v>
      </c>
      <c r="EZ7">
        <v>2026</v>
      </c>
      <c r="FA7" t="s">
        <v>3034</v>
      </c>
      <c r="FB7" s="6">
        <v>45966</v>
      </c>
      <c r="FC7">
        <v>5</v>
      </c>
      <c r="FD7">
        <v>-2.4245362661989844E-14</v>
      </c>
      <c r="FE7">
        <v>63052670</v>
      </c>
      <c r="FF7" t="s">
        <v>2841</v>
      </c>
      <c r="IG7" t="s">
        <v>3028</v>
      </c>
      <c r="II7">
        <v>-2.4245362661989844E-14</v>
      </c>
      <c r="IJ7">
        <v>-2.4245362661989844E-14</v>
      </c>
      <c r="IK7" t="s">
        <v>1814</v>
      </c>
      <c r="IL7">
        <v>2023</v>
      </c>
      <c r="IM7" t="s">
        <v>3026</v>
      </c>
      <c r="IN7" s="6">
        <v>45181</v>
      </c>
      <c r="IO7">
        <v>3</v>
      </c>
      <c r="IP7">
        <v>-2.4245362661989844E-14</v>
      </c>
      <c r="IQ7">
        <v>69505735</v>
      </c>
      <c r="IR7" t="s">
        <v>3029</v>
      </c>
      <c r="MW7" t="s">
        <v>3794</v>
      </c>
      <c r="MY7">
        <v>-2.4245362661989844E-14</v>
      </c>
      <c r="MZ7">
        <v>-2.4245362661989844E-14</v>
      </c>
      <c r="NA7" t="s">
        <v>1806</v>
      </c>
      <c r="NB7">
        <v>2025</v>
      </c>
      <c r="NC7" t="s">
        <v>3790</v>
      </c>
      <c r="ND7" s="6">
        <v>45389</v>
      </c>
      <c r="NE7">
        <v>5</v>
      </c>
      <c r="NF7">
        <v>-2.4245362661989844E-14</v>
      </c>
      <c r="NG7">
        <v>29708632</v>
      </c>
      <c r="NH7" t="s">
        <v>3795</v>
      </c>
      <c r="PE7" t="s">
        <v>2844</v>
      </c>
      <c r="PG7">
        <v>-2.4245362661989844E-14</v>
      </c>
      <c r="PH7">
        <v>-2.4245362661989844E-14</v>
      </c>
      <c r="PI7" t="s">
        <v>1806</v>
      </c>
      <c r="PJ7">
        <v>2023</v>
      </c>
      <c r="PK7" t="s">
        <v>3489</v>
      </c>
      <c r="PL7" s="6">
        <v>44706</v>
      </c>
      <c r="PM7">
        <v>4</v>
      </c>
      <c r="PN7">
        <v>-2.4245362661989844E-14</v>
      </c>
      <c r="PO7">
        <v>100487</v>
      </c>
      <c r="PP7" t="s">
        <v>2846</v>
      </c>
      <c r="TU7" t="s">
        <v>2650</v>
      </c>
      <c r="TW7">
        <v>-2.4245362661989844E-14</v>
      </c>
      <c r="TX7">
        <v>-2.4245362661989844E-14</v>
      </c>
      <c r="TY7" t="s">
        <v>1814</v>
      </c>
      <c r="TZ7">
        <v>2023</v>
      </c>
      <c r="UA7" t="s">
        <v>2489</v>
      </c>
      <c r="UB7" s="6">
        <v>45035</v>
      </c>
      <c r="UC7">
        <v>5</v>
      </c>
      <c r="UD7">
        <v>-2.4245362661989844E-14</v>
      </c>
      <c r="UE7">
        <v>67873882</v>
      </c>
      <c r="UF7" t="s">
        <v>2651</v>
      </c>
      <c r="UI7" t="s">
        <v>2491</v>
      </c>
      <c r="UJ7">
        <v>-2.4245362661989844E-14</v>
      </c>
      <c r="UL7">
        <v>-2.4245362661989844E-14</v>
      </c>
      <c r="UM7" t="s">
        <v>1814</v>
      </c>
      <c r="UN7">
        <v>2025</v>
      </c>
      <c r="UO7" t="s">
        <v>2489</v>
      </c>
      <c r="UP7" s="6">
        <v>45756</v>
      </c>
      <c r="UQ7">
        <v>5</v>
      </c>
      <c r="UR7">
        <v>-2.4245362661989844E-14</v>
      </c>
      <c r="US7">
        <v>107412</v>
      </c>
      <c r="UT7" t="s">
        <v>2492</v>
      </c>
    </row>
    <row r="8" spans="1:600" x14ac:dyDescent="0.25">
      <c r="BW8" t="s">
        <v>2317</v>
      </c>
      <c r="BX8">
        <v>-2.4245362661989844E-14</v>
      </c>
      <c r="BZ8">
        <v>-2.4245362661989844E-14</v>
      </c>
      <c r="CA8" t="s">
        <v>1814</v>
      </c>
      <c r="CB8">
        <v>2022</v>
      </c>
      <c r="CC8" t="s">
        <v>2310</v>
      </c>
      <c r="CD8" s="6">
        <v>45003</v>
      </c>
      <c r="CE8">
        <v>5</v>
      </c>
      <c r="CF8">
        <v>-2.4245362661989844E-14</v>
      </c>
      <c r="CG8">
        <v>34929300</v>
      </c>
      <c r="CH8" t="s">
        <v>2318</v>
      </c>
      <c r="EU8" t="s">
        <v>3035</v>
      </c>
      <c r="EW8">
        <v>-2.4245362661989844E-14</v>
      </c>
      <c r="EX8">
        <v>-2.4245362661989844E-14</v>
      </c>
      <c r="EY8" t="s">
        <v>1810</v>
      </c>
      <c r="EZ8">
        <v>2025</v>
      </c>
      <c r="FA8" t="s">
        <v>3036</v>
      </c>
      <c r="FB8" s="6">
        <v>45971</v>
      </c>
      <c r="FC8">
        <v>5</v>
      </c>
      <c r="FD8">
        <v>-2.4245362661989844E-14</v>
      </c>
      <c r="FE8">
        <v>45683508</v>
      </c>
      <c r="FF8" t="s">
        <v>3037</v>
      </c>
      <c r="MW8" t="s">
        <v>3796</v>
      </c>
      <c r="MY8">
        <v>-2.4245362661989844E-14</v>
      </c>
      <c r="MZ8">
        <v>-2.4245362661989844E-14</v>
      </c>
      <c r="NA8" t="s">
        <v>1806</v>
      </c>
      <c r="NB8">
        <v>2025</v>
      </c>
      <c r="NC8" t="s">
        <v>3790</v>
      </c>
      <c r="ND8" s="6">
        <v>45389</v>
      </c>
      <c r="NE8">
        <v>5</v>
      </c>
      <c r="NF8">
        <v>-2.4245362661989844E-14</v>
      </c>
      <c r="NG8">
        <v>30891331</v>
      </c>
      <c r="NH8" t="s">
        <v>3797</v>
      </c>
      <c r="PE8" t="s">
        <v>3490</v>
      </c>
      <c r="PG8">
        <v>-2.4245362661989844E-14</v>
      </c>
      <c r="PH8">
        <v>-2.4245362661989844E-14</v>
      </c>
      <c r="PI8" t="s">
        <v>1814</v>
      </c>
      <c r="PJ8">
        <v>2022</v>
      </c>
      <c r="PK8" t="s">
        <v>3491</v>
      </c>
      <c r="PL8" s="6">
        <v>44659</v>
      </c>
      <c r="PM8">
        <v>4</v>
      </c>
      <c r="PN8">
        <v>-2.4245362661989844E-14</v>
      </c>
      <c r="PO8">
        <v>194621</v>
      </c>
      <c r="PP8" t="s">
        <v>3492</v>
      </c>
      <c r="TU8" t="s">
        <v>2652</v>
      </c>
      <c r="TW8">
        <v>-2.4245362661989844E-14</v>
      </c>
      <c r="TX8">
        <v>-2.4245362661989844E-14</v>
      </c>
      <c r="TY8" t="s">
        <v>1814</v>
      </c>
      <c r="TZ8">
        <v>2021</v>
      </c>
      <c r="UA8" t="s">
        <v>2653</v>
      </c>
      <c r="UB8" s="6">
        <v>44693</v>
      </c>
      <c r="UC8">
        <v>5</v>
      </c>
      <c r="UD8">
        <v>-2.4245362661989844E-14</v>
      </c>
      <c r="UE8">
        <v>54282724</v>
      </c>
      <c r="UF8" t="s">
        <v>2654</v>
      </c>
      <c r="UI8" t="s">
        <v>2493</v>
      </c>
      <c r="UJ8">
        <v>-2.4245362661989844E-14</v>
      </c>
      <c r="UL8">
        <v>-2.4245362661989844E-14</v>
      </c>
      <c r="UM8" t="s">
        <v>1814</v>
      </c>
      <c r="UN8">
        <v>2023</v>
      </c>
      <c r="UO8" t="s">
        <v>2494</v>
      </c>
      <c r="UP8" s="6">
        <v>45027</v>
      </c>
      <c r="UQ8">
        <v>5</v>
      </c>
      <c r="UR8">
        <v>-2.4245362661989844E-14</v>
      </c>
      <c r="US8">
        <v>1096220</v>
      </c>
      <c r="UT8" t="s">
        <v>2495</v>
      </c>
    </row>
    <row r="9" spans="1:600" x14ac:dyDescent="0.25">
      <c r="BW9" t="s">
        <v>2319</v>
      </c>
      <c r="BX9">
        <v>-2.4245362661989844E-14</v>
      </c>
      <c r="BZ9">
        <v>-2.4245362661989844E-14</v>
      </c>
      <c r="CA9" t="s">
        <v>1814</v>
      </c>
      <c r="CB9">
        <v>2023</v>
      </c>
      <c r="CC9" t="s">
        <v>2313</v>
      </c>
      <c r="CD9" s="6">
        <v>45365</v>
      </c>
      <c r="CE9">
        <v>5</v>
      </c>
      <c r="CF9">
        <v>-2.4245362661989844E-14</v>
      </c>
      <c r="CG9">
        <v>9081022</v>
      </c>
      <c r="CH9" t="s">
        <v>2320</v>
      </c>
      <c r="EU9" t="s">
        <v>2065</v>
      </c>
      <c r="EW9">
        <v>-2.4245362661989844E-14</v>
      </c>
      <c r="EX9">
        <v>-2.4245362661989844E-14</v>
      </c>
      <c r="EY9" t="s">
        <v>1814</v>
      </c>
      <c r="EZ9">
        <v>2023</v>
      </c>
      <c r="FA9" t="s">
        <v>3038</v>
      </c>
      <c r="FB9" s="6">
        <v>45377</v>
      </c>
      <c r="FC9">
        <v>5</v>
      </c>
      <c r="FD9">
        <v>-2.4245362661989844E-14</v>
      </c>
      <c r="FE9">
        <v>46286147</v>
      </c>
      <c r="FF9" t="s">
        <v>2067</v>
      </c>
      <c r="MW9" t="s">
        <v>3798</v>
      </c>
      <c r="MY9">
        <v>-2.4245362661989844E-14</v>
      </c>
      <c r="MZ9">
        <v>-2.4245362661989844E-14</v>
      </c>
      <c r="NA9" t="s">
        <v>1806</v>
      </c>
      <c r="NB9">
        <v>2025</v>
      </c>
      <c r="NC9" t="s">
        <v>3790</v>
      </c>
      <c r="ND9" s="6">
        <v>45389</v>
      </c>
      <c r="NE9">
        <v>5</v>
      </c>
      <c r="NF9">
        <v>-2.4245362661989844E-14</v>
      </c>
      <c r="NG9">
        <v>31345127</v>
      </c>
      <c r="NH9" t="s">
        <v>3799</v>
      </c>
      <c r="TU9" t="s">
        <v>2655</v>
      </c>
      <c r="TW9">
        <v>-2.4245362661989844E-14</v>
      </c>
      <c r="TX9">
        <v>-2.4245362661989844E-14</v>
      </c>
      <c r="TY9" t="s">
        <v>1814</v>
      </c>
      <c r="TZ9">
        <v>2024</v>
      </c>
      <c r="UA9" t="s">
        <v>2489</v>
      </c>
      <c r="UB9" s="6">
        <v>45330</v>
      </c>
      <c r="UC9">
        <v>5</v>
      </c>
      <c r="UD9">
        <v>-2.4245362661989844E-14</v>
      </c>
      <c r="UE9">
        <v>49422174</v>
      </c>
      <c r="UF9" t="s">
        <v>2656</v>
      </c>
      <c r="UI9" t="s">
        <v>2496</v>
      </c>
      <c r="UJ9">
        <v>-2.4245362661989844E-14</v>
      </c>
      <c r="UL9">
        <v>-2.4245362661989844E-14</v>
      </c>
      <c r="UM9" t="s">
        <v>1814</v>
      </c>
      <c r="UN9">
        <v>2022</v>
      </c>
      <c r="UO9" t="s">
        <v>2497</v>
      </c>
      <c r="UP9" s="6">
        <v>44734</v>
      </c>
      <c r="UQ9">
        <v>5</v>
      </c>
      <c r="UR9">
        <v>-2.4245362661989844E-14</v>
      </c>
      <c r="US9">
        <v>11011052</v>
      </c>
      <c r="UT9" t="s">
        <v>2498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1739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1740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1741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1742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1743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1744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1745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1746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1747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1748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1749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1750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1751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1752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1753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1754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1755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1756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1757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1758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1759</v>
      </c>
      <c r="AE2" s="3" t="s">
        <v>1760</v>
      </c>
      <c r="BI2" s="3" t="s">
        <v>1761</v>
      </c>
      <c r="CM2" s="3" t="s">
        <v>1762</v>
      </c>
      <c r="DQ2" s="3" t="s">
        <v>1763</v>
      </c>
      <c r="EU2" s="3" t="s">
        <v>1764</v>
      </c>
      <c r="FY2" s="3" t="s">
        <v>1765</v>
      </c>
      <c r="HC2" s="3" t="s">
        <v>1766</v>
      </c>
      <c r="IG2" s="3" t="s">
        <v>1767</v>
      </c>
      <c r="JK2" s="3" t="s">
        <v>1768</v>
      </c>
      <c r="KO2" s="3" t="s">
        <v>1631</v>
      </c>
      <c r="LS2" s="3" t="s">
        <v>507</v>
      </c>
      <c r="MW2" s="3" t="s">
        <v>1262</v>
      </c>
      <c r="OA2" s="3" t="s">
        <v>253</v>
      </c>
      <c r="PE2" s="3" t="s">
        <v>1769</v>
      </c>
      <c r="QI2" s="3" t="s">
        <v>501</v>
      </c>
      <c r="RM2" s="3" t="s">
        <v>1770</v>
      </c>
      <c r="SQ2" s="3" t="s">
        <v>357</v>
      </c>
      <c r="TU2" s="3" t="s">
        <v>1771</v>
      </c>
      <c r="UY2" s="3" t="s">
        <v>427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_xll.BDS("GBCI US Equity","SUPPLY_CHAIN_SUPPLIERS_ALL_DATA")</f>
        <v>VYX US Equity</v>
      </c>
      <c r="O5" t="str">
        <f>_xll.BDS("GBCI US Equity","SUPPLY_CHAIN_CUSTOMERS_ALL_DATA")</f>
        <v>#N/A N/A</v>
      </c>
      <c r="AE5" t="str">
        <f>_xll.BDS("NMIL US Equity","SUPPLY_CHAIN_SUPPLIERS_ALL_DATA")</f>
        <v>#N/A N/A</v>
      </c>
      <c r="AS5" t="str">
        <f>_xll.BDS("NMIL US Equity","SUPPLY_CHAIN_CUSTOMERS_ALL_DATA")</f>
        <v>#N/A N/A</v>
      </c>
      <c r="BI5" t="str">
        <f>_xll.BDS("INVT US Equity","SUPPLY_CHAIN_SUPPLIERS_ALL_DATA")</f>
        <v>#N/A N/A</v>
      </c>
      <c r="BW5" t="str">
        <f>_xll.BDS("INVT US Equity","SUPPLY_CHAIN_CUSTOMERS_ALL_DATA")</f>
        <v>#N/A N/A</v>
      </c>
      <c r="CM5" t="str">
        <f>_xll.BDS("CVST US Equity","SUPPLY_CHAIN_SUPPLIERS_ALL_DATA")</f>
        <v>#N/A N/A</v>
      </c>
      <c r="DA5" t="str">
        <f>_xll.BDS("CVST US Equity","SUPPLY_CHAIN_CUSTOMERS_ALL_DATA")</f>
        <v>#N/A N/A</v>
      </c>
      <c r="DQ5" t="str">
        <f>_xll.BDS("FLMK US Equity","SUPPLY_CHAIN_SUPPLIERS_ALL_DATA")</f>
        <v>#N/A N/A</v>
      </c>
      <c r="EE5" t="str">
        <f>_xll.BDS("FLMK US Equity","SUPPLY_CHAIN_CUSTOMERS_ALL_DATA")</f>
        <v>#N/A N/A</v>
      </c>
      <c r="EU5" t="str">
        <f>_xll.BDS("LGTY US Equity","SUPPLY_CHAIN_SUPPLIERS_ALL_DATA","cols=12;rows=1")</f>
        <v>MSFT US Equity</v>
      </c>
      <c r="EW5">
        <v>-2.4245362661989844E-14</v>
      </c>
      <c r="EX5">
        <v>-2.4245362661989844E-14</v>
      </c>
      <c r="EY5" t="s">
        <v>1814</v>
      </c>
      <c r="EZ5">
        <v>2024</v>
      </c>
      <c r="FA5" t="s">
        <v>2826</v>
      </c>
      <c r="FB5" s="6">
        <v>45474</v>
      </c>
      <c r="FC5">
        <v>1</v>
      </c>
      <c r="FD5">
        <v>-2.4245362661989844E-14</v>
      </c>
      <c r="FE5">
        <v>101743</v>
      </c>
      <c r="FF5" t="s">
        <v>1931</v>
      </c>
      <c r="FI5" t="str">
        <f>_xll.BDS("LGTY US Equity","SUPPLY_CHAIN_CUSTOMERS_ALL_DATA","cols=12;rows=5")</f>
        <v>UPS US Equity</v>
      </c>
      <c r="FJ5">
        <v>0.241734</v>
      </c>
      <c r="FK5" t="s">
        <v>1949</v>
      </c>
      <c r="FL5">
        <v>6.2319999999999997E-3</v>
      </c>
      <c r="FM5" t="s">
        <v>1810</v>
      </c>
      <c r="FN5">
        <v>2025</v>
      </c>
      <c r="FO5" t="s">
        <v>2032</v>
      </c>
      <c r="FP5" s="6">
        <v>46007</v>
      </c>
      <c r="FQ5">
        <v>5</v>
      </c>
      <c r="FR5">
        <v>60450</v>
      </c>
      <c r="FS5">
        <v>143027</v>
      </c>
      <c r="FT5" t="s">
        <v>2033</v>
      </c>
      <c r="FY5" t="str">
        <f>_xll.BDS("8277795Q US Equity","SUPPLY_CHAIN_SUPPLIERS_ALL_DATA")</f>
        <v>#N/A N/A</v>
      </c>
      <c r="GM5" t="str">
        <f>_xll.BDS("8277795Q US Equity","SUPPLY_CHAIN_CUSTOMERS_ALL_DATA")</f>
        <v>#N/A N/A</v>
      </c>
      <c r="HC5" t="str">
        <f>_xll.BDS("1917130D US Equity","SUPPLY_CHAIN_SUPPLIERS_ALL_DATA")</f>
        <v>#N/A N/A</v>
      </c>
      <c r="HQ5" t="str">
        <f>_xll.BDS("1917130D US Equity","SUPPLY_CHAIN_CUSTOMERS_ALL_DATA")</f>
        <v>#N/A N/A</v>
      </c>
      <c r="IG5" t="str">
        <f>_xll.BDS("SOFN US Equity","SUPPLY_CHAIN_SUPPLIERS_ALL_DATA")</f>
        <v>#N/A N/A</v>
      </c>
      <c r="IU5" t="str">
        <f>_xll.BDS("SOFN US Equity","SUPPLY_CHAIN_CUSTOMERS_ALL_DATA")</f>
        <v>#N/A N/A</v>
      </c>
      <c r="JK5" t="str">
        <f>_xll.BDS("KERA US Equity","SUPPLY_CHAIN_SUPPLIERS_ALL_DATA")</f>
        <v>#N/A N/A</v>
      </c>
      <c r="JY5" t="str">
        <f>_xll.BDS("KERA US Equity","SUPPLY_CHAIN_CUSTOMERS_ALL_DATA")</f>
        <v>#N/A N/A</v>
      </c>
      <c r="KO5" t="str">
        <f>_xll.BDS("1878409D US Equity","SUPPLY_CHAIN_SUPPLIERS_ALL_DATA")</f>
        <v>#N/A N/A</v>
      </c>
      <c r="LC5" t="str">
        <f>_xll.BDS("1878409D US Equity","SUPPLY_CHAIN_CUSTOMERS_ALL_DATA")</f>
        <v>#N/A N/A</v>
      </c>
      <c r="LS5" t="str">
        <f>_xll.BDS("BSX US Equity","SUPPLY_CHAIN_SUPPLIERS_ALL_DATA","cols=12;rows=5")</f>
        <v>FLEX US Equity</v>
      </c>
      <c r="LT5" t="s">
        <v>1822</v>
      </c>
      <c r="LU5">
        <v>0.45866000000000001</v>
      </c>
      <c r="LV5">
        <v>2.0511430000000002</v>
      </c>
      <c r="LW5" t="s">
        <v>1810</v>
      </c>
      <c r="LX5">
        <v>2025</v>
      </c>
      <c r="LY5" t="s">
        <v>1882</v>
      </c>
      <c r="LZ5" s="6">
        <v>45763</v>
      </c>
      <c r="MA5">
        <v>5</v>
      </c>
      <c r="MB5">
        <v>30069750</v>
      </c>
      <c r="MC5">
        <v>136547</v>
      </c>
      <c r="MD5" t="s">
        <v>1883</v>
      </c>
      <c r="MG5" t="str">
        <f>_xll.BDS("BSX US Equity","SUPPLY_CHAIN_CUSTOMERS_ALL_DATA")</f>
        <v>000078 CH Equity</v>
      </c>
      <c r="MW5" t="str">
        <f>_xll.BDS("BCML US Equity","SUPPLY_CHAIN_SUPPLIERS_ALL_DATA")</f>
        <v>#N/A N/A</v>
      </c>
      <c r="NK5" t="str">
        <f>_xll.BDS("BCML US Equity","SUPPLY_CHAIN_CUSTOMERS_ALL_DATA")</f>
        <v>#N/A N/A</v>
      </c>
      <c r="OA5" t="str">
        <f>_xll.BDS("PRGS US Equity","SUPPLY_CHAIN_SUPPLIERS_ALL_DATA","cols=12;rows=5")</f>
        <v>DDOG US Equity</v>
      </c>
      <c r="OC5">
        <v>-2.4245362661989844E-14</v>
      </c>
      <c r="OD5">
        <v>-2.4245362661989844E-14</v>
      </c>
      <c r="OE5" t="s">
        <v>1814</v>
      </c>
      <c r="OF5">
        <v>2025</v>
      </c>
      <c r="OG5" t="s">
        <v>2858</v>
      </c>
      <c r="OH5" s="6">
        <v>46070</v>
      </c>
      <c r="OI5">
        <v>5</v>
      </c>
      <c r="OJ5">
        <v>-2.4245362661989844E-14</v>
      </c>
      <c r="OK5">
        <v>33410852</v>
      </c>
      <c r="OL5" t="s">
        <v>2859</v>
      </c>
      <c r="OO5" t="str">
        <f>_xll.BDS("PRGS US Equity","SUPPLY_CHAIN_CUSTOMERS_ALL_DATA","cols=12;rows=5")</f>
        <v>TSCO LN Equity</v>
      </c>
      <c r="OP5">
        <v>0.21691099999999999</v>
      </c>
      <c r="OQ5" t="s">
        <v>1822</v>
      </c>
      <c r="OR5">
        <v>2.415E-3</v>
      </c>
      <c r="OS5" t="s">
        <v>1806</v>
      </c>
      <c r="OT5">
        <v>2026</v>
      </c>
      <c r="OU5" t="s">
        <v>2766</v>
      </c>
      <c r="OV5" s="6">
        <v>45898</v>
      </c>
      <c r="OW5">
        <v>5</v>
      </c>
      <c r="OX5">
        <v>512424.81</v>
      </c>
      <c r="OY5">
        <v>112370</v>
      </c>
      <c r="OZ5" t="s">
        <v>2767</v>
      </c>
      <c r="PE5" t="str">
        <f>_xll.BDS("ICUI US Equity","SUPPLY_CHAIN_SUPPLIERS_ALL_DATA","cols=12;rows=5")</f>
        <v>PFE US Equity</v>
      </c>
      <c r="PF5" t="s">
        <v>1822</v>
      </c>
      <c r="PG5">
        <v>9.4529999999999996E-3</v>
      </c>
      <c r="PH5">
        <v>0.40643800000000002</v>
      </c>
      <c r="PI5" t="s">
        <v>1823</v>
      </c>
      <c r="PJ5">
        <v>2025</v>
      </c>
      <c r="PK5" t="s">
        <v>1914</v>
      </c>
      <c r="PL5" s="6">
        <v>45914</v>
      </c>
      <c r="PM5">
        <v>5</v>
      </c>
      <c r="PN5">
        <v>1385148</v>
      </c>
      <c r="PO5">
        <v>101166</v>
      </c>
      <c r="PP5" t="s">
        <v>1915</v>
      </c>
      <c r="PS5" t="str">
        <f>_xll.BDS("ICUI US Equity","SUPPLY_CHAIN_CUSTOMERS_ALL_DATA","cols=12;rows=5")</f>
        <v>DCC LN Equity</v>
      </c>
      <c r="PT5">
        <v>-2.4245362661989844E-14</v>
      </c>
      <c r="PV5">
        <v>-2.4245362661989844E-14</v>
      </c>
      <c r="PW5" t="s">
        <v>1814</v>
      </c>
      <c r="PX5">
        <v>2024</v>
      </c>
      <c r="PY5" t="s">
        <v>2512</v>
      </c>
      <c r="PZ5" s="6">
        <v>45440</v>
      </c>
      <c r="QA5">
        <v>5</v>
      </c>
      <c r="QB5">
        <v>-2.4245362661989844E-14</v>
      </c>
      <c r="QC5">
        <v>148120</v>
      </c>
      <c r="QD5" t="s">
        <v>2513</v>
      </c>
      <c r="QI5" t="str">
        <f>_xll.BDS("BNCN US Equity","SUPPLY_CHAIN_SUPPLIERS_ALL_DATA")</f>
        <v>#N/A N/A</v>
      </c>
      <c r="QW5" t="str">
        <f>_xll.BDS("BNCN US Equity","SUPPLY_CHAIN_CUSTOMERS_ALL_DATA")</f>
        <v>#N/A N/A</v>
      </c>
      <c r="RM5" t="str">
        <f>_xll.BDS("ISBC US Equity","SUPPLY_CHAIN_SUPPLIERS_ALL_DATA")</f>
        <v>#N/A N/A</v>
      </c>
      <c r="SA5" t="str">
        <f>_xll.BDS("ISBC US Equity","SUPPLY_CHAIN_CUSTOMERS_ALL_DATA")</f>
        <v>#N/A N/A</v>
      </c>
      <c r="SQ5" t="str">
        <f>_xll.BDS("1740293D US Equity","SUPPLY_CHAIN_SUPPLIERS_ALL_DATA")</f>
        <v>#N/A N/A</v>
      </c>
      <c r="TE5" t="str">
        <f>_xll.BDS("1740293D US Equity","SUPPLY_CHAIN_CUSTOMERS_ALL_DATA")</f>
        <v>#N/A N/A</v>
      </c>
      <c r="TU5" t="str">
        <f>_xll.BDS("EVH US Equity","SUPPLY_CHAIN_SUPPLIERS_ALL_DATA","cols=12;rows=2")</f>
        <v>DHC US Equity</v>
      </c>
      <c r="TW5">
        <v>-2.4245362661989844E-14</v>
      </c>
      <c r="TX5">
        <v>-2.4245362661989844E-14</v>
      </c>
      <c r="TY5" t="s">
        <v>1814</v>
      </c>
      <c r="TZ5">
        <v>2022</v>
      </c>
      <c r="UA5" t="s">
        <v>3652</v>
      </c>
      <c r="UB5" s="6">
        <v>44986</v>
      </c>
      <c r="UC5">
        <v>2</v>
      </c>
      <c r="UD5">
        <v>-2.4245362661989844E-14</v>
      </c>
      <c r="UE5">
        <v>386356</v>
      </c>
      <c r="UF5" t="s">
        <v>3653</v>
      </c>
      <c r="UI5" t="str">
        <f>_xll.BDS("EVH US Equity","SUPPLY_CHAIN_CUSTOMERS_ALL_DATA","cols=12;rows=5")</f>
        <v>HUM US Equity</v>
      </c>
      <c r="UJ5">
        <v>19.299999</v>
      </c>
      <c r="UK5" t="s">
        <v>1822</v>
      </c>
      <c r="UL5">
        <v>0.489813</v>
      </c>
      <c r="UM5" t="s">
        <v>1814</v>
      </c>
      <c r="UN5">
        <v>2024</v>
      </c>
      <c r="UO5" t="s">
        <v>3412</v>
      </c>
      <c r="UP5" s="6">
        <v>45709</v>
      </c>
      <c r="UQ5">
        <v>5</v>
      </c>
      <c r="UR5">
        <v>123266256</v>
      </c>
      <c r="US5">
        <v>100767</v>
      </c>
      <c r="UT5" t="s">
        <v>3413</v>
      </c>
      <c r="UY5" t="str">
        <f>_xll.BDS("AYTU US Equity","SUPPLY_CHAIN_SUPPLIERS_ALL_DATA","cols=12;rows=1")</f>
        <v>91061Z US Equity</v>
      </c>
      <c r="VA5">
        <v>-2.4245362661989844E-14</v>
      </c>
      <c r="VB5">
        <v>-2.4245362661989844E-14</v>
      </c>
      <c r="VC5" t="s">
        <v>1814</v>
      </c>
      <c r="VD5">
        <v>2024</v>
      </c>
      <c r="VE5" t="s">
        <v>3269</v>
      </c>
      <c r="VF5" s="6">
        <v>45810</v>
      </c>
      <c r="VG5">
        <v>1</v>
      </c>
      <c r="VH5">
        <v>-2.4245362661989844E-14</v>
      </c>
      <c r="VI5">
        <v>910247</v>
      </c>
      <c r="VJ5" t="s">
        <v>3270</v>
      </c>
      <c r="VM5" t="str">
        <f>_xll.BDS("AYTU US Equity","SUPPLY_CHAIN_CUSTOMERS_ALL_DATA","cols=12;rows=2")</f>
        <v>LPC IN Equity</v>
      </c>
      <c r="VN5">
        <v>-2.4245362661989844E-14</v>
      </c>
      <c r="VP5">
        <v>-2.4245362661989844E-14</v>
      </c>
      <c r="VQ5" t="s">
        <v>1814</v>
      </c>
      <c r="VR5">
        <v>2024</v>
      </c>
      <c r="VS5" t="s">
        <v>3269</v>
      </c>
      <c r="VT5" s="6">
        <v>45810</v>
      </c>
      <c r="VU5">
        <v>2</v>
      </c>
      <c r="VV5">
        <v>-2.4245362661989844E-14</v>
      </c>
      <c r="VW5">
        <v>178044</v>
      </c>
      <c r="VX5" t="s">
        <v>3447</v>
      </c>
    </row>
    <row r="6" spans="1:600" x14ac:dyDescent="0.25">
      <c r="FI6" t="s">
        <v>1852</v>
      </c>
      <c r="FJ6">
        <v>0.162158</v>
      </c>
      <c r="FK6" t="s">
        <v>1949</v>
      </c>
      <c r="FL6">
        <v>4.0506E-2</v>
      </c>
      <c r="FM6" t="s">
        <v>1810</v>
      </c>
      <c r="FN6">
        <v>2025</v>
      </c>
      <c r="FO6" t="s">
        <v>1853</v>
      </c>
      <c r="FP6" s="6">
        <v>45694</v>
      </c>
      <c r="FQ6">
        <v>5</v>
      </c>
      <c r="FR6">
        <v>41019.93</v>
      </c>
      <c r="FS6">
        <v>111827</v>
      </c>
      <c r="FT6" t="s">
        <v>1854</v>
      </c>
      <c r="LS6" t="s">
        <v>1884</v>
      </c>
      <c r="LT6" t="s">
        <v>1822</v>
      </c>
      <c r="LU6">
        <v>0.108844</v>
      </c>
      <c r="LV6">
        <v>0.58639399999999997</v>
      </c>
      <c r="LW6" t="s">
        <v>1810</v>
      </c>
      <c r="LX6">
        <v>2025</v>
      </c>
      <c r="LY6" t="s">
        <v>1885</v>
      </c>
      <c r="LZ6" s="6">
        <v>45867</v>
      </c>
      <c r="MA6">
        <v>5</v>
      </c>
      <c r="MB6">
        <v>8520308</v>
      </c>
      <c r="MC6">
        <v>117092</v>
      </c>
      <c r="MD6" t="s">
        <v>1886</v>
      </c>
      <c r="OA6" t="s">
        <v>2860</v>
      </c>
      <c r="OC6">
        <v>-2.4245362661989844E-14</v>
      </c>
      <c r="OD6">
        <v>-2.4245362661989844E-14</v>
      </c>
      <c r="OE6" t="s">
        <v>1814</v>
      </c>
      <c r="OF6">
        <v>2025</v>
      </c>
      <c r="OG6" t="s">
        <v>2861</v>
      </c>
      <c r="OH6" s="6">
        <v>46065</v>
      </c>
      <c r="OI6">
        <v>5</v>
      </c>
      <c r="OJ6">
        <v>-2.4245362661989844E-14</v>
      </c>
      <c r="OK6">
        <v>41041124</v>
      </c>
      <c r="OL6" t="s">
        <v>2862</v>
      </c>
      <c r="OO6" t="s">
        <v>1840</v>
      </c>
      <c r="OP6">
        <v>7.6906000000000002E-2</v>
      </c>
      <c r="OQ6" t="s">
        <v>1822</v>
      </c>
      <c r="OR6">
        <v>4.4900000000000001E-3</v>
      </c>
      <c r="OS6" t="s">
        <v>1806</v>
      </c>
      <c r="OT6">
        <v>2025</v>
      </c>
      <c r="OU6" t="s">
        <v>1841</v>
      </c>
      <c r="OV6" s="6">
        <v>45820</v>
      </c>
      <c r="OW6">
        <v>5</v>
      </c>
      <c r="OX6">
        <v>183048</v>
      </c>
      <c r="OY6">
        <v>12129192</v>
      </c>
      <c r="OZ6" t="s">
        <v>1842</v>
      </c>
      <c r="PE6" t="s">
        <v>2583</v>
      </c>
      <c r="PF6" t="s">
        <v>1893</v>
      </c>
      <c r="PG6">
        <v>1.2</v>
      </c>
      <c r="PH6">
        <v>0.17766899999999999</v>
      </c>
      <c r="PI6" t="s">
        <v>1814</v>
      </c>
      <c r="PJ6">
        <v>2023</v>
      </c>
      <c r="PK6" t="s">
        <v>2584</v>
      </c>
      <c r="PL6" s="6">
        <v>45671</v>
      </c>
      <c r="PM6">
        <v>5</v>
      </c>
      <c r="PN6">
        <v>284221.06</v>
      </c>
      <c r="PO6">
        <v>10445875</v>
      </c>
      <c r="PP6" t="s">
        <v>2585</v>
      </c>
      <c r="PS6" t="s">
        <v>2514</v>
      </c>
      <c r="PT6">
        <v>-2.4245362661989844E-14</v>
      </c>
      <c r="PV6">
        <v>-2.4245362661989844E-14</v>
      </c>
      <c r="PW6" t="s">
        <v>1814</v>
      </c>
      <c r="PX6">
        <v>2024</v>
      </c>
      <c r="PY6" t="s">
        <v>2515</v>
      </c>
      <c r="PZ6" s="6">
        <v>45727</v>
      </c>
      <c r="QA6">
        <v>5</v>
      </c>
      <c r="QB6">
        <v>-2.4245362661989844E-14</v>
      </c>
      <c r="QC6">
        <v>10163042</v>
      </c>
      <c r="QD6" t="s">
        <v>2516</v>
      </c>
      <c r="TU6" t="s">
        <v>3654</v>
      </c>
      <c r="TW6">
        <v>-2.4245362661989844E-14</v>
      </c>
      <c r="TX6">
        <v>-2.4245362661989844E-14</v>
      </c>
      <c r="TY6" t="s">
        <v>1814</v>
      </c>
      <c r="TZ6">
        <v>2022</v>
      </c>
      <c r="UA6" t="s">
        <v>3655</v>
      </c>
      <c r="UB6" s="6">
        <v>44978</v>
      </c>
      <c r="UC6">
        <v>2</v>
      </c>
      <c r="UD6">
        <v>-2.4245362661989844E-14</v>
      </c>
      <c r="UE6">
        <v>51562074</v>
      </c>
      <c r="UF6" t="s">
        <v>3656</v>
      </c>
      <c r="UI6" t="s">
        <v>3414</v>
      </c>
      <c r="UJ6">
        <v>13.7</v>
      </c>
      <c r="UK6" t="s">
        <v>1822</v>
      </c>
      <c r="UL6">
        <v>0.974549</v>
      </c>
      <c r="UM6" t="s">
        <v>1814</v>
      </c>
      <c r="UN6">
        <v>2024</v>
      </c>
      <c r="UO6" t="s">
        <v>3412</v>
      </c>
      <c r="UP6" s="6">
        <v>45709</v>
      </c>
      <c r="UQ6">
        <v>5</v>
      </c>
      <c r="UR6">
        <v>87499880</v>
      </c>
      <c r="US6">
        <v>7979491</v>
      </c>
      <c r="UT6" t="s">
        <v>3415</v>
      </c>
      <c r="VM6" t="s">
        <v>3448</v>
      </c>
      <c r="VN6">
        <v>-2.4245362661989844E-14</v>
      </c>
      <c r="VP6">
        <v>-2.4245362661989844E-14</v>
      </c>
      <c r="VQ6" t="s">
        <v>1814</v>
      </c>
      <c r="VR6">
        <v>2024</v>
      </c>
      <c r="VS6" t="s">
        <v>3269</v>
      </c>
      <c r="VT6" s="6">
        <v>45810</v>
      </c>
      <c r="VU6">
        <v>2</v>
      </c>
      <c r="VV6">
        <v>-2.4245362661989844E-14</v>
      </c>
      <c r="VW6">
        <v>107244</v>
      </c>
      <c r="VX6" t="s">
        <v>3449</v>
      </c>
    </row>
    <row r="7" spans="1:600" x14ac:dyDescent="0.25">
      <c r="FI7" t="s">
        <v>2822</v>
      </c>
      <c r="FJ7">
        <v>-2.4245362661989844E-14</v>
      </c>
      <c r="FL7">
        <v>-2.4245362661989844E-14</v>
      </c>
      <c r="FM7" t="s">
        <v>1814</v>
      </c>
      <c r="FN7">
        <v>2022</v>
      </c>
      <c r="FO7" t="s">
        <v>2823</v>
      </c>
      <c r="FP7" s="6">
        <v>44741</v>
      </c>
      <c r="FQ7">
        <v>5</v>
      </c>
      <c r="FR7">
        <v>-2.4245362661989844E-14</v>
      </c>
      <c r="FS7">
        <v>11672610</v>
      </c>
      <c r="FT7" t="s">
        <v>2824</v>
      </c>
      <c r="LS7" t="s">
        <v>2220</v>
      </c>
      <c r="LT7" t="s">
        <v>1822</v>
      </c>
      <c r="LU7">
        <v>0.82896099999999995</v>
      </c>
      <c r="LV7">
        <v>0.29375299999999999</v>
      </c>
      <c r="LW7" t="s">
        <v>1823</v>
      </c>
      <c r="LX7">
        <v>2025</v>
      </c>
      <c r="LY7" t="s">
        <v>2221</v>
      </c>
      <c r="LZ7" s="6">
        <v>45867</v>
      </c>
      <c r="MA7">
        <v>5</v>
      </c>
      <c r="MB7">
        <v>4597625.84</v>
      </c>
      <c r="MC7">
        <v>157487</v>
      </c>
      <c r="MD7" t="s">
        <v>2222</v>
      </c>
      <c r="OA7" t="s">
        <v>2863</v>
      </c>
      <c r="OC7">
        <v>-2.4245362661989844E-14</v>
      </c>
      <c r="OD7">
        <v>-2.4245362661989844E-14</v>
      </c>
      <c r="OE7" t="s">
        <v>1814</v>
      </c>
      <c r="OF7">
        <v>2021</v>
      </c>
      <c r="OG7" t="s">
        <v>2864</v>
      </c>
      <c r="OH7" s="6">
        <v>44693</v>
      </c>
      <c r="OI7">
        <v>5</v>
      </c>
      <c r="OJ7">
        <v>-2.4245362661989844E-14</v>
      </c>
      <c r="OK7">
        <v>179563</v>
      </c>
      <c r="OL7" t="s">
        <v>2865</v>
      </c>
      <c r="OO7" t="s">
        <v>1826</v>
      </c>
      <c r="OP7">
        <v>4.8991E-2</v>
      </c>
      <c r="OQ7" t="s">
        <v>1822</v>
      </c>
      <c r="OR7">
        <v>7.8849999999999996E-3</v>
      </c>
      <c r="OS7" t="s">
        <v>1827</v>
      </c>
      <c r="OT7">
        <v>2025</v>
      </c>
      <c r="OU7" t="s">
        <v>1828</v>
      </c>
      <c r="OV7" s="6">
        <v>46091</v>
      </c>
      <c r="OW7">
        <v>5</v>
      </c>
      <c r="OX7">
        <v>123784</v>
      </c>
      <c r="OY7">
        <v>156637</v>
      </c>
      <c r="OZ7" t="s">
        <v>1829</v>
      </c>
      <c r="PE7" t="s">
        <v>1533</v>
      </c>
      <c r="PF7" t="s">
        <v>1949</v>
      </c>
      <c r="PG7">
        <v>3.8066000000000003E-2</v>
      </c>
      <c r="PH7">
        <v>0.50347500000000001</v>
      </c>
      <c r="PI7" t="s">
        <v>1806</v>
      </c>
      <c r="PJ7">
        <v>2026</v>
      </c>
      <c r="PK7" t="s">
        <v>1890</v>
      </c>
      <c r="PL7" s="6">
        <v>46051</v>
      </c>
      <c r="PM7">
        <v>5</v>
      </c>
      <c r="PN7">
        <v>146411</v>
      </c>
      <c r="PO7">
        <v>225757</v>
      </c>
      <c r="PP7" t="s">
        <v>1891</v>
      </c>
      <c r="PS7" t="s">
        <v>2517</v>
      </c>
      <c r="PT7">
        <v>-2.4245362661989844E-14</v>
      </c>
      <c r="PV7">
        <v>-2.4245362661989844E-14</v>
      </c>
      <c r="PW7" t="s">
        <v>1814</v>
      </c>
      <c r="PX7">
        <v>2023</v>
      </c>
      <c r="PY7" t="s">
        <v>2518</v>
      </c>
      <c r="PZ7" s="6">
        <v>45350</v>
      </c>
      <c r="QA7">
        <v>5</v>
      </c>
      <c r="QB7">
        <v>-2.4245362661989844E-14</v>
      </c>
      <c r="QC7">
        <v>935121</v>
      </c>
      <c r="QD7" t="s">
        <v>2519</v>
      </c>
      <c r="UI7" t="s">
        <v>3416</v>
      </c>
      <c r="UJ7">
        <v>11.5</v>
      </c>
      <c r="UL7">
        <v>-2.4245362661989844E-14</v>
      </c>
      <c r="UM7" t="s">
        <v>1814</v>
      </c>
      <c r="UN7">
        <v>2024</v>
      </c>
      <c r="UO7" t="s">
        <v>3412</v>
      </c>
      <c r="UP7" s="6">
        <v>45709</v>
      </c>
      <c r="UQ7">
        <v>5</v>
      </c>
      <c r="UR7">
        <v>73448800</v>
      </c>
      <c r="US7">
        <v>70314168</v>
      </c>
      <c r="UT7" t="s">
        <v>3417</v>
      </c>
    </row>
    <row r="8" spans="1:600" x14ac:dyDescent="0.25">
      <c r="FI8" t="s">
        <v>2825</v>
      </c>
      <c r="FJ8">
        <v>-2.4245362661989844E-14</v>
      </c>
      <c r="FL8">
        <v>-2.4245362661989844E-14</v>
      </c>
      <c r="FM8" t="s">
        <v>1814</v>
      </c>
      <c r="FN8">
        <v>2024</v>
      </c>
      <c r="FO8" t="s">
        <v>2826</v>
      </c>
      <c r="FP8" s="6">
        <v>45474</v>
      </c>
      <c r="FQ8">
        <v>5</v>
      </c>
      <c r="FR8">
        <v>-2.4245362661989844E-14</v>
      </c>
      <c r="FS8">
        <v>24978293</v>
      </c>
      <c r="FT8" t="s">
        <v>2827</v>
      </c>
      <c r="LS8" t="s">
        <v>806</v>
      </c>
      <c r="LT8" t="s">
        <v>1822</v>
      </c>
      <c r="LU8">
        <v>0.224579</v>
      </c>
      <c r="LV8">
        <v>0.108293</v>
      </c>
      <c r="LW8" t="s">
        <v>1810</v>
      </c>
      <c r="LX8">
        <v>2025</v>
      </c>
      <c r="LY8" t="s">
        <v>2321</v>
      </c>
      <c r="LZ8" s="6">
        <v>46009</v>
      </c>
      <c r="MA8">
        <v>5</v>
      </c>
      <c r="MB8">
        <v>1649301</v>
      </c>
      <c r="MC8">
        <v>101601</v>
      </c>
      <c r="MD8" t="s">
        <v>2322</v>
      </c>
      <c r="OA8" t="s">
        <v>2866</v>
      </c>
      <c r="OC8">
        <v>-2.4245362661989844E-14</v>
      </c>
      <c r="OD8">
        <v>-2.4245362661989844E-14</v>
      </c>
      <c r="OE8" t="s">
        <v>1810</v>
      </c>
      <c r="OF8">
        <v>2022</v>
      </c>
      <c r="OG8" t="s">
        <v>2867</v>
      </c>
      <c r="OH8" s="6">
        <v>44867</v>
      </c>
      <c r="OI8">
        <v>5</v>
      </c>
      <c r="OJ8">
        <v>-2.4245362661989844E-14</v>
      </c>
      <c r="OK8">
        <v>1481607</v>
      </c>
      <c r="OL8" t="s">
        <v>2868</v>
      </c>
      <c r="OO8" t="s">
        <v>2085</v>
      </c>
      <c r="OP8">
        <v>2.4205999999999998E-2</v>
      </c>
      <c r="OQ8" t="s">
        <v>1822</v>
      </c>
      <c r="OR8">
        <v>1.06E-2</v>
      </c>
      <c r="OS8" t="s">
        <v>1810</v>
      </c>
      <c r="OT8">
        <v>2025</v>
      </c>
      <c r="OU8" t="s">
        <v>2768</v>
      </c>
      <c r="OV8" s="6">
        <v>46034</v>
      </c>
      <c r="OW8">
        <v>5</v>
      </c>
      <c r="OX8">
        <v>60465</v>
      </c>
      <c r="OY8">
        <v>313021</v>
      </c>
      <c r="OZ8" t="s">
        <v>2087</v>
      </c>
      <c r="PE8" t="s">
        <v>2586</v>
      </c>
      <c r="PG8">
        <v>-2.4245362661989844E-14</v>
      </c>
      <c r="PH8">
        <v>-2.4245362661989844E-14</v>
      </c>
      <c r="PI8" t="s">
        <v>1814</v>
      </c>
      <c r="PJ8">
        <v>2025</v>
      </c>
      <c r="PK8" t="s">
        <v>2587</v>
      </c>
      <c r="PL8" s="6">
        <v>45833</v>
      </c>
      <c r="PM8">
        <v>5</v>
      </c>
      <c r="PN8">
        <v>-2.4245362661989844E-14</v>
      </c>
      <c r="PO8">
        <v>9809122</v>
      </c>
      <c r="PP8" t="s">
        <v>2588</v>
      </c>
      <c r="PS8" t="s">
        <v>800</v>
      </c>
      <c r="PT8">
        <v>-2.4245362661989844E-14</v>
      </c>
      <c r="PV8">
        <v>-2.4245362661989844E-14</v>
      </c>
      <c r="PW8" t="s">
        <v>1810</v>
      </c>
      <c r="PX8">
        <v>2025</v>
      </c>
      <c r="PY8" t="s">
        <v>2520</v>
      </c>
      <c r="PZ8" s="6">
        <v>45967</v>
      </c>
      <c r="QA8">
        <v>5</v>
      </c>
      <c r="QB8">
        <v>-2.4245362661989844E-14</v>
      </c>
      <c r="QC8">
        <v>101166</v>
      </c>
      <c r="QD8" t="s">
        <v>1915</v>
      </c>
      <c r="UI8" t="s">
        <v>3418</v>
      </c>
      <c r="UJ8">
        <v>-2.4245362661989844E-14</v>
      </c>
      <c r="UL8">
        <v>-2.4245362661989844E-14</v>
      </c>
      <c r="UM8" t="s">
        <v>1814</v>
      </c>
      <c r="UN8">
        <v>2022</v>
      </c>
      <c r="UO8" t="s">
        <v>3419</v>
      </c>
      <c r="UP8" s="6">
        <v>44982</v>
      </c>
      <c r="UQ8">
        <v>5</v>
      </c>
      <c r="UR8">
        <v>-2.4245362661989844E-14</v>
      </c>
      <c r="US8">
        <v>30755645</v>
      </c>
      <c r="UT8" t="s">
        <v>3420</v>
      </c>
    </row>
    <row r="9" spans="1:600" x14ac:dyDescent="0.25">
      <c r="FI9" t="s">
        <v>2828</v>
      </c>
      <c r="FJ9">
        <v>-2.4245362661989844E-14</v>
      </c>
      <c r="FL9">
        <v>-2.4245362661989844E-14</v>
      </c>
      <c r="FM9" t="s">
        <v>1814</v>
      </c>
      <c r="FN9">
        <v>2023</v>
      </c>
      <c r="FO9" t="s">
        <v>2829</v>
      </c>
      <c r="FP9" s="6">
        <v>45120</v>
      </c>
      <c r="FQ9">
        <v>5</v>
      </c>
      <c r="FR9">
        <v>-2.4245362661989844E-14</v>
      </c>
      <c r="FS9">
        <v>19354645</v>
      </c>
      <c r="FT9" t="s">
        <v>2830</v>
      </c>
      <c r="LS9" t="s">
        <v>2323</v>
      </c>
      <c r="LT9" t="s">
        <v>1949</v>
      </c>
      <c r="LU9">
        <v>4.7656999999999998E-2</v>
      </c>
      <c r="LV9">
        <v>0.32179200000000002</v>
      </c>
      <c r="LW9" t="s">
        <v>1827</v>
      </c>
      <c r="LX9">
        <v>2024</v>
      </c>
      <c r="LY9" t="s">
        <v>2324</v>
      </c>
      <c r="LZ9" s="6">
        <v>45770</v>
      </c>
      <c r="MA9">
        <v>5</v>
      </c>
      <c r="MB9">
        <v>892312.96</v>
      </c>
      <c r="MC9">
        <v>186659</v>
      </c>
      <c r="MD9" t="s">
        <v>2325</v>
      </c>
      <c r="OA9" t="s">
        <v>2869</v>
      </c>
      <c r="OC9">
        <v>-2.4245362661989844E-14</v>
      </c>
      <c r="OD9">
        <v>-2.4245362661989844E-14</v>
      </c>
      <c r="OE9" t="s">
        <v>1814</v>
      </c>
      <c r="OF9">
        <v>2021</v>
      </c>
      <c r="OG9" t="s">
        <v>2870</v>
      </c>
      <c r="OH9" s="6">
        <v>44693</v>
      </c>
      <c r="OI9">
        <v>5</v>
      </c>
      <c r="OJ9">
        <v>-2.4245362661989844E-14</v>
      </c>
      <c r="OK9">
        <v>107603</v>
      </c>
      <c r="OL9" t="s">
        <v>2871</v>
      </c>
      <c r="OO9" t="s">
        <v>2769</v>
      </c>
      <c r="OP9">
        <v>-2.4245362661989844E-14</v>
      </c>
      <c r="OR9">
        <v>-2.4245362661989844E-14</v>
      </c>
      <c r="OS9" t="s">
        <v>1806</v>
      </c>
      <c r="OT9">
        <v>2023</v>
      </c>
      <c r="OU9" t="s">
        <v>2770</v>
      </c>
      <c r="OV9" s="6">
        <v>45020</v>
      </c>
      <c r="OW9">
        <v>5</v>
      </c>
      <c r="OX9">
        <v>-2.4245362661989844E-14</v>
      </c>
      <c r="OY9">
        <v>27524902</v>
      </c>
      <c r="OZ9" t="s">
        <v>2771</v>
      </c>
      <c r="PE9" t="s">
        <v>979</v>
      </c>
      <c r="PG9">
        <v>-2.4245362661989844E-14</v>
      </c>
      <c r="PH9">
        <v>-2.4245362661989844E-14</v>
      </c>
      <c r="PI9" t="s">
        <v>1814</v>
      </c>
      <c r="PJ9">
        <v>2021</v>
      </c>
      <c r="PK9" t="s">
        <v>2048</v>
      </c>
      <c r="PL9" s="6">
        <v>44693</v>
      </c>
      <c r="PM9">
        <v>5</v>
      </c>
      <c r="PN9">
        <v>-2.4245362661989844E-14</v>
      </c>
      <c r="PO9">
        <v>100193</v>
      </c>
      <c r="PP9" t="s">
        <v>2049</v>
      </c>
      <c r="PS9" t="s">
        <v>2521</v>
      </c>
      <c r="PT9">
        <v>-2.4245362661989844E-14</v>
      </c>
      <c r="PV9">
        <v>-2.4245362661989844E-14</v>
      </c>
      <c r="PW9" t="s">
        <v>1814</v>
      </c>
      <c r="PX9">
        <v>2025</v>
      </c>
      <c r="PY9" t="s">
        <v>2522</v>
      </c>
      <c r="PZ9" s="6">
        <v>45811</v>
      </c>
      <c r="QA9">
        <v>5</v>
      </c>
      <c r="QB9">
        <v>-2.4245362661989844E-14</v>
      </c>
      <c r="QC9">
        <v>7787485</v>
      </c>
      <c r="QD9" t="s">
        <v>2523</v>
      </c>
      <c r="UI9" t="s">
        <v>3421</v>
      </c>
      <c r="UJ9">
        <v>-2.4245362661989844E-14</v>
      </c>
      <c r="UL9">
        <v>-2.4245362661989844E-14</v>
      </c>
      <c r="UM9" t="s">
        <v>1814</v>
      </c>
      <c r="UN9">
        <v>2022</v>
      </c>
      <c r="UO9" t="s">
        <v>3419</v>
      </c>
      <c r="UP9" s="6">
        <v>44982</v>
      </c>
      <c r="UQ9">
        <v>5</v>
      </c>
      <c r="UR9">
        <v>-2.4245362661989844E-14</v>
      </c>
      <c r="US9">
        <v>51420387</v>
      </c>
      <c r="UT9" t="s">
        <v>3422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UX9"/>
  <sheetViews>
    <sheetView workbookViewId="0"/>
  </sheetViews>
  <sheetFormatPr defaultRowHeight="15" x14ac:dyDescent="0.25"/>
  <cols>
    <col min="1" max="570" width="14" customWidth="1"/>
  </cols>
  <sheetData>
    <row r="1" spans="1:570" x14ac:dyDescent="0.25">
      <c r="A1" s="1" t="s">
        <v>1772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1773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1774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1775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1776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1777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1778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1779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1780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1781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1782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1783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1784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1785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1786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1787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1788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1789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1790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</row>
    <row r="2" spans="1:570" x14ac:dyDescent="0.25">
      <c r="A2" s="3" t="s">
        <v>1791</v>
      </c>
      <c r="AE2" s="3" t="s">
        <v>1792</v>
      </c>
      <c r="BI2" s="3" t="s">
        <v>1793</v>
      </c>
      <c r="CM2" s="3" t="s">
        <v>1794</v>
      </c>
      <c r="DQ2" s="3" t="s">
        <v>1795</v>
      </c>
      <c r="EU2" s="3" t="s">
        <v>1055</v>
      </c>
      <c r="FY2" s="3" t="s">
        <v>1766</v>
      </c>
      <c r="HC2" s="3" t="s">
        <v>1796</v>
      </c>
      <c r="IG2" s="3" t="s">
        <v>1797</v>
      </c>
      <c r="JK2" s="3" t="s">
        <v>1798</v>
      </c>
      <c r="KO2" s="3" t="s">
        <v>1799</v>
      </c>
      <c r="LS2" s="3" t="s">
        <v>1800</v>
      </c>
      <c r="MW2" s="3" t="s">
        <v>540</v>
      </c>
      <c r="OA2" s="3" t="s">
        <v>1801</v>
      </c>
      <c r="PE2" s="3" t="s">
        <v>1802</v>
      </c>
      <c r="QI2" s="3" t="s">
        <v>1803</v>
      </c>
      <c r="RM2" s="3" t="s">
        <v>1804</v>
      </c>
      <c r="SQ2" s="3" t="s">
        <v>1805</v>
      </c>
      <c r="TU2" s="3" t="s">
        <v>545</v>
      </c>
    </row>
    <row r="3" spans="1:57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</row>
    <row r="4" spans="1:57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</row>
    <row r="5" spans="1:570" x14ac:dyDescent="0.25">
      <c r="A5" t="str">
        <f>_xll.BDS("UWHR US Equity","SUPPLY_CHAIN_SUPPLIERS_ALL_DATA")</f>
        <v>#N/A N/A</v>
      </c>
      <c r="O5" t="str">
        <f>_xll.BDS("UWHR US Equity","SUPPLY_CHAIN_CUSTOMERS_ALL_DATA")</f>
        <v>#N/A N/A</v>
      </c>
      <c r="AE5" t="str">
        <f>_xll.BDS("TSH US Equity","SUPPLY_CHAIN_SUPPLIERS_ALL_DATA")</f>
        <v>#N/A N/A</v>
      </c>
      <c r="AS5" t="str">
        <f>_xll.BDS("TSH US Equity","SUPPLY_CHAIN_CUSTOMERS_ALL_DATA")</f>
        <v>#N/A N/A</v>
      </c>
      <c r="BI5" t="str">
        <f>_xll.BDS("MDRR US Equity","SUPPLY_CHAIN_SUPPLIERS_ALL_DATA")</f>
        <v>#N/A N/A</v>
      </c>
      <c r="BW5" t="str">
        <f>_xll.BDS("MDRR US Equity","SUPPLY_CHAIN_CUSTOMERS_ALL_DATA","cols=12;rows=5")</f>
        <v>1552055D US Equity</v>
      </c>
      <c r="BX5">
        <v>0.382461</v>
      </c>
      <c r="BZ5">
        <v>-2.4245362661989844E-14</v>
      </c>
      <c r="CA5" t="s">
        <v>1814</v>
      </c>
      <c r="CB5">
        <v>2024</v>
      </c>
      <c r="CC5" t="s">
        <v>2502</v>
      </c>
      <c r="CD5" s="6">
        <v>45741</v>
      </c>
      <c r="CE5">
        <v>5</v>
      </c>
      <c r="CF5">
        <v>9308.25</v>
      </c>
      <c r="CG5">
        <v>55941629</v>
      </c>
      <c r="CH5" t="s">
        <v>2503</v>
      </c>
      <c r="CM5" t="str">
        <f>_xll.BDS("BCAR US Equity","SUPPLY_CHAIN_SUPPLIERS_ALL_DATA")</f>
        <v>#N/A N/A</v>
      </c>
      <c r="DA5" t="str">
        <f>_xll.BDS("BCAR US Equity","SUPPLY_CHAIN_CUSTOMERS_ALL_DATA")</f>
        <v>#N/A N/A</v>
      </c>
      <c r="DQ5" t="str">
        <f>_xll.BDS("HBMD US Equity","SUPPLY_CHAIN_SUPPLIERS_ALL_DATA")</f>
        <v>#N/A N/A</v>
      </c>
      <c r="EE5" t="str">
        <f>_xll.BDS("HBMD US Equity","SUPPLY_CHAIN_CUSTOMERS_ALL_DATA")</f>
        <v>#N/A N/A</v>
      </c>
      <c r="EU5" t="str">
        <f>_xll.BDS("PSBI US Equity","SUPPLY_CHAIN_SUPPLIERS_ALL_DATA")</f>
        <v>#N/A N/A</v>
      </c>
      <c r="FI5" t="str">
        <f>_xll.BDS("PSBI US Equity","SUPPLY_CHAIN_CUSTOMERS_ALL_DATA")</f>
        <v>#N/A N/A</v>
      </c>
      <c r="FY5" t="str">
        <f>_xll.BDS("1917130D US Equity","SUPPLY_CHAIN_SUPPLIERS_ALL_DATA")</f>
        <v>#N/A N/A</v>
      </c>
      <c r="GM5" t="str">
        <f>_xll.BDS("1917130D US Equity","SUPPLY_CHAIN_CUSTOMERS_ALL_DATA")</f>
        <v>#N/A N/A</v>
      </c>
      <c r="HC5" t="str">
        <f>_xll.BDS("MFIN US Equity","SUPPLY_CHAIN_SUPPLIERS_ALL_DATA")</f>
        <v>#N/A N/A</v>
      </c>
      <c r="HQ5" t="str">
        <f>_xll.BDS("MFIN US Equity","SUPPLY_CHAIN_CUSTOMERS_ALL_DATA")</f>
        <v>#N/A N/A</v>
      </c>
      <c r="IG5" t="str">
        <f>_xll.BDS("CRN US Equity","SUPPLY_CHAIN_SUPPLIERS_ALL_DATA")</f>
        <v>#N/A N/A</v>
      </c>
      <c r="IU5" t="str">
        <f>_xll.BDS("CRN US Equity","SUPPLY_CHAIN_CUSTOMERS_ALL_DATA")</f>
        <v>#N/A N/A</v>
      </c>
      <c r="JK5" t="str">
        <f>_xll.BDS("THCH US Equity","SUPPLY_CHAIN_SUPPLIERS_ALL_DATA")</f>
        <v>#N/A N/A</v>
      </c>
      <c r="JY5" t="str">
        <f>_xll.BDS("THCH US Equity","SUPPLY_CHAIN_CUSTOMERS_ALL_DATA")</f>
        <v>#N/A N/A</v>
      </c>
      <c r="KO5" t="str">
        <f>_xll.BDS("TRB US Equity","SUPPLY_CHAIN_SUPPLIERS_ALL_DATA")</f>
        <v>#N/A N/A</v>
      </c>
      <c r="LC5" t="str">
        <f>_xll.BDS("TRB US Equity","SUPPLY_CHAIN_CUSTOMERS_ALL_DATA")</f>
        <v>#N/A N/A</v>
      </c>
      <c r="LS5" t="str">
        <f>_xll.BDS("2652Q US Equity","SUPPLY_CHAIN_SUPPLIERS_ALL_DATA","cols=12;rows=2")</f>
        <v>535959Z US Equity</v>
      </c>
      <c r="LU5">
        <v>-2.4245362661989844E-14</v>
      </c>
      <c r="LV5">
        <v>-2.4245362661989844E-14</v>
      </c>
      <c r="LW5" t="s">
        <v>1814</v>
      </c>
      <c r="LX5">
        <v>2024</v>
      </c>
      <c r="LY5" t="s">
        <v>3946</v>
      </c>
      <c r="LZ5" s="6">
        <v>45316</v>
      </c>
      <c r="MA5">
        <v>2</v>
      </c>
      <c r="MB5">
        <v>-2.4245362661989844E-14</v>
      </c>
      <c r="MC5">
        <v>871091</v>
      </c>
      <c r="MD5" t="s">
        <v>3947</v>
      </c>
      <c r="MG5" t="str">
        <f>_xll.BDS("2652Q US Equity","SUPPLY_CHAIN_CUSTOMERS_ALL_DATA")</f>
        <v>#N/A N/A</v>
      </c>
      <c r="MW5" t="str">
        <f>_xll.BDS("FCNCA US Equity","SUPPLY_CHAIN_SUPPLIERS_ALL_DATA","cols=12;rows=5")</f>
        <v>RAIL US Equity</v>
      </c>
      <c r="MX5" t="s">
        <v>1949</v>
      </c>
      <c r="MY5">
        <v>0.17932300000000001</v>
      </c>
      <c r="MZ5">
        <v>0.16764100000000001</v>
      </c>
      <c r="NA5" t="s">
        <v>1806</v>
      </c>
      <c r="NB5">
        <v>2025</v>
      </c>
      <c r="NC5" t="s">
        <v>3751</v>
      </c>
      <c r="ND5" s="6">
        <v>45840</v>
      </c>
      <c r="NE5">
        <v>5</v>
      </c>
      <c r="NF5">
        <v>172670</v>
      </c>
      <c r="NG5">
        <v>9371099</v>
      </c>
      <c r="NH5" t="s">
        <v>3752</v>
      </c>
      <c r="NK5" t="str">
        <f>_xll.BDS("FCNCA US Equity","SUPPLY_CHAIN_CUSTOMERS_ALL_DATA")</f>
        <v>#N/A N/A</v>
      </c>
      <c r="OA5" t="str">
        <f>_xll.BDS("HTB US Equity","SUPPLY_CHAIN_SUPPLIERS_ALL_DATA")</f>
        <v>#N/A N/A</v>
      </c>
      <c r="OO5" t="str">
        <f>_xll.BDS("HTB US Equity","SUPPLY_CHAIN_CUSTOMERS_ALL_DATA")</f>
        <v>#N/A N/A</v>
      </c>
      <c r="PE5" t="str">
        <f>_xll.BDS("PRES US Equity","SUPPLY_CHAIN_SUPPLIERS_ALL_DATA")</f>
        <v>#N/A N/A</v>
      </c>
      <c r="PS5" t="str">
        <f>_xll.BDS("PRES US Equity","SUPPLY_CHAIN_CUSTOMERS_ALL_DATA")</f>
        <v>#N/A N/A</v>
      </c>
      <c r="QI5" t="str">
        <f>_xll.BDS("VDCY US Equity","SUPPLY_CHAIN_SUPPLIERS_ALL_DATA")</f>
        <v>#N/A N/A</v>
      </c>
      <c r="QW5" t="str">
        <f>_xll.BDS("VDCY US Equity","SUPPLY_CHAIN_CUSTOMERS_ALL_DATA")</f>
        <v>#N/A N/A</v>
      </c>
      <c r="RM5" t="str">
        <f>_xll.BDS("MCRL US Equity","SUPPLY_CHAIN_SUPPLIERS_ALL_DATA")</f>
        <v>#N/A N/A</v>
      </c>
      <c r="SA5" t="str">
        <f>_xll.BDS("MCRL US Equity","SUPPLY_CHAIN_CUSTOMERS_ALL_DATA")</f>
        <v>#N/A N/A</v>
      </c>
      <c r="SQ5" t="str">
        <f>_xll.BDS("HEOP US Equity","SUPPLY_CHAIN_SUPPLIERS_ALL_DATA")</f>
        <v>#N/A N/A</v>
      </c>
      <c r="TE5" t="str">
        <f>_xll.BDS("HEOP US Equity","SUPPLY_CHAIN_CUSTOMERS_ALL_DATA")</f>
        <v>#N/A N/A</v>
      </c>
      <c r="TU5" t="str">
        <f>_xll.BDS("1523873D US Equity","SUPPLY_CHAIN_SUPPLIERS_ALL_DATA")</f>
        <v>#N/A N/A</v>
      </c>
      <c r="UI5" t="str">
        <f>_xll.BDS("1523873D US Equity","SUPPLY_CHAIN_CUSTOMERS_ALL_DATA")</f>
        <v>#N/A N/A</v>
      </c>
    </row>
    <row r="6" spans="1:570" x14ac:dyDescent="0.25">
      <c r="BW6" t="s">
        <v>2504</v>
      </c>
      <c r="BX6">
        <v>0.382461</v>
      </c>
      <c r="BZ6">
        <v>-2.4245362661989844E-14</v>
      </c>
      <c r="CA6" t="s">
        <v>1814</v>
      </c>
      <c r="CB6">
        <v>2024</v>
      </c>
      <c r="CC6" t="s">
        <v>2502</v>
      </c>
      <c r="CD6" s="6">
        <v>45741</v>
      </c>
      <c r="CE6">
        <v>5</v>
      </c>
      <c r="CF6">
        <v>9308.25</v>
      </c>
      <c r="CG6">
        <v>9358703</v>
      </c>
      <c r="CH6" t="s">
        <v>2505</v>
      </c>
      <c r="LS6" t="s">
        <v>253</v>
      </c>
      <c r="LU6">
        <v>-2.4245362661989844E-14</v>
      </c>
      <c r="LV6">
        <v>-2.4245362661989844E-14</v>
      </c>
      <c r="LW6" t="s">
        <v>1806</v>
      </c>
      <c r="LX6">
        <v>2023</v>
      </c>
      <c r="LY6" t="s">
        <v>2770</v>
      </c>
      <c r="LZ6" s="6">
        <v>45020</v>
      </c>
      <c r="MA6">
        <v>2</v>
      </c>
      <c r="MB6">
        <v>-2.4245362661989844E-14</v>
      </c>
      <c r="MC6">
        <v>106252</v>
      </c>
      <c r="MD6" t="s">
        <v>3948</v>
      </c>
      <c r="MW6" t="s">
        <v>3753</v>
      </c>
      <c r="MY6">
        <v>-2.4245362661989844E-14</v>
      </c>
      <c r="MZ6">
        <v>-2.4245362661989844E-14</v>
      </c>
      <c r="NA6" t="s">
        <v>1814</v>
      </c>
      <c r="NB6">
        <v>2023</v>
      </c>
      <c r="NC6" t="s">
        <v>3754</v>
      </c>
      <c r="ND6" s="6">
        <v>45408</v>
      </c>
      <c r="NE6">
        <v>5</v>
      </c>
      <c r="NF6">
        <v>-2.4245362661989844E-14</v>
      </c>
      <c r="NG6">
        <v>31730105</v>
      </c>
      <c r="NH6" t="s">
        <v>3755</v>
      </c>
    </row>
    <row r="7" spans="1:570" x14ac:dyDescent="0.25">
      <c r="BW7" t="s">
        <v>2506</v>
      </c>
      <c r="BX7">
        <v>0.27742899999999998</v>
      </c>
      <c r="BY7" t="s">
        <v>1893</v>
      </c>
      <c r="BZ7">
        <v>1.16E-4</v>
      </c>
      <c r="CA7" t="s">
        <v>1814</v>
      </c>
      <c r="CB7">
        <v>2024</v>
      </c>
      <c r="CC7" t="s">
        <v>2502</v>
      </c>
      <c r="CD7" s="6">
        <v>45741</v>
      </c>
      <c r="CE7">
        <v>5</v>
      </c>
      <c r="CF7">
        <v>6752</v>
      </c>
      <c r="CG7">
        <v>115643</v>
      </c>
      <c r="CH7" t="s">
        <v>2507</v>
      </c>
      <c r="MW7" t="s">
        <v>2111</v>
      </c>
      <c r="MY7">
        <v>-2.4245362661989844E-14</v>
      </c>
      <c r="MZ7">
        <v>-2.4245362661989844E-14</v>
      </c>
      <c r="NA7" t="s">
        <v>2342</v>
      </c>
      <c r="NB7">
        <v>2025</v>
      </c>
      <c r="NC7" t="s">
        <v>3756</v>
      </c>
      <c r="ND7" s="6">
        <v>45846</v>
      </c>
      <c r="NE7">
        <v>5</v>
      </c>
      <c r="NF7">
        <v>-2.4245362661989844E-14</v>
      </c>
      <c r="NG7">
        <v>876285</v>
      </c>
      <c r="NH7" t="s">
        <v>2112</v>
      </c>
    </row>
    <row r="8" spans="1:570" x14ac:dyDescent="0.25">
      <c r="BW8" t="s">
        <v>2508</v>
      </c>
      <c r="BX8">
        <v>0.26538</v>
      </c>
      <c r="BY8" t="s">
        <v>1893</v>
      </c>
      <c r="BZ8">
        <v>8.6070000000000001E-3</v>
      </c>
      <c r="CA8" t="s">
        <v>1814</v>
      </c>
      <c r="CB8">
        <v>2024</v>
      </c>
      <c r="CC8" t="s">
        <v>2502</v>
      </c>
      <c r="CD8" s="6">
        <v>45741</v>
      </c>
      <c r="CE8">
        <v>5</v>
      </c>
      <c r="CF8">
        <v>6458.75</v>
      </c>
      <c r="CG8">
        <v>9515683</v>
      </c>
      <c r="CH8" t="s">
        <v>2509</v>
      </c>
      <c r="MW8" t="s">
        <v>3757</v>
      </c>
      <c r="MY8">
        <v>-2.4245362661989844E-14</v>
      </c>
      <c r="MZ8">
        <v>-2.4245362661989844E-14</v>
      </c>
      <c r="NA8" t="s">
        <v>1814</v>
      </c>
      <c r="NB8">
        <v>2024</v>
      </c>
      <c r="NC8" t="s">
        <v>3758</v>
      </c>
      <c r="ND8" s="6">
        <v>45748</v>
      </c>
      <c r="NE8">
        <v>5</v>
      </c>
      <c r="NF8">
        <v>-2.4245362661989844E-14</v>
      </c>
      <c r="NG8">
        <v>158756</v>
      </c>
      <c r="NH8" t="s">
        <v>3759</v>
      </c>
    </row>
    <row r="9" spans="1:570" x14ac:dyDescent="0.25">
      <c r="BW9" t="s">
        <v>2510</v>
      </c>
      <c r="BX9">
        <v>0.22470200000000001</v>
      </c>
      <c r="BZ9">
        <v>-2.4245362661989844E-14</v>
      </c>
      <c r="CA9" t="s">
        <v>1814</v>
      </c>
      <c r="CB9">
        <v>2024</v>
      </c>
      <c r="CC9" t="s">
        <v>2502</v>
      </c>
      <c r="CD9" s="6">
        <v>45741</v>
      </c>
      <c r="CE9">
        <v>5</v>
      </c>
      <c r="CF9">
        <v>5468.75</v>
      </c>
      <c r="CG9">
        <v>15267363</v>
      </c>
      <c r="CH9" t="s">
        <v>2511</v>
      </c>
      <c r="MW9" t="s">
        <v>3760</v>
      </c>
      <c r="MY9">
        <v>-2.4245362661989844E-14</v>
      </c>
      <c r="MZ9">
        <v>-2.4245362661989844E-14</v>
      </c>
      <c r="NA9" t="s">
        <v>1806</v>
      </c>
      <c r="NB9">
        <v>2024</v>
      </c>
      <c r="NC9" t="s">
        <v>3761</v>
      </c>
      <c r="ND9" s="6">
        <v>45342</v>
      </c>
      <c r="NE9">
        <v>5</v>
      </c>
      <c r="NF9">
        <v>-2.4245362661989844E-14</v>
      </c>
      <c r="NG9">
        <v>148067</v>
      </c>
      <c r="NH9" t="s">
        <v>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SPLC_201</vt:lpstr>
      <vt:lpstr>SPLC_202</vt:lpstr>
      <vt:lpstr>SPLC_203</vt:lpstr>
      <vt:lpstr>SPLC_204</vt:lpstr>
      <vt:lpstr>SPLC_205</vt:lpstr>
      <vt:lpstr>SPLC_206</vt:lpstr>
      <vt:lpstr>SPLC_207</vt:lpstr>
      <vt:lpstr>SPLC_208</vt:lpstr>
      <vt:lpstr>SPLC_209</vt:lpstr>
      <vt:lpstr>SPLC_210</vt:lpstr>
      <vt:lpstr>SPLC_211</vt:lpstr>
      <vt:lpstr>SPLC_212</vt:lpstr>
      <vt:lpstr>SPLC_213</vt:lpstr>
      <vt:lpstr>SPLC_214</vt:lpstr>
      <vt:lpstr>SPLC_215</vt:lpstr>
      <vt:lpstr>SPLC_216</vt:lpstr>
      <vt:lpstr>SPLC_217</vt:lpstr>
      <vt:lpstr>SPLC_218</vt:lpstr>
      <vt:lpstr>SPLC_219</vt:lpstr>
      <vt:lpstr>SPLC_220</vt:lpstr>
      <vt:lpstr>SPLC_221</vt:lpstr>
      <vt:lpstr>SPLC_222</vt:lpstr>
      <vt:lpstr>SPLC_223</vt:lpstr>
      <vt:lpstr>SPLC_224</vt:lpstr>
      <vt:lpstr>SPLC_225</vt:lpstr>
      <vt:lpstr>SPLC_226</vt:lpstr>
      <vt:lpstr>SPLC_227</vt:lpstr>
      <vt:lpstr>SPLC_228</vt:lpstr>
      <vt:lpstr>SPLC_229</vt:lpstr>
      <vt:lpstr>SPLC_230</vt:lpstr>
      <vt:lpstr>SPLC_231</vt:lpstr>
      <vt:lpstr>SPLC_232</vt:lpstr>
      <vt:lpstr>SPLC_233</vt:lpstr>
      <vt:lpstr>SPLC_234</vt:lpstr>
      <vt:lpstr>SPLC_235</vt:lpstr>
      <vt:lpstr>SPLC_236</vt:lpstr>
      <vt:lpstr>SPLC_237</vt:lpstr>
      <vt:lpstr>SPLC_238</vt:lpstr>
      <vt:lpstr>SPLC_239</vt:lpstr>
      <vt:lpstr>SPLC_240</vt:lpstr>
      <vt:lpstr>SPLC_241</vt:lpstr>
      <vt:lpstr>SPLC_242</vt:lpstr>
      <vt:lpstr>SPLC_243</vt:lpstr>
      <vt:lpstr>SPLC_244</vt:lpstr>
      <vt:lpstr>SPLC_245</vt:lpstr>
      <vt:lpstr>SPLC_246</vt:lpstr>
      <vt:lpstr>SPLC_247</vt:lpstr>
      <vt:lpstr>SPLC_248</vt:lpstr>
      <vt:lpstr>SPLC_249</vt:lpstr>
      <vt:lpstr>SPLC_250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 Brijeshkumar JOSHI</cp:lastModifiedBy>
  <dcterms:created xsi:type="dcterms:W3CDTF">2026-03-10T17:21:11Z</dcterms:created>
  <dcterms:modified xsi:type="dcterms:W3CDTF">2026-03-10T17:27:12Z</dcterms:modified>
</cp:coreProperties>
</file>