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C_1" sheetId="1" state="visible" r:id="rId1"/>
    <sheet name="SPLC_2" sheetId="2" state="visible" r:id="rId2"/>
    <sheet name="SPLC_3" sheetId="3" state="visible" r:id="rId3"/>
    <sheet name="SPLC_4" sheetId="4" state="visible" r:id="rId4"/>
    <sheet name="SPLC_5" sheetId="5" state="visible" r:id="rId5"/>
    <sheet name="SPLC_6" sheetId="6" state="visible" r:id="rId6"/>
    <sheet name="SPLC_7" sheetId="7" state="visible" r:id="rId7"/>
    <sheet name="SPLC_8" sheetId="8" state="visible" r:id="rId8"/>
    <sheet name="SPLC_9" sheetId="9" state="visible" r:id="rId9"/>
    <sheet name="SPLC_10" sheetId="10" state="visible" r:id="rId10"/>
    <sheet name="SPLC_11" sheetId="11" state="visible" r:id="rId11"/>
    <sheet name="SPLC_12" sheetId="12" state="visible" r:id="rId12"/>
    <sheet name="SPLC_13" sheetId="13" state="visible" r:id="rId13"/>
    <sheet name="SPLC_14" sheetId="14" state="visible" r:id="rId14"/>
    <sheet name="SPLC_15" sheetId="15" state="visible" r:id="rId15"/>
    <sheet name="SPLC_16" sheetId="16" state="visible" r:id="rId16"/>
    <sheet name="SPLC_17" sheetId="17" state="visible" r:id="rId17"/>
    <sheet name="SPLC_18" sheetId="18" state="visible" r:id="rId18"/>
    <sheet name="SPLC_19" sheetId="19" state="visible" r:id="rId19"/>
    <sheet name="SPLC_20" sheetId="20" state="visible" r:id="rId20"/>
    <sheet name="SPLC_21" sheetId="21" state="visible" r:id="rId21"/>
    <sheet name="SPLC_22" sheetId="22" state="visible" r:id="rId22"/>
    <sheet name="SPLC_23" sheetId="23" state="visible" r:id="rId23"/>
    <sheet name="SPLC_24" sheetId="24" state="visible" r:id="rId24"/>
    <sheet name="SPLC_25" sheetId="25" state="visible" r:id="rId25"/>
    <sheet name="SPLC_26" sheetId="26" state="visible" r:id="rId26"/>
    <sheet name="SPLC_27" sheetId="27" state="visible" r:id="rId27"/>
    <sheet name="SPLC_28" sheetId="28" state="visible" r:id="rId28"/>
    <sheet name="SPLC_29" sheetId="29" state="visible" r:id="rId29"/>
    <sheet name="SPLC_30" sheetId="30" state="visible" r:id="rId30"/>
    <sheet name="SPLC_31" sheetId="31" state="visible" r:id="rId31"/>
    <sheet name="SPLC_32" sheetId="32" state="visible" r:id="rId32"/>
    <sheet name="SPLC_33" sheetId="33" state="visible" r:id="rId33"/>
    <sheet name="SPLC_34" sheetId="34" state="visible" r:id="rId34"/>
    <sheet name="SPLC_35" sheetId="35" state="visible" r:id="rId35"/>
    <sheet name="SPLC_36" sheetId="36" state="visible" r:id="rId36"/>
    <sheet name="SPLC_37" sheetId="37" state="visible" r:id="rId37"/>
    <sheet name="SPLC_38" sheetId="38" state="visible" r:id="rId38"/>
    <sheet name="SPLC_39" sheetId="39" state="visible" r:id="rId39"/>
    <sheet name="SPLC_40" sheetId="40" state="visible" r:id="rId40"/>
    <sheet name="SPLC_41" sheetId="41" state="visible" r:id="rId41"/>
    <sheet name="SPLC_42" sheetId="42" state="visible" r:id="rId42"/>
    <sheet name="SPLC_43" sheetId="43" state="visible" r:id="rId43"/>
    <sheet name="SPLC_44" sheetId="44" state="visible" r:id="rId44"/>
    <sheet name="SPLC_45" sheetId="45" state="visible" r:id="rId45"/>
    <sheet name="SPLC_46" sheetId="46" state="visible" r:id="rId46"/>
    <sheet name="SPLC_47" sheetId="47" state="visible" r:id="rId47"/>
    <sheet name="SPLC_48" sheetId="48" state="visible" r:id="rId48"/>
    <sheet name="SPLC_49" sheetId="49" state="visible" r:id="rId49"/>
    <sheet name="SPLC_50" sheetId="50" state="visible" r:id="rId50"/>
    <sheet name="SPLC_51" sheetId="51" state="visible" r:id="rId51"/>
    <sheet name="SPLC_52" sheetId="52" state="visible" r:id="rId52"/>
    <sheet name="SPLC_53" sheetId="53" state="visible" r:id="rId53"/>
    <sheet name="SPLC_54" sheetId="54" state="visible" r:id="rId54"/>
    <sheet name="SPLC_55" sheetId="55" state="visible" r:id="rId55"/>
    <sheet name="SPLC_56" sheetId="56" state="visible" r:id="rId56"/>
    <sheet name="SPLC_57" sheetId="57" state="visible" r:id="rId57"/>
    <sheet name="SPLC_58" sheetId="58" state="visible" r:id="rId58"/>
    <sheet name="SPLC_59" sheetId="59" state="visible" r:id="rId59"/>
    <sheet name="SPLC_60" sheetId="60" state="visible" r:id="rId60"/>
    <sheet name="SPLC_61" sheetId="61" state="visible" r:id="rId61"/>
    <sheet name="SPLC_62" sheetId="62" state="visible" r:id="rId62"/>
    <sheet name="SPLC_63" sheetId="63" state="visible" r:id="rId63"/>
    <sheet name="SPLC_64" sheetId="64" state="visible" r:id="rId64"/>
    <sheet name="SPLC_65" sheetId="65" state="visible" r:id="rId65"/>
    <sheet name="SPLC_66" sheetId="66" state="visible" r:id="rId66"/>
    <sheet name="SPLC_67" sheetId="67" state="visible" r:id="rId67"/>
    <sheet name="SPLC_68" sheetId="68" state="visible" r:id="rId68"/>
    <sheet name="SPLC_69" sheetId="69" state="visible" r:id="rId69"/>
    <sheet name="SPLC_70" sheetId="70" state="visible" r:id="rId70"/>
    <sheet name="SPLC_71" sheetId="71" state="visible" r:id="rId71"/>
    <sheet name="SPLC_72" sheetId="72" state="visible" r:id="rId72"/>
    <sheet name="SPLC_73" sheetId="73" state="visible" r:id="rId73"/>
    <sheet name="SPLC_74" sheetId="74" state="visible" r:id="rId74"/>
    <sheet name="SPLC_75" sheetId="75" state="visible" r:id="rId75"/>
    <sheet name="SPLC_76" sheetId="76" state="visible" r:id="rId76"/>
    <sheet name="SPLC_77" sheetId="77" state="visible" r:id="rId77"/>
    <sheet name="SPLC_78" sheetId="78" state="visible" r:id="rId78"/>
    <sheet name="SPLC_79" sheetId="79" state="visible" r:id="rId79"/>
    <sheet name="SPLC_80" sheetId="80" state="visible" r:id="rId80"/>
    <sheet name="SPLC_81" sheetId="81" state="visible" r:id="rId81"/>
    <sheet name="SPLC_82" sheetId="82" state="visible" r:id="rId82"/>
    <sheet name="SPLC_83" sheetId="83" state="visible" r:id="rId83"/>
    <sheet name="SPLC_84" sheetId="84" state="visible" r:id="rId84"/>
    <sheet name="SPLC_85" sheetId="85" state="visible" r:id="rId85"/>
    <sheet name="SPLC_86" sheetId="86" state="visible" r:id="rId86"/>
    <sheet name="SPLC_87" sheetId="87" state="visible" r:id="rId87"/>
    <sheet name="SPLC_88" sheetId="88" state="visible" r:id="rId88"/>
    <sheet name="SPLC_89" sheetId="89" state="visible" r:id="rId89"/>
    <sheet name="SPLC_90" sheetId="90" state="visible" r:id="rId90"/>
    <sheet name="SPLC_91" sheetId="91" state="visible" r:id="rId91"/>
    <sheet name="SPLC_92" sheetId="92" state="visible" r:id="rId92"/>
    <sheet name="SPLC_93" sheetId="93" state="visible" r:id="rId93"/>
    <sheet name="SPLC_94" sheetId="94" state="visible" r:id="rId94"/>
    <sheet name="SPLC_95" sheetId="95" state="visible" r:id="rId95"/>
    <sheet name="SPLC_96" sheetId="96" state="visible" r:id="rId96"/>
    <sheet name="SPLC_97" sheetId="97" state="visible" r:id="rId97"/>
    <sheet name="SPLC_98" sheetId="98" state="visible" r:id="rId98"/>
    <sheet name="SPLC_99" sheetId="99" state="visible" r:id="rId99"/>
    <sheet name="SPLC_100" sheetId="100" state="visible" r:id="rId100"/>
    <sheet name="SPLC_101" sheetId="101" state="visible" r:id="rId101"/>
    <sheet name="SPLC_102" sheetId="102" state="visible" r:id="rId102"/>
    <sheet name="SPLC_103" sheetId="103" state="visible" r:id="rId103"/>
    <sheet name="SPLC_104" sheetId="104" state="visible" r:id="rId104"/>
    <sheet name="SPLC_105" sheetId="105" state="visible" r:id="rId105"/>
    <sheet name="SPLC_106" sheetId="106" state="visible" r:id="rId106"/>
    <sheet name="SPLC_107" sheetId="107" state="visible" r:id="rId107"/>
    <sheet name="SPLC_108" sheetId="108" state="visible" r:id="rId108"/>
    <sheet name="SPLC_109" sheetId="109" state="visible" r:id="rId109"/>
    <sheet name="SPLC_110" sheetId="110" state="visible" r:id="rId110"/>
    <sheet name="SPLC_111" sheetId="111" state="visible" r:id="rId111"/>
    <sheet name="SPLC_112" sheetId="112" state="visible" r:id="rId112"/>
    <sheet name="SPLC_113" sheetId="113" state="visible" r:id="rId113"/>
    <sheet name="SPLC_114" sheetId="114" state="visible" r:id="rId114"/>
    <sheet name="SPLC_115" sheetId="115" state="visible" r:id="rId115"/>
    <sheet name="SPLC_116" sheetId="116" state="visible" r:id="rId116"/>
    <sheet name="SPLC_117" sheetId="117" state="visible" r:id="rId117"/>
    <sheet name="SPLC_118" sheetId="118" state="visible" r:id="rId118"/>
    <sheet name="SPLC_119" sheetId="119" state="visible" r:id="rId119"/>
    <sheet name="SPLC_120" sheetId="120" state="visible" r:id="rId120"/>
    <sheet name="SPLC_121" sheetId="121" state="visible" r:id="rId121"/>
    <sheet name="SPLC_122" sheetId="122" state="visible" r:id="rId122"/>
    <sheet name="SPLC_123" sheetId="123" state="visible" r:id="rId123"/>
    <sheet name="SPLC_124" sheetId="124" state="visible" r:id="rId124"/>
    <sheet name="SPLC_125" sheetId="125" state="visible" r:id="rId1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003366"/>
      <sz val="1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styles" Target="styles.xml" Id="rId126" /><Relationship Type="http://schemas.openxmlformats.org/officeDocument/2006/relationships/theme" Target="theme/theme1.xml" Id="rId1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</t>
        </is>
      </c>
      <c r="K1" s="1" t="inlineStr">
        <is>
          <t>Deal 2</t>
        </is>
      </c>
      <c r="U1" s="1" t="inlineStr">
        <is>
          <t>Deal 3</t>
        </is>
      </c>
      <c r="AE1" s="1" t="inlineStr">
        <is>
          <t>Deal 4</t>
        </is>
      </c>
      <c r="AO1" s="1" t="inlineStr">
        <is>
          <t>Deal 5</t>
        </is>
      </c>
      <c r="AY1" s="1" t="inlineStr">
        <is>
          <t>Deal 6</t>
        </is>
      </c>
      <c r="BI1" s="1" t="inlineStr">
        <is>
          <t>Deal 7</t>
        </is>
      </c>
      <c r="BS1" s="1" t="inlineStr">
        <is>
          <t>Deal 8</t>
        </is>
      </c>
      <c r="CC1" s="1" t="inlineStr">
        <is>
          <t>Deal 9</t>
        </is>
      </c>
      <c r="CM1" s="1" t="inlineStr">
        <is>
          <t>Deal 10</t>
        </is>
      </c>
      <c r="CW1" s="1" t="inlineStr">
        <is>
          <t>Deal 11</t>
        </is>
      </c>
      <c r="DG1" s="1" t="inlineStr">
        <is>
          <t>Deal 12</t>
        </is>
      </c>
      <c r="DQ1" s="1" t="inlineStr">
        <is>
          <t>Deal 13</t>
        </is>
      </c>
      <c r="EA1" s="1" t="inlineStr">
        <is>
          <t>Deal 14</t>
        </is>
      </c>
      <c r="EK1" s="1" t="inlineStr">
        <is>
          <t>Deal 15</t>
        </is>
      </c>
      <c r="EU1" s="1" t="inlineStr">
        <is>
          <t>Deal 16</t>
        </is>
      </c>
      <c r="FE1" s="1" t="inlineStr">
        <is>
          <t>Deal 17</t>
        </is>
      </c>
      <c r="FO1" s="1" t="inlineStr">
        <is>
          <t>Deal 18</t>
        </is>
      </c>
      <c r="FY1" s="1" t="inlineStr">
        <is>
          <t>Deal 19</t>
        </is>
      </c>
      <c r="GI1" s="1" t="inlineStr">
        <is>
          <t>Deal 20</t>
        </is>
      </c>
      <c r="GS1" s="1" t="inlineStr">
        <is>
          <t>Deal 21</t>
        </is>
      </c>
      <c r="HC1" s="1" t="inlineStr">
        <is>
          <t>Deal 22</t>
        </is>
      </c>
      <c r="HM1" s="1" t="inlineStr">
        <is>
          <t>Deal 23</t>
        </is>
      </c>
      <c r="HW1" s="1" t="inlineStr">
        <is>
          <t>Deal 24</t>
        </is>
      </c>
      <c r="IG1" s="1" t="inlineStr">
        <is>
          <t>Deal 25</t>
        </is>
      </c>
      <c r="IQ1" s="1" t="inlineStr">
        <is>
          <t>Deal 26</t>
        </is>
      </c>
      <c r="JA1" s="1" t="inlineStr">
        <is>
          <t>Deal 27</t>
        </is>
      </c>
      <c r="JK1" s="1" t="inlineStr">
        <is>
          <t>Deal 28</t>
        </is>
      </c>
      <c r="JU1" s="1" t="inlineStr">
        <is>
          <t>Deal 29</t>
        </is>
      </c>
      <c r="KE1" s="1" t="inlineStr">
        <is>
          <t>Deal 30</t>
        </is>
      </c>
      <c r="KO1" s="1" t="inlineStr">
        <is>
          <t>Deal 31</t>
        </is>
      </c>
      <c r="KY1" s="1" t="inlineStr">
        <is>
          <t>Deal 32</t>
        </is>
      </c>
      <c r="LI1" s="1" t="inlineStr">
        <is>
          <t>Deal 33</t>
        </is>
      </c>
      <c r="LS1" s="1" t="inlineStr">
        <is>
          <t>Deal 34</t>
        </is>
      </c>
      <c r="MC1" s="1" t="inlineStr">
        <is>
          <t>Deal 35</t>
        </is>
      </c>
      <c r="MM1" s="1" t="inlineStr">
        <is>
          <t>Deal 36</t>
        </is>
      </c>
      <c r="MW1" s="1" t="inlineStr">
        <is>
          <t>Deal 37</t>
        </is>
      </c>
      <c r="NG1" s="1" t="inlineStr">
        <is>
          <t>Deal 38</t>
        </is>
      </c>
      <c r="NQ1" s="1" t="inlineStr">
        <is>
          <t>Deal 39</t>
        </is>
      </c>
      <c r="OA1" s="1" t="inlineStr">
        <is>
          <t>Deal 40</t>
        </is>
      </c>
    </row>
    <row r="2">
      <c r="A2" s="2" t="inlineStr">
        <is>
          <t>TWX US Equity</t>
        </is>
      </c>
      <c r="K2" s="2" t="inlineStr">
        <is>
          <t>T US Equity</t>
        </is>
      </c>
      <c r="U2" s="2" t="inlineStr">
        <is>
          <t>RTX US Equity</t>
        </is>
      </c>
      <c r="AE2" s="2" t="inlineStr">
        <is>
          <t>BMY US Equity</t>
        </is>
      </c>
      <c r="AO2" s="2" t="inlineStr">
        <is>
          <t>PFE US Equity</t>
        </is>
      </c>
      <c r="AY2" s="2" t="inlineStr">
        <is>
          <t>ABBV US Equity</t>
        </is>
      </c>
      <c r="BI2" s="2" t="inlineStr">
        <is>
          <t>DIS US Equity</t>
        </is>
      </c>
      <c r="BS2" s="2" t="inlineStr">
        <is>
          <t>T US Equity</t>
        </is>
      </c>
      <c r="CC2" s="2" t="inlineStr">
        <is>
          <t>XOM US Equity</t>
        </is>
      </c>
      <c r="CM2" s="2" t="inlineStr">
        <is>
          <t>9876540D US Equity</t>
        </is>
      </c>
      <c r="CW2" s="2" t="inlineStr">
        <is>
          <t>VZ US Equity</t>
        </is>
      </c>
      <c r="DG2" s="2" t="inlineStr">
        <is>
          <t>C US Equity</t>
        </is>
      </c>
      <c r="DQ2" s="2" t="inlineStr">
        <is>
          <t>CI US Equity</t>
        </is>
      </c>
      <c r="EA2" s="2" t="inlineStr">
        <is>
          <t>CVS US Equity</t>
        </is>
      </c>
      <c r="EK2" s="2" t="inlineStr">
        <is>
          <t>TMUS US Equity</t>
        </is>
      </c>
      <c r="EU2" s="2" t="inlineStr">
        <is>
          <t>T US Equity</t>
        </is>
      </c>
      <c r="FE2" s="2" t="inlineStr">
        <is>
          <t>T US Equity</t>
        </is>
      </c>
      <c r="FO2" s="2" t="inlineStr">
        <is>
          <t>DD US Equity</t>
        </is>
      </c>
      <c r="FY2" s="2" t="inlineStr">
        <is>
          <t>AGN US Equity</t>
        </is>
      </c>
      <c r="GI2" s="2" t="inlineStr">
        <is>
          <t>PFE US Equity</t>
        </is>
      </c>
      <c r="GS2" s="2" t="inlineStr">
        <is>
          <t>PFE US Equity</t>
        </is>
      </c>
      <c r="HC2" s="2" t="inlineStr">
        <is>
          <t>ET US Equity</t>
        </is>
      </c>
      <c r="HM2" s="2" t="inlineStr">
        <is>
          <t>BAC US Equity</t>
        </is>
      </c>
      <c r="HW2" s="2" t="inlineStr">
        <is>
          <t>PG US Equity</t>
        </is>
      </c>
      <c r="IG2" s="2" t="inlineStr">
        <is>
          <t>653707Q US Equity</t>
        </is>
      </c>
      <c r="IQ2" s="2" t="inlineStr">
        <is>
          <t>OXY US Equity</t>
        </is>
      </c>
      <c r="JA2" s="2" t="inlineStr">
        <is>
          <t>JPM US Equity</t>
        </is>
      </c>
      <c r="JK2" s="2" t="inlineStr">
        <is>
          <t>ETP US Equity</t>
        </is>
      </c>
      <c r="JU2" s="2" t="inlineStr">
        <is>
          <t>KMI US Equity</t>
        </is>
      </c>
      <c r="KE2" s="2" t="inlineStr">
        <is>
          <t>nan Equity</t>
        </is>
      </c>
      <c r="KO2" s="2" t="inlineStr">
        <is>
          <t>BAC US Equity</t>
        </is>
      </c>
      <c r="KY2" s="2" t="inlineStr">
        <is>
          <t>MRK US Equity</t>
        </is>
      </c>
      <c r="LI2" s="2" t="inlineStr">
        <is>
          <t>MDT US Equity</t>
        </is>
      </c>
      <c r="LS2" s="2" t="inlineStr">
        <is>
          <t>0772031D US Equity</t>
        </is>
      </c>
      <c r="MC2" s="2" t="inlineStr">
        <is>
          <t>CVX US Equity</t>
        </is>
      </c>
      <c r="MM2" s="2" t="inlineStr">
        <is>
          <t>SPGI US Equity</t>
        </is>
      </c>
      <c r="MW2" s="2" t="inlineStr">
        <is>
          <t>0848680D US Equity</t>
        </is>
      </c>
      <c r="NG2" s="2" t="inlineStr">
        <is>
          <t>XOM US Equity</t>
        </is>
      </c>
      <c r="NQ2" s="2" t="inlineStr">
        <is>
          <t>FIS US Equity</t>
        </is>
      </c>
      <c r="OA2" s="2" t="inlineStr">
        <is>
          <t>BAC US Equity</t>
        </is>
      </c>
    </row>
    <row r="3">
      <c r="A3" t="inlineStr">
        <is>
          <t>Ann: 2000-01-10</t>
        </is>
      </c>
      <c r="K3" t="inlineStr">
        <is>
          <t>Ann: 2016-10-22</t>
        </is>
      </c>
      <c r="U3" t="inlineStr">
        <is>
          <t>Ann: 2019-06-09</t>
        </is>
      </c>
      <c r="AE3" t="inlineStr">
        <is>
          <t>Ann: 2019-01-03</t>
        </is>
      </c>
      <c r="AO3" t="inlineStr">
        <is>
          <t>Ann: 1999-11-04</t>
        </is>
      </c>
      <c r="AY3" t="inlineStr">
        <is>
          <t>Ann: 2019-06-25</t>
        </is>
      </c>
      <c r="BI3" t="inlineStr">
        <is>
          <t>Ann: 2017-12-14</t>
        </is>
      </c>
      <c r="BS3" t="inlineStr">
        <is>
          <t>Ann: 2006-03-05</t>
        </is>
      </c>
      <c r="CC3" t="inlineStr">
        <is>
          <t>Ann: 1998-12-01</t>
        </is>
      </c>
      <c r="CM3" t="inlineStr">
        <is>
          <t>Ann: 2015-05-26</t>
        </is>
      </c>
      <c r="CW3" t="inlineStr">
        <is>
          <t>Ann: 1998-07-28</t>
        </is>
      </c>
      <c r="DG3" t="inlineStr">
        <is>
          <t>Ann: 1998-04-06</t>
        </is>
      </c>
      <c r="DQ3" t="inlineStr">
        <is>
          <t>Ann: 2018-03-08</t>
        </is>
      </c>
      <c r="EA3" t="inlineStr">
        <is>
          <t>Ann: 2017-12-03</t>
        </is>
      </c>
      <c r="EK3" t="inlineStr">
        <is>
          <t>Ann: 2018-04-29</t>
        </is>
      </c>
      <c r="EU3" t="inlineStr">
        <is>
          <t>Ann: 1998-05-11</t>
        </is>
      </c>
      <c r="FE3" t="inlineStr">
        <is>
          <t>Ann: 2014-05-18</t>
        </is>
      </c>
      <c r="FO3" t="inlineStr">
        <is>
          <t>Ann: 2015-12-11</t>
        </is>
      </c>
      <c r="FY3" t="inlineStr">
        <is>
          <t>Ann: 2014-11-17</t>
        </is>
      </c>
      <c r="GI3" t="inlineStr">
        <is>
          <t>Ann: 2002-07-15</t>
        </is>
      </c>
      <c r="GS3" t="inlineStr">
        <is>
          <t>Ann: 2009-01-26</t>
        </is>
      </c>
      <c r="HC3" t="inlineStr">
        <is>
          <t>Ann: 2018-08-01</t>
        </is>
      </c>
      <c r="HM3" t="inlineStr">
        <is>
          <t>Ann: 1998-01-13</t>
        </is>
      </c>
      <c r="HW3" t="inlineStr">
        <is>
          <t>Ann: 2005-01-28</t>
        </is>
      </c>
      <c r="IG3" t="inlineStr">
        <is>
          <t>Ann: 1999-04-22</t>
        </is>
      </c>
      <c r="IQ3" t="inlineStr">
        <is>
          <t>Ann: 2019-05-09</t>
        </is>
      </c>
      <c r="JA3" t="inlineStr">
        <is>
          <t>Ann: 2004-01-14</t>
        </is>
      </c>
      <c r="JK3" t="inlineStr">
        <is>
          <t>Ann: 2016-11-21</t>
        </is>
      </c>
      <c r="JU3" t="inlineStr">
        <is>
          <t>Ann: 2014-08-10</t>
        </is>
      </c>
      <c r="KE3" t="inlineStr">
        <is>
          <t>Ann: 2007-02-26</t>
        </is>
      </c>
      <c r="KO3" t="inlineStr">
        <is>
          <t>Ann: 2003-10-27</t>
        </is>
      </c>
      <c r="KY3" t="inlineStr">
        <is>
          <t>Ann: 2009-03-09</t>
        </is>
      </c>
      <c r="LI3" t="inlineStr">
        <is>
          <t>Ann: 2014-06-15</t>
        </is>
      </c>
      <c r="LS3" t="inlineStr">
        <is>
          <t>Ann: 1999-06-14</t>
        </is>
      </c>
      <c r="MC3" t="inlineStr">
        <is>
          <t>Ann: 2000-10-16</t>
        </is>
      </c>
      <c r="MM3" t="inlineStr">
        <is>
          <t>Ann: 2020-11-30</t>
        </is>
      </c>
      <c r="MW3" t="inlineStr">
        <is>
          <t>Ann: 2004-12-15</t>
        </is>
      </c>
      <c r="NG3" t="inlineStr">
        <is>
          <t>Ann: 2009-12-14</t>
        </is>
      </c>
      <c r="NQ3" t="inlineStr">
        <is>
          <t>Ann: 2019-03-18</t>
        </is>
      </c>
      <c r="OA3" t="inlineStr">
        <is>
          <t>Ann: 2008-09-15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BDS("TWX US Equity","SUPPLY_CHAIN_SUPPLIERS","RELATIONSHIP_AS_OF_DATE","20000110")</f>
        <v/>
      </c>
      <c r="F5">
        <f>BDS("TWX US Equity","SUPPLY_CHAIN_CUSTOMERS","RELATIONSHIP_AS_OF_DATE","20000110")</f>
        <v/>
      </c>
      <c r="K5">
        <f>BDS("T US Equity","SUPPLY_CHAIN_SUPPLIERS","RELATIONSHIP_AS_OF_DATE","20161022")</f>
        <v/>
      </c>
      <c r="P5">
        <f>BDS("T US Equity","SUPPLY_CHAIN_CUSTOMERS","RELATIONSHIP_AS_OF_DATE","20161022")</f>
        <v/>
      </c>
      <c r="U5">
        <f>BDS("RTX US Equity","SUPPLY_CHAIN_SUPPLIERS","RELATIONSHIP_AS_OF_DATE","20190609")</f>
        <v/>
      </c>
      <c r="Z5">
        <f>BDS("RTX US Equity","SUPPLY_CHAIN_CUSTOMERS","RELATIONSHIP_AS_OF_DATE","20190609")</f>
        <v/>
      </c>
      <c r="AE5">
        <f>BDS("BMY US Equity","SUPPLY_CHAIN_SUPPLIERS","RELATIONSHIP_AS_OF_DATE","20190103")</f>
        <v/>
      </c>
      <c r="AJ5">
        <f>BDS("BMY US Equity","SUPPLY_CHAIN_CUSTOMERS","RELATIONSHIP_AS_OF_DATE","20190103")</f>
        <v/>
      </c>
      <c r="AO5">
        <f>BDS("PFE US Equity","SUPPLY_CHAIN_SUPPLIERS","RELATIONSHIP_AS_OF_DATE","19991104")</f>
        <v/>
      </c>
      <c r="AT5">
        <f>BDS("PFE US Equity","SUPPLY_CHAIN_CUSTOMERS","RELATIONSHIP_AS_OF_DATE","19991104")</f>
        <v/>
      </c>
      <c r="AY5">
        <f>BDS("ABBV US Equity","SUPPLY_CHAIN_SUPPLIERS","RELATIONSHIP_AS_OF_DATE","20190625")</f>
        <v/>
      </c>
      <c r="BD5">
        <f>BDS("ABBV US Equity","SUPPLY_CHAIN_CUSTOMERS","RELATIONSHIP_AS_OF_DATE","20190625")</f>
        <v/>
      </c>
      <c r="BI5">
        <f>BDS("DIS US Equity","SUPPLY_CHAIN_SUPPLIERS","RELATIONSHIP_AS_OF_DATE","20171214")</f>
        <v/>
      </c>
      <c r="BN5">
        <f>BDS("DIS US Equity","SUPPLY_CHAIN_CUSTOMERS","RELATIONSHIP_AS_OF_DATE","20171214")</f>
        <v/>
      </c>
      <c r="BS5">
        <f>BDS("T US Equity","SUPPLY_CHAIN_SUPPLIERS","RELATIONSHIP_AS_OF_DATE","20060305")</f>
        <v/>
      </c>
      <c r="BX5">
        <f>BDS("T US Equity","SUPPLY_CHAIN_CUSTOMERS","RELATIONSHIP_AS_OF_DATE","20060305")</f>
        <v/>
      </c>
      <c r="CC5">
        <f>BDS("XOM US Equity","SUPPLY_CHAIN_SUPPLIERS","RELATIONSHIP_AS_OF_DATE","19981201")</f>
        <v/>
      </c>
      <c r="CH5">
        <f>BDS("XOM US Equity","SUPPLY_CHAIN_CUSTOMERS","RELATIONSHIP_AS_OF_DATE","19981201")</f>
        <v/>
      </c>
      <c r="CM5">
        <f>BDS("9876540D US Equity","SUPPLY_CHAIN_SUPPLIERS","RELATIONSHIP_AS_OF_DATE","20150526")</f>
        <v/>
      </c>
      <c r="CR5">
        <f>BDS("9876540D US Equity","SUPPLY_CHAIN_CUSTOMERS","RELATIONSHIP_AS_OF_DATE","20150526")</f>
        <v/>
      </c>
      <c r="CW5">
        <f>BDS("VZ US Equity","SUPPLY_CHAIN_SUPPLIERS","RELATIONSHIP_AS_OF_DATE","19980728")</f>
        <v/>
      </c>
      <c r="DB5">
        <f>BDS("VZ US Equity","SUPPLY_CHAIN_CUSTOMERS","RELATIONSHIP_AS_OF_DATE","19980728")</f>
        <v/>
      </c>
      <c r="DG5">
        <f>BDS("C US Equity","SUPPLY_CHAIN_SUPPLIERS","RELATIONSHIP_AS_OF_DATE","19980406")</f>
        <v/>
      </c>
      <c r="DL5">
        <f>BDS("C US Equity","SUPPLY_CHAIN_CUSTOMERS","RELATIONSHIP_AS_OF_DATE","19980406")</f>
        <v/>
      </c>
      <c r="DQ5">
        <f>BDS("CI US Equity","SUPPLY_CHAIN_SUPPLIERS","RELATIONSHIP_AS_OF_DATE","20180308")</f>
        <v/>
      </c>
      <c r="DV5">
        <f>BDS("CI US Equity","SUPPLY_CHAIN_CUSTOMERS","RELATIONSHIP_AS_OF_DATE","20180308")</f>
        <v/>
      </c>
      <c r="EA5">
        <f>BDS("CVS US Equity","SUPPLY_CHAIN_SUPPLIERS","RELATIONSHIP_AS_OF_DATE","20171203")</f>
        <v/>
      </c>
      <c r="EF5">
        <f>BDS("CVS US Equity","SUPPLY_CHAIN_CUSTOMERS","RELATIONSHIP_AS_OF_DATE","20171203")</f>
        <v/>
      </c>
      <c r="EK5">
        <f>BDS("TMUS US Equity","SUPPLY_CHAIN_SUPPLIERS","RELATIONSHIP_AS_OF_DATE","20180429")</f>
        <v/>
      </c>
      <c r="EP5">
        <f>BDS("TMUS US Equity","SUPPLY_CHAIN_CUSTOMERS","RELATIONSHIP_AS_OF_DATE","20180429")</f>
        <v/>
      </c>
      <c r="EU5">
        <f>BDS("T US Equity","SUPPLY_CHAIN_SUPPLIERS","RELATIONSHIP_AS_OF_DATE","19980511")</f>
        <v/>
      </c>
      <c r="EZ5">
        <f>BDS("T US Equity","SUPPLY_CHAIN_CUSTOMERS","RELATIONSHIP_AS_OF_DATE","19980511")</f>
        <v/>
      </c>
      <c r="FE5">
        <f>BDS("T US Equity","SUPPLY_CHAIN_SUPPLIERS","RELATIONSHIP_AS_OF_DATE","20140518")</f>
        <v/>
      </c>
      <c r="FJ5">
        <f>BDS("T US Equity","SUPPLY_CHAIN_CUSTOMERS","RELATIONSHIP_AS_OF_DATE","20140518")</f>
        <v/>
      </c>
      <c r="FO5">
        <f>BDS("DD US Equity","SUPPLY_CHAIN_SUPPLIERS","RELATIONSHIP_AS_OF_DATE","20151211")</f>
        <v/>
      </c>
      <c r="FT5">
        <f>BDS("DD US Equity","SUPPLY_CHAIN_CUSTOMERS","RELATIONSHIP_AS_OF_DATE","20151211")</f>
        <v/>
      </c>
      <c r="FY5">
        <f>BDS("AGN US Equity","SUPPLY_CHAIN_SUPPLIERS","RELATIONSHIP_AS_OF_DATE","20141117")</f>
        <v/>
      </c>
      <c r="GD5">
        <f>BDS("AGN US Equity","SUPPLY_CHAIN_CUSTOMERS","RELATIONSHIP_AS_OF_DATE","20141117")</f>
        <v/>
      </c>
      <c r="GI5">
        <f>BDS("PFE US Equity","SUPPLY_CHAIN_SUPPLIERS","RELATIONSHIP_AS_OF_DATE","20020715")</f>
        <v/>
      </c>
      <c r="GN5">
        <f>BDS("PFE US Equity","SUPPLY_CHAIN_CUSTOMERS","RELATIONSHIP_AS_OF_DATE","20020715")</f>
        <v/>
      </c>
      <c r="GS5">
        <f>BDS("PFE US Equity","SUPPLY_CHAIN_SUPPLIERS","RELATIONSHIP_AS_OF_DATE","20090126")</f>
        <v/>
      </c>
      <c r="GX5">
        <f>BDS("PFE US Equity","SUPPLY_CHAIN_CUSTOMERS","RELATIONSHIP_AS_OF_DATE","20090126")</f>
        <v/>
      </c>
      <c r="HC5">
        <f>BDS("ET US Equity","SUPPLY_CHAIN_SUPPLIERS","RELATIONSHIP_AS_OF_DATE","20180801")</f>
        <v/>
      </c>
      <c r="HH5">
        <f>BDS("ET US Equity","SUPPLY_CHAIN_CUSTOMERS","RELATIONSHIP_AS_OF_DATE","20180801")</f>
        <v/>
      </c>
      <c r="HM5">
        <f>BDS("BAC US Equity","SUPPLY_CHAIN_SUPPLIERS","RELATIONSHIP_AS_OF_DATE","19980113")</f>
        <v/>
      </c>
      <c r="HR5">
        <f>BDS("BAC US Equity","SUPPLY_CHAIN_CUSTOMERS","RELATIONSHIP_AS_OF_DATE","19980113")</f>
        <v/>
      </c>
      <c r="HW5">
        <f>BDS("PG US Equity","SUPPLY_CHAIN_SUPPLIERS","RELATIONSHIP_AS_OF_DATE","20050128")</f>
        <v/>
      </c>
      <c r="IB5">
        <f>BDS("PG US Equity","SUPPLY_CHAIN_CUSTOMERS","RELATIONSHIP_AS_OF_DATE","20050128")</f>
        <v/>
      </c>
      <c r="IG5">
        <f>BDS("653707Q US Equity","SUPPLY_CHAIN_SUPPLIERS","RELATIONSHIP_AS_OF_DATE","19990422")</f>
        <v/>
      </c>
      <c r="IL5">
        <f>BDS("653707Q US Equity","SUPPLY_CHAIN_CUSTOMERS","RELATIONSHIP_AS_OF_DATE","19990422")</f>
        <v/>
      </c>
      <c r="IQ5">
        <f>BDS("OXY US Equity","SUPPLY_CHAIN_SUPPLIERS","RELATIONSHIP_AS_OF_DATE","20190509")</f>
        <v/>
      </c>
      <c r="IV5">
        <f>BDS("OXY US Equity","SUPPLY_CHAIN_CUSTOMERS","RELATIONSHIP_AS_OF_DATE","20190509")</f>
        <v/>
      </c>
      <c r="JA5">
        <f>BDS("JPM US Equity","SUPPLY_CHAIN_SUPPLIERS","RELATIONSHIP_AS_OF_DATE","20040114")</f>
        <v/>
      </c>
      <c r="JF5">
        <f>BDS("JPM US Equity","SUPPLY_CHAIN_CUSTOMERS","RELATIONSHIP_AS_OF_DATE","20040114")</f>
        <v/>
      </c>
      <c r="JK5">
        <f>BDS("ETP US Equity","SUPPLY_CHAIN_SUPPLIERS","RELATIONSHIP_AS_OF_DATE","20161121")</f>
        <v/>
      </c>
      <c r="JP5">
        <f>BDS("ETP US Equity","SUPPLY_CHAIN_CUSTOMERS","RELATIONSHIP_AS_OF_DATE","20161121")</f>
        <v/>
      </c>
      <c r="JU5">
        <f>BDS("KMI US Equity","SUPPLY_CHAIN_SUPPLIERS","RELATIONSHIP_AS_OF_DATE","20140810")</f>
        <v/>
      </c>
      <c r="JZ5">
        <f>BDS("KMI US Equity","SUPPLY_CHAIN_CUSTOMERS","RELATIONSHIP_AS_OF_DATE","20140810")</f>
        <v/>
      </c>
      <c r="KE5">
        <f>BDS("nan Equity","SUPPLY_CHAIN_SUPPLIERS","RELATIONSHIP_AS_OF_DATE","20070226")</f>
        <v/>
      </c>
      <c r="KJ5">
        <f>BDS("nan Equity","SUPPLY_CHAIN_CUSTOMERS","RELATIONSHIP_AS_OF_DATE","20070226")</f>
        <v/>
      </c>
      <c r="KO5">
        <f>BDS("BAC US Equity","SUPPLY_CHAIN_SUPPLIERS","RELATIONSHIP_AS_OF_DATE","20031027")</f>
        <v/>
      </c>
      <c r="KT5">
        <f>BDS("BAC US Equity","SUPPLY_CHAIN_CUSTOMERS","RELATIONSHIP_AS_OF_DATE","20031027")</f>
        <v/>
      </c>
      <c r="KY5">
        <f>BDS("MRK US Equity","SUPPLY_CHAIN_SUPPLIERS","RELATIONSHIP_AS_OF_DATE","20090309")</f>
        <v/>
      </c>
      <c r="LD5">
        <f>BDS("MRK US Equity","SUPPLY_CHAIN_CUSTOMERS","RELATIONSHIP_AS_OF_DATE","20090309")</f>
        <v/>
      </c>
      <c r="LI5">
        <f>BDS("MDT US Equity","SUPPLY_CHAIN_SUPPLIERS","RELATIONSHIP_AS_OF_DATE","20140615")</f>
        <v/>
      </c>
      <c r="LN5">
        <f>BDS("MDT US Equity","SUPPLY_CHAIN_CUSTOMERS","RELATIONSHIP_AS_OF_DATE","20140615")</f>
        <v/>
      </c>
      <c r="LS5">
        <f>BDS("0772031D US Equity","SUPPLY_CHAIN_SUPPLIERS","RELATIONSHIP_AS_OF_DATE","19990614")</f>
        <v/>
      </c>
      <c r="LX5">
        <f>BDS("0772031D US Equity","SUPPLY_CHAIN_CUSTOMERS","RELATIONSHIP_AS_OF_DATE","19990614")</f>
        <v/>
      </c>
      <c r="MC5">
        <f>BDS("CVX US Equity","SUPPLY_CHAIN_SUPPLIERS","RELATIONSHIP_AS_OF_DATE","20001016")</f>
        <v/>
      </c>
      <c r="MH5">
        <f>BDS("CVX US Equity","SUPPLY_CHAIN_CUSTOMERS","RELATIONSHIP_AS_OF_DATE","20001016")</f>
        <v/>
      </c>
      <c r="MM5">
        <f>BDS("SPGI US Equity","SUPPLY_CHAIN_SUPPLIERS","RELATIONSHIP_AS_OF_DATE","20201130")</f>
        <v/>
      </c>
      <c r="MR5">
        <f>BDS("SPGI US Equity","SUPPLY_CHAIN_CUSTOMERS","RELATIONSHIP_AS_OF_DATE","20201130")</f>
        <v/>
      </c>
      <c r="MW5">
        <f>BDS("0848680D US Equity","SUPPLY_CHAIN_SUPPLIERS","RELATIONSHIP_AS_OF_DATE","20041215")</f>
        <v/>
      </c>
      <c r="NB5">
        <f>BDS("0848680D US Equity","SUPPLY_CHAIN_CUSTOMERS","RELATIONSHIP_AS_OF_DATE","20041215")</f>
        <v/>
      </c>
      <c r="NG5">
        <f>BDS("XOM US Equity","SUPPLY_CHAIN_SUPPLIERS","RELATIONSHIP_AS_OF_DATE","20091214")</f>
        <v/>
      </c>
      <c r="NL5">
        <f>BDS("XOM US Equity","SUPPLY_CHAIN_CUSTOMERS","RELATIONSHIP_AS_OF_DATE","20091214")</f>
        <v/>
      </c>
      <c r="NQ5">
        <f>BDS("FIS US Equity","SUPPLY_CHAIN_SUPPLIERS","RELATIONSHIP_AS_OF_DATE","20190318")</f>
        <v/>
      </c>
      <c r="NV5">
        <f>BDS("FIS US Equity","SUPPLY_CHAIN_CUSTOMERS","RELATIONSHIP_AS_OF_DATE","20190318")</f>
        <v/>
      </c>
      <c r="OA5">
        <f>BDS("BAC US Equity","SUPPLY_CHAIN_SUPPLIERS","RELATIONSHIP_AS_OF_DATE","20080915")</f>
        <v/>
      </c>
      <c r="OF5">
        <f>BDS("BAC US Equity","SUPPLY_CHAIN_CUSTOMERS","RELATIONSHIP_AS_OF_DATE","20080915")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41</t>
        </is>
      </c>
      <c r="K1" s="1" t="inlineStr">
        <is>
          <t>Deal 42</t>
        </is>
      </c>
      <c r="U1" s="1" t="inlineStr">
        <is>
          <t>Deal 43</t>
        </is>
      </c>
      <c r="AE1" s="1" t="inlineStr">
        <is>
          <t>Deal 44</t>
        </is>
      </c>
      <c r="AO1" s="1" t="inlineStr">
        <is>
          <t>Deal 45</t>
        </is>
      </c>
      <c r="AY1" s="1" t="inlineStr">
        <is>
          <t>Deal 46</t>
        </is>
      </c>
      <c r="BI1" s="1" t="inlineStr">
        <is>
          <t>Deal 47</t>
        </is>
      </c>
      <c r="BS1" s="1" t="inlineStr">
        <is>
          <t>Deal 48</t>
        </is>
      </c>
      <c r="CC1" s="1" t="inlineStr">
        <is>
          <t>Deal 49</t>
        </is>
      </c>
      <c r="CM1" s="1" t="inlineStr">
        <is>
          <t>Deal 50</t>
        </is>
      </c>
      <c r="CW1" s="1" t="inlineStr">
        <is>
          <t>Deal 51</t>
        </is>
      </c>
      <c r="DG1" s="1" t="inlineStr">
        <is>
          <t>Deal 52</t>
        </is>
      </c>
      <c r="DQ1" s="1" t="inlineStr">
        <is>
          <t>Deal 53</t>
        </is>
      </c>
      <c r="EA1" s="1" t="inlineStr">
        <is>
          <t>Deal 54</t>
        </is>
      </c>
      <c r="EK1" s="1" t="inlineStr">
        <is>
          <t>Deal 55</t>
        </is>
      </c>
      <c r="EU1" s="1" t="inlineStr">
        <is>
          <t>Deal 56</t>
        </is>
      </c>
      <c r="FE1" s="1" t="inlineStr">
        <is>
          <t>Deal 57</t>
        </is>
      </c>
      <c r="FO1" s="1" t="inlineStr">
        <is>
          <t>Deal 58</t>
        </is>
      </c>
      <c r="FY1" s="1" t="inlineStr">
        <is>
          <t>Deal 59</t>
        </is>
      </c>
      <c r="GI1" s="1" t="inlineStr">
        <is>
          <t>Deal 60</t>
        </is>
      </c>
      <c r="GS1" s="1" t="inlineStr">
        <is>
          <t>Deal 61</t>
        </is>
      </c>
      <c r="HC1" s="1" t="inlineStr">
        <is>
          <t>Deal 62</t>
        </is>
      </c>
      <c r="HM1" s="1" t="inlineStr">
        <is>
          <t>Deal 63</t>
        </is>
      </c>
      <c r="HW1" s="1" t="inlineStr">
        <is>
          <t>Deal 64</t>
        </is>
      </c>
      <c r="IG1" s="1" t="inlineStr">
        <is>
          <t>Deal 65</t>
        </is>
      </c>
      <c r="IQ1" s="1" t="inlineStr">
        <is>
          <t>Deal 66</t>
        </is>
      </c>
      <c r="JA1" s="1" t="inlineStr">
        <is>
          <t>Deal 67</t>
        </is>
      </c>
      <c r="JK1" s="1" t="inlineStr">
        <is>
          <t>Deal 68</t>
        </is>
      </c>
      <c r="JU1" s="1" t="inlineStr">
        <is>
          <t>Deal 69</t>
        </is>
      </c>
      <c r="KE1" s="1" t="inlineStr">
        <is>
          <t>Deal 70</t>
        </is>
      </c>
      <c r="KO1" s="1" t="inlineStr">
        <is>
          <t>Deal 71</t>
        </is>
      </c>
      <c r="KY1" s="1" t="inlineStr">
        <is>
          <t>Deal 72</t>
        </is>
      </c>
      <c r="LI1" s="1" t="inlineStr">
        <is>
          <t>Deal 73</t>
        </is>
      </c>
      <c r="LS1" s="1" t="inlineStr">
        <is>
          <t>Deal 74</t>
        </is>
      </c>
      <c r="MC1" s="1" t="inlineStr">
        <is>
          <t>Deal 75</t>
        </is>
      </c>
      <c r="MM1" s="1" t="inlineStr">
        <is>
          <t>Deal 76</t>
        </is>
      </c>
      <c r="MW1" s="1" t="inlineStr">
        <is>
          <t>Deal 77</t>
        </is>
      </c>
      <c r="NG1" s="1" t="inlineStr">
        <is>
          <t>Deal 78</t>
        </is>
      </c>
      <c r="NQ1" s="1" t="inlineStr">
        <is>
          <t>Deal 79</t>
        </is>
      </c>
      <c r="OA1" s="1" t="inlineStr">
        <is>
          <t>Deal 80</t>
        </is>
      </c>
    </row>
    <row r="2">
      <c r="A2" s="2" t="inlineStr">
        <is>
          <t>653707Q US Equity</t>
        </is>
      </c>
      <c r="K2" s="2" t="inlineStr">
        <is>
          <t>FISV US Equity</t>
        </is>
      </c>
      <c r="U2" s="2" t="inlineStr">
        <is>
          <t>KMI US Equity</t>
        </is>
      </c>
      <c r="AE2" s="2" t="inlineStr">
        <is>
          <t>VIAV US Equity</t>
        </is>
      </c>
      <c r="AO2" s="2" t="inlineStr">
        <is>
          <t>COP US Equity</t>
        </is>
      </c>
      <c r="AY2" s="2" t="inlineStr">
        <is>
          <t>WCOEQ US Equity</t>
        </is>
      </c>
      <c r="BI2" s="2" t="inlineStr">
        <is>
          <t>BRK/A US Equity</t>
        </is>
      </c>
      <c r="BS2" s="2" t="inlineStr">
        <is>
          <t>BRK/A US Equity</t>
        </is>
      </c>
      <c r="CC2" s="2" t="inlineStr">
        <is>
          <t>BAC US Equity</t>
        </is>
      </c>
      <c r="CM2" s="2" t="inlineStr">
        <is>
          <t>VIAV US Equity</t>
        </is>
      </c>
      <c r="CW2" s="2" t="inlineStr">
        <is>
          <t>ESRX US Equity</t>
        </is>
      </c>
      <c r="DG2" s="2" t="inlineStr">
        <is>
          <t>PARA US Equity</t>
        </is>
      </c>
      <c r="DQ2" s="2" t="inlineStr">
        <is>
          <t>BX US Equity</t>
        </is>
      </c>
      <c r="EA2" s="2" t="inlineStr">
        <is>
          <t>AMD US Equity</t>
        </is>
      </c>
      <c r="EK2" s="2" t="inlineStr">
        <is>
          <t>WPZ US Equity</t>
        </is>
      </c>
      <c r="EU2" s="2" t="inlineStr">
        <is>
          <t>LUMN US Equity</t>
        </is>
      </c>
      <c r="FE2" s="2" t="inlineStr">
        <is>
          <t>JPM US Equity</t>
        </is>
      </c>
      <c r="FO2" s="2" t="inlineStr">
        <is>
          <t>nan Equity</t>
        </is>
      </c>
      <c r="FY2" s="2" t="inlineStr">
        <is>
          <t>IBM US Equity</t>
        </is>
      </c>
      <c r="GI2" s="2" t="inlineStr">
        <is>
          <t>WFC US Equity</t>
        </is>
      </c>
      <c r="GS2" s="2" t="inlineStr">
        <is>
          <t>nan Equity</t>
        </is>
      </c>
      <c r="HC2" s="2" t="inlineStr">
        <is>
          <t>C US Equity</t>
        </is>
      </c>
      <c r="HM2" s="2" t="inlineStr">
        <is>
          <t>ABT US Equity</t>
        </is>
      </c>
      <c r="HW2" s="2" t="inlineStr">
        <is>
          <t>SCHW US Equity</t>
        </is>
      </c>
      <c r="IG2" s="2" t="inlineStr">
        <is>
          <t>3621240Q US Equity</t>
        </is>
      </c>
      <c r="IQ2" s="2" t="inlineStr">
        <is>
          <t>RTX US Equity</t>
        </is>
      </c>
      <c r="JA2" s="2" t="inlineStr">
        <is>
          <t>MPC US Equity</t>
        </is>
      </c>
      <c r="JK2" s="2" t="inlineStr">
        <is>
          <t>ORCL US Equity</t>
        </is>
      </c>
      <c r="JU2" s="2" t="inlineStr">
        <is>
          <t>CB US Equity</t>
        </is>
      </c>
      <c r="KE2" s="2" t="inlineStr">
        <is>
          <t>JCI US Equity</t>
        </is>
      </c>
      <c r="KO2" s="2" t="inlineStr">
        <is>
          <t>CZR US Equity</t>
        </is>
      </c>
      <c r="KY2" s="2" t="inlineStr">
        <is>
          <t>TFC US Equity</t>
        </is>
      </c>
      <c r="LI2" s="2" t="inlineStr">
        <is>
          <t>nan Equity</t>
        </is>
      </c>
      <c r="LS2" s="2" t="inlineStr">
        <is>
          <t>nan Equity</t>
        </is>
      </c>
      <c r="MC2" s="2" t="inlineStr">
        <is>
          <t>nan Equity</t>
        </is>
      </c>
      <c r="MM2" s="2" t="inlineStr">
        <is>
          <t>nan Equity</t>
        </is>
      </c>
      <c r="MW2" s="2" t="inlineStr">
        <is>
          <t>nan Equity</t>
        </is>
      </c>
      <c r="NG2" s="2" t="inlineStr">
        <is>
          <t>RAI US Equity</t>
        </is>
      </c>
      <c r="NQ2" s="2" t="inlineStr">
        <is>
          <t>PLD US Equity</t>
        </is>
      </c>
      <c r="OA2" s="2" t="inlineStr">
        <is>
          <t>nan Equity</t>
        </is>
      </c>
    </row>
    <row r="3">
      <c r="A3" t="inlineStr">
        <is>
          <t>Ann: 1998-06-24</t>
        </is>
      </c>
      <c r="K3" t="inlineStr">
        <is>
          <t>Ann: 2019-01-16</t>
        </is>
      </c>
      <c r="U3" t="inlineStr">
        <is>
          <t>Ann: 2011-10-16</t>
        </is>
      </c>
      <c r="AE3" t="inlineStr">
        <is>
          <t>Ann: 2000-07-10</t>
        </is>
      </c>
      <c r="AO3" t="inlineStr">
        <is>
          <t>Ann: 2005-12-12</t>
        </is>
      </c>
      <c r="AY3" t="inlineStr">
        <is>
          <t>Ann: 1997-10-01</t>
        </is>
      </c>
      <c r="BI3" t="inlineStr">
        <is>
          <t>Ann: 2009-11-03</t>
        </is>
      </c>
      <c r="BS3" t="inlineStr">
        <is>
          <t>Ann: 2015-08-10</t>
        </is>
      </c>
      <c r="CC3" t="inlineStr">
        <is>
          <t>Ann: 2005-06-30</t>
        </is>
      </c>
      <c r="CM3" t="inlineStr">
        <is>
          <t>Ann: 2000-01-18</t>
        </is>
      </c>
      <c r="CW3" t="inlineStr">
        <is>
          <t>Ann: 2011-07-21</t>
        </is>
      </c>
      <c r="DG3" t="inlineStr">
        <is>
          <t>Ann: 1999-09-07</t>
        </is>
      </c>
      <c r="DQ3" t="inlineStr">
        <is>
          <t>Ann: 2006-11-20</t>
        </is>
      </c>
      <c r="EA3" t="inlineStr">
        <is>
          <t>Ann: 2020-10-27</t>
        </is>
      </c>
      <c r="EK3" t="inlineStr">
        <is>
          <t>Ann: 2014-10-26</t>
        </is>
      </c>
      <c r="EU3" t="inlineStr">
        <is>
          <t>Ann: 2016-10-31</t>
        </is>
      </c>
      <c r="FE3" t="inlineStr">
        <is>
          <t>Ann: 2000-09-13</t>
        </is>
      </c>
      <c r="FO3" t="inlineStr">
        <is>
          <t>Ann: 2006-07-24</t>
        </is>
      </c>
      <c r="FY3" t="inlineStr">
        <is>
          <t>Ann: 2018-10-28</t>
        </is>
      </c>
      <c r="GI3" t="inlineStr">
        <is>
          <t>Ann: 1998-06-08</t>
        </is>
      </c>
      <c r="GS3" t="inlineStr">
        <is>
          <t>Ann: 2010-03-08</t>
        </is>
      </c>
      <c r="HC3" t="inlineStr">
        <is>
          <t>Ann: 2000-09-06</t>
        </is>
      </c>
      <c r="HM3" t="inlineStr">
        <is>
          <t>Ann: 2016-04-28</t>
        </is>
      </c>
      <c r="HW3" t="inlineStr">
        <is>
          <t>Ann: 2019-11-25</t>
        </is>
      </c>
      <c r="IG3" t="inlineStr">
        <is>
          <t>Ann: 1998-04-13</t>
        </is>
      </c>
      <c r="IQ3" t="inlineStr">
        <is>
          <t>Ann: 2017-09-05</t>
        </is>
      </c>
      <c r="JA3" t="inlineStr">
        <is>
          <t>Ann: 2018-04-30</t>
        </is>
      </c>
      <c r="JK3" t="inlineStr">
        <is>
          <t>Ann: 2021-12-20</t>
        </is>
      </c>
      <c r="JU3" t="inlineStr">
        <is>
          <t>Ann: 2015-07-01</t>
        </is>
      </c>
      <c r="KE3" t="inlineStr">
        <is>
          <t>Ann: 2016-01-25</t>
        </is>
      </c>
      <c r="KO3" t="inlineStr">
        <is>
          <t>Ann: 2019-06-24</t>
        </is>
      </c>
      <c r="KY3" t="inlineStr">
        <is>
          <t>Ann: 2019-02-07</t>
        </is>
      </c>
      <c r="LI3" t="inlineStr">
        <is>
          <t>Ann: 2013-02-14</t>
        </is>
      </c>
      <c r="LS3" t="inlineStr">
        <is>
          <t>Ann: 2007-04-02</t>
        </is>
      </c>
      <c r="MC3" t="inlineStr">
        <is>
          <t>Ann: 2006-05-29</t>
        </is>
      </c>
      <c r="MM3" t="inlineStr">
        <is>
          <t>Ann: 2006-10-02</t>
        </is>
      </c>
      <c r="MW3" t="inlineStr">
        <is>
          <t>Ann: 2007-05-21</t>
        </is>
      </c>
      <c r="NG3" t="inlineStr">
        <is>
          <t>Ann: 2014-07-15</t>
        </is>
      </c>
      <c r="NQ3" t="inlineStr">
        <is>
          <t>Ann: 2022-06-13</t>
        </is>
      </c>
      <c r="OA3" t="inlineStr">
        <is>
          <t>Ann: 2007-07-03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BDS("653707Q US Equity","SUPPLY_CHAIN_SUPPLIERS","RELATIONSHIP_AS_OF_DATE","19980624")</f>
        <v/>
      </c>
      <c r="F5">
        <f>BDS("653707Q US Equity","SUPPLY_CHAIN_CUSTOMERS","RELATIONSHIP_AS_OF_DATE","19980624")</f>
        <v/>
      </c>
      <c r="K5">
        <f>BDS("FISV US Equity","SUPPLY_CHAIN_SUPPLIERS","RELATIONSHIP_AS_OF_DATE","20190116")</f>
        <v/>
      </c>
      <c r="P5">
        <f>BDS("FISV US Equity","SUPPLY_CHAIN_CUSTOMERS","RELATIONSHIP_AS_OF_DATE","20190116")</f>
        <v/>
      </c>
      <c r="U5">
        <f>BDS("KMI US Equity","SUPPLY_CHAIN_SUPPLIERS","RELATIONSHIP_AS_OF_DATE","20111016")</f>
        <v/>
      </c>
      <c r="Z5">
        <f>BDS("KMI US Equity","SUPPLY_CHAIN_CUSTOMERS","RELATIONSHIP_AS_OF_DATE","20111016")</f>
        <v/>
      </c>
      <c r="AE5">
        <f>BDS("VIAV US Equity","SUPPLY_CHAIN_SUPPLIERS","RELATIONSHIP_AS_OF_DATE","20000710")</f>
        <v/>
      </c>
      <c r="AJ5">
        <f>BDS("VIAV US Equity","SUPPLY_CHAIN_CUSTOMERS","RELATIONSHIP_AS_OF_DATE","20000710")</f>
        <v/>
      </c>
      <c r="AO5">
        <f>BDS("COP US Equity","SUPPLY_CHAIN_SUPPLIERS","RELATIONSHIP_AS_OF_DATE","20051212")</f>
        <v/>
      </c>
      <c r="AT5">
        <f>BDS("COP US Equity","SUPPLY_CHAIN_CUSTOMERS","RELATIONSHIP_AS_OF_DATE","20051212")</f>
        <v/>
      </c>
      <c r="AY5">
        <f>BDS("WCOEQ US Equity","SUPPLY_CHAIN_SUPPLIERS","RELATIONSHIP_AS_OF_DATE","19971001")</f>
        <v/>
      </c>
      <c r="BD5">
        <f>BDS("WCOEQ US Equity","SUPPLY_CHAIN_CUSTOMERS","RELATIONSHIP_AS_OF_DATE","19971001")</f>
        <v/>
      </c>
      <c r="BI5">
        <f>BDS("BRK/A US Equity","SUPPLY_CHAIN_SUPPLIERS","RELATIONSHIP_AS_OF_DATE","20091103")</f>
        <v/>
      </c>
      <c r="BN5">
        <f>BDS("BRK/A US Equity","SUPPLY_CHAIN_CUSTOMERS","RELATIONSHIP_AS_OF_DATE","20091103")</f>
        <v/>
      </c>
      <c r="BS5">
        <f>BDS("BRK/A US Equity","SUPPLY_CHAIN_SUPPLIERS","RELATIONSHIP_AS_OF_DATE","20150810")</f>
        <v/>
      </c>
      <c r="BX5">
        <f>BDS("BRK/A US Equity","SUPPLY_CHAIN_CUSTOMERS","RELATIONSHIP_AS_OF_DATE","20150810")</f>
        <v/>
      </c>
      <c r="CC5">
        <f>BDS("BAC US Equity","SUPPLY_CHAIN_SUPPLIERS","RELATIONSHIP_AS_OF_DATE","20050630")</f>
        <v/>
      </c>
      <c r="CH5">
        <f>BDS("BAC US Equity","SUPPLY_CHAIN_CUSTOMERS","RELATIONSHIP_AS_OF_DATE","20050630")</f>
        <v/>
      </c>
      <c r="CM5">
        <f>BDS("VIAV US Equity","SUPPLY_CHAIN_SUPPLIERS","RELATIONSHIP_AS_OF_DATE","20000118")</f>
        <v/>
      </c>
      <c r="CR5">
        <f>BDS("VIAV US Equity","SUPPLY_CHAIN_CUSTOMERS","RELATIONSHIP_AS_OF_DATE","20000118")</f>
        <v/>
      </c>
      <c r="CW5">
        <f>BDS("ESRX US Equity","SUPPLY_CHAIN_SUPPLIERS","RELATIONSHIP_AS_OF_DATE","20110721")</f>
        <v/>
      </c>
      <c r="DB5">
        <f>BDS("ESRX US Equity","SUPPLY_CHAIN_CUSTOMERS","RELATIONSHIP_AS_OF_DATE","20110721")</f>
        <v/>
      </c>
      <c r="DG5">
        <f>BDS("PARA US Equity","SUPPLY_CHAIN_SUPPLIERS","RELATIONSHIP_AS_OF_DATE","19990907")</f>
        <v/>
      </c>
      <c r="DL5">
        <f>BDS("PARA US Equity","SUPPLY_CHAIN_CUSTOMERS","RELATIONSHIP_AS_OF_DATE","19990907")</f>
        <v/>
      </c>
      <c r="DQ5">
        <f>BDS("BX US Equity","SUPPLY_CHAIN_SUPPLIERS","RELATIONSHIP_AS_OF_DATE","20061120")</f>
        <v/>
      </c>
      <c r="DV5">
        <f>BDS("BX US Equity","SUPPLY_CHAIN_CUSTOMERS","RELATIONSHIP_AS_OF_DATE","20061120")</f>
        <v/>
      </c>
      <c r="EA5">
        <f>BDS("AMD US Equity","SUPPLY_CHAIN_SUPPLIERS","RELATIONSHIP_AS_OF_DATE","20201027")</f>
        <v/>
      </c>
      <c r="EF5">
        <f>BDS("AMD US Equity","SUPPLY_CHAIN_CUSTOMERS","RELATIONSHIP_AS_OF_DATE","20201027")</f>
        <v/>
      </c>
      <c r="EK5">
        <f>BDS("WPZ US Equity","SUPPLY_CHAIN_SUPPLIERS","RELATIONSHIP_AS_OF_DATE","20141026")</f>
        <v/>
      </c>
      <c r="EP5">
        <f>BDS("WPZ US Equity","SUPPLY_CHAIN_CUSTOMERS","RELATIONSHIP_AS_OF_DATE","20141026")</f>
        <v/>
      </c>
      <c r="EU5">
        <f>BDS("LUMN US Equity","SUPPLY_CHAIN_SUPPLIERS","RELATIONSHIP_AS_OF_DATE","20161031")</f>
        <v/>
      </c>
      <c r="EZ5">
        <f>BDS("LUMN US Equity","SUPPLY_CHAIN_CUSTOMERS","RELATIONSHIP_AS_OF_DATE","20161031")</f>
        <v/>
      </c>
      <c r="FE5">
        <f>BDS("JPM US Equity","SUPPLY_CHAIN_SUPPLIERS","RELATIONSHIP_AS_OF_DATE","20000913")</f>
        <v/>
      </c>
      <c r="FJ5">
        <f>BDS("JPM US Equity","SUPPLY_CHAIN_CUSTOMERS","RELATIONSHIP_AS_OF_DATE","20000913")</f>
        <v/>
      </c>
      <c r="FO5">
        <f>BDS("nan Equity","SUPPLY_CHAIN_SUPPLIERS","RELATIONSHIP_AS_OF_DATE","20060724")</f>
        <v/>
      </c>
      <c r="FT5">
        <f>BDS("nan Equity","SUPPLY_CHAIN_CUSTOMERS","RELATIONSHIP_AS_OF_DATE","20060724")</f>
        <v/>
      </c>
      <c r="FY5">
        <f>BDS("IBM US Equity","SUPPLY_CHAIN_SUPPLIERS","RELATIONSHIP_AS_OF_DATE","20181028")</f>
        <v/>
      </c>
      <c r="GD5">
        <f>BDS("IBM US Equity","SUPPLY_CHAIN_CUSTOMERS","RELATIONSHIP_AS_OF_DATE","20181028")</f>
        <v/>
      </c>
      <c r="GI5">
        <f>BDS("WFC US Equity","SUPPLY_CHAIN_SUPPLIERS","RELATIONSHIP_AS_OF_DATE","19980608")</f>
        <v/>
      </c>
      <c r="GN5">
        <f>BDS("WFC US Equity","SUPPLY_CHAIN_CUSTOMERS","RELATIONSHIP_AS_OF_DATE","19980608")</f>
        <v/>
      </c>
      <c r="GS5">
        <f>BDS("nan Equity","SUPPLY_CHAIN_SUPPLIERS","RELATIONSHIP_AS_OF_DATE","20100308")</f>
        <v/>
      </c>
      <c r="GX5">
        <f>BDS("nan Equity","SUPPLY_CHAIN_CUSTOMERS","RELATIONSHIP_AS_OF_DATE","20100308")</f>
        <v/>
      </c>
      <c r="HC5">
        <f>BDS("C US Equity","SUPPLY_CHAIN_SUPPLIERS","RELATIONSHIP_AS_OF_DATE","20000906")</f>
        <v/>
      </c>
      <c r="HH5">
        <f>BDS("C US Equity","SUPPLY_CHAIN_CUSTOMERS","RELATIONSHIP_AS_OF_DATE","20000906")</f>
        <v/>
      </c>
      <c r="HM5">
        <f>BDS("ABT US Equity","SUPPLY_CHAIN_SUPPLIERS","RELATIONSHIP_AS_OF_DATE","20160428")</f>
        <v/>
      </c>
      <c r="HR5">
        <f>BDS("ABT US Equity","SUPPLY_CHAIN_CUSTOMERS","RELATIONSHIP_AS_OF_DATE","20160428")</f>
        <v/>
      </c>
      <c r="HW5">
        <f>BDS("SCHW US Equity","SUPPLY_CHAIN_SUPPLIERS","RELATIONSHIP_AS_OF_DATE","20191125")</f>
        <v/>
      </c>
      <c r="IB5">
        <f>BDS("SCHW US Equity","SUPPLY_CHAIN_CUSTOMERS","RELATIONSHIP_AS_OF_DATE","20191125")</f>
        <v/>
      </c>
      <c r="IG5">
        <f>BDS("3621240Q US Equity","SUPPLY_CHAIN_SUPPLIERS","RELATIONSHIP_AS_OF_DATE","19980413")</f>
        <v/>
      </c>
      <c r="IL5">
        <f>BDS("3621240Q US Equity","SUPPLY_CHAIN_CUSTOMERS","RELATIONSHIP_AS_OF_DATE","19980413")</f>
        <v/>
      </c>
      <c r="IQ5">
        <f>BDS("RTX US Equity","SUPPLY_CHAIN_SUPPLIERS","RELATIONSHIP_AS_OF_DATE","20170905")</f>
        <v/>
      </c>
      <c r="IV5">
        <f>BDS("RTX US Equity","SUPPLY_CHAIN_CUSTOMERS","RELATIONSHIP_AS_OF_DATE","20170905")</f>
        <v/>
      </c>
      <c r="JA5">
        <f>BDS("MPC US Equity","SUPPLY_CHAIN_SUPPLIERS","RELATIONSHIP_AS_OF_DATE","20180430")</f>
        <v/>
      </c>
      <c r="JF5">
        <f>BDS("MPC US Equity","SUPPLY_CHAIN_CUSTOMERS","RELATIONSHIP_AS_OF_DATE","20180430")</f>
        <v/>
      </c>
      <c r="JK5">
        <f>BDS("ORCL US Equity","SUPPLY_CHAIN_SUPPLIERS","RELATIONSHIP_AS_OF_DATE","20211220")</f>
        <v/>
      </c>
      <c r="JP5">
        <f>BDS("ORCL US Equity","SUPPLY_CHAIN_CUSTOMERS","RELATIONSHIP_AS_OF_DATE","20211220")</f>
        <v/>
      </c>
      <c r="JU5">
        <f>BDS("CB US Equity","SUPPLY_CHAIN_SUPPLIERS","RELATIONSHIP_AS_OF_DATE","20150701")</f>
        <v/>
      </c>
      <c r="JZ5">
        <f>BDS("CB US Equity","SUPPLY_CHAIN_CUSTOMERS","RELATIONSHIP_AS_OF_DATE","20150701")</f>
        <v/>
      </c>
      <c r="KE5">
        <f>BDS("JCI US Equity","SUPPLY_CHAIN_SUPPLIERS","RELATIONSHIP_AS_OF_DATE","20160125")</f>
        <v/>
      </c>
      <c r="KJ5">
        <f>BDS("JCI US Equity","SUPPLY_CHAIN_CUSTOMERS","RELATIONSHIP_AS_OF_DATE","20160125")</f>
        <v/>
      </c>
      <c r="KO5">
        <f>BDS("CZR US Equity","SUPPLY_CHAIN_SUPPLIERS","RELATIONSHIP_AS_OF_DATE","20190624")</f>
        <v/>
      </c>
      <c r="KT5">
        <f>BDS("CZR US Equity","SUPPLY_CHAIN_CUSTOMERS","RELATIONSHIP_AS_OF_DATE","20190624")</f>
        <v/>
      </c>
      <c r="KY5">
        <f>BDS("TFC US Equity","SUPPLY_CHAIN_SUPPLIERS","RELATIONSHIP_AS_OF_DATE","20190207")</f>
        <v/>
      </c>
      <c r="LD5">
        <f>BDS("TFC US Equity","SUPPLY_CHAIN_CUSTOMERS","RELATIONSHIP_AS_OF_DATE","20190207")</f>
        <v/>
      </c>
      <c r="LI5">
        <f>BDS("nan Equity","SUPPLY_CHAIN_SUPPLIERS","RELATIONSHIP_AS_OF_DATE","20130214")</f>
        <v/>
      </c>
      <c r="LN5">
        <f>BDS("nan Equity","SUPPLY_CHAIN_CUSTOMERS","RELATIONSHIP_AS_OF_DATE","20130214")</f>
        <v/>
      </c>
      <c r="LS5">
        <f>BDS("nan Equity","SUPPLY_CHAIN_SUPPLIERS","RELATIONSHIP_AS_OF_DATE","20070402")</f>
        <v/>
      </c>
      <c r="LX5">
        <f>BDS("nan Equity","SUPPLY_CHAIN_CUSTOMERS","RELATIONSHIP_AS_OF_DATE","20070402")</f>
        <v/>
      </c>
      <c r="MC5">
        <f>BDS("nan Equity","SUPPLY_CHAIN_SUPPLIERS","RELATIONSHIP_AS_OF_DATE","20060529")</f>
        <v/>
      </c>
      <c r="MH5">
        <f>BDS("nan Equity","SUPPLY_CHAIN_CUSTOMERS","RELATIONSHIP_AS_OF_DATE","20060529")</f>
        <v/>
      </c>
      <c r="MM5">
        <f>BDS("nan Equity","SUPPLY_CHAIN_SUPPLIERS","RELATIONSHIP_AS_OF_DATE","20061002")</f>
        <v/>
      </c>
      <c r="MR5">
        <f>BDS("nan Equity","SUPPLY_CHAIN_CUSTOMERS","RELATIONSHIP_AS_OF_DATE","20061002")</f>
        <v/>
      </c>
      <c r="MW5">
        <f>BDS("nan Equity","SUPPLY_CHAIN_SUPPLIERS","RELATIONSHIP_AS_OF_DATE","20070521")</f>
        <v/>
      </c>
      <c r="NB5">
        <f>BDS("nan Equity","SUPPLY_CHAIN_CUSTOMERS","RELATIONSHIP_AS_OF_DATE","20070521")</f>
        <v/>
      </c>
      <c r="NG5">
        <f>BDS("RAI US Equity","SUPPLY_CHAIN_SUPPLIERS","RELATIONSHIP_AS_OF_DATE","20140715")</f>
        <v/>
      </c>
      <c r="NL5">
        <f>BDS("RAI US Equity","SUPPLY_CHAIN_CUSTOMERS","RELATIONSHIP_AS_OF_DATE","20140715")</f>
        <v/>
      </c>
      <c r="NQ5">
        <f>BDS("PLD US Equity","SUPPLY_CHAIN_SUPPLIERS","RELATIONSHIP_AS_OF_DATE","20220613")</f>
        <v/>
      </c>
      <c r="NV5">
        <f>BDS("PLD US Equity","SUPPLY_CHAIN_CUSTOMERS","RELATIONSHIP_AS_OF_DATE","20220613")</f>
        <v/>
      </c>
      <c r="OA5">
        <f>BDS("nan Equity","SUPPLY_CHAIN_SUPPLIERS","RELATIONSHIP_AS_OF_DATE","20070703")</f>
        <v/>
      </c>
      <c r="OF5">
        <f>BDS("nan Equity","SUPPLY_CHAIN_CUSTOMERS","RELATIONSHIP_AS_OF_DATE","20070703")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81</t>
        </is>
      </c>
      <c r="K1" s="1" t="inlineStr">
        <is>
          <t>Deal 82</t>
        </is>
      </c>
      <c r="U1" s="1" t="inlineStr">
        <is>
          <t>Deal 83</t>
        </is>
      </c>
      <c r="AE1" s="1" t="inlineStr">
        <is>
          <t>Deal 84</t>
        </is>
      </c>
      <c r="AO1" s="1" t="inlineStr">
        <is>
          <t>Deal 85</t>
        </is>
      </c>
      <c r="AY1" s="1" t="inlineStr">
        <is>
          <t>Deal 86</t>
        </is>
      </c>
      <c r="BI1" s="1" t="inlineStr">
        <is>
          <t>Deal 87</t>
        </is>
      </c>
      <c r="BS1" s="1" t="inlineStr">
        <is>
          <t>Deal 88</t>
        </is>
      </c>
      <c r="CC1" s="1" t="inlineStr">
        <is>
          <t>Deal 89</t>
        </is>
      </c>
      <c r="CM1" s="1" t="inlineStr">
        <is>
          <t>Deal 90</t>
        </is>
      </c>
      <c r="CW1" s="1" t="inlineStr">
        <is>
          <t>Deal 91</t>
        </is>
      </c>
      <c r="DG1" s="1" t="inlineStr">
        <is>
          <t>Deal 92</t>
        </is>
      </c>
      <c r="DQ1" s="1" t="inlineStr">
        <is>
          <t>Deal 93</t>
        </is>
      </c>
      <c r="EA1" s="1" t="inlineStr">
        <is>
          <t>Deal 94</t>
        </is>
      </c>
      <c r="EK1" s="1" t="inlineStr">
        <is>
          <t>Deal 95</t>
        </is>
      </c>
      <c r="EU1" s="1" t="inlineStr">
        <is>
          <t>Deal 96</t>
        </is>
      </c>
      <c r="FE1" s="1" t="inlineStr">
        <is>
          <t>Deal 97</t>
        </is>
      </c>
      <c r="FO1" s="1" t="inlineStr">
        <is>
          <t>Deal 98</t>
        </is>
      </c>
      <c r="FY1" s="1" t="inlineStr">
        <is>
          <t>Deal 99</t>
        </is>
      </c>
      <c r="GI1" s="1" t="inlineStr">
        <is>
          <t>Deal 100</t>
        </is>
      </c>
      <c r="GS1" s="1" t="inlineStr">
        <is>
          <t>Deal 101</t>
        </is>
      </c>
      <c r="HC1" s="1" t="inlineStr">
        <is>
          <t>Deal 102</t>
        </is>
      </c>
      <c r="HM1" s="1" t="inlineStr">
        <is>
          <t>Deal 103</t>
        </is>
      </c>
      <c r="HW1" s="1" t="inlineStr">
        <is>
          <t>Deal 104</t>
        </is>
      </c>
      <c r="IG1" s="1" t="inlineStr">
        <is>
          <t>Deal 105</t>
        </is>
      </c>
      <c r="IQ1" s="1" t="inlineStr">
        <is>
          <t>Deal 106</t>
        </is>
      </c>
      <c r="JA1" s="1" t="inlineStr">
        <is>
          <t>Deal 107</t>
        </is>
      </c>
      <c r="JK1" s="1" t="inlineStr">
        <is>
          <t>Deal 108</t>
        </is>
      </c>
      <c r="JU1" s="1" t="inlineStr">
        <is>
          <t>Deal 109</t>
        </is>
      </c>
      <c r="KE1" s="1" t="inlineStr">
        <is>
          <t>Deal 110</t>
        </is>
      </c>
      <c r="KO1" s="1" t="inlineStr">
        <is>
          <t>Deal 111</t>
        </is>
      </c>
      <c r="KY1" s="1" t="inlineStr">
        <is>
          <t>Deal 112</t>
        </is>
      </c>
      <c r="LI1" s="1" t="inlineStr">
        <is>
          <t>Deal 113</t>
        </is>
      </c>
      <c r="LS1" s="1" t="inlineStr">
        <is>
          <t>Deal 114</t>
        </is>
      </c>
      <c r="MC1" s="1" t="inlineStr">
        <is>
          <t>Deal 115</t>
        </is>
      </c>
      <c r="MM1" s="1" t="inlineStr">
        <is>
          <t>Deal 116</t>
        </is>
      </c>
      <c r="MW1" s="1" t="inlineStr">
        <is>
          <t>Deal 117</t>
        </is>
      </c>
      <c r="NG1" s="1" t="inlineStr">
        <is>
          <t>Deal 118</t>
        </is>
      </c>
      <c r="NQ1" s="1" t="inlineStr">
        <is>
          <t>Deal 119</t>
        </is>
      </c>
      <c r="OA1" s="1" t="inlineStr">
        <is>
          <t>Deal 120</t>
        </is>
      </c>
    </row>
    <row r="2">
      <c r="A2" s="2" t="inlineStr">
        <is>
          <t>8375930Q US Equity</t>
        </is>
      </c>
      <c r="K2" s="2" t="inlineStr">
        <is>
          <t>CRM US Equity</t>
        </is>
      </c>
      <c r="U2" s="2" t="inlineStr">
        <is>
          <t>DUK US Equity</t>
        </is>
      </c>
      <c r="AE2" s="2" t="inlineStr">
        <is>
          <t>HPQ US Equity</t>
        </is>
      </c>
      <c r="AO2" s="2" t="inlineStr">
        <is>
          <t>BSX US Equity</t>
        </is>
      </c>
      <c r="AY2" s="2" t="inlineStr">
        <is>
          <t>748957Q US Equity</t>
        </is>
      </c>
      <c r="BI2" s="2" t="inlineStr">
        <is>
          <t>GPN US Equity</t>
        </is>
      </c>
      <c r="BS2" s="2" t="inlineStr">
        <is>
          <t>1255173D US Equity</t>
        </is>
      </c>
      <c r="CC2" s="2" t="inlineStr">
        <is>
          <t>MSFT US Equity</t>
        </is>
      </c>
      <c r="CM2" s="2" t="inlineStr">
        <is>
          <t>BDX US Equity</t>
        </is>
      </c>
      <c r="CW2" s="2" t="inlineStr">
        <is>
          <t>AIG US Equity</t>
        </is>
      </c>
      <c r="DG2" s="2" t="inlineStr">
        <is>
          <t>FCX US Equity</t>
        </is>
      </c>
      <c r="DQ2" s="2" t="inlineStr">
        <is>
          <t>T US Equity</t>
        </is>
      </c>
      <c r="EA2" s="2" t="inlineStr">
        <is>
          <t>LUMN US Equity</t>
        </is>
      </c>
      <c r="EK2" s="2" t="inlineStr">
        <is>
          <t>PARA US Equity</t>
        </is>
      </c>
      <c r="EU2" s="2" t="inlineStr">
        <is>
          <t>USB US Equity</t>
        </is>
      </c>
      <c r="FE2" s="2" t="inlineStr">
        <is>
          <t>CVS US Equity</t>
        </is>
      </c>
      <c r="FO2" s="2" t="inlineStr">
        <is>
          <t>AGN US Equity</t>
        </is>
      </c>
      <c r="FY2" s="2" t="inlineStr">
        <is>
          <t>2968900Q US Equity</t>
        </is>
      </c>
      <c r="GI2" s="2" t="inlineStr">
        <is>
          <t>TMO US Equity</t>
        </is>
      </c>
      <c r="GS2" s="2" t="inlineStr">
        <is>
          <t>CVX US Equity</t>
        </is>
      </c>
      <c r="HC2" s="2" t="inlineStr">
        <is>
          <t>nan Equity</t>
        </is>
      </c>
      <c r="HM2" s="2" t="inlineStr">
        <is>
          <t>ABBV US Equity</t>
        </is>
      </c>
      <c r="HW2" s="2" t="inlineStr">
        <is>
          <t>ADI US Equity</t>
        </is>
      </c>
      <c r="IG2" s="2" t="inlineStr">
        <is>
          <t>AIG US Equity</t>
        </is>
      </c>
      <c r="IQ2" s="2" t="inlineStr">
        <is>
          <t>LHX US Equity</t>
        </is>
      </c>
      <c r="JA2" s="2" t="inlineStr">
        <is>
          <t>DIS US Equity</t>
        </is>
      </c>
      <c r="JK2" s="2" t="inlineStr">
        <is>
          <t>GILD US Equity</t>
        </is>
      </c>
      <c r="JU2" s="2" t="inlineStr">
        <is>
          <t>WM US Equity</t>
        </is>
      </c>
      <c r="KE2" s="2" t="inlineStr">
        <is>
          <t>DD US Equity</t>
        </is>
      </c>
      <c r="KO2" s="2" t="inlineStr">
        <is>
          <t>MO US Equity</t>
        </is>
      </c>
      <c r="KY2" s="2" t="inlineStr">
        <is>
          <t>APC US Equity</t>
        </is>
      </c>
      <c r="LI2" s="2" t="inlineStr">
        <is>
          <t>AVGO US Equity</t>
        </is>
      </c>
      <c r="LS2" s="2" t="inlineStr">
        <is>
          <t>RTX US Equity</t>
        </is>
      </c>
      <c r="MC2" s="2" t="inlineStr">
        <is>
          <t>NWL US Equity</t>
        </is>
      </c>
      <c r="MM2" s="2" t="inlineStr">
        <is>
          <t>BRK/A US Equity</t>
        </is>
      </c>
      <c r="MW2" s="2" t="inlineStr">
        <is>
          <t>RIG US Equity</t>
        </is>
      </c>
      <c r="NG2" s="2" t="inlineStr">
        <is>
          <t>9876456D US Equity</t>
        </is>
      </c>
      <c r="NQ2" s="2" t="inlineStr">
        <is>
          <t>OKE US Equity</t>
        </is>
      </c>
      <c r="OA2" s="2" t="inlineStr">
        <is>
          <t>MSFT US Equity</t>
        </is>
      </c>
    </row>
    <row r="3">
      <c r="A3" t="inlineStr">
        <is>
          <t>Ann: 2001-11-18</t>
        </is>
      </c>
      <c r="K3" t="inlineStr">
        <is>
          <t>Ann: 2020-12-01</t>
        </is>
      </c>
      <c r="U3" t="inlineStr">
        <is>
          <t>Ann: 2011-01-10</t>
        </is>
      </c>
      <c r="AE3" t="inlineStr">
        <is>
          <t>Ann: 2001-09-04</t>
        </is>
      </c>
      <c r="AO3" t="inlineStr">
        <is>
          <t>Ann: 2005-12-05</t>
        </is>
      </c>
      <c r="AY3" t="inlineStr">
        <is>
          <t>Ann: 1999-12-19</t>
        </is>
      </c>
      <c r="BI3" t="inlineStr">
        <is>
          <t>Ann: 2019-05-28</t>
        </is>
      </c>
      <c r="BS3" t="inlineStr">
        <is>
          <t>Ann: 2006-05-07</t>
        </is>
      </c>
      <c r="CC3" t="inlineStr">
        <is>
          <t>Ann: 2016-06-13</t>
        </is>
      </c>
      <c r="CM3" t="inlineStr">
        <is>
          <t>Ann: 2017-04-23</t>
        </is>
      </c>
      <c r="CW3" t="inlineStr">
        <is>
          <t>Ann: 2001-04-03</t>
        </is>
      </c>
      <c r="DG3" t="inlineStr">
        <is>
          <t>Ann: 2006-11-19</t>
        </is>
      </c>
      <c r="DQ3" t="inlineStr">
        <is>
          <t>Ann: 2005-01-31</t>
        </is>
      </c>
      <c r="EA3" t="inlineStr">
        <is>
          <t>Ann: 2010-04-22</t>
        </is>
      </c>
      <c r="EK3" t="inlineStr">
        <is>
          <t>Ann: 2019-08-13</t>
        </is>
      </c>
      <c r="EU3" t="inlineStr">
        <is>
          <t>Ann: 2000-10-04</t>
        </is>
      </c>
      <c r="FE3" t="inlineStr">
        <is>
          <t>Ann: 2006-11-01</t>
        </is>
      </c>
      <c r="FO3" t="inlineStr">
        <is>
          <t>Ann: 2014-02-18</t>
        </is>
      </c>
      <c r="FY3" t="inlineStr">
        <is>
          <t>Ann: 1999-10-04</t>
        </is>
      </c>
      <c r="GI3" t="inlineStr">
        <is>
          <t>Ann: 2021-04-15</t>
        </is>
      </c>
      <c r="GS3" t="inlineStr">
        <is>
          <t>Ann: 2005-04-04</t>
        </is>
      </c>
      <c r="HC3" t="inlineStr">
        <is>
          <t>Ann: 2007-05-29</t>
        </is>
      </c>
      <c r="HM3" t="inlineStr">
        <is>
          <t>Ann: 2015-03-04</t>
        </is>
      </c>
      <c r="HW3" t="inlineStr">
        <is>
          <t>Ann: 2020-07-13</t>
        </is>
      </c>
      <c r="IG3" t="inlineStr">
        <is>
          <t>Ann: 1998-08-20</t>
        </is>
      </c>
      <c r="IQ3" t="inlineStr">
        <is>
          <t>Ann: 2018-10-14</t>
        </is>
      </c>
      <c r="JA3" t="inlineStr">
        <is>
          <t>Ann: 1995-07-31</t>
        </is>
      </c>
      <c r="JK3" t="inlineStr">
        <is>
          <t>Ann: 2020-09-13</t>
        </is>
      </c>
      <c r="JU3" t="inlineStr">
        <is>
          <t>Ann: 1998-03-11</t>
        </is>
      </c>
      <c r="KE3" t="inlineStr">
        <is>
          <t>Ann: 2008-07-10</t>
        </is>
      </c>
      <c r="KO3" t="inlineStr">
        <is>
          <t>Ann: 2000-06-25</t>
        </is>
      </c>
      <c r="KY3" t="inlineStr">
        <is>
          <t>Ann: 2006-06-23</t>
        </is>
      </c>
      <c r="LI3" t="inlineStr">
        <is>
          <t>Ann: 2018-07-11</t>
        </is>
      </c>
      <c r="LS3" t="inlineStr">
        <is>
          <t>Ann: 2011-09-21</t>
        </is>
      </c>
      <c r="MC3" t="inlineStr">
        <is>
          <t>Ann: 2015-12-14</t>
        </is>
      </c>
      <c r="MM3" t="inlineStr">
        <is>
          <t>Ann: 1998-06-19</t>
        </is>
      </c>
      <c r="MW3" t="inlineStr">
        <is>
          <t>Ann: 2007-07-23</t>
        </is>
      </c>
      <c r="NG3" t="inlineStr">
        <is>
          <t>Ann: 2015-01-26</t>
        </is>
      </c>
      <c r="NQ3" t="inlineStr">
        <is>
          <t>Ann: 2017-02-01</t>
        </is>
      </c>
      <c r="OA3" t="inlineStr">
        <is>
          <t>Ann: 2021-04-12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BDS("8375930Q US Equity","SUPPLY_CHAIN_SUPPLIERS","RELATIONSHIP_AS_OF_DATE","20011118")</f>
        <v/>
      </c>
      <c r="F5">
        <f>BDS("8375930Q US Equity","SUPPLY_CHAIN_CUSTOMERS","RELATIONSHIP_AS_OF_DATE","20011118")</f>
        <v/>
      </c>
      <c r="K5">
        <f>BDS("CRM US Equity","SUPPLY_CHAIN_SUPPLIERS","RELATIONSHIP_AS_OF_DATE","20201201")</f>
        <v/>
      </c>
      <c r="P5">
        <f>BDS("CRM US Equity","SUPPLY_CHAIN_CUSTOMERS","RELATIONSHIP_AS_OF_DATE","20201201")</f>
        <v/>
      </c>
      <c r="U5">
        <f>BDS("DUK US Equity","SUPPLY_CHAIN_SUPPLIERS","RELATIONSHIP_AS_OF_DATE","20110110")</f>
        <v/>
      </c>
      <c r="Z5">
        <f>BDS("DUK US Equity","SUPPLY_CHAIN_CUSTOMERS","RELATIONSHIP_AS_OF_DATE","20110110")</f>
        <v/>
      </c>
      <c r="AE5">
        <f>BDS("HPQ US Equity","SUPPLY_CHAIN_SUPPLIERS","RELATIONSHIP_AS_OF_DATE","20010904")</f>
        <v/>
      </c>
      <c r="AJ5">
        <f>BDS("HPQ US Equity","SUPPLY_CHAIN_CUSTOMERS","RELATIONSHIP_AS_OF_DATE","20010904")</f>
        <v/>
      </c>
      <c r="AO5">
        <f>BDS("BSX US Equity","SUPPLY_CHAIN_SUPPLIERS","RELATIONSHIP_AS_OF_DATE","20051205")</f>
        <v/>
      </c>
      <c r="AT5">
        <f>BDS("BSX US Equity","SUPPLY_CHAIN_CUSTOMERS","RELATIONSHIP_AS_OF_DATE","20051205")</f>
        <v/>
      </c>
      <c r="AY5">
        <f>BDS("748957Q US Equity","SUPPLY_CHAIN_SUPPLIERS","RELATIONSHIP_AS_OF_DATE","19991219")</f>
        <v/>
      </c>
      <c r="BD5">
        <f>BDS("748957Q US Equity","SUPPLY_CHAIN_CUSTOMERS","RELATIONSHIP_AS_OF_DATE","19991219")</f>
        <v/>
      </c>
      <c r="BI5">
        <f>BDS("GPN US Equity","SUPPLY_CHAIN_SUPPLIERS","RELATIONSHIP_AS_OF_DATE","20190528")</f>
        <v/>
      </c>
      <c r="BN5">
        <f>BDS("GPN US Equity","SUPPLY_CHAIN_CUSTOMERS","RELATIONSHIP_AS_OF_DATE","20190528")</f>
        <v/>
      </c>
      <c r="BS5">
        <f>BDS("1255173D US Equity","SUPPLY_CHAIN_SUPPLIERS","RELATIONSHIP_AS_OF_DATE","20060507")</f>
        <v/>
      </c>
      <c r="BX5">
        <f>BDS("1255173D US Equity","SUPPLY_CHAIN_CUSTOMERS","RELATIONSHIP_AS_OF_DATE","20060507")</f>
        <v/>
      </c>
      <c r="CC5">
        <f>BDS("MSFT US Equity","SUPPLY_CHAIN_SUPPLIERS","RELATIONSHIP_AS_OF_DATE","20160613")</f>
        <v/>
      </c>
      <c r="CH5">
        <f>BDS("MSFT US Equity","SUPPLY_CHAIN_CUSTOMERS","RELATIONSHIP_AS_OF_DATE","20160613")</f>
        <v/>
      </c>
      <c r="CM5">
        <f>BDS("BDX US Equity","SUPPLY_CHAIN_SUPPLIERS","RELATIONSHIP_AS_OF_DATE","20170423")</f>
        <v/>
      </c>
      <c r="CR5">
        <f>BDS("BDX US Equity","SUPPLY_CHAIN_CUSTOMERS","RELATIONSHIP_AS_OF_DATE","20170423")</f>
        <v/>
      </c>
      <c r="CW5">
        <f>BDS("AIG US Equity","SUPPLY_CHAIN_SUPPLIERS","RELATIONSHIP_AS_OF_DATE","20010403")</f>
        <v/>
      </c>
      <c r="DB5">
        <f>BDS("AIG US Equity","SUPPLY_CHAIN_CUSTOMERS","RELATIONSHIP_AS_OF_DATE","20010403")</f>
        <v/>
      </c>
      <c r="DG5">
        <f>BDS("FCX US Equity","SUPPLY_CHAIN_SUPPLIERS","RELATIONSHIP_AS_OF_DATE","20061119")</f>
        <v/>
      </c>
      <c r="DL5">
        <f>BDS("FCX US Equity","SUPPLY_CHAIN_CUSTOMERS","RELATIONSHIP_AS_OF_DATE","20061119")</f>
        <v/>
      </c>
      <c r="DQ5">
        <f>BDS("T US Equity","SUPPLY_CHAIN_SUPPLIERS","RELATIONSHIP_AS_OF_DATE","20050131")</f>
        <v/>
      </c>
      <c r="DV5">
        <f>BDS("T US Equity","SUPPLY_CHAIN_CUSTOMERS","RELATIONSHIP_AS_OF_DATE","20050131")</f>
        <v/>
      </c>
      <c r="EA5">
        <f>BDS("LUMN US Equity","SUPPLY_CHAIN_SUPPLIERS","RELATIONSHIP_AS_OF_DATE","20100422")</f>
        <v/>
      </c>
      <c r="EF5">
        <f>BDS("LUMN US Equity","SUPPLY_CHAIN_CUSTOMERS","RELATIONSHIP_AS_OF_DATE","20100422")</f>
        <v/>
      </c>
      <c r="EK5">
        <f>BDS("PARA US Equity","SUPPLY_CHAIN_SUPPLIERS","RELATIONSHIP_AS_OF_DATE","20190813")</f>
        <v/>
      </c>
      <c r="EP5">
        <f>BDS("PARA US Equity","SUPPLY_CHAIN_CUSTOMERS","RELATIONSHIP_AS_OF_DATE","20190813")</f>
        <v/>
      </c>
      <c r="EU5">
        <f>BDS("USB US Equity","SUPPLY_CHAIN_SUPPLIERS","RELATIONSHIP_AS_OF_DATE","20001004")</f>
        <v/>
      </c>
      <c r="EZ5">
        <f>BDS("USB US Equity","SUPPLY_CHAIN_CUSTOMERS","RELATIONSHIP_AS_OF_DATE","20001004")</f>
        <v/>
      </c>
      <c r="FE5">
        <f>BDS("CVS US Equity","SUPPLY_CHAIN_SUPPLIERS","RELATIONSHIP_AS_OF_DATE","20061101")</f>
        <v/>
      </c>
      <c r="FJ5">
        <f>BDS("CVS US Equity","SUPPLY_CHAIN_CUSTOMERS","RELATIONSHIP_AS_OF_DATE","20061101")</f>
        <v/>
      </c>
      <c r="FO5">
        <f>BDS("AGN US Equity","SUPPLY_CHAIN_SUPPLIERS","RELATIONSHIP_AS_OF_DATE","20140218")</f>
        <v/>
      </c>
      <c r="FT5">
        <f>BDS("AGN US Equity","SUPPLY_CHAIN_CUSTOMERS","RELATIONSHIP_AS_OF_DATE","20140218")</f>
        <v/>
      </c>
      <c r="FY5">
        <f>BDS("2968900Q US Equity","SUPPLY_CHAIN_SUPPLIERS","RELATIONSHIP_AS_OF_DATE","19991004")</f>
        <v/>
      </c>
      <c r="GD5">
        <f>BDS("2968900Q US Equity","SUPPLY_CHAIN_CUSTOMERS","RELATIONSHIP_AS_OF_DATE","19991004")</f>
        <v/>
      </c>
      <c r="GI5">
        <f>BDS("TMO US Equity","SUPPLY_CHAIN_SUPPLIERS","RELATIONSHIP_AS_OF_DATE","20210415")</f>
        <v/>
      </c>
      <c r="GN5">
        <f>BDS("TMO US Equity","SUPPLY_CHAIN_CUSTOMERS","RELATIONSHIP_AS_OF_DATE","20210415")</f>
        <v/>
      </c>
      <c r="GS5">
        <f>BDS("CVX US Equity","SUPPLY_CHAIN_SUPPLIERS","RELATIONSHIP_AS_OF_DATE","20050404")</f>
        <v/>
      </c>
      <c r="GX5">
        <f>BDS("CVX US Equity","SUPPLY_CHAIN_CUSTOMERS","RELATIONSHIP_AS_OF_DATE","20050404")</f>
        <v/>
      </c>
      <c r="HC5">
        <f>BDS("nan Equity","SUPPLY_CHAIN_SUPPLIERS","RELATIONSHIP_AS_OF_DATE","20070529")</f>
        <v/>
      </c>
      <c r="HH5">
        <f>BDS("nan Equity","SUPPLY_CHAIN_CUSTOMERS","RELATIONSHIP_AS_OF_DATE","20070529")</f>
        <v/>
      </c>
      <c r="HM5">
        <f>BDS("ABBV US Equity","SUPPLY_CHAIN_SUPPLIERS","RELATIONSHIP_AS_OF_DATE","20150304")</f>
        <v/>
      </c>
      <c r="HR5">
        <f>BDS("ABBV US Equity","SUPPLY_CHAIN_CUSTOMERS","RELATIONSHIP_AS_OF_DATE","20150304")</f>
        <v/>
      </c>
      <c r="HW5">
        <f>BDS("ADI US Equity","SUPPLY_CHAIN_SUPPLIERS","RELATIONSHIP_AS_OF_DATE","20200713")</f>
        <v/>
      </c>
      <c r="IB5">
        <f>BDS("ADI US Equity","SUPPLY_CHAIN_CUSTOMERS","RELATIONSHIP_AS_OF_DATE","20200713")</f>
        <v/>
      </c>
      <c r="IG5">
        <f>BDS("AIG US Equity","SUPPLY_CHAIN_SUPPLIERS","RELATIONSHIP_AS_OF_DATE","19980820")</f>
        <v/>
      </c>
      <c r="IL5">
        <f>BDS("AIG US Equity","SUPPLY_CHAIN_CUSTOMERS","RELATIONSHIP_AS_OF_DATE","19980820")</f>
        <v/>
      </c>
      <c r="IQ5">
        <f>BDS("LHX US Equity","SUPPLY_CHAIN_SUPPLIERS","RELATIONSHIP_AS_OF_DATE","20181014")</f>
        <v/>
      </c>
      <c r="IV5">
        <f>BDS("LHX US Equity","SUPPLY_CHAIN_CUSTOMERS","RELATIONSHIP_AS_OF_DATE","20181014")</f>
        <v/>
      </c>
      <c r="JA5">
        <f>BDS("DIS US Equity","SUPPLY_CHAIN_SUPPLIERS","RELATIONSHIP_AS_OF_DATE","19950731")</f>
        <v/>
      </c>
      <c r="JF5">
        <f>BDS("DIS US Equity","SUPPLY_CHAIN_CUSTOMERS","RELATIONSHIP_AS_OF_DATE","19950731")</f>
        <v/>
      </c>
      <c r="JK5">
        <f>BDS("GILD US Equity","SUPPLY_CHAIN_SUPPLIERS","RELATIONSHIP_AS_OF_DATE","20200913")</f>
        <v/>
      </c>
      <c r="JP5">
        <f>BDS("GILD US Equity","SUPPLY_CHAIN_CUSTOMERS","RELATIONSHIP_AS_OF_DATE","20200913")</f>
        <v/>
      </c>
      <c r="JU5">
        <f>BDS("WM US Equity","SUPPLY_CHAIN_SUPPLIERS","RELATIONSHIP_AS_OF_DATE","19980311")</f>
        <v/>
      </c>
      <c r="JZ5">
        <f>BDS("WM US Equity","SUPPLY_CHAIN_CUSTOMERS","RELATIONSHIP_AS_OF_DATE","19980311")</f>
        <v/>
      </c>
      <c r="KE5">
        <f>BDS("DD US Equity","SUPPLY_CHAIN_SUPPLIERS","RELATIONSHIP_AS_OF_DATE","20080710")</f>
        <v/>
      </c>
      <c r="KJ5">
        <f>BDS("DD US Equity","SUPPLY_CHAIN_CUSTOMERS","RELATIONSHIP_AS_OF_DATE","20080710")</f>
        <v/>
      </c>
      <c r="KO5">
        <f>BDS("MO US Equity","SUPPLY_CHAIN_SUPPLIERS","RELATIONSHIP_AS_OF_DATE","20000625")</f>
        <v/>
      </c>
      <c r="KT5">
        <f>BDS("MO US Equity","SUPPLY_CHAIN_CUSTOMERS","RELATIONSHIP_AS_OF_DATE","20000625")</f>
        <v/>
      </c>
      <c r="KY5">
        <f>BDS("APC US Equity","SUPPLY_CHAIN_SUPPLIERS","RELATIONSHIP_AS_OF_DATE","20060623")</f>
        <v/>
      </c>
      <c r="LD5">
        <f>BDS("APC US Equity","SUPPLY_CHAIN_CUSTOMERS","RELATIONSHIP_AS_OF_DATE","20060623")</f>
        <v/>
      </c>
      <c r="LI5">
        <f>BDS("AVGO US Equity","SUPPLY_CHAIN_SUPPLIERS","RELATIONSHIP_AS_OF_DATE","20180711")</f>
        <v/>
      </c>
      <c r="LN5">
        <f>BDS("AVGO US Equity","SUPPLY_CHAIN_CUSTOMERS","RELATIONSHIP_AS_OF_DATE","20180711")</f>
        <v/>
      </c>
      <c r="LS5">
        <f>BDS("RTX US Equity","SUPPLY_CHAIN_SUPPLIERS","RELATIONSHIP_AS_OF_DATE","20110921")</f>
        <v/>
      </c>
      <c r="LX5">
        <f>BDS("RTX US Equity","SUPPLY_CHAIN_CUSTOMERS","RELATIONSHIP_AS_OF_DATE","20110921")</f>
        <v/>
      </c>
      <c r="MC5">
        <f>BDS("NWL US Equity","SUPPLY_CHAIN_SUPPLIERS","RELATIONSHIP_AS_OF_DATE","20151214")</f>
        <v/>
      </c>
      <c r="MH5">
        <f>BDS("NWL US Equity","SUPPLY_CHAIN_CUSTOMERS","RELATIONSHIP_AS_OF_DATE","20151214")</f>
        <v/>
      </c>
      <c r="MM5">
        <f>BDS("BRK/A US Equity","SUPPLY_CHAIN_SUPPLIERS","RELATIONSHIP_AS_OF_DATE","19980619")</f>
        <v/>
      </c>
      <c r="MR5">
        <f>BDS("BRK/A US Equity","SUPPLY_CHAIN_CUSTOMERS","RELATIONSHIP_AS_OF_DATE","19980619")</f>
        <v/>
      </c>
      <c r="MW5">
        <f>BDS("RIG US Equity","SUPPLY_CHAIN_SUPPLIERS","RELATIONSHIP_AS_OF_DATE","20070723")</f>
        <v/>
      </c>
      <c r="NB5">
        <f>BDS("RIG US Equity","SUPPLY_CHAIN_CUSTOMERS","RELATIONSHIP_AS_OF_DATE","20070723")</f>
        <v/>
      </c>
      <c r="NG5">
        <f>BDS("9876456D US Equity","SUPPLY_CHAIN_SUPPLIERS","RELATIONSHIP_AS_OF_DATE","20150126")</f>
        <v/>
      </c>
      <c r="NL5">
        <f>BDS("9876456D US Equity","SUPPLY_CHAIN_CUSTOMERS","RELATIONSHIP_AS_OF_DATE","20150126")</f>
        <v/>
      </c>
      <c r="NQ5">
        <f>BDS("OKE US Equity","SUPPLY_CHAIN_SUPPLIERS","RELATIONSHIP_AS_OF_DATE","20170201")</f>
        <v/>
      </c>
      <c r="NV5">
        <f>BDS("OKE US Equity","SUPPLY_CHAIN_CUSTOMERS","RELATIONSHIP_AS_OF_DATE","20170201")</f>
        <v/>
      </c>
      <c r="OA5">
        <f>BDS("MSFT US Equity","SUPPLY_CHAIN_SUPPLIERS","RELATIONSHIP_AS_OF_DATE","20210412")</f>
        <v/>
      </c>
      <c r="OF5">
        <f>BDS("MSFT US Equity","SUPPLY_CHAIN_CUSTOMERS","RELATIONSHIP_AS_OF_DATE","20210412")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121</t>
        </is>
      </c>
      <c r="K1" s="1" t="inlineStr">
        <is>
          <t>Deal 122</t>
        </is>
      </c>
      <c r="U1" s="1" t="inlineStr">
        <is>
          <t>Deal 123</t>
        </is>
      </c>
      <c r="AE1" s="1" t="inlineStr">
        <is>
          <t>Deal 124</t>
        </is>
      </c>
      <c r="AO1" s="1" t="inlineStr">
        <is>
          <t>Deal 125</t>
        </is>
      </c>
      <c r="AY1" s="1" t="inlineStr">
        <is>
          <t>Deal 126</t>
        </is>
      </c>
      <c r="BI1" s="1" t="inlineStr">
        <is>
          <t>Deal 127</t>
        </is>
      </c>
      <c r="BS1" s="1" t="inlineStr">
        <is>
          <t>Deal 128</t>
        </is>
      </c>
      <c r="CC1" s="1" t="inlineStr">
        <is>
          <t>Deal 129</t>
        </is>
      </c>
      <c r="CM1" s="1" t="inlineStr">
        <is>
          <t>Deal 130</t>
        </is>
      </c>
      <c r="CW1" s="1" t="inlineStr">
        <is>
          <t>Deal 131</t>
        </is>
      </c>
      <c r="DG1" s="1" t="inlineStr">
        <is>
          <t>Deal 132</t>
        </is>
      </c>
      <c r="DQ1" s="1" t="inlineStr">
        <is>
          <t>Deal 133</t>
        </is>
      </c>
      <c r="EA1" s="1" t="inlineStr">
        <is>
          <t>Deal 134</t>
        </is>
      </c>
      <c r="EK1" s="1" t="inlineStr">
        <is>
          <t>Deal 135</t>
        </is>
      </c>
      <c r="EU1" s="1" t="inlineStr">
        <is>
          <t>Deal 136</t>
        </is>
      </c>
      <c r="FE1" s="1" t="inlineStr">
        <is>
          <t>Deal 137</t>
        </is>
      </c>
      <c r="FO1" s="1" t="inlineStr">
        <is>
          <t>Deal 138</t>
        </is>
      </c>
      <c r="FY1" s="1" t="inlineStr">
        <is>
          <t>Deal 139</t>
        </is>
      </c>
      <c r="GI1" s="1" t="inlineStr">
        <is>
          <t>Deal 140</t>
        </is>
      </c>
      <c r="GS1" s="1" t="inlineStr">
        <is>
          <t>Deal 141</t>
        </is>
      </c>
      <c r="HC1" s="1" t="inlineStr">
        <is>
          <t>Deal 142</t>
        </is>
      </c>
      <c r="HM1" s="1" t="inlineStr">
        <is>
          <t>Deal 143</t>
        </is>
      </c>
      <c r="HW1" s="1" t="inlineStr">
        <is>
          <t>Deal 144</t>
        </is>
      </c>
      <c r="IG1" s="1" t="inlineStr">
        <is>
          <t>Deal 145</t>
        </is>
      </c>
      <c r="IQ1" s="1" t="inlineStr">
        <is>
          <t>Deal 146</t>
        </is>
      </c>
      <c r="JA1" s="1" t="inlineStr">
        <is>
          <t>Deal 147</t>
        </is>
      </c>
      <c r="JK1" s="1" t="inlineStr">
        <is>
          <t>Deal 148</t>
        </is>
      </c>
      <c r="JU1" s="1" t="inlineStr">
        <is>
          <t>Deal 149</t>
        </is>
      </c>
      <c r="KE1" s="1" t="inlineStr">
        <is>
          <t>Deal 150</t>
        </is>
      </c>
      <c r="KO1" s="1" t="inlineStr">
        <is>
          <t>Deal 151</t>
        </is>
      </c>
      <c r="KY1" s="1" t="inlineStr">
        <is>
          <t>Deal 152</t>
        </is>
      </c>
      <c r="LI1" s="1" t="inlineStr">
        <is>
          <t>Deal 153</t>
        </is>
      </c>
      <c r="LS1" s="1" t="inlineStr">
        <is>
          <t>Deal 154</t>
        </is>
      </c>
      <c r="MC1" s="1" t="inlineStr">
        <is>
          <t>Deal 155</t>
        </is>
      </c>
      <c r="MM1" s="1" t="inlineStr">
        <is>
          <t>Deal 156</t>
        </is>
      </c>
      <c r="MW1" s="1" t="inlineStr">
        <is>
          <t>Deal 157</t>
        </is>
      </c>
      <c r="NG1" s="1" t="inlineStr">
        <is>
          <t>Deal 158</t>
        </is>
      </c>
      <c r="NQ1" s="1" t="inlineStr">
        <is>
          <t>Deal 159</t>
        </is>
      </c>
      <c r="OA1" s="1" t="inlineStr">
        <is>
          <t>Deal 160</t>
        </is>
      </c>
    </row>
    <row r="2">
      <c r="A2" s="2" t="inlineStr">
        <is>
          <t>PFE US Equity</t>
        </is>
      </c>
      <c r="K2" s="2" t="inlineStr">
        <is>
          <t>M US Equity</t>
        </is>
      </c>
      <c r="U2" s="2" t="inlineStr">
        <is>
          <t>BK US Equity</t>
        </is>
      </c>
      <c r="AE2" s="2" t="inlineStr">
        <is>
          <t>PLD US Equity</t>
        </is>
      </c>
      <c r="AO2" s="2" t="inlineStr">
        <is>
          <t>O US Equity</t>
        </is>
      </c>
      <c r="AY2" s="2" t="inlineStr">
        <is>
          <t>3153670Q US Equity</t>
        </is>
      </c>
      <c r="BI2" s="2" t="inlineStr">
        <is>
          <t>JNJ US Equity</t>
        </is>
      </c>
      <c r="BS2" s="2" t="inlineStr">
        <is>
          <t>nan Equity</t>
        </is>
      </c>
      <c r="CC2" s="2" t="inlineStr">
        <is>
          <t>TRV US Equity</t>
        </is>
      </c>
      <c r="CM2" s="2" t="inlineStr">
        <is>
          <t>VRSN US Equity</t>
        </is>
      </c>
      <c r="CW2" s="2" t="inlineStr">
        <is>
          <t>nan Equity</t>
        </is>
      </c>
      <c r="DG2" s="2" t="inlineStr">
        <is>
          <t>HON US Equity</t>
        </is>
      </c>
      <c r="DQ2" s="2" t="inlineStr">
        <is>
          <t>VICI US Equity</t>
        </is>
      </c>
      <c r="EA2" s="2" t="inlineStr">
        <is>
          <t>nan Equity</t>
        </is>
      </c>
      <c r="EK2" s="2" t="inlineStr">
        <is>
          <t>TMO US Equity</t>
        </is>
      </c>
      <c r="EU2" s="2" t="inlineStr">
        <is>
          <t>FBF US Equity</t>
        </is>
      </c>
      <c r="FE2" s="2" t="inlineStr">
        <is>
          <t>MAR US Equity</t>
        </is>
      </c>
      <c r="FO2" s="2" t="inlineStr">
        <is>
          <t>SLB US Equity</t>
        </is>
      </c>
      <c r="FY2" s="2" t="inlineStr">
        <is>
          <t>1996074D US Equity</t>
        </is>
      </c>
      <c r="GI2" s="2" t="inlineStr">
        <is>
          <t>WBD US Equity</t>
        </is>
      </c>
      <c r="GS2" s="2" t="inlineStr">
        <is>
          <t>PEP US Equity</t>
        </is>
      </c>
      <c r="HC2" s="2" t="inlineStr">
        <is>
          <t>WFC US Equity</t>
        </is>
      </c>
      <c r="HM2" s="2" t="inlineStr">
        <is>
          <t>ELV US Equity</t>
        </is>
      </c>
      <c r="HW2" s="2" t="inlineStr">
        <is>
          <t>COF US Equity</t>
        </is>
      </c>
      <c r="IG2" s="2" t="inlineStr">
        <is>
          <t>MS US Equity</t>
        </is>
      </c>
      <c r="IQ2" s="2" t="inlineStr">
        <is>
          <t>D US Equity</t>
        </is>
      </c>
      <c r="JA2" s="2" t="inlineStr">
        <is>
          <t>INTC US Equity</t>
        </is>
      </c>
      <c r="JK2" s="2" t="inlineStr">
        <is>
          <t>WDC US Equity</t>
        </is>
      </c>
      <c r="JU2" s="2" t="inlineStr">
        <is>
          <t>INTC US Equity</t>
        </is>
      </c>
      <c r="KE2" s="2" t="inlineStr">
        <is>
          <t>1255173D US Equity</t>
        </is>
      </c>
      <c r="KO2" s="2" t="inlineStr">
        <is>
          <t>CRM US Equity</t>
        </is>
      </c>
      <c r="KY2" s="2" t="inlineStr">
        <is>
          <t>nan Equity</t>
        </is>
      </c>
      <c r="LI2" s="2" t="inlineStr">
        <is>
          <t>MCK US Equity</t>
        </is>
      </c>
      <c r="LS2" s="2" t="inlineStr">
        <is>
          <t>WAMUQ US Equity</t>
        </is>
      </c>
      <c r="MC2" s="2" t="inlineStr">
        <is>
          <t>DHR US Equity</t>
        </is>
      </c>
      <c r="MM2" s="2" t="inlineStr">
        <is>
          <t>NOC US Equity</t>
        </is>
      </c>
      <c r="MW2" s="2" t="inlineStr">
        <is>
          <t>DUK US Equity</t>
        </is>
      </c>
      <c r="NG2" s="2" t="inlineStr">
        <is>
          <t>PFE US Equity</t>
        </is>
      </c>
      <c r="NQ2" s="2" t="inlineStr">
        <is>
          <t>MPLX US Equity</t>
        </is>
      </c>
      <c r="OA2" s="2" t="inlineStr">
        <is>
          <t>GEN US Equity</t>
        </is>
      </c>
    </row>
    <row r="3">
      <c r="A3" t="inlineStr">
        <is>
          <t>Ann: 2015-02-05</t>
        </is>
      </c>
      <c r="K3" t="inlineStr">
        <is>
          <t>Ann: 2005-02-28</t>
        </is>
      </c>
      <c r="U3" t="inlineStr">
        <is>
          <t>Ann: 2006-12-04</t>
        </is>
      </c>
      <c r="AE3" t="inlineStr">
        <is>
          <t>Ann: 2011-01-31</t>
        </is>
      </c>
      <c r="AO3" t="inlineStr">
        <is>
          <t>Ann: 2021-04-29</t>
        </is>
      </c>
      <c r="AY3" t="inlineStr">
        <is>
          <t>Ann: 2000-03-29</t>
        </is>
      </c>
      <c r="BI3" t="inlineStr">
        <is>
          <t>Ann: 2022-11-01</t>
        </is>
      </c>
      <c r="BS3" t="inlineStr">
        <is>
          <t>Ann: 2006-09-15</t>
        </is>
      </c>
      <c r="CC3" t="inlineStr">
        <is>
          <t>Ann: 2003-11-17</t>
        </is>
      </c>
      <c r="CM3" t="inlineStr">
        <is>
          <t>Ann: 2000-03-07</t>
        </is>
      </c>
      <c r="CW3" t="inlineStr">
        <is>
          <t>Ann: 2006-01-23</t>
        </is>
      </c>
      <c r="DG3" t="inlineStr">
        <is>
          <t>Ann: 1999-06-07</t>
        </is>
      </c>
      <c r="DQ3" t="inlineStr">
        <is>
          <t>Ann: 2021-08-04</t>
        </is>
      </c>
      <c r="EA3" t="inlineStr">
        <is>
          <t>Ann: 2022-03-29</t>
        </is>
      </c>
      <c r="EK3" t="inlineStr">
        <is>
          <t>Ann: 2013-04-15</t>
        </is>
      </c>
      <c r="EU3" t="inlineStr">
        <is>
          <t>Ann: 1999-03-15</t>
        </is>
      </c>
      <c r="FE3" t="inlineStr">
        <is>
          <t>Ann: 2015-11-16</t>
        </is>
      </c>
      <c r="FO3" t="inlineStr">
        <is>
          <t>Ann: 2015-08-26</t>
        </is>
      </c>
      <c r="FY3" t="inlineStr">
        <is>
          <t>Ann: 2000-01-18</t>
        </is>
      </c>
      <c r="GI3" t="inlineStr">
        <is>
          <t>Ann: 2017-07-31</t>
        </is>
      </c>
      <c r="GS3" t="inlineStr">
        <is>
          <t>Ann: 2000-12-04</t>
        </is>
      </c>
      <c r="HC3" t="inlineStr">
        <is>
          <t>Ann: 2008-10-03</t>
        </is>
      </c>
      <c r="HM3" t="inlineStr">
        <is>
          <t>Ann: 2003-10-27</t>
        </is>
      </c>
      <c r="HW3" t="inlineStr">
        <is>
          <t>Ann: 2006-03-12</t>
        </is>
      </c>
      <c r="IG3" t="inlineStr">
        <is>
          <t>Ann: 2020-02-20</t>
        </is>
      </c>
      <c r="IQ3" t="inlineStr">
        <is>
          <t>Ann: 2018-01-03</t>
        </is>
      </c>
      <c r="JA3" t="inlineStr">
        <is>
          <t>Ann: 2015-06-01</t>
        </is>
      </c>
      <c r="JK3" t="inlineStr">
        <is>
          <t>Ann: 2015-10-21</t>
        </is>
      </c>
      <c r="JU3" t="inlineStr">
        <is>
          <t>Ann: 2017-03-13</t>
        </is>
      </c>
      <c r="KE3" t="inlineStr">
        <is>
          <t>Ann: 2004-06-21</t>
        </is>
      </c>
      <c r="KO3" t="inlineStr">
        <is>
          <t>Ann: 2019-06-10</t>
        </is>
      </c>
      <c r="KY3" t="inlineStr">
        <is>
          <t>Ann: 2015-12-07</t>
        </is>
      </c>
      <c r="LI3" t="inlineStr">
        <is>
          <t>Ann: 1998-10-19</t>
        </is>
      </c>
      <c r="LS3" t="inlineStr">
        <is>
          <t>Ann: 2001-06-25</t>
        </is>
      </c>
      <c r="MC3" t="inlineStr">
        <is>
          <t>Ann: 2015-05-13</t>
        </is>
      </c>
      <c r="MM3" t="inlineStr">
        <is>
          <t>Ann: 2002-02-22</t>
        </is>
      </c>
      <c r="MW3" t="inlineStr">
        <is>
          <t>Ann: 2005-05-09</t>
        </is>
      </c>
      <c r="NG3" t="inlineStr">
        <is>
          <t>Ann: 2016-08-22</t>
        </is>
      </c>
      <c r="NQ3" t="inlineStr">
        <is>
          <t>Ann: 2015-07-13</t>
        </is>
      </c>
      <c r="OA3" t="inlineStr">
        <is>
          <t>Ann: 2004-12-16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BDS("PFE US Equity","SUPPLY_CHAIN_SUPPLIERS","RELATIONSHIP_AS_OF_DATE","20150205")</f>
        <v/>
      </c>
      <c r="F5">
        <f>BDS("PFE US Equity","SUPPLY_CHAIN_CUSTOMERS","RELATIONSHIP_AS_OF_DATE","20150205")</f>
        <v/>
      </c>
      <c r="K5">
        <f>BDS("M US Equity","SUPPLY_CHAIN_SUPPLIERS","RELATIONSHIP_AS_OF_DATE","20050228")</f>
        <v/>
      </c>
      <c r="P5">
        <f>BDS("M US Equity","SUPPLY_CHAIN_CUSTOMERS","RELATIONSHIP_AS_OF_DATE","20050228")</f>
        <v/>
      </c>
      <c r="U5">
        <f>BDS("BK US Equity","SUPPLY_CHAIN_SUPPLIERS","RELATIONSHIP_AS_OF_DATE","20061204")</f>
        <v/>
      </c>
      <c r="Z5">
        <f>BDS("BK US Equity","SUPPLY_CHAIN_CUSTOMERS","RELATIONSHIP_AS_OF_DATE","20061204")</f>
        <v/>
      </c>
      <c r="AE5">
        <f>BDS("PLD US Equity","SUPPLY_CHAIN_SUPPLIERS","RELATIONSHIP_AS_OF_DATE","20110131")</f>
        <v/>
      </c>
      <c r="AJ5">
        <f>BDS("PLD US Equity","SUPPLY_CHAIN_CUSTOMERS","RELATIONSHIP_AS_OF_DATE","20110131")</f>
        <v/>
      </c>
      <c r="AO5">
        <f>BDS("O US Equity","SUPPLY_CHAIN_SUPPLIERS","RELATIONSHIP_AS_OF_DATE","20210429")</f>
        <v/>
      </c>
      <c r="AT5">
        <f>BDS("O US Equity","SUPPLY_CHAIN_CUSTOMERS","RELATIONSHIP_AS_OF_DATE","20210429")</f>
        <v/>
      </c>
      <c r="AY5">
        <f>BDS("3153670Q US Equity","SUPPLY_CHAIN_SUPPLIERS","RELATIONSHIP_AS_OF_DATE","20000329")</f>
        <v/>
      </c>
      <c r="BD5">
        <f>BDS("3153670Q US Equity","SUPPLY_CHAIN_CUSTOMERS","RELATIONSHIP_AS_OF_DATE","20000329")</f>
        <v/>
      </c>
      <c r="BI5">
        <f>BDS("JNJ US Equity","SUPPLY_CHAIN_SUPPLIERS","RELATIONSHIP_AS_OF_DATE","20221101")</f>
        <v/>
      </c>
      <c r="BN5">
        <f>BDS("JNJ US Equity","SUPPLY_CHAIN_CUSTOMERS","RELATIONSHIP_AS_OF_DATE","20221101")</f>
        <v/>
      </c>
      <c r="BS5">
        <f>BDS("nan Equity","SUPPLY_CHAIN_SUPPLIERS","RELATIONSHIP_AS_OF_DATE","20060915")</f>
        <v/>
      </c>
      <c r="BX5">
        <f>BDS("nan Equity","SUPPLY_CHAIN_CUSTOMERS","RELATIONSHIP_AS_OF_DATE","20060915")</f>
        <v/>
      </c>
      <c r="CC5">
        <f>BDS("TRV US Equity","SUPPLY_CHAIN_SUPPLIERS","RELATIONSHIP_AS_OF_DATE","20031117")</f>
        <v/>
      </c>
      <c r="CH5">
        <f>BDS("TRV US Equity","SUPPLY_CHAIN_CUSTOMERS","RELATIONSHIP_AS_OF_DATE","20031117")</f>
        <v/>
      </c>
      <c r="CM5">
        <f>BDS("VRSN US Equity","SUPPLY_CHAIN_SUPPLIERS","RELATIONSHIP_AS_OF_DATE","20000307")</f>
        <v/>
      </c>
      <c r="CR5">
        <f>BDS("VRSN US Equity","SUPPLY_CHAIN_CUSTOMERS","RELATIONSHIP_AS_OF_DATE","20000307")</f>
        <v/>
      </c>
      <c r="CW5">
        <f>BDS("nan Equity","SUPPLY_CHAIN_SUPPLIERS","RELATIONSHIP_AS_OF_DATE","20060123")</f>
        <v/>
      </c>
      <c r="DB5">
        <f>BDS("nan Equity","SUPPLY_CHAIN_CUSTOMERS","RELATIONSHIP_AS_OF_DATE","20060123")</f>
        <v/>
      </c>
      <c r="DG5">
        <f>BDS("HON US Equity","SUPPLY_CHAIN_SUPPLIERS","RELATIONSHIP_AS_OF_DATE","19990607")</f>
        <v/>
      </c>
      <c r="DL5">
        <f>BDS("HON US Equity","SUPPLY_CHAIN_CUSTOMERS","RELATIONSHIP_AS_OF_DATE","19990607")</f>
        <v/>
      </c>
      <c r="DQ5">
        <f>BDS("VICI US Equity","SUPPLY_CHAIN_SUPPLIERS","RELATIONSHIP_AS_OF_DATE","20210804")</f>
        <v/>
      </c>
      <c r="DV5">
        <f>BDS("VICI US Equity","SUPPLY_CHAIN_CUSTOMERS","RELATIONSHIP_AS_OF_DATE","20210804")</f>
        <v/>
      </c>
      <c r="EA5">
        <f>BDS("nan Equity","SUPPLY_CHAIN_SUPPLIERS","RELATIONSHIP_AS_OF_DATE","20220329")</f>
        <v/>
      </c>
      <c r="EF5">
        <f>BDS("nan Equity","SUPPLY_CHAIN_CUSTOMERS","RELATIONSHIP_AS_OF_DATE","20220329")</f>
        <v/>
      </c>
      <c r="EK5">
        <f>BDS("TMO US Equity","SUPPLY_CHAIN_SUPPLIERS","RELATIONSHIP_AS_OF_DATE","20130415")</f>
        <v/>
      </c>
      <c r="EP5">
        <f>BDS("TMO US Equity","SUPPLY_CHAIN_CUSTOMERS","RELATIONSHIP_AS_OF_DATE","20130415")</f>
        <v/>
      </c>
      <c r="EU5">
        <f>BDS("FBF US Equity","SUPPLY_CHAIN_SUPPLIERS","RELATIONSHIP_AS_OF_DATE","19990315")</f>
        <v/>
      </c>
      <c r="EZ5">
        <f>BDS("FBF US Equity","SUPPLY_CHAIN_CUSTOMERS","RELATIONSHIP_AS_OF_DATE","19990315")</f>
        <v/>
      </c>
      <c r="FE5">
        <f>BDS("MAR US Equity","SUPPLY_CHAIN_SUPPLIERS","RELATIONSHIP_AS_OF_DATE","20151116")</f>
        <v/>
      </c>
      <c r="FJ5">
        <f>BDS("MAR US Equity","SUPPLY_CHAIN_CUSTOMERS","RELATIONSHIP_AS_OF_DATE","20151116")</f>
        <v/>
      </c>
      <c r="FO5">
        <f>BDS("SLB US Equity","SUPPLY_CHAIN_SUPPLIERS","RELATIONSHIP_AS_OF_DATE","20150826")</f>
        <v/>
      </c>
      <c r="FT5">
        <f>BDS("SLB US Equity","SUPPLY_CHAIN_CUSTOMERS","RELATIONSHIP_AS_OF_DATE","20150826")</f>
        <v/>
      </c>
      <c r="FY5">
        <f>BDS("1996074D US Equity","SUPPLY_CHAIN_SUPPLIERS","RELATIONSHIP_AS_OF_DATE","20000118")</f>
        <v/>
      </c>
      <c r="GD5">
        <f>BDS("1996074D US Equity","SUPPLY_CHAIN_CUSTOMERS","RELATIONSHIP_AS_OF_DATE","20000118")</f>
        <v/>
      </c>
      <c r="GI5">
        <f>BDS("WBD US Equity","SUPPLY_CHAIN_SUPPLIERS","RELATIONSHIP_AS_OF_DATE","20170731")</f>
        <v/>
      </c>
      <c r="GN5">
        <f>BDS("WBD US Equity","SUPPLY_CHAIN_CUSTOMERS","RELATIONSHIP_AS_OF_DATE","20170731")</f>
        <v/>
      </c>
      <c r="GS5">
        <f>BDS("PEP US Equity","SUPPLY_CHAIN_SUPPLIERS","RELATIONSHIP_AS_OF_DATE","20001204")</f>
        <v/>
      </c>
      <c r="GX5">
        <f>BDS("PEP US Equity","SUPPLY_CHAIN_CUSTOMERS","RELATIONSHIP_AS_OF_DATE","20001204")</f>
        <v/>
      </c>
      <c r="HC5">
        <f>BDS("WFC US Equity","SUPPLY_CHAIN_SUPPLIERS","RELATIONSHIP_AS_OF_DATE","20081003")</f>
        <v/>
      </c>
      <c r="HH5">
        <f>BDS("WFC US Equity","SUPPLY_CHAIN_CUSTOMERS","RELATIONSHIP_AS_OF_DATE","20081003")</f>
        <v/>
      </c>
      <c r="HM5">
        <f>BDS("ELV US Equity","SUPPLY_CHAIN_SUPPLIERS","RELATIONSHIP_AS_OF_DATE","20031027")</f>
        <v/>
      </c>
      <c r="HR5">
        <f>BDS("ELV US Equity","SUPPLY_CHAIN_CUSTOMERS","RELATIONSHIP_AS_OF_DATE","20031027")</f>
        <v/>
      </c>
      <c r="HW5">
        <f>BDS("COF US Equity","SUPPLY_CHAIN_SUPPLIERS","RELATIONSHIP_AS_OF_DATE","20060312")</f>
        <v/>
      </c>
      <c r="IB5">
        <f>BDS("COF US Equity","SUPPLY_CHAIN_CUSTOMERS","RELATIONSHIP_AS_OF_DATE","20060312")</f>
        <v/>
      </c>
      <c r="IG5">
        <f>BDS("MS US Equity","SUPPLY_CHAIN_SUPPLIERS","RELATIONSHIP_AS_OF_DATE","20200220")</f>
        <v/>
      </c>
      <c r="IL5">
        <f>BDS("MS US Equity","SUPPLY_CHAIN_CUSTOMERS","RELATIONSHIP_AS_OF_DATE","20200220")</f>
        <v/>
      </c>
      <c r="IQ5">
        <f>BDS("D US Equity","SUPPLY_CHAIN_SUPPLIERS","RELATIONSHIP_AS_OF_DATE","20180103")</f>
        <v/>
      </c>
      <c r="IV5">
        <f>BDS("D US Equity","SUPPLY_CHAIN_CUSTOMERS","RELATIONSHIP_AS_OF_DATE","20180103")</f>
        <v/>
      </c>
      <c r="JA5">
        <f>BDS("INTC US Equity","SUPPLY_CHAIN_SUPPLIERS","RELATIONSHIP_AS_OF_DATE","20150601")</f>
        <v/>
      </c>
      <c r="JF5">
        <f>BDS("INTC US Equity","SUPPLY_CHAIN_CUSTOMERS","RELATIONSHIP_AS_OF_DATE","20150601")</f>
        <v/>
      </c>
      <c r="JK5">
        <f>BDS("WDC US Equity","SUPPLY_CHAIN_SUPPLIERS","RELATIONSHIP_AS_OF_DATE","20151021")</f>
        <v/>
      </c>
      <c r="JP5">
        <f>BDS("WDC US Equity","SUPPLY_CHAIN_CUSTOMERS","RELATIONSHIP_AS_OF_DATE","20151021")</f>
        <v/>
      </c>
      <c r="JU5">
        <f>BDS("INTC US Equity","SUPPLY_CHAIN_SUPPLIERS","RELATIONSHIP_AS_OF_DATE","20170313")</f>
        <v/>
      </c>
      <c r="JZ5">
        <f>BDS("INTC US Equity","SUPPLY_CHAIN_CUSTOMERS","RELATIONSHIP_AS_OF_DATE","20170313")</f>
        <v/>
      </c>
      <c r="KE5">
        <f>BDS("1255173D US Equity","SUPPLY_CHAIN_SUPPLIERS","RELATIONSHIP_AS_OF_DATE","20040621")</f>
        <v/>
      </c>
      <c r="KJ5">
        <f>BDS("1255173D US Equity","SUPPLY_CHAIN_CUSTOMERS","RELATIONSHIP_AS_OF_DATE","20040621")</f>
        <v/>
      </c>
      <c r="KO5">
        <f>BDS("CRM US Equity","SUPPLY_CHAIN_SUPPLIERS","RELATIONSHIP_AS_OF_DATE","20190610")</f>
        <v/>
      </c>
      <c r="KT5">
        <f>BDS("CRM US Equity","SUPPLY_CHAIN_CUSTOMERS","RELATIONSHIP_AS_OF_DATE","20190610")</f>
        <v/>
      </c>
      <c r="KY5">
        <f>BDS("nan Equity","SUPPLY_CHAIN_SUPPLIERS","RELATIONSHIP_AS_OF_DATE","20151207")</f>
        <v/>
      </c>
      <c r="LD5">
        <f>BDS("nan Equity","SUPPLY_CHAIN_CUSTOMERS","RELATIONSHIP_AS_OF_DATE","20151207")</f>
        <v/>
      </c>
      <c r="LI5">
        <f>BDS("MCK US Equity","SUPPLY_CHAIN_SUPPLIERS","RELATIONSHIP_AS_OF_DATE","19981019")</f>
        <v/>
      </c>
      <c r="LN5">
        <f>BDS("MCK US Equity","SUPPLY_CHAIN_CUSTOMERS","RELATIONSHIP_AS_OF_DATE","19981019")</f>
        <v/>
      </c>
      <c r="LS5">
        <f>BDS("WAMUQ US Equity","SUPPLY_CHAIN_SUPPLIERS","RELATIONSHIP_AS_OF_DATE","20010625")</f>
        <v/>
      </c>
      <c r="LX5">
        <f>BDS("WAMUQ US Equity","SUPPLY_CHAIN_CUSTOMERS","RELATIONSHIP_AS_OF_DATE","20010625")</f>
        <v/>
      </c>
      <c r="MC5">
        <f>BDS("DHR US Equity","SUPPLY_CHAIN_SUPPLIERS","RELATIONSHIP_AS_OF_DATE","20150513")</f>
        <v/>
      </c>
      <c r="MH5">
        <f>BDS("DHR US Equity","SUPPLY_CHAIN_CUSTOMERS","RELATIONSHIP_AS_OF_DATE","20150513")</f>
        <v/>
      </c>
      <c r="MM5">
        <f>BDS("NOC US Equity","SUPPLY_CHAIN_SUPPLIERS","RELATIONSHIP_AS_OF_DATE","20020222")</f>
        <v/>
      </c>
      <c r="MR5">
        <f>BDS("NOC US Equity","SUPPLY_CHAIN_CUSTOMERS","RELATIONSHIP_AS_OF_DATE","20020222")</f>
        <v/>
      </c>
      <c r="MW5">
        <f>BDS("DUK US Equity","SUPPLY_CHAIN_SUPPLIERS","RELATIONSHIP_AS_OF_DATE","20050509")</f>
        <v/>
      </c>
      <c r="NB5">
        <f>BDS("DUK US Equity","SUPPLY_CHAIN_CUSTOMERS","RELATIONSHIP_AS_OF_DATE","20050509")</f>
        <v/>
      </c>
      <c r="NG5">
        <f>BDS("PFE US Equity","SUPPLY_CHAIN_SUPPLIERS","RELATIONSHIP_AS_OF_DATE","20160822")</f>
        <v/>
      </c>
      <c r="NL5">
        <f>BDS("PFE US Equity","SUPPLY_CHAIN_CUSTOMERS","RELATIONSHIP_AS_OF_DATE","20160822")</f>
        <v/>
      </c>
      <c r="NQ5">
        <f>BDS("MPLX US Equity","SUPPLY_CHAIN_SUPPLIERS","RELATIONSHIP_AS_OF_DATE","20150713")</f>
        <v/>
      </c>
      <c r="NV5">
        <f>BDS("MPLX US Equity","SUPPLY_CHAIN_CUSTOMERS","RELATIONSHIP_AS_OF_DATE","20150713")</f>
        <v/>
      </c>
      <c r="OA5">
        <f>BDS("GEN US Equity","SUPPLY_CHAIN_SUPPLIERS","RELATIONSHIP_AS_OF_DATE","20041216")</f>
        <v/>
      </c>
      <c r="OF5">
        <f>BDS("GEN US Equity","SUPPLY_CHAIN_CUSTOMERS","RELATIONSHIP_AS_OF_DATE","20041216")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161</t>
        </is>
      </c>
      <c r="K1" s="1" t="inlineStr">
        <is>
          <t>Deal 162</t>
        </is>
      </c>
      <c r="U1" s="1" t="inlineStr">
        <is>
          <t>Deal 163</t>
        </is>
      </c>
      <c r="AE1" s="1" t="inlineStr">
        <is>
          <t>Deal 164</t>
        </is>
      </c>
      <c r="AO1" s="1" t="inlineStr">
        <is>
          <t>Deal 165</t>
        </is>
      </c>
      <c r="AY1" s="1" t="inlineStr">
        <is>
          <t>Deal 166</t>
        </is>
      </c>
      <c r="BI1" s="1" t="inlineStr">
        <is>
          <t>Deal 167</t>
        </is>
      </c>
      <c r="BS1" s="1" t="inlineStr">
        <is>
          <t>Deal 168</t>
        </is>
      </c>
      <c r="CC1" s="1" t="inlineStr">
        <is>
          <t>Deal 169</t>
        </is>
      </c>
      <c r="CM1" s="1" t="inlineStr">
        <is>
          <t>Deal 170</t>
        </is>
      </c>
      <c r="CW1" s="1" t="inlineStr">
        <is>
          <t>Deal 171</t>
        </is>
      </c>
      <c r="DG1" s="1" t="inlineStr">
        <is>
          <t>Deal 172</t>
        </is>
      </c>
      <c r="DQ1" s="1" t="inlineStr">
        <is>
          <t>Deal 173</t>
        </is>
      </c>
      <c r="EA1" s="1" t="inlineStr">
        <is>
          <t>Deal 174</t>
        </is>
      </c>
      <c r="EK1" s="1" t="inlineStr">
        <is>
          <t>Deal 175</t>
        </is>
      </c>
      <c r="EU1" s="1" t="inlineStr">
        <is>
          <t>Deal 176</t>
        </is>
      </c>
      <c r="FE1" s="1" t="inlineStr">
        <is>
          <t>Deal 177</t>
        </is>
      </c>
      <c r="FO1" s="1" t="inlineStr">
        <is>
          <t>Deal 178</t>
        </is>
      </c>
      <c r="FY1" s="1" t="inlineStr">
        <is>
          <t>Deal 179</t>
        </is>
      </c>
      <c r="GI1" s="1" t="inlineStr">
        <is>
          <t>Deal 180</t>
        </is>
      </c>
      <c r="GS1" s="1" t="inlineStr">
        <is>
          <t>Deal 181</t>
        </is>
      </c>
      <c r="HC1" s="1" t="inlineStr">
        <is>
          <t>Deal 182</t>
        </is>
      </c>
      <c r="HM1" s="1" t="inlineStr">
        <is>
          <t>Deal 183</t>
        </is>
      </c>
      <c r="HW1" s="1" t="inlineStr">
        <is>
          <t>Deal 184</t>
        </is>
      </c>
      <c r="IG1" s="1" t="inlineStr">
        <is>
          <t>Deal 185</t>
        </is>
      </c>
      <c r="IQ1" s="1" t="inlineStr">
        <is>
          <t>Deal 186</t>
        </is>
      </c>
      <c r="JA1" s="1" t="inlineStr">
        <is>
          <t>Deal 187</t>
        </is>
      </c>
      <c r="JK1" s="1" t="inlineStr">
        <is>
          <t>Deal 188</t>
        </is>
      </c>
      <c r="JU1" s="1" t="inlineStr">
        <is>
          <t>Deal 189</t>
        </is>
      </c>
      <c r="KE1" s="1" t="inlineStr">
        <is>
          <t>Deal 190</t>
        </is>
      </c>
      <c r="KO1" s="1" t="inlineStr">
        <is>
          <t>Deal 191</t>
        </is>
      </c>
      <c r="KY1" s="1" t="inlineStr">
        <is>
          <t>Deal 192</t>
        </is>
      </c>
      <c r="LI1" s="1" t="inlineStr">
        <is>
          <t>Deal 193</t>
        </is>
      </c>
      <c r="LS1" s="1" t="inlineStr">
        <is>
          <t>Deal 194</t>
        </is>
      </c>
      <c r="MC1" s="1" t="inlineStr">
        <is>
          <t>Deal 195</t>
        </is>
      </c>
      <c r="MM1" s="1" t="inlineStr">
        <is>
          <t>Deal 196</t>
        </is>
      </c>
      <c r="MW1" s="1" t="inlineStr">
        <is>
          <t>Deal 197</t>
        </is>
      </c>
      <c r="NG1" s="1" t="inlineStr">
        <is>
          <t>Deal 198</t>
        </is>
      </c>
      <c r="NQ1" s="1" t="inlineStr">
        <is>
          <t>Deal 199</t>
        </is>
      </c>
      <c r="OA1" s="1" t="inlineStr">
        <is>
          <t>Deal 200</t>
        </is>
      </c>
    </row>
    <row r="2">
      <c r="A2" s="2" t="inlineStr">
        <is>
          <t>BRK/A US Equity</t>
        </is>
      </c>
      <c r="K2" s="2" t="inlineStr">
        <is>
          <t>RAI US Equity</t>
        </is>
      </c>
      <c r="U2" s="2" t="inlineStr">
        <is>
          <t>AMZN US Equity</t>
        </is>
      </c>
      <c r="AE2" s="2" t="inlineStr">
        <is>
          <t>1255173D US Equity</t>
        </is>
      </c>
      <c r="AO2" s="2" t="inlineStr">
        <is>
          <t>CNC US Equity</t>
        </is>
      </c>
      <c r="AY2" s="2" t="inlineStr">
        <is>
          <t>BHC CN Equity</t>
        </is>
      </c>
      <c r="BI2" s="2" t="inlineStr">
        <is>
          <t>COP US Equity</t>
        </is>
      </c>
      <c r="BS2" s="2" t="inlineStr">
        <is>
          <t>UNH US Equity</t>
        </is>
      </c>
      <c r="CC2" s="2" t="inlineStr">
        <is>
          <t>TDOC US Equity</t>
        </is>
      </c>
      <c r="CM2" s="2" t="inlineStr">
        <is>
          <t>SHLDQ US Equity</t>
        </is>
      </c>
      <c r="CW2" s="2" t="inlineStr">
        <is>
          <t>RSG US Equity</t>
        </is>
      </c>
      <c r="DG2" s="2" t="inlineStr">
        <is>
          <t>HPQ US Equity</t>
        </is>
      </c>
      <c r="DQ2" s="2" t="inlineStr">
        <is>
          <t>ETN US Equity</t>
        </is>
      </c>
      <c r="EA2" s="2" t="inlineStr">
        <is>
          <t>ADI US Equity</t>
        </is>
      </c>
      <c r="EK2" s="2" t="inlineStr">
        <is>
          <t>UNH US Equity</t>
        </is>
      </c>
      <c r="EU2" s="2" t="inlineStr">
        <is>
          <t>BX US Equity</t>
        </is>
      </c>
      <c r="FE2" s="2" t="inlineStr">
        <is>
          <t>CVX US Equity</t>
        </is>
      </c>
      <c r="FO2" s="2" t="inlineStr">
        <is>
          <t>KR US Equity</t>
        </is>
      </c>
      <c r="FY2" s="2" t="inlineStr">
        <is>
          <t>LUMN US Equity</t>
        </is>
      </c>
      <c r="GI2" s="2" t="inlineStr">
        <is>
          <t>IQV US Equity</t>
        </is>
      </c>
      <c r="GS2" s="2" t="inlineStr">
        <is>
          <t>1312089D US Equity</t>
        </is>
      </c>
      <c r="HC2" s="2" t="inlineStr">
        <is>
          <t>SLB US Equity</t>
        </is>
      </c>
      <c r="HM2" s="2" t="inlineStr">
        <is>
          <t>PLD US Equity</t>
        </is>
      </c>
      <c r="HW2" s="2" t="inlineStr">
        <is>
          <t>EXC US Equity</t>
        </is>
      </c>
      <c r="IG2" s="2" t="inlineStr">
        <is>
          <t>BDX US Equity</t>
        </is>
      </c>
      <c r="IQ2" s="2" t="inlineStr">
        <is>
          <t>TTWO US Equity</t>
        </is>
      </c>
      <c r="JA2" s="2" t="inlineStr">
        <is>
          <t>SO US Equity</t>
        </is>
      </c>
      <c r="JK2" s="2" t="inlineStr">
        <is>
          <t>BAX US Equity</t>
        </is>
      </c>
      <c r="JU2" s="2" t="inlineStr">
        <is>
          <t>JNJ US Equity</t>
        </is>
      </c>
      <c r="KE2" s="2" t="inlineStr">
        <is>
          <t>MO US Equity</t>
        </is>
      </c>
      <c r="KO2" s="2" t="inlineStr">
        <is>
          <t>nan Equity</t>
        </is>
      </c>
      <c r="KY2" s="2" t="inlineStr">
        <is>
          <t>nan Equity</t>
        </is>
      </c>
      <c r="LI2" s="2" t="inlineStr">
        <is>
          <t>WY US Equity</t>
        </is>
      </c>
      <c r="LS2" s="2" t="inlineStr">
        <is>
          <t>TRGP US Equity</t>
        </is>
      </c>
      <c r="MC2" s="2" t="inlineStr">
        <is>
          <t>TMO US Equity</t>
        </is>
      </c>
      <c r="MM2" s="2" t="inlineStr">
        <is>
          <t>BPYU US Equity</t>
        </is>
      </c>
      <c r="MW2" s="2" t="inlineStr">
        <is>
          <t>CVS US Equity</t>
        </is>
      </c>
      <c r="NG2" s="2" t="inlineStr">
        <is>
          <t>SHW US Equity</t>
        </is>
      </c>
      <c r="NQ2" s="2" t="inlineStr">
        <is>
          <t>TWO US Equity</t>
        </is>
      </c>
      <c r="OA2" s="2" t="inlineStr">
        <is>
          <t>TT US Equity</t>
        </is>
      </c>
    </row>
    <row r="3">
      <c r="A3" t="inlineStr">
        <is>
          <t>Ann: 2022-03-21</t>
        </is>
      </c>
      <c r="K3" t="inlineStr">
        <is>
          <t>Ann: 2000-06-25</t>
        </is>
      </c>
      <c r="U3" t="inlineStr">
        <is>
          <t>Ann: 2017-06-16</t>
        </is>
      </c>
      <c r="AE3" t="inlineStr">
        <is>
          <t>Ann: 2001-04-16</t>
        </is>
      </c>
      <c r="AO3" t="inlineStr">
        <is>
          <t>Ann: 2019-03-27</t>
        </is>
      </c>
      <c r="AY3" t="inlineStr">
        <is>
          <t>Ann: 2015-02-22</t>
        </is>
      </c>
      <c r="BI3" t="inlineStr">
        <is>
          <t>Ann: 2020-10-19</t>
        </is>
      </c>
      <c r="BS3" t="inlineStr">
        <is>
          <t>Ann: 2015-03-30</t>
        </is>
      </c>
      <c r="CC3" t="inlineStr">
        <is>
          <t>Ann: 2020-08-05</t>
        </is>
      </c>
      <c r="CM3" t="inlineStr">
        <is>
          <t>Ann: 2004-11-17</t>
        </is>
      </c>
      <c r="CW3" t="inlineStr">
        <is>
          <t>Ann: 2008-06-23</t>
        </is>
      </c>
      <c r="DG3" t="inlineStr">
        <is>
          <t>Ann: 2008-05-13</t>
        </is>
      </c>
      <c r="DQ3" t="inlineStr">
        <is>
          <t>Ann: 2012-05-21</t>
        </is>
      </c>
      <c r="EA3" t="inlineStr">
        <is>
          <t>Ann: 2016-07-26</t>
        </is>
      </c>
      <c r="EK3" t="inlineStr">
        <is>
          <t>Ann: 2021-01-06</t>
        </is>
      </c>
      <c r="EU3" t="inlineStr">
        <is>
          <t>Ann: 2022-04-19</t>
        </is>
      </c>
      <c r="FE3" t="inlineStr">
        <is>
          <t>Ann: 2020-07-20</t>
        </is>
      </c>
      <c r="FO3" t="inlineStr">
        <is>
          <t>Ann: 1998-10-18</t>
        </is>
      </c>
      <c r="FY3" t="inlineStr">
        <is>
          <t>Ann: 2008-10-27</t>
        </is>
      </c>
      <c r="GI3" t="inlineStr">
        <is>
          <t>Ann: 2016-05-03</t>
        </is>
      </c>
      <c r="GS3" t="inlineStr">
        <is>
          <t>Ann: 1998-08-03</t>
        </is>
      </c>
      <c r="HC3" t="inlineStr">
        <is>
          <t>Ann: 2010-02-21</t>
        </is>
      </c>
      <c r="HM3" t="inlineStr">
        <is>
          <t>Ann: 2019-10-27</t>
        </is>
      </c>
      <c r="HW3" t="inlineStr">
        <is>
          <t>Ann: 2014-04-30</t>
        </is>
      </c>
      <c r="IG3" t="inlineStr">
        <is>
          <t>Ann: 2014-10-05</t>
        </is>
      </c>
      <c r="IQ3" t="inlineStr">
        <is>
          <t>Ann: 2022-01-10</t>
        </is>
      </c>
      <c r="JA3" t="inlineStr">
        <is>
          <t>Ann: 2015-08-24</t>
        </is>
      </c>
      <c r="JK3" t="inlineStr">
        <is>
          <t>Ann: 2021-09-02</t>
        </is>
      </c>
      <c r="JU3" t="inlineStr">
        <is>
          <t>Ann: 2001-03-27</t>
        </is>
      </c>
      <c r="KE3" t="inlineStr">
        <is>
          <t>Ann: 2008-09-08</t>
        </is>
      </c>
      <c r="KO3" t="inlineStr">
        <is>
          <t>Ann: 2021-11-15</t>
        </is>
      </c>
      <c r="KY3" t="inlineStr">
        <is>
          <t>Ann: 2006-12-18</t>
        </is>
      </c>
      <c r="LI3" t="inlineStr">
        <is>
          <t>Ann: 2015-11-08</t>
        </is>
      </c>
      <c r="LS3" t="inlineStr">
        <is>
          <t>Ann: 2015-11-03</t>
        </is>
      </c>
      <c r="MC3" t="inlineStr">
        <is>
          <t>Ann: 2006-05-08</t>
        </is>
      </c>
      <c r="MM3" t="inlineStr">
        <is>
          <t>Ann: 2004-08-20</t>
        </is>
      </c>
      <c r="MW3" t="inlineStr">
        <is>
          <t>Ann: 2015-05-21</t>
        </is>
      </c>
      <c r="NG3" t="inlineStr">
        <is>
          <t>Ann: 2016-03-20</t>
        </is>
      </c>
      <c r="NQ3" t="inlineStr">
        <is>
          <t>Ann: 2018-04-26</t>
        </is>
      </c>
      <c r="OA3" t="inlineStr">
        <is>
          <t>Ann: 2007-12-17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BDS("BRK/A US Equity","SUPPLY_CHAIN_SUPPLIERS","RELATIONSHIP_AS_OF_DATE","20220321")</f>
        <v/>
      </c>
      <c r="F5">
        <f>BDS("BRK/A US Equity","SUPPLY_CHAIN_CUSTOMERS","RELATIONSHIP_AS_OF_DATE","20220321")</f>
        <v/>
      </c>
      <c r="K5">
        <f>BDS("RAI US Equity","SUPPLY_CHAIN_SUPPLIERS","RELATIONSHIP_AS_OF_DATE","20000625")</f>
        <v/>
      </c>
      <c r="P5">
        <f>BDS("RAI US Equity","SUPPLY_CHAIN_CUSTOMERS","RELATIONSHIP_AS_OF_DATE","20000625")</f>
        <v/>
      </c>
      <c r="U5">
        <f>BDS("AMZN US Equity","SUPPLY_CHAIN_SUPPLIERS","RELATIONSHIP_AS_OF_DATE","20170616")</f>
        <v/>
      </c>
      <c r="Z5">
        <f>BDS("AMZN US Equity","SUPPLY_CHAIN_CUSTOMERS","RELATIONSHIP_AS_OF_DATE","20170616")</f>
        <v/>
      </c>
      <c r="AE5">
        <f>BDS("1255173D US Equity","SUPPLY_CHAIN_SUPPLIERS","RELATIONSHIP_AS_OF_DATE","20010416")</f>
        <v/>
      </c>
      <c r="AJ5">
        <f>BDS("1255173D US Equity","SUPPLY_CHAIN_CUSTOMERS","RELATIONSHIP_AS_OF_DATE","20010416")</f>
        <v/>
      </c>
      <c r="AO5">
        <f>BDS("CNC US Equity","SUPPLY_CHAIN_SUPPLIERS","RELATIONSHIP_AS_OF_DATE","20190327")</f>
        <v/>
      </c>
      <c r="AT5">
        <f>BDS("CNC US Equity","SUPPLY_CHAIN_CUSTOMERS","RELATIONSHIP_AS_OF_DATE","20190327")</f>
        <v/>
      </c>
      <c r="AY5">
        <f>BDS("BHC CN Equity","SUPPLY_CHAIN_SUPPLIERS","RELATIONSHIP_AS_OF_DATE","20150222")</f>
        <v/>
      </c>
      <c r="BD5">
        <f>BDS("BHC CN Equity","SUPPLY_CHAIN_CUSTOMERS","RELATIONSHIP_AS_OF_DATE","20150222")</f>
        <v/>
      </c>
      <c r="BI5">
        <f>BDS("COP US Equity","SUPPLY_CHAIN_SUPPLIERS","RELATIONSHIP_AS_OF_DATE","20201019")</f>
        <v/>
      </c>
      <c r="BN5">
        <f>BDS("COP US Equity","SUPPLY_CHAIN_CUSTOMERS","RELATIONSHIP_AS_OF_DATE","20201019")</f>
        <v/>
      </c>
      <c r="BS5">
        <f>BDS("UNH US Equity","SUPPLY_CHAIN_SUPPLIERS","RELATIONSHIP_AS_OF_DATE","20150330")</f>
        <v/>
      </c>
      <c r="BX5">
        <f>BDS("UNH US Equity","SUPPLY_CHAIN_CUSTOMERS","RELATIONSHIP_AS_OF_DATE","20150330")</f>
        <v/>
      </c>
      <c r="CC5">
        <f>BDS("TDOC US Equity","SUPPLY_CHAIN_SUPPLIERS","RELATIONSHIP_AS_OF_DATE","20200805")</f>
        <v/>
      </c>
      <c r="CH5">
        <f>BDS("TDOC US Equity","SUPPLY_CHAIN_CUSTOMERS","RELATIONSHIP_AS_OF_DATE","20200805")</f>
        <v/>
      </c>
      <c r="CM5">
        <f>BDS("SHLDQ US Equity","SUPPLY_CHAIN_SUPPLIERS","RELATIONSHIP_AS_OF_DATE","20041117")</f>
        <v/>
      </c>
      <c r="CR5">
        <f>BDS("SHLDQ US Equity","SUPPLY_CHAIN_CUSTOMERS","RELATIONSHIP_AS_OF_DATE","20041117")</f>
        <v/>
      </c>
      <c r="CW5">
        <f>BDS("RSG US Equity","SUPPLY_CHAIN_SUPPLIERS","RELATIONSHIP_AS_OF_DATE","20080623")</f>
        <v/>
      </c>
      <c r="DB5">
        <f>BDS("RSG US Equity","SUPPLY_CHAIN_CUSTOMERS","RELATIONSHIP_AS_OF_DATE","20080623")</f>
        <v/>
      </c>
      <c r="DG5">
        <f>BDS("HPQ US Equity","SUPPLY_CHAIN_SUPPLIERS","RELATIONSHIP_AS_OF_DATE","20080513")</f>
        <v/>
      </c>
      <c r="DL5">
        <f>BDS("HPQ US Equity","SUPPLY_CHAIN_CUSTOMERS","RELATIONSHIP_AS_OF_DATE","20080513")</f>
        <v/>
      </c>
      <c r="DQ5">
        <f>BDS("ETN US Equity","SUPPLY_CHAIN_SUPPLIERS","RELATIONSHIP_AS_OF_DATE","20120521")</f>
        <v/>
      </c>
      <c r="DV5">
        <f>BDS("ETN US Equity","SUPPLY_CHAIN_CUSTOMERS","RELATIONSHIP_AS_OF_DATE","20120521")</f>
        <v/>
      </c>
      <c r="EA5">
        <f>BDS("ADI US Equity","SUPPLY_CHAIN_SUPPLIERS","RELATIONSHIP_AS_OF_DATE","20160726")</f>
        <v/>
      </c>
      <c r="EF5">
        <f>BDS("ADI US Equity","SUPPLY_CHAIN_CUSTOMERS","RELATIONSHIP_AS_OF_DATE","20160726")</f>
        <v/>
      </c>
      <c r="EK5">
        <f>BDS("UNH US Equity","SUPPLY_CHAIN_SUPPLIERS","RELATIONSHIP_AS_OF_DATE","20210106")</f>
        <v/>
      </c>
      <c r="EP5">
        <f>BDS("UNH US Equity","SUPPLY_CHAIN_CUSTOMERS","RELATIONSHIP_AS_OF_DATE","20210106")</f>
        <v/>
      </c>
      <c r="EU5">
        <f>BDS("BX US Equity","SUPPLY_CHAIN_SUPPLIERS","RELATIONSHIP_AS_OF_DATE","20220419")</f>
        <v/>
      </c>
      <c r="EZ5">
        <f>BDS("BX US Equity","SUPPLY_CHAIN_CUSTOMERS","RELATIONSHIP_AS_OF_DATE","20220419")</f>
        <v/>
      </c>
      <c r="FE5">
        <f>BDS("CVX US Equity","SUPPLY_CHAIN_SUPPLIERS","RELATIONSHIP_AS_OF_DATE","20200720")</f>
        <v/>
      </c>
      <c r="FJ5">
        <f>BDS("CVX US Equity","SUPPLY_CHAIN_CUSTOMERS","RELATIONSHIP_AS_OF_DATE","20200720")</f>
        <v/>
      </c>
      <c r="FO5">
        <f>BDS("KR US Equity","SUPPLY_CHAIN_SUPPLIERS","RELATIONSHIP_AS_OF_DATE","19981018")</f>
        <v/>
      </c>
      <c r="FT5">
        <f>BDS("KR US Equity","SUPPLY_CHAIN_CUSTOMERS","RELATIONSHIP_AS_OF_DATE","19981018")</f>
        <v/>
      </c>
      <c r="FY5">
        <f>BDS("LUMN US Equity","SUPPLY_CHAIN_SUPPLIERS","RELATIONSHIP_AS_OF_DATE","20081027")</f>
        <v/>
      </c>
      <c r="GD5">
        <f>BDS("LUMN US Equity","SUPPLY_CHAIN_CUSTOMERS","RELATIONSHIP_AS_OF_DATE","20081027")</f>
        <v/>
      </c>
      <c r="GI5">
        <f>BDS("IQV US Equity","SUPPLY_CHAIN_SUPPLIERS","RELATIONSHIP_AS_OF_DATE","20160503")</f>
        <v/>
      </c>
      <c r="GN5">
        <f>BDS("IQV US Equity","SUPPLY_CHAIN_CUSTOMERS","RELATIONSHIP_AS_OF_DATE","20160503")</f>
        <v/>
      </c>
      <c r="GS5">
        <f>BDS("1312089D US Equity","SUPPLY_CHAIN_SUPPLIERS","RELATIONSHIP_AS_OF_DATE","19980803")</f>
        <v/>
      </c>
      <c r="GX5">
        <f>BDS("1312089D US Equity","SUPPLY_CHAIN_CUSTOMERS","RELATIONSHIP_AS_OF_DATE","19980803")</f>
        <v/>
      </c>
      <c r="HC5">
        <f>BDS("SLB US Equity","SUPPLY_CHAIN_SUPPLIERS","RELATIONSHIP_AS_OF_DATE","20100221")</f>
        <v/>
      </c>
      <c r="HH5">
        <f>BDS("SLB US Equity","SUPPLY_CHAIN_CUSTOMERS","RELATIONSHIP_AS_OF_DATE","20100221")</f>
        <v/>
      </c>
      <c r="HM5">
        <f>BDS("PLD US Equity","SUPPLY_CHAIN_SUPPLIERS","RELATIONSHIP_AS_OF_DATE","20191027")</f>
        <v/>
      </c>
      <c r="HR5">
        <f>BDS("PLD US Equity","SUPPLY_CHAIN_CUSTOMERS","RELATIONSHIP_AS_OF_DATE","20191027")</f>
        <v/>
      </c>
      <c r="HW5">
        <f>BDS("EXC US Equity","SUPPLY_CHAIN_SUPPLIERS","RELATIONSHIP_AS_OF_DATE","20140430")</f>
        <v/>
      </c>
      <c r="IB5">
        <f>BDS("EXC US Equity","SUPPLY_CHAIN_CUSTOMERS","RELATIONSHIP_AS_OF_DATE","20140430")</f>
        <v/>
      </c>
      <c r="IG5">
        <f>BDS("BDX US Equity","SUPPLY_CHAIN_SUPPLIERS","RELATIONSHIP_AS_OF_DATE","20141005")</f>
        <v/>
      </c>
      <c r="IL5">
        <f>BDS("BDX US Equity","SUPPLY_CHAIN_CUSTOMERS","RELATIONSHIP_AS_OF_DATE","20141005")</f>
        <v/>
      </c>
      <c r="IQ5">
        <f>BDS("TTWO US Equity","SUPPLY_CHAIN_SUPPLIERS","RELATIONSHIP_AS_OF_DATE","20220110")</f>
        <v/>
      </c>
      <c r="IV5">
        <f>BDS("TTWO US Equity","SUPPLY_CHAIN_CUSTOMERS","RELATIONSHIP_AS_OF_DATE","20220110")</f>
        <v/>
      </c>
      <c r="JA5">
        <f>BDS("SO US Equity","SUPPLY_CHAIN_SUPPLIERS","RELATIONSHIP_AS_OF_DATE","20150824")</f>
        <v/>
      </c>
      <c r="JF5">
        <f>BDS("SO US Equity","SUPPLY_CHAIN_CUSTOMERS","RELATIONSHIP_AS_OF_DATE","20150824")</f>
        <v/>
      </c>
      <c r="JK5">
        <f>BDS("BAX US Equity","SUPPLY_CHAIN_SUPPLIERS","RELATIONSHIP_AS_OF_DATE","20210902")</f>
        <v/>
      </c>
      <c r="JP5">
        <f>BDS("BAX US Equity","SUPPLY_CHAIN_CUSTOMERS","RELATIONSHIP_AS_OF_DATE","20210902")</f>
        <v/>
      </c>
      <c r="JU5">
        <f>BDS("JNJ US Equity","SUPPLY_CHAIN_SUPPLIERS","RELATIONSHIP_AS_OF_DATE","20010327")</f>
        <v/>
      </c>
      <c r="JZ5">
        <f>BDS("JNJ US Equity","SUPPLY_CHAIN_CUSTOMERS","RELATIONSHIP_AS_OF_DATE","20010327")</f>
        <v/>
      </c>
      <c r="KE5">
        <f>BDS("MO US Equity","SUPPLY_CHAIN_SUPPLIERS","RELATIONSHIP_AS_OF_DATE","20080908")</f>
        <v/>
      </c>
      <c r="KJ5">
        <f>BDS("MO US Equity","SUPPLY_CHAIN_CUSTOMERS","RELATIONSHIP_AS_OF_DATE","20080908")</f>
        <v/>
      </c>
      <c r="KO5">
        <f>BDS("nan Equity","SUPPLY_CHAIN_SUPPLIERS","RELATIONSHIP_AS_OF_DATE","20211115")</f>
        <v/>
      </c>
      <c r="KT5">
        <f>BDS("nan Equity","SUPPLY_CHAIN_CUSTOMERS","RELATIONSHIP_AS_OF_DATE","20211115")</f>
        <v/>
      </c>
      <c r="KY5">
        <f>BDS("nan Equity","SUPPLY_CHAIN_SUPPLIERS","RELATIONSHIP_AS_OF_DATE","20061218")</f>
        <v/>
      </c>
      <c r="LD5">
        <f>BDS("nan Equity","SUPPLY_CHAIN_CUSTOMERS","RELATIONSHIP_AS_OF_DATE","20061218")</f>
        <v/>
      </c>
      <c r="LI5">
        <f>BDS("WY US Equity","SUPPLY_CHAIN_SUPPLIERS","RELATIONSHIP_AS_OF_DATE","20151108")</f>
        <v/>
      </c>
      <c r="LN5">
        <f>BDS("WY US Equity","SUPPLY_CHAIN_CUSTOMERS","RELATIONSHIP_AS_OF_DATE","20151108")</f>
        <v/>
      </c>
      <c r="LS5">
        <f>BDS("TRGP US Equity","SUPPLY_CHAIN_SUPPLIERS","RELATIONSHIP_AS_OF_DATE","20151103")</f>
        <v/>
      </c>
      <c r="LX5">
        <f>BDS("TRGP US Equity","SUPPLY_CHAIN_CUSTOMERS","RELATIONSHIP_AS_OF_DATE","20151103")</f>
        <v/>
      </c>
      <c r="MC5">
        <f>BDS("TMO US Equity","SUPPLY_CHAIN_SUPPLIERS","RELATIONSHIP_AS_OF_DATE","20060508")</f>
        <v/>
      </c>
      <c r="MH5">
        <f>BDS("TMO US Equity","SUPPLY_CHAIN_CUSTOMERS","RELATIONSHIP_AS_OF_DATE","20060508")</f>
        <v/>
      </c>
      <c r="MM5">
        <f>BDS("BPYU US Equity","SUPPLY_CHAIN_SUPPLIERS","RELATIONSHIP_AS_OF_DATE","20040820")</f>
        <v/>
      </c>
      <c r="MR5">
        <f>BDS("BPYU US Equity","SUPPLY_CHAIN_CUSTOMERS","RELATIONSHIP_AS_OF_DATE","20040820")</f>
        <v/>
      </c>
      <c r="MW5">
        <f>BDS("CVS US Equity","SUPPLY_CHAIN_SUPPLIERS","RELATIONSHIP_AS_OF_DATE","20150521")</f>
        <v/>
      </c>
      <c r="NB5">
        <f>BDS("CVS US Equity","SUPPLY_CHAIN_CUSTOMERS","RELATIONSHIP_AS_OF_DATE","20150521")</f>
        <v/>
      </c>
      <c r="NG5">
        <f>BDS("SHW US Equity","SUPPLY_CHAIN_SUPPLIERS","RELATIONSHIP_AS_OF_DATE","20160320")</f>
        <v/>
      </c>
      <c r="NL5">
        <f>BDS("SHW US Equity","SUPPLY_CHAIN_CUSTOMERS","RELATIONSHIP_AS_OF_DATE","20160320")</f>
        <v/>
      </c>
      <c r="NQ5">
        <f>BDS("TWO US Equity","SUPPLY_CHAIN_SUPPLIERS","RELATIONSHIP_AS_OF_DATE","20180426")</f>
        <v/>
      </c>
      <c r="NV5">
        <f>BDS("TWO US Equity","SUPPLY_CHAIN_CUSTOMERS","RELATIONSHIP_AS_OF_DATE","20180426")</f>
        <v/>
      </c>
      <c r="OA5">
        <f>BDS("TT US Equity","SUPPLY_CHAIN_SUPPLIERS","RELATIONSHIP_AS_OF_DATE","20071217")</f>
        <v/>
      </c>
      <c r="OF5">
        <f>BDS("TT US Equity","SUPPLY_CHAIN_CUSTOMERS","RELATIONSHIP_AS_OF_DATE","20071217")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201</t>
        </is>
      </c>
      <c r="K1" s="1" t="inlineStr">
        <is>
          <t>Deal 202</t>
        </is>
      </c>
      <c r="U1" s="1" t="inlineStr">
        <is>
          <t>Deal 203</t>
        </is>
      </c>
      <c r="AE1" s="1" t="inlineStr">
        <is>
          <t>Deal 204</t>
        </is>
      </c>
      <c r="AO1" s="1" t="inlineStr">
        <is>
          <t>Deal 205</t>
        </is>
      </c>
      <c r="AY1" s="1" t="inlineStr">
        <is>
          <t>Deal 206</t>
        </is>
      </c>
      <c r="BI1" s="1" t="inlineStr">
        <is>
          <t>Deal 207</t>
        </is>
      </c>
      <c r="BS1" s="1" t="inlineStr">
        <is>
          <t>Deal 208</t>
        </is>
      </c>
      <c r="CC1" s="1" t="inlineStr">
        <is>
          <t>Deal 209</t>
        </is>
      </c>
      <c r="CM1" s="1" t="inlineStr">
        <is>
          <t>Deal 210</t>
        </is>
      </c>
      <c r="CW1" s="1" t="inlineStr">
        <is>
          <t>Deal 211</t>
        </is>
      </c>
      <c r="DG1" s="1" t="inlineStr">
        <is>
          <t>Deal 212</t>
        </is>
      </c>
      <c r="DQ1" s="1" t="inlineStr">
        <is>
          <t>Deal 213</t>
        </is>
      </c>
      <c r="EA1" s="1" t="inlineStr">
        <is>
          <t>Deal 214</t>
        </is>
      </c>
      <c r="EK1" s="1" t="inlineStr">
        <is>
          <t>Deal 215</t>
        </is>
      </c>
      <c r="EU1" s="1" t="inlineStr">
        <is>
          <t>Deal 216</t>
        </is>
      </c>
      <c r="FE1" s="1" t="inlineStr">
        <is>
          <t>Deal 217</t>
        </is>
      </c>
      <c r="FO1" s="1" t="inlineStr">
        <is>
          <t>Deal 218</t>
        </is>
      </c>
      <c r="FY1" s="1" t="inlineStr">
        <is>
          <t>Deal 219</t>
        </is>
      </c>
      <c r="GI1" s="1" t="inlineStr">
        <is>
          <t>Deal 220</t>
        </is>
      </c>
      <c r="GS1" s="1" t="inlineStr">
        <is>
          <t>Deal 221</t>
        </is>
      </c>
      <c r="HC1" s="1" t="inlineStr">
        <is>
          <t>Deal 222</t>
        </is>
      </c>
      <c r="HM1" s="1" t="inlineStr">
        <is>
          <t>Deal 223</t>
        </is>
      </c>
      <c r="HW1" s="1" t="inlineStr">
        <is>
          <t>Deal 224</t>
        </is>
      </c>
      <c r="IG1" s="1" t="inlineStr">
        <is>
          <t>Deal 225</t>
        </is>
      </c>
      <c r="IQ1" s="1" t="inlineStr">
        <is>
          <t>Deal 226</t>
        </is>
      </c>
      <c r="JA1" s="1" t="inlineStr">
        <is>
          <t>Deal 227</t>
        </is>
      </c>
      <c r="JK1" s="1" t="inlineStr">
        <is>
          <t>Deal 228</t>
        </is>
      </c>
      <c r="JU1" s="1" t="inlineStr">
        <is>
          <t>Deal 229</t>
        </is>
      </c>
      <c r="KE1" s="1" t="inlineStr">
        <is>
          <t>Deal 230</t>
        </is>
      </c>
      <c r="KO1" s="1" t="inlineStr">
        <is>
          <t>Deal 231</t>
        </is>
      </c>
      <c r="KY1" s="1" t="inlineStr">
        <is>
          <t>Deal 232</t>
        </is>
      </c>
      <c r="LI1" s="1" t="inlineStr">
        <is>
          <t>Deal 233</t>
        </is>
      </c>
      <c r="LS1" s="1" t="inlineStr">
        <is>
          <t>Deal 234</t>
        </is>
      </c>
      <c r="MC1" s="1" t="inlineStr">
        <is>
          <t>Deal 235</t>
        </is>
      </c>
      <c r="MM1" s="1" t="inlineStr">
        <is>
          <t>Deal 236</t>
        </is>
      </c>
      <c r="MW1" s="1" t="inlineStr">
        <is>
          <t>Deal 237</t>
        </is>
      </c>
      <c r="NG1" s="1" t="inlineStr">
        <is>
          <t>Deal 238</t>
        </is>
      </c>
      <c r="NQ1" s="1" t="inlineStr">
        <is>
          <t>Deal 239</t>
        </is>
      </c>
      <c r="OA1" s="1" t="inlineStr">
        <is>
          <t>Deal 240</t>
        </is>
      </c>
    </row>
    <row r="2">
      <c r="A2" s="2" t="inlineStr">
        <is>
          <t>1825471D US Equity</t>
        </is>
      </c>
      <c r="K2" s="2" t="inlineStr">
        <is>
          <t>HD US Equity</t>
        </is>
      </c>
      <c r="U2" s="2" t="inlineStr">
        <is>
          <t>USB US Equity</t>
        </is>
      </c>
      <c r="AE2" s="2" t="inlineStr">
        <is>
          <t>BMY US Equity</t>
        </is>
      </c>
      <c r="AO2" s="2" t="inlineStr">
        <is>
          <t>PFE US Equity</t>
        </is>
      </c>
      <c r="AY2" s="2" t="inlineStr">
        <is>
          <t>MRK US Equity</t>
        </is>
      </c>
      <c r="BI2" s="2" t="inlineStr">
        <is>
          <t>LBRDA US Equity</t>
        </is>
      </c>
      <c r="BS2" s="2" t="inlineStr">
        <is>
          <t>FE US Equity</t>
        </is>
      </c>
      <c r="CC2" s="2" t="inlineStr">
        <is>
          <t>CAG US Equity</t>
        </is>
      </c>
      <c r="CM2" s="2" t="inlineStr">
        <is>
          <t>KMI US Equity</t>
        </is>
      </c>
      <c r="CW2" s="2" t="inlineStr">
        <is>
          <t>GILD US Equity</t>
        </is>
      </c>
      <c r="DG2" s="2" t="inlineStr">
        <is>
          <t>nan Equity</t>
        </is>
      </c>
      <c r="DQ2" s="2" t="inlineStr">
        <is>
          <t>VST US Equity</t>
        </is>
      </c>
      <c r="EA2" s="2" t="inlineStr">
        <is>
          <t>653707Q US Equity</t>
        </is>
      </c>
      <c r="EK2" s="2" t="inlineStr">
        <is>
          <t>PFE US Equity</t>
        </is>
      </c>
      <c r="EU2" s="2" t="inlineStr">
        <is>
          <t>680884Q US Equity</t>
        </is>
      </c>
      <c r="FE2" s="2" t="inlineStr">
        <is>
          <t>MS US Equity</t>
        </is>
      </c>
      <c r="FO2" s="2" t="inlineStr">
        <is>
          <t>nan Equity</t>
        </is>
      </c>
      <c r="FY2" s="2" t="inlineStr">
        <is>
          <t>BRK/A US Equity</t>
        </is>
      </c>
      <c r="GI2" s="2" t="inlineStr">
        <is>
          <t>ICE US Equity</t>
        </is>
      </c>
      <c r="GS2" s="2" t="inlineStr">
        <is>
          <t>355488Q US Equity</t>
        </is>
      </c>
      <c r="HC2" s="2" t="inlineStr">
        <is>
          <t>KMI US Equity</t>
        </is>
      </c>
      <c r="HM2" s="2" t="inlineStr">
        <is>
          <t>AMZN US Equity</t>
        </is>
      </c>
      <c r="HW2" s="2" t="inlineStr">
        <is>
          <t>ENLC US Equity</t>
        </is>
      </c>
      <c r="IG2" s="2" t="inlineStr">
        <is>
          <t>MPLX US Equity</t>
        </is>
      </c>
      <c r="IQ2" s="2" t="inlineStr">
        <is>
          <t>FCX US Equity</t>
        </is>
      </c>
      <c r="JA2" s="2" t="inlineStr">
        <is>
          <t>RF US Equity</t>
        </is>
      </c>
      <c r="JK2" s="2" t="inlineStr">
        <is>
          <t>EXC US Equity</t>
        </is>
      </c>
      <c r="JU2" s="2" t="inlineStr">
        <is>
          <t>GILD US Equity</t>
        </is>
      </c>
      <c r="KE2" s="2" t="inlineStr">
        <is>
          <t>DBRG US Equity</t>
        </is>
      </c>
      <c r="KO2" s="2" t="inlineStr">
        <is>
          <t>PEP US Equity</t>
        </is>
      </c>
      <c r="KY2" s="2" t="inlineStr">
        <is>
          <t>1377Q US Equity</t>
        </is>
      </c>
      <c r="LI2" s="2" t="inlineStr">
        <is>
          <t>WMB US Equity</t>
        </is>
      </c>
      <c r="LS2" s="2" t="inlineStr">
        <is>
          <t>AW US Equity</t>
        </is>
      </c>
      <c r="MC2" s="2" t="inlineStr">
        <is>
          <t>IP US Equity</t>
        </is>
      </c>
      <c r="MM2" s="2" t="inlineStr">
        <is>
          <t>VER US Equity</t>
        </is>
      </c>
      <c r="MW2" s="2" t="inlineStr">
        <is>
          <t>MCHP US Equity</t>
        </is>
      </c>
      <c r="NG2" s="2" t="inlineStr">
        <is>
          <t>2499073D US Equity</t>
        </is>
      </c>
      <c r="NQ2" s="2" t="inlineStr">
        <is>
          <t>RHDCQ US Equity</t>
        </is>
      </c>
      <c r="OA2" s="2" t="inlineStr">
        <is>
          <t>1813626D US Equity</t>
        </is>
      </c>
    </row>
    <row r="3">
      <c r="A3" t="inlineStr">
        <is>
          <t>Ann: 2000-07-17</t>
        </is>
      </c>
      <c r="K3" t="inlineStr">
        <is>
          <t>Ann: 2020-11-16</t>
        </is>
      </c>
      <c r="U3" t="inlineStr">
        <is>
          <t>Ann: 1999-05-03</t>
        </is>
      </c>
      <c r="AE3" t="inlineStr">
        <is>
          <t>Ann: 2020-10-05</t>
        </is>
      </c>
      <c r="AO3" t="inlineStr">
        <is>
          <t>Ann: 2019-06-17</t>
        </is>
      </c>
      <c r="AY3" t="inlineStr">
        <is>
          <t>Ann: 2021-09-30</t>
        </is>
      </c>
      <c r="BI3" t="inlineStr">
        <is>
          <t>Ann: 2020-08-06</t>
        </is>
      </c>
      <c r="BS3" t="inlineStr">
        <is>
          <t>Ann: 2000-08-08</t>
        </is>
      </c>
      <c r="CC3" t="inlineStr">
        <is>
          <t>Ann: 2018-06-27</t>
        </is>
      </c>
      <c r="CM3" t="inlineStr">
        <is>
          <t>Ann: 2014-08-10</t>
        </is>
      </c>
      <c r="CW3" t="inlineStr">
        <is>
          <t>Ann: 2011-11-21</t>
        </is>
      </c>
      <c r="DG3" t="inlineStr">
        <is>
          <t>Ann: 2005-03-28</t>
        </is>
      </c>
      <c r="DQ3" t="inlineStr">
        <is>
          <t>Ann: 2017-10-30</t>
        </is>
      </c>
      <c r="EA3" t="inlineStr">
        <is>
          <t>Ann: 1998-01-08</t>
        </is>
      </c>
      <c r="EK3" t="inlineStr">
        <is>
          <t>Ann: 2022-05-10</t>
        </is>
      </c>
      <c r="EU3" t="inlineStr">
        <is>
          <t>Ann: 1998-01-26</t>
        </is>
      </c>
      <c r="FE3" t="inlineStr">
        <is>
          <t>Ann: 1997-02-05</t>
        </is>
      </c>
      <c r="FO3" t="inlineStr">
        <is>
          <t>Ann: 2019-02-04</t>
        </is>
      </c>
      <c r="FY3" t="inlineStr">
        <is>
          <t>Ann: 2013-05-29</t>
        </is>
      </c>
      <c r="GI3" t="inlineStr">
        <is>
          <t>Ann: 2012-12-20</t>
        </is>
      </c>
      <c r="GS3" t="inlineStr">
        <is>
          <t>Ann: 2004-01-23</t>
        </is>
      </c>
      <c r="HC3" t="inlineStr">
        <is>
          <t>Ann: 2014-08-10</t>
        </is>
      </c>
      <c r="HM3" t="inlineStr">
        <is>
          <t>Ann: 2021-05-26</t>
        </is>
      </c>
      <c r="HW3" t="inlineStr">
        <is>
          <t>Ann: 2018-10-22</t>
        </is>
      </c>
      <c r="IG3" t="inlineStr">
        <is>
          <t>Ann: 2019-05-08</t>
        </is>
      </c>
      <c r="IQ3" t="inlineStr">
        <is>
          <t>Ann: 2012-12-05</t>
        </is>
      </c>
      <c r="JA3" t="inlineStr">
        <is>
          <t>Ann: 2006-05-25</t>
        </is>
      </c>
      <c r="JK3" t="inlineStr">
        <is>
          <t>Ann: 2011-04-28</t>
        </is>
      </c>
      <c r="JU3" t="inlineStr">
        <is>
          <t>Ann: 2017-08-28</t>
        </is>
      </c>
      <c r="KE3" t="inlineStr">
        <is>
          <t>Ann: 2016-06-03</t>
        </is>
      </c>
      <c r="KO3" t="inlineStr">
        <is>
          <t>Ann: 2009-04-20</t>
        </is>
      </c>
      <c r="KY3" t="inlineStr">
        <is>
          <t>Ann: 1994-08-30</t>
        </is>
      </c>
      <c r="LI3" t="inlineStr">
        <is>
          <t>Ann: 2018-05-17</t>
        </is>
      </c>
      <c r="LS3" t="inlineStr">
        <is>
          <t>Ann: 1999-03-08</t>
        </is>
      </c>
      <c r="MC3" t="inlineStr">
        <is>
          <t>Ann: 2000-04-25</t>
        </is>
      </c>
      <c r="MM3" t="inlineStr">
        <is>
          <t>Ann: 2013-10-23</t>
        </is>
      </c>
      <c r="MW3" t="inlineStr">
        <is>
          <t>Ann: 2018-03-01</t>
        </is>
      </c>
      <c r="NG3" t="inlineStr">
        <is>
          <t>Ann: 2016-03-21</t>
        </is>
      </c>
      <c r="NQ3" t="inlineStr">
        <is>
          <t>Ann: 2005-10-03</t>
        </is>
      </c>
      <c r="OA3" t="inlineStr">
        <is>
          <t>Ann: 2015-01-26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BDS("1825471D US Equity","SUPPLY_CHAIN_SUPPLIERS","RELATIONSHIP_AS_OF_DATE","20000717")</f>
        <v/>
      </c>
      <c r="F5">
        <f>BDS("1825471D US Equity","SUPPLY_CHAIN_CUSTOMERS","RELATIONSHIP_AS_OF_DATE","20000717")</f>
        <v/>
      </c>
      <c r="K5">
        <f>BDS("HD US Equity","SUPPLY_CHAIN_SUPPLIERS","RELATIONSHIP_AS_OF_DATE","20201116")</f>
        <v/>
      </c>
      <c r="P5">
        <f>BDS("HD US Equity","SUPPLY_CHAIN_CUSTOMERS","RELATIONSHIP_AS_OF_DATE","20201116")</f>
        <v/>
      </c>
      <c r="U5">
        <f>BDS("USB US Equity","SUPPLY_CHAIN_SUPPLIERS","RELATIONSHIP_AS_OF_DATE","19990503")</f>
        <v/>
      </c>
      <c r="Z5">
        <f>BDS("USB US Equity","SUPPLY_CHAIN_CUSTOMERS","RELATIONSHIP_AS_OF_DATE","19990503")</f>
        <v/>
      </c>
      <c r="AE5">
        <f>BDS("BMY US Equity","SUPPLY_CHAIN_SUPPLIERS","RELATIONSHIP_AS_OF_DATE","20201005")</f>
        <v/>
      </c>
      <c r="AJ5">
        <f>BDS("BMY US Equity","SUPPLY_CHAIN_CUSTOMERS","RELATIONSHIP_AS_OF_DATE","20201005")</f>
        <v/>
      </c>
      <c r="AO5">
        <f>BDS("PFE US Equity","SUPPLY_CHAIN_SUPPLIERS","RELATIONSHIP_AS_OF_DATE","20190617")</f>
        <v/>
      </c>
      <c r="AT5">
        <f>BDS("PFE US Equity","SUPPLY_CHAIN_CUSTOMERS","RELATIONSHIP_AS_OF_DATE","20190617")</f>
        <v/>
      </c>
      <c r="AY5">
        <f>BDS("MRK US Equity","SUPPLY_CHAIN_SUPPLIERS","RELATIONSHIP_AS_OF_DATE","20210930")</f>
        <v/>
      </c>
      <c r="BD5">
        <f>BDS("MRK US Equity","SUPPLY_CHAIN_CUSTOMERS","RELATIONSHIP_AS_OF_DATE","20210930")</f>
        <v/>
      </c>
      <c r="BI5">
        <f>BDS("LBRDA US Equity","SUPPLY_CHAIN_SUPPLIERS","RELATIONSHIP_AS_OF_DATE","20200806")</f>
        <v/>
      </c>
      <c r="BN5">
        <f>BDS("LBRDA US Equity","SUPPLY_CHAIN_CUSTOMERS","RELATIONSHIP_AS_OF_DATE","20200806")</f>
        <v/>
      </c>
      <c r="BS5">
        <f>BDS("FE US Equity","SUPPLY_CHAIN_SUPPLIERS","RELATIONSHIP_AS_OF_DATE","20000808")</f>
        <v/>
      </c>
      <c r="BX5">
        <f>BDS("FE US Equity","SUPPLY_CHAIN_CUSTOMERS","RELATIONSHIP_AS_OF_DATE","20000808")</f>
        <v/>
      </c>
      <c r="CC5">
        <f>BDS("CAG US Equity","SUPPLY_CHAIN_SUPPLIERS","RELATIONSHIP_AS_OF_DATE","20180627")</f>
        <v/>
      </c>
      <c r="CH5">
        <f>BDS("CAG US Equity","SUPPLY_CHAIN_CUSTOMERS","RELATIONSHIP_AS_OF_DATE","20180627")</f>
        <v/>
      </c>
      <c r="CM5">
        <f>BDS("KMI US Equity","SUPPLY_CHAIN_SUPPLIERS","RELATIONSHIP_AS_OF_DATE","20140810")</f>
        <v/>
      </c>
      <c r="CR5">
        <f>BDS("KMI US Equity","SUPPLY_CHAIN_CUSTOMERS","RELATIONSHIP_AS_OF_DATE","20140810")</f>
        <v/>
      </c>
      <c r="CW5">
        <f>BDS("GILD US Equity","SUPPLY_CHAIN_SUPPLIERS","RELATIONSHIP_AS_OF_DATE","20111121")</f>
        <v/>
      </c>
      <c r="DB5">
        <f>BDS("GILD US Equity","SUPPLY_CHAIN_CUSTOMERS","RELATIONSHIP_AS_OF_DATE","20111121")</f>
        <v/>
      </c>
      <c r="DG5">
        <f>BDS("nan Equity","SUPPLY_CHAIN_SUPPLIERS","RELATIONSHIP_AS_OF_DATE","20050328")</f>
        <v/>
      </c>
      <c r="DL5">
        <f>BDS("nan Equity","SUPPLY_CHAIN_CUSTOMERS","RELATIONSHIP_AS_OF_DATE","20050328")</f>
        <v/>
      </c>
      <c r="DQ5">
        <f>BDS("VST US Equity","SUPPLY_CHAIN_SUPPLIERS","RELATIONSHIP_AS_OF_DATE","20171030")</f>
        <v/>
      </c>
      <c r="DV5">
        <f>BDS("VST US Equity","SUPPLY_CHAIN_CUSTOMERS","RELATIONSHIP_AS_OF_DATE","20171030")</f>
        <v/>
      </c>
      <c r="EA5">
        <f>BDS("653707Q US Equity","SUPPLY_CHAIN_SUPPLIERS","RELATIONSHIP_AS_OF_DATE","19980108")</f>
        <v/>
      </c>
      <c r="EF5">
        <f>BDS("653707Q US Equity","SUPPLY_CHAIN_CUSTOMERS","RELATIONSHIP_AS_OF_DATE","19980108")</f>
        <v/>
      </c>
      <c r="EK5">
        <f>BDS("PFE US Equity","SUPPLY_CHAIN_SUPPLIERS","RELATIONSHIP_AS_OF_DATE","20220510")</f>
        <v/>
      </c>
      <c r="EP5">
        <f>BDS("PFE US Equity","SUPPLY_CHAIN_CUSTOMERS","RELATIONSHIP_AS_OF_DATE","20220510")</f>
        <v/>
      </c>
      <c r="EU5">
        <f>BDS("680884Q US Equity","SUPPLY_CHAIN_SUPPLIERS","RELATIONSHIP_AS_OF_DATE","19980126")</f>
        <v/>
      </c>
      <c r="EZ5">
        <f>BDS("680884Q US Equity","SUPPLY_CHAIN_CUSTOMERS","RELATIONSHIP_AS_OF_DATE","19980126")</f>
        <v/>
      </c>
      <c r="FE5">
        <f>BDS("MS US Equity","SUPPLY_CHAIN_SUPPLIERS","RELATIONSHIP_AS_OF_DATE","19970205")</f>
        <v/>
      </c>
      <c r="FJ5">
        <f>BDS("MS US Equity","SUPPLY_CHAIN_CUSTOMERS","RELATIONSHIP_AS_OF_DATE","19970205")</f>
        <v/>
      </c>
      <c r="FO5">
        <f>BDS("nan Equity","SUPPLY_CHAIN_SUPPLIERS","RELATIONSHIP_AS_OF_DATE","20190204")</f>
        <v/>
      </c>
      <c r="FT5">
        <f>BDS("nan Equity","SUPPLY_CHAIN_CUSTOMERS","RELATIONSHIP_AS_OF_DATE","20190204")</f>
        <v/>
      </c>
      <c r="FY5">
        <f>BDS("BRK/A US Equity","SUPPLY_CHAIN_SUPPLIERS","RELATIONSHIP_AS_OF_DATE","20130529")</f>
        <v/>
      </c>
      <c r="GD5">
        <f>BDS("BRK/A US Equity","SUPPLY_CHAIN_CUSTOMERS","RELATIONSHIP_AS_OF_DATE","20130529")</f>
        <v/>
      </c>
      <c r="GI5">
        <f>BDS("ICE US Equity","SUPPLY_CHAIN_SUPPLIERS","RELATIONSHIP_AS_OF_DATE","20121220")</f>
        <v/>
      </c>
      <c r="GN5">
        <f>BDS("ICE US Equity","SUPPLY_CHAIN_CUSTOMERS","RELATIONSHIP_AS_OF_DATE","20121220")</f>
        <v/>
      </c>
      <c r="GS5">
        <f>BDS("355488Q US Equity","SUPPLY_CHAIN_SUPPLIERS","RELATIONSHIP_AS_OF_DATE","20040123")</f>
        <v/>
      </c>
      <c r="GX5">
        <f>BDS("355488Q US Equity","SUPPLY_CHAIN_CUSTOMERS","RELATIONSHIP_AS_OF_DATE","20040123")</f>
        <v/>
      </c>
      <c r="HC5">
        <f>BDS("KMI US Equity","SUPPLY_CHAIN_SUPPLIERS","RELATIONSHIP_AS_OF_DATE","20140810")</f>
        <v/>
      </c>
      <c r="HH5">
        <f>BDS("KMI US Equity","SUPPLY_CHAIN_CUSTOMERS","RELATIONSHIP_AS_OF_DATE","20140810")</f>
        <v/>
      </c>
      <c r="HM5">
        <f>BDS("AMZN US Equity","SUPPLY_CHAIN_SUPPLIERS","RELATIONSHIP_AS_OF_DATE","20210526")</f>
        <v/>
      </c>
      <c r="HR5">
        <f>BDS("AMZN US Equity","SUPPLY_CHAIN_CUSTOMERS","RELATIONSHIP_AS_OF_DATE","20210526")</f>
        <v/>
      </c>
      <c r="HW5">
        <f>BDS("ENLC US Equity","SUPPLY_CHAIN_SUPPLIERS","RELATIONSHIP_AS_OF_DATE","20181022")</f>
        <v/>
      </c>
      <c r="IB5">
        <f>BDS("ENLC US Equity","SUPPLY_CHAIN_CUSTOMERS","RELATIONSHIP_AS_OF_DATE","20181022")</f>
        <v/>
      </c>
      <c r="IG5">
        <f>BDS("MPLX US Equity","SUPPLY_CHAIN_SUPPLIERS","RELATIONSHIP_AS_OF_DATE","20190508")</f>
        <v/>
      </c>
      <c r="IL5">
        <f>BDS("MPLX US Equity","SUPPLY_CHAIN_CUSTOMERS","RELATIONSHIP_AS_OF_DATE","20190508")</f>
        <v/>
      </c>
      <c r="IQ5">
        <f>BDS("FCX US Equity","SUPPLY_CHAIN_SUPPLIERS","RELATIONSHIP_AS_OF_DATE","20121205")</f>
        <v/>
      </c>
      <c r="IV5">
        <f>BDS("FCX US Equity","SUPPLY_CHAIN_CUSTOMERS","RELATIONSHIP_AS_OF_DATE","20121205")</f>
        <v/>
      </c>
      <c r="JA5">
        <f>BDS("RF US Equity","SUPPLY_CHAIN_SUPPLIERS","RELATIONSHIP_AS_OF_DATE","20060525")</f>
        <v/>
      </c>
      <c r="JF5">
        <f>BDS("RF US Equity","SUPPLY_CHAIN_CUSTOMERS","RELATIONSHIP_AS_OF_DATE","20060525")</f>
        <v/>
      </c>
      <c r="JK5">
        <f>BDS("EXC US Equity","SUPPLY_CHAIN_SUPPLIERS","RELATIONSHIP_AS_OF_DATE","20110428")</f>
        <v/>
      </c>
      <c r="JP5">
        <f>BDS("EXC US Equity","SUPPLY_CHAIN_CUSTOMERS","RELATIONSHIP_AS_OF_DATE","20110428")</f>
        <v/>
      </c>
      <c r="JU5">
        <f>BDS("GILD US Equity","SUPPLY_CHAIN_SUPPLIERS","RELATIONSHIP_AS_OF_DATE","20170828")</f>
        <v/>
      </c>
      <c r="JZ5">
        <f>BDS("GILD US Equity","SUPPLY_CHAIN_CUSTOMERS","RELATIONSHIP_AS_OF_DATE","20170828")</f>
        <v/>
      </c>
      <c r="KE5">
        <f>BDS("DBRG US Equity","SUPPLY_CHAIN_SUPPLIERS","RELATIONSHIP_AS_OF_DATE","20160603")</f>
        <v/>
      </c>
      <c r="KJ5">
        <f>BDS("DBRG US Equity","SUPPLY_CHAIN_CUSTOMERS","RELATIONSHIP_AS_OF_DATE","20160603")</f>
        <v/>
      </c>
      <c r="KO5">
        <f>BDS("PEP US Equity","SUPPLY_CHAIN_SUPPLIERS","RELATIONSHIP_AS_OF_DATE","20090420")</f>
        <v/>
      </c>
      <c r="KT5">
        <f>BDS("PEP US Equity","SUPPLY_CHAIN_CUSTOMERS","RELATIONSHIP_AS_OF_DATE","20090420")</f>
        <v/>
      </c>
      <c r="KY5">
        <f>BDS("1377Q US Equity","SUPPLY_CHAIN_SUPPLIERS","RELATIONSHIP_AS_OF_DATE","19940830")</f>
        <v/>
      </c>
      <c r="LD5">
        <f>BDS("1377Q US Equity","SUPPLY_CHAIN_CUSTOMERS","RELATIONSHIP_AS_OF_DATE","19940830")</f>
        <v/>
      </c>
      <c r="LI5">
        <f>BDS("WMB US Equity","SUPPLY_CHAIN_SUPPLIERS","RELATIONSHIP_AS_OF_DATE","20180517")</f>
        <v/>
      </c>
      <c r="LN5">
        <f>BDS("WMB US Equity","SUPPLY_CHAIN_CUSTOMERS","RELATIONSHIP_AS_OF_DATE","20180517")</f>
        <v/>
      </c>
      <c r="LS5">
        <f>BDS("AW US Equity","SUPPLY_CHAIN_SUPPLIERS","RELATIONSHIP_AS_OF_DATE","19990308")</f>
        <v/>
      </c>
      <c r="LX5">
        <f>BDS("AW US Equity","SUPPLY_CHAIN_CUSTOMERS","RELATIONSHIP_AS_OF_DATE","19990308")</f>
        <v/>
      </c>
      <c r="MC5">
        <f>BDS("IP US Equity","SUPPLY_CHAIN_SUPPLIERS","RELATIONSHIP_AS_OF_DATE","20000425")</f>
        <v/>
      </c>
      <c r="MH5">
        <f>BDS("IP US Equity","SUPPLY_CHAIN_CUSTOMERS","RELATIONSHIP_AS_OF_DATE","20000425")</f>
        <v/>
      </c>
      <c r="MM5">
        <f>BDS("VER US Equity","SUPPLY_CHAIN_SUPPLIERS","RELATIONSHIP_AS_OF_DATE","20131023")</f>
        <v/>
      </c>
      <c r="MR5">
        <f>BDS("VER US Equity","SUPPLY_CHAIN_CUSTOMERS","RELATIONSHIP_AS_OF_DATE","20131023")</f>
        <v/>
      </c>
      <c r="MW5">
        <f>BDS("MCHP US Equity","SUPPLY_CHAIN_SUPPLIERS","RELATIONSHIP_AS_OF_DATE","20180301")</f>
        <v/>
      </c>
      <c r="NB5">
        <f>BDS("MCHP US Equity","SUPPLY_CHAIN_CUSTOMERS","RELATIONSHIP_AS_OF_DATE","20180301")</f>
        <v/>
      </c>
      <c r="NG5">
        <f>BDS("2499073D US Equity","SUPPLY_CHAIN_SUPPLIERS","RELATIONSHIP_AS_OF_DATE","20160321")</f>
        <v/>
      </c>
      <c r="NL5">
        <f>BDS("2499073D US Equity","SUPPLY_CHAIN_CUSTOMERS","RELATIONSHIP_AS_OF_DATE","20160321")</f>
        <v/>
      </c>
      <c r="NQ5">
        <f>BDS("RHDCQ US Equity","SUPPLY_CHAIN_SUPPLIERS","RELATIONSHIP_AS_OF_DATE","20051003")</f>
        <v/>
      </c>
      <c r="NV5">
        <f>BDS("RHDCQ US Equity","SUPPLY_CHAIN_CUSTOMERS","RELATIONSHIP_AS_OF_DATE","20051003")</f>
        <v/>
      </c>
      <c r="OA5">
        <f>BDS("1813626D US Equity","SUPPLY_CHAIN_SUPPLIERS","RELATIONSHIP_AS_OF_DATE","20150126")</f>
        <v/>
      </c>
      <c r="OF5">
        <f>BDS("1813626D US Equity","SUPPLY_CHAIN_CUSTOMERS","RELATIONSHIP_AS_OF_DATE","20150126")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241</t>
        </is>
      </c>
      <c r="K1" s="1" t="inlineStr">
        <is>
          <t>Deal 242</t>
        </is>
      </c>
      <c r="U1" s="1" t="inlineStr">
        <is>
          <t>Deal 243</t>
        </is>
      </c>
      <c r="AE1" s="1" t="inlineStr">
        <is>
          <t>Deal 244</t>
        </is>
      </c>
      <c r="AO1" s="1" t="inlineStr">
        <is>
          <t>Deal 245</t>
        </is>
      </c>
      <c r="AY1" s="1" t="inlineStr">
        <is>
          <t>Deal 246</t>
        </is>
      </c>
      <c r="BI1" s="1" t="inlineStr">
        <is>
          <t>Deal 247</t>
        </is>
      </c>
      <c r="BS1" s="1" t="inlineStr">
        <is>
          <t>Deal 248</t>
        </is>
      </c>
      <c r="CC1" s="1" t="inlineStr">
        <is>
          <t>Deal 249</t>
        </is>
      </c>
      <c r="CM1" s="1" t="inlineStr">
        <is>
          <t>Deal 250</t>
        </is>
      </c>
      <c r="CW1" s="1" t="inlineStr">
        <is>
          <t>Deal 251</t>
        </is>
      </c>
      <c r="DG1" s="1" t="inlineStr">
        <is>
          <t>Deal 252</t>
        </is>
      </c>
      <c r="DQ1" s="1" t="inlineStr">
        <is>
          <t>Deal 253</t>
        </is>
      </c>
      <c r="EA1" s="1" t="inlineStr">
        <is>
          <t>Deal 254</t>
        </is>
      </c>
      <c r="EK1" s="1" t="inlineStr">
        <is>
          <t>Deal 255</t>
        </is>
      </c>
      <c r="EU1" s="1" t="inlineStr">
        <is>
          <t>Deal 256</t>
        </is>
      </c>
      <c r="FE1" s="1" t="inlineStr">
        <is>
          <t>Deal 257</t>
        </is>
      </c>
      <c r="FO1" s="1" t="inlineStr">
        <is>
          <t>Deal 258</t>
        </is>
      </c>
      <c r="FY1" s="1" t="inlineStr">
        <is>
          <t>Deal 259</t>
        </is>
      </c>
      <c r="GI1" s="1" t="inlineStr">
        <is>
          <t>Deal 260</t>
        </is>
      </c>
      <c r="GS1" s="1" t="inlineStr">
        <is>
          <t>Deal 261</t>
        </is>
      </c>
      <c r="HC1" s="1" t="inlineStr">
        <is>
          <t>Deal 262</t>
        </is>
      </c>
      <c r="HM1" s="1" t="inlineStr">
        <is>
          <t>Deal 263</t>
        </is>
      </c>
      <c r="HW1" s="1" t="inlineStr">
        <is>
          <t>Deal 264</t>
        </is>
      </c>
      <c r="IG1" s="1" t="inlineStr">
        <is>
          <t>Deal 265</t>
        </is>
      </c>
      <c r="IQ1" s="1" t="inlineStr">
        <is>
          <t>Deal 266</t>
        </is>
      </c>
      <c r="JA1" s="1" t="inlineStr">
        <is>
          <t>Deal 267</t>
        </is>
      </c>
      <c r="JK1" s="1" t="inlineStr">
        <is>
          <t>Deal 268</t>
        </is>
      </c>
      <c r="JU1" s="1" t="inlineStr">
        <is>
          <t>Deal 269</t>
        </is>
      </c>
      <c r="KE1" s="1" t="inlineStr">
        <is>
          <t>Deal 270</t>
        </is>
      </c>
      <c r="KO1" s="1" t="inlineStr">
        <is>
          <t>Deal 271</t>
        </is>
      </c>
      <c r="KY1" s="1" t="inlineStr">
        <is>
          <t>Deal 272</t>
        </is>
      </c>
      <c r="LI1" s="1" t="inlineStr">
        <is>
          <t>Deal 273</t>
        </is>
      </c>
      <c r="LS1" s="1" t="inlineStr">
        <is>
          <t>Deal 274</t>
        </is>
      </c>
      <c r="MC1" s="1" t="inlineStr">
        <is>
          <t>Deal 275</t>
        </is>
      </c>
      <c r="MM1" s="1" t="inlineStr">
        <is>
          <t>Deal 276</t>
        </is>
      </c>
      <c r="MW1" s="1" t="inlineStr">
        <is>
          <t>Deal 277</t>
        </is>
      </c>
      <c r="NG1" s="1" t="inlineStr">
        <is>
          <t>Deal 278</t>
        </is>
      </c>
      <c r="NQ1" s="1" t="inlineStr">
        <is>
          <t>Deal 279</t>
        </is>
      </c>
      <c r="OA1" s="1" t="inlineStr">
        <is>
          <t>Deal 280</t>
        </is>
      </c>
    </row>
    <row r="2">
      <c r="A2" s="2" t="inlineStr">
        <is>
          <t>GD US Equity</t>
        </is>
      </c>
      <c r="K2" s="2" t="inlineStr">
        <is>
          <t>CME US Equity</t>
        </is>
      </c>
      <c r="U2" s="2" t="inlineStr">
        <is>
          <t>MSI US Equity</t>
        </is>
      </c>
      <c r="AE2" s="2" t="inlineStr">
        <is>
          <t>AMT US Equity</t>
        </is>
      </c>
      <c r="AO2" s="2" t="inlineStr">
        <is>
          <t>HET US Equity</t>
        </is>
      </c>
      <c r="AY2" s="2" t="inlineStr">
        <is>
          <t>WES US Equity</t>
        </is>
      </c>
      <c r="BI2" s="2" t="inlineStr">
        <is>
          <t>GEN US Equity</t>
        </is>
      </c>
      <c r="BS2" s="2" t="inlineStr">
        <is>
          <t>ET US Equity</t>
        </is>
      </c>
      <c r="CC2" s="2" t="inlineStr">
        <is>
          <t>LEN US Equity</t>
        </is>
      </c>
      <c r="CM2" s="2" t="inlineStr">
        <is>
          <t>BRK/A US Equity</t>
        </is>
      </c>
      <c r="CW2" s="2" t="inlineStr">
        <is>
          <t>FE US Equity</t>
        </is>
      </c>
      <c r="DG2" s="2" t="inlineStr">
        <is>
          <t>CXO US Equity</t>
        </is>
      </c>
      <c r="DQ2" s="2" t="inlineStr">
        <is>
          <t>FANG US Equity</t>
        </is>
      </c>
      <c r="EA2" s="2" t="inlineStr">
        <is>
          <t>BRK/A US Equity</t>
        </is>
      </c>
      <c r="EK2" s="2" t="inlineStr">
        <is>
          <t>nan Equity</t>
        </is>
      </c>
      <c r="EU2" s="2" t="inlineStr">
        <is>
          <t>2370058D US Equity</t>
        </is>
      </c>
      <c r="FE2" s="2" t="inlineStr">
        <is>
          <t>DLTR US Equity</t>
        </is>
      </c>
      <c r="FO2" s="2" t="inlineStr">
        <is>
          <t>WEC US Equity</t>
        </is>
      </c>
      <c r="FY2" s="2" t="inlineStr">
        <is>
          <t>EPD US Equity</t>
        </is>
      </c>
      <c r="GI2" s="2" t="inlineStr">
        <is>
          <t>CTRA US Equity</t>
        </is>
      </c>
      <c r="GS2" s="2" t="inlineStr">
        <is>
          <t>MRVL US Equity</t>
        </is>
      </c>
      <c r="HC2" s="2" t="inlineStr">
        <is>
          <t>EVRG US Equity</t>
        </is>
      </c>
      <c r="HM2" s="2" t="inlineStr">
        <is>
          <t>nan Equity</t>
        </is>
      </c>
      <c r="HW2" s="2" t="inlineStr">
        <is>
          <t>ORCL US Equity</t>
        </is>
      </c>
      <c r="IG2" s="2" t="inlineStr">
        <is>
          <t>45950Q US Equity</t>
        </is>
      </c>
      <c r="IQ2" s="2" t="inlineStr">
        <is>
          <t>CAT US Equity</t>
        </is>
      </c>
      <c r="JA2" s="2" t="inlineStr">
        <is>
          <t>WAMUQ US Equity</t>
        </is>
      </c>
      <c r="JK2" s="2" t="inlineStr">
        <is>
          <t>AMGN US Equity</t>
        </is>
      </c>
      <c r="JU2" s="2" t="inlineStr">
        <is>
          <t>NI US Equity</t>
        </is>
      </c>
      <c r="KE2" s="2" t="inlineStr">
        <is>
          <t>D US Equity</t>
        </is>
      </c>
      <c r="KO2" s="2" t="inlineStr">
        <is>
          <t>ORCL US Equity</t>
        </is>
      </c>
      <c r="KY2" s="2" t="inlineStr">
        <is>
          <t>TSN US Equity</t>
        </is>
      </c>
      <c r="LI2" s="2" t="inlineStr">
        <is>
          <t>ANRZQ US Equity</t>
        </is>
      </c>
      <c r="LS2" s="2" t="inlineStr">
        <is>
          <t>MRK US Equity</t>
        </is>
      </c>
      <c r="MC2" s="2" t="inlineStr">
        <is>
          <t>WTW US Equity</t>
        </is>
      </c>
      <c r="MM2" s="2" t="inlineStr">
        <is>
          <t>HAL US Equity</t>
        </is>
      </c>
      <c r="MW2" s="2" t="inlineStr">
        <is>
          <t>BN CN Equity</t>
        </is>
      </c>
      <c r="NG2" s="2" t="inlineStr">
        <is>
          <t>2727195Q US Equity</t>
        </is>
      </c>
      <c r="NQ2" s="2" t="inlineStr">
        <is>
          <t>nan Equity</t>
        </is>
      </c>
      <c r="OA2" s="2" t="inlineStr">
        <is>
          <t>CNP US Equity</t>
        </is>
      </c>
    </row>
    <row r="3">
      <c r="A3" t="inlineStr">
        <is>
          <t>Ann: 2018-02-12</t>
        </is>
      </c>
      <c r="K3" t="inlineStr">
        <is>
          <t>Ann: 2006-10-17</t>
        </is>
      </c>
      <c r="U3" t="inlineStr">
        <is>
          <t>Ann: 1999-09-15</t>
        </is>
      </c>
      <c r="AE3" t="inlineStr">
        <is>
          <t>Ann: 2021-11-15</t>
        </is>
      </c>
      <c r="AO3" t="inlineStr">
        <is>
          <t>Ann: 2004-07-15</t>
        </is>
      </c>
      <c r="AY3" t="inlineStr">
        <is>
          <t>Ann: 2018-11-08</t>
        </is>
      </c>
      <c r="BI3" t="inlineStr">
        <is>
          <t>Ann: 2021-08-10</t>
        </is>
      </c>
      <c r="BS3" t="inlineStr">
        <is>
          <t>Ann: 2011-06-16</t>
        </is>
      </c>
      <c r="CC3" t="inlineStr">
        <is>
          <t>Ann: 2017-10-30</t>
        </is>
      </c>
      <c r="CM3" t="inlineStr">
        <is>
          <t>Ann: 2011-03-14</t>
        </is>
      </c>
      <c r="CW3" t="inlineStr">
        <is>
          <t>Ann: 2010-02-11</t>
        </is>
      </c>
      <c r="DG3" t="inlineStr">
        <is>
          <t>Ann: 2018-03-28</t>
        </is>
      </c>
      <c r="DQ3" t="inlineStr">
        <is>
          <t>Ann: 2018-08-14</t>
        </is>
      </c>
      <c r="EA3" t="inlineStr">
        <is>
          <t>Ann: 1999-10-25</t>
        </is>
      </c>
      <c r="EK3" t="inlineStr">
        <is>
          <t>Ann: 2019-07-01</t>
        </is>
      </c>
      <c r="EU3" t="inlineStr">
        <is>
          <t>Ann: 1998-07-20</t>
        </is>
      </c>
      <c r="FE3" t="inlineStr">
        <is>
          <t>Ann: 2014-07-28</t>
        </is>
      </c>
      <c r="FO3" t="inlineStr">
        <is>
          <t>Ann: 2014-06-23</t>
        </is>
      </c>
      <c r="FY3" t="inlineStr">
        <is>
          <t>Ann: 2010-09-07</t>
        </is>
      </c>
      <c r="GI3" t="inlineStr">
        <is>
          <t>Ann: 2021-05-24</t>
        </is>
      </c>
      <c r="GS3" t="inlineStr">
        <is>
          <t>Ann: 2020-10-29</t>
        </is>
      </c>
      <c r="HC3" t="inlineStr">
        <is>
          <t>Ann: 2016-05-31</t>
        </is>
      </c>
      <c r="HM3" t="inlineStr">
        <is>
          <t>Ann: 2006-12-17</t>
        </is>
      </c>
      <c r="HW3" t="inlineStr">
        <is>
          <t>Ann: 2016-07-28</t>
        </is>
      </c>
      <c r="IG3" t="inlineStr">
        <is>
          <t>Ann: 1999-05-27</t>
        </is>
      </c>
      <c r="IQ3" t="inlineStr">
        <is>
          <t>Ann: 2010-11-15</t>
        </is>
      </c>
      <c r="JA3" t="inlineStr">
        <is>
          <t>Ann: 1998-03-17</t>
        </is>
      </c>
      <c r="JK3" t="inlineStr">
        <is>
          <t>Ann: 2013-06-30</t>
        </is>
      </c>
      <c r="JU3" t="inlineStr">
        <is>
          <t>Ann: 1999-06-07</t>
        </is>
      </c>
      <c r="KE3" t="inlineStr">
        <is>
          <t>Ann: 1999-02-22</t>
        </is>
      </c>
      <c r="KO3" t="inlineStr">
        <is>
          <t>Ann: 2003-06-06</t>
        </is>
      </c>
      <c r="KY3" t="inlineStr">
        <is>
          <t>Ann: 2014-05-29</t>
        </is>
      </c>
      <c r="LI3" t="inlineStr">
        <is>
          <t>Ann: 2011-01-29</t>
        </is>
      </c>
      <c r="LS3" t="inlineStr">
        <is>
          <t>Ann: 2014-12-08</t>
        </is>
      </c>
      <c r="MC3" t="inlineStr">
        <is>
          <t>Ann: 2015-06-30</t>
        </is>
      </c>
      <c r="MM3" t="inlineStr">
        <is>
          <t>Ann: 1998-02-26</t>
        </is>
      </c>
      <c r="MW3" t="inlineStr">
        <is>
          <t>Ann: 2022-04-07</t>
        </is>
      </c>
      <c r="NG3" t="inlineStr">
        <is>
          <t>Ann: 1998-04-07</t>
        </is>
      </c>
      <c r="NQ3" t="inlineStr">
        <is>
          <t>Ann: 2005-03-17</t>
        </is>
      </c>
      <c r="OA3" t="inlineStr">
        <is>
          <t>Ann: 2018-04-23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BDS("GD US Equity","SUPPLY_CHAIN_SUPPLIERS","RELATIONSHIP_AS_OF_DATE","20180212")</f>
        <v/>
      </c>
      <c r="F5">
        <f>BDS("GD US Equity","SUPPLY_CHAIN_CUSTOMERS","RELATIONSHIP_AS_OF_DATE","20180212")</f>
        <v/>
      </c>
      <c r="K5">
        <f>BDS("CME US Equity","SUPPLY_CHAIN_SUPPLIERS","RELATIONSHIP_AS_OF_DATE","20061017")</f>
        <v/>
      </c>
      <c r="P5">
        <f>BDS("CME US Equity","SUPPLY_CHAIN_CUSTOMERS","RELATIONSHIP_AS_OF_DATE","20061017")</f>
        <v/>
      </c>
      <c r="U5">
        <f>BDS("MSI US Equity","SUPPLY_CHAIN_SUPPLIERS","RELATIONSHIP_AS_OF_DATE","19990915")</f>
        <v/>
      </c>
      <c r="Z5">
        <f>BDS("MSI US Equity","SUPPLY_CHAIN_CUSTOMERS","RELATIONSHIP_AS_OF_DATE","19990915")</f>
        <v/>
      </c>
      <c r="AE5">
        <f>BDS("AMT US Equity","SUPPLY_CHAIN_SUPPLIERS","RELATIONSHIP_AS_OF_DATE","20211115")</f>
        <v/>
      </c>
      <c r="AJ5">
        <f>BDS("AMT US Equity","SUPPLY_CHAIN_CUSTOMERS","RELATIONSHIP_AS_OF_DATE","20211115")</f>
        <v/>
      </c>
      <c r="AO5">
        <f>BDS("HET US Equity","SUPPLY_CHAIN_SUPPLIERS","RELATIONSHIP_AS_OF_DATE","20040715")</f>
        <v/>
      </c>
      <c r="AT5">
        <f>BDS("HET US Equity","SUPPLY_CHAIN_CUSTOMERS","RELATIONSHIP_AS_OF_DATE","20040715")</f>
        <v/>
      </c>
      <c r="AY5">
        <f>BDS("WES US Equity","SUPPLY_CHAIN_SUPPLIERS","RELATIONSHIP_AS_OF_DATE","20181108")</f>
        <v/>
      </c>
      <c r="BD5">
        <f>BDS("WES US Equity","SUPPLY_CHAIN_CUSTOMERS","RELATIONSHIP_AS_OF_DATE","20181108")</f>
        <v/>
      </c>
      <c r="BI5">
        <f>BDS("GEN US Equity","SUPPLY_CHAIN_SUPPLIERS","RELATIONSHIP_AS_OF_DATE","20210810")</f>
        <v/>
      </c>
      <c r="BN5">
        <f>BDS("GEN US Equity","SUPPLY_CHAIN_CUSTOMERS","RELATIONSHIP_AS_OF_DATE","20210810")</f>
        <v/>
      </c>
      <c r="BS5">
        <f>BDS("ET US Equity","SUPPLY_CHAIN_SUPPLIERS","RELATIONSHIP_AS_OF_DATE","20110616")</f>
        <v/>
      </c>
      <c r="BX5">
        <f>BDS("ET US Equity","SUPPLY_CHAIN_CUSTOMERS","RELATIONSHIP_AS_OF_DATE","20110616")</f>
        <v/>
      </c>
      <c r="CC5">
        <f>BDS("LEN US Equity","SUPPLY_CHAIN_SUPPLIERS","RELATIONSHIP_AS_OF_DATE","20171030")</f>
        <v/>
      </c>
      <c r="CH5">
        <f>BDS("LEN US Equity","SUPPLY_CHAIN_CUSTOMERS","RELATIONSHIP_AS_OF_DATE","20171030")</f>
        <v/>
      </c>
      <c r="CM5">
        <f>BDS("BRK/A US Equity","SUPPLY_CHAIN_SUPPLIERS","RELATIONSHIP_AS_OF_DATE","20110314")</f>
        <v/>
      </c>
      <c r="CR5">
        <f>BDS("BRK/A US Equity","SUPPLY_CHAIN_CUSTOMERS","RELATIONSHIP_AS_OF_DATE","20110314")</f>
        <v/>
      </c>
      <c r="CW5">
        <f>BDS("FE US Equity","SUPPLY_CHAIN_SUPPLIERS","RELATIONSHIP_AS_OF_DATE","20100211")</f>
        <v/>
      </c>
      <c r="DB5">
        <f>BDS("FE US Equity","SUPPLY_CHAIN_CUSTOMERS","RELATIONSHIP_AS_OF_DATE","20100211")</f>
        <v/>
      </c>
      <c r="DG5">
        <f>BDS("CXO US Equity","SUPPLY_CHAIN_SUPPLIERS","RELATIONSHIP_AS_OF_DATE","20180328")</f>
        <v/>
      </c>
      <c r="DL5">
        <f>BDS("CXO US Equity","SUPPLY_CHAIN_CUSTOMERS","RELATIONSHIP_AS_OF_DATE","20180328")</f>
        <v/>
      </c>
      <c r="DQ5">
        <f>BDS("FANG US Equity","SUPPLY_CHAIN_SUPPLIERS","RELATIONSHIP_AS_OF_DATE","20180814")</f>
        <v/>
      </c>
      <c r="DV5">
        <f>BDS("FANG US Equity","SUPPLY_CHAIN_CUSTOMERS","RELATIONSHIP_AS_OF_DATE","20180814")</f>
        <v/>
      </c>
      <c r="EA5">
        <f>BDS("BRK/A US Equity","SUPPLY_CHAIN_SUPPLIERS","RELATIONSHIP_AS_OF_DATE","19991025")</f>
        <v/>
      </c>
      <c r="EF5">
        <f>BDS("BRK/A US Equity","SUPPLY_CHAIN_CUSTOMERS","RELATIONSHIP_AS_OF_DATE","19991025")</f>
        <v/>
      </c>
      <c r="EK5">
        <f>BDS("nan Equity","SUPPLY_CHAIN_SUPPLIERS","RELATIONSHIP_AS_OF_DATE","20190701")</f>
        <v/>
      </c>
      <c r="EP5">
        <f>BDS("nan Equity","SUPPLY_CHAIN_CUSTOMERS","RELATIONSHIP_AS_OF_DATE","20190701")</f>
        <v/>
      </c>
      <c r="EU5">
        <f>BDS("2370058D US Equity","SUPPLY_CHAIN_SUPPLIERS","RELATIONSHIP_AS_OF_DATE","19980720")</f>
        <v/>
      </c>
      <c r="EZ5">
        <f>BDS("2370058D US Equity","SUPPLY_CHAIN_CUSTOMERS","RELATIONSHIP_AS_OF_DATE","19980720")</f>
        <v/>
      </c>
      <c r="FE5">
        <f>BDS("DLTR US Equity","SUPPLY_CHAIN_SUPPLIERS","RELATIONSHIP_AS_OF_DATE","20140728")</f>
        <v/>
      </c>
      <c r="FJ5">
        <f>BDS("DLTR US Equity","SUPPLY_CHAIN_CUSTOMERS","RELATIONSHIP_AS_OF_DATE","20140728")</f>
        <v/>
      </c>
      <c r="FO5">
        <f>BDS("WEC US Equity","SUPPLY_CHAIN_SUPPLIERS","RELATIONSHIP_AS_OF_DATE","20140623")</f>
        <v/>
      </c>
      <c r="FT5">
        <f>BDS("WEC US Equity","SUPPLY_CHAIN_CUSTOMERS","RELATIONSHIP_AS_OF_DATE","20140623")</f>
        <v/>
      </c>
      <c r="FY5">
        <f>BDS("EPD US Equity","SUPPLY_CHAIN_SUPPLIERS","RELATIONSHIP_AS_OF_DATE","20100907")</f>
        <v/>
      </c>
      <c r="GD5">
        <f>BDS("EPD US Equity","SUPPLY_CHAIN_CUSTOMERS","RELATIONSHIP_AS_OF_DATE","20100907")</f>
        <v/>
      </c>
      <c r="GI5">
        <f>BDS("CTRA US Equity","SUPPLY_CHAIN_SUPPLIERS","RELATIONSHIP_AS_OF_DATE","20210524")</f>
        <v/>
      </c>
      <c r="GN5">
        <f>BDS("CTRA US Equity","SUPPLY_CHAIN_CUSTOMERS","RELATIONSHIP_AS_OF_DATE","20210524")</f>
        <v/>
      </c>
      <c r="GS5">
        <f>BDS("MRVL US Equity","SUPPLY_CHAIN_SUPPLIERS","RELATIONSHIP_AS_OF_DATE","20201029")</f>
        <v/>
      </c>
      <c r="GX5">
        <f>BDS("MRVL US Equity","SUPPLY_CHAIN_CUSTOMERS","RELATIONSHIP_AS_OF_DATE","20201029")</f>
        <v/>
      </c>
      <c r="HC5">
        <f>BDS("EVRG US Equity","SUPPLY_CHAIN_SUPPLIERS","RELATIONSHIP_AS_OF_DATE","20160531")</f>
        <v/>
      </c>
      <c r="HH5">
        <f>BDS("EVRG US Equity","SUPPLY_CHAIN_CUSTOMERS","RELATIONSHIP_AS_OF_DATE","20160531")</f>
        <v/>
      </c>
      <c r="HM5">
        <f>BDS("nan Equity","SUPPLY_CHAIN_SUPPLIERS","RELATIONSHIP_AS_OF_DATE","20061217")</f>
        <v/>
      </c>
      <c r="HR5">
        <f>BDS("nan Equity","SUPPLY_CHAIN_CUSTOMERS","RELATIONSHIP_AS_OF_DATE","20061217")</f>
        <v/>
      </c>
      <c r="HW5">
        <f>BDS("ORCL US Equity","SUPPLY_CHAIN_SUPPLIERS","RELATIONSHIP_AS_OF_DATE","20160728")</f>
        <v/>
      </c>
      <c r="IB5">
        <f>BDS("ORCL US Equity","SUPPLY_CHAIN_CUSTOMERS","RELATIONSHIP_AS_OF_DATE","20160728")</f>
        <v/>
      </c>
      <c r="IG5">
        <f>BDS("45950Q US Equity","SUPPLY_CHAIN_SUPPLIERS","RELATIONSHIP_AS_OF_DATE","19990527")</f>
        <v/>
      </c>
      <c r="IL5">
        <f>BDS("45950Q US Equity","SUPPLY_CHAIN_CUSTOMERS","RELATIONSHIP_AS_OF_DATE","19990527")</f>
        <v/>
      </c>
      <c r="IQ5">
        <f>BDS("CAT US Equity","SUPPLY_CHAIN_SUPPLIERS","RELATIONSHIP_AS_OF_DATE","20101115")</f>
        <v/>
      </c>
      <c r="IV5">
        <f>BDS("CAT US Equity","SUPPLY_CHAIN_CUSTOMERS","RELATIONSHIP_AS_OF_DATE","20101115")</f>
        <v/>
      </c>
      <c r="JA5">
        <f>BDS("WAMUQ US Equity","SUPPLY_CHAIN_SUPPLIERS","RELATIONSHIP_AS_OF_DATE","19980317")</f>
        <v/>
      </c>
      <c r="JF5">
        <f>BDS("WAMUQ US Equity","SUPPLY_CHAIN_CUSTOMERS","RELATIONSHIP_AS_OF_DATE","19980317")</f>
        <v/>
      </c>
      <c r="JK5">
        <f>BDS("AMGN US Equity","SUPPLY_CHAIN_SUPPLIERS","RELATIONSHIP_AS_OF_DATE","20130630")</f>
        <v/>
      </c>
      <c r="JP5">
        <f>BDS("AMGN US Equity","SUPPLY_CHAIN_CUSTOMERS","RELATIONSHIP_AS_OF_DATE","20130630")</f>
        <v/>
      </c>
      <c r="JU5">
        <f>BDS("NI US Equity","SUPPLY_CHAIN_SUPPLIERS","RELATIONSHIP_AS_OF_DATE","19990607")</f>
        <v/>
      </c>
      <c r="JZ5">
        <f>BDS("NI US Equity","SUPPLY_CHAIN_CUSTOMERS","RELATIONSHIP_AS_OF_DATE","19990607")</f>
        <v/>
      </c>
      <c r="KE5">
        <f>BDS("D US Equity","SUPPLY_CHAIN_SUPPLIERS","RELATIONSHIP_AS_OF_DATE","19990222")</f>
        <v/>
      </c>
      <c r="KJ5">
        <f>BDS("D US Equity","SUPPLY_CHAIN_CUSTOMERS","RELATIONSHIP_AS_OF_DATE","19990222")</f>
        <v/>
      </c>
      <c r="KO5">
        <f>BDS("ORCL US Equity","SUPPLY_CHAIN_SUPPLIERS","RELATIONSHIP_AS_OF_DATE","20030606")</f>
        <v/>
      </c>
      <c r="KT5">
        <f>BDS("ORCL US Equity","SUPPLY_CHAIN_CUSTOMERS","RELATIONSHIP_AS_OF_DATE","20030606")</f>
        <v/>
      </c>
      <c r="KY5">
        <f>BDS("TSN US Equity","SUPPLY_CHAIN_SUPPLIERS","RELATIONSHIP_AS_OF_DATE","20140529")</f>
        <v/>
      </c>
      <c r="LD5">
        <f>BDS("TSN US Equity","SUPPLY_CHAIN_CUSTOMERS","RELATIONSHIP_AS_OF_DATE","20140529")</f>
        <v/>
      </c>
      <c r="LI5">
        <f>BDS("ANRZQ US Equity","SUPPLY_CHAIN_SUPPLIERS","RELATIONSHIP_AS_OF_DATE","20110129")</f>
        <v/>
      </c>
      <c r="LN5">
        <f>BDS("ANRZQ US Equity","SUPPLY_CHAIN_CUSTOMERS","RELATIONSHIP_AS_OF_DATE","20110129")</f>
        <v/>
      </c>
      <c r="LS5">
        <f>BDS("MRK US Equity","SUPPLY_CHAIN_SUPPLIERS","RELATIONSHIP_AS_OF_DATE","20141208")</f>
        <v/>
      </c>
      <c r="LX5">
        <f>BDS("MRK US Equity","SUPPLY_CHAIN_CUSTOMERS","RELATIONSHIP_AS_OF_DATE","20141208")</f>
        <v/>
      </c>
      <c r="MC5">
        <f>BDS("WTW US Equity","SUPPLY_CHAIN_SUPPLIERS","RELATIONSHIP_AS_OF_DATE","20150630")</f>
        <v/>
      </c>
      <c r="MH5">
        <f>BDS("WTW US Equity","SUPPLY_CHAIN_CUSTOMERS","RELATIONSHIP_AS_OF_DATE","20150630")</f>
        <v/>
      </c>
      <c r="MM5">
        <f>BDS("HAL US Equity","SUPPLY_CHAIN_SUPPLIERS","RELATIONSHIP_AS_OF_DATE","19980226")</f>
        <v/>
      </c>
      <c r="MR5">
        <f>BDS("HAL US Equity","SUPPLY_CHAIN_CUSTOMERS","RELATIONSHIP_AS_OF_DATE","19980226")</f>
        <v/>
      </c>
      <c r="MW5">
        <f>BDS("BN CN Equity","SUPPLY_CHAIN_SUPPLIERS","RELATIONSHIP_AS_OF_DATE","20220407")</f>
        <v/>
      </c>
      <c r="NB5">
        <f>BDS("BN CN Equity","SUPPLY_CHAIN_CUSTOMERS","RELATIONSHIP_AS_OF_DATE","20220407")</f>
        <v/>
      </c>
      <c r="NG5">
        <f>BDS("2727195Q US Equity","SUPPLY_CHAIN_SUPPLIERS","RELATIONSHIP_AS_OF_DATE","19980407")</f>
        <v/>
      </c>
      <c r="NL5">
        <f>BDS("2727195Q US Equity","SUPPLY_CHAIN_CUSTOMERS","RELATIONSHIP_AS_OF_DATE","19980407")</f>
        <v/>
      </c>
      <c r="NQ5">
        <f>BDS("nan Equity","SUPPLY_CHAIN_SUPPLIERS","RELATIONSHIP_AS_OF_DATE","20050317")</f>
        <v/>
      </c>
      <c r="NV5">
        <f>BDS("nan Equity","SUPPLY_CHAIN_CUSTOMERS","RELATIONSHIP_AS_OF_DATE","20050317")</f>
        <v/>
      </c>
      <c r="OA5">
        <f>BDS("CNP US Equity","SUPPLY_CHAIN_SUPPLIERS","RELATIONSHIP_AS_OF_DATE","20180423")</f>
        <v/>
      </c>
      <c r="OF5">
        <f>BDS("CNP US Equity","SUPPLY_CHAIN_CUSTOMERS","RELATIONSHIP_AS_OF_DATE","20180423")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281</t>
        </is>
      </c>
      <c r="K1" s="1" t="inlineStr">
        <is>
          <t>Deal 282</t>
        </is>
      </c>
      <c r="U1" s="1" t="inlineStr">
        <is>
          <t>Deal 283</t>
        </is>
      </c>
      <c r="AE1" s="1" t="inlineStr">
        <is>
          <t>Deal 284</t>
        </is>
      </c>
      <c r="AO1" s="1" t="inlineStr">
        <is>
          <t>Deal 285</t>
        </is>
      </c>
      <c r="AY1" s="1" t="inlineStr">
        <is>
          <t>Deal 286</t>
        </is>
      </c>
      <c r="BI1" s="1" t="inlineStr">
        <is>
          <t>Deal 287</t>
        </is>
      </c>
      <c r="BS1" s="1" t="inlineStr">
        <is>
          <t>Deal 288</t>
        </is>
      </c>
      <c r="CC1" s="1" t="inlineStr">
        <is>
          <t>Deal 289</t>
        </is>
      </c>
      <c r="CM1" s="1" t="inlineStr">
        <is>
          <t>Deal 290</t>
        </is>
      </c>
      <c r="CW1" s="1" t="inlineStr">
        <is>
          <t>Deal 291</t>
        </is>
      </c>
      <c r="DG1" s="1" t="inlineStr">
        <is>
          <t>Deal 292</t>
        </is>
      </c>
      <c r="DQ1" s="1" t="inlineStr">
        <is>
          <t>Deal 293</t>
        </is>
      </c>
      <c r="EA1" s="1" t="inlineStr">
        <is>
          <t>Deal 294</t>
        </is>
      </c>
      <c r="EK1" s="1" t="inlineStr">
        <is>
          <t>Deal 295</t>
        </is>
      </c>
      <c r="EU1" s="1" t="inlineStr">
        <is>
          <t>Deal 296</t>
        </is>
      </c>
      <c r="FE1" s="1" t="inlineStr">
        <is>
          <t>Deal 297</t>
        </is>
      </c>
      <c r="FO1" s="1" t="inlineStr">
        <is>
          <t>Deal 298</t>
        </is>
      </c>
      <c r="FY1" s="1" t="inlineStr">
        <is>
          <t>Deal 299</t>
        </is>
      </c>
      <c r="GI1" s="1" t="inlineStr">
        <is>
          <t>Deal 300</t>
        </is>
      </c>
      <c r="GS1" s="1" t="inlineStr">
        <is>
          <t>Deal 301</t>
        </is>
      </c>
      <c r="HC1" s="1" t="inlineStr">
        <is>
          <t>Deal 302</t>
        </is>
      </c>
      <c r="HM1" s="1" t="inlineStr">
        <is>
          <t>Deal 303</t>
        </is>
      </c>
      <c r="HW1" s="1" t="inlineStr">
        <is>
          <t>Deal 304</t>
        </is>
      </c>
      <c r="IG1" s="1" t="inlineStr">
        <is>
          <t>Deal 305</t>
        </is>
      </c>
      <c r="IQ1" s="1" t="inlineStr">
        <is>
          <t>Deal 306</t>
        </is>
      </c>
      <c r="JA1" s="1" t="inlineStr">
        <is>
          <t>Deal 307</t>
        </is>
      </c>
      <c r="JK1" s="1" t="inlineStr">
        <is>
          <t>Deal 308</t>
        </is>
      </c>
      <c r="JU1" s="1" t="inlineStr">
        <is>
          <t>Deal 309</t>
        </is>
      </c>
      <c r="KE1" s="1" t="inlineStr">
        <is>
          <t>Deal 310</t>
        </is>
      </c>
      <c r="KO1" s="1" t="inlineStr">
        <is>
          <t>Deal 311</t>
        </is>
      </c>
      <c r="KY1" s="1" t="inlineStr">
        <is>
          <t>Deal 312</t>
        </is>
      </c>
      <c r="LI1" s="1" t="inlineStr">
        <is>
          <t>Deal 313</t>
        </is>
      </c>
      <c r="LS1" s="1" t="inlineStr">
        <is>
          <t>Deal 314</t>
        </is>
      </c>
      <c r="MC1" s="1" t="inlineStr">
        <is>
          <t>Deal 315</t>
        </is>
      </c>
      <c r="MM1" s="1" t="inlineStr">
        <is>
          <t>Deal 316</t>
        </is>
      </c>
      <c r="MW1" s="1" t="inlineStr">
        <is>
          <t>Deal 317</t>
        </is>
      </c>
      <c r="NG1" s="1" t="inlineStr">
        <is>
          <t>Deal 318</t>
        </is>
      </c>
      <c r="NQ1" s="1" t="inlineStr">
        <is>
          <t>Deal 319</t>
        </is>
      </c>
      <c r="OA1" s="1" t="inlineStr">
        <is>
          <t>Deal 320</t>
        </is>
      </c>
    </row>
    <row r="2">
      <c r="A2" s="2" t="inlineStr">
        <is>
          <t>COL US Equity</t>
        </is>
      </c>
      <c r="K2" s="2" t="inlineStr">
        <is>
          <t>ECL US Equity</t>
        </is>
      </c>
      <c r="U2" s="2" t="inlineStr">
        <is>
          <t>NXST US Equity</t>
        </is>
      </c>
      <c r="AE2" s="2" t="inlineStr">
        <is>
          <t>0961514D US Equity</t>
        </is>
      </c>
      <c r="AO2" s="2" t="inlineStr">
        <is>
          <t>PLD US Equity</t>
        </is>
      </c>
      <c r="AY2" s="2" t="inlineStr">
        <is>
          <t>ALXN US Equity</t>
        </is>
      </c>
      <c r="BI2" s="2" t="inlineStr">
        <is>
          <t>CELG US Equity</t>
        </is>
      </c>
      <c r="BS2" s="2" t="inlineStr">
        <is>
          <t>GIS US Equity</t>
        </is>
      </c>
      <c r="CC2" s="2" t="inlineStr">
        <is>
          <t>1260972D US Equity</t>
        </is>
      </c>
      <c r="CM2" s="2" t="inlineStr">
        <is>
          <t>INVH US Equity</t>
        </is>
      </c>
      <c r="CW2" s="2" t="inlineStr">
        <is>
          <t>AGN US Equity</t>
        </is>
      </c>
      <c r="DG2" s="2" t="inlineStr">
        <is>
          <t>VLO US Equity</t>
        </is>
      </c>
      <c r="DQ2" s="2" t="inlineStr">
        <is>
          <t>GMST US Equity</t>
        </is>
      </c>
      <c r="EA2" s="2" t="inlineStr">
        <is>
          <t>NOC US Equity</t>
        </is>
      </c>
      <c r="EK2" s="2" t="inlineStr">
        <is>
          <t>WY US Equity</t>
        </is>
      </c>
      <c r="EU2" s="2" t="inlineStr">
        <is>
          <t>BX US Equity</t>
        </is>
      </c>
      <c r="FE2" s="2" t="inlineStr">
        <is>
          <t>MGM US Equity</t>
        </is>
      </c>
      <c r="FO2" s="2" t="inlineStr">
        <is>
          <t>LNC US Equity</t>
        </is>
      </c>
      <c r="FY2" s="2" t="inlineStr">
        <is>
          <t>CME US Equity</t>
        </is>
      </c>
      <c r="GI2" s="2" t="inlineStr">
        <is>
          <t>RIG US Equity</t>
        </is>
      </c>
      <c r="GS2" s="2" t="inlineStr">
        <is>
          <t>ABT US Equity</t>
        </is>
      </c>
      <c r="HC2" s="2" t="inlineStr">
        <is>
          <t>TRB US Equity</t>
        </is>
      </c>
      <c r="HM2" s="2" t="inlineStr">
        <is>
          <t>AMSG US Equity</t>
        </is>
      </c>
      <c r="HW2" s="2" t="inlineStr">
        <is>
          <t>QDEL US Equity</t>
        </is>
      </c>
      <c r="IG2" s="2" t="inlineStr">
        <is>
          <t>FDC US Equity</t>
        </is>
      </c>
      <c r="IQ2" s="2" t="inlineStr">
        <is>
          <t>PXD US Equity</t>
        </is>
      </c>
      <c r="JA2" s="2" t="inlineStr">
        <is>
          <t>FBF US Equity</t>
        </is>
      </c>
      <c r="JK2" s="2" t="inlineStr">
        <is>
          <t>VISN US Equity</t>
        </is>
      </c>
      <c r="JU2" s="2" t="inlineStr">
        <is>
          <t>nan Equity</t>
        </is>
      </c>
      <c r="KE2" s="2" t="inlineStr">
        <is>
          <t>APO US Equity</t>
        </is>
      </c>
      <c r="KO2" s="2" t="inlineStr">
        <is>
          <t>BX US Equity</t>
        </is>
      </c>
      <c r="KY2" s="2" t="inlineStr">
        <is>
          <t>LVLT US Equity</t>
        </is>
      </c>
      <c r="LI2" s="2" t="inlineStr">
        <is>
          <t>EXC US Equity</t>
        </is>
      </c>
      <c r="LS2" s="2" t="inlineStr">
        <is>
          <t>ORCL US Equity</t>
        </is>
      </c>
      <c r="MC2" s="2" t="inlineStr">
        <is>
          <t>2370058D US Equity</t>
        </is>
      </c>
      <c r="MM2" s="2" t="inlineStr">
        <is>
          <t>TMO US Equity</t>
        </is>
      </c>
      <c r="MW2" s="2" t="inlineStr">
        <is>
          <t>UNH US Equity</t>
        </is>
      </c>
      <c r="NG2" s="2" t="inlineStr">
        <is>
          <t>COHR US Equity</t>
        </is>
      </c>
      <c r="NQ2" s="2" t="inlineStr">
        <is>
          <t>NOV US Equity</t>
        </is>
      </c>
      <c r="OA2" s="2" t="inlineStr">
        <is>
          <t>1255173D US Equity</t>
        </is>
      </c>
    </row>
    <row r="3">
      <c r="A3" t="inlineStr">
        <is>
          <t>Ann: 2016-10-23</t>
        </is>
      </c>
      <c r="K3" t="inlineStr">
        <is>
          <t>Ann: 2011-07-20</t>
        </is>
      </c>
      <c r="U3" t="inlineStr">
        <is>
          <t>Ann: 2018-12-03</t>
        </is>
      </c>
      <c r="AE3" t="inlineStr">
        <is>
          <t>Ann: 1999-08-22</t>
        </is>
      </c>
      <c r="AO3" t="inlineStr">
        <is>
          <t>Ann: 2018-04-29</t>
        </is>
      </c>
      <c r="AY3" t="inlineStr">
        <is>
          <t>Ann: 2015-05-06</t>
        </is>
      </c>
      <c r="BI3" t="inlineStr">
        <is>
          <t>Ann: 2018-01-22</t>
        </is>
      </c>
      <c r="BS3" t="inlineStr">
        <is>
          <t>Ann: 2018-02-23</t>
        </is>
      </c>
      <c r="CC3" t="inlineStr">
        <is>
          <t>Ann: 1999-05-20</t>
        </is>
      </c>
      <c r="CM3" t="inlineStr">
        <is>
          <t>Ann: 2017-08-10</t>
        </is>
      </c>
      <c r="CW3" t="inlineStr">
        <is>
          <t>Ann: 2013-05-20</t>
        </is>
      </c>
      <c r="DG3" t="inlineStr">
        <is>
          <t>Ann: 2005-04-25</t>
        </is>
      </c>
      <c r="DQ3" t="inlineStr">
        <is>
          <t>Ann: 1999-10-04</t>
        </is>
      </c>
      <c r="EA3" t="inlineStr">
        <is>
          <t>Ann: 2017-09-18</t>
        </is>
      </c>
      <c r="EK3" t="inlineStr">
        <is>
          <t>Ann: 2000-11-06</t>
        </is>
      </c>
      <c r="EU3" t="inlineStr">
        <is>
          <t>Ann: 2015-10-08</t>
        </is>
      </c>
      <c r="FE3" t="inlineStr">
        <is>
          <t>Ann: 2004-06-04</t>
        </is>
      </c>
      <c r="FO3" t="inlineStr">
        <is>
          <t>Ann: 2005-10-10</t>
        </is>
      </c>
      <c r="FY3" t="inlineStr">
        <is>
          <t>Ann: 2008-03-17</t>
        </is>
      </c>
      <c r="GI3" t="inlineStr">
        <is>
          <t>Ann: 2000-08-21</t>
        </is>
      </c>
      <c r="GS3" t="inlineStr">
        <is>
          <t>Ann: 2016-02-01</t>
        </is>
      </c>
      <c r="HC3" t="inlineStr">
        <is>
          <t>Ann: 2000-03-13</t>
        </is>
      </c>
      <c r="HM3" t="inlineStr">
        <is>
          <t>Ann: 2016-06-15</t>
        </is>
      </c>
      <c r="HW3" t="inlineStr">
        <is>
          <t>Ann: 2021-12-23</t>
        </is>
      </c>
      <c r="IG3" t="inlineStr">
        <is>
          <t>Ann: 2003-04-02</t>
        </is>
      </c>
      <c r="IQ3" t="inlineStr">
        <is>
          <t>Ann: 2020-10-20</t>
        </is>
      </c>
      <c r="JA3" t="inlineStr">
        <is>
          <t>Ann: 2000-10-02</t>
        </is>
      </c>
      <c r="JK3" t="inlineStr">
        <is>
          <t>Ann: 2018-11-08</t>
        </is>
      </c>
      <c r="JU3" t="inlineStr">
        <is>
          <t>Ann: 2007-03-12</t>
        </is>
      </c>
      <c r="KE3" t="inlineStr">
        <is>
          <t>Ann: 2021-03-08</t>
        </is>
      </c>
      <c r="KO3" t="inlineStr">
        <is>
          <t>Ann: 2018-05-07</t>
        </is>
      </c>
      <c r="KY3" t="inlineStr">
        <is>
          <t>Ann: 2014-06-16</t>
        </is>
      </c>
      <c r="LI3" t="inlineStr">
        <is>
          <t>Ann: 1999-09-23</t>
        </is>
      </c>
      <c r="LS3" t="inlineStr">
        <is>
          <t>Ann: 2007-10-12</t>
        </is>
      </c>
      <c r="MC3" t="inlineStr">
        <is>
          <t>Ann: 2004-05-09</t>
        </is>
      </c>
      <c r="MM3" t="inlineStr">
        <is>
          <t>Ann: 2017-05-15</t>
        </is>
      </c>
      <c r="MW3" t="inlineStr">
        <is>
          <t>Ann: 2005-07-06</t>
        </is>
      </c>
      <c r="NG3" t="inlineStr">
        <is>
          <t>Ann: 2021-03-25</t>
        </is>
      </c>
      <c r="NQ3" t="inlineStr">
        <is>
          <t>Ann: 2007-12-17</t>
        </is>
      </c>
      <c r="OA3" t="inlineStr">
        <is>
          <t>Ann: 2007-05-31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BDS("COL US Equity","SUPPLY_CHAIN_SUPPLIERS","RELATIONSHIP_AS_OF_DATE","20161023")</f>
        <v/>
      </c>
      <c r="F5">
        <f>BDS("COL US Equity","SUPPLY_CHAIN_CUSTOMERS","RELATIONSHIP_AS_OF_DATE","20161023")</f>
        <v/>
      </c>
      <c r="K5">
        <f>BDS("ECL US Equity","SUPPLY_CHAIN_SUPPLIERS","RELATIONSHIP_AS_OF_DATE","20110720")</f>
        <v/>
      </c>
      <c r="P5">
        <f>BDS("ECL US Equity","SUPPLY_CHAIN_CUSTOMERS","RELATIONSHIP_AS_OF_DATE","20110720")</f>
        <v/>
      </c>
      <c r="U5">
        <f>BDS("NXST US Equity","SUPPLY_CHAIN_SUPPLIERS","RELATIONSHIP_AS_OF_DATE","20181203")</f>
        <v/>
      </c>
      <c r="Z5">
        <f>BDS("NXST US Equity","SUPPLY_CHAIN_CUSTOMERS","RELATIONSHIP_AS_OF_DATE","20181203")</f>
        <v/>
      </c>
      <c r="AE5">
        <f>BDS("0961514D US Equity","SUPPLY_CHAIN_SUPPLIERS","RELATIONSHIP_AS_OF_DATE","19990822")</f>
        <v/>
      </c>
      <c r="AJ5">
        <f>BDS("0961514D US Equity","SUPPLY_CHAIN_CUSTOMERS","RELATIONSHIP_AS_OF_DATE","19990822")</f>
        <v/>
      </c>
      <c r="AO5">
        <f>BDS("PLD US Equity","SUPPLY_CHAIN_SUPPLIERS","RELATIONSHIP_AS_OF_DATE","20180429")</f>
        <v/>
      </c>
      <c r="AT5">
        <f>BDS("PLD US Equity","SUPPLY_CHAIN_CUSTOMERS","RELATIONSHIP_AS_OF_DATE","20180429")</f>
        <v/>
      </c>
      <c r="AY5">
        <f>BDS("ALXN US Equity","SUPPLY_CHAIN_SUPPLIERS","RELATIONSHIP_AS_OF_DATE","20150506")</f>
        <v/>
      </c>
      <c r="BD5">
        <f>BDS("ALXN US Equity","SUPPLY_CHAIN_CUSTOMERS","RELATIONSHIP_AS_OF_DATE","20150506")</f>
        <v/>
      </c>
      <c r="BI5">
        <f>BDS("CELG US Equity","SUPPLY_CHAIN_SUPPLIERS","RELATIONSHIP_AS_OF_DATE","20180122")</f>
        <v/>
      </c>
      <c r="BN5">
        <f>BDS("CELG US Equity","SUPPLY_CHAIN_CUSTOMERS","RELATIONSHIP_AS_OF_DATE","20180122")</f>
        <v/>
      </c>
      <c r="BS5">
        <f>BDS("GIS US Equity","SUPPLY_CHAIN_SUPPLIERS","RELATIONSHIP_AS_OF_DATE","20180223")</f>
        <v/>
      </c>
      <c r="BX5">
        <f>BDS("GIS US Equity","SUPPLY_CHAIN_CUSTOMERS","RELATIONSHIP_AS_OF_DATE","20180223")</f>
        <v/>
      </c>
      <c r="CC5">
        <f>BDS("1260972D US Equity","SUPPLY_CHAIN_SUPPLIERS","RELATIONSHIP_AS_OF_DATE","19990520")</f>
        <v/>
      </c>
      <c r="CH5">
        <f>BDS("1260972D US Equity","SUPPLY_CHAIN_CUSTOMERS","RELATIONSHIP_AS_OF_DATE","19990520")</f>
        <v/>
      </c>
      <c r="CM5">
        <f>BDS("INVH US Equity","SUPPLY_CHAIN_SUPPLIERS","RELATIONSHIP_AS_OF_DATE","20170810")</f>
        <v/>
      </c>
      <c r="CR5">
        <f>BDS("INVH US Equity","SUPPLY_CHAIN_CUSTOMERS","RELATIONSHIP_AS_OF_DATE","20170810")</f>
        <v/>
      </c>
      <c r="CW5">
        <f>BDS("AGN US Equity","SUPPLY_CHAIN_SUPPLIERS","RELATIONSHIP_AS_OF_DATE","20130520")</f>
        <v/>
      </c>
      <c r="DB5">
        <f>BDS("AGN US Equity","SUPPLY_CHAIN_CUSTOMERS","RELATIONSHIP_AS_OF_DATE","20130520")</f>
        <v/>
      </c>
      <c r="DG5">
        <f>BDS("VLO US Equity","SUPPLY_CHAIN_SUPPLIERS","RELATIONSHIP_AS_OF_DATE","20050425")</f>
        <v/>
      </c>
      <c r="DL5">
        <f>BDS("VLO US Equity","SUPPLY_CHAIN_CUSTOMERS","RELATIONSHIP_AS_OF_DATE","20050425")</f>
        <v/>
      </c>
      <c r="DQ5">
        <f>BDS("GMST US Equity","SUPPLY_CHAIN_SUPPLIERS","RELATIONSHIP_AS_OF_DATE","19991004")</f>
        <v/>
      </c>
      <c r="DV5">
        <f>BDS("GMST US Equity","SUPPLY_CHAIN_CUSTOMERS","RELATIONSHIP_AS_OF_DATE","19991004")</f>
        <v/>
      </c>
      <c r="EA5">
        <f>BDS("NOC US Equity","SUPPLY_CHAIN_SUPPLIERS","RELATIONSHIP_AS_OF_DATE","20170918")</f>
        <v/>
      </c>
      <c r="EF5">
        <f>BDS("NOC US Equity","SUPPLY_CHAIN_CUSTOMERS","RELATIONSHIP_AS_OF_DATE","20170918")</f>
        <v/>
      </c>
      <c r="EK5">
        <f>BDS("WY US Equity","SUPPLY_CHAIN_SUPPLIERS","RELATIONSHIP_AS_OF_DATE","20001106")</f>
        <v/>
      </c>
      <c r="EP5">
        <f>BDS("WY US Equity","SUPPLY_CHAIN_CUSTOMERS","RELATIONSHIP_AS_OF_DATE","20001106")</f>
        <v/>
      </c>
      <c r="EU5">
        <f>BDS("BX US Equity","SUPPLY_CHAIN_SUPPLIERS","RELATIONSHIP_AS_OF_DATE","20151008")</f>
        <v/>
      </c>
      <c r="EZ5">
        <f>BDS("BX US Equity","SUPPLY_CHAIN_CUSTOMERS","RELATIONSHIP_AS_OF_DATE","20151008")</f>
        <v/>
      </c>
      <c r="FE5">
        <f>BDS("MGM US Equity","SUPPLY_CHAIN_SUPPLIERS","RELATIONSHIP_AS_OF_DATE","20040604")</f>
        <v/>
      </c>
      <c r="FJ5">
        <f>BDS("MGM US Equity","SUPPLY_CHAIN_CUSTOMERS","RELATIONSHIP_AS_OF_DATE","20040604")</f>
        <v/>
      </c>
      <c r="FO5">
        <f>BDS("LNC US Equity","SUPPLY_CHAIN_SUPPLIERS","RELATIONSHIP_AS_OF_DATE","20051010")</f>
        <v/>
      </c>
      <c r="FT5">
        <f>BDS("LNC US Equity","SUPPLY_CHAIN_CUSTOMERS","RELATIONSHIP_AS_OF_DATE","20051010")</f>
        <v/>
      </c>
      <c r="FY5">
        <f>BDS("CME US Equity","SUPPLY_CHAIN_SUPPLIERS","RELATIONSHIP_AS_OF_DATE","20080317")</f>
        <v/>
      </c>
      <c r="GD5">
        <f>BDS("CME US Equity","SUPPLY_CHAIN_CUSTOMERS","RELATIONSHIP_AS_OF_DATE","20080317")</f>
        <v/>
      </c>
      <c r="GI5">
        <f>BDS("RIG US Equity","SUPPLY_CHAIN_SUPPLIERS","RELATIONSHIP_AS_OF_DATE","20000821")</f>
        <v/>
      </c>
      <c r="GN5">
        <f>BDS("RIG US Equity","SUPPLY_CHAIN_CUSTOMERS","RELATIONSHIP_AS_OF_DATE","20000821")</f>
        <v/>
      </c>
      <c r="GS5">
        <f>BDS("ABT US Equity","SUPPLY_CHAIN_SUPPLIERS","RELATIONSHIP_AS_OF_DATE","20160201")</f>
        <v/>
      </c>
      <c r="GX5">
        <f>BDS("ABT US Equity","SUPPLY_CHAIN_CUSTOMERS","RELATIONSHIP_AS_OF_DATE","20160201")</f>
        <v/>
      </c>
      <c r="HC5">
        <f>BDS("TRB US Equity","SUPPLY_CHAIN_SUPPLIERS","RELATIONSHIP_AS_OF_DATE","20000313")</f>
        <v/>
      </c>
      <c r="HH5">
        <f>BDS("TRB US Equity","SUPPLY_CHAIN_CUSTOMERS","RELATIONSHIP_AS_OF_DATE","20000313")</f>
        <v/>
      </c>
      <c r="HM5">
        <f>BDS("AMSG US Equity","SUPPLY_CHAIN_SUPPLIERS","RELATIONSHIP_AS_OF_DATE","20160615")</f>
        <v/>
      </c>
      <c r="HR5">
        <f>BDS("AMSG US Equity","SUPPLY_CHAIN_CUSTOMERS","RELATIONSHIP_AS_OF_DATE","20160615")</f>
        <v/>
      </c>
      <c r="HW5">
        <f>BDS("QDEL US Equity","SUPPLY_CHAIN_SUPPLIERS","RELATIONSHIP_AS_OF_DATE","20211223")</f>
        <v/>
      </c>
      <c r="IB5">
        <f>BDS("QDEL US Equity","SUPPLY_CHAIN_CUSTOMERS","RELATIONSHIP_AS_OF_DATE","20211223")</f>
        <v/>
      </c>
      <c r="IG5">
        <f>BDS("FDC US Equity","SUPPLY_CHAIN_SUPPLIERS","RELATIONSHIP_AS_OF_DATE","20030402")</f>
        <v/>
      </c>
      <c r="IL5">
        <f>BDS("FDC US Equity","SUPPLY_CHAIN_CUSTOMERS","RELATIONSHIP_AS_OF_DATE","20030402")</f>
        <v/>
      </c>
      <c r="IQ5">
        <f>BDS("PXD US Equity","SUPPLY_CHAIN_SUPPLIERS","RELATIONSHIP_AS_OF_DATE","20201020")</f>
        <v/>
      </c>
      <c r="IV5">
        <f>BDS("PXD US Equity","SUPPLY_CHAIN_CUSTOMERS","RELATIONSHIP_AS_OF_DATE","20201020")</f>
        <v/>
      </c>
      <c r="JA5">
        <f>BDS("FBF US Equity","SUPPLY_CHAIN_SUPPLIERS","RELATIONSHIP_AS_OF_DATE","20001002")</f>
        <v/>
      </c>
      <c r="JF5">
        <f>BDS("FBF US Equity","SUPPLY_CHAIN_CUSTOMERS","RELATIONSHIP_AS_OF_DATE","20001002")</f>
        <v/>
      </c>
      <c r="JK5">
        <f>BDS("VISN US Equity","SUPPLY_CHAIN_SUPPLIERS","RELATIONSHIP_AS_OF_DATE","20181108")</f>
        <v/>
      </c>
      <c r="JP5">
        <f>BDS("VISN US Equity","SUPPLY_CHAIN_CUSTOMERS","RELATIONSHIP_AS_OF_DATE","20181108")</f>
        <v/>
      </c>
      <c r="JU5">
        <f>BDS("nan Equity","SUPPLY_CHAIN_SUPPLIERS","RELATIONSHIP_AS_OF_DATE","20070312")</f>
        <v/>
      </c>
      <c r="JZ5">
        <f>BDS("nan Equity","SUPPLY_CHAIN_CUSTOMERS","RELATIONSHIP_AS_OF_DATE","20070312")</f>
        <v/>
      </c>
      <c r="KE5">
        <f>BDS("APO US Equity","SUPPLY_CHAIN_SUPPLIERS","RELATIONSHIP_AS_OF_DATE","20210308")</f>
        <v/>
      </c>
      <c r="KJ5">
        <f>BDS("APO US Equity","SUPPLY_CHAIN_CUSTOMERS","RELATIONSHIP_AS_OF_DATE","20210308")</f>
        <v/>
      </c>
      <c r="KO5">
        <f>BDS("BX US Equity","SUPPLY_CHAIN_SUPPLIERS","RELATIONSHIP_AS_OF_DATE","20180507")</f>
        <v/>
      </c>
      <c r="KT5">
        <f>BDS("BX US Equity","SUPPLY_CHAIN_CUSTOMERS","RELATIONSHIP_AS_OF_DATE","20180507")</f>
        <v/>
      </c>
      <c r="KY5">
        <f>BDS("LVLT US Equity","SUPPLY_CHAIN_SUPPLIERS","RELATIONSHIP_AS_OF_DATE","20140616")</f>
        <v/>
      </c>
      <c r="LD5">
        <f>BDS("LVLT US Equity","SUPPLY_CHAIN_CUSTOMERS","RELATIONSHIP_AS_OF_DATE","20140616")</f>
        <v/>
      </c>
      <c r="LI5">
        <f>BDS("EXC US Equity","SUPPLY_CHAIN_SUPPLIERS","RELATIONSHIP_AS_OF_DATE","19990923")</f>
        <v/>
      </c>
      <c r="LN5">
        <f>BDS("EXC US Equity","SUPPLY_CHAIN_CUSTOMERS","RELATIONSHIP_AS_OF_DATE","19990923")</f>
        <v/>
      </c>
      <c r="LS5">
        <f>BDS("ORCL US Equity","SUPPLY_CHAIN_SUPPLIERS","RELATIONSHIP_AS_OF_DATE","20071012")</f>
        <v/>
      </c>
      <c r="LX5">
        <f>BDS("ORCL US Equity","SUPPLY_CHAIN_CUSTOMERS","RELATIONSHIP_AS_OF_DATE","20071012")</f>
        <v/>
      </c>
      <c r="MC5">
        <f>BDS("2370058D US Equity","SUPPLY_CHAIN_SUPPLIERS","RELATIONSHIP_AS_OF_DATE","20040509")</f>
        <v/>
      </c>
      <c r="MH5">
        <f>BDS("2370058D US Equity","SUPPLY_CHAIN_CUSTOMERS","RELATIONSHIP_AS_OF_DATE","20040509")</f>
        <v/>
      </c>
      <c r="MM5">
        <f>BDS("TMO US Equity","SUPPLY_CHAIN_SUPPLIERS","RELATIONSHIP_AS_OF_DATE","20170515")</f>
        <v/>
      </c>
      <c r="MR5">
        <f>BDS("TMO US Equity","SUPPLY_CHAIN_CUSTOMERS","RELATIONSHIP_AS_OF_DATE","20170515")</f>
        <v/>
      </c>
      <c r="MW5">
        <f>BDS("UNH US Equity","SUPPLY_CHAIN_SUPPLIERS","RELATIONSHIP_AS_OF_DATE","20050706")</f>
        <v/>
      </c>
      <c r="NB5">
        <f>BDS("UNH US Equity","SUPPLY_CHAIN_CUSTOMERS","RELATIONSHIP_AS_OF_DATE","20050706")</f>
        <v/>
      </c>
      <c r="NG5">
        <f>BDS("COHR US Equity","SUPPLY_CHAIN_SUPPLIERS","RELATIONSHIP_AS_OF_DATE","20210325")</f>
        <v/>
      </c>
      <c r="NL5">
        <f>BDS("COHR US Equity","SUPPLY_CHAIN_CUSTOMERS","RELATIONSHIP_AS_OF_DATE","20210325")</f>
        <v/>
      </c>
      <c r="NQ5">
        <f>BDS("NOV US Equity","SUPPLY_CHAIN_SUPPLIERS","RELATIONSHIP_AS_OF_DATE","20071217")</f>
        <v/>
      </c>
      <c r="NV5">
        <f>BDS("NOV US Equity","SUPPLY_CHAIN_CUSTOMERS","RELATIONSHIP_AS_OF_DATE","20071217")</f>
        <v/>
      </c>
      <c r="OA5">
        <f>BDS("1255173D US Equity","SUPPLY_CHAIN_SUPPLIERS","RELATIONSHIP_AS_OF_DATE","20070531")</f>
        <v/>
      </c>
      <c r="OF5">
        <f>BDS("1255173D US Equity","SUPPLY_CHAIN_CUSTOMERS","RELATIONSHIP_AS_OF_DATE","20070531")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321</t>
        </is>
      </c>
      <c r="K1" s="1" t="inlineStr">
        <is>
          <t>Deal 322</t>
        </is>
      </c>
      <c r="U1" s="1" t="inlineStr">
        <is>
          <t>Deal 323</t>
        </is>
      </c>
      <c r="AE1" s="1" t="inlineStr">
        <is>
          <t>Deal 324</t>
        </is>
      </c>
      <c r="AO1" s="1" t="inlineStr">
        <is>
          <t>Deal 325</t>
        </is>
      </c>
      <c r="AY1" s="1" t="inlineStr">
        <is>
          <t>Deal 326</t>
        </is>
      </c>
      <c r="BI1" s="1" t="inlineStr">
        <is>
          <t>Deal 327</t>
        </is>
      </c>
      <c r="BS1" s="1" t="inlineStr">
        <is>
          <t>Deal 328</t>
        </is>
      </c>
      <c r="CC1" s="1" t="inlineStr">
        <is>
          <t>Deal 329</t>
        </is>
      </c>
      <c r="CM1" s="1" t="inlineStr">
        <is>
          <t>Deal 330</t>
        </is>
      </c>
      <c r="CW1" s="1" t="inlineStr">
        <is>
          <t>Deal 331</t>
        </is>
      </c>
      <c r="DG1" s="1" t="inlineStr">
        <is>
          <t>Deal 332</t>
        </is>
      </c>
      <c r="DQ1" s="1" t="inlineStr">
        <is>
          <t>Deal 333</t>
        </is>
      </c>
      <c r="EA1" s="1" t="inlineStr">
        <is>
          <t>Deal 334</t>
        </is>
      </c>
      <c r="EK1" s="1" t="inlineStr">
        <is>
          <t>Deal 335</t>
        </is>
      </c>
      <c r="EU1" s="1" t="inlineStr">
        <is>
          <t>Deal 336</t>
        </is>
      </c>
      <c r="FE1" s="1" t="inlineStr">
        <is>
          <t>Deal 337</t>
        </is>
      </c>
      <c r="FO1" s="1" t="inlineStr">
        <is>
          <t>Deal 338</t>
        </is>
      </c>
      <c r="FY1" s="1" t="inlineStr">
        <is>
          <t>Deal 339</t>
        </is>
      </c>
      <c r="GI1" s="1" t="inlineStr">
        <is>
          <t>Deal 340</t>
        </is>
      </c>
      <c r="GS1" s="1" t="inlineStr">
        <is>
          <t>Deal 341</t>
        </is>
      </c>
      <c r="HC1" s="1" t="inlineStr">
        <is>
          <t>Deal 342</t>
        </is>
      </c>
      <c r="HM1" s="1" t="inlineStr">
        <is>
          <t>Deal 343</t>
        </is>
      </c>
      <c r="HW1" s="1" t="inlineStr">
        <is>
          <t>Deal 344</t>
        </is>
      </c>
      <c r="IG1" s="1" t="inlineStr">
        <is>
          <t>Deal 345</t>
        </is>
      </c>
      <c r="IQ1" s="1" t="inlineStr">
        <is>
          <t>Deal 346</t>
        </is>
      </c>
      <c r="JA1" s="1" t="inlineStr">
        <is>
          <t>Deal 347</t>
        </is>
      </c>
      <c r="JK1" s="1" t="inlineStr">
        <is>
          <t>Deal 348</t>
        </is>
      </c>
      <c r="JU1" s="1" t="inlineStr">
        <is>
          <t>Deal 349</t>
        </is>
      </c>
      <c r="KE1" s="1" t="inlineStr">
        <is>
          <t>Deal 350</t>
        </is>
      </c>
      <c r="KO1" s="1" t="inlineStr">
        <is>
          <t>Deal 351</t>
        </is>
      </c>
      <c r="KY1" s="1" t="inlineStr">
        <is>
          <t>Deal 352</t>
        </is>
      </c>
      <c r="LI1" s="1" t="inlineStr">
        <is>
          <t>Deal 353</t>
        </is>
      </c>
      <c r="LS1" s="1" t="inlineStr">
        <is>
          <t>Deal 354</t>
        </is>
      </c>
      <c r="MC1" s="1" t="inlineStr">
        <is>
          <t>Deal 355</t>
        </is>
      </c>
      <c r="MM1" s="1" t="inlineStr">
        <is>
          <t>Deal 356</t>
        </is>
      </c>
      <c r="MW1" s="1" t="inlineStr">
        <is>
          <t>Deal 357</t>
        </is>
      </c>
      <c r="NG1" s="1" t="inlineStr">
        <is>
          <t>Deal 358</t>
        </is>
      </c>
      <c r="NQ1" s="1" t="inlineStr">
        <is>
          <t>Deal 359</t>
        </is>
      </c>
      <c r="OA1" s="1" t="inlineStr">
        <is>
          <t>Deal 360</t>
        </is>
      </c>
    </row>
    <row r="2">
      <c r="A2" s="2" t="inlineStr">
        <is>
          <t>LLY US Equity</t>
        </is>
      </c>
      <c r="K2" s="2" t="inlineStr">
        <is>
          <t>DHR US Equity</t>
        </is>
      </c>
      <c r="U2" s="2" t="inlineStr">
        <is>
          <t>USB US Equity</t>
        </is>
      </c>
      <c r="AE2" s="2" t="inlineStr">
        <is>
          <t>DBRG US Equity</t>
        </is>
      </c>
      <c r="AO2" s="2" t="inlineStr">
        <is>
          <t>nan Equity</t>
        </is>
      </c>
      <c r="AY2" s="2" t="inlineStr">
        <is>
          <t>OVV US Equity</t>
        </is>
      </c>
      <c r="BI2" s="2" t="inlineStr">
        <is>
          <t>ES US Equity</t>
        </is>
      </c>
      <c r="BS2" s="2" t="inlineStr">
        <is>
          <t>GEC US Equity</t>
        </is>
      </c>
      <c r="CC2" s="2" t="inlineStr">
        <is>
          <t>VTR US Equity</t>
        </is>
      </c>
      <c r="CM2" s="2" t="inlineStr">
        <is>
          <t>ET US Equity</t>
        </is>
      </c>
      <c r="CW2" s="2" t="inlineStr">
        <is>
          <t>WAMUQ US Equity</t>
        </is>
      </c>
      <c r="DG2" s="2" t="inlineStr">
        <is>
          <t>9876456D US Equity</t>
        </is>
      </c>
      <c r="DQ2" s="2" t="inlineStr">
        <is>
          <t>CELG US Equity</t>
        </is>
      </c>
      <c r="EA2" s="2" t="inlineStr">
        <is>
          <t>T US Equity</t>
        </is>
      </c>
      <c r="EK2" s="2" t="inlineStr">
        <is>
          <t>CYH US Equity</t>
        </is>
      </c>
      <c r="EU2" s="2" t="inlineStr">
        <is>
          <t>MNIQQ US Equity</t>
        </is>
      </c>
      <c r="FE2" s="2" t="inlineStr">
        <is>
          <t>INTC US Equity</t>
        </is>
      </c>
      <c r="FO2" s="2" t="inlineStr">
        <is>
          <t>3133754Q US Equity</t>
        </is>
      </c>
      <c r="FY2" s="2" t="inlineStr">
        <is>
          <t>4622869Z US Equity</t>
        </is>
      </c>
      <c r="GI2" s="2" t="inlineStr">
        <is>
          <t>nan Equity</t>
        </is>
      </c>
      <c r="GS2" s="2" t="inlineStr">
        <is>
          <t>CNCEQ US Equity</t>
        </is>
      </c>
      <c r="HC2" s="2" t="inlineStr">
        <is>
          <t>2860436Q US Equity</t>
        </is>
      </c>
      <c r="HM2" s="2" t="inlineStr">
        <is>
          <t>CAG US Equity</t>
        </is>
      </c>
      <c r="HW2" s="2" t="inlineStr">
        <is>
          <t>VZ US Equity</t>
        </is>
      </c>
      <c r="IG2" s="2" t="inlineStr">
        <is>
          <t>TXN US Equity</t>
        </is>
      </c>
      <c r="IQ2" s="2" t="inlineStr">
        <is>
          <t>HR US Equity</t>
        </is>
      </c>
      <c r="JA2" s="2" t="inlineStr">
        <is>
          <t>DUK US Equity</t>
        </is>
      </c>
      <c r="JK2" s="2" t="inlineStr">
        <is>
          <t>LYO US Equity</t>
        </is>
      </c>
      <c r="JU2" s="2" t="inlineStr">
        <is>
          <t>0848680D US Equity</t>
        </is>
      </c>
      <c r="KE2" s="2" t="inlineStr">
        <is>
          <t>APC US Equity</t>
        </is>
      </c>
      <c r="KO2" s="2" t="inlineStr">
        <is>
          <t>CNC US Equity</t>
        </is>
      </c>
      <c r="KY2" s="2" t="inlineStr">
        <is>
          <t>EOP US Equity</t>
        </is>
      </c>
      <c r="LI2" s="2" t="inlineStr">
        <is>
          <t>BMY US Equity</t>
        </is>
      </c>
      <c r="LS2" s="2" t="inlineStr">
        <is>
          <t>SPG US Equity</t>
        </is>
      </c>
      <c r="MC2" s="2" t="inlineStr">
        <is>
          <t>2471693D US Equity</t>
        </is>
      </c>
      <c r="MM2" s="2" t="inlineStr">
        <is>
          <t>ENTG US Equity</t>
        </is>
      </c>
      <c r="MW2" s="2" t="inlineStr">
        <is>
          <t>ELV US Equity</t>
        </is>
      </c>
      <c r="NG2" s="2" t="inlineStr">
        <is>
          <t>EQT US Equity</t>
        </is>
      </c>
      <c r="NQ2" s="2" t="inlineStr">
        <is>
          <t>1255459D US Equity</t>
        </is>
      </c>
      <c r="OA2" s="2" t="inlineStr">
        <is>
          <t>MGM US Equity</t>
        </is>
      </c>
    </row>
    <row r="3">
      <c r="A3" t="inlineStr">
        <is>
          <t>Ann: 2019-01-07</t>
        </is>
      </c>
      <c r="K3" t="inlineStr">
        <is>
          <t>Ann: 2011-02-07</t>
        </is>
      </c>
      <c r="U3" t="inlineStr">
        <is>
          <t>Ann: 1998-07-01</t>
        </is>
      </c>
      <c r="AE3" t="inlineStr">
        <is>
          <t>Ann: 2022-05-11</t>
        </is>
      </c>
      <c r="AO3" t="inlineStr">
        <is>
          <t>Ann: 2018-08-08</t>
        </is>
      </c>
      <c r="AY3" t="inlineStr">
        <is>
          <t>Ann: 2014-09-29</t>
        </is>
      </c>
      <c r="BI3" t="inlineStr">
        <is>
          <t>Ann: 2010-10-18</t>
        </is>
      </c>
      <c r="BS3" t="inlineStr">
        <is>
          <t>Ann: 2000-08-09</t>
        </is>
      </c>
      <c r="CC3" t="inlineStr">
        <is>
          <t>Ann: 2011-02-28</t>
        </is>
      </c>
      <c r="CM3" t="inlineStr">
        <is>
          <t>Ann: 2021-02-17</t>
        </is>
      </c>
      <c r="CW3" t="inlineStr">
        <is>
          <t>Ann: 1997-03-06</t>
        </is>
      </c>
      <c r="DG3" t="inlineStr">
        <is>
          <t>Ann: 2012-04-30</t>
        </is>
      </c>
      <c r="DQ3" t="inlineStr">
        <is>
          <t>Ann: 2015-07-14</t>
        </is>
      </c>
      <c r="EA3" t="inlineStr">
        <is>
          <t>Ann: 1998-01-05</t>
        </is>
      </c>
      <c r="EK3" t="inlineStr">
        <is>
          <t>Ann: 2013-07-30</t>
        </is>
      </c>
      <c r="EU3" t="inlineStr">
        <is>
          <t>Ann: 2006-03-13</t>
        </is>
      </c>
      <c r="FE3" t="inlineStr">
        <is>
          <t>Ann: 2010-08-19</t>
        </is>
      </c>
      <c r="FO3" t="inlineStr">
        <is>
          <t>Ann: 1999-06-01</t>
        </is>
      </c>
      <c r="FY3" t="inlineStr">
        <is>
          <t>Ann: 2007-01-19</t>
        </is>
      </c>
      <c r="GI3" t="inlineStr">
        <is>
          <t>Ann: 2006-06-05</t>
        </is>
      </c>
      <c r="GS3" t="inlineStr">
        <is>
          <t>Ann: 1998-04-07</t>
        </is>
      </c>
      <c r="HC3" t="inlineStr">
        <is>
          <t>Ann: 1998-06-24</t>
        </is>
      </c>
      <c r="HM3" t="inlineStr">
        <is>
          <t>Ann: 2012-11-27</t>
        </is>
      </c>
      <c r="HW3" t="inlineStr">
        <is>
          <t>Ann: 2005-02-14</t>
        </is>
      </c>
      <c r="IG3" t="inlineStr">
        <is>
          <t>Ann: 2000-06-21</t>
        </is>
      </c>
      <c r="IQ3" t="inlineStr">
        <is>
          <t>Ann: 2022-02-28</t>
        </is>
      </c>
      <c r="JA3" t="inlineStr">
        <is>
          <t>Ann: 2015-10-26</t>
        </is>
      </c>
      <c r="JK3" t="inlineStr">
        <is>
          <t>Ann: 1998-06-18</t>
        </is>
      </c>
      <c r="JU3" t="inlineStr">
        <is>
          <t>Ann: 2005-10-24</t>
        </is>
      </c>
      <c r="KE3" t="inlineStr">
        <is>
          <t>Ann: 2000-04-03</t>
        </is>
      </c>
      <c r="KO3" t="inlineStr">
        <is>
          <t>Ann: 2015-07-02</t>
        </is>
      </c>
      <c r="KY3" t="inlineStr">
        <is>
          <t>Ann: 2001-02-23</t>
        </is>
      </c>
      <c r="LI3" t="inlineStr">
        <is>
          <t>Ann: 2012-06-29</t>
        </is>
      </c>
      <c r="LS3" t="inlineStr">
        <is>
          <t>Ann: 2020-02-10</t>
        </is>
      </c>
      <c r="MC3" t="inlineStr">
        <is>
          <t>Ann: 2000-03-13</t>
        </is>
      </c>
      <c r="MM3" t="inlineStr">
        <is>
          <t>Ann: 2021-12-15</t>
        </is>
      </c>
      <c r="MW3" t="inlineStr">
        <is>
          <t>Ann: 2005-09-27</t>
        </is>
      </c>
      <c r="NG3" t="inlineStr">
        <is>
          <t>Ann: 2017-06-19</t>
        </is>
      </c>
      <c r="NQ3" t="inlineStr">
        <is>
          <t>Ann: 2008-06-12</t>
        </is>
      </c>
      <c r="OA3" t="inlineStr">
        <is>
          <t>Ann: 2000-02-23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BDS("LLY US Equity","SUPPLY_CHAIN_SUPPLIERS","RELATIONSHIP_AS_OF_DATE","20190107")</f>
        <v/>
      </c>
      <c r="F5">
        <f>BDS("LLY US Equity","SUPPLY_CHAIN_CUSTOMERS","RELATIONSHIP_AS_OF_DATE","20190107")</f>
        <v/>
      </c>
      <c r="K5">
        <f>BDS("DHR US Equity","SUPPLY_CHAIN_SUPPLIERS","RELATIONSHIP_AS_OF_DATE","20110207")</f>
        <v/>
      </c>
      <c r="P5">
        <f>BDS("DHR US Equity","SUPPLY_CHAIN_CUSTOMERS","RELATIONSHIP_AS_OF_DATE","20110207")</f>
        <v/>
      </c>
      <c r="U5">
        <f>BDS("USB US Equity","SUPPLY_CHAIN_SUPPLIERS","RELATIONSHIP_AS_OF_DATE","19980701")</f>
        <v/>
      </c>
      <c r="Z5">
        <f>BDS("USB US Equity","SUPPLY_CHAIN_CUSTOMERS","RELATIONSHIP_AS_OF_DATE","19980701")</f>
        <v/>
      </c>
      <c r="AE5">
        <f>BDS("DBRG US Equity","SUPPLY_CHAIN_SUPPLIERS","RELATIONSHIP_AS_OF_DATE","20220511")</f>
        <v/>
      </c>
      <c r="AJ5">
        <f>BDS("DBRG US Equity","SUPPLY_CHAIN_CUSTOMERS","RELATIONSHIP_AS_OF_DATE","20220511")</f>
        <v/>
      </c>
      <c r="AO5">
        <f>BDS("nan Equity","SUPPLY_CHAIN_SUPPLIERS","RELATIONSHIP_AS_OF_DATE","20180808")</f>
        <v/>
      </c>
      <c r="AT5">
        <f>BDS("nan Equity","SUPPLY_CHAIN_CUSTOMERS","RELATIONSHIP_AS_OF_DATE","20180808")</f>
        <v/>
      </c>
      <c r="AY5">
        <f>BDS("OVV US Equity","SUPPLY_CHAIN_SUPPLIERS","RELATIONSHIP_AS_OF_DATE","20140929")</f>
        <v/>
      </c>
      <c r="BD5">
        <f>BDS("OVV US Equity","SUPPLY_CHAIN_CUSTOMERS","RELATIONSHIP_AS_OF_DATE","20140929")</f>
        <v/>
      </c>
      <c r="BI5">
        <f>BDS("ES US Equity","SUPPLY_CHAIN_SUPPLIERS","RELATIONSHIP_AS_OF_DATE","20101018")</f>
        <v/>
      </c>
      <c r="BN5">
        <f>BDS("ES US Equity","SUPPLY_CHAIN_CUSTOMERS","RELATIONSHIP_AS_OF_DATE","20101018")</f>
        <v/>
      </c>
      <c r="BS5">
        <f>BDS("GEC US Equity","SUPPLY_CHAIN_SUPPLIERS","RELATIONSHIP_AS_OF_DATE","20000809")</f>
        <v/>
      </c>
      <c r="BX5">
        <f>BDS("GEC US Equity","SUPPLY_CHAIN_CUSTOMERS","RELATIONSHIP_AS_OF_DATE","20000809")</f>
        <v/>
      </c>
      <c r="CC5">
        <f>BDS("VTR US Equity","SUPPLY_CHAIN_SUPPLIERS","RELATIONSHIP_AS_OF_DATE","20110228")</f>
        <v/>
      </c>
      <c r="CH5">
        <f>BDS("VTR US Equity","SUPPLY_CHAIN_CUSTOMERS","RELATIONSHIP_AS_OF_DATE","20110228")</f>
        <v/>
      </c>
      <c r="CM5">
        <f>BDS("ET US Equity","SUPPLY_CHAIN_SUPPLIERS","RELATIONSHIP_AS_OF_DATE","20210217")</f>
        <v/>
      </c>
      <c r="CR5">
        <f>BDS("ET US Equity","SUPPLY_CHAIN_CUSTOMERS","RELATIONSHIP_AS_OF_DATE","20210217")</f>
        <v/>
      </c>
      <c r="CW5">
        <f>BDS("WAMUQ US Equity","SUPPLY_CHAIN_SUPPLIERS","RELATIONSHIP_AS_OF_DATE","19970306")</f>
        <v/>
      </c>
      <c r="DB5">
        <f>BDS("WAMUQ US Equity","SUPPLY_CHAIN_CUSTOMERS","RELATIONSHIP_AS_OF_DATE","19970306")</f>
        <v/>
      </c>
      <c r="DG5">
        <f>BDS("9876456D US Equity","SUPPLY_CHAIN_SUPPLIERS","RELATIONSHIP_AS_OF_DATE","20120430")</f>
        <v/>
      </c>
      <c r="DL5">
        <f>BDS("9876456D US Equity","SUPPLY_CHAIN_CUSTOMERS","RELATIONSHIP_AS_OF_DATE","20120430")</f>
        <v/>
      </c>
      <c r="DQ5">
        <f>BDS("CELG US Equity","SUPPLY_CHAIN_SUPPLIERS","RELATIONSHIP_AS_OF_DATE","20150714")</f>
        <v/>
      </c>
      <c r="DV5">
        <f>BDS("CELG US Equity","SUPPLY_CHAIN_CUSTOMERS","RELATIONSHIP_AS_OF_DATE","20150714")</f>
        <v/>
      </c>
      <c r="EA5">
        <f>BDS("T US Equity","SUPPLY_CHAIN_SUPPLIERS","RELATIONSHIP_AS_OF_DATE","19980105")</f>
        <v/>
      </c>
      <c r="EF5">
        <f>BDS("T US Equity","SUPPLY_CHAIN_CUSTOMERS","RELATIONSHIP_AS_OF_DATE","19980105")</f>
        <v/>
      </c>
      <c r="EK5">
        <f>BDS("CYH US Equity","SUPPLY_CHAIN_SUPPLIERS","RELATIONSHIP_AS_OF_DATE","20130730")</f>
        <v/>
      </c>
      <c r="EP5">
        <f>BDS("CYH US Equity","SUPPLY_CHAIN_CUSTOMERS","RELATIONSHIP_AS_OF_DATE","20130730")</f>
        <v/>
      </c>
      <c r="EU5">
        <f>BDS("MNIQQ US Equity","SUPPLY_CHAIN_SUPPLIERS","RELATIONSHIP_AS_OF_DATE","20060313")</f>
        <v/>
      </c>
      <c r="EZ5">
        <f>BDS("MNIQQ US Equity","SUPPLY_CHAIN_CUSTOMERS","RELATIONSHIP_AS_OF_DATE","20060313")</f>
        <v/>
      </c>
      <c r="FE5">
        <f>BDS("INTC US Equity","SUPPLY_CHAIN_SUPPLIERS","RELATIONSHIP_AS_OF_DATE","20100819")</f>
        <v/>
      </c>
      <c r="FJ5">
        <f>BDS("INTC US Equity","SUPPLY_CHAIN_CUSTOMERS","RELATIONSHIP_AS_OF_DATE","20100819")</f>
        <v/>
      </c>
      <c r="FO5">
        <f>BDS("3133754Q US Equity","SUPPLY_CHAIN_SUPPLIERS","RELATIONSHIP_AS_OF_DATE","19990601")</f>
        <v/>
      </c>
      <c r="FT5">
        <f>BDS("3133754Q US Equity","SUPPLY_CHAIN_CUSTOMERS","RELATIONSHIP_AS_OF_DATE","19990601")</f>
        <v/>
      </c>
      <c r="FY5">
        <f>BDS("4622869Z US Equity","SUPPLY_CHAIN_SUPPLIERS","RELATIONSHIP_AS_OF_DATE","20070119")</f>
        <v/>
      </c>
      <c r="GD5">
        <f>BDS("4622869Z US Equity","SUPPLY_CHAIN_CUSTOMERS","RELATIONSHIP_AS_OF_DATE","20070119")</f>
        <v/>
      </c>
      <c r="GI5">
        <f>BDS("nan Equity","SUPPLY_CHAIN_SUPPLIERS","RELATIONSHIP_AS_OF_DATE","20060605")</f>
        <v/>
      </c>
      <c r="GN5">
        <f>BDS("nan Equity","SUPPLY_CHAIN_CUSTOMERS","RELATIONSHIP_AS_OF_DATE","20060605")</f>
        <v/>
      </c>
      <c r="GS5">
        <f>BDS("CNCEQ US Equity","SUPPLY_CHAIN_SUPPLIERS","RELATIONSHIP_AS_OF_DATE","19980407")</f>
        <v/>
      </c>
      <c r="GX5">
        <f>BDS("CNCEQ US Equity","SUPPLY_CHAIN_CUSTOMERS","RELATIONSHIP_AS_OF_DATE","19980407")</f>
        <v/>
      </c>
      <c r="HC5">
        <f>BDS("2860436Q US Equity","SUPPLY_CHAIN_SUPPLIERS","RELATIONSHIP_AS_OF_DATE","19980624")</f>
        <v/>
      </c>
      <c r="HH5">
        <f>BDS("2860436Q US Equity","SUPPLY_CHAIN_CUSTOMERS","RELATIONSHIP_AS_OF_DATE","19980624")</f>
        <v/>
      </c>
      <c r="HM5">
        <f>BDS("CAG US Equity","SUPPLY_CHAIN_SUPPLIERS","RELATIONSHIP_AS_OF_DATE","20121127")</f>
        <v/>
      </c>
      <c r="HR5">
        <f>BDS("CAG US Equity","SUPPLY_CHAIN_CUSTOMERS","RELATIONSHIP_AS_OF_DATE","20121127")</f>
        <v/>
      </c>
      <c r="HW5">
        <f>BDS("VZ US Equity","SUPPLY_CHAIN_SUPPLIERS","RELATIONSHIP_AS_OF_DATE","20050214")</f>
        <v/>
      </c>
      <c r="IB5">
        <f>BDS("VZ US Equity","SUPPLY_CHAIN_CUSTOMERS","RELATIONSHIP_AS_OF_DATE","20050214")</f>
        <v/>
      </c>
      <c r="IG5">
        <f>BDS("TXN US Equity","SUPPLY_CHAIN_SUPPLIERS","RELATIONSHIP_AS_OF_DATE","20000621")</f>
        <v/>
      </c>
      <c r="IL5">
        <f>BDS("TXN US Equity","SUPPLY_CHAIN_CUSTOMERS","RELATIONSHIP_AS_OF_DATE","20000621")</f>
        <v/>
      </c>
      <c r="IQ5">
        <f>BDS("HR US Equity","SUPPLY_CHAIN_SUPPLIERS","RELATIONSHIP_AS_OF_DATE","20220228")</f>
        <v/>
      </c>
      <c r="IV5">
        <f>BDS("HR US Equity","SUPPLY_CHAIN_CUSTOMERS","RELATIONSHIP_AS_OF_DATE","20220228")</f>
        <v/>
      </c>
      <c r="JA5">
        <f>BDS("DUK US Equity","SUPPLY_CHAIN_SUPPLIERS","RELATIONSHIP_AS_OF_DATE","20151026")</f>
        <v/>
      </c>
      <c r="JF5">
        <f>BDS("DUK US Equity","SUPPLY_CHAIN_CUSTOMERS","RELATIONSHIP_AS_OF_DATE","20151026")</f>
        <v/>
      </c>
      <c r="JK5">
        <f>BDS("LYO US Equity","SUPPLY_CHAIN_SUPPLIERS","RELATIONSHIP_AS_OF_DATE","19980618")</f>
        <v/>
      </c>
      <c r="JP5">
        <f>BDS("LYO US Equity","SUPPLY_CHAIN_CUSTOMERS","RELATIONSHIP_AS_OF_DATE","19980618")</f>
        <v/>
      </c>
      <c r="JU5">
        <f>BDS("0848680D US Equity","SUPPLY_CHAIN_SUPPLIERS","RELATIONSHIP_AS_OF_DATE","20051024")</f>
        <v/>
      </c>
      <c r="JZ5">
        <f>BDS("0848680D US Equity","SUPPLY_CHAIN_CUSTOMERS","RELATIONSHIP_AS_OF_DATE","20051024")</f>
        <v/>
      </c>
      <c r="KE5">
        <f>BDS("APC US Equity","SUPPLY_CHAIN_SUPPLIERS","RELATIONSHIP_AS_OF_DATE","20000403")</f>
        <v/>
      </c>
      <c r="KJ5">
        <f>BDS("APC US Equity","SUPPLY_CHAIN_CUSTOMERS","RELATIONSHIP_AS_OF_DATE","20000403")</f>
        <v/>
      </c>
      <c r="KO5">
        <f>BDS("CNC US Equity","SUPPLY_CHAIN_SUPPLIERS","RELATIONSHIP_AS_OF_DATE","20150702")</f>
        <v/>
      </c>
      <c r="KT5">
        <f>BDS("CNC US Equity","SUPPLY_CHAIN_CUSTOMERS","RELATIONSHIP_AS_OF_DATE","20150702")</f>
        <v/>
      </c>
      <c r="KY5">
        <f>BDS("EOP US Equity","SUPPLY_CHAIN_SUPPLIERS","RELATIONSHIP_AS_OF_DATE","20010223")</f>
        <v/>
      </c>
      <c r="LD5">
        <f>BDS("EOP US Equity","SUPPLY_CHAIN_CUSTOMERS","RELATIONSHIP_AS_OF_DATE","20010223")</f>
        <v/>
      </c>
      <c r="LI5">
        <f>BDS("BMY US Equity","SUPPLY_CHAIN_SUPPLIERS","RELATIONSHIP_AS_OF_DATE","20120629")</f>
        <v/>
      </c>
      <c r="LN5">
        <f>BDS("BMY US Equity","SUPPLY_CHAIN_CUSTOMERS","RELATIONSHIP_AS_OF_DATE","20120629")</f>
        <v/>
      </c>
      <c r="LS5">
        <f>BDS("SPG US Equity","SUPPLY_CHAIN_SUPPLIERS","RELATIONSHIP_AS_OF_DATE","20200210")</f>
        <v/>
      </c>
      <c r="LX5">
        <f>BDS("SPG US Equity","SUPPLY_CHAIN_CUSTOMERS","RELATIONSHIP_AS_OF_DATE","20200210")</f>
        <v/>
      </c>
      <c r="MC5">
        <f>BDS("2471693D US Equity","SUPPLY_CHAIN_SUPPLIERS","RELATIONSHIP_AS_OF_DATE","20000313")</f>
        <v/>
      </c>
      <c r="MH5">
        <f>BDS("2471693D US Equity","SUPPLY_CHAIN_CUSTOMERS","RELATIONSHIP_AS_OF_DATE","20000313")</f>
        <v/>
      </c>
      <c r="MM5">
        <f>BDS("ENTG US Equity","SUPPLY_CHAIN_SUPPLIERS","RELATIONSHIP_AS_OF_DATE","20211215")</f>
        <v/>
      </c>
      <c r="MR5">
        <f>BDS("ENTG US Equity","SUPPLY_CHAIN_CUSTOMERS","RELATIONSHIP_AS_OF_DATE","20211215")</f>
        <v/>
      </c>
      <c r="MW5">
        <f>BDS("ELV US Equity","SUPPLY_CHAIN_SUPPLIERS","RELATIONSHIP_AS_OF_DATE","20050927")</f>
        <v/>
      </c>
      <c r="NB5">
        <f>BDS("ELV US Equity","SUPPLY_CHAIN_CUSTOMERS","RELATIONSHIP_AS_OF_DATE","20050927")</f>
        <v/>
      </c>
      <c r="NG5">
        <f>BDS("EQT US Equity","SUPPLY_CHAIN_SUPPLIERS","RELATIONSHIP_AS_OF_DATE","20170619")</f>
        <v/>
      </c>
      <c r="NL5">
        <f>BDS("EQT US Equity","SUPPLY_CHAIN_CUSTOMERS","RELATIONSHIP_AS_OF_DATE","20170619")</f>
        <v/>
      </c>
      <c r="NQ5">
        <f>BDS("1255459D US Equity","SUPPLY_CHAIN_SUPPLIERS","RELATIONSHIP_AS_OF_DATE","20080612")</f>
        <v/>
      </c>
      <c r="NV5">
        <f>BDS("1255459D US Equity","SUPPLY_CHAIN_CUSTOMERS","RELATIONSHIP_AS_OF_DATE","20080612")</f>
        <v/>
      </c>
      <c r="OA5">
        <f>BDS("MGM US Equity","SUPPLY_CHAIN_SUPPLIERS","RELATIONSHIP_AS_OF_DATE","20000223")</f>
        <v/>
      </c>
      <c r="OF5">
        <f>BDS("MGM US Equity","SUPPLY_CHAIN_CUSTOMERS","RELATIONSHIP_AS_OF_DATE","20000223")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361</t>
        </is>
      </c>
      <c r="K1" s="1" t="inlineStr">
        <is>
          <t>Deal 362</t>
        </is>
      </c>
      <c r="U1" s="1" t="inlineStr">
        <is>
          <t>Deal 363</t>
        </is>
      </c>
      <c r="AE1" s="1" t="inlineStr">
        <is>
          <t>Deal 364</t>
        </is>
      </c>
      <c r="AO1" s="1" t="inlineStr">
        <is>
          <t>Deal 365</t>
        </is>
      </c>
      <c r="AY1" s="1" t="inlineStr">
        <is>
          <t>Deal 366</t>
        </is>
      </c>
      <c r="BI1" s="1" t="inlineStr">
        <is>
          <t>Deal 367</t>
        </is>
      </c>
      <c r="BS1" s="1" t="inlineStr">
        <is>
          <t>Deal 368</t>
        </is>
      </c>
      <c r="CC1" s="1" t="inlineStr">
        <is>
          <t>Deal 369</t>
        </is>
      </c>
      <c r="CM1" s="1" t="inlineStr">
        <is>
          <t>Deal 370</t>
        </is>
      </c>
      <c r="CW1" s="1" t="inlineStr">
        <is>
          <t>Deal 371</t>
        </is>
      </c>
      <c r="DG1" s="1" t="inlineStr">
        <is>
          <t>Deal 372</t>
        </is>
      </c>
      <c r="DQ1" s="1" t="inlineStr">
        <is>
          <t>Deal 373</t>
        </is>
      </c>
      <c r="EA1" s="1" t="inlineStr">
        <is>
          <t>Deal 374</t>
        </is>
      </c>
      <c r="EK1" s="1" t="inlineStr">
        <is>
          <t>Deal 375</t>
        </is>
      </c>
      <c r="EU1" s="1" t="inlineStr">
        <is>
          <t>Deal 376</t>
        </is>
      </c>
      <c r="FE1" s="1" t="inlineStr">
        <is>
          <t>Deal 377</t>
        </is>
      </c>
      <c r="FO1" s="1" t="inlineStr">
        <is>
          <t>Deal 378</t>
        </is>
      </c>
      <c r="FY1" s="1" t="inlineStr">
        <is>
          <t>Deal 379</t>
        </is>
      </c>
      <c r="GI1" s="1" t="inlineStr">
        <is>
          <t>Deal 380</t>
        </is>
      </c>
      <c r="GS1" s="1" t="inlineStr">
        <is>
          <t>Deal 381</t>
        </is>
      </c>
      <c r="HC1" s="1" t="inlineStr">
        <is>
          <t>Deal 382</t>
        </is>
      </c>
      <c r="HM1" s="1" t="inlineStr">
        <is>
          <t>Deal 383</t>
        </is>
      </c>
      <c r="HW1" s="1" t="inlineStr">
        <is>
          <t>Deal 384</t>
        </is>
      </c>
      <c r="IG1" s="1" t="inlineStr">
        <is>
          <t>Deal 385</t>
        </is>
      </c>
      <c r="IQ1" s="1" t="inlineStr">
        <is>
          <t>Deal 386</t>
        </is>
      </c>
      <c r="JA1" s="1" t="inlineStr">
        <is>
          <t>Deal 387</t>
        </is>
      </c>
      <c r="JK1" s="1" t="inlineStr">
        <is>
          <t>Deal 388</t>
        </is>
      </c>
      <c r="JU1" s="1" t="inlineStr">
        <is>
          <t>Deal 389</t>
        </is>
      </c>
      <c r="KE1" s="1" t="inlineStr">
        <is>
          <t>Deal 390</t>
        </is>
      </c>
      <c r="KO1" s="1" t="inlineStr">
        <is>
          <t>Deal 391</t>
        </is>
      </c>
      <c r="KY1" s="1" t="inlineStr">
        <is>
          <t>Deal 392</t>
        </is>
      </c>
      <c r="LI1" s="1" t="inlineStr">
        <is>
          <t>Deal 393</t>
        </is>
      </c>
      <c r="LS1" s="1" t="inlineStr">
        <is>
          <t>Deal 394</t>
        </is>
      </c>
      <c r="MC1" s="1" t="inlineStr">
        <is>
          <t>Deal 395</t>
        </is>
      </c>
      <c r="MM1" s="1" t="inlineStr">
        <is>
          <t>Deal 396</t>
        </is>
      </c>
      <c r="MW1" s="1" t="inlineStr">
        <is>
          <t>Deal 397</t>
        </is>
      </c>
      <c r="NG1" s="1" t="inlineStr">
        <is>
          <t>Deal 398</t>
        </is>
      </c>
      <c r="NQ1" s="1" t="inlineStr">
        <is>
          <t>Deal 399</t>
        </is>
      </c>
      <c r="OA1" s="1" t="inlineStr">
        <is>
          <t>Deal 400</t>
        </is>
      </c>
    </row>
    <row r="2">
      <c r="A2" s="2" t="inlineStr">
        <is>
          <t>TXN US Equity</t>
        </is>
      </c>
      <c r="K2" s="2" t="inlineStr">
        <is>
          <t>CYH US Equity</t>
        </is>
      </c>
      <c r="U2" s="2" t="inlineStr">
        <is>
          <t>DLR US Equity</t>
        </is>
      </c>
      <c r="AE2" s="2" t="inlineStr">
        <is>
          <t>IP US Equity</t>
        </is>
      </c>
      <c r="AO2" s="2" t="inlineStr">
        <is>
          <t>SSCCQ US Equity</t>
        </is>
      </c>
      <c r="AY2" s="2" t="inlineStr">
        <is>
          <t>CSCO US Equity</t>
        </is>
      </c>
      <c r="BI2" s="2" t="inlineStr">
        <is>
          <t>1996074D US Equity</t>
        </is>
      </c>
      <c r="BS2" s="2" t="inlineStr">
        <is>
          <t>CAH US Equity</t>
        </is>
      </c>
      <c r="CC2" s="2" t="inlineStr">
        <is>
          <t>APO US Equity</t>
        </is>
      </c>
      <c r="CM2" s="2" t="inlineStr">
        <is>
          <t>DXC US Equity</t>
        </is>
      </c>
      <c r="CW2" s="2" t="inlineStr">
        <is>
          <t>BIIB US Equity</t>
        </is>
      </c>
      <c r="DG2" s="2" t="inlineStr">
        <is>
          <t>285939Q US Equity</t>
        </is>
      </c>
      <c r="DQ2" s="2" t="inlineStr">
        <is>
          <t>ACM US Equity</t>
        </is>
      </c>
      <c r="EA2" s="2" t="inlineStr">
        <is>
          <t>1715651D US Equity</t>
        </is>
      </c>
      <c r="EK2" s="2" t="inlineStr">
        <is>
          <t>MTCH US Equity</t>
        </is>
      </c>
      <c r="EU2" s="2" t="inlineStr">
        <is>
          <t>NFB US Equity</t>
        </is>
      </c>
      <c r="FE2" s="2" t="inlineStr">
        <is>
          <t>APO US Equity</t>
        </is>
      </c>
      <c r="FO2" s="2" t="inlineStr">
        <is>
          <t>CPB US Equity</t>
        </is>
      </c>
      <c r="FY2" s="2" t="inlineStr">
        <is>
          <t>WLL US Equity</t>
        </is>
      </c>
      <c r="GI2" s="2" t="inlineStr">
        <is>
          <t>DBRG US Equity</t>
        </is>
      </c>
      <c r="GS2" s="2" t="inlineStr">
        <is>
          <t>ALB US Equity</t>
        </is>
      </c>
      <c r="HC2" s="2" t="inlineStr">
        <is>
          <t>NWL US Equity</t>
        </is>
      </c>
      <c r="HM2" s="2" t="inlineStr">
        <is>
          <t>WMB US Equity</t>
        </is>
      </c>
      <c r="HW2" s="2" t="inlineStr">
        <is>
          <t>LLY US Equity</t>
        </is>
      </c>
      <c r="IG2" s="2" t="inlineStr">
        <is>
          <t>TFCFA US Equity</t>
        </is>
      </c>
      <c r="IQ2" s="2" t="inlineStr">
        <is>
          <t>D US Equity</t>
        </is>
      </c>
      <c r="JA2" s="2" t="inlineStr">
        <is>
          <t>EMR US Equity</t>
        </is>
      </c>
      <c r="JK2" s="2" t="inlineStr">
        <is>
          <t>DVN US Equity</t>
        </is>
      </c>
      <c r="JU2" s="2" t="inlineStr">
        <is>
          <t>3692470Q US Equity</t>
        </is>
      </c>
      <c r="KE2" s="2" t="inlineStr">
        <is>
          <t>ESS US Equity</t>
        </is>
      </c>
      <c r="KO2" s="2" t="inlineStr">
        <is>
          <t>CG US Equity</t>
        </is>
      </c>
      <c r="KY2" s="2" t="inlineStr">
        <is>
          <t>TWX US Equity</t>
        </is>
      </c>
      <c r="LI2" s="2" t="inlineStr">
        <is>
          <t>PNC US Equity</t>
        </is>
      </c>
      <c r="LS2" s="2" t="inlineStr">
        <is>
          <t>TFCFA US Equity</t>
        </is>
      </c>
      <c r="MC2" s="2" t="inlineStr">
        <is>
          <t>EPD US Equity</t>
        </is>
      </c>
      <c r="MM2" s="2" t="inlineStr">
        <is>
          <t>REG US Equity</t>
        </is>
      </c>
      <c r="MW2" s="2" t="inlineStr">
        <is>
          <t>ANDV US Equity</t>
        </is>
      </c>
      <c r="NG2" s="2" t="inlineStr">
        <is>
          <t>WBS US Equity</t>
        </is>
      </c>
      <c r="NQ2" s="2" t="inlineStr">
        <is>
          <t>SITC US Equity</t>
        </is>
      </c>
      <c r="OA2" s="2" t="inlineStr">
        <is>
          <t>BEN US Equity</t>
        </is>
      </c>
    </row>
    <row r="3">
      <c r="A3" t="inlineStr">
        <is>
          <t>Ann: 2011-04-04</t>
        </is>
      </c>
      <c r="K3" t="inlineStr">
        <is>
          <t>Ann: 2007-03-19</t>
        </is>
      </c>
      <c r="U3" t="inlineStr">
        <is>
          <t>Ann: 2017-06-09</t>
        </is>
      </c>
      <c r="AE3" t="inlineStr">
        <is>
          <t>Ann: 1998-11-24</t>
        </is>
      </c>
      <c r="AO3" t="inlineStr">
        <is>
          <t>Ann: 1998-05-11</t>
        </is>
      </c>
      <c r="AY3" t="inlineStr">
        <is>
          <t>Ann: 1999-08-26</t>
        </is>
      </c>
      <c r="BI3" t="inlineStr">
        <is>
          <t>Ann: 1999-03-13</t>
        </is>
      </c>
      <c r="BS3" t="inlineStr">
        <is>
          <t>Ann: 1998-10-09</t>
        </is>
      </c>
      <c r="CC3" t="inlineStr">
        <is>
          <t>Ann: 2022-02-23</t>
        </is>
      </c>
      <c r="CM3" t="inlineStr">
        <is>
          <t>Ann: 2016-05-24</t>
        </is>
      </c>
      <c r="CW3" t="inlineStr">
        <is>
          <t>Ann: 2003-06-23</t>
        </is>
      </c>
      <c r="DG3" t="inlineStr">
        <is>
          <t>Ann: 1995-08-20</t>
        </is>
      </c>
      <c r="DQ3" t="inlineStr">
        <is>
          <t>Ann: 2014-07-13</t>
        </is>
      </c>
      <c r="EA3" t="inlineStr">
        <is>
          <t>Ann: 1999-03-15</t>
        </is>
      </c>
      <c r="EK3" t="inlineStr">
        <is>
          <t>Ann: 2019-12-19</t>
        </is>
      </c>
      <c r="EU3" t="inlineStr">
        <is>
          <t>Ann: 2004-02-16</t>
        </is>
      </c>
      <c r="FE3" t="inlineStr">
        <is>
          <t>Ann: 2019-11-13</t>
        </is>
      </c>
      <c r="FO3" t="inlineStr">
        <is>
          <t>Ann: 2017-12-18</t>
        </is>
      </c>
      <c r="FY3" t="inlineStr">
        <is>
          <t>Ann: 2014-07-13</t>
        </is>
      </c>
      <c r="GI3" t="inlineStr">
        <is>
          <t>Ann: 2016-06-03</t>
        </is>
      </c>
      <c r="GS3" t="inlineStr">
        <is>
          <t>Ann: 2014-07-15</t>
        </is>
      </c>
      <c r="HC3" t="inlineStr">
        <is>
          <t>Ann: 1998-10-21</t>
        </is>
      </c>
      <c r="HM3" t="inlineStr">
        <is>
          <t>Ann: 2014-06-15</t>
        </is>
      </c>
      <c r="HW3" t="inlineStr">
        <is>
          <t>Ann: 2008-10-06</t>
        </is>
      </c>
      <c r="IG3" t="inlineStr">
        <is>
          <t>Ann: 2005-01-10</t>
        </is>
      </c>
      <c r="IQ3" t="inlineStr">
        <is>
          <t>Ann: 2016-02-01</t>
        </is>
      </c>
      <c r="JA3" t="inlineStr">
        <is>
          <t>Ann: 2021-10-11</t>
        </is>
      </c>
      <c r="JK3" t="inlineStr">
        <is>
          <t>Ann: 2020-09-28</t>
        </is>
      </c>
      <c r="JU3" t="inlineStr">
        <is>
          <t>Ann: 1998-03-16</t>
        </is>
      </c>
      <c r="KE3" t="inlineStr">
        <is>
          <t>Ann: 2013-12-09</t>
        </is>
      </c>
      <c r="KO3" t="inlineStr">
        <is>
          <t>Ann: 2007-07-02</t>
        </is>
      </c>
      <c r="KY3" t="inlineStr">
        <is>
          <t>Ann: 1998-11-24</t>
        </is>
      </c>
      <c r="LI3" t="inlineStr">
        <is>
          <t>Ann: 2006-10-09</t>
        </is>
      </c>
      <c r="LS3" t="inlineStr">
        <is>
          <t>Ann: 2007-05-01</t>
        </is>
      </c>
      <c r="MC3" t="inlineStr">
        <is>
          <t>Ann: 2009-06-29</t>
        </is>
      </c>
      <c r="MM3" t="inlineStr">
        <is>
          <t>Ann: 2016-11-14</t>
        </is>
      </c>
      <c r="MW3" t="inlineStr">
        <is>
          <t>Ann: 2016-11-17</t>
        </is>
      </c>
      <c r="NG3" t="inlineStr">
        <is>
          <t>Ann: 2021-04-19</t>
        </is>
      </c>
      <c r="NQ3" t="inlineStr">
        <is>
          <t>Ann: 2006-10-23</t>
        </is>
      </c>
      <c r="OA3" t="inlineStr">
        <is>
          <t>Ann: 2020-02-18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BDS("TXN US Equity","SUPPLY_CHAIN_SUPPLIERS","RELATIONSHIP_AS_OF_DATE","20110404")</f>
        <v/>
      </c>
      <c r="F5">
        <f>BDS("TXN US Equity","SUPPLY_CHAIN_CUSTOMERS","RELATIONSHIP_AS_OF_DATE","20110404")</f>
        <v/>
      </c>
      <c r="K5">
        <f>BDS("CYH US Equity","SUPPLY_CHAIN_SUPPLIERS","RELATIONSHIP_AS_OF_DATE","20070319")</f>
        <v/>
      </c>
      <c r="P5">
        <f>BDS("CYH US Equity","SUPPLY_CHAIN_CUSTOMERS","RELATIONSHIP_AS_OF_DATE","20070319")</f>
        <v/>
      </c>
      <c r="U5">
        <f>BDS("DLR US Equity","SUPPLY_CHAIN_SUPPLIERS","RELATIONSHIP_AS_OF_DATE","20170609")</f>
        <v/>
      </c>
      <c r="Z5">
        <f>BDS("DLR US Equity","SUPPLY_CHAIN_CUSTOMERS","RELATIONSHIP_AS_OF_DATE","20170609")</f>
        <v/>
      </c>
      <c r="AE5">
        <f>BDS("IP US Equity","SUPPLY_CHAIN_SUPPLIERS","RELATIONSHIP_AS_OF_DATE","19981124")</f>
        <v/>
      </c>
      <c r="AJ5">
        <f>BDS("IP US Equity","SUPPLY_CHAIN_CUSTOMERS","RELATIONSHIP_AS_OF_DATE","19981124")</f>
        <v/>
      </c>
      <c r="AO5">
        <f>BDS("SSCCQ US Equity","SUPPLY_CHAIN_SUPPLIERS","RELATIONSHIP_AS_OF_DATE","19980511")</f>
        <v/>
      </c>
      <c r="AT5">
        <f>BDS("SSCCQ US Equity","SUPPLY_CHAIN_CUSTOMERS","RELATIONSHIP_AS_OF_DATE","19980511")</f>
        <v/>
      </c>
      <c r="AY5">
        <f>BDS("CSCO US Equity","SUPPLY_CHAIN_SUPPLIERS","RELATIONSHIP_AS_OF_DATE","19990826")</f>
        <v/>
      </c>
      <c r="BD5">
        <f>BDS("CSCO US Equity","SUPPLY_CHAIN_CUSTOMERS","RELATIONSHIP_AS_OF_DATE","19990826")</f>
        <v/>
      </c>
      <c r="BI5">
        <f>BDS("1996074D US Equity","SUPPLY_CHAIN_SUPPLIERS","RELATIONSHIP_AS_OF_DATE","19990313")</f>
        <v/>
      </c>
      <c r="BN5">
        <f>BDS("1996074D US Equity","SUPPLY_CHAIN_CUSTOMERS","RELATIONSHIP_AS_OF_DATE","19990313")</f>
        <v/>
      </c>
      <c r="BS5">
        <f>BDS("CAH US Equity","SUPPLY_CHAIN_SUPPLIERS","RELATIONSHIP_AS_OF_DATE","19981009")</f>
        <v/>
      </c>
      <c r="BX5">
        <f>BDS("CAH US Equity","SUPPLY_CHAIN_CUSTOMERS","RELATIONSHIP_AS_OF_DATE","19981009")</f>
        <v/>
      </c>
      <c r="CC5">
        <f>BDS("APO US Equity","SUPPLY_CHAIN_SUPPLIERS","RELATIONSHIP_AS_OF_DATE","20220223")</f>
        <v/>
      </c>
      <c r="CH5">
        <f>BDS("APO US Equity","SUPPLY_CHAIN_CUSTOMERS","RELATIONSHIP_AS_OF_DATE","20220223")</f>
        <v/>
      </c>
      <c r="CM5">
        <f>BDS("DXC US Equity","SUPPLY_CHAIN_SUPPLIERS","RELATIONSHIP_AS_OF_DATE","20160524")</f>
        <v/>
      </c>
      <c r="CR5">
        <f>BDS("DXC US Equity","SUPPLY_CHAIN_CUSTOMERS","RELATIONSHIP_AS_OF_DATE","20160524")</f>
        <v/>
      </c>
      <c r="CW5">
        <f>BDS("BIIB US Equity","SUPPLY_CHAIN_SUPPLIERS","RELATIONSHIP_AS_OF_DATE","20030623")</f>
        <v/>
      </c>
      <c r="DB5">
        <f>BDS("BIIB US Equity","SUPPLY_CHAIN_CUSTOMERS","RELATIONSHIP_AS_OF_DATE","20030623")</f>
        <v/>
      </c>
      <c r="DG5">
        <f>BDS("285939Q US Equity","SUPPLY_CHAIN_SUPPLIERS","RELATIONSHIP_AS_OF_DATE","19950820")</f>
        <v/>
      </c>
      <c r="DL5">
        <f>BDS("285939Q US Equity","SUPPLY_CHAIN_CUSTOMERS","RELATIONSHIP_AS_OF_DATE","19950820")</f>
        <v/>
      </c>
      <c r="DQ5">
        <f>BDS("ACM US Equity","SUPPLY_CHAIN_SUPPLIERS","RELATIONSHIP_AS_OF_DATE","20140713")</f>
        <v/>
      </c>
      <c r="DV5">
        <f>BDS("ACM US Equity","SUPPLY_CHAIN_CUSTOMERS","RELATIONSHIP_AS_OF_DATE","20140713")</f>
        <v/>
      </c>
      <c r="EA5">
        <f>BDS("1715651D US Equity","SUPPLY_CHAIN_SUPPLIERS","RELATIONSHIP_AS_OF_DATE","19990315")</f>
        <v/>
      </c>
      <c r="EF5">
        <f>BDS("1715651D US Equity","SUPPLY_CHAIN_CUSTOMERS","RELATIONSHIP_AS_OF_DATE","19990315")</f>
        <v/>
      </c>
      <c r="EK5">
        <f>BDS("MTCH US Equity","SUPPLY_CHAIN_SUPPLIERS","RELATIONSHIP_AS_OF_DATE","20191219")</f>
        <v/>
      </c>
      <c r="EP5">
        <f>BDS("MTCH US Equity","SUPPLY_CHAIN_CUSTOMERS","RELATIONSHIP_AS_OF_DATE","20191219")</f>
        <v/>
      </c>
      <c r="EU5">
        <f>BDS("NFB US Equity","SUPPLY_CHAIN_SUPPLIERS","RELATIONSHIP_AS_OF_DATE","20040216")</f>
        <v/>
      </c>
      <c r="EZ5">
        <f>BDS("NFB US Equity","SUPPLY_CHAIN_CUSTOMERS","RELATIONSHIP_AS_OF_DATE","20040216")</f>
        <v/>
      </c>
      <c r="FE5">
        <f>BDS("APO US Equity","SUPPLY_CHAIN_SUPPLIERS","RELATIONSHIP_AS_OF_DATE","20191113")</f>
        <v/>
      </c>
      <c r="FJ5">
        <f>BDS("APO US Equity","SUPPLY_CHAIN_CUSTOMERS","RELATIONSHIP_AS_OF_DATE","20191113")</f>
        <v/>
      </c>
      <c r="FO5">
        <f>BDS("CPB US Equity","SUPPLY_CHAIN_SUPPLIERS","RELATIONSHIP_AS_OF_DATE","20171218")</f>
        <v/>
      </c>
      <c r="FT5">
        <f>BDS("CPB US Equity","SUPPLY_CHAIN_CUSTOMERS","RELATIONSHIP_AS_OF_DATE","20171218")</f>
        <v/>
      </c>
      <c r="FY5">
        <f>BDS("WLL US Equity","SUPPLY_CHAIN_SUPPLIERS","RELATIONSHIP_AS_OF_DATE","20140713")</f>
        <v/>
      </c>
      <c r="GD5">
        <f>BDS("WLL US Equity","SUPPLY_CHAIN_CUSTOMERS","RELATIONSHIP_AS_OF_DATE","20140713")</f>
        <v/>
      </c>
      <c r="GI5">
        <f>BDS("DBRG US Equity","SUPPLY_CHAIN_SUPPLIERS","RELATIONSHIP_AS_OF_DATE","20160603")</f>
        <v/>
      </c>
      <c r="GN5">
        <f>BDS("DBRG US Equity","SUPPLY_CHAIN_CUSTOMERS","RELATIONSHIP_AS_OF_DATE","20160603")</f>
        <v/>
      </c>
      <c r="GS5">
        <f>BDS("ALB US Equity","SUPPLY_CHAIN_SUPPLIERS","RELATIONSHIP_AS_OF_DATE","20140715")</f>
        <v/>
      </c>
      <c r="GX5">
        <f>BDS("ALB US Equity","SUPPLY_CHAIN_CUSTOMERS","RELATIONSHIP_AS_OF_DATE","20140715")</f>
        <v/>
      </c>
      <c r="HC5">
        <f>BDS("NWL US Equity","SUPPLY_CHAIN_SUPPLIERS","RELATIONSHIP_AS_OF_DATE","19981021")</f>
        <v/>
      </c>
      <c r="HH5">
        <f>BDS("NWL US Equity","SUPPLY_CHAIN_CUSTOMERS","RELATIONSHIP_AS_OF_DATE","19981021")</f>
        <v/>
      </c>
      <c r="HM5">
        <f>BDS("WMB US Equity","SUPPLY_CHAIN_SUPPLIERS","RELATIONSHIP_AS_OF_DATE","20140615")</f>
        <v/>
      </c>
      <c r="HR5">
        <f>BDS("WMB US Equity","SUPPLY_CHAIN_CUSTOMERS","RELATIONSHIP_AS_OF_DATE","20140615")</f>
        <v/>
      </c>
      <c r="HW5">
        <f>BDS("LLY US Equity","SUPPLY_CHAIN_SUPPLIERS","RELATIONSHIP_AS_OF_DATE","20081006")</f>
        <v/>
      </c>
      <c r="IB5">
        <f>BDS("LLY US Equity","SUPPLY_CHAIN_CUSTOMERS","RELATIONSHIP_AS_OF_DATE","20081006")</f>
        <v/>
      </c>
      <c r="IG5">
        <f>BDS("TFCFA US Equity","SUPPLY_CHAIN_SUPPLIERS","RELATIONSHIP_AS_OF_DATE","20050110")</f>
        <v/>
      </c>
      <c r="IL5">
        <f>BDS("TFCFA US Equity","SUPPLY_CHAIN_CUSTOMERS","RELATIONSHIP_AS_OF_DATE","20050110")</f>
        <v/>
      </c>
      <c r="IQ5">
        <f>BDS("D US Equity","SUPPLY_CHAIN_SUPPLIERS","RELATIONSHIP_AS_OF_DATE","20160201")</f>
        <v/>
      </c>
      <c r="IV5">
        <f>BDS("D US Equity","SUPPLY_CHAIN_CUSTOMERS","RELATIONSHIP_AS_OF_DATE","20160201")</f>
        <v/>
      </c>
      <c r="JA5">
        <f>BDS("EMR US Equity","SUPPLY_CHAIN_SUPPLIERS","RELATIONSHIP_AS_OF_DATE","20211011")</f>
        <v/>
      </c>
      <c r="JF5">
        <f>BDS("EMR US Equity","SUPPLY_CHAIN_CUSTOMERS","RELATIONSHIP_AS_OF_DATE","20211011")</f>
        <v/>
      </c>
      <c r="JK5">
        <f>BDS("DVN US Equity","SUPPLY_CHAIN_SUPPLIERS","RELATIONSHIP_AS_OF_DATE","20200928")</f>
        <v/>
      </c>
      <c r="JP5">
        <f>BDS("DVN US Equity","SUPPLY_CHAIN_CUSTOMERS","RELATIONSHIP_AS_OF_DATE","20200928")</f>
        <v/>
      </c>
      <c r="JU5">
        <f>BDS("3692470Q US Equity","SUPPLY_CHAIN_SUPPLIERS","RELATIONSHIP_AS_OF_DATE","19980316")</f>
        <v/>
      </c>
      <c r="JZ5">
        <f>BDS("3692470Q US Equity","SUPPLY_CHAIN_CUSTOMERS","RELATIONSHIP_AS_OF_DATE","19980316")</f>
        <v/>
      </c>
      <c r="KE5">
        <f>BDS("ESS US Equity","SUPPLY_CHAIN_SUPPLIERS","RELATIONSHIP_AS_OF_DATE","20131209")</f>
        <v/>
      </c>
      <c r="KJ5">
        <f>BDS("ESS US Equity","SUPPLY_CHAIN_CUSTOMERS","RELATIONSHIP_AS_OF_DATE","20131209")</f>
        <v/>
      </c>
      <c r="KO5">
        <f>BDS("CG US Equity","SUPPLY_CHAIN_SUPPLIERS","RELATIONSHIP_AS_OF_DATE","20070702")</f>
        <v/>
      </c>
      <c r="KT5">
        <f>BDS("CG US Equity","SUPPLY_CHAIN_CUSTOMERS","RELATIONSHIP_AS_OF_DATE","20070702")</f>
        <v/>
      </c>
      <c r="KY5">
        <f>BDS("TWX US Equity","SUPPLY_CHAIN_SUPPLIERS","RELATIONSHIP_AS_OF_DATE","19981124")</f>
        <v/>
      </c>
      <c r="LD5">
        <f>BDS("TWX US Equity","SUPPLY_CHAIN_CUSTOMERS","RELATIONSHIP_AS_OF_DATE","19981124")</f>
        <v/>
      </c>
      <c r="LI5">
        <f>BDS("PNC US Equity","SUPPLY_CHAIN_SUPPLIERS","RELATIONSHIP_AS_OF_DATE","20061009")</f>
        <v/>
      </c>
      <c r="LN5">
        <f>BDS("PNC US Equity","SUPPLY_CHAIN_CUSTOMERS","RELATIONSHIP_AS_OF_DATE","20061009")</f>
        <v/>
      </c>
      <c r="LS5">
        <f>BDS("TFCFA US Equity","SUPPLY_CHAIN_SUPPLIERS","RELATIONSHIP_AS_OF_DATE","20070501")</f>
        <v/>
      </c>
      <c r="LX5">
        <f>BDS("TFCFA US Equity","SUPPLY_CHAIN_CUSTOMERS","RELATIONSHIP_AS_OF_DATE","20070501")</f>
        <v/>
      </c>
      <c r="MC5">
        <f>BDS("EPD US Equity","SUPPLY_CHAIN_SUPPLIERS","RELATIONSHIP_AS_OF_DATE","20090629")</f>
        <v/>
      </c>
      <c r="MH5">
        <f>BDS("EPD US Equity","SUPPLY_CHAIN_CUSTOMERS","RELATIONSHIP_AS_OF_DATE","20090629")</f>
        <v/>
      </c>
      <c r="MM5">
        <f>BDS("REG US Equity","SUPPLY_CHAIN_SUPPLIERS","RELATIONSHIP_AS_OF_DATE","20161114")</f>
        <v/>
      </c>
      <c r="MR5">
        <f>BDS("REG US Equity","SUPPLY_CHAIN_CUSTOMERS","RELATIONSHIP_AS_OF_DATE","20161114")</f>
        <v/>
      </c>
      <c r="MW5">
        <f>BDS("ANDV US Equity","SUPPLY_CHAIN_SUPPLIERS","RELATIONSHIP_AS_OF_DATE","20161117")</f>
        <v/>
      </c>
      <c r="NB5">
        <f>BDS("ANDV US Equity","SUPPLY_CHAIN_CUSTOMERS","RELATIONSHIP_AS_OF_DATE","20161117")</f>
        <v/>
      </c>
      <c r="NG5">
        <f>BDS("WBS US Equity","SUPPLY_CHAIN_SUPPLIERS","RELATIONSHIP_AS_OF_DATE","20210419")</f>
        <v/>
      </c>
      <c r="NL5">
        <f>BDS("WBS US Equity","SUPPLY_CHAIN_CUSTOMERS","RELATIONSHIP_AS_OF_DATE","20210419")</f>
        <v/>
      </c>
      <c r="NQ5">
        <f>BDS("SITC US Equity","SUPPLY_CHAIN_SUPPLIERS","RELATIONSHIP_AS_OF_DATE","20061023")</f>
        <v/>
      </c>
      <c r="NV5">
        <f>BDS("SITC US Equity","SUPPLY_CHAIN_CUSTOMERS","RELATIONSHIP_AS_OF_DATE","20061023")</f>
        <v/>
      </c>
      <c r="OA5">
        <f>BDS("BEN US Equity","SUPPLY_CHAIN_SUPPLIERS","RELATIONSHIP_AS_OF_DATE","20200218")</f>
        <v/>
      </c>
      <c r="OF5">
        <f>BDS("BEN US Equity","SUPPLY_CHAIN_CUSTOMERS","RELATIONSHIP_AS_OF_DATE","20200218")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401</t>
        </is>
      </c>
      <c r="K1" s="1" t="inlineStr">
        <is>
          <t>Deal 402</t>
        </is>
      </c>
      <c r="U1" s="1" t="inlineStr">
        <is>
          <t>Deal 403</t>
        </is>
      </c>
      <c r="AE1" s="1" t="inlineStr">
        <is>
          <t>Deal 404</t>
        </is>
      </c>
      <c r="AO1" s="1" t="inlineStr">
        <is>
          <t>Deal 405</t>
        </is>
      </c>
      <c r="AY1" s="1" t="inlineStr">
        <is>
          <t>Deal 406</t>
        </is>
      </c>
      <c r="BI1" s="1" t="inlineStr">
        <is>
          <t>Deal 407</t>
        </is>
      </c>
      <c r="BS1" s="1" t="inlineStr">
        <is>
          <t>Deal 408</t>
        </is>
      </c>
      <c r="CC1" s="1" t="inlineStr">
        <is>
          <t>Deal 409</t>
        </is>
      </c>
      <c r="CM1" s="1" t="inlineStr">
        <is>
          <t>Deal 410</t>
        </is>
      </c>
      <c r="CW1" s="1" t="inlineStr">
        <is>
          <t>Deal 411</t>
        </is>
      </c>
      <c r="DG1" s="1" t="inlineStr">
        <is>
          <t>Deal 412</t>
        </is>
      </c>
      <c r="DQ1" s="1" t="inlineStr">
        <is>
          <t>Deal 413</t>
        </is>
      </c>
      <c r="EA1" s="1" t="inlineStr">
        <is>
          <t>Deal 414</t>
        </is>
      </c>
      <c r="EK1" s="1" t="inlineStr">
        <is>
          <t>Deal 415</t>
        </is>
      </c>
      <c r="EU1" s="1" t="inlineStr">
        <is>
          <t>Deal 416</t>
        </is>
      </c>
      <c r="FE1" s="1" t="inlineStr">
        <is>
          <t>Deal 417</t>
        </is>
      </c>
      <c r="FO1" s="1" t="inlineStr">
        <is>
          <t>Deal 418</t>
        </is>
      </c>
      <c r="FY1" s="1" t="inlineStr">
        <is>
          <t>Deal 419</t>
        </is>
      </c>
      <c r="GI1" s="1" t="inlineStr">
        <is>
          <t>Deal 420</t>
        </is>
      </c>
      <c r="GS1" s="1" t="inlineStr">
        <is>
          <t>Deal 421</t>
        </is>
      </c>
      <c r="HC1" s="1" t="inlineStr">
        <is>
          <t>Deal 422</t>
        </is>
      </c>
      <c r="HM1" s="1" t="inlineStr">
        <is>
          <t>Deal 423</t>
        </is>
      </c>
      <c r="HW1" s="1" t="inlineStr">
        <is>
          <t>Deal 424</t>
        </is>
      </c>
      <c r="IG1" s="1" t="inlineStr">
        <is>
          <t>Deal 425</t>
        </is>
      </c>
      <c r="IQ1" s="1" t="inlineStr">
        <is>
          <t>Deal 426</t>
        </is>
      </c>
      <c r="JA1" s="1" t="inlineStr">
        <is>
          <t>Deal 427</t>
        </is>
      </c>
      <c r="JK1" s="1" t="inlineStr">
        <is>
          <t>Deal 428</t>
        </is>
      </c>
      <c r="JU1" s="1" t="inlineStr">
        <is>
          <t>Deal 429</t>
        </is>
      </c>
      <c r="KE1" s="1" t="inlineStr">
        <is>
          <t>Deal 430</t>
        </is>
      </c>
      <c r="KO1" s="1" t="inlineStr">
        <is>
          <t>Deal 431</t>
        </is>
      </c>
      <c r="KY1" s="1" t="inlineStr">
        <is>
          <t>Deal 432</t>
        </is>
      </c>
      <c r="LI1" s="1" t="inlineStr">
        <is>
          <t>Deal 433</t>
        </is>
      </c>
      <c r="LS1" s="1" t="inlineStr">
        <is>
          <t>Deal 434</t>
        </is>
      </c>
      <c r="MC1" s="1" t="inlineStr">
        <is>
          <t>Deal 435</t>
        </is>
      </c>
      <c r="MM1" s="1" t="inlineStr">
        <is>
          <t>Deal 436</t>
        </is>
      </c>
      <c r="MW1" s="1" t="inlineStr">
        <is>
          <t>Deal 437</t>
        </is>
      </c>
      <c r="NG1" s="1" t="inlineStr">
        <is>
          <t>Deal 438</t>
        </is>
      </c>
      <c r="NQ1" s="1" t="inlineStr">
        <is>
          <t>Deal 439</t>
        </is>
      </c>
      <c r="OA1" s="1" t="inlineStr">
        <is>
          <t>Deal 440</t>
        </is>
      </c>
    </row>
    <row r="2">
      <c r="A2" s="2" t="inlineStr">
        <is>
          <t>DIS US Equity</t>
        </is>
      </c>
      <c r="K2" s="2" t="inlineStr">
        <is>
          <t>JNJ US Equity</t>
        </is>
      </c>
      <c r="U2" s="2" t="inlineStr">
        <is>
          <t>nan Equity</t>
        </is>
      </c>
      <c r="AE2" s="2" t="inlineStr">
        <is>
          <t>PENN US Equity</t>
        </is>
      </c>
      <c r="AO2" s="2" t="inlineStr">
        <is>
          <t>VLO US Equity</t>
        </is>
      </c>
      <c r="AY2" s="2" t="inlineStr">
        <is>
          <t>PXP US Equity</t>
        </is>
      </c>
      <c r="BI2" s="2" t="inlineStr">
        <is>
          <t>FSK US Equity</t>
        </is>
      </c>
      <c r="BS2" s="2" t="inlineStr">
        <is>
          <t>HBAN US Equity</t>
        </is>
      </c>
      <c r="CC2" s="2" t="inlineStr">
        <is>
          <t>GLPI US Equity</t>
        </is>
      </c>
      <c r="CM2" s="2" t="inlineStr">
        <is>
          <t>ORCL US Equity</t>
        </is>
      </c>
      <c r="CW2" s="2" t="inlineStr">
        <is>
          <t>nan Equity</t>
        </is>
      </c>
      <c r="DG2" s="2" t="inlineStr">
        <is>
          <t>CCI US Equity</t>
        </is>
      </c>
      <c r="DQ2" s="2" t="inlineStr">
        <is>
          <t>NLY US Equity</t>
        </is>
      </c>
      <c r="EA2" s="2" t="inlineStr">
        <is>
          <t>CRM US Equity</t>
        </is>
      </c>
      <c r="EK2" s="2" t="inlineStr">
        <is>
          <t>1793839D US Equity</t>
        </is>
      </c>
      <c r="EU2" s="2" t="inlineStr">
        <is>
          <t>9210611D US Equity</t>
        </is>
      </c>
      <c r="FE2" s="2" t="inlineStr">
        <is>
          <t>HOLX US Equity</t>
        </is>
      </c>
      <c r="FO2" s="2" t="inlineStr">
        <is>
          <t>AA US Equity</t>
        </is>
      </c>
      <c r="FY2" s="2" t="inlineStr">
        <is>
          <t>nan Equity</t>
        </is>
      </c>
      <c r="GI2" s="2" t="inlineStr">
        <is>
          <t>BX US Equity</t>
        </is>
      </c>
      <c r="GS2" s="2" t="inlineStr">
        <is>
          <t>nan Equity</t>
        </is>
      </c>
      <c r="HC2" s="2" t="inlineStr">
        <is>
          <t>WAMUQ US Equity</t>
        </is>
      </c>
      <c r="HM2" s="2" t="inlineStr">
        <is>
          <t>BKR US Equity</t>
        </is>
      </c>
      <c r="HW2" s="2" t="inlineStr">
        <is>
          <t>AET US Equity</t>
        </is>
      </c>
      <c r="IG2" s="2" t="inlineStr">
        <is>
          <t>nan Equity</t>
        </is>
      </c>
      <c r="IQ2" s="2" t="inlineStr">
        <is>
          <t>SSNC US Equity</t>
        </is>
      </c>
      <c r="JA2" s="2" t="inlineStr">
        <is>
          <t>nan Equity</t>
        </is>
      </c>
      <c r="JK2" s="2" t="inlineStr">
        <is>
          <t>9980328D US Equity</t>
        </is>
      </c>
      <c r="JU2" s="2" t="inlineStr">
        <is>
          <t>UNP US Equity</t>
        </is>
      </c>
      <c r="KE2" s="2" t="inlineStr">
        <is>
          <t>KIM US Equity</t>
        </is>
      </c>
      <c r="KO2" s="2" t="inlineStr">
        <is>
          <t>AVGO US Equity</t>
        </is>
      </c>
      <c r="KY2" s="2" t="inlineStr">
        <is>
          <t>PLD US Equity</t>
        </is>
      </c>
      <c r="LI2" s="2" t="inlineStr">
        <is>
          <t>BKR US Equity</t>
        </is>
      </c>
      <c r="LS2" s="2" t="inlineStr">
        <is>
          <t>WPC US Equity</t>
        </is>
      </c>
      <c r="MC2" s="2" t="inlineStr">
        <is>
          <t>MSFT US Equity</t>
        </is>
      </c>
      <c r="MM2" s="2" t="inlineStr">
        <is>
          <t>MNKTQ US Equity</t>
        </is>
      </c>
      <c r="MW2" s="2" t="inlineStr">
        <is>
          <t>C US Equity</t>
        </is>
      </c>
      <c r="NG2" s="2" t="inlineStr">
        <is>
          <t>PFE US Equity</t>
        </is>
      </c>
      <c r="NQ2" s="2" t="inlineStr">
        <is>
          <t>AIG US Equity</t>
        </is>
      </c>
      <c r="OA2" s="2" t="inlineStr">
        <is>
          <t>BX US Equity</t>
        </is>
      </c>
    </row>
    <row r="3">
      <c r="A3" t="inlineStr">
        <is>
          <t>Ann: 2006-01-24</t>
        </is>
      </c>
      <c r="K3" t="inlineStr">
        <is>
          <t>Ann: 2020-08-19</t>
        </is>
      </c>
      <c r="U3" t="inlineStr">
        <is>
          <t>Ann: 2015-09-13</t>
        </is>
      </c>
      <c r="AE3" t="inlineStr">
        <is>
          <t>Ann: 2017-12-18</t>
        </is>
      </c>
      <c r="AO3" t="inlineStr">
        <is>
          <t>Ann: 2001-05-07</t>
        </is>
      </c>
      <c r="AY3" t="inlineStr">
        <is>
          <t>Ann: 2007-07-17</t>
        </is>
      </c>
      <c r="BI3" t="inlineStr">
        <is>
          <t>Ann: 2020-11-24</t>
        </is>
      </c>
      <c r="BS3" t="inlineStr">
        <is>
          <t>Ann: 2020-12-13</t>
        </is>
      </c>
      <c r="CC3" t="inlineStr">
        <is>
          <t>Ann: 2015-03-09</t>
        </is>
      </c>
      <c r="CM3" t="inlineStr">
        <is>
          <t>Ann: 2009-04-20</t>
        </is>
      </c>
      <c r="CW3" t="inlineStr">
        <is>
          <t>Ann: 2019-12-17</t>
        </is>
      </c>
      <c r="DG3" t="inlineStr">
        <is>
          <t>Ann: 2006-10-06</t>
        </is>
      </c>
      <c r="DQ3" t="inlineStr">
        <is>
          <t>Ann: 2018-05-02</t>
        </is>
      </c>
      <c r="EA3" t="inlineStr">
        <is>
          <t>Ann: 2018-03-20</t>
        </is>
      </c>
      <c r="EK3" t="inlineStr">
        <is>
          <t>Ann: 2013-10-10</t>
        </is>
      </c>
      <c r="EU3" t="inlineStr">
        <is>
          <t>Ann: 2007-02-19</t>
        </is>
      </c>
      <c r="FE3" t="inlineStr">
        <is>
          <t>Ann: 2007-05-20</t>
        </is>
      </c>
      <c r="FO3" t="inlineStr">
        <is>
          <t>Ann: 1999-08-11</t>
        </is>
      </c>
      <c r="FY3" t="inlineStr">
        <is>
          <t>Ann: 2021-03-15</t>
        </is>
      </c>
      <c r="GI3" t="inlineStr">
        <is>
          <t>Ann: 2015-09-08</t>
        </is>
      </c>
      <c r="GS3" t="inlineStr">
        <is>
          <t>Ann: 2006-06-30</t>
        </is>
      </c>
      <c r="HC3" t="inlineStr">
        <is>
          <t>Ann: 2005-06-06</t>
        </is>
      </c>
      <c r="HM3" t="inlineStr">
        <is>
          <t>Ann: 1998-05-11</t>
        </is>
      </c>
      <c r="HW3" t="inlineStr">
        <is>
          <t>Ann: 2012-08-20</t>
        </is>
      </c>
      <c r="IG3" t="inlineStr">
        <is>
          <t>Ann: 2007-06-28</t>
        </is>
      </c>
      <c r="IQ3" t="inlineStr">
        <is>
          <t>Ann: 2018-01-11</t>
        </is>
      </c>
      <c r="JA3" t="inlineStr">
        <is>
          <t>Ann: 2007-06-20</t>
        </is>
      </c>
      <c r="JK3" t="inlineStr">
        <is>
          <t>Ann: 2014-11-03</t>
        </is>
      </c>
      <c r="JU3" t="inlineStr">
        <is>
          <t>Ann: 1995-08-03</t>
        </is>
      </c>
      <c r="KE3" t="inlineStr">
        <is>
          <t>Ann: 2021-04-15</t>
        </is>
      </c>
      <c r="KO3" t="inlineStr">
        <is>
          <t>Ann: 2016-11-02</t>
        </is>
      </c>
      <c r="KY3" t="inlineStr">
        <is>
          <t>Ann: 2019-07-16</t>
        </is>
      </c>
      <c r="LI3" t="inlineStr">
        <is>
          <t>Ann: 2009-08-31</t>
        </is>
      </c>
      <c r="LS3" t="inlineStr">
        <is>
          <t>Ann: 2018-06-18</t>
        </is>
      </c>
      <c r="MC3" t="inlineStr">
        <is>
          <t>Ann: 2007-05-18</t>
        </is>
      </c>
      <c r="MM3" t="inlineStr">
        <is>
          <t>Ann: 2014-04-07</t>
        </is>
      </c>
      <c r="MW3" t="inlineStr">
        <is>
          <t>Ann: 2002-05-21</t>
        </is>
      </c>
      <c r="NG3" t="inlineStr">
        <is>
          <t>Ann: 2021-12-13</t>
        </is>
      </c>
      <c r="NQ3" t="inlineStr">
        <is>
          <t>Ann: 2018-01-22</t>
        </is>
      </c>
      <c r="OA3" t="inlineStr">
        <is>
          <t>Ann: 2021-06-07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BDS("DIS US Equity","SUPPLY_CHAIN_SUPPLIERS","RELATIONSHIP_AS_OF_DATE","20060124")</f>
        <v/>
      </c>
      <c r="F5">
        <f>BDS("DIS US Equity","SUPPLY_CHAIN_CUSTOMERS","RELATIONSHIP_AS_OF_DATE","20060124")</f>
        <v/>
      </c>
      <c r="K5">
        <f>BDS("JNJ US Equity","SUPPLY_CHAIN_SUPPLIERS","RELATIONSHIP_AS_OF_DATE","20200819")</f>
        <v/>
      </c>
      <c r="P5">
        <f>BDS("JNJ US Equity","SUPPLY_CHAIN_CUSTOMERS","RELATIONSHIP_AS_OF_DATE","20200819")</f>
        <v/>
      </c>
      <c r="U5">
        <f>BDS("nan Equity","SUPPLY_CHAIN_SUPPLIERS","RELATIONSHIP_AS_OF_DATE","20150913")</f>
        <v/>
      </c>
      <c r="Z5">
        <f>BDS("nan Equity","SUPPLY_CHAIN_CUSTOMERS","RELATIONSHIP_AS_OF_DATE","20150913")</f>
        <v/>
      </c>
      <c r="AE5">
        <f>BDS("PENN US Equity","SUPPLY_CHAIN_SUPPLIERS","RELATIONSHIP_AS_OF_DATE","20171218")</f>
        <v/>
      </c>
      <c r="AJ5">
        <f>BDS("PENN US Equity","SUPPLY_CHAIN_CUSTOMERS","RELATIONSHIP_AS_OF_DATE","20171218")</f>
        <v/>
      </c>
      <c r="AO5">
        <f>BDS("VLO US Equity","SUPPLY_CHAIN_SUPPLIERS","RELATIONSHIP_AS_OF_DATE","20010507")</f>
        <v/>
      </c>
      <c r="AT5">
        <f>BDS("VLO US Equity","SUPPLY_CHAIN_CUSTOMERS","RELATIONSHIP_AS_OF_DATE","20010507")</f>
        <v/>
      </c>
      <c r="AY5">
        <f>BDS("PXP US Equity","SUPPLY_CHAIN_SUPPLIERS","RELATIONSHIP_AS_OF_DATE","20070717")</f>
        <v/>
      </c>
      <c r="BD5">
        <f>BDS("PXP US Equity","SUPPLY_CHAIN_CUSTOMERS","RELATIONSHIP_AS_OF_DATE","20070717")</f>
        <v/>
      </c>
      <c r="BI5">
        <f>BDS("FSK US Equity","SUPPLY_CHAIN_SUPPLIERS","RELATIONSHIP_AS_OF_DATE","20201124")</f>
        <v/>
      </c>
      <c r="BN5">
        <f>BDS("FSK US Equity","SUPPLY_CHAIN_CUSTOMERS","RELATIONSHIP_AS_OF_DATE","20201124")</f>
        <v/>
      </c>
      <c r="BS5">
        <f>BDS("HBAN US Equity","SUPPLY_CHAIN_SUPPLIERS","RELATIONSHIP_AS_OF_DATE","20201213")</f>
        <v/>
      </c>
      <c r="BX5">
        <f>BDS("HBAN US Equity","SUPPLY_CHAIN_CUSTOMERS","RELATIONSHIP_AS_OF_DATE","20201213")</f>
        <v/>
      </c>
      <c r="CC5">
        <f>BDS("GLPI US Equity","SUPPLY_CHAIN_SUPPLIERS","RELATIONSHIP_AS_OF_DATE","20150309")</f>
        <v/>
      </c>
      <c r="CH5">
        <f>BDS("GLPI US Equity","SUPPLY_CHAIN_CUSTOMERS","RELATIONSHIP_AS_OF_DATE","20150309")</f>
        <v/>
      </c>
      <c r="CM5">
        <f>BDS("ORCL US Equity","SUPPLY_CHAIN_SUPPLIERS","RELATIONSHIP_AS_OF_DATE","20090420")</f>
        <v/>
      </c>
      <c r="CR5">
        <f>BDS("ORCL US Equity","SUPPLY_CHAIN_CUSTOMERS","RELATIONSHIP_AS_OF_DATE","20090420")</f>
        <v/>
      </c>
      <c r="CW5">
        <f>BDS("nan Equity","SUPPLY_CHAIN_SUPPLIERS","RELATIONSHIP_AS_OF_DATE","20191217")</f>
        <v/>
      </c>
      <c r="DB5">
        <f>BDS("nan Equity","SUPPLY_CHAIN_CUSTOMERS","RELATIONSHIP_AS_OF_DATE","20191217")</f>
        <v/>
      </c>
      <c r="DG5">
        <f>BDS("CCI US Equity","SUPPLY_CHAIN_SUPPLIERS","RELATIONSHIP_AS_OF_DATE","20061006")</f>
        <v/>
      </c>
      <c r="DL5">
        <f>BDS("CCI US Equity","SUPPLY_CHAIN_CUSTOMERS","RELATIONSHIP_AS_OF_DATE","20061006")</f>
        <v/>
      </c>
      <c r="DQ5">
        <f>BDS("NLY US Equity","SUPPLY_CHAIN_SUPPLIERS","RELATIONSHIP_AS_OF_DATE","20180502")</f>
        <v/>
      </c>
      <c r="DV5">
        <f>BDS("NLY US Equity","SUPPLY_CHAIN_CUSTOMERS","RELATIONSHIP_AS_OF_DATE","20180502")</f>
        <v/>
      </c>
      <c r="EA5">
        <f>BDS("CRM US Equity","SUPPLY_CHAIN_SUPPLIERS","RELATIONSHIP_AS_OF_DATE","20180320")</f>
        <v/>
      </c>
      <c r="EF5">
        <f>BDS("CRM US Equity","SUPPLY_CHAIN_CUSTOMERS","RELATIONSHIP_AS_OF_DATE","20180320")</f>
        <v/>
      </c>
      <c r="EK5">
        <f>BDS("1793839D US Equity","SUPPLY_CHAIN_SUPPLIERS","RELATIONSHIP_AS_OF_DATE","20131010")</f>
        <v/>
      </c>
      <c r="EP5">
        <f>BDS("1793839D US Equity","SUPPLY_CHAIN_CUSTOMERS","RELATIONSHIP_AS_OF_DATE","20131010")</f>
        <v/>
      </c>
      <c r="EU5">
        <f>BDS("9210611D US Equity","SUPPLY_CHAIN_SUPPLIERS","RELATIONSHIP_AS_OF_DATE","20070219")</f>
        <v/>
      </c>
      <c r="EZ5">
        <f>BDS("9210611D US Equity","SUPPLY_CHAIN_CUSTOMERS","RELATIONSHIP_AS_OF_DATE","20070219")</f>
        <v/>
      </c>
      <c r="FE5">
        <f>BDS("HOLX US Equity","SUPPLY_CHAIN_SUPPLIERS","RELATIONSHIP_AS_OF_DATE","20070520")</f>
        <v/>
      </c>
      <c r="FJ5">
        <f>BDS("HOLX US Equity","SUPPLY_CHAIN_CUSTOMERS","RELATIONSHIP_AS_OF_DATE","20070520")</f>
        <v/>
      </c>
      <c r="FO5">
        <f>BDS("AA US Equity","SUPPLY_CHAIN_SUPPLIERS","RELATIONSHIP_AS_OF_DATE","19990811")</f>
        <v/>
      </c>
      <c r="FT5">
        <f>BDS("AA US Equity","SUPPLY_CHAIN_CUSTOMERS","RELATIONSHIP_AS_OF_DATE","19990811")</f>
        <v/>
      </c>
      <c r="FY5">
        <f>BDS("nan Equity","SUPPLY_CHAIN_SUPPLIERS","RELATIONSHIP_AS_OF_DATE","20210315")</f>
        <v/>
      </c>
      <c r="GD5">
        <f>BDS("nan Equity","SUPPLY_CHAIN_CUSTOMERS","RELATIONSHIP_AS_OF_DATE","20210315")</f>
        <v/>
      </c>
      <c r="GI5">
        <f>BDS("BX US Equity","SUPPLY_CHAIN_SUPPLIERS","RELATIONSHIP_AS_OF_DATE","20150908")</f>
        <v/>
      </c>
      <c r="GN5">
        <f>BDS("BX US Equity","SUPPLY_CHAIN_CUSTOMERS","RELATIONSHIP_AS_OF_DATE","20150908")</f>
        <v/>
      </c>
      <c r="GS5">
        <f>BDS("nan Equity","SUPPLY_CHAIN_SUPPLIERS","RELATIONSHIP_AS_OF_DATE","20060630")</f>
        <v/>
      </c>
      <c r="GX5">
        <f>BDS("nan Equity","SUPPLY_CHAIN_CUSTOMERS","RELATIONSHIP_AS_OF_DATE","20060630")</f>
        <v/>
      </c>
      <c r="HC5">
        <f>BDS("WAMUQ US Equity","SUPPLY_CHAIN_SUPPLIERS","RELATIONSHIP_AS_OF_DATE","20050606")</f>
        <v/>
      </c>
      <c r="HH5">
        <f>BDS("WAMUQ US Equity","SUPPLY_CHAIN_CUSTOMERS","RELATIONSHIP_AS_OF_DATE","20050606")</f>
        <v/>
      </c>
      <c r="HM5">
        <f>BDS("BKR US Equity","SUPPLY_CHAIN_SUPPLIERS","RELATIONSHIP_AS_OF_DATE","19980511")</f>
        <v/>
      </c>
      <c r="HR5">
        <f>BDS("BKR US Equity","SUPPLY_CHAIN_CUSTOMERS","RELATIONSHIP_AS_OF_DATE","19980511")</f>
        <v/>
      </c>
      <c r="HW5">
        <f>BDS("AET US Equity","SUPPLY_CHAIN_SUPPLIERS","RELATIONSHIP_AS_OF_DATE","20120820")</f>
        <v/>
      </c>
      <c r="IB5">
        <f>BDS("AET US Equity","SUPPLY_CHAIN_CUSTOMERS","RELATIONSHIP_AS_OF_DATE","20120820")</f>
        <v/>
      </c>
      <c r="IG5">
        <f>BDS("nan Equity","SUPPLY_CHAIN_SUPPLIERS","RELATIONSHIP_AS_OF_DATE","20070628")</f>
        <v/>
      </c>
      <c r="IL5">
        <f>BDS("nan Equity","SUPPLY_CHAIN_CUSTOMERS","RELATIONSHIP_AS_OF_DATE","20070628")</f>
        <v/>
      </c>
      <c r="IQ5">
        <f>BDS("SSNC US Equity","SUPPLY_CHAIN_SUPPLIERS","RELATIONSHIP_AS_OF_DATE","20180111")</f>
        <v/>
      </c>
      <c r="IV5">
        <f>BDS("SSNC US Equity","SUPPLY_CHAIN_CUSTOMERS","RELATIONSHIP_AS_OF_DATE","20180111")</f>
        <v/>
      </c>
      <c r="JA5">
        <f>BDS("nan Equity","SUPPLY_CHAIN_SUPPLIERS","RELATIONSHIP_AS_OF_DATE","20070620")</f>
        <v/>
      </c>
      <c r="JF5">
        <f>BDS("nan Equity","SUPPLY_CHAIN_CUSTOMERS","RELATIONSHIP_AS_OF_DATE","20070620")</f>
        <v/>
      </c>
      <c r="JK5">
        <f>BDS("9980328D US Equity","SUPPLY_CHAIN_SUPPLIERS","RELATIONSHIP_AS_OF_DATE","20141103")</f>
        <v/>
      </c>
      <c r="JP5">
        <f>BDS("9980328D US Equity","SUPPLY_CHAIN_CUSTOMERS","RELATIONSHIP_AS_OF_DATE","20141103")</f>
        <v/>
      </c>
      <c r="JU5">
        <f>BDS("UNP US Equity","SUPPLY_CHAIN_SUPPLIERS","RELATIONSHIP_AS_OF_DATE","19950803")</f>
        <v/>
      </c>
      <c r="JZ5">
        <f>BDS("UNP US Equity","SUPPLY_CHAIN_CUSTOMERS","RELATIONSHIP_AS_OF_DATE","19950803")</f>
        <v/>
      </c>
      <c r="KE5">
        <f>BDS("KIM US Equity","SUPPLY_CHAIN_SUPPLIERS","RELATIONSHIP_AS_OF_DATE","20210415")</f>
        <v/>
      </c>
      <c r="KJ5">
        <f>BDS("KIM US Equity","SUPPLY_CHAIN_CUSTOMERS","RELATIONSHIP_AS_OF_DATE","20210415")</f>
        <v/>
      </c>
      <c r="KO5">
        <f>BDS("AVGO US Equity","SUPPLY_CHAIN_SUPPLIERS","RELATIONSHIP_AS_OF_DATE","20161102")</f>
        <v/>
      </c>
      <c r="KT5">
        <f>BDS("AVGO US Equity","SUPPLY_CHAIN_CUSTOMERS","RELATIONSHIP_AS_OF_DATE","20161102")</f>
        <v/>
      </c>
      <c r="KY5">
        <f>BDS("PLD US Equity","SUPPLY_CHAIN_SUPPLIERS","RELATIONSHIP_AS_OF_DATE","20190716")</f>
        <v/>
      </c>
      <c r="LD5">
        <f>BDS("PLD US Equity","SUPPLY_CHAIN_CUSTOMERS","RELATIONSHIP_AS_OF_DATE","20190716")</f>
        <v/>
      </c>
      <c r="LI5">
        <f>BDS("BKR US Equity","SUPPLY_CHAIN_SUPPLIERS","RELATIONSHIP_AS_OF_DATE","20090831")</f>
        <v/>
      </c>
      <c r="LN5">
        <f>BDS("BKR US Equity","SUPPLY_CHAIN_CUSTOMERS","RELATIONSHIP_AS_OF_DATE","20090831")</f>
        <v/>
      </c>
      <c r="LS5">
        <f>BDS("WPC US Equity","SUPPLY_CHAIN_SUPPLIERS","RELATIONSHIP_AS_OF_DATE","20180618")</f>
        <v/>
      </c>
      <c r="LX5">
        <f>BDS("WPC US Equity","SUPPLY_CHAIN_CUSTOMERS","RELATIONSHIP_AS_OF_DATE","20180618")</f>
        <v/>
      </c>
      <c r="MC5">
        <f>BDS("MSFT US Equity","SUPPLY_CHAIN_SUPPLIERS","RELATIONSHIP_AS_OF_DATE","20070518")</f>
        <v/>
      </c>
      <c r="MH5">
        <f>BDS("MSFT US Equity","SUPPLY_CHAIN_CUSTOMERS","RELATIONSHIP_AS_OF_DATE","20070518")</f>
        <v/>
      </c>
      <c r="MM5">
        <f>BDS("MNKTQ US Equity","SUPPLY_CHAIN_SUPPLIERS","RELATIONSHIP_AS_OF_DATE","20140407")</f>
        <v/>
      </c>
      <c r="MR5">
        <f>BDS("MNKTQ US Equity","SUPPLY_CHAIN_CUSTOMERS","RELATIONSHIP_AS_OF_DATE","20140407")</f>
        <v/>
      </c>
      <c r="MW5">
        <f>BDS("C US Equity","SUPPLY_CHAIN_SUPPLIERS","RELATIONSHIP_AS_OF_DATE","20020521")</f>
        <v/>
      </c>
      <c r="NB5">
        <f>BDS("C US Equity","SUPPLY_CHAIN_CUSTOMERS","RELATIONSHIP_AS_OF_DATE","20020521")</f>
        <v/>
      </c>
      <c r="NG5">
        <f>BDS("PFE US Equity","SUPPLY_CHAIN_SUPPLIERS","RELATIONSHIP_AS_OF_DATE","20211213")</f>
        <v/>
      </c>
      <c r="NL5">
        <f>BDS("PFE US Equity","SUPPLY_CHAIN_CUSTOMERS","RELATIONSHIP_AS_OF_DATE","20211213")</f>
        <v/>
      </c>
      <c r="NQ5">
        <f>BDS("AIG US Equity","SUPPLY_CHAIN_SUPPLIERS","RELATIONSHIP_AS_OF_DATE","20180122")</f>
        <v/>
      </c>
      <c r="NV5">
        <f>BDS("AIG US Equity","SUPPLY_CHAIN_CUSTOMERS","RELATIONSHIP_AS_OF_DATE","20180122")</f>
        <v/>
      </c>
      <c r="OA5">
        <f>BDS("BX US Equity","SUPPLY_CHAIN_SUPPLIERS","RELATIONSHIP_AS_OF_DATE","20210607")</f>
        <v/>
      </c>
      <c r="OF5">
        <f>BDS("BX US Equity","SUPPLY_CHAIN_CUSTOMERS","RELATIONSHIP_AS_OF_DATE","20210607")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441</t>
        </is>
      </c>
      <c r="K1" s="1" t="inlineStr">
        <is>
          <t>Deal 442</t>
        </is>
      </c>
      <c r="U1" s="1" t="inlineStr">
        <is>
          <t>Deal 443</t>
        </is>
      </c>
      <c r="AE1" s="1" t="inlineStr">
        <is>
          <t>Deal 444</t>
        </is>
      </c>
      <c r="AO1" s="1" t="inlineStr">
        <is>
          <t>Deal 445</t>
        </is>
      </c>
      <c r="AY1" s="1" t="inlineStr">
        <is>
          <t>Deal 446</t>
        </is>
      </c>
      <c r="BI1" s="1" t="inlineStr">
        <is>
          <t>Deal 447</t>
        </is>
      </c>
      <c r="BS1" s="1" t="inlineStr">
        <is>
          <t>Deal 448</t>
        </is>
      </c>
      <c r="CC1" s="1" t="inlineStr">
        <is>
          <t>Deal 449</t>
        </is>
      </c>
      <c r="CM1" s="1" t="inlineStr">
        <is>
          <t>Deal 450</t>
        </is>
      </c>
      <c r="CW1" s="1" t="inlineStr">
        <is>
          <t>Deal 451</t>
        </is>
      </c>
      <c r="DG1" s="1" t="inlineStr">
        <is>
          <t>Deal 452</t>
        </is>
      </c>
      <c r="DQ1" s="1" t="inlineStr">
        <is>
          <t>Deal 453</t>
        </is>
      </c>
      <c r="EA1" s="1" t="inlineStr">
        <is>
          <t>Deal 454</t>
        </is>
      </c>
      <c r="EK1" s="1" t="inlineStr">
        <is>
          <t>Deal 455</t>
        </is>
      </c>
      <c r="EU1" s="1" t="inlineStr">
        <is>
          <t>Deal 456</t>
        </is>
      </c>
      <c r="FE1" s="1" t="inlineStr">
        <is>
          <t>Deal 457</t>
        </is>
      </c>
      <c r="FO1" s="1" t="inlineStr">
        <is>
          <t>Deal 458</t>
        </is>
      </c>
      <c r="FY1" s="1" t="inlineStr">
        <is>
          <t>Deal 459</t>
        </is>
      </c>
      <c r="GI1" s="1" t="inlineStr">
        <is>
          <t>Deal 460</t>
        </is>
      </c>
      <c r="GS1" s="1" t="inlineStr">
        <is>
          <t>Deal 461</t>
        </is>
      </c>
      <c r="HC1" s="1" t="inlineStr">
        <is>
          <t>Deal 462</t>
        </is>
      </c>
      <c r="HM1" s="1" t="inlineStr">
        <is>
          <t>Deal 463</t>
        </is>
      </c>
      <c r="HW1" s="1" t="inlineStr">
        <is>
          <t>Deal 464</t>
        </is>
      </c>
      <c r="IG1" s="1" t="inlineStr">
        <is>
          <t>Deal 465</t>
        </is>
      </c>
      <c r="IQ1" s="1" t="inlineStr">
        <is>
          <t>Deal 466</t>
        </is>
      </c>
      <c r="JA1" s="1" t="inlineStr">
        <is>
          <t>Deal 467</t>
        </is>
      </c>
      <c r="JK1" s="1" t="inlineStr">
        <is>
          <t>Deal 468</t>
        </is>
      </c>
      <c r="JU1" s="1" t="inlineStr">
        <is>
          <t>Deal 469</t>
        </is>
      </c>
      <c r="KE1" s="1" t="inlineStr">
        <is>
          <t>Deal 470</t>
        </is>
      </c>
      <c r="KO1" s="1" t="inlineStr">
        <is>
          <t>Deal 471</t>
        </is>
      </c>
      <c r="KY1" s="1" t="inlineStr">
        <is>
          <t>Deal 472</t>
        </is>
      </c>
      <c r="LI1" s="1" t="inlineStr">
        <is>
          <t>Deal 473</t>
        </is>
      </c>
      <c r="LS1" s="1" t="inlineStr">
        <is>
          <t>Deal 474</t>
        </is>
      </c>
      <c r="MC1" s="1" t="inlineStr">
        <is>
          <t>Deal 475</t>
        </is>
      </c>
      <c r="MM1" s="1" t="inlineStr">
        <is>
          <t>Deal 476</t>
        </is>
      </c>
      <c r="MW1" s="1" t="inlineStr">
        <is>
          <t>Deal 477</t>
        </is>
      </c>
      <c r="NG1" s="1" t="inlineStr">
        <is>
          <t>Deal 478</t>
        </is>
      </c>
      <c r="NQ1" s="1" t="inlineStr">
        <is>
          <t>Deal 479</t>
        </is>
      </c>
      <c r="OA1" s="1" t="inlineStr">
        <is>
          <t>Deal 480</t>
        </is>
      </c>
    </row>
    <row r="2">
      <c r="A2" s="2" t="inlineStr">
        <is>
          <t>GD US Equity</t>
        </is>
      </c>
      <c r="K2" s="2" t="inlineStr">
        <is>
          <t>UGI US Equity</t>
        </is>
      </c>
      <c r="U2" s="2" t="inlineStr">
        <is>
          <t>1005945D US Equity</t>
        </is>
      </c>
      <c r="AE2" s="2" t="inlineStr">
        <is>
          <t>CEQP US Equity</t>
        </is>
      </c>
      <c r="AO2" s="2" t="inlineStr">
        <is>
          <t>TSLA US Equity</t>
        </is>
      </c>
      <c r="AY2" s="2" t="inlineStr">
        <is>
          <t>MTB US Equity</t>
        </is>
      </c>
      <c r="BI2" s="2" t="inlineStr">
        <is>
          <t>PNC US Equity</t>
        </is>
      </c>
      <c r="BS2" s="2" t="inlineStr">
        <is>
          <t>GE US Equity</t>
        </is>
      </c>
      <c r="CC2" s="2" t="inlineStr">
        <is>
          <t>MTB US Equity</t>
        </is>
      </c>
      <c r="CM2" s="2" t="inlineStr">
        <is>
          <t>CSCO US Equity</t>
        </is>
      </c>
      <c r="CW2" s="2" t="inlineStr">
        <is>
          <t>BKD US Equity</t>
        </is>
      </c>
      <c r="DG2" s="2" t="inlineStr">
        <is>
          <t>APC US Equity</t>
        </is>
      </c>
      <c r="DQ2" s="2" t="inlineStr">
        <is>
          <t>ROH US Equity</t>
        </is>
      </c>
      <c r="EA2" s="2" t="inlineStr">
        <is>
          <t>NGLS US Equity</t>
        </is>
      </c>
      <c r="EK2" s="2" t="inlineStr">
        <is>
          <t>NOC US Equity</t>
        </is>
      </c>
      <c r="EU2" s="2" t="inlineStr">
        <is>
          <t>nan Equity</t>
        </is>
      </c>
      <c r="FE2" s="2" t="inlineStr">
        <is>
          <t>LNWO US Equity</t>
        </is>
      </c>
      <c r="FO2" s="2" t="inlineStr">
        <is>
          <t>XRAY US Equity</t>
        </is>
      </c>
      <c r="FY2" s="2" t="inlineStr">
        <is>
          <t>BPY-U CN Equity</t>
        </is>
      </c>
      <c r="GI2" s="2" t="inlineStr">
        <is>
          <t>PEB US Equity</t>
        </is>
      </c>
      <c r="GS2" s="2" t="inlineStr">
        <is>
          <t>SANM US Equity</t>
        </is>
      </c>
      <c r="HC2" s="2" t="inlineStr">
        <is>
          <t>VAC US Equity</t>
        </is>
      </c>
      <c r="HM2" s="2" t="inlineStr">
        <is>
          <t>BX US Equity</t>
        </is>
      </c>
      <c r="HW2" s="2" t="inlineStr">
        <is>
          <t>119240Q US Equity</t>
        </is>
      </c>
      <c r="IG2" s="2" t="inlineStr">
        <is>
          <t>nan Equity</t>
        </is>
      </c>
      <c r="IQ2" s="2" t="inlineStr">
        <is>
          <t>CMCSA US Equity</t>
        </is>
      </c>
      <c r="JA2" s="2" t="inlineStr">
        <is>
          <t>WRK US Equity</t>
        </is>
      </c>
      <c r="JK2" s="2" t="inlineStr">
        <is>
          <t>2968900Q US Equity</t>
        </is>
      </c>
      <c r="JU2" s="2" t="inlineStr">
        <is>
          <t>SYK US Equity</t>
        </is>
      </c>
      <c r="KE2" s="2" t="inlineStr">
        <is>
          <t>CVX US Equity</t>
        </is>
      </c>
      <c r="KO2" s="2" t="inlineStr">
        <is>
          <t>MAA US Equity</t>
        </is>
      </c>
      <c r="KY2" s="2" t="inlineStr">
        <is>
          <t>nan Equity</t>
        </is>
      </c>
      <c r="LI2" s="2" t="inlineStr">
        <is>
          <t>DVN US Equity</t>
        </is>
      </c>
      <c r="LS2" s="2" t="inlineStr">
        <is>
          <t>GE US Equity</t>
        </is>
      </c>
      <c r="MC2" s="2" t="inlineStr">
        <is>
          <t>0772031D US Equity</t>
        </is>
      </c>
      <c r="MM2" s="2" t="inlineStr">
        <is>
          <t>1235274D US Equity</t>
        </is>
      </c>
      <c r="MW2" s="2" t="inlineStr">
        <is>
          <t>TRGP US Equity</t>
        </is>
      </c>
      <c r="NG2" s="2" t="inlineStr">
        <is>
          <t>nan Equity</t>
        </is>
      </c>
      <c r="NQ2" s="2" t="inlineStr">
        <is>
          <t>SPB US Equity</t>
        </is>
      </c>
      <c r="OA2" s="2" t="inlineStr">
        <is>
          <t>CMX US Equity</t>
        </is>
      </c>
    </row>
    <row r="3">
      <c r="A3" t="inlineStr">
        <is>
          <t>Ann: 1999-05-17</t>
        </is>
      </c>
      <c r="K3" t="inlineStr">
        <is>
          <t>Ann: 2019-04-02</t>
        </is>
      </c>
      <c r="U3" t="inlineStr">
        <is>
          <t>Ann: 1996-09-16</t>
        </is>
      </c>
      <c r="AE3" t="inlineStr">
        <is>
          <t>Ann: 2015-05-06</t>
        </is>
      </c>
      <c r="AO3" t="inlineStr">
        <is>
          <t>Ann: 2016-08-01</t>
        </is>
      </c>
      <c r="AY3" t="inlineStr">
        <is>
          <t>Ann: 2012-08-27</t>
        </is>
      </c>
      <c r="BI3" t="inlineStr">
        <is>
          <t>Ann: 2008-10-24</t>
        </is>
      </c>
      <c r="BS3" t="inlineStr">
        <is>
          <t>Ann: 2001-07-30</t>
        </is>
      </c>
      <c r="CC3" t="inlineStr">
        <is>
          <t>Ann: 2021-02-22</t>
        </is>
      </c>
      <c r="CM3" t="inlineStr">
        <is>
          <t>Ann: 2005-11-18</t>
        </is>
      </c>
      <c r="CW3" t="inlineStr">
        <is>
          <t>Ann: 2014-02-20</t>
        </is>
      </c>
      <c r="DG3" t="inlineStr">
        <is>
          <t>Ann: 2006-06-23</t>
        </is>
      </c>
      <c r="DQ3" t="inlineStr">
        <is>
          <t>Ann: 1999-02-01</t>
        </is>
      </c>
      <c r="EA3" t="inlineStr">
        <is>
          <t>Ann: 2014-10-13</t>
        </is>
      </c>
      <c r="EK3" t="inlineStr">
        <is>
          <t>Ann: 2000-12-21</t>
        </is>
      </c>
      <c r="EU3" t="inlineStr">
        <is>
          <t>Ann: 2010-11-25</t>
        </is>
      </c>
      <c r="FE3" t="inlineStr">
        <is>
          <t>Ann: 2014-08-01</t>
        </is>
      </c>
      <c r="FO3" t="inlineStr">
        <is>
          <t>Ann: 2015-09-15</t>
        </is>
      </c>
      <c r="FY3" t="inlineStr">
        <is>
          <t>Ann: 2013-09-30</t>
        </is>
      </c>
      <c r="GI3" t="inlineStr">
        <is>
          <t>Ann: 2018-09-06</t>
        </is>
      </c>
      <c r="GS3" t="inlineStr">
        <is>
          <t>Ann: 2001-07-16</t>
        </is>
      </c>
      <c r="HC3" t="inlineStr">
        <is>
          <t>Ann: 2018-04-30</t>
        </is>
      </c>
      <c r="HM3" t="inlineStr">
        <is>
          <t>Ann: 2022-04-25</t>
        </is>
      </c>
      <c r="HW3" t="inlineStr">
        <is>
          <t>Ann: 2001-02-12</t>
        </is>
      </c>
      <c r="IG3" t="inlineStr">
        <is>
          <t>Ann: 2007-05-30</t>
        </is>
      </c>
      <c r="IQ3" t="inlineStr">
        <is>
          <t>Ann: 1999-08-09</t>
        </is>
      </c>
      <c r="JA3" t="inlineStr">
        <is>
          <t>Ann: 2018-01-29</t>
        </is>
      </c>
      <c r="JK3" t="inlineStr">
        <is>
          <t>Ann: 1998-10-08</t>
        </is>
      </c>
      <c r="JU3" t="inlineStr">
        <is>
          <t>Ann: 2019-11-04</t>
        </is>
      </c>
      <c r="KE3" t="inlineStr">
        <is>
          <t>Ann: 2010-11-09</t>
        </is>
      </c>
      <c r="KO3" t="inlineStr">
        <is>
          <t>Ann: 2016-08-15</t>
        </is>
      </c>
      <c r="KY3" t="inlineStr">
        <is>
          <t>Ann: 2015-04-07</t>
        </is>
      </c>
      <c r="LI3" t="inlineStr">
        <is>
          <t>Ann: 2003-02-24</t>
        </is>
      </c>
      <c r="LS3" t="inlineStr">
        <is>
          <t>Ann: 2001-12-15</t>
        </is>
      </c>
      <c r="MC3" t="inlineStr">
        <is>
          <t>Ann: 1998-03-09</t>
        </is>
      </c>
      <c r="MM3" t="inlineStr">
        <is>
          <t>Ann: 2001-09-27</t>
        </is>
      </c>
      <c r="MW3" t="inlineStr">
        <is>
          <t>Ann: 2014-10-13</t>
        </is>
      </c>
      <c r="NG3" t="inlineStr">
        <is>
          <t>Ann: 2004-09-13</t>
        </is>
      </c>
      <c r="NQ3" t="inlineStr">
        <is>
          <t>Ann: 2018-02-26</t>
        </is>
      </c>
      <c r="OA3" t="inlineStr">
        <is>
          <t>Ann: 2003-09-02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BDS("GD US Equity","SUPPLY_CHAIN_SUPPLIERS","RELATIONSHIP_AS_OF_DATE","19990517")</f>
        <v/>
      </c>
      <c r="F5">
        <f>BDS("GD US Equity","SUPPLY_CHAIN_CUSTOMERS","RELATIONSHIP_AS_OF_DATE","19990517")</f>
        <v/>
      </c>
      <c r="K5">
        <f>BDS("UGI US Equity","SUPPLY_CHAIN_SUPPLIERS","RELATIONSHIP_AS_OF_DATE","20190402")</f>
        <v/>
      </c>
      <c r="P5">
        <f>BDS("UGI US Equity","SUPPLY_CHAIN_CUSTOMERS","RELATIONSHIP_AS_OF_DATE","20190402")</f>
        <v/>
      </c>
      <c r="U5">
        <f>BDS("1005945D US Equity","SUPPLY_CHAIN_SUPPLIERS","RELATIONSHIP_AS_OF_DATE","19960916")</f>
        <v/>
      </c>
      <c r="Z5">
        <f>BDS("1005945D US Equity","SUPPLY_CHAIN_CUSTOMERS","RELATIONSHIP_AS_OF_DATE","19960916")</f>
        <v/>
      </c>
      <c r="AE5">
        <f>BDS("CEQP US Equity","SUPPLY_CHAIN_SUPPLIERS","RELATIONSHIP_AS_OF_DATE","20150506")</f>
        <v/>
      </c>
      <c r="AJ5">
        <f>BDS("CEQP US Equity","SUPPLY_CHAIN_CUSTOMERS","RELATIONSHIP_AS_OF_DATE","20150506")</f>
        <v/>
      </c>
      <c r="AO5">
        <f>BDS("TSLA US Equity","SUPPLY_CHAIN_SUPPLIERS","RELATIONSHIP_AS_OF_DATE","20160801")</f>
        <v/>
      </c>
      <c r="AT5">
        <f>BDS("TSLA US Equity","SUPPLY_CHAIN_CUSTOMERS","RELATIONSHIP_AS_OF_DATE","20160801")</f>
        <v/>
      </c>
      <c r="AY5">
        <f>BDS("MTB US Equity","SUPPLY_CHAIN_SUPPLIERS","RELATIONSHIP_AS_OF_DATE","20120827")</f>
        <v/>
      </c>
      <c r="BD5">
        <f>BDS("MTB US Equity","SUPPLY_CHAIN_CUSTOMERS","RELATIONSHIP_AS_OF_DATE","20120827")</f>
        <v/>
      </c>
      <c r="BI5">
        <f>BDS("PNC US Equity","SUPPLY_CHAIN_SUPPLIERS","RELATIONSHIP_AS_OF_DATE","20081024")</f>
        <v/>
      </c>
      <c r="BN5">
        <f>BDS("PNC US Equity","SUPPLY_CHAIN_CUSTOMERS","RELATIONSHIP_AS_OF_DATE","20081024")</f>
        <v/>
      </c>
      <c r="BS5">
        <f>BDS("GE US Equity","SUPPLY_CHAIN_SUPPLIERS","RELATIONSHIP_AS_OF_DATE","20010730")</f>
        <v/>
      </c>
      <c r="BX5">
        <f>BDS("GE US Equity","SUPPLY_CHAIN_CUSTOMERS","RELATIONSHIP_AS_OF_DATE","20010730")</f>
        <v/>
      </c>
      <c r="CC5">
        <f>BDS("MTB US Equity","SUPPLY_CHAIN_SUPPLIERS","RELATIONSHIP_AS_OF_DATE","20210222")</f>
        <v/>
      </c>
      <c r="CH5">
        <f>BDS("MTB US Equity","SUPPLY_CHAIN_CUSTOMERS","RELATIONSHIP_AS_OF_DATE","20210222")</f>
        <v/>
      </c>
      <c r="CM5">
        <f>BDS("CSCO US Equity","SUPPLY_CHAIN_SUPPLIERS","RELATIONSHIP_AS_OF_DATE","20051118")</f>
        <v/>
      </c>
      <c r="CR5">
        <f>BDS("CSCO US Equity","SUPPLY_CHAIN_CUSTOMERS","RELATIONSHIP_AS_OF_DATE","20051118")</f>
        <v/>
      </c>
      <c r="CW5">
        <f>BDS("BKD US Equity","SUPPLY_CHAIN_SUPPLIERS","RELATIONSHIP_AS_OF_DATE","20140220")</f>
        <v/>
      </c>
      <c r="DB5">
        <f>BDS("BKD US Equity","SUPPLY_CHAIN_CUSTOMERS","RELATIONSHIP_AS_OF_DATE","20140220")</f>
        <v/>
      </c>
      <c r="DG5">
        <f>BDS("APC US Equity","SUPPLY_CHAIN_SUPPLIERS","RELATIONSHIP_AS_OF_DATE","20060623")</f>
        <v/>
      </c>
      <c r="DL5">
        <f>BDS("APC US Equity","SUPPLY_CHAIN_CUSTOMERS","RELATIONSHIP_AS_OF_DATE","20060623")</f>
        <v/>
      </c>
      <c r="DQ5">
        <f>BDS("ROH US Equity","SUPPLY_CHAIN_SUPPLIERS","RELATIONSHIP_AS_OF_DATE","19990201")</f>
        <v/>
      </c>
      <c r="DV5">
        <f>BDS("ROH US Equity","SUPPLY_CHAIN_CUSTOMERS","RELATIONSHIP_AS_OF_DATE","19990201")</f>
        <v/>
      </c>
      <c r="EA5">
        <f>BDS("NGLS US Equity","SUPPLY_CHAIN_SUPPLIERS","RELATIONSHIP_AS_OF_DATE","20141013")</f>
        <v/>
      </c>
      <c r="EF5">
        <f>BDS("NGLS US Equity","SUPPLY_CHAIN_CUSTOMERS","RELATIONSHIP_AS_OF_DATE","20141013")</f>
        <v/>
      </c>
      <c r="EK5">
        <f>BDS("NOC US Equity","SUPPLY_CHAIN_SUPPLIERS","RELATIONSHIP_AS_OF_DATE","20001221")</f>
        <v/>
      </c>
      <c r="EP5">
        <f>BDS("NOC US Equity","SUPPLY_CHAIN_CUSTOMERS","RELATIONSHIP_AS_OF_DATE","20001221")</f>
        <v/>
      </c>
      <c r="EU5">
        <f>BDS("nan Equity","SUPPLY_CHAIN_SUPPLIERS","RELATIONSHIP_AS_OF_DATE","20101125")</f>
        <v/>
      </c>
      <c r="EZ5">
        <f>BDS("nan Equity","SUPPLY_CHAIN_CUSTOMERS","RELATIONSHIP_AS_OF_DATE","20101125")</f>
        <v/>
      </c>
      <c r="FE5">
        <f>BDS("LNWO US Equity","SUPPLY_CHAIN_SUPPLIERS","RELATIONSHIP_AS_OF_DATE","20140801")</f>
        <v/>
      </c>
      <c r="FJ5">
        <f>BDS("LNWO US Equity","SUPPLY_CHAIN_CUSTOMERS","RELATIONSHIP_AS_OF_DATE","20140801")</f>
        <v/>
      </c>
      <c r="FO5">
        <f>BDS("XRAY US Equity","SUPPLY_CHAIN_SUPPLIERS","RELATIONSHIP_AS_OF_DATE","20150915")</f>
        <v/>
      </c>
      <c r="FT5">
        <f>BDS("XRAY US Equity","SUPPLY_CHAIN_CUSTOMERS","RELATIONSHIP_AS_OF_DATE","20150915")</f>
        <v/>
      </c>
      <c r="FY5">
        <f>BDS("BPY-U CN Equity","SUPPLY_CHAIN_SUPPLIERS","RELATIONSHIP_AS_OF_DATE","20130930")</f>
        <v/>
      </c>
      <c r="GD5">
        <f>BDS("BPY-U CN Equity","SUPPLY_CHAIN_CUSTOMERS","RELATIONSHIP_AS_OF_DATE","20130930")</f>
        <v/>
      </c>
      <c r="GI5">
        <f>BDS("PEB US Equity","SUPPLY_CHAIN_SUPPLIERS","RELATIONSHIP_AS_OF_DATE","20180906")</f>
        <v/>
      </c>
      <c r="GN5">
        <f>BDS("PEB US Equity","SUPPLY_CHAIN_CUSTOMERS","RELATIONSHIP_AS_OF_DATE","20180906")</f>
        <v/>
      </c>
      <c r="GS5">
        <f>BDS("SANM US Equity","SUPPLY_CHAIN_SUPPLIERS","RELATIONSHIP_AS_OF_DATE","20010716")</f>
        <v/>
      </c>
      <c r="GX5">
        <f>BDS("SANM US Equity","SUPPLY_CHAIN_CUSTOMERS","RELATIONSHIP_AS_OF_DATE","20010716")</f>
        <v/>
      </c>
      <c r="HC5">
        <f>BDS("VAC US Equity","SUPPLY_CHAIN_SUPPLIERS","RELATIONSHIP_AS_OF_DATE","20180430")</f>
        <v/>
      </c>
      <c r="HH5">
        <f>BDS("VAC US Equity","SUPPLY_CHAIN_CUSTOMERS","RELATIONSHIP_AS_OF_DATE","20180430")</f>
        <v/>
      </c>
      <c r="HM5">
        <f>BDS("BX US Equity","SUPPLY_CHAIN_SUPPLIERS","RELATIONSHIP_AS_OF_DATE","20220425")</f>
        <v/>
      </c>
      <c r="HR5">
        <f>BDS("BX US Equity","SUPPLY_CHAIN_CUSTOMERS","RELATIONSHIP_AS_OF_DATE","20220425")</f>
        <v/>
      </c>
      <c r="HW5">
        <f>BDS("119240Q US Equity","SUPPLY_CHAIN_SUPPLIERS","RELATIONSHIP_AS_OF_DATE","20010212")</f>
        <v/>
      </c>
      <c r="IB5">
        <f>BDS("119240Q US Equity","SUPPLY_CHAIN_CUSTOMERS","RELATIONSHIP_AS_OF_DATE","20010212")</f>
        <v/>
      </c>
      <c r="IG5">
        <f>BDS("nan Equity","SUPPLY_CHAIN_SUPPLIERS","RELATIONSHIP_AS_OF_DATE","20070530")</f>
        <v/>
      </c>
      <c r="IL5">
        <f>BDS("nan Equity","SUPPLY_CHAIN_CUSTOMERS","RELATIONSHIP_AS_OF_DATE","20070530")</f>
        <v/>
      </c>
      <c r="IQ5">
        <f>BDS("CMCSA US Equity","SUPPLY_CHAIN_SUPPLIERS","RELATIONSHIP_AS_OF_DATE","19990809")</f>
        <v/>
      </c>
      <c r="IV5">
        <f>BDS("CMCSA US Equity","SUPPLY_CHAIN_CUSTOMERS","RELATIONSHIP_AS_OF_DATE","19990809")</f>
        <v/>
      </c>
      <c r="JA5">
        <f>BDS("WRK US Equity","SUPPLY_CHAIN_SUPPLIERS","RELATIONSHIP_AS_OF_DATE","20180129")</f>
        <v/>
      </c>
      <c r="JF5">
        <f>BDS("WRK US Equity","SUPPLY_CHAIN_CUSTOMERS","RELATIONSHIP_AS_OF_DATE","20180129")</f>
        <v/>
      </c>
      <c r="JK5">
        <f>BDS("2968900Q US Equity","SUPPLY_CHAIN_SUPPLIERS","RELATIONSHIP_AS_OF_DATE","19981008")</f>
        <v/>
      </c>
      <c r="JP5">
        <f>BDS("2968900Q US Equity","SUPPLY_CHAIN_CUSTOMERS","RELATIONSHIP_AS_OF_DATE","19981008")</f>
        <v/>
      </c>
      <c r="JU5">
        <f>BDS("SYK US Equity","SUPPLY_CHAIN_SUPPLIERS","RELATIONSHIP_AS_OF_DATE","20191104")</f>
        <v/>
      </c>
      <c r="JZ5">
        <f>BDS("SYK US Equity","SUPPLY_CHAIN_CUSTOMERS","RELATIONSHIP_AS_OF_DATE","20191104")</f>
        <v/>
      </c>
      <c r="KE5">
        <f>BDS("CVX US Equity","SUPPLY_CHAIN_SUPPLIERS","RELATIONSHIP_AS_OF_DATE","20101109")</f>
        <v/>
      </c>
      <c r="KJ5">
        <f>BDS("CVX US Equity","SUPPLY_CHAIN_CUSTOMERS","RELATIONSHIP_AS_OF_DATE","20101109")</f>
        <v/>
      </c>
      <c r="KO5">
        <f>BDS("MAA US Equity","SUPPLY_CHAIN_SUPPLIERS","RELATIONSHIP_AS_OF_DATE","20160815")</f>
        <v/>
      </c>
      <c r="KT5">
        <f>BDS("MAA US Equity","SUPPLY_CHAIN_CUSTOMERS","RELATIONSHIP_AS_OF_DATE","20160815")</f>
        <v/>
      </c>
      <c r="KY5">
        <f>BDS("nan Equity","SUPPLY_CHAIN_SUPPLIERS","RELATIONSHIP_AS_OF_DATE","20150407")</f>
        <v/>
      </c>
      <c r="LD5">
        <f>BDS("nan Equity","SUPPLY_CHAIN_CUSTOMERS","RELATIONSHIP_AS_OF_DATE","20150407")</f>
        <v/>
      </c>
      <c r="LI5">
        <f>BDS("DVN US Equity","SUPPLY_CHAIN_SUPPLIERS","RELATIONSHIP_AS_OF_DATE","20030224")</f>
        <v/>
      </c>
      <c r="LN5">
        <f>BDS("DVN US Equity","SUPPLY_CHAIN_CUSTOMERS","RELATIONSHIP_AS_OF_DATE","20030224")</f>
        <v/>
      </c>
      <c r="LS5">
        <f>BDS("GE US Equity","SUPPLY_CHAIN_SUPPLIERS","RELATIONSHIP_AS_OF_DATE","20011215")</f>
        <v/>
      </c>
      <c r="LX5">
        <f>BDS("GE US Equity","SUPPLY_CHAIN_CUSTOMERS","RELATIONSHIP_AS_OF_DATE","20011215")</f>
        <v/>
      </c>
      <c r="MC5">
        <f>BDS("0772031D US Equity","SUPPLY_CHAIN_SUPPLIERS","RELATIONSHIP_AS_OF_DATE","19980309")</f>
        <v/>
      </c>
      <c r="MH5">
        <f>BDS("0772031D US Equity","SUPPLY_CHAIN_CUSTOMERS","RELATIONSHIP_AS_OF_DATE","19980309")</f>
        <v/>
      </c>
      <c r="MM5">
        <f>BDS("1235274D US Equity","SUPPLY_CHAIN_SUPPLIERS","RELATIONSHIP_AS_OF_DATE","20010927")</f>
        <v/>
      </c>
      <c r="MR5">
        <f>BDS("1235274D US Equity","SUPPLY_CHAIN_CUSTOMERS","RELATIONSHIP_AS_OF_DATE","20010927")</f>
        <v/>
      </c>
      <c r="MW5">
        <f>BDS("TRGP US Equity","SUPPLY_CHAIN_SUPPLIERS","RELATIONSHIP_AS_OF_DATE","20141013")</f>
        <v/>
      </c>
      <c r="NB5">
        <f>BDS("TRGP US Equity","SUPPLY_CHAIN_CUSTOMERS","RELATIONSHIP_AS_OF_DATE","20141013")</f>
        <v/>
      </c>
      <c r="NG5">
        <f>BDS("nan Equity","SUPPLY_CHAIN_SUPPLIERS","RELATIONSHIP_AS_OF_DATE","20040913")</f>
        <v/>
      </c>
      <c r="NL5">
        <f>BDS("nan Equity","SUPPLY_CHAIN_CUSTOMERS","RELATIONSHIP_AS_OF_DATE","20040913")</f>
        <v/>
      </c>
      <c r="NQ5">
        <f>BDS("SPB US Equity","SUPPLY_CHAIN_SUPPLIERS","RELATIONSHIP_AS_OF_DATE","20180226")</f>
        <v/>
      </c>
      <c r="NV5">
        <f>BDS("SPB US Equity","SUPPLY_CHAIN_CUSTOMERS","RELATIONSHIP_AS_OF_DATE","20180226")</f>
        <v/>
      </c>
      <c r="OA5">
        <f>BDS("CMX US Equity","SUPPLY_CHAIN_SUPPLIERS","RELATIONSHIP_AS_OF_DATE","20030902")</f>
        <v/>
      </c>
      <c r="OF5">
        <f>BDS("CMX US Equity","SUPPLY_CHAIN_CUSTOMERS","RELATIONSHIP_AS_OF_DATE","20030902")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481</t>
        </is>
      </c>
      <c r="K1" s="1" t="inlineStr">
        <is>
          <t>Deal 482</t>
        </is>
      </c>
      <c r="U1" s="1" t="inlineStr">
        <is>
          <t>Deal 483</t>
        </is>
      </c>
      <c r="AE1" s="1" t="inlineStr">
        <is>
          <t>Deal 484</t>
        </is>
      </c>
      <c r="AO1" s="1" t="inlineStr">
        <is>
          <t>Deal 485</t>
        </is>
      </c>
      <c r="AY1" s="1" t="inlineStr">
        <is>
          <t>Deal 486</t>
        </is>
      </c>
      <c r="BI1" s="1" t="inlineStr">
        <is>
          <t>Deal 487</t>
        </is>
      </c>
      <c r="BS1" s="1" t="inlineStr">
        <is>
          <t>Deal 488</t>
        </is>
      </c>
      <c r="CC1" s="1" t="inlineStr">
        <is>
          <t>Deal 489</t>
        </is>
      </c>
      <c r="CM1" s="1" t="inlineStr">
        <is>
          <t>Deal 490</t>
        </is>
      </c>
      <c r="CW1" s="1" t="inlineStr">
        <is>
          <t>Deal 491</t>
        </is>
      </c>
      <c r="DG1" s="1" t="inlineStr">
        <is>
          <t>Deal 492</t>
        </is>
      </c>
      <c r="DQ1" s="1" t="inlineStr">
        <is>
          <t>Deal 493</t>
        </is>
      </c>
      <c r="EA1" s="1" t="inlineStr">
        <is>
          <t>Deal 494</t>
        </is>
      </c>
      <c r="EK1" s="1" t="inlineStr">
        <is>
          <t>Deal 495</t>
        </is>
      </c>
      <c r="EU1" s="1" t="inlineStr">
        <is>
          <t>Deal 496</t>
        </is>
      </c>
      <c r="FE1" s="1" t="inlineStr">
        <is>
          <t>Deal 497</t>
        </is>
      </c>
      <c r="FO1" s="1" t="inlineStr">
        <is>
          <t>Deal 498</t>
        </is>
      </c>
      <c r="FY1" s="1" t="inlineStr">
        <is>
          <t>Deal 499</t>
        </is>
      </c>
      <c r="GI1" s="1" t="inlineStr">
        <is>
          <t>Deal 500</t>
        </is>
      </c>
      <c r="GS1" s="1" t="inlineStr">
        <is>
          <t>Deal 501</t>
        </is>
      </c>
      <c r="HC1" s="1" t="inlineStr">
        <is>
          <t>Deal 502</t>
        </is>
      </c>
      <c r="HM1" s="1" t="inlineStr">
        <is>
          <t>Deal 503</t>
        </is>
      </c>
      <c r="HW1" s="1" t="inlineStr">
        <is>
          <t>Deal 504</t>
        </is>
      </c>
      <c r="IG1" s="1" t="inlineStr">
        <is>
          <t>Deal 505</t>
        </is>
      </c>
      <c r="IQ1" s="1" t="inlineStr">
        <is>
          <t>Deal 506</t>
        </is>
      </c>
      <c r="JA1" s="1" t="inlineStr">
        <is>
          <t>Deal 507</t>
        </is>
      </c>
      <c r="JK1" s="1" t="inlineStr">
        <is>
          <t>Deal 508</t>
        </is>
      </c>
      <c r="JU1" s="1" t="inlineStr">
        <is>
          <t>Deal 509</t>
        </is>
      </c>
      <c r="KE1" s="1" t="inlineStr">
        <is>
          <t>Deal 510</t>
        </is>
      </c>
      <c r="KO1" s="1" t="inlineStr">
        <is>
          <t>Deal 511</t>
        </is>
      </c>
      <c r="KY1" s="1" t="inlineStr">
        <is>
          <t>Deal 512</t>
        </is>
      </c>
      <c r="LI1" s="1" t="inlineStr">
        <is>
          <t>Deal 513</t>
        </is>
      </c>
      <c r="LS1" s="1" t="inlineStr">
        <is>
          <t>Deal 514</t>
        </is>
      </c>
      <c r="MC1" s="1" t="inlineStr">
        <is>
          <t>Deal 515</t>
        </is>
      </c>
      <c r="MM1" s="1" t="inlineStr">
        <is>
          <t>Deal 516</t>
        </is>
      </c>
      <c r="MW1" s="1" t="inlineStr">
        <is>
          <t>Deal 517</t>
        </is>
      </c>
      <c r="NG1" s="1" t="inlineStr">
        <is>
          <t>Deal 518</t>
        </is>
      </c>
      <c r="NQ1" s="1" t="inlineStr">
        <is>
          <t>Deal 519</t>
        </is>
      </c>
      <c r="OA1" s="1" t="inlineStr">
        <is>
          <t>Deal 520</t>
        </is>
      </c>
    </row>
    <row r="2">
      <c r="A2" s="2" t="inlineStr">
        <is>
          <t>166783Q US Equity</t>
        </is>
      </c>
      <c r="K2" s="2" t="inlineStr">
        <is>
          <t>ADELQ US Equity</t>
        </is>
      </c>
      <c r="U2" s="2" t="inlineStr">
        <is>
          <t>MRCHQ US Equity</t>
        </is>
      </c>
      <c r="AE2" s="2" t="inlineStr">
        <is>
          <t>LHX US Equity</t>
        </is>
      </c>
      <c r="AO2" s="2" t="inlineStr">
        <is>
          <t>ATHMQ US Equity</t>
        </is>
      </c>
      <c r="AY2" s="2" t="inlineStr">
        <is>
          <t>8394653Q US Equity</t>
        </is>
      </c>
      <c r="BI2" s="2" t="inlineStr">
        <is>
          <t>XEL US Equity</t>
        </is>
      </c>
      <c r="BS2" s="2" t="inlineStr">
        <is>
          <t>nan Equity</t>
        </is>
      </c>
      <c r="CC2" s="2" t="inlineStr">
        <is>
          <t>nan Equity</t>
        </is>
      </c>
      <c r="CM2" s="2" t="inlineStr">
        <is>
          <t>ATBA AV Equity</t>
        </is>
      </c>
      <c r="CW2" s="2" t="inlineStr">
        <is>
          <t>GE US Equity</t>
        </is>
      </c>
      <c r="DG2" s="2" t="inlineStr">
        <is>
          <t>AES US Equity</t>
        </is>
      </c>
      <c r="DQ2" s="2" t="inlineStr">
        <is>
          <t>PSA US Equity</t>
        </is>
      </c>
      <c r="EA2" s="2" t="inlineStr">
        <is>
          <t>PFE US Equity</t>
        </is>
      </c>
      <c r="EK2" s="2" t="inlineStr">
        <is>
          <t>MS US Equity</t>
        </is>
      </c>
      <c r="EU2" s="2" t="inlineStr">
        <is>
          <t>EPD US Equity</t>
        </is>
      </c>
      <c r="FE2" s="2" t="inlineStr">
        <is>
          <t>WM US Equity</t>
        </is>
      </c>
      <c r="FO2" s="2" t="inlineStr">
        <is>
          <t>AMAT US Equity</t>
        </is>
      </c>
      <c r="FY2" s="2" t="inlineStr">
        <is>
          <t>1051665D US Equity</t>
        </is>
      </c>
      <c r="GI2" s="2" t="inlineStr">
        <is>
          <t>ELV US Equity</t>
        </is>
      </c>
      <c r="GS2" s="2" t="inlineStr">
        <is>
          <t>UNM US Equity</t>
        </is>
      </c>
      <c r="HC2" s="2" t="inlineStr">
        <is>
          <t>T US Equity</t>
        </is>
      </c>
      <c r="HM2" s="2" t="inlineStr">
        <is>
          <t>BX US Equity</t>
        </is>
      </c>
      <c r="HW2" s="2" t="inlineStr">
        <is>
          <t>EMN US Equity</t>
        </is>
      </c>
      <c r="IG2" s="2" t="inlineStr">
        <is>
          <t>VMC US Equity</t>
        </is>
      </c>
      <c r="IQ2" s="2" t="inlineStr">
        <is>
          <t>FITB US Equity</t>
        </is>
      </c>
      <c r="JA2" s="2" t="inlineStr">
        <is>
          <t>2968900Q US Equity</t>
        </is>
      </c>
      <c r="JK2" s="2" t="inlineStr">
        <is>
          <t>PARA US Equity</t>
        </is>
      </c>
      <c r="JU2" s="2" t="inlineStr">
        <is>
          <t>ORCL US Equity</t>
        </is>
      </c>
      <c r="KE2" s="2" t="inlineStr">
        <is>
          <t>PFE US Equity</t>
        </is>
      </c>
      <c r="KO2" s="2" t="inlineStr">
        <is>
          <t>STT US Equity</t>
        </is>
      </c>
      <c r="KY2" s="2" t="inlineStr">
        <is>
          <t>HPQ US Equity</t>
        </is>
      </c>
      <c r="LI2" s="2" t="inlineStr">
        <is>
          <t>JNJ US Equity</t>
        </is>
      </c>
      <c r="LS2" s="2" t="inlineStr">
        <is>
          <t>MS US Equity</t>
        </is>
      </c>
      <c r="MC2" s="2" t="inlineStr">
        <is>
          <t>SWK US Equity</t>
        </is>
      </c>
      <c r="MM2" s="2" t="inlineStr">
        <is>
          <t>PTVE US Equity</t>
        </is>
      </c>
      <c r="MW2" s="2" t="inlineStr">
        <is>
          <t>BAC US Equity</t>
        </is>
      </c>
      <c r="NG2" s="2" t="inlineStr">
        <is>
          <t>CSCO US Equity</t>
        </is>
      </c>
      <c r="NQ2" s="2" t="inlineStr">
        <is>
          <t>LNCOQ US Equity</t>
        </is>
      </c>
      <c r="OA2" s="2" t="inlineStr">
        <is>
          <t>TSN US Equity</t>
        </is>
      </c>
    </row>
    <row r="3">
      <c r="A3" t="inlineStr">
        <is>
          <t>Ann: 2000-08-27</t>
        </is>
      </c>
      <c r="K3" t="inlineStr">
        <is>
          <t>Ann: 1999-03-05</t>
        </is>
      </c>
      <c r="U3" t="inlineStr">
        <is>
          <t>Ann: 1999-12-13</t>
        </is>
      </c>
      <c r="AE3" t="inlineStr">
        <is>
          <t>Ann: 2015-02-06</t>
        </is>
      </c>
      <c r="AO3" t="inlineStr">
        <is>
          <t>Ann: 1999-01-19</t>
        </is>
      </c>
      <c r="AY3" t="inlineStr">
        <is>
          <t>Ann: 2005-06-06</t>
        </is>
      </c>
      <c r="BI3" t="inlineStr">
        <is>
          <t>Ann: 1999-03-25</t>
        </is>
      </c>
      <c r="BS3" t="inlineStr">
        <is>
          <t>Ann: 2021-06-01</t>
        </is>
      </c>
      <c r="CC3" t="inlineStr">
        <is>
          <t>Ann: 2014-10-20</t>
        </is>
      </c>
      <c r="CM3" t="inlineStr">
        <is>
          <t>Ann: 1999-04-01</t>
        </is>
      </c>
      <c r="CW3" t="inlineStr">
        <is>
          <t>Ann: 2005-12-22</t>
        </is>
      </c>
      <c r="DG3" t="inlineStr">
        <is>
          <t>Ann: 2011-04-20</t>
        </is>
      </c>
      <c r="DQ3" t="inlineStr">
        <is>
          <t>Ann: 2005-08-01</t>
        </is>
      </c>
      <c r="EA3" t="inlineStr">
        <is>
          <t>Ann: 2022-08-08</t>
        </is>
      </c>
      <c r="EK3" t="inlineStr">
        <is>
          <t>Ann: 2007-05-22</t>
        </is>
      </c>
      <c r="EU3" t="inlineStr">
        <is>
          <t>Ann: 2014-10-01</t>
        </is>
      </c>
      <c r="FE3" t="inlineStr">
        <is>
          <t>Ann: 2019-04-15</t>
        </is>
      </c>
      <c r="FO3" t="inlineStr">
        <is>
          <t>Ann: 2011-05-04</t>
        </is>
      </c>
      <c r="FY3" t="inlineStr">
        <is>
          <t>Ann: 2001-08-29</t>
        </is>
      </c>
      <c r="GI3" t="inlineStr">
        <is>
          <t>Ann: 2012-07-09</t>
        </is>
      </c>
      <c r="GS3" t="inlineStr">
        <is>
          <t>Ann: 1998-11-23</t>
        </is>
      </c>
      <c r="HC3" t="inlineStr">
        <is>
          <t>Ann: 2007-06-29</t>
        </is>
      </c>
      <c r="HM3" t="inlineStr">
        <is>
          <t>Ann: 2006-03-06</t>
        </is>
      </c>
      <c r="HW3" t="inlineStr">
        <is>
          <t>Ann: 2012-01-27</t>
        </is>
      </c>
      <c r="IG3" t="inlineStr">
        <is>
          <t>Ann: 2007-02-19</t>
        </is>
      </c>
      <c r="IQ3" t="inlineStr">
        <is>
          <t>Ann: 2018-05-21</t>
        </is>
      </c>
      <c r="JA3" t="inlineStr">
        <is>
          <t>Ann: 2000-02-29</t>
        </is>
      </c>
      <c r="JK3" t="inlineStr">
        <is>
          <t>Ann: 2000-08-15</t>
        </is>
      </c>
      <c r="JU3" t="inlineStr">
        <is>
          <t>Ann: 2014-06-23</t>
        </is>
      </c>
      <c r="KE3" t="inlineStr">
        <is>
          <t>Ann: 2016-05-16</t>
        </is>
      </c>
      <c r="KO3" t="inlineStr">
        <is>
          <t>Ann: 2007-02-05</t>
        </is>
      </c>
      <c r="KY3" t="inlineStr">
        <is>
          <t>Ann: 2006-07-25</t>
        </is>
      </c>
      <c r="LI3" t="inlineStr">
        <is>
          <t>Ann: 1999-07-21</t>
        </is>
      </c>
      <c r="LS3" t="inlineStr">
        <is>
          <t>Ann: 2020-10-08</t>
        </is>
      </c>
      <c r="MC3" t="inlineStr">
        <is>
          <t>Ann: 2009-11-02</t>
        </is>
      </c>
      <c r="MM3" t="inlineStr">
        <is>
          <t>Ann: 2011-06-14</t>
        </is>
      </c>
      <c r="MW3" t="inlineStr">
        <is>
          <t>Ann: 2008-01-11</t>
        </is>
      </c>
      <c r="NG3" t="inlineStr">
        <is>
          <t>Ann: 2019-07-09</t>
        </is>
      </c>
      <c r="NQ3" t="inlineStr">
        <is>
          <t>Ann: 2013-02-21</t>
        </is>
      </c>
      <c r="OA3" t="inlineStr">
        <is>
          <t>Ann: 2000-12-04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BDS("166783Q US Equity","SUPPLY_CHAIN_SUPPLIERS","RELATIONSHIP_AS_OF_DATE","20000827")</f>
        <v/>
      </c>
      <c r="F5">
        <f>BDS("166783Q US Equity","SUPPLY_CHAIN_CUSTOMERS","RELATIONSHIP_AS_OF_DATE","20000827")</f>
        <v/>
      </c>
      <c r="K5">
        <f>BDS("ADELQ US Equity","SUPPLY_CHAIN_SUPPLIERS","RELATIONSHIP_AS_OF_DATE","19990305")</f>
        <v/>
      </c>
      <c r="P5">
        <f>BDS("ADELQ US Equity","SUPPLY_CHAIN_CUSTOMERS","RELATIONSHIP_AS_OF_DATE","19990305")</f>
        <v/>
      </c>
      <c r="U5">
        <f>BDS("MRCHQ US Equity","SUPPLY_CHAIN_SUPPLIERS","RELATIONSHIP_AS_OF_DATE","19991213")</f>
        <v/>
      </c>
      <c r="Z5">
        <f>BDS("MRCHQ US Equity","SUPPLY_CHAIN_CUSTOMERS","RELATIONSHIP_AS_OF_DATE","19991213")</f>
        <v/>
      </c>
      <c r="AE5">
        <f>BDS("LHX US Equity","SUPPLY_CHAIN_SUPPLIERS","RELATIONSHIP_AS_OF_DATE","20150206")</f>
        <v/>
      </c>
      <c r="AJ5">
        <f>BDS("LHX US Equity","SUPPLY_CHAIN_CUSTOMERS","RELATIONSHIP_AS_OF_DATE","20150206")</f>
        <v/>
      </c>
      <c r="AO5">
        <f>BDS("ATHMQ US Equity","SUPPLY_CHAIN_SUPPLIERS","RELATIONSHIP_AS_OF_DATE","19990119")</f>
        <v/>
      </c>
      <c r="AT5">
        <f>BDS("ATHMQ US Equity","SUPPLY_CHAIN_CUSTOMERS","RELATIONSHIP_AS_OF_DATE","19990119")</f>
        <v/>
      </c>
      <c r="AY5">
        <f>BDS("8394653Q US Equity","SUPPLY_CHAIN_SUPPLIERS","RELATIONSHIP_AS_OF_DATE","20050606")</f>
        <v/>
      </c>
      <c r="BD5">
        <f>BDS("8394653Q US Equity","SUPPLY_CHAIN_CUSTOMERS","RELATIONSHIP_AS_OF_DATE","20050606")</f>
        <v/>
      </c>
      <c r="BI5">
        <f>BDS("XEL US Equity","SUPPLY_CHAIN_SUPPLIERS","RELATIONSHIP_AS_OF_DATE","19990325")</f>
        <v/>
      </c>
      <c r="BN5">
        <f>BDS("XEL US Equity","SUPPLY_CHAIN_CUSTOMERS","RELATIONSHIP_AS_OF_DATE","19990325")</f>
        <v/>
      </c>
      <c r="BS5">
        <f>BDS("nan Equity","SUPPLY_CHAIN_SUPPLIERS","RELATIONSHIP_AS_OF_DATE","20210601")</f>
        <v/>
      </c>
      <c r="BX5">
        <f>BDS("nan Equity","SUPPLY_CHAIN_CUSTOMERS","RELATIONSHIP_AS_OF_DATE","20210601")</f>
        <v/>
      </c>
      <c r="CC5">
        <f>BDS("nan Equity","SUPPLY_CHAIN_SUPPLIERS","RELATIONSHIP_AS_OF_DATE","20141020")</f>
        <v/>
      </c>
      <c r="CH5">
        <f>BDS("nan Equity","SUPPLY_CHAIN_CUSTOMERS","RELATIONSHIP_AS_OF_DATE","20141020")</f>
        <v/>
      </c>
      <c r="CM5">
        <f>BDS("ATBA AV Equity","SUPPLY_CHAIN_SUPPLIERS","RELATIONSHIP_AS_OF_DATE","19990401")</f>
        <v/>
      </c>
      <c r="CR5">
        <f>BDS("ATBA AV Equity","SUPPLY_CHAIN_CUSTOMERS","RELATIONSHIP_AS_OF_DATE","19990401")</f>
        <v/>
      </c>
      <c r="CW5">
        <f>BDS("GE US Equity","SUPPLY_CHAIN_SUPPLIERS","RELATIONSHIP_AS_OF_DATE","20051222")</f>
        <v/>
      </c>
      <c r="DB5">
        <f>BDS("GE US Equity","SUPPLY_CHAIN_CUSTOMERS","RELATIONSHIP_AS_OF_DATE","20051222")</f>
        <v/>
      </c>
      <c r="DG5">
        <f>BDS("AES US Equity","SUPPLY_CHAIN_SUPPLIERS","RELATIONSHIP_AS_OF_DATE","20110420")</f>
        <v/>
      </c>
      <c r="DL5">
        <f>BDS("AES US Equity","SUPPLY_CHAIN_CUSTOMERS","RELATIONSHIP_AS_OF_DATE","20110420")</f>
        <v/>
      </c>
      <c r="DQ5">
        <f>BDS("PSA US Equity","SUPPLY_CHAIN_SUPPLIERS","RELATIONSHIP_AS_OF_DATE","20050801")</f>
        <v/>
      </c>
      <c r="DV5">
        <f>BDS("PSA US Equity","SUPPLY_CHAIN_CUSTOMERS","RELATIONSHIP_AS_OF_DATE","20050801")</f>
        <v/>
      </c>
      <c r="EA5">
        <f>BDS("PFE US Equity","SUPPLY_CHAIN_SUPPLIERS","RELATIONSHIP_AS_OF_DATE","20220808")</f>
        <v/>
      </c>
      <c r="EF5">
        <f>BDS("PFE US Equity","SUPPLY_CHAIN_CUSTOMERS","RELATIONSHIP_AS_OF_DATE","20220808")</f>
        <v/>
      </c>
      <c r="EK5">
        <f>BDS("MS US Equity","SUPPLY_CHAIN_SUPPLIERS","RELATIONSHIP_AS_OF_DATE","20070522")</f>
        <v/>
      </c>
      <c r="EP5">
        <f>BDS("MS US Equity","SUPPLY_CHAIN_CUSTOMERS","RELATIONSHIP_AS_OF_DATE","20070522")</f>
        <v/>
      </c>
      <c r="EU5">
        <f>BDS("EPD US Equity","SUPPLY_CHAIN_SUPPLIERS","RELATIONSHIP_AS_OF_DATE","20141001")</f>
        <v/>
      </c>
      <c r="EZ5">
        <f>BDS("EPD US Equity","SUPPLY_CHAIN_CUSTOMERS","RELATIONSHIP_AS_OF_DATE","20141001")</f>
        <v/>
      </c>
      <c r="FE5">
        <f>BDS("WM US Equity","SUPPLY_CHAIN_SUPPLIERS","RELATIONSHIP_AS_OF_DATE","20190415")</f>
        <v/>
      </c>
      <c r="FJ5">
        <f>BDS("WM US Equity","SUPPLY_CHAIN_CUSTOMERS","RELATIONSHIP_AS_OF_DATE","20190415")</f>
        <v/>
      </c>
      <c r="FO5">
        <f>BDS("AMAT US Equity","SUPPLY_CHAIN_SUPPLIERS","RELATIONSHIP_AS_OF_DATE","20110504")</f>
        <v/>
      </c>
      <c r="FT5">
        <f>BDS("AMAT US Equity","SUPPLY_CHAIN_CUSTOMERS","RELATIONSHIP_AS_OF_DATE","20110504")</f>
        <v/>
      </c>
      <c r="FY5">
        <f>BDS("1051665D US Equity","SUPPLY_CHAIN_SUPPLIERS","RELATIONSHIP_AS_OF_DATE","20010829")</f>
        <v/>
      </c>
      <c r="GD5">
        <f>BDS("1051665D US Equity","SUPPLY_CHAIN_CUSTOMERS","RELATIONSHIP_AS_OF_DATE","20010829")</f>
        <v/>
      </c>
      <c r="GI5">
        <f>BDS("ELV US Equity","SUPPLY_CHAIN_SUPPLIERS","RELATIONSHIP_AS_OF_DATE","20120709")</f>
        <v/>
      </c>
      <c r="GN5">
        <f>BDS("ELV US Equity","SUPPLY_CHAIN_CUSTOMERS","RELATIONSHIP_AS_OF_DATE","20120709")</f>
        <v/>
      </c>
      <c r="GS5">
        <f>BDS("UNM US Equity","SUPPLY_CHAIN_SUPPLIERS","RELATIONSHIP_AS_OF_DATE","19981123")</f>
        <v/>
      </c>
      <c r="GX5">
        <f>BDS("UNM US Equity","SUPPLY_CHAIN_CUSTOMERS","RELATIONSHIP_AS_OF_DATE","19981123")</f>
        <v/>
      </c>
      <c r="HC5">
        <f>BDS("T US Equity","SUPPLY_CHAIN_SUPPLIERS","RELATIONSHIP_AS_OF_DATE","20070629")</f>
        <v/>
      </c>
      <c r="HH5">
        <f>BDS("T US Equity","SUPPLY_CHAIN_CUSTOMERS","RELATIONSHIP_AS_OF_DATE","20070629")</f>
        <v/>
      </c>
      <c r="HM5">
        <f>BDS("BX US Equity","SUPPLY_CHAIN_SUPPLIERS","RELATIONSHIP_AS_OF_DATE","20060306")</f>
        <v/>
      </c>
      <c r="HR5">
        <f>BDS("BX US Equity","SUPPLY_CHAIN_CUSTOMERS","RELATIONSHIP_AS_OF_DATE","20060306")</f>
        <v/>
      </c>
      <c r="HW5">
        <f>BDS("EMN US Equity","SUPPLY_CHAIN_SUPPLIERS","RELATIONSHIP_AS_OF_DATE","20120127")</f>
        <v/>
      </c>
      <c r="IB5">
        <f>BDS("EMN US Equity","SUPPLY_CHAIN_CUSTOMERS","RELATIONSHIP_AS_OF_DATE","20120127")</f>
        <v/>
      </c>
      <c r="IG5">
        <f>BDS("VMC US Equity","SUPPLY_CHAIN_SUPPLIERS","RELATIONSHIP_AS_OF_DATE","20070219")</f>
        <v/>
      </c>
      <c r="IL5">
        <f>BDS("VMC US Equity","SUPPLY_CHAIN_CUSTOMERS","RELATIONSHIP_AS_OF_DATE","20070219")</f>
        <v/>
      </c>
      <c r="IQ5">
        <f>BDS("FITB US Equity","SUPPLY_CHAIN_SUPPLIERS","RELATIONSHIP_AS_OF_DATE","20180521")</f>
        <v/>
      </c>
      <c r="IV5">
        <f>BDS("FITB US Equity","SUPPLY_CHAIN_CUSTOMERS","RELATIONSHIP_AS_OF_DATE","20180521")</f>
        <v/>
      </c>
      <c r="JA5">
        <f>BDS("2968900Q US Equity","SUPPLY_CHAIN_SUPPLIERS","RELATIONSHIP_AS_OF_DATE","20000229")</f>
        <v/>
      </c>
      <c r="JF5">
        <f>BDS("2968900Q US Equity","SUPPLY_CHAIN_CUSTOMERS","RELATIONSHIP_AS_OF_DATE","20000229")</f>
        <v/>
      </c>
      <c r="JK5">
        <f>BDS("PARA US Equity","SUPPLY_CHAIN_SUPPLIERS","RELATIONSHIP_AS_OF_DATE","20000815")</f>
        <v/>
      </c>
      <c r="JP5">
        <f>BDS("PARA US Equity","SUPPLY_CHAIN_CUSTOMERS","RELATIONSHIP_AS_OF_DATE","20000815")</f>
        <v/>
      </c>
      <c r="JU5">
        <f>BDS("ORCL US Equity","SUPPLY_CHAIN_SUPPLIERS","RELATIONSHIP_AS_OF_DATE","20140623")</f>
        <v/>
      </c>
      <c r="JZ5">
        <f>BDS("ORCL US Equity","SUPPLY_CHAIN_CUSTOMERS","RELATIONSHIP_AS_OF_DATE","20140623")</f>
        <v/>
      </c>
      <c r="KE5">
        <f>BDS("PFE US Equity","SUPPLY_CHAIN_SUPPLIERS","RELATIONSHIP_AS_OF_DATE","20160516")</f>
        <v/>
      </c>
      <c r="KJ5">
        <f>BDS("PFE US Equity","SUPPLY_CHAIN_CUSTOMERS","RELATIONSHIP_AS_OF_DATE","20160516")</f>
        <v/>
      </c>
      <c r="KO5">
        <f>BDS("STT US Equity","SUPPLY_CHAIN_SUPPLIERS","RELATIONSHIP_AS_OF_DATE","20070205")</f>
        <v/>
      </c>
      <c r="KT5">
        <f>BDS("STT US Equity","SUPPLY_CHAIN_CUSTOMERS","RELATIONSHIP_AS_OF_DATE","20070205")</f>
        <v/>
      </c>
      <c r="KY5">
        <f>BDS("HPQ US Equity","SUPPLY_CHAIN_SUPPLIERS","RELATIONSHIP_AS_OF_DATE","20060725")</f>
        <v/>
      </c>
      <c r="LD5">
        <f>BDS("HPQ US Equity","SUPPLY_CHAIN_CUSTOMERS","RELATIONSHIP_AS_OF_DATE","20060725")</f>
        <v/>
      </c>
      <c r="LI5">
        <f>BDS("JNJ US Equity","SUPPLY_CHAIN_SUPPLIERS","RELATIONSHIP_AS_OF_DATE","19990721")</f>
        <v/>
      </c>
      <c r="LN5">
        <f>BDS("JNJ US Equity","SUPPLY_CHAIN_CUSTOMERS","RELATIONSHIP_AS_OF_DATE","19990721")</f>
        <v/>
      </c>
      <c r="LS5">
        <f>BDS("MS US Equity","SUPPLY_CHAIN_SUPPLIERS","RELATIONSHIP_AS_OF_DATE","20201008")</f>
        <v/>
      </c>
      <c r="LX5">
        <f>BDS("MS US Equity","SUPPLY_CHAIN_CUSTOMERS","RELATIONSHIP_AS_OF_DATE","20201008")</f>
        <v/>
      </c>
      <c r="MC5">
        <f>BDS("SWK US Equity","SUPPLY_CHAIN_SUPPLIERS","RELATIONSHIP_AS_OF_DATE","20091102")</f>
        <v/>
      </c>
      <c r="MH5">
        <f>BDS("SWK US Equity","SUPPLY_CHAIN_CUSTOMERS","RELATIONSHIP_AS_OF_DATE","20091102")</f>
        <v/>
      </c>
      <c r="MM5">
        <f>BDS("PTVE US Equity","SUPPLY_CHAIN_SUPPLIERS","RELATIONSHIP_AS_OF_DATE","20110614")</f>
        <v/>
      </c>
      <c r="MR5">
        <f>BDS("PTVE US Equity","SUPPLY_CHAIN_CUSTOMERS","RELATIONSHIP_AS_OF_DATE","20110614")</f>
        <v/>
      </c>
      <c r="MW5">
        <f>BDS("BAC US Equity","SUPPLY_CHAIN_SUPPLIERS","RELATIONSHIP_AS_OF_DATE","20080111")</f>
        <v/>
      </c>
      <c r="NB5">
        <f>BDS("BAC US Equity","SUPPLY_CHAIN_CUSTOMERS","RELATIONSHIP_AS_OF_DATE","20080111")</f>
        <v/>
      </c>
      <c r="NG5">
        <f>BDS("CSCO US Equity","SUPPLY_CHAIN_SUPPLIERS","RELATIONSHIP_AS_OF_DATE","20190709")</f>
        <v/>
      </c>
      <c r="NL5">
        <f>BDS("CSCO US Equity","SUPPLY_CHAIN_CUSTOMERS","RELATIONSHIP_AS_OF_DATE","20190709")</f>
        <v/>
      </c>
      <c r="NQ5">
        <f>BDS("LNCOQ US Equity","SUPPLY_CHAIN_SUPPLIERS","RELATIONSHIP_AS_OF_DATE","20130221")</f>
        <v/>
      </c>
      <c r="NV5">
        <f>BDS("LNCOQ US Equity","SUPPLY_CHAIN_CUSTOMERS","RELATIONSHIP_AS_OF_DATE","20130221")</f>
        <v/>
      </c>
      <c r="OA5">
        <f>BDS("TSN US Equity","SUPPLY_CHAIN_SUPPLIERS","RELATIONSHIP_AS_OF_DATE","20001204")</f>
        <v/>
      </c>
      <c r="OF5">
        <f>BDS("TSN US Equity","SUPPLY_CHAIN_CUSTOMERS","RELATIONSHIP_AS_OF_DATE","20001204")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521</t>
        </is>
      </c>
      <c r="K1" s="1" t="inlineStr">
        <is>
          <t>Deal 522</t>
        </is>
      </c>
      <c r="U1" s="1" t="inlineStr">
        <is>
          <t>Deal 523</t>
        </is>
      </c>
      <c r="AE1" s="1" t="inlineStr">
        <is>
          <t>Deal 524</t>
        </is>
      </c>
      <c r="AO1" s="1" t="inlineStr">
        <is>
          <t>Deal 525</t>
        </is>
      </c>
      <c r="AY1" s="1" t="inlineStr">
        <is>
          <t>Deal 526</t>
        </is>
      </c>
      <c r="BI1" s="1" t="inlineStr">
        <is>
          <t>Deal 527</t>
        </is>
      </c>
      <c r="BS1" s="1" t="inlineStr">
        <is>
          <t>Deal 528</t>
        </is>
      </c>
      <c r="CC1" s="1" t="inlineStr">
        <is>
          <t>Deal 529</t>
        </is>
      </c>
      <c r="CM1" s="1" t="inlineStr">
        <is>
          <t>Deal 530</t>
        </is>
      </c>
      <c r="CW1" s="1" t="inlineStr">
        <is>
          <t>Deal 531</t>
        </is>
      </c>
      <c r="DG1" s="1" t="inlineStr">
        <is>
          <t>Deal 532</t>
        </is>
      </c>
      <c r="DQ1" s="1" t="inlineStr">
        <is>
          <t>Deal 533</t>
        </is>
      </c>
      <c r="EA1" s="1" t="inlineStr">
        <is>
          <t>Deal 534</t>
        </is>
      </c>
      <c r="EK1" s="1" t="inlineStr">
        <is>
          <t>Deal 535</t>
        </is>
      </c>
      <c r="EU1" s="1" t="inlineStr">
        <is>
          <t>Deal 536</t>
        </is>
      </c>
      <c r="FE1" s="1" t="inlineStr">
        <is>
          <t>Deal 537</t>
        </is>
      </c>
      <c r="FO1" s="1" t="inlineStr">
        <is>
          <t>Deal 538</t>
        </is>
      </c>
      <c r="FY1" s="1" t="inlineStr">
        <is>
          <t>Deal 539</t>
        </is>
      </c>
      <c r="GI1" s="1" t="inlineStr">
        <is>
          <t>Deal 540</t>
        </is>
      </c>
      <c r="GS1" s="1" t="inlineStr">
        <is>
          <t>Deal 541</t>
        </is>
      </c>
      <c r="HC1" s="1" t="inlineStr">
        <is>
          <t>Deal 542</t>
        </is>
      </c>
      <c r="HM1" s="1" t="inlineStr">
        <is>
          <t>Deal 543</t>
        </is>
      </c>
      <c r="HW1" s="1" t="inlineStr">
        <is>
          <t>Deal 544</t>
        </is>
      </c>
      <c r="IG1" s="1" t="inlineStr">
        <is>
          <t>Deal 545</t>
        </is>
      </c>
      <c r="IQ1" s="1" t="inlineStr">
        <is>
          <t>Deal 546</t>
        </is>
      </c>
      <c r="JA1" s="1" t="inlineStr">
        <is>
          <t>Deal 547</t>
        </is>
      </c>
      <c r="JK1" s="1" t="inlineStr">
        <is>
          <t>Deal 548</t>
        </is>
      </c>
      <c r="JU1" s="1" t="inlineStr">
        <is>
          <t>Deal 549</t>
        </is>
      </c>
      <c r="KE1" s="1" t="inlineStr">
        <is>
          <t>Deal 550</t>
        </is>
      </c>
      <c r="KO1" s="1" t="inlineStr">
        <is>
          <t>Deal 551</t>
        </is>
      </c>
      <c r="KY1" s="1" t="inlineStr">
        <is>
          <t>Deal 552</t>
        </is>
      </c>
      <c r="LI1" s="1" t="inlineStr">
        <is>
          <t>Deal 553</t>
        </is>
      </c>
      <c r="LS1" s="1" t="inlineStr">
        <is>
          <t>Deal 554</t>
        </is>
      </c>
      <c r="MC1" s="1" t="inlineStr">
        <is>
          <t>Deal 555</t>
        </is>
      </c>
      <c r="MM1" s="1" t="inlineStr">
        <is>
          <t>Deal 556</t>
        </is>
      </c>
      <c r="MW1" s="1" t="inlineStr">
        <is>
          <t>Deal 557</t>
        </is>
      </c>
      <c r="NG1" s="1" t="inlineStr">
        <is>
          <t>Deal 558</t>
        </is>
      </c>
      <c r="NQ1" s="1" t="inlineStr">
        <is>
          <t>Deal 559</t>
        </is>
      </c>
      <c r="OA1" s="1" t="inlineStr">
        <is>
          <t>Deal 560</t>
        </is>
      </c>
    </row>
    <row r="2">
      <c r="A2" s="2" t="inlineStr">
        <is>
          <t>PH US Equity</t>
        </is>
      </c>
      <c r="K2" s="2" t="inlineStr">
        <is>
          <t>RRC US Equity</t>
        </is>
      </c>
      <c r="U2" s="2" t="inlineStr">
        <is>
          <t>CF US Equity</t>
        </is>
      </c>
      <c r="AE2" s="2" t="inlineStr">
        <is>
          <t>FIS US Equity</t>
        </is>
      </c>
      <c r="AO2" s="2" t="inlineStr">
        <is>
          <t>166783Q US Equity</t>
        </is>
      </c>
      <c r="AY2" s="2" t="inlineStr">
        <is>
          <t>IP US Equity</t>
        </is>
      </c>
      <c r="BI2" s="2" t="inlineStr">
        <is>
          <t>TCF US Equity</t>
        </is>
      </c>
      <c r="BS2" s="2" t="inlineStr">
        <is>
          <t>0616747D US Equity</t>
        </is>
      </c>
      <c r="CC2" s="2" t="inlineStr">
        <is>
          <t>DCNAQ US Equity</t>
        </is>
      </c>
      <c r="CM2" s="2" t="inlineStr">
        <is>
          <t>GILD US Equity</t>
        </is>
      </c>
      <c r="CW2" s="2" t="inlineStr">
        <is>
          <t>NRG US Equity</t>
        </is>
      </c>
      <c r="DG2" s="2" t="inlineStr">
        <is>
          <t>EXPE US Equity</t>
        </is>
      </c>
      <c r="DQ2" s="2" t="inlineStr">
        <is>
          <t>K US Equity</t>
        </is>
      </c>
      <c r="EA2" s="2" t="inlineStr">
        <is>
          <t>OLN US Equity</t>
        </is>
      </c>
      <c r="EK2" s="2" t="inlineStr">
        <is>
          <t>BA US Equity</t>
        </is>
      </c>
      <c r="EU2" s="2" t="inlineStr">
        <is>
          <t>STE US Equity</t>
        </is>
      </c>
      <c r="FE2" s="2" t="inlineStr">
        <is>
          <t>TDY US Equity</t>
        </is>
      </c>
      <c r="FO2" s="2" t="inlineStr">
        <is>
          <t>WCC US Equity</t>
        </is>
      </c>
      <c r="FY2" s="2" t="inlineStr">
        <is>
          <t>GPN US Equity</t>
        </is>
      </c>
      <c r="GI2" s="2" t="inlineStr">
        <is>
          <t>CCT CN Equity</t>
        </is>
      </c>
      <c r="GS2" s="2" t="inlineStr">
        <is>
          <t>OXY US Equity</t>
        </is>
      </c>
      <c r="HC2" s="2" t="inlineStr">
        <is>
          <t>STRZ US Equity</t>
        </is>
      </c>
      <c r="HM2" s="2" t="inlineStr">
        <is>
          <t>KMP US Equity</t>
        </is>
      </c>
      <c r="HW2" s="2" t="inlineStr">
        <is>
          <t>196850Q US Equity</t>
        </is>
      </c>
      <c r="IG2" s="2" t="inlineStr">
        <is>
          <t>EPD US Equity</t>
        </is>
      </c>
      <c r="IQ2" s="2" t="inlineStr">
        <is>
          <t>TSN US Equity</t>
        </is>
      </c>
      <c r="JA2" s="2" t="inlineStr">
        <is>
          <t>nan Equity</t>
        </is>
      </c>
      <c r="JK2" s="2" t="inlineStr">
        <is>
          <t>TMO US Equity</t>
        </is>
      </c>
      <c r="JU2" s="2" t="inlineStr">
        <is>
          <t>DEN US Equity</t>
        </is>
      </c>
      <c r="KE2" s="2" t="inlineStr">
        <is>
          <t>T US Equity</t>
        </is>
      </c>
      <c r="KO2" s="2" t="inlineStr">
        <is>
          <t>1023761D US Equity</t>
        </is>
      </c>
      <c r="KY2" s="2" t="inlineStr">
        <is>
          <t>MAA US Equity</t>
        </is>
      </c>
      <c r="LI2" s="2" t="inlineStr">
        <is>
          <t>SBRA US Equity</t>
        </is>
      </c>
      <c r="LS2" s="2" t="inlineStr">
        <is>
          <t>0848680D US Equity</t>
        </is>
      </c>
      <c r="MC2" s="2" t="inlineStr">
        <is>
          <t>VZ US Equity</t>
        </is>
      </c>
      <c r="MM2" s="2" t="inlineStr">
        <is>
          <t>TGE US Equity</t>
        </is>
      </c>
      <c r="MW2" s="2" t="inlineStr">
        <is>
          <t>FISV US Equity</t>
        </is>
      </c>
      <c r="NG2" s="2" t="inlineStr">
        <is>
          <t>KEY US Equity</t>
        </is>
      </c>
      <c r="NQ2" s="2" t="inlineStr">
        <is>
          <t>TDG US Equity</t>
        </is>
      </c>
      <c r="OA2" s="2" t="inlineStr">
        <is>
          <t>CG US Equity</t>
        </is>
      </c>
    </row>
    <row r="3">
      <c r="A3" t="inlineStr">
        <is>
          <t>Ann: 2016-12-01</t>
        </is>
      </c>
      <c r="K3" t="inlineStr">
        <is>
          <t>Ann: 2016-05-16</t>
        </is>
      </c>
      <c r="U3" t="inlineStr">
        <is>
          <t>Ann: 2009-01-15</t>
        </is>
      </c>
      <c r="AE3" t="inlineStr">
        <is>
          <t>Ann: 2009-04-01</t>
        </is>
      </c>
      <c r="AO3" t="inlineStr">
        <is>
          <t>Ann: 1999-06-23</t>
        </is>
      </c>
      <c r="AY3" t="inlineStr">
        <is>
          <t>Ann: 2011-06-06</t>
        </is>
      </c>
      <c r="BI3" t="inlineStr">
        <is>
          <t>Ann: 2019-01-28</t>
        </is>
      </c>
      <c r="BS3" t="inlineStr">
        <is>
          <t>Ann: 1998-08-27</t>
        </is>
      </c>
      <c r="CC3" t="inlineStr">
        <is>
          <t>Ann: 1998-05-04</t>
        </is>
      </c>
      <c r="CM3" t="inlineStr">
        <is>
          <t>Ann: 2020-03-02</t>
        </is>
      </c>
      <c r="CW3" t="inlineStr">
        <is>
          <t>Ann: 2012-07-23</t>
        </is>
      </c>
      <c r="DG3" t="inlineStr">
        <is>
          <t>Ann: 2019-04-16</t>
        </is>
      </c>
      <c r="DQ3" t="inlineStr">
        <is>
          <t>Ann: 2000-10-26</t>
        </is>
      </c>
      <c r="EA3" t="inlineStr">
        <is>
          <t>Ann: 2015-03-27</t>
        </is>
      </c>
      <c r="EK3" t="inlineStr">
        <is>
          <t>Ann: 2018-05-01</t>
        </is>
      </c>
      <c r="EU3" t="inlineStr">
        <is>
          <t>Ann: 2021-01-12</t>
        </is>
      </c>
      <c r="FE3" t="inlineStr">
        <is>
          <t>Ann: 2021-01-04</t>
        </is>
      </c>
      <c r="FO3" t="inlineStr">
        <is>
          <t>Ann: 2020-01-13</t>
        </is>
      </c>
      <c r="FY3" t="inlineStr">
        <is>
          <t>Ann: 2015-12-15</t>
        </is>
      </c>
      <c r="GI3" t="inlineStr">
        <is>
          <t>Ann: 2012-04-18</t>
        </is>
      </c>
      <c r="GS3" t="inlineStr">
        <is>
          <t>Ann: 2005-10-13</t>
        </is>
      </c>
      <c r="HC3" t="inlineStr">
        <is>
          <t>Ann: 2016-06-30</t>
        </is>
      </c>
      <c r="HM3" t="inlineStr">
        <is>
          <t>Ann: 2013-01-29</t>
        </is>
      </c>
      <c r="HW3" t="inlineStr">
        <is>
          <t>Ann: 2000-02-29</t>
        </is>
      </c>
      <c r="IG3" t="inlineStr">
        <is>
          <t>Ann: 2003-12-15</t>
        </is>
      </c>
      <c r="IQ3" t="inlineStr">
        <is>
          <t>Ann: 2017-04-25</t>
        </is>
      </c>
      <c r="JA3" t="inlineStr">
        <is>
          <t>Ann: 2016-08-26</t>
        </is>
      </c>
      <c r="JK3" t="inlineStr">
        <is>
          <t>Ann: 2016-05-27</t>
        </is>
      </c>
      <c r="JU3" t="inlineStr">
        <is>
          <t>Ann: 2009-11-01</t>
        </is>
      </c>
      <c r="KE3" t="inlineStr">
        <is>
          <t>Ann: 2013-07-12</t>
        </is>
      </c>
      <c r="KO3" t="inlineStr">
        <is>
          <t>Ann: 2013-05-28</t>
        </is>
      </c>
      <c r="KY3" t="inlineStr">
        <is>
          <t>Ann: 2013-06-03</t>
        </is>
      </c>
      <c r="LI3" t="inlineStr">
        <is>
          <t>Ann: 2017-05-08</t>
        </is>
      </c>
      <c r="LS3" t="inlineStr">
        <is>
          <t>Ann: 2005-11-21</t>
        </is>
      </c>
      <c r="MC3" t="inlineStr">
        <is>
          <t>Ann: 2015-05-12</t>
        </is>
      </c>
      <c r="MM3" t="inlineStr">
        <is>
          <t>Ann: 2018-03-26</t>
        </is>
      </c>
      <c r="MW3" t="inlineStr">
        <is>
          <t>Ann: 2007-08-02</t>
        </is>
      </c>
      <c r="NG3" t="inlineStr">
        <is>
          <t>Ann: 2015-10-30</t>
        </is>
      </c>
      <c r="NQ3" t="inlineStr">
        <is>
          <t>Ann: 2018-10-10</t>
        </is>
      </c>
      <c r="OA3" t="inlineStr">
        <is>
          <t>Ann: 2022-05-16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BDS("PH US Equity","SUPPLY_CHAIN_SUPPLIERS","RELATIONSHIP_AS_OF_DATE","20161201")</f>
        <v/>
      </c>
      <c r="F5">
        <f>BDS("PH US Equity","SUPPLY_CHAIN_CUSTOMERS","RELATIONSHIP_AS_OF_DATE","20161201")</f>
        <v/>
      </c>
      <c r="K5">
        <f>BDS("RRC US Equity","SUPPLY_CHAIN_SUPPLIERS","RELATIONSHIP_AS_OF_DATE","20160516")</f>
        <v/>
      </c>
      <c r="P5">
        <f>BDS("RRC US Equity","SUPPLY_CHAIN_CUSTOMERS","RELATIONSHIP_AS_OF_DATE","20160516")</f>
        <v/>
      </c>
      <c r="U5">
        <f>BDS("CF US Equity","SUPPLY_CHAIN_SUPPLIERS","RELATIONSHIP_AS_OF_DATE","20090115")</f>
        <v/>
      </c>
      <c r="Z5">
        <f>BDS("CF US Equity","SUPPLY_CHAIN_CUSTOMERS","RELATIONSHIP_AS_OF_DATE","20090115")</f>
        <v/>
      </c>
      <c r="AE5">
        <f>BDS("FIS US Equity","SUPPLY_CHAIN_SUPPLIERS","RELATIONSHIP_AS_OF_DATE","20090401")</f>
        <v/>
      </c>
      <c r="AJ5">
        <f>BDS("FIS US Equity","SUPPLY_CHAIN_CUSTOMERS","RELATIONSHIP_AS_OF_DATE","20090401")</f>
        <v/>
      </c>
      <c r="AO5">
        <f>BDS("166783Q US Equity","SUPPLY_CHAIN_SUPPLIERS","RELATIONSHIP_AS_OF_DATE","19990623")</f>
        <v/>
      </c>
      <c r="AT5">
        <f>BDS("166783Q US Equity","SUPPLY_CHAIN_CUSTOMERS","RELATIONSHIP_AS_OF_DATE","19990623")</f>
        <v/>
      </c>
      <c r="AY5">
        <f>BDS("IP US Equity","SUPPLY_CHAIN_SUPPLIERS","RELATIONSHIP_AS_OF_DATE","20110606")</f>
        <v/>
      </c>
      <c r="BD5">
        <f>BDS("IP US Equity","SUPPLY_CHAIN_CUSTOMERS","RELATIONSHIP_AS_OF_DATE","20110606")</f>
        <v/>
      </c>
      <c r="BI5">
        <f>BDS("TCF US Equity","SUPPLY_CHAIN_SUPPLIERS","RELATIONSHIP_AS_OF_DATE","20190128")</f>
        <v/>
      </c>
      <c r="BN5">
        <f>BDS("TCF US Equity","SUPPLY_CHAIN_CUSTOMERS","RELATIONSHIP_AS_OF_DATE","20190128")</f>
        <v/>
      </c>
      <c r="BS5">
        <f>BDS("0616747D US Equity","SUPPLY_CHAIN_SUPPLIERS","RELATIONSHIP_AS_OF_DATE","19980827")</f>
        <v/>
      </c>
      <c r="BX5">
        <f>BDS("0616747D US Equity","SUPPLY_CHAIN_CUSTOMERS","RELATIONSHIP_AS_OF_DATE","19980827")</f>
        <v/>
      </c>
      <c r="CC5">
        <f>BDS("DCNAQ US Equity","SUPPLY_CHAIN_SUPPLIERS","RELATIONSHIP_AS_OF_DATE","19980504")</f>
        <v/>
      </c>
      <c r="CH5">
        <f>BDS("DCNAQ US Equity","SUPPLY_CHAIN_CUSTOMERS","RELATIONSHIP_AS_OF_DATE","19980504")</f>
        <v/>
      </c>
      <c r="CM5">
        <f>BDS("GILD US Equity","SUPPLY_CHAIN_SUPPLIERS","RELATIONSHIP_AS_OF_DATE","20200302")</f>
        <v/>
      </c>
      <c r="CR5">
        <f>BDS("GILD US Equity","SUPPLY_CHAIN_CUSTOMERS","RELATIONSHIP_AS_OF_DATE","20200302")</f>
        <v/>
      </c>
      <c r="CW5">
        <f>BDS("NRG US Equity","SUPPLY_CHAIN_SUPPLIERS","RELATIONSHIP_AS_OF_DATE","20120723")</f>
        <v/>
      </c>
      <c r="DB5">
        <f>BDS("NRG US Equity","SUPPLY_CHAIN_CUSTOMERS","RELATIONSHIP_AS_OF_DATE","20120723")</f>
        <v/>
      </c>
      <c r="DG5">
        <f>BDS("EXPE US Equity","SUPPLY_CHAIN_SUPPLIERS","RELATIONSHIP_AS_OF_DATE","20190416")</f>
        <v/>
      </c>
      <c r="DL5">
        <f>BDS("EXPE US Equity","SUPPLY_CHAIN_CUSTOMERS","RELATIONSHIP_AS_OF_DATE","20190416")</f>
        <v/>
      </c>
      <c r="DQ5">
        <f>BDS("K US Equity","SUPPLY_CHAIN_SUPPLIERS","RELATIONSHIP_AS_OF_DATE","20001026")</f>
        <v/>
      </c>
      <c r="DV5">
        <f>BDS("K US Equity","SUPPLY_CHAIN_CUSTOMERS","RELATIONSHIP_AS_OF_DATE","20001026")</f>
        <v/>
      </c>
      <c r="EA5">
        <f>BDS("OLN US Equity","SUPPLY_CHAIN_SUPPLIERS","RELATIONSHIP_AS_OF_DATE","20150327")</f>
        <v/>
      </c>
      <c r="EF5">
        <f>BDS("OLN US Equity","SUPPLY_CHAIN_CUSTOMERS","RELATIONSHIP_AS_OF_DATE","20150327")</f>
        <v/>
      </c>
      <c r="EK5">
        <f>BDS("BA US Equity","SUPPLY_CHAIN_SUPPLIERS","RELATIONSHIP_AS_OF_DATE","20180501")</f>
        <v/>
      </c>
      <c r="EP5">
        <f>BDS("BA US Equity","SUPPLY_CHAIN_CUSTOMERS","RELATIONSHIP_AS_OF_DATE","20180501")</f>
        <v/>
      </c>
      <c r="EU5">
        <f>BDS("STE US Equity","SUPPLY_CHAIN_SUPPLIERS","RELATIONSHIP_AS_OF_DATE","20210112")</f>
        <v/>
      </c>
      <c r="EZ5">
        <f>BDS("STE US Equity","SUPPLY_CHAIN_CUSTOMERS","RELATIONSHIP_AS_OF_DATE","20210112")</f>
        <v/>
      </c>
      <c r="FE5">
        <f>BDS("TDY US Equity","SUPPLY_CHAIN_SUPPLIERS","RELATIONSHIP_AS_OF_DATE","20210104")</f>
        <v/>
      </c>
      <c r="FJ5">
        <f>BDS("TDY US Equity","SUPPLY_CHAIN_CUSTOMERS","RELATIONSHIP_AS_OF_DATE","20210104")</f>
        <v/>
      </c>
      <c r="FO5">
        <f>BDS("WCC US Equity","SUPPLY_CHAIN_SUPPLIERS","RELATIONSHIP_AS_OF_DATE","20200113")</f>
        <v/>
      </c>
      <c r="FT5">
        <f>BDS("WCC US Equity","SUPPLY_CHAIN_CUSTOMERS","RELATIONSHIP_AS_OF_DATE","20200113")</f>
        <v/>
      </c>
      <c r="FY5">
        <f>BDS("GPN US Equity","SUPPLY_CHAIN_SUPPLIERS","RELATIONSHIP_AS_OF_DATE","20151215")</f>
        <v/>
      </c>
      <c r="GD5">
        <f>BDS("GPN US Equity","SUPPLY_CHAIN_CUSTOMERS","RELATIONSHIP_AS_OF_DATE","20151215")</f>
        <v/>
      </c>
      <c r="GI5">
        <f>BDS("CCT CN Equity","SUPPLY_CHAIN_SUPPLIERS","RELATIONSHIP_AS_OF_DATE","20120418")</f>
        <v/>
      </c>
      <c r="GN5">
        <f>BDS("CCT CN Equity","SUPPLY_CHAIN_CUSTOMERS","RELATIONSHIP_AS_OF_DATE","20120418")</f>
        <v/>
      </c>
      <c r="GS5">
        <f>BDS("OXY US Equity","SUPPLY_CHAIN_SUPPLIERS","RELATIONSHIP_AS_OF_DATE","20051013")</f>
        <v/>
      </c>
      <c r="GX5">
        <f>BDS("OXY US Equity","SUPPLY_CHAIN_CUSTOMERS","RELATIONSHIP_AS_OF_DATE","20051013")</f>
        <v/>
      </c>
      <c r="HC5">
        <f>BDS("STRZ US Equity","SUPPLY_CHAIN_SUPPLIERS","RELATIONSHIP_AS_OF_DATE","20160630")</f>
        <v/>
      </c>
      <c r="HH5">
        <f>BDS("STRZ US Equity","SUPPLY_CHAIN_CUSTOMERS","RELATIONSHIP_AS_OF_DATE","20160630")</f>
        <v/>
      </c>
      <c r="HM5">
        <f>BDS("KMP US Equity","SUPPLY_CHAIN_SUPPLIERS","RELATIONSHIP_AS_OF_DATE","20130129")</f>
        <v/>
      </c>
      <c r="HR5">
        <f>BDS("KMP US Equity","SUPPLY_CHAIN_CUSTOMERS","RELATIONSHIP_AS_OF_DATE","20130129")</f>
        <v/>
      </c>
      <c r="HW5">
        <f>BDS("196850Q US Equity","SUPPLY_CHAIN_SUPPLIERS","RELATIONSHIP_AS_OF_DATE","20000229")</f>
        <v/>
      </c>
      <c r="IB5">
        <f>BDS("196850Q US Equity","SUPPLY_CHAIN_CUSTOMERS","RELATIONSHIP_AS_OF_DATE","20000229")</f>
        <v/>
      </c>
      <c r="IG5">
        <f>BDS("EPD US Equity","SUPPLY_CHAIN_SUPPLIERS","RELATIONSHIP_AS_OF_DATE","20031215")</f>
        <v/>
      </c>
      <c r="IL5">
        <f>BDS("EPD US Equity","SUPPLY_CHAIN_CUSTOMERS","RELATIONSHIP_AS_OF_DATE","20031215")</f>
        <v/>
      </c>
      <c r="IQ5">
        <f>BDS("TSN US Equity","SUPPLY_CHAIN_SUPPLIERS","RELATIONSHIP_AS_OF_DATE","20170425")</f>
        <v/>
      </c>
      <c r="IV5">
        <f>BDS("TSN US Equity","SUPPLY_CHAIN_CUSTOMERS","RELATIONSHIP_AS_OF_DATE","20170425")</f>
        <v/>
      </c>
      <c r="JA5">
        <f>BDS("nan Equity","SUPPLY_CHAIN_SUPPLIERS","RELATIONSHIP_AS_OF_DATE","20160826")</f>
        <v/>
      </c>
      <c r="JF5">
        <f>BDS("nan Equity","SUPPLY_CHAIN_CUSTOMERS","RELATIONSHIP_AS_OF_DATE","20160826")</f>
        <v/>
      </c>
      <c r="JK5">
        <f>BDS("TMO US Equity","SUPPLY_CHAIN_SUPPLIERS","RELATIONSHIP_AS_OF_DATE","20160527")</f>
        <v/>
      </c>
      <c r="JP5">
        <f>BDS("TMO US Equity","SUPPLY_CHAIN_CUSTOMERS","RELATIONSHIP_AS_OF_DATE","20160527")</f>
        <v/>
      </c>
      <c r="JU5">
        <f>BDS("DEN US Equity","SUPPLY_CHAIN_SUPPLIERS","RELATIONSHIP_AS_OF_DATE","20091101")</f>
        <v/>
      </c>
      <c r="JZ5">
        <f>BDS("DEN US Equity","SUPPLY_CHAIN_CUSTOMERS","RELATIONSHIP_AS_OF_DATE","20091101")</f>
        <v/>
      </c>
      <c r="KE5">
        <f>BDS("T US Equity","SUPPLY_CHAIN_SUPPLIERS","RELATIONSHIP_AS_OF_DATE","20130712")</f>
        <v/>
      </c>
      <c r="KJ5">
        <f>BDS("T US Equity","SUPPLY_CHAIN_CUSTOMERS","RELATIONSHIP_AS_OF_DATE","20130712")</f>
        <v/>
      </c>
      <c r="KO5">
        <f>BDS("1023761D US Equity","SUPPLY_CHAIN_SUPPLIERS","RELATIONSHIP_AS_OF_DATE","20130528")</f>
        <v/>
      </c>
      <c r="KT5">
        <f>BDS("1023761D US Equity","SUPPLY_CHAIN_CUSTOMERS","RELATIONSHIP_AS_OF_DATE","20130528")</f>
        <v/>
      </c>
      <c r="KY5">
        <f>BDS("MAA US Equity","SUPPLY_CHAIN_SUPPLIERS","RELATIONSHIP_AS_OF_DATE","20130603")</f>
        <v/>
      </c>
      <c r="LD5">
        <f>BDS("MAA US Equity","SUPPLY_CHAIN_CUSTOMERS","RELATIONSHIP_AS_OF_DATE","20130603")</f>
        <v/>
      </c>
      <c r="LI5">
        <f>BDS("SBRA US Equity","SUPPLY_CHAIN_SUPPLIERS","RELATIONSHIP_AS_OF_DATE","20170508")</f>
        <v/>
      </c>
      <c r="LN5">
        <f>BDS("SBRA US Equity","SUPPLY_CHAIN_CUSTOMERS","RELATIONSHIP_AS_OF_DATE","20170508")</f>
        <v/>
      </c>
      <c r="LS5">
        <f>BDS("0848680D US Equity","SUPPLY_CHAIN_SUPPLIERS","RELATIONSHIP_AS_OF_DATE","20051121")</f>
        <v/>
      </c>
      <c r="LX5">
        <f>BDS("0848680D US Equity","SUPPLY_CHAIN_CUSTOMERS","RELATIONSHIP_AS_OF_DATE","20051121")</f>
        <v/>
      </c>
      <c r="MC5">
        <f>BDS("VZ US Equity","SUPPLY_CHAIN_SUPPLIERS","RELATIONSHIP_AS_OF_DATE","20150512")</f>
        <v/>
      </c>
      <c r="MH5">
        <f>BDS("VZ US Equity","SUPPLY_CHAIN_CUSTOMERS","RELATIONSHIP_AS_OF_DATE","20150512")</f>
        <v/>
      </c>
      <c r="MM5">
        <f>BDS("TGE US Equity","SUPPLY_CHAIN_SUPPLIERS","RELATIONSHIP_AS_OF_DATE","20180326")</f>
        <v/>
      </c>
      <c r="MR5">
        <f>BDS("TGE US Equity","SUPPLY_CHAIN_CUSTOMERS","RELATIONSHIP_AS_OF_DATE","20180326")</f>
        <v/>
      </c>
      <c r="MW5">
        <f>BDS("FISV US Equity","SUPPLY_CHAIN_SUPPLIERS","RELATIONSHIP_AS_OF_DATE","20070802")</f>
        <v/>
      </c>
      <c r="NB5">
        <f>BDS("FISV US Equity","SUPPLY_CHAIN_CUSTOMERS","RELATIONSHIP_AS_OF_DATE","20070802")</f>
        <v/>
      </c>
      <c r="NG5">
        <f>BDS("KEY US Equity","SUPPLY_CHAIN_SUPPLIERS","RELATIONSHIP_AS_OF_DATE","20151030")</f>
        <v/>
      </c>
      <c r="NL5">
        <f>BDS("KEY US Equity","SUPPLY_CHAIN_CUSTOMERS","RELATIONSHIP_AS_OF_DATE","20151030")</f>
        <v/>
      </c>
      <c r="NQ5">
        <f>BDS("TDG US Equity","SUPPLY_CHAIN_SUPPLIERS","RELATIONSHIP_AS_OF_DATE","20181010")</f>
        <v/>
      </c>
      <c r="NV5">
        <f>BDS("TDG US Equity","SUPPLY_CHAIN_CUSTOMERS","RELATIONSHIP_AS_OF_DATE","20181010")</f>
        <v/>
      </c>
      <c r="OA5">
        <f>BDS("CG US Equity","SUPPLY_CHAIN_SUPPLIERS","RELATIONSHIP_AS_OF_DATE","20220516")</f>
        <v/>
      </c>
      <c r="OF5">
        <f>BDS("CG US Equity","SUPPLY_CHAIN_CUSTOMERS","RELATIONSHIP_AS_OF_DATE","20220516")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561</t>
        </is>
      </c>
      <c r="K1" s="1" t="inlineStr">
        <is>
          <t>Deal 562</t>
        </is>
      </c>
      <c r="U1" s="1" t="inlineStr">
        <is>
          <t>Deal 563</t>
        </is>
      </c>
      <c r="AE1" s="1" t="inlineStr">
        <is>
          <t>Deal 564</t>
        </is>
      </c>
      <c r="AO1" s="1" t="inlineStr">
        <is>
          <t>Deal 565</t>
        </is>
      </c>
      <c r="AY1" s="1" t="inlineStr">
        <is>
          <t>Deal 566</t>
        </is>
      </c>
      <c r="BI1" s="1" t="inlineStr">
        <is>
          <t>Deal 567</t>
        </is>
      </c>
      <c r="BS1" s="1" t="inlineStr">
        <is>
          <t>Deal 568</t>
        </is>
      </c>
      <c r="CC1" s="1" t="inlineStr">
        <is>
          <t>Deal 569</t>
        </is>
      </c>
      <c r="CM1" s="1" t="inlineStr">
        <is>
          <t>Deal 570</t>
        </is>
      </c>
      <c r="CW1" s="1" t="inlineStr">
        <is>
          <t>Deal 571</t>
        </is>
      </c>
      <c r="DG1" s="1" t="inlineStr">
        <is>
          <t>Deal 572</t>
        </is>
      </c>
      <c r="DQ1" s="1" t="inlineStr">
        <is>
          <t>Deal 573</t>
        </is>
      </c>
      <c r="EA1" s="1" t="inlineStr">
        <is>
          <t>Deal 574</t>
        </is>
      </c>
      <c r="EK1" s="1" t="inlineStr">
        <is>
          <t>Deal 575</t>
        </is>
      </c>
      <c r="EU1" s="1" t="inlineStr">
        <is>
          <t>Deal 576</t>
        </is>
      </c>
      <c r="FE1" s="1" t="inlineStr">
        <is>
          <t>Deal 577</t>
        </is>
      </c>
      <c r="FO1" s="1" t="inlineStr">
        <is>
          <t>Deal 578</t>
        </is>
      </c>
      <c r="FY1" s="1" t="inlineStr">
        <is>
          <t>Deal 579</t>
        </is>
      </c>
      <c r="GI1" s="1" t="inlineStr">
        <is>
          <t>Deal 580</t>
        </is>
      </c>
      <c r="GS1" s="1" t="inlineStr">
        <is>
          <t>Deal 581</t>
        </is>
      </c>
      <c r="HC1" s="1" t="inlineStr">
        <is>
          <t>Deal 582</t>
        </is>
      </c>
      <c r="HM1" s="1" t="inlineStr">
        <is>
          <t>Deal 583</t>
        </is>
      </c>
      <c r="HW1" s="1" t="inlineStr">
        <is>
          <t>Deal 584</t>
        </is>
      </c>
      <c r="IG1" s="1" t="inlineStr">
        <is>
          <t>Deal 585</t>
        </is>
      </c>
      <c r="IQ1" s="1" t="inlineStr">
        <is>
          <t>Deal 586</t>
        </is>
      </c>
      <c r="JA1" s="1" t="inlineStr">
        <is>
          <t>Deal 587</t>
        </is>
      </c>
      <c r="JK1" s="1" t="inlineStr">
        <is>
          <t>Deal 588</t>
        </is>
      </c>
      <c r="JU1" s="1" t="inlineStr">
        <is>
          <t>Deal 589</t>
        </is>
      </c>
      <c r="KE1" s="1" t="inlineStr">
        <is>
          <t>Deal 590</t>
        </is>
      </c>
      <c r="KO1" s="1" t="inlineStr">
        <is>
          <t>Deal 591</t>
        </is>
      </c>
      <c r="KY1" s="1" t="inlineStr">
        <is>
          <t>Deal 592</t>
        </is>
      </c>
      <c r="LI1" s="1" t="inlineStr">
        <is>
          <t>Deal 593</t>
        </is>
      </c>
      <c r="LS1" s="1" t="inlineStr">
        <is>
          <t>Deal 594</t>
        </is>
      </c>
      <c r="MC1" s="1" t="inlineStr">
        <is>
          <t>Deal 595</t>
        </is>
      </c>
      <c r="MM1" s="1" t="inlineStr">
        <is>
          <t>Deal 596</t>
        </is>
      </c>
      <c r="MW1" s="1" t="inlineStr">
        <is>
          <t>Deal 597</t>
        </is>
      </c>
      <c r="NG1" s="1" t="inlineStr">
        <is>
          <t>Deal 598</t>
        </is>
      </c>
      <c r="NQ1" s="1" t="inlineStr">
        <is>
          <t>Deal 599</t>
        </is>
      </c>
      <c r="OA1" s="1" t="inlineStr">
        <is>
          <t>Deal 600</t>
        </is>
      </c>
    </row>
    <row r="2">
      <c r="A2" s="2" t="inlineStr">
        <is>
          <t>AWE US Equity</t>
        </is>
      </c>
      <c r="K2" s="2" t="inlineStr">
        <is>
          <t>TMUS US Equity</t>
        </is>
      </c>
      <c r="U2" s="2" t="inlineStr">
        <is>
          <t>0910150D US Equity</t>
        </is>
      </c>
      <c r="AE2" s="2" t="inlineStr">
        <is>
          <t>PEP US Equity</t>
        </is>
      </c>
      <c r="AO2" s="2" t="inlineStr">
        <is>
          <t>NBL US Equity</t>
        </is>
      </c>
      <c r="AY2" s="2" t="inlineStr">
        <is>
          <t>ORCL US Equity</t>
        </is>
      </c>
      <c r="BI2" s="2" t="inlineStr">
        <is>
          <t>1813626D US Equity</t>
        </is>
      </c>
      <c r="BS2" s="2" t="inlineStr">
        <is>
          <t>ASFZ US Equity</t>
        </is>
      </c>
      <c r="CC2" s="2" t="inlineStr">
        <is>
          <t>DHR US Equity</t>
        </is>
      </c>
      <c r="CM2" s="2" t="inlineStr">
        <is>
          <t>nan Equity</t>
        </is>
      </c>
      <c r="CW2" s="2" t="inlineStr">
        <is>
          <t>WPGGQ US Equity</t>
        </is>
      </c>
      <c r="DG2" s="2" t="inlineStr">
        <is>
          <t>KIM US Equity</t>
        </is>
      </c>
      <c r="DQ2" s="2" t="inlineStr">
        <is>
          <t>329802Q US Equity</t>
        </is>
      </c>
      <c r="EA2" s="2" t="inlineStr">
        <is>
          <t>nan Equity</t>
        </is>
      </c>
      <c r="EK2" s="2" t="inlineStr">
        <is>
          <t>MAT US Equity</t>
        </is>
      </c>
      <c r="EU2" s="2" t="inlineStr">
        <is>
          <t>DIS US Equity</t>
        </is>
      </c>
      <c r="FE2" s="2" t="inlineStr">
        <is>
          <t>4134807Q US Equity</t>
        </is>
      </c>
      <c r="FO2" s="2" t="inlineStr">
        <is>
          <t>MDT US Equity</t>
        </is>
      </c>
      <c r="FY2" s="2" t="inlineStr">
        <is>
          <t>nan Equity</t>
        </is>
      </c>
      <c r="GI2" s="2" t="inlineStr">
        <is>
          <t>CI US Equity</t>
        </is>
      </c>
      <c r="GS2" s="2" t="inlineStr">
        <is>
          <t>ITW US Equity</t>
        </is>
      </c>
      <c r="HC2" s="2" t="inlineStr">
        <is>
          <t>9990302D US Equity</t>
        </is>
      </c>
      <c r="HM2" s="2" t="inlineStr">
        <is>
          <t>CMCSA US Equity</t>
        </is>
      </c>
      <c r="HW2" s="2" t="inlineStr">
        <is>
          <t>DZA US Equity</t>
        </is>
      </c>
      <c r="IG2" s="2" t="inlineStr">
        <is>
          <t>nan Equity</t>
        </is>
      </c>
      <c r="IQ2" s="2" t="inlineStr">
        <is>
          <t>RTX US Equity</t>
        </is>
      </c>
      <c r="JA2" s="2" t="inlineStr">
        <is>
          <t>1431816D US Equity</t>
        </is>
      </c>
      <c r="JK2" s="2" t="inlineStr">
        <is>
          <t>GTN US Equity</t>
        </is>
      </c>
      <c r="JU2" s="2" t="inlineStr">
        <is>
          <t>HBAN US Equity</t>
        </is>
      </c>
      <c r="KE2" s="2" t="inlineStr">
        <is>
          <t>HOLX US Equity</t>
        </is>
      </c>
      <c r="KO2" s="2" t="inlineStr">
        <is>
          <t>AA US Equity</t>
        </is>
      </c>
      <c r="KY2" s="2" t="inlineStr">
        <is>
          <t>COR US Equity</t>
        </is>
      </c>
      <c r="LI2" s="2" t="inlineStr">
        <is>
          <t>FSH US Equity</t>
        </is>
      </c>
      <c r="LS2" s="2" t="inlineStr">
        <is>
          <t>FHN US Equity</t>
        </is>
      </c>
      <c r="MC2" s="2" t="inlineStr">
        <is>
          <t>COX US Equity</t>
        </is>
      </c>
      <c r="MM2" s="2" t="inlineStr">
        <is>
          <t>Y US Equity</t>
        </is>
      </c>
      <c r="MW2" s="2" t="inlineStr">
        <is>
          <t>ET US Equity</t>
        </is>
      </c>
      <c r="NG2" s="2" t="inlineStr">
        <is>
          <t>WCOEQ US Equity</t>
        </is>
      </c>
      <c r="NQ2" s="2" t="inlineStr">
        <is>
          <t>OPITQ US Equity</t>
        </is>
      </c>
      <c r="OA2" s="2" t="inlineStr">
        <is>
          <t>PCL US Equity</t>
        </is>
      </c>
    </row>
    <row r="3">
      <c r="A3" t="inlineStr">
        <is>
          <t>Ann: 2001-10-08</t>
        </is>
      </c>
      <c r="K3" t="inlineStr">
        <is>
          <t>Ann: 2018-04-29</t>
        </is>
      </c>
      <c r="U3" t="inlineStr">
        <is>
          <t>Ann: 1999-09-07</t>
        </is>
      </c>
      <c r="AE3" t="inlineStr">
        <is>
          <t>Ann: 2009-04-20</t>
        </is>
      </c>
      <c r="AO3" t="inlineStr">
        <is>
          <t>Ann: 2015-05-11</t>
        </is>
      </c>
      <c r="AY3" t="inlineStr">
        <is>
          <t>Ann: 2005-09-12</t>
        </is>
      </c>
      <c r="BI3" t="inlineStr">
        <is>
          <t>Ann: 2011-01-23</t>
        </is>
      </c>
      <c r="BS3" t="inlineStr">
        <is>
          <t>Ann: 1998-08-11</t>
        </is>
      </c>
      <c r="CC3" t="inlineStr">
        <is>
          <t>Ann: 2016-09-06</t>
        </is>
      </c>
      <c r="CM3" t="inlineStr">
        <is>
          <t>Ann: 2017-12-18</t>
        </is>
      </c>
      <c r="CW3" t="inlineStr">
        <is>
          <t>Ann: 2014-09-16</t>
        </is>
      </c>
      <c r="DG3" t="inlineStr">
        <is>
          <t>Ann: 2006-07-10</t>
        </is>
      </c>
      <c r="DQ3" t="inlineStr">
        <is>
          <t>Ann: 1998-08-12</t>
        </is>
      </c>
      <c r="EA3" t="inlineStr">
        <is>
          <t>Ann: 2013-03-08</t>
        </is>
      </c>
      <c r="EK3" t="inlineStr">
        <is>
          <t>Ann: 1998-12-14</t>
        </is>
      </c>
      <c r="EU3" t="inlineStr">
        <is>
          <t>Ann: 2009-08-31</t>
        </is>
      </c>
      <c r="FE3" t="inlineStr">
        <is>
          <t>Ann: 2001-09-03</t>
        </is>
      </c>
      <c r="FO3" t="inlineStr">
        <is>
          <t>Ann: 2007-07-27</t>
        </is>
      </c>
      <c r="FY3" t="inlineStr">
        <is>
          <t>Ann: 2010-07-15</t>
        </is>
      </c>
      <c r="GI3" t="inlineStr">
        <is>
          <t>Ann: 2011-10-24</t>
        </is>
      </c>
      <c r="GS3" t="inlineStr">
        <is>
          <t>Ann: 1999-09-09</t>
        </is>
      </c>
      <c r="HC3" t="inlineStr">
        <is>
          <t>Ann: 2010-04-15</t>
        </is>
      </c>
      <c r="HM3" t="inlineStr">
        <is>
          <t>Ann: 2016-04-28</t>
        </is>
      </c>
      <c r="HW3" t="inlineStr">
        <is>
          <t>Ann: 1999-08-18</t>
        </is>
      </c>
      <c r="IG3" t="inlineStr">
        <is>
          <t>Ann: 2010-10-25</t>
        </is>
      </c>
      <c r="IQ3" t="inlineStr">
        <is>
          <t>Ann: 1999-02-22</t>
        </is>
      </c>
      <c r="JA3" t="inlineStr">
        <is>
          <t>Ann: 2006-12-04</t>
        </is>
      </c>
      <c r="JK3" t="inlineStr">
        <is>
          <t>Ann: 2021-05-03</t>
        </is>
      </c>
      <c r="JU3" t="inlineStr">
        <is>
          <t>Ann: 2016-01-25</t>
        </is>
      </c>
      <c r="KE3" t="inlineStr">
        <is>
          <t>Ann: 2012-04-30</t>
        </is>
      </c>
      <c r="KO3" t="inlineStr">
        <is>
          <t>Ann: 1998-03-09</t>
        </is>
      </c>
      <c r="KY3" t="inlineStr">
        <is>
          <t>Ann: 2001-03-19</t>
        </is>
      </c>
      <c r="LI3" t="inlineStr">
        <is>
          <t>Ann: 2004-03-17</t>
        </is>
      </c>
      <c r="LS3" t="inlineStr">
        <is>
          <t>Ann: 2019-11-04</t>
        </is>
      </c>
      <c r="MC3" t="inlineStr">
        <is>
          <t>Ann: 1999-05-12</t>
        </is>
      </c>
      <c r="MM3" t="inlineStr">
        <is>
          <t>Ann: 2011-11-21</t>
        </is>
      </c>
      <c r="MW3" t="inlineStr">
        <is>
          <t>Ann: 2019-09-16</t>
        </is>
      </c>
      <c r="NG3" t="inlineStr">
        <is>
          <t>Ann: 2000-09-05</t>
        </is>
      </c>
      <c r="NQ3" t="inlineStr">
        <is>
          <t>Ann: 2018-09-17</t>
        </is>
      </c>
      <c r="OA3" t="inlineStr">
        <is>
          <t>Ann: 2000-07-18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BDS("AWE US Equity","SUPPLY_CHAIN_SUPPLIERS","RELATIONSHIP_AS_OF_DATE","20011008")</f>
        <v/>
      </c>
      <c r="F5">
        <f>BDS("AWE US Equity","SUPPLY_CHAIN_CUSTOMERS","RELATIONSHIP_AS_OF_DATE","20011008")</f>
        <v/>
      </c>
      <c r="K5">
        <f>BDS("TMUS US Equity","SUPPLY_CHAIN_SUPPLIERS","RELATIONSHIP_AS_OF_DATE","20180429")</f>
        <v/>
      </c>
      <c r="P5">
        <f>BDS("TMUS US Equity","SUPPLY_CHAIN_CUSTOMERS","RELATIONSHIP_AS_OF_DATE","20180429")</f>
        <v/>
      </c>
      <c r="U5">
        <f>BDS("0910150D US Equity","SUPPLY_CHAIN_SUPPLIERS","RELATIONSHIP_AS_OF_DATE","19990907")</f>
        <v/>
      </c>
      <c r="Z5">
        <f>BDS("0910150D US Equity","SUPPLY_CHAIN_CUSTOMERS","RELATIONSHIP_AS_OF_DATE","19990907")</f>
        <v/>
      </c>
      <c r="AE5">
        <f>BDS("PEP US Equity","SUPPLY_CHAIN_SUPPLIERS","RELATIONSHIP_AS_OF_DATE","20090420")</f>
        <v/>
      </c>
      <c r="AJ5">
        <f>BDS("PEP US Equity","SUPPLY_CHAIN_CUSTOMERS","RELATIONSHIP_AS_OF_DATE","20090420")</f>
        <v/>
      </c>
      <c r="AO5">
        <f>BDS("NBL US Equity","SUPPLY_CHAIN_SUPPLIERS","RELATIONSHIP_AS_OF_DATE","20150511")</f>
        <v/>
      </c>
      <c r="AT5">
        <f>BDS("NBL US Equity","SUPPLY_CHAIN_CUSTOMERS","RELATIONSHIP_AS_OF_DATE","20150511")</f>
        <v/>
      </c>
      <c r="AY5">
        <f>BDS("ORCL US Equity","SUPPLY_CHAIN_SUPPLIERS","RELATIONSHIP_AS_OF_DATE","20050912")</f>
        <v/>
      </c>
      <c r="BD5">
        <f>BDS("ORCL US Equity","SUPPLY_CHAIN_CUSTOMERS","RELATIONSHIP_AS_OF_DATE","20050912")</f>
        <v/>
      </c>
      <c r="BI5">
        <f>BDS("1813626D US Equity","SUPPLY_CHAIN_SUPPLIERS","RELATIONSHIP_AS_OF_DATE","20110123")</f>
        <v/>
      </c>
      <c r="BN5">
        <f>BDS("1813626D US Equity","SUPPLY_CHAIN_CUSTOMERS","RELATIONSHIP_AS_OF_DATE","20110123")</f>
        <v/>
      </c>
      <c r="BS5">
        <f>BDS("ASFZ US Equity","SUPPLY_CHAIN_SUPPLIERS","RELATIONSHIP_AS_OF_DATE","19980811")</f>
        <v/>
      </c>
      <c r="BX5">
        <f>BDS("ASFZ US Equity","SUPPLY_CHAIN_CUSTOMERS","RELATIONSHIP_AS_OF_DATE","19980811")</f>
        <v/>
      </c>
      <c r="CC5">
        <f>BDS("DHR US Equity","SUPPLY_CHAIN_SUPPLIERS","RELATIONSHIP_AS_OF_DATE","20160906")</f>
        <v/>
      </c>
      <c r="CH5">
        <f>BDS("DHR US Equity","SUPPLY_CHAIN_CUSTOMERS","RELATIONSHIP_AS_OF_DATE","20160906")</f>
        <v/>
      </c>
      <c r="CM5">
        <f>BDS("nan Equity","SUPPLY_CHAIN_SUPPLIERS","RELATIONSHIP_AS_OF_DATE","20171218")</f>
        <v/>
      </c>
      <c r="CR5">
        <f>BDS("nan Equity","SUPPLY_CHAIN_CUSTOMERS","RELATIONSHIP_AS_OF_DATE","20171218")</f>
        <v/>
      </c>
      <c r="CW5">
        <f>BDS("WPGGQ US Equity","SUPPLY_CHAIN_SUPPLIERS","RELATIONSHIP_AS_OF_DATE","20140916")</f>
        <v/>
      </c>
      <c r="DB5">
        <f>BDS("WPGGQ US Equity","SUPPLY_CHAIN_CUSTOMERS","RELATIONSHIP_AS_OF_DATE","20140916")</f>
        <v/>
      </c>
      <c r="DG5">
        <f>BDS("KIM US Equity","SUPPLY_CHAIN_SUPPLIERS","RELATIONSHIP_AS_OF_DATE","20060710")</f>
        <v/>
      </c>
      <c r="DL5">
        <f>BDS("KIM US Equity","SUPPLY_CHAIN_CUSTOMERS","RELATIONSHIP_AS_OF_DATE","20060710")</f>
        <v/>
      </c>
      <c r="DQ5">
        <f>BDS("329802Q US Equity","SUPPLY_CHAIN_SUPPLIERS","RELATIONSHIP_AS_OF_DATE","19980812")</f>
        <v/>
      </c>
      <c r="DV5">
        <f>BDS("329802Q US Equity","SUPPLY_CHAIN_CUSTOMERS","RELATIONSHIP_AS_OF_DATE","19980812")</f>
        <v/>
      </c>
      <c r="EA5">
        <f>BDS("nan Equity","SUPPLY_CHAIN_SUPPLIERS","RELATIONSHIP_AS_OF_DATE","20130308")</f>
        <v/>
      </c>
      <c r="EF5">
        <f>BDS("nan Equity","SUPPLY_CHAIN_CUSTOMERS","RELATIONSHIP_AS_OF_DATE","20130308")</f>
        <v/>
      </c>
      <c r="EK5">
        <f>BDS("MAT US Equity","SUPPLY_CHAIN_SUPPLIERS","RELATIONSHIP_AS_OF_DATE","19981214")</f>
        <v/>
      </c>
      <c r="EP5">
        <f>BDS("MAT US Equity","SUPPLY_CHAIN_CUSTOMERS","RELATIONSHIP_AS_OF_DATE","19981214")</f>
        <v/>
      </c>
      <c r="EU5">
        <f>BDS("DIS US Equity","SUPPLY_CHAIN_SUPPLIERS","RELATIONSHIP_AS_OF_DATE","20090831")</f>
        <v/>
      </c>
      <c r="EZ5">
        <f>BDS("DIS US Equity","SUPPLY_CHAIN_CUSTOMERS","RELATIONSHIP_AS_OF_DATE","20090831")</f>
        <v/>
      </c>
      <c r="FE5">
        <f>BDS("4134807Q US Equity","SUPPLY_CHAIN_SUPPLIERS","RELATIONSHIP_AS_OF_DATE","20010903")</f>
        <v/>
      </c>
      <c r="FJ5">
        <f>BDS("4134807Q US Equity","SUPPLY_CHAIN_CUSTOMERS","RELATIONSHIP_AS_OF_DATE","20010903")</f>
        <v/>
      </c>
      <c r="FO5">
        <f>BDS("MDT US Equity","SUPPLY_CHAIN_SUPPLIERS","RELATIONSHIP_AS_OF_DATE","20070727")</f>
        <v/>
      </c>
      <c r="FT5">
        <f>BDS("MDT US Equity","SUPPLY_CHAIN_CUSTOMERS","RELATIONSHIP_AS_OF_DATE","20070727")</f>
        <v/>
      </c>
      <c r="FY5">
        <f>BDS("nan Equity","SUPPLY_CHAIN_SUPPLIERS","RELATIONSHIP_AS_OF_DATE","20100715")</f>
        <v/>
      </c>
      <c r="GD5">
        <f>BDS("nan Equity","SUPPLY_CHAIN_CUSTOMERS","RELATIONSHIP_AS_OF_DATE","20100715")</f>
        <v/>
      </c>
      <c r="GI5">
        <f>BDS("CI US Equity","SUPPLY_CHAIN_SUPPLIERS","RELATIONSHIP_AS_OF_DATE","20111024")</f>
        <v/>
      </c>
      <c r="GN5">
        <f>BDS("CI US Equity","SUPPLY_CHAIN_CUSTOMERS","RELATIONSHIP_AS_OF_DATE","20111024")</f>
        <v/>
      </c>
      <c r="GS5">
        <f>BDS("ITW US Equity","SUPPLY_CHAIN_SUPPLIERS","RELATIONSHIP_AS_OF_DATE","19990909")</f>
        <v/>
      </c>
      <c r="GX5">
        <f>BDS("ITW US Equity","SUPPLY_CHAIN_CUSTOMERS","RELATIONSHIP_AS_OF_DATE","19990909")</f>
        <v/>
      </c>
      <c r="HC5">
        <f>BDS("9990302D US Equity","SUPPLY_CHAIN_SUPPLIERS","RELATIONSHIP_AS_OF_DATE","20100415")</f>
        <v/>
      </c>
      <c r="HH5">
        <f>BDS("9990302D US Equity","SUPPLY_CHAIN_CUSTOMERS","RELATIONSHIP_AS_OF_DATE","20100415")</f>
        <v/>
      </c>
      <c r="HM5">
        <f>BDS("CMCSA US Equity","SUPPLY_CHAIN_SUPPLIERS","RELATIONSHIP_AS_OF_DATE","20160428")</f>
        <v/>
      </c>
      <c r="HR5">
        <f>BDS("CMCSA US Equity","SUPPLY_CHAIN_CUSTOMERS","RELATIONSHIP_AS_OF_DATE","20160428")</f>
        <v/>
      </c>
      <c r="HW5">
        <f>BDS("DZA US Equity","SUPPLY_CHAIN_SUPPLIERS","RELATIONSHIP_AS_OF_DATE","19990818")</f>
        <v/>
      </c>
      <c r="IB5">
        <f>BDS("DZA US Equity","SUPPLY_CHAIN_CUSTOMERS","RELATIONSHIP_AS_OF_DATE","19990818")</f>
        <v/>
      </c>
      <c r="IG5">
        <f>BDS("nan Equity","SUPPLY_CHAIN_SUPPLIERS","RELATIONSHIP_AS_OF_DATE","20101025")</f>
        <v/>
      </c>
      <c r="IL5">
        <f>BDS("nan Equity","SUPPLY_CHAIN_CUSTOMERS","RELATIONSHIP_AS_OF_DATE","20101025")</f>
        <v/>
      </c>
      <c r="IQ5">
        <f>BDS("RTX US Equity","SUPPLY_CHAIN_SUPPLIERS","RELATIONSHIP_AS_OF_DATE","19990222")</f>
        <v/>
      </c>
      <c r="IV5">
        <f>BDS("RTX US Equity","SUPPLY_CHAIN_CUSTOMERS","RELATIONSHIP_AS_OF_DATE","19990222")</f>
        <v/>
      </c>
      <c r="JA5">
        <f>BDS("1431816D US Equity","SUPPLY_CHAIN_SUPPLIERS","RELATIONSHIP_AS_OF_DATE","20061204")</f>
        <v/>
      </c>
      <c r="JF5">
        <f>BDS("1431816D US Equity","SUPPLY_CHAIN_CUSTOMERS","RELATIONSHIP_AS_OF_DATE","20061204")</f>
        <v/>
      </c>
      <c r="JK5">
        <f>BDS("GTN US Equity","SUPPLY_CHAIN_SUPPLIERS","RELATIONSHIP_AS_OF_DATE","20210503")</f>
        <v/>
      </c>
      <c r="JP5">
        <f>BDS("GTN US Equity","SUPPLY_CHAIN_CUSTOMERS","RELATIONSHIP_AS_OF_DATE","20210503")</f>
        <v/>
      </c>
      <c r="JU5">
        <f>BDS("HBAN US Equity","SUPPLY_CHAIN_SUPPLIERS","RELATIONSHIP_AS_OF_DATE","20160125")</f>
        <v/>
      </c>
      <c r="JZ5">
        <f>BDS("HBAN US Equity","SUPPLY_CHAIN_CUSTOMERS","RELATIONSHIP_AS_OF_DATE","20160125")</f>
        <v/>
      </c>
      <c r="KE5">
        <f>BDS("HOLX US Equity","SUPPLY_CHAIN_SUPPLIERS","RELATIONSHIP_AS_OF_DATE","20120430")</f>
        <v/>
      </c>
      <c r="KJ5">
        <f>BDS("HOLX US Equity","SUPPLY_CHAIN_CUSTOMERS","RELATIONSHIP_AS_OF_DATE","20120430")</f>
        <v/>
      </c>
      <c r="KO5">
        <f>BDS("AA US Equity","SUPPLY_CHAIN_SUPPLIERS","RELATIONSHIP_AS_OF_DATE","19980309")</f>
        <v/>
      </c>
      <c r="KT5">
        <f>BDS("AA US Equity","SUPPLY_CHAIN_CUSTOMERS","RELATIONSHIP_AS_OF_DATE","19980309")</f>
        <v/>
      </c>
      <c r="KY5">
        <f>BDS("COR US Equity","SUPPLY_CHAIN_SUPPLIERS","RELATIONSHIP_AS_OF_DATE","20010319")</f>
        <v/>
      </c>
      <c r="LD5">
        <f>BDS("COR US Equity","SUPPLY_CHAIN_CUSTOMERS","RELATIONSHIP_AS_OF_DATE","20010319")</f>
        <v/>
      </c>
      <c r="LI5">
        <f>BDS("FSH US Equity","SUPPLY_CHAIN_SUPPLIERS","RELATIONSHIP_AS_OF_DATE","20040317")</f>
        <v/>
      </c>
      <c r="LN5">
        <f>BDS("FSH US Equity","SUPPLY_CHAIN_CUSTOMERS","RELATIONSHIP_AS_OF_DATE","20040317")</f>
        <v/>
      </c>
      <c r="LS5">
        <f>BDS("FHN US Equity","SUPPLY_CHAIN_SUPPLIERS","RELATIONSHIP_AS_OF_DATE","20191104")</f>
        <v/>
      </c>
      <c r="LX5">
        <f>BDS("FHN US Equity","SUPPLY_CHAIN_CUSTOMERS","RELATIONSHIP_AS_OF_DATE","20191104")</f>
        <v/>
      </c>
      <c r="MC5">
        <f>BDS("COX US Equity","SUPPLY_CHAIN_SUPPLIERS","RELATIONSHIP_AS_OF_DATE","19990512")</f>
        <v/>
      </c>
      <c r="MH5">
        <f>BDS("COX US Equity","SUPPLY_CHAIN_CUSTOMERS","RELATIONSHIP_AS_OF_DATE","19990512")</f>
        <v/>
      </c>
      <c r="MM5">
        <f>BDS("Y US Equity","SUPPLY_CHAIN_SUPPLIERS","RELATIONSHIP_AS_OF_DATE","20111121")</f>
        <v/>
      </c>
      <c r="MR5">
        <f>BDS("Y US Equity","SUPPLY_CHAIN_CUSTOMERS","RELATIONSHIP_AS_OF_DATE","20111121")</f>
        <v/>
      </c>
      <c r="MW5">
        <f>BDS("ET US Equity","SUPPLY_CHAIN_SUPPLIERS","RELATIONSHIP_AS_OF_DATE","20190916")</f>
        <v/>
      </c>
      <c r="NB5">
        <f>BDS("ET US Equity","SUPPLY_CHAIN_CUSTOMERS","RELATIONSHIP_AS_OF_DATE","20190916")</f>
        <v/>
      </c>
      <c r="NG5">
        <f>BDS("WCOEQ US Equity","SUPPLY_CHAIN_SUPPLIERS","RELATIONSHIP_AS_OF_DATE","20000905")</f>
        <v/>
      </c>
      <c r="NL5">
        <f>BDS("WCOEQ US Equity","SUPPLY_CHAIN_CUSTOMERS","RELATIONSHIP_AS_OF_DATE","20000905")</f>
        <v/>
      </c>
      <c r="NQ5">
        <f>BDS("OPITQ US Equity","SUPPLY_CHAIN_SUPPLIERS","RELATIONSHIP_AS_OF_DATE","20180917")</f>
        <v/>
      </c>
      <c r="NV5">
        <f>BDS("OPITQ US Equity","SUPPLY_CHAIN_CUSTOMERS","RELATIONSHIP_AS_OF_DATE","20180917")</f>
        <v/>
      </c>
      <c r="OA5">
        <f>BDS("PCL US Equity","SUPPLY_CHAIN_SUPPLIERS","RELATIONSHIP_AS_OF_DATE","20000718")</f>
        <v/>
      </c>
      <c r="OF5">
        <f>BDS("PCL US Equity","SUPPLY_CHAIN_CUSTOMERS","RELATIONSHIP_AS_OF_DATE","20000718")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601</t>
        </is>
      </c>
      <c r="K1" s="1" t="inlineStr">
        <is>
          <t>Deal 602</t>
        </is>
      </c>
      <c r="U1" s="1" t="inlineStr">
        <is>
          <t>Deal 603</t>
        </is>
      </c>
      <c r="AE1" s="1" t="inlineStr">
        <is>
          <t>Deal 604</t>
        </is>
      </c>
      <c r="AO1" s="1" t="inlineStr">
        <is>
          <t>Deal 605</t>
        </is>
      </c>
      <c r="AY1" s="1" t="inlineStr">
        <is>
          <t>Deal 606</t>
        </is>
      </c>
      <c r="BI1" s="1" t="inlineStr">
        <is>
          <t>Deal 607</t>
        </is>
      </c>
      <c r="BS1" s="1" t="inlineStr">
        <is>
          <t>Deal 608</t>
        </is>
      </c>
      <c r="CC1" s="1" t="inlineStr">
        <is>
          <t>Deal 609</t>
        </is>
      </c>
      <c r="CM1" s="1" t="inlineStr">
        <is>
          <t>Deal 610</t>
        </is>
      </c>
      <c r="CW1" s="1" t="inlineStr">
        <is>
          <t>Deal 611</t>
        </is>
      </c>
      <c r="DG1" s="1" t="inlineStr">
        <is>
          <t>Deal 612</t>
        </is>
      </c>
      <c r="DQ1" s="1" t="inlineStr">
        <is>
          <t>Deal 613</t>
        </is>
      </c>
      <c r="EA1" s="1" t="inlineStr">
        <is>
          <t>Deal 614</t>
        </is>
      </c>
      <c r="EK1" s="1" t="inlineStr">
        <is>
          <t>Deal 615</t>
        </is>
      </c>
      <c r="EU1" s="1" t="inlineStr">
        <is>
          <t>Deal 616</t>
        </is>
      </c>
      <c r="FE1" s="1" t="inlineStr">
        <is>
          <t>Deal 617</t>
        </is>
      </c>
      <c r="FO1" s="1" t="inlineStr">
        <is>
          <t>Deal 618</t>
        </is>
      </c>
      <c r="FY1" s="1" t="inlineStr">
        <is>
          <t>Deal 619</t>
        </is>
      </c>
      <c r="GI1" s="1" t="inlineStr">
        <is>
          <t>Deal 620</t>
        </is>
      </c>
      <c r="GS1" s="1" t="inlineStr">
        <is>
          <t>Deal 621</t>
        </is>
      </c>
      <c r="HC1" s="1" t="inlineStr">
        <is>
          <t>Deal 622</t>
        </is>
      </c>
      <c r="HM1" s="1" t="inlineStr">
        <is>
          <t>Deal 623</t>
        </is>
      </c>
      <c r="HW1" s="1" t="inlineStr">
        <is>
          <t>Deal 624</t>
        </is>
      </c>
      <c r="IG1" s="1" t="inlineStr">
        <is>
          <t>Deal 625</t>
        </is>
      </c>
      <c r="IQ1" s="1" t="inlineStr">
        <is>
          <t>Deal 626</t>
        </is>
      </c>
      <c r="JA1" s="1" t="inlineStr">
        <is>
          <t>Deal 627</t>
        </is>
      </c>
      <c r="JK1" s="1" t="inlineStr">
        <is>
          <t>Deal 628</t>
        </is>
      </c>
      <c r="JU1" s="1" t="inlineStr">
        <is>
          <t>Deal 629</t>
        </is>
      </c>
      <c r="KE1" s="1" t="inlineStr">
        <is>
          <t>Deal 630</t>
        </is>
      </c>
      <c r="KO1" s="1" t="inlineStr">
        <is>
          <t>Deal 631</t>
        </is>
      </c>
      <c r="KY1" s="1" t="inlineStr">
        <is>
          <t>Deal 632</t>
        </is>
      </c>
      <c r="LI1" s="1" t="inlineStr">
        <is>
          <t>Deal 633</t>
        </is>
      </c>
      <c r="LS1" s="1" t="inlineStr">
        <is>
          <t>Deal 634</t>
        </is>
      </c>
      <c r="MC1" s="1" t="inlineStr">
        <is>
          <t>Deal 635</t>
        </is>
      </c>
      <c r="MM1" s="1" t="inlineStr">
        <is>
          <t>Deal 636</t>
        </is>
      </c>
      <c r="MW1" s="1" t="inlineStr">
        <is>
          <t>Deal 637</t>
        </is>
      </c>
      <c r="NG1" s="1" t="inlineStr">
        <is>
          <t>Deal 638</t>
        </is>
      </c>
      <c r="NQ1" s="1" t="inlineStr">
        <is>
          <t>Deal 639</t>
        </is>
      </c>
      <c r="OA1" s="1" t="inlineStr">
        <is>
          <t>Deal 640</t>
        </is>
      </c>
    </row>
    <row r="2">
      <c r="A2" s="2" t="inlineStr">
        <is>
          <t>AMT US Equity</t>
        </is>
      </c>
      <c r="K2" s="2" t="inlineStr">
        <is>
          <t>1293405D US Equity</t>
        </is>
      </c>
      <c r="U2" s="2" t="inlineStr">
        <is>
          <t>MSI US Equity</t>
        </is>
      </c>
      <c r="AE2" s="2" t="inlineStr">
        <is>
          <t>BX US Equity</t>
        </is>
      </c>
      <c r="AO2" s="2" t="inlineStr">
        <is>
          <t>ELV US Equity</t>
        </is>
      </c>
      <c r="AY2" s="2" t="inlineStr">
        <is>
          <t>SOV US Equity</t>
        </is>
      </c>
      <c r="BI2" s="2" t="inlineStr">
        <is>
          <t>ALL US Equity</t>
        </is>
      </c>
      <c r="BS2" s="2" t="inlineStr">
        <is>
          <t>DTE US Equity</t>
        </is>
      </c>
      <c r="CC2" s="2" t="inlineStr">
        <is>
          <t>CFG US Equity</t>
        </is>
      </c>
      <c r="CM2" s="2" t="inlineStr">
        <is>
          <t>1683997D US Equity</t>
        </is>
      </c>
      <c r="CW2" s="2" t="inlineStr">
        <is>
          <t>0848680D US Equity</t>
        </is>
      </c>
      <c r="DG2" s="2" t="inlineStr">
        <is>
          <t>MRK US Equity</t>
        </is>
      </c>
      <c r="DQ2" s="2" t="inlineStr">
        <is>
          <t>CSCO US Equity</t>
        </is>
      </c>
      <c r="EA2" s="2" t="inlineStr">
        <is>
          <t>CUZ US Equity</t>
        </is>
      </c>
      <c r="EK2" s="2" t="inlineStr">
        <is>
          <t>CMI US Equity</t>
        </is>
      </c>
      <c r="EU2" s="2" t="inlineStr">
        <is>
          <t>582663Q US Equity</t>
        </is>
      </c>
      <c r="FE2" s="2" t="inlineStr">
        <is>
          <t>MDRIQ US Equity</t>
        </is>
      </c>
      <c r="FO2" s="2" t="inlineStr">
        <is>
          <t>NXST US Equity</t>
        </is>
      </c>
      <c r="FY2" s="2" t="inlineStr">
        <is>
          <t>FSK US Equity</t>
        </is>
      </c>
      <c r="GI2" s="2" t="inlineStr">
        <is>
          <t>WLK US Equity</t>
        </is>
      </c>
      <c r="GS2" s="2" t="inlineStr">
        <is>
          <t>SLG US Equity</t>
        </is>
      </c>
      <c r="HC2" s="2" t="inlineStr">
        <is>
          <t>SPG US Equity</t>
        </is>
      </c>
      <c r="HM2" s="2" t="inlineStr">
        <is>
          <t>T US Equity</t>
        </is>
      </c>
      <c r="HW2" s="2" t="inlineStr">
        <is>
          <t>SLB US Equity</t>
        </is>
      </c>
      <c r="IG2" s="2" t="inlineStr">
        <is>
          <t>nan Equity</t>
        </is>
      </c>
      <c r="IQ2" s="2" t="inlineStr">
        <is>
          <t>nan Equity</t>
        </is>
      </c>
      <c r="JA2" s="2" t="inlineStr">
        <is>
          <t>FIS US Equity</t>
        </is>
      </c>
      <c r="JK2" s="2" t="inlineStr">
        <is>
          <t>ABT US Equity</t>
        </is>
      </c>
      <c r="JU2" s="2" t="inlineStr">
        <is>
          <t>HD US Equity</t>
        </is>
      </c>
      <c r="KE2" s="2" t="inlineStr">
        <is>
          <t>AMGN US Equity</t>
        </is>
      </c>
      <c r="KO2" s="2" t="inlineStr">
        <is>
          <t>CBOE US Equity</t>
        </is>
      </c>
      <c r="KY2" s="2" t="inlineStr">
        <is>
          <t>TFC US Equity</t>
        </is>
      </c>
      <c r="LI2" s="2" t="inlineStr">
        <is>
          <t>ARCC US Equity</t>
        </is>
      </c>
      <c r="LS2" s="2" t="inlineStr">
        <is>
          <t>WELL US Equity</t>
        </is>
      </c>
      <c r="MC2" s="2" t="inlineStr">
        <is>
          <t>FITB US Equity</t>
        </is>
      </c>
      <c r="MM2" s="2" t="inlineStr">
        <is>
          <t>BRCM US Equity</t>
        </is>
      </c>
      <c r="MW2" s="2" t="inlineStr">
        <is>
          <t>1255173D US Equity</t>
        </is>
      </c>
      <c r="NG2" s="2" t="inlineStr">
        <is>
          <t>BDN US Equity</t>
        </is>
      </c>
      <c r="NQ2" s="2" t="inlineStr">
        <is>
          <t>0544749D US Equity</t>
        </is>
      </c>
      <c r="OA2" s="2" t="inlineStr">
        <is>
          <t>DVN US Equity</t>
        </is>
      </c>
    </row>
    <row r="3">
      <c r="A3" t="inlineStr">
        <is>
          <t>Ann: 2005-05-04</t>
        </is>
      </c>
      <c r="K3" t="inlineStr">
        <is>
          <t>Ann: 2002-06-12</t>
        </is>
      </c>
      <c r="U3" t="inlineStr">
        <is>
          <t>Ann: 2006-09-19</t>
        </is>
      </c>
      <c r="AE3" t="inlineStr">
        <is>
          <t>Ann: 2022-02-16</t>
        </is>
      </c>
      <c r="AO3" t="inlineStr">
        <is>
          <t>Ann: 2002-04-29</t>
        </is>
      </c>
      <c r="AY3" t="inlineStr">
        <is>
          <t>Ann: 2005-10-24</t>
        </is>
      </c>
      <c r="BI3" t="inlineStr">
        <is>
          <t>Ann: 2020-07-07</t>
        </is>
      </c>
      <c r="BS3" t="inlineStr">
        <is>
          <t>Ann: 1999-10-05</t>
        </is>
      </c>
      <c r="CC3" t="inlineStr">
        <is>
          <t>Ann: 2021-07-28</t>
        </is>
      </c>
      <c r="CM3" t="inlineStr">
        <is>
          <t>Ann: 2009-09-21</t>
        </is>
      </c>
      <c r="CW3" t="inlineStr">
        <is>
          <t>Ann: 2012-12-13</t>
        </is>
      </c>
      <c r="DG3" t="inlineStr">
        <is>
          <t>Ann: 2014-06-09</t>
        </is>
      </c>
      <c r="DQ3" t="inlineStr">
        <is>
          <t>Ann: 2017-01-24</t>
        </is>
      </c>
      <c r="EA3" t="inlineStr">
        <is>
          <t>Ann: 2016-04-29</t>
        </is>
      </c>
      <c r="EK3" t="inlineStr">
        <is>
          <t>Ann: 2022-02-22</t>
        </is>
      </c>
      <c r="EU3" t="inlineStr">
        <is>
          <t>Ann: 2005-01-18</t>
        </is>
      </c>
      <c r="FE3" t="inlineStr">
        <is>
          <t>Ann: 2017-12-18</t>
        </is>
      </c>
      <c r="FO3" t="inlineStr">
        <is>
          <t>Ann: 2015-09-28</t>
        </is>
      </c>
      <c r="FY3" t="inlineStr">
        <is>
          <t>Ann: 2018-07-23</t>
        </is>
      </c>
      <c r="GI3" t="inlineStr">
        <is>
          <t>Ann: 2016-06-10</t>
        </is>
      </c>
      <c r="GS3" t="inlineStr">
        <is>
          <t>Ann: 2006-08-03</t>
        </is>
      </c>
      <c r="HC3" t="inlineStr">
        <is>
          <t>Ann: 2004-06-21</t>
        </is>
      </c>
      <c r="HM3" t="inlineStr">
        <is>
          <t>Ann: 2000-02-22</t>
        </is>
      </c>
      <c r="HW3" t="inlineStr">
        <is>
          <t>Ann: 1998-06-19</t>
        </is>
      </c>
      <c r="IG3" t="inlineStr">
        <is>
          <t>Ann: 2007-01-29</t>
        </is>
      </c>
      <c r="IQ3" t="inlineStr">
        <is>
          <t>Ann: 2011-10-03</t>
        </is>
      </c>
      <c r="JA3" t="inlineStr">
        <is>
          <t>Ann: 2006-06-25</t>
        </is>
      </c>
      <c r="JK3" t="inlineStr">
        <is>
          <t>Ann: 2006-11-06</t>
        </is>
      </c>
      <c r="JU3" t="inlineStr">
        <is>
          <t>Ann: 2006-01-10</t>
        </is>
      </c>
      <c r="KE3" t="inlineStr">
        <is>
          <t>Ann: 2022-08-04</t>
        </is>
      </c>
      <c r="KO3" t="inlineStr">
        <is>
          <t>Ann: 2016-09-26</t>
        </is>
      </c>
      <c r="KY3" t="inlineStr">
        <is>
          <t>Ann: 2003-01-21</t>
        </is>
      </c>
      <c r="LI3" t="inlineStr">
        <is>
          <t>Ann: 2016-05-23</t>
        </is>
      </c>
      <c r="LS3" t="inlineStr">
        <is>
          <t>Ann: 2018-04-25</t>
        </is>
      </c>
      <c r="MC3" t="inlineStr">
        <is>
          <t>Ann: 2000-11-20</t>
        </is>
      </c>
      <c r="MM3" t="inlineStr">
        <is>
          <t>Ann: 2011-09-12</t>
        </is>
      </c>
      <c r="MW3" t="inlineStr">
        <is>
          <t>Ann: 2005-09-12</t>
        </is>
      </c>
      <c r="NG3" t="inlineStr">
        <is>
          <t>Ann: 2005-10-03</t>
        </is>
      </c>
      <c r="NQ3" t="inlineStr">
        <is>
          <t>Ann: 2004-04-07</t>
        </is>
      </c>
      <c r="OA3" t="inlineStr">
        <is>
          <t>Ann: 2001-08-14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BDS("AMT US Equity","SUPPLY_CHAIN_SUPPLIERS","RELATIONSHIP_AS_OF_DATE","20050504")</f>
        <v/>
      </c>
      <c r="F5">
        <f>BDS("AMT US Equity","SUPPLY_CHAIN_CUSTOMERS","RELATIONSHIP_AS_OF_DATE","20050504")</f>
        <v/>
      </c>
      <c r="K5">
        <f>BDS("1293405D US Equity","SUPPLY_CHAIN_SUPPLIERS","RELATIONSHIP_AS_OF_DATE","20020612")</f>
        <v/>
      </c>
      <c r="P5">
        <f>BDS("1293405D US Equity","SUPPLY_CHAIN_CUSTOMERS","RELATIONSHIP_AS_OF_DATE","20020612")</f>
        <v/>
      </c>
      <c r="U5">
        <f>BDS("MSI US Equity","SUPPLY_CHAIN_SUPPLIERS","RELATIONSHIP_AS_OF_DATE","20060919")</f>
        <v/>
      </c>
      <c r="Z5">
        <f>BDS("MSI US Equity","SUPPLY_CHAIN_CUSTOMERS","RELATIONSHIP_AS_OF_DATE","20060919")</f>
        <v/>
      </c>
      <c r="AE5">
        <f>BDS("BX US Equity","SUPPLY_CHAIN_SUPPLIERS","RELATIONSHIP_AS_OF_DATE","20220216")</f>
        <v/>
      </c>
      <c r="AJ5">
        <f>BDS("BX US Equity","SUPPLY_CHAIN_CUSTOMERS","RELATIONSHIP_AS_OF_DATE","20220216")</f>
        <v/>
      </c>
      <c r="AO5">
        <f>BDS("ELV US Equity","SUPPLY_CHAIN_SUPPLIERS","RELATIONSHIP_AS_OF_DATE","20020429")</f>
        <v/>
      </c>
      <c r="AT5">
        <f>BDS("ELV US Equity","SUPPLY_CHAIN_CUSTOMERS","RELATIONSHIP_AS_OF_DATE","20020429")</f>
        <v/>
      </c>
      <c r="AY5">
        <f>BDS("SOV US Equity","SUPPLY_CHAIN_SUPPLIERS","RELATIONSHIP_AS_OF_DATE","20051024")</f>
        <v/>
      </c>
      <c r="BD5">
        <f>BDS("SOV US Equity","SUPPLY_CHAIN_CUSTOMERS","RELATIONSHIP_AS_OF_DATE","20051024")</f>
        <v/>
      </c>
      <c r="BI5">
        <f>BDS("ALL US Equity","SUPPLY_CHAIN_SUPPLIERS","RELATIONSHIP_AS_OF_DATE","20200707")</f>
        <v/>
      </c>
      <c r="BN5">
        <f>BDS("ALL US Equity","SUPPLY_CHAIN_CUSTOMERS","RELATIONSHIP_AS_OF_DATE","20200707")</f>
        <v/>
      </c>
      <c r="BS5">
        <f>BDS("DTE US Equity","SUPPLY_CHAIN_SUPPLIERS","RELATIONSHIP_AS_OF_DATE","19991005")</f>
        <v/>
      </c>
      <c r="BX5">
        <f>BDS("DTE US Equity","SUPPLY_CHAIN_CUSTOMERS","RELATIONSHIP_AS_OF_DATE","19991005")</f>
        <v/>
      </c>
      <c r="CC5">
        <f>BDS("CFG US Equity","SUPPLY_CHAIN_SUPPLIERS","RELATIONSHIP_AS_OF_DATE","20210728")</f>
        <v/>
      </c>
      <c r="CH5">
        <f>BDS("CFG US Equity","SUPPLY_CHAIN_CUSTOMERS","RELATIONSHIP_AS_OF_DATE","20210728")</f>
        <v/>
      </c>
      <c r="CM5">
        <f>BDS("1683997D US Equity","SUPPLY_CHAIN_SUPPLIERS","RELATIONSHIP_AS_OF_DATE","20090921")</f>
        <v/>
      </c>
      <c r="CR5">
        <f>BDS("1683997D US Equity","SUPPLY_CHAIN_CUSTOMERS","RELATIONSHIP_AS_OF_DATE","20090921")</f>
        <v/>
      </c>
      <c r="CW5">
        <f>BDS("0848680D US Equity","SUPPLY_CHAIN_SUPPLIERS","RELATIONSHIP_AS_OF_DATE","20121213")</f>
        <v/>
      </c>
      <c r="DB5">
        <f>BDS("0848680D US Equity","SUPPLY_CHAIN_CUSTOMERS","RELATIONSHIP_AS_OF_DATE","20121213")</f>
        <v/>
      </c>
      <c r="DG5">
        <f>BDS("MRK US Equity","SUPPLY_CHAIN_SUPPLIERS","RELATIONSHIP_AS_OF_DATE","20140609")</f>
        <v/>
      </c>
      <c r="DL5">
        <f>BDS("MRK US Equity","SUPPLY_CHAIN_CUSTOMERS","RELATIONSHIP_AS_OF_DATE","20140609")</f>
        <v/>
      </c>
      <c r="DQ5">
        <f>BDS("CSCO US Equity","SUPPLY_CHAIN_SUPPLIERS","RELATIONSHIP_AS_OF_DATE","20170124")</f>
        <v/>
      </c>
      <c r="DV5">
        <f>BDS("CSCO US Equity","SUPPLY_CHAIN_CUSTOMERS","RELATIONSHIP_AS_OF_DATE","20170124")</f>
        <v/>
      </c>
      <c r="EA5">
        <f>BDS("CUZ US Equity","SUPPLY_CHAIN_SUPPLIERS","RELATIONSHIP_AS_OF_DATE","20160429")</f>
        <v/>
      </c>
      <c r="EF5">
        <f>BDS("CUZ US Equity","SUPPLY_CHAIN_CUSTOMERS","RELATIONSHIP_AS_OF_DATE","20160429")</f>
        <v/>
      </c>
      <c r="EK5">
        <f>BDS("CMI US Equity","SUPPLY_CHAIN_SUPPLIERS","RELATIONSHIP_AS_OF_DATE","20220222")</f>
        <v/>
      </c>
      <c r="EP5">
        <f>BDS("CMI US Equity","SUPPLY_CHAIN_CUSTOMERS","RELATIONSHIP_AS_OF_DATE","20220222")</f>
        <v/>
      </c>
      <c r="EU5">
        <f>BDS("582663Q US Equity","SUPPLY_CHAIN_SUPPLIERS","RELATIONSHIP_AS_OF_DATE","20050118")</f>
        <v/>
      </c>
      <c r="EZ5">
        <f>BDS("582663Q US Equity","SUPPLY_CHAIN_CUSTOMERS","RELATIONSHIP_AS_OF_DATE","20050118")</f>
        <v/>
      </c>
      <c r="FE5">
        <f>BDS("MDRIQ US Equity","SUPPLY_CHAIN_SUPPLIERS","RELATIONSHIP_AS_OF_DATE","20171218")</f>
        <v/>
      </c>
      <c r="FJ5">
        <f>BDS("MDRIQ US Equity","SUPPLY_CHAIN_CUSTOMERS","RELATIONSHIP_AS_OF_DATE","20171218")</f>
        <v/>
      </c>
      <c r="FO5">
        <f>BDS("NXST US Equity","SUPPLY_CHAIN_SUPPLIERS","RELATIONSHIP_AS_OF_DATE","20150928")</f>
        <v/>
      </c>
      <c r="FT5">
        <f>BDS("NXST US Equity","SUPPLY_CHAIN_CUSTOMERS","RELATIONSHIP_AS_OF_DATE","20150928")</f>
        <v/>
      </c>
      <c r="FY5">
        <f>BDS("FSK US Equity","SUPPLY_CHAIN_SUPPLIERS","RELATIONSHIP_AS_OF_DATE","20180723")</f>
        <v/>
      </c>
      <c r="GD5">
        <f>BDS("FSK US Equity","SUPPLY_CHAIN_CUSTOMERS","RELATIONSHIP_AS_OF_DATE","20180723")</f>
        <v/>
      </c>
      <c r="GI5">
        <f>BDS("WLK US Equity","SUPPLY_CHAIN_SUPPLIERS","RELATIONSHIP_AS_OF_DATE","20160610")</f>
        <v/>
      </c>
      <c r="GN5">
        <f>BDS("WLK US Equity","SUPPLY_CHAIN_CUSTOMERS","RELATIONSHIP_AS_OF_DATE","20160610")</f>
        <v/>
      </c>
      <c r="GS5">
        <f>BDS("SLG US Equity","SUPPLY_CHAIN_SUPPLIERS","RELATIONSHIP_AS_OF_DATE","20060803")</f>
        <v/>
      </c>
      <c r="GX5">
        <f>BDS("SLG US Equity","SUPPLY_CHAIN_CUSTOMERS","RELATIONSHIP_AS_OF_DATE","20060803")</f>
        <v/>
      </c>
      <c r="HC5">
        <f>BDS("SPG US Equity","SUPPLY_CHAIN_SUPPLIERS","RELATIONSHIP_AS_OF_DATE","20040621")</f>
        <v/>
      </c>
      <c r="HH5">
        <f>BDS("SPG US Equity","SUPPLY_CHAIN_CUSTOMERS","RELATIONSHIP_AS_OF_DATE","20040621")</f>
        <v/>
      </c>
      <c r="HM5">
        <f>BDS("T US Equity","SUPPLY_CHAIN_SUPPLIERS","RELATIONSHIP_AS_OF_DATE","20000222")</f>
        <v/>
      </c>
      <c r="HR5">
        <f>BDS("T US Equity","SUPPLY_CHAIN_CUSTOMERS","RELATIONSHIP_AS_OF_DATE","20000222")</f>
        <v/>
      </c>
      <c r="HW5">
        <f>BDS("SLB US Equity","SUPPLY_CHAIN_SUPPLIERS","RELATIONSHIP_AS_OF_DATE","19980619")</f>
        <v/>
      </c>
      <c r="IB5">
        <f>BDS("SLB US Equity","SUPPLY_CHAIN_CUSTOMERS","RELATIONSHIP_AS_OF_DATE","19980619")</f>
        <v/>
      </c>
      <c r="IG5">
        <f>BDS("nan Equity","SUPPLY_CHAIN_SUPPLIERS","RELATIONSHIP_AS_OF_DATE","20070129")</f>
        <v/>
      </c>
      <c r="IL5">
        <f>BDS("nan Equity","SUPPLY_CHAIN_CUSTOMERS","RELATIONSHIP_AS_OF_DATE","20070129")</f>
        <v/>
      </c>
      <c r="IQ5">
        <f>BDS("nan Equity","SUPPLY_CHAIN_SUPPLIERS","RELATIONSHIP_AS_OF_DATE","20111003")</f>
        <v/>
      </c>
      <c r="IV5">
        <f>BDS("nan Equity","SUPPLY_CHAIN_CUSTOMERS","RELATIONSHIP_AS_OF_DATE","20111003")</f>
        <v/>
      </c>
      <c r="JA5">
        <f>BDS("FIS US Equity","SUPPLY_CHAIN_SUPPLIERS","RELATIONSHIP_AS_OF_DATE","20060625")</f>
        <v/>
      </c>
      <c r="JF5">
        <f>BDS("FIS US Equity","SUPPLY_CHAIN_CUSTOMERS","RELATIONSHIP_AS_OF_DATE","20060625")</f>
        <v/>
      </c>
      <c r="JK5">
        <f>BDS("ABT US Equity","SUPPLY_CHAIN_SUPPLIERS","RELATIONSHIP_AS_OF_DATE","20061106")</f>
        <v/>
      </c>
      <c r="JP5">
        <f>BDS("ABT US Equity","SUPPLY_CHAIN_CUSTOMERS","RELATIONSHIP_AS_OF_DATE","20061106")</f>
        <v/>
      </c>
      <c r="JU5">
        <f>BDS("HD US Equity","SUPPLY_CHAIN_SUPPLIERS","RELATIONSHIP_AS_OF_DATE","20060110")</f>
        <v/>
      </c>
      <c r="JZ5">
        <f>BDS("HD US Equity","SUPPLY_CHAIN_CUSTOMERS","RELATIONSHIP_AS_OF_DATE","20060110")</f>
        <v/>
      </c>
      <c r="KE5">
        <f>BDS("AMGN US Equity","SUPPLY_CHAIN_SUPPLIERS","RELATIONSHIP_AS_OF_DATE","20220804")</f>
        <v/>
      </c>
      <c r="KJ5">
        <f>BDS("AMGN US Equity","SUPPLY_CHAIN_CUSTOMERS","RELATIONSHIP_AS_OF_DATE","20220804")</f>
        <v/>
      </c>
      <c r="KO5">
        <f>BDS("CBOE US Equity","SUPPLY_CHAIN_SUPPLIERS","RELATIONSHIP_AS_OF_DATE","20160926")</f>
        <v/>
      </c>
      <c r="KT5">
        <f>BDS("CBOE US Equity","SUPPLY_CHAIN_CUSTOMERS","RELATIONSHIP_AS_OF_DATE","20160926")</f>
        <v/>
      </c>
      <c r="KY5">
        <f>BDS("TFC US Equity","SUPPLY_CHAIN_SUPPLIERS","RELATIONSHIP_AS_OF_DATE","20030121")</f>
        <v/>
      </c>
      <c r="LD5">
        <f>BDS("TFC US Equity","SUPPLY_CHAIN_CUSTOMERS","RELATIONSHIP_AS_OF_DATE","20030121")</f>
        <v/>
      </c>
      <c r="LI5">
        <f>BDS("ARCC US Equity","SUPPLY_CHAIN_SUPPLIERS","RELATIONSHIP_AS_OF_DATE","20160523")</f>
        <v/>
      </c>
      <c r="LN5">
        <f>BDS("ARCC US Equity","SUPPLY_CHAIN_CUSTOMERS","RELATIONSHIP_AS_OF_DATE","20160523")</f>
        <v/>
      </c>
      <c r="LS5">
        <f>BDS("WELL US Equity","SUPPLY_CHAIN_SUPPLIERS","RELATIONSHIP_AS_OF_DATE","20180425")</f>
        <v/>
      </c>
      <c r="LX5">
        <f>BDS("WELL US Equity","SUPPLY_CHAIN_CUSTOMERS","RELATIONSHIP_AS_OF_DATE","20180425")</f>
        <v/>
      </c>
      <c r="MC5">
        <f>BDS("FITB US Equity","SUPPLY_CHAIN_SUPPLIERS","RELATIONSHIP_AS_OF_DATE","20001120")</f>
        <v/>
      </c>
      <c r="MH5">
        <f>BDS("FITB US Equity","SUPPLY_CHAIN_CUSTOMERS","RELATIONSHIP_AS_OF_DATE","20001120")</f>
        <v/>
      </c>
      <c r="MM5">
        <f>BDS("BRCM US Equity","SUPPLY_CHAIN_SUPPLIERS","RELATIONSHIP_AS_OF_DATE","20110912")</f>
        <v/>
      </c>
      <c r="MR5">
        <f>BDS("BRCM US Equity","SUPPLY_CHAIN_CUSTOMERS","RELATIONSHIP_AS_OF_DATE","20110912")</f>
        <v/>
      </c>
      <c r="MW5">
        <f>BDS("1255173D US Equity","SUPPLY_CHAIN_SUPPLIERS","RELATIONSHIP_AS_OF_DATE","20050912")</f>
        <v/>
      </c>
      <c r="NB5">
        <f>BDS("1255173D US Equity","SUPPLY_CHAIN_CUSTOMERS","RELATIONSHIP_AS_OF_DATE","20050912")</f>
        <v/>
      </c>
      <c r="NG5">
        <f>BDS("BDN US Equity","SUPPLY_CHAIN_SUPPLIERS","RELATIONSHIP_AS_OF_DATE","20051003")</f>
        <v/>
      </c>
      <c r="NL5">
        <f>BDS("BDN US Equity","SUPPLY_CHAIN_CUSTOMERS","RELATIONSHIP_AS_OF_DATE","20051003")</f>
        <v/>
      </c>
      <c r="NQ5">
        <f>BDS("0544749D US Equity","SUPPLY_CHAIN_SUPPLIERS","RELATIONSHIP_AS_OF_DATE","20040407")</f>
        <v/>
      </c>
      <c r="NV5">
        <f>BDS("0544749D US Equity","SUPPLY_CHAIN_CUSTOMERS","RELATIONSHIP_AS_OF_DATE","20040407")</f>
        <v/>
      </c>
      <c r="OA5">
        <f>BDS("DVN US Equity","SUPPLY_CHAIN_SUPPLIERS","RELATIONSHIP_AS_OF_DATE","20010814")</f>
        <v/>
      </c>
      <c r="OF5">
        <f>BDS("DVN US Equity","SUPPLY_CHAIN_CUSTOMERS","RELATIONSHIP_AS_OF_DATE","20010814")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641</t>
        </is>
      </c>
      <c r="K1" s="1" t="inlineStr">
        <is>
          <t>Deal 642</t>
        </is>
      </c>
      <c r="U1" s="1" t="inlineStr">
        <is>
          <t>Deal 643</t>
        </is>
      </c>
      <c r="AE1" s="1" t="inlineStr">
        <is>
          <t>Deal 644</t>
        </is>
      </c>
      <c r="AO1" s="1" t="inlineStr">
        <is>
          <t>Deal 645</t>
        </is>
      </c>
      <c r="AY1" s="1" t="inlineStr">
        <is>
          <t>Deal 646</t>
        </is>
      </c>
      <c r="BI1" s="1" t="inlineStr">
        <is>
          <t>Deal 647</t>
        </is>
      </c>
      <c r="BS1" s="1" t="inlineStr">
        <is>
          <t>Deal 648</t>
        </is>
      </c>
      <c r="CC1" s="1" t="inlineStr">
        <is>
          <t>Deal 649</t>
        </is>
      </c>
      <c r="CM1" s="1" t="inlineStr">
        <is>
          <t>Deal 650</t>
        </is>
      </c>
      <c r="CW1" s="1" t="inlineStr">
        <is>
          <t>Deal 651</t>
        </is>
      </c>
      <c r="DG1" s="1" t="inlineStr">
        <is>
          <t>Deal 652</t>
        </is>
      </c>
      <c r="DQ1" s="1" t="inlineStr">
        <is>
          <t>Deal 653</t>
        </is>
      </c>
      <c r="EA1" s="1" t="inlineStr">
        <is>
          <t>Deal 654</t>
        </is>
      </c>
      <c r="EK1" s="1" t="inlineStr">
        <is>
          <t>Deal 655</t>
        </is>
      </c>
      <c r="EU1" s="1" t="inlineStr">
        <is>
          <t>Deal 656</t>
        </is>
      </c>
      <c r="FE1" s="1" t="inlineStr">
        <is>
          <t>Deal 657</t>
        </is>
      </c>
      <c r="FO1" s="1" t="inlineStr">
        <is>
          <t>Deal 658</t>
        </is>
      </c>
      <c r="FY1" s="1" t="inlineStr">
        <is>
          <t>Deal 659</t>
        </is>
      </c>
      <c r="GI1" s="1" t="inlineStr">
        <is>
          <t>Deal 660</t>
        </is>
      </c>
      <c r="GS1" s="1" t="inlineStr">
        <is>
          <t>Deal 661</t>
        </is>
      </c>
      <c r="HC1" s="1" t="inlineStr">
        <is>
          <t>Deal 662</t>
        </is>
      </c>
      <c r="HM1" s="1" t="inlineStr">
        <is>
          <t>Deal 663</t>
        </is>
      </c>
      <c r="HW1" s="1" t="inlineStr">
        <is>
          <t>Deal 664</t>
        </is>
      </c>
      <c r="IG1" s="1" t="inlineStr">
        <is>
          <t>Deal 665</t>
        </is>
      </c>
      <c r="IQ1" s="1" t="inlineStr">
        <is>
          <t>Deal 666</t>
        </is>
      </c>
      <c r="JA1" s="1" t="inlineStr">
        <is>
          <t>Deal 667</t>
        </is>
      </c>
      <c r="JK1" s="1" t="inlineStr">
        <is>
          <t>Deal 668</t>
        </is>
      </c>
      <c r="JU1" s="1" t="inlineStr">
        <is>
          <t>Deal 669</t>
        </is>
      </c>
      <c r="KE1" s="1" t="inlineStr">
        <is>
          <t>Deal 670</t>
        </is>
      </c>
      <c r="KO1" s="1" t="inlineStr">
        <is>
          <t>Deal 671</t>
        </is>
      </c>
      <c r="KY1" s="1" t="inlineStr">
        <is>
          <t>Deal 672</t>
        </is>
      </c>
      <c r="LI1" s="1" t="inlineStr">
        <is>
          <t>Deal 673</t>
        </is>
      </c>
      <c r="LS1" s="1" t="inlineStr">
        <is>
          <t>Deal 674</t>
        </is>
      </c>
      <c r="MC1" s="1" t="inlineStr">
        <is>
          <t>Deal 675</t>
        </is>
      </c>
      <c r="MM1" s="1" t="inlineStr">
        <is>
          <t>Deal 676</t>
        </is>
      </c>
      <c r="MW1" s="1" t="inlineStr">
        <is>
          <t>Deal 677</t>
        </is>
      </c>
      <c r="NG1" s="1" t="inlineStr">
        <is>
          <t>Deal 678</t>
        </is>
      </c>
      <c r="NQ1" s="1" t="inlineStr">
        <is>
          <t>Deal 679</t>
        </is>
      </c>
      <c r="OA1" s="1" t="inlineStr">
        <is>
          <t>Deal 680</t>
        </is>
      </c>
    </row>
    <row r="2">
      <c r="A2" s="2" t="inlineStr">
        <is>
          <t>1837572D US Equity</t>
        </is>
      </c>
      <c r="K2" s="2" t="inlineStr">
        <is>
          <t>THC US Equity</t>
        </is>
      </c>
      <c r="U2" s="2" t="inlineStr">
        <is>
          <t>ARI US Equity</t>
        </is>
      </c>
      <c r="AE2" s="2" t="inlineStr">
        <is>
          <t>1704453D US Equity</t>
        </is>
      </c>
      <c r="AO2" s="2" t="inlineStr">
        <is>
          <t>nan Equity</t>
        </is>
      </c>
      <c r="AY2" s="2" t="inlineStr">
        <is>
          <t>TRV US Equity</t>
        </is>
      </c>
      <c r="BI2" s="2" t="inlineStr">
        <is>
          <t>NS US Equity</t>
        </is>
      </c>
      <c r="BS2" s="2" t="inlineStr">
        <is>
          <t>nan Equity</t>
        </is>
      </c>
      <c r="CC2" s="2" t="inlineStr">
        <is>
          <t>PFE US Equity</t>
        </is>
      </c>
      <c r="CM2" s="2" t="inlineStr">
        <is>
          <t>AMCC US Equity</t>
        </is>
      </c>
      <c r="CW2" s="2" t="inlineStr">
        <is>
          <t>ATBA AV Equity</t>
        </is>
      </c>
      <c r="DG2" s="2" t="inlineStr">
        <is>
          <t>PEP US Equity</t>
        </is>
      </c>
      <c r="DQ2" s="2" t="inlineStr">
        <is>
          <t>300583Q US Equity</t>
        </is>
      </c>
      <c r="EA2" s="2" t="inlineStr">
        <is>
          <t>DYNIQ US Equity</t>
        </is>
      </c>
      <c r="EK2" s="2" t="inlineStr">
        <is>
          <t>MPLX US Equity</t>
        </is>
      </c>
      <c r="EU2" s="2" t="inlineStr">
        <is>
          <t>HBAN US Equity</t>
        </is>
      </c>
      <c r="FE2" s="2" t="inlineStr">
        <is>
          <t>SSB US Equity</t>
        </is>
      </c>
      <c r="FO2" s="2" t="inlineStr">
        <is>
          <t>IT US Equity</t>
        </is>
      </c>
      <c r="FY2" s="2" t="inlineStr">
        <is>
          <t>LQI US Equity</t>
        </is>
      </c>
      <c r="GI2" s="2" t="inlineStr">
        <is>
          <t>CHRD US Equity</t>
        </is>
      </c>
      <c r="GS2" s="2" t="inlineStr">
        <is>
          <t>GE US Equity</t>
        </is>
      </c>
      <c r="HC2" s="2" t="inlineStr">
        <is>
          <t>MCHP US Equity</t>
        </is>
      </c>
      <c r="HM2" s="2" t="inlineStr">
        <is>
          <t>XRX US Equity</t>
        </is>
      </c>
      <c r="HW2" s="2" t="inlineStr">
        <is>
          <t>HFC US Equity</t>
        </is>
      </c>
      <c r="IG2" s="2" t="inlineStr">
        <is>
          <t>DCH US Equity</t>
        </is>
      </c>
      <c r="IQ2" s="2" t="inlineStr">
        <is>
          <t>CEQP US Equity</t>
        </is>
      </c>
      <c r="JA2" s="2" t="inlineStr">
        <is>
          <t>STJ US Equity</t>
        </is>
      </c>
      <c r="JK2" s="2" t="inlineStr">
        <is>
          <t>MDT US Equity</t>
        </is>
      </c>
      <c r="JU2" s="2" t="inlineStr">
        <is>
          <t>1810430D US Equity</t>
        </is>
      </c>
      <c r="KE2" s="2" t="inlineStr">
        <is>
          <t>UNH US Equity</t>
        </is>
      </c>
      <c r="KO2" s="2" t="inlineStr">
        <is>
          <t>9876555D US Equity</t>
        </is>
      </c>
      <c r="KY2" s="2" t="inlineStr">
        <is>
          <t>UAL US Equity</t>
        </is>
      </c>
      <c r="LI2" s="2" t="inlineStr">
        <is>
          <t>CBI US Equity</t>
        </is>
      </c>
      <c r="LS2" s="2" t="inlineStr">
        <is>
          <t>BX US Equity</t>
        </is>
      </c>
      <c r="MC2" s="2" t="inlineStr">
        <is>
          <t>NBL US Equity</t>
        </is>
      </c>
      <c r="MM2" s="2" t="inlineStr">
        <is>
          <t>0848680D US Equity</t>
        </is>
      </c>
      <c r="MW2" s="2" t="inlineStr">
        <is>
          <t>ADBE US Equity</t>
        </is>
      </c>
      <c r="NG2" s="2" t="inlineStr">
        <is>
          <t>ARCH US Equity</t>
        </is>
      </c>
      <c r="NQ2" s="2" t="inlineStr">
        <is>
          <t>CAR US Equity</t>
        </is>
      </c>
      <c r="OA2" s="2" t="inlineStr">
        <is>
          <t>MAXR US Equity</t>
        </is>
      </c>
    </row>
    <row r="3">
      <c r="A3" t="inlineStr">
        <is>
          <t>Ann: 1999-08-10</t>
        </is>
      </c>
      <c r="K3" t="inlineStr">
        <is>
          <t>Ann: 1994-10-11</t>
        </is>
      </c>
      <c r="U3" t="inlineStr">
        <is>
          <t>Ann: 2016-02-26</t>
        </is>
      </c>
      <c r="AE3" t="inlineStr">
        <is>
          <t>Ann: 1999-08-20</t>
        </is>
      </c>
      <c r="AO3" t="inlineStr">
        <is>
          <t>Ann: 2007-03-13</t>
        </is>
      </c>
      <c r="AY3" t="inlineStr">
        <is>
          <t>Ann: 1998-01-19</t>
        </is>
      </c>
      <c r="BI3" t="inlineStr">
        <is>
          <t>Ann: 2004-11-01</t>
        </is>
      </c>
      <c r="BS3" t="inlineStr">
        <is>
          <t>Ann: 2005-03-07</t>
        </is>
      </c>
      <c r="CC3" t="inlineStr">
        <is>
          <t>Ann: 2010-10-12</t>
        </is>
      </c>
      <c r="CM3" t="inlineStr">
        <is>
          <t>Ann: 2000-08-28</t>
        </is>
      </c>
      <c r="CW3" t="inlineStr">
        <is>
          <t>Ann: 1999-01-28</t>
        </is>
      </c>
      <c r="DG3" t="inlineStr">
        <is>
          <t>Ann: 1998-07-20</t>
        </is>
      </c>
      <c r="DQ3" t="inlineStr">
        <is>
          <t>Ann: 1998-05-04</t>
        </is>
      </c>
      <c r="EA3" t="inlineStr">
        <is>
          <t>Ann: 1999-06-14</t>
        </is>
      </c>
      <c r="EK3" t="inlineStr">
        <is>
          <t>Ann: 2019-05-08</t>
        </is>
      </c>
      <c r="EU3" t="inlineStr">
        <is>
          <t>Ann: 2006-12-20</t>
        </is>
      </c>
      <c r="FE3" t="inlineStr">
        <is>
          <t>Ann: 2020-01-27</t>
        </is>
      </c>
      <c r="FO3" t="inlineStr">
        <is>
          <t>Ann: 2017-01-05</t>
        </is>
      </c>
      <c r="FY3" t="inlineStr">
        <is>
          <t>Ann: 1998-01-04</t>
        </is>
      </c>
      <c r="GI3" t="inlineStr">
        <is>
          <t>Ann: 2022-03-07</t>
        </is>
      </c>
      <c r="GS3" t="inlineStr">
        <is>
          <t>Ann: 2013-04-08</t>
        </is>
      </c>
      <c r="HC3" t="inlineStr">
        <is>
          <t>Ann: 2015-12-11</t>
        </is>
      </c>
      <c r="HM3" t="inlineStr">
        <is>
          <t>Ann: 2009-09-28</t>
        </is>
      </c>
      <c r="HW3" t="inlineStr">
        <is>
          <t>Ann: 2017-10-19</t>
        </is>
      </c>
      <c r="IG3" t="inlineStr">
        <is>
          <t>Ann: 2016-11-03</t>
        </is>
      </c>
      <c r="IQ3" t="inlineStr">
        <is>
          <t>Ann: 2010-08-09</t>
        </is>
      </c>
      <c r="JA3" t="inlineStr">
        <is>
          <t>Ann: 2015-07-22</t>
        </is>
      </c>
      <c r="JK3" t="inlineStr">
        <is>
          <t>Ann: 1998-11-30</t>
        </is>
      </c>
      <c r="JU3" t="inlineStr">
        <is>
          <t>Ann: 2008-06-03</t>
        </is>
      </c>
      <c r="KE3" t="inlineStr">
        <is>
          <t>Ann: 2017-01-09</t>
        </is>
      </c>
      <c r="KO3" t="inlineStr">
        <is>
          <t>Ann: 2007-11-05</t>
        </is>
      </c>
      <c r="KY3" t="inlineStr">
        <is>
          <t>Ann: 2010-05-03</t>
        </is>
      </c>
      <c r="LI3" t="inlineStr">
        <is>
          <t>Ann: 2012-07-30</t>
        </is>
      </c>
      <c r="LS3" t="inlineStr">
        <is>
          <t>Ann: 2005-06-14</t>
        </is>
      </c>
      <c r="MC3" t="inlineStr">
        <is>
          <t>Ann: 2004-12-16</t>
        </is>
      </c>
      <c r="MM3" t="inlineStr">
        <is>
          <t>Ann: 2012-10-18</t>
        </is>
      </c>
      <c r="MW3" t="inlineStr">
        <is>
          <t>Ann: 2005-04-18</t>
        </is>
      </c>
      <c r="NG3" t="inlineStr">
        <is>
          <t>Ann: 2011-05-02</t>
        </is>
      </c>
      <c r="NQ3" t="inlineStr">
        <is>
          <t>Ann: 2001-06-18</t>
        </is>
      </c>
      <c r="OA3" t="inlineStr">
        <is>
          <t>Ann: 2017-02-24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BDS("1837572D US Equity","SUPPLY_CHAIN_SUPPLIERS","RELATIONSHIP_AS_OF_DATE","19990810")</f>
        <v/>
      </c>
      <c r="F5">
        <f>BDS("1837572D US Equity","SUPPLY_CHAIN_CUSTOMERS","RELATIONSHIP_AS_OF_DATE","19990810")</f>
        <v/>
      </c>
      <c r="K5">
        <f>BDS("THC US Equity","SUPPLY_CHAIN_SUPPLIERS","RELATIONSHIP_AS_OF_DATE","19941011")</f>
        <v/>
      </c>
      <c r="P5">
        <f>BDS("THC US Equity","SUPPLY_CHAIN_CUSTOMERS","RELATIONSHIP_AS_OF_DATE","19941011")</f>
        <v/>
      </c>
      <c r="U5">
        <f>BDS("ARI US Equity","SUPPLY_CHAIN_SUPPLIERS","RELATIONSHIP_AS_OF_DATE","20160226")</f>
        <v/>
      </c>
      <c r="Z5">
        <f>BDS("ARI US Equity","SUPPLY_CHAIN_CUSTOMERS","RELATIONSHIP_AS_OF_DATE","20160226")</f>
        <v/>
      </c>
      <c r="AE5">
        <f>BDS("1704453D US Equity","SUPPLY_CHAIN_SUPPLIERS","RELATIONSHIP_AS_OF_DATE","19990820")</f>
        <v/>
      </c>
      <c r="AJ5">
        <f>BDS("1704453D US Equity","SUPPLY_CHAIN_CUSTOMERS","RELATIONSHIP_AS_OF_DATE","19990820")</f>
        <v/>
      </c>
      <c r="AO5">
        <f>BDS("nan Equity","SUPPLY_CHAIN_SUPPLIERS","RELATIONSHIP_AS_OF_DATE","20070313")</f>
        <v/>
      </c>
      <c r="AT5">
        <f>BDS("nan Equity","SUPPLY_CHAIN_CUSTOMERS","RELATIONSHIP_AS_OF_DATE","20070313")</f>
        <v/>
      </c>
      <c r="AY5">
        <f>BDS("TRV US Equity","SUPPLY_CHAIN_SUPPLIERS","RELATIONSHIP_AS_OF_DATE","19980119")</f>
        <v/>
      </c>
      <c r="BD5">
        <f>BDS("TRV US Equity","SUPPLY_CHAIN_CUSTOMERS","RELATIONSHIP_AS_OF_DATE","19980119")</f>
        <v/>
      </c>
      <c r="BI5">
        <f>BDS("NS US Equity","SUPPLY_CHAIN_SUPPLIERS","RELATIONSHIP_AS_OF_DATE","20041101")</f>
        <v/>
      </c>
      <c r="BN5">
        <f>BDS("NS US Equity","SUPPLY_CHAIN_CUSTOMERS","RELATIONSHIP_AS_OF_DATE","20041101")</f>
        <v/>
      </c>
      <c r="BS5">
        <f>BDS("nan Equity","SUPPLY_CHAIN_SUPPLIERS","RELATIONSHIP_AS_OF_DATE","20050307")</f>
        <v/>
      </c>
      <c r="BX5">
        <f>BDS("nan Equity","SUPPLY_CHAIN_CUSTOMERS","RELATIONSHIP_AS_OF_DATE","20050307")</f>
        <v/>
      </c>
      <c r="CC5">
        <f>BDS("PFE US Equity","SUPPLY_CHAIN_SUPPLIERS","RELATIONSHIP_AS_OF_DATE","20101012")</f>
        <v/>
      </c>
      <c r="CH5">
        <f>BDS("PFE US Equity","SUPPLY_CHAIN_CUSTOMERS","RELATIONSHIP_AS_OF_DATE","20101012")</f>
        <v/>
      </c>
      <c r="CM5">
        <f>BDS("AMCC US Equity","SUPPLY_CHAIN_SUPPLIERS","RELATIONSHIP_AS_OF_DATE","20000828")</f>
        <v/>
      </c>
      <c r="CR5">
        <f>BDS("AMCC US Equity","SUPPLY_CHAIN_CUSTOMERS","RELATIONSHIP_AS_OF_DATE","20000828")</f>
        <v/>
      </c>
      <c r="CW5">
        <f>BDS("ATBA AV Equity","SUPPLY_CHAIN_SUPPLIERS","RELATIONSHIP_AS_OF_DATE","19990128")</f>
        <v/>
      </c>
      <c r="DB5">
        <f>BDS("ATBA AV Equity","SUPPLY_CHAIN_CUSTOMERS","RELATIONSHIP_AS_OF_DATE","19990128")</f>
        <v/>
      </c>
      <c r="DG5">
        <f>BDS("PEP US Equity","SUPPLY_CHAIN_SUPPLIERS","RELATIONSHIP_AS_OF_DATE","19980720")</f>
        <v/>
      </c>
      <c r="DL5">
        <f>BDS("PEP US Equity","SUPPLY_CHAIN_CUSTOMERS","RELATIONSHIP_AS_OF_DATE","19980720")</f>
        <v/>
      </c>
      <c r="DQ5">
        <f>BDS("300583Q US Equity","SUPPLY_CHAIN_SUPPLIERS","RELATIONSHIP_AS_OF_DATE","19980504")</f>
        <v/>
      </c>
      <c r="DV5">
        <f>BDS("300583Q US Equity","SUPPLY_CHAIN_CUSTOMERS","RELATIONSHIP_AS_OF_DATE","19980504")</f>
        <v/>
      </c>
      <c r="EA5">
        <f>BDS("DYNIQ US Equity","SUPPLY_CHAIN_SUPPLIERS","RELATIONSHIP_AS_OF_DATE","19990614")</f>
        <v/>
      </c>
      <c r="EF5">
        <f>BDS("DYNIQ US Equity","SUPPLY_CHAIN_CUSTOMERS","RELATIONSHIP_AS_OF_DATE","19990614")</f>
        <v/>
      </c>
      <c r="EK5">
        <f>BDS("MPLX US Equity","SUPPLY_CHAIN_SUPPLIERS","RELATIONSHIP_AS_OF_DATE","20190508")</f>
        <v/>
      </c>
      <c r="EP5">
        <f>BDS("MPLX US Equity","SUPPLY_CHAIN_CUSTOMERS","RELATIONSHIP_AS_OF_DATE","20190508")</f>
        <v/>
      </c>
      <c r="EU5">
        <f>BDS("HBAN US Equity","SUPPLY_CHAIN_SUPPLIERS","RELATIONSHIP_AS_OF_DATE","20061220")</f>
        <v/>
      </c>
      <c r="EZ5">
        <f>BDS("HBAN US Equity","SUPPLY_CHAIN_CUSTOMERS","RELATIONSHIP_AS_OF_DATE","20061220")</f>
        <v/>
      </c>
      <c r="FE5">
        <f>BDS("SSB US Equity","SUPPLY_CHAIN_SUPPLIERS","RELATIONSHIP_AS_OF_DATE","20200127")</f>
        <v/>
      </c>
      <c r="FJ5">
        <f>BDS("SSB US Equity","SUPPLY_CHAIN_CUSTOMERS","RELATIONSHIP_AS_OF_DATE","20200127")</f>
        <v/>
      </c>
      <c r="FO5">
        <f>BDS("IT US Equity","SUPPLY_CHAIN_SUPPLIERS","RELATIONSHIP_AS_OF_DATE","20170105")</f>
        <v/>
      </c>
      <c r="FT5">
        <f>BDS("IT US Equity","SUPPLY_CHAIN_CUSTOMERS","RELATIONSHIP_AS_OF_DATE","20170105")</f>
        <v/>
      </c>
      <c r="FY5">
        <f>BDS("LQI US Equity","SUPPLY_CHAIN_SUPPLIERS","RELATIONSHIP_AS_OF_DATE","19980104")</f>
        <v/>
      </c>
      <c r="GD5">
        <f>BDS("LQI US Equity","SUPPLY_CHAIN_CUSTOMERS","RELATIONSHIP_AS_OF_DATE","19980104")</f>
        <v/>
      </c>
      <c r="GI5">
        <f>BDS("CHRD US Equity","SUPPLY_CHAIN_SUPPLIERS","RELATIONSHIP_AS_OF_DATE","20220307")</f>
        <v/>
      </c>
      <c r="GN5">
        <f>BDS("CHRD US Equity","SUPPLY_CHAIN_CUSTOMERS","RELATIONSHIP_AS_OF_DATE","20220307")</f>
        <v/>
      </c>
      <c r="GS5">
        <f>BDS("GE US Equity","SUPPLY_CHAIN_SUPPLIERS","RELATIONSHIP_AS_OF_DATE","20130408")</f>
        <v/>
      </c>
      <c r="GX5">
        <f>BDS("GE US Equity","SUPPLY_CHAIN_CUSTOMERS","RELATIONSHIP_AS_OF_DATE","20130408")</f>
        <v/>
      </c>
      <c r="HC5">
        <f>BDS("MCHP US Equity","SUPPLY_CHAIN_SUPPLIERS","RELATIONSHIP_AS_OF_DATE","20151211")</f>
        <v/>
      </c>
      <c r="HH5">
        <f>BDS("MCHP US Equity","SUPPLY_CHAIN_CUSTOMERS","RELATIONSHIP_AS_OF_DATE","20151211")</f>
        <v/>
      </c>
      <c r="HM5">
        <f>BDS("XRX US Equity","SUPPLY_CHAIN_SUPPLIERS","RELATIONSHIP_AS_OF_DATE","20090928")</f>
        <v/>
      </c>
      <c r="HR5">
        <f>BDS("XRX US Equity","SUPPLY_CHAIN_CUSTOMERS","RELATIONSHIP_AS_OF_DATE","20090928")</f>
        <v/>
      </c>
      <c r="HW5">
        <f>BDS("HFC US Equity","SUPPLY_CHAIN_SUPPLIERS","RELATIONSHIP_AS_OF_DATE","20171019")</f>
        <v/>
      </c>
      <c r="IB5">
        <f>BDS("HFC US Equity","SUPPLY_CHAIN_CUSTOMERS","RELATIONSHIP_AS_OF_DATE","20171019")</f>
        <v/>
      </c>
      <c r="IG5">
        <f>BDS("DCH US Equity","SUPPLY_CHAIN_SUPPLIERS","RELATIONSHIP_AS_OF_DATE","20161103")</f>
        <v/>
      </c>
      <c r="IL5">
        <f>BDS("DCH US Equity","SUPPLY_CHAIN_CUSTOMERS","RELATIONSHIP_AS_OF_DATE","20161103")</f>
        <v/>
      </c>
      <c r="IQ5">
        <f>BDS("CEQP US Equity","SUPPLY_CHAIN_SUPPLIERS","RELATIONSHIP_AS_OF_DATE","20100809")</f>
        <v/>
      </c>
      <c r="IV5">
        <f>BDS("CEQP US Equity","SUPPLY_CHAIN_CUSTOMERS","RELATIONSHIP_AS_OF_DATE","20100809")</f>
        <v/>
      </c>
      <c r="JA5">
        <f>BDS("STJ US Equity","SUPPLY_CHAIN_SUPPLIERS","RELATIONSHIP_AS_OF_DATE","20150722")</f>
        <v/>
      </c>
      <c r="JF5">
        <f>BDS("STJ US Equity","SUPPLY_CHAIN_CUSTOMERS","RELATIONSHIP_AS_OF_DATE","20150722")</f>
        <v/>
      </c>
      <c r="JK5">
        <f>BDS("MDT US Equity","SUPPLY_CHAIN_SUPPLIERS","RELATIONSHIP_AS_OF_DATE","19981130")</f>
        <v/>
      </c>
      <c r="JP5">
        <f>BDS("MDT US Equity","SUPPLY_CHAIN_CUSTOMERS","RELATIONSHIP_AS_OF_DATE","19981130")</f>
        <v/>
      </c>
      <c r="JU5">
        <f>BDS("1810430D US Equity","SUPPLY_CHAIN_SUPPLIERS","RELATIONSHIP_AS_OF_DATE","20080603")</f>
        <v/>
      </c>
      <c r="JZ5">
        <f>BDS("1810430D US Equity","SUPPLY_CHAIN_CUSTOMERS","RELATIONSHIP_AS_OF_DATE","20080603")</f>
        <v/>
      </c>
      <c r="KE5">
        <f>BDS("UNH US Equity","SUPPLY_CHAIN_SUPPLIERS","RELATIONSHIP_AS_OF_DATE","20170109")</f>
        <v/>
      </c>
      <c r="KJ5">
        <f>BDS("UNH US Equity","SUPPLY_CHAIN_CUSTOMERS","RELATIONSHIP_AS_OF_DATE","20170109")</f>
        <v/>
      </c>
      <c r="KO5">
        <f>BDS("9876555D US Equity","SUPPLY_CHAIN_SUPPLIERS","RELATIONSHIP_AS_OF_DATE","20071105")</f>
        <v/>
      </c>
      <c r="KT5">
        <f>BDS("9876555D US Equity","SUPPLY_CHAIN_CUSTOMERS","RELATIONSHIP_AS_OF_DATE","20071105")</f>
        <v/>
      </c>
      <c r="KY5">
        <f>BDS("UAL US Equity","SUPPLY_CHAIN_SUPPLIERS","RELATIONSHIP_AS_OF_DATE","20100503")</f>
        <v/>
      </c>
      <c r="LD5">
        <f>BDS("UAL US Equity","SUPPLY_CHAIN_CUSTOMERS","RELATIONSHIP_AS_OF_DATE","20100503")</f>
        <v/>
      </c>
      <c r="LI5">
        <f>BDS("CBI US Equity","SUPPLY_CHAIN_SUPPLIERS","RELATIONSHIP_AS_OF_DATE","20120730")</f>
        <v/>
      </c>
      <c r="LN5">
        <f>BDS("CBI US Equity","SUPPLY_CHAIN_CUSTOMERS","RELATIONSHIP_AS_OF_DATE","20120730")</f>
        <v/>
      </c>
      <c r="LS5">
        <f>BDS("BX US Equity","SUPPLY_CHAIN_SUPPLIERS","RELATIONSHIP_AS_OF_DATE","20050614")</f>
        <v/>
      </c>
      <c r="LX5">
        <f>BDS("BX US Equity","SUPPLY_CHAIN_CUSTOMERS","RELATIONSHIP_AS_OF_DATE","20050614")</f>
        <v/>
      </c>
      <c r="MC5">
        <f>BDS("NBL US Equity","SUPPLY_CHAIN_SUPPLIERS","RELATIONSHIP_AS_OF_DATE","20041216")</f>
        <v/>
      </c>
      <c r="MH5">
        <f>BDS("NBL US Equity","SUPPLY_CHAIN_CUSTOMERS","RELATIONSHIP_AS_OF_DATE","20041216")</f>
        <v/>
      </c>
      <c r="MM5">
        <f>BDS("0848680D US Equity","SUPPLY_CHAIN_SUPPLIERS","RELATIONSHIP_AS_OF_DATE","20121018")</f>
        <v/>
      </c>
      <c r="MR5">
        <f>BDS("0848680D US Equity","SUPPLY_CHAIN_CUSTOMERS","RELATIONSHIP_AS_OF_DATE","20121018")</f>
        <v/>
      </c>
      <c r="MW5">
        <f>BDS("ADBE US Equity","SUPPLY_CHAIN_SUPPLIERS","RELATIONSHIP_AS_OF_DATE","20050418")</f>
        <v/>
      </c>
      <c r="NB5">
        <f>BDS("ADBE US Equity","SUPPLY_CHAIN_CUSTOMERS","RELATIONSHIP_AS_OF_DATE","20050418")</f>
        <v/>
      </c>
      <c r="NG5">
        <f>BDS("ARCH US Equity","SUPPLY_CHAIN_SUPPLIERS","RELATIONSHIP_AS_OF_DATE","20110502")</f>
        <v/>
      </c>
      <c r="NL5">
        <f>BDS("ARCH US Equity","SUPPLY_CHAIN_CUSTOMERS","RELATIONSHIP_AS_OF_DATE","20110502")</f>
        <v/>
      </c>
      <c r="NQ5">
        <f>BDS("CAR US Equity","SUPPLY_CHAIN_SUPPLIERS","RELATIONSHIP_AS_OF_DATE","20010618")</f>
        <v/>
      </c>
      <c r="NV5">
        <f>BDS("CAR US Equity","SUPPLY_CHAIN_CUSTOMERS","RELATIONSHIP_AS_OF_DATE","20010618")</f>
        <v/>
      </c>
      <c r="OA5">
        <f>BDS("MAXR US Equity","SUPPLY_CHAIN_SUPPLIERS","RELATIONSHIP_AS_OF_DATE","20170224")</f>
        <v/>
      </c>
      <c r="OF5">
        <f>BDS("MAXR US Equity","SUPPLY_CHAIN_CUSTOMERS","RELATIONSHIP_AS_OF_DATE","20170224")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681</t>
        </is>
      </c>
      <c r="K1" s="1" t="inlineStr">
        <is>
          <t>Deal 682</t>
        </is>
      </c>
      <c r="U1" s="1" t="inlineStr">
        <is>
          <t>Deal 683</t>
        </is>
      </c>
      <c r="AE1" s="1" t="inlineStr">
        <is>
          <t>Deal 684</t>
        </is>
      </c>
      <c r="AO1" s="1" t="inlineStr">
        <is>
          <t>Deal 685</t>
        </is>
      </c>
      <c r="AY1" s="1" t="inlineStr">
        <is>
          <t>Deal 686</t>
        </is>
      </c>
      <c r="BI1" s="1" t="inlineStr">
        <is>
          <t>Deal 687</t>
        </is>
      </c>
      <c r="BS1" s="1" t="inlineStr">
        <is>
          <t>Deal 688</t>
        </is>
      </c>
      <c r="CC1" s="1" t="inlineStr">
        <is>
          <t>Deal 689</t>
        </is>
      </c>
      <c r="CM1" s="1" t="inlineStr">
        <is>
          <t>Deal 690</t>
        </is>
      </c>
      <c r="CW1" s="1" t="inlineStr">
        <is>
          <t>Deal 691</t>
        </is>
      </c>
      <c r="DG1" s="1" t="inlineStr">
        <is>
          <t>Deal 692</t>
        </is>
      </c>
      <c r="DQ1" s="1" t="inlineStr">
        <is>
          <t>Deal 693</t>
        </is>
      </c>
      <c r="EA1" s="1" t="inlineStr">
        <is>
          <t>Deal 694</t>
        </is>
      </c>
      <c r="EK1" s="1" t="inlineStr">
        <is>
          <t>Deal 695</t>
        </is>
      </c>
      <c r="EU1" s="1" t="inlineStr">
        <is>
          <t>Deal 696</t>
        </is>
      </c>
      <c r="FE1" s="1" t="inlineStr">
        <is>
          <t>Deal 697</t>
        </is>
      </c>
      <c r="FO1" s="1" t="inlineStr">
        <is>
          <t>Deal 698</t>
        </is>
      </c>
      <c r="FY1" s="1" t="inlineStr">
        <is>
          <t>Deal 699</t>
        </is>
      </c>
      <c r="GI1" s="1" t="inlineStr">
        <is>
          <t>Deal 700</t>
        </is>
      </c>
      <c r="GS1" s="1" t="inlineStr">
        <is>
          <t>Deal 701</t>
        </is>
      </c>
      <c r="HC1" s="1" t="inlineStr">
        <is>
          <t>Deal 702</t>
        </is>
      </c>
      <c r="HM1" s="1" t="inlineStr">
        <is>
          <t>Deal 703</t>
        </is>
      </c>
      <c r="HW1" s="1" t="inlineStr">
        <is>
          <t>Deal 704</t>
        </is>
      </c>
      <c r="IG1" s="1" t="inlineStr">
        <is>
          <t>Deal 705</t>
        </is>
      </c>
      <c r="IQ1" s="1" t="inlineStr">
        <is>
          <t>Deal 706</t>
        </is>
      </c>
      <c r="JA1" s="1" t="inlineStr">
        <is>
          <t>Deal 707</t>
        </is>
      </c>
      <c r="JK1" s="1" t="inlineStr">
        <is>
          <t>Deal 708</t>
        </is>
      </c>
      <c r="JU1" s="1" t="inlineStr">
        <is>
          <t>Deal 709</t>
        </is>
      </c>
      <c r="KE1" s="1" t="inlineStr">
        <is>
          <t>Deal 710</t>
        </is>
      </c>
      <c r="KO1" s="1" t="inlineStr">
        <is>
          <t>Deal 711</t>
        </is>
      </c>
      <c r="KY1" s="1" t="inlineStr">
        <is>
          <t>Deal 712</t>
        </is>
      </c>
      <c r="LI1" s="1" t="inlineStr">
        <is>
          <t>Deal 713</t>
        </is>
      </c>
      <c r="LS1" s="1" t="inlineStr">
        <is>
          <t>Deal 714</t>
        </is>
      </c>
      <c r="MC1" s="1" t="inlineStr">
        <is>
          <t>Deal 715</t>
        </is>
      </c>
      <c r="MM1" s="1" t="inlineStr">
        <is>
          <t>Deal 716</t>
        </is>
      </c>
      <c r="MW1" s="1" t="inlineStr">
        <is>
          <t>Deal 717</t>
        </is>
      </c>
      <c r="NG1" s="1" t="inlineStr">
        <is>
          <t>Deal 718</t>
        </is>
      </c>
      <c r="NQ1" s="1" t="inlineStr">
        <is>
          <t>Deal 719</t>
        </is>
      </c>
      <c r="OA1" s="1" t="inlineStr">
        <is>
          <t>Deal 720</t>
        </is>
      </c>
    </row>
    <row r="2">
      <c r="A2" s="2" t="inlineStr">
        <is>
          <t>GAS US Equity</t>
        </is>
      </c>
      <c r="K2" s="2" t="inlineStr">
        <is>
          <t>QCOM US Equity</t>
        </is>
      </c>
      <c r="U2" s="2" t="inlineStr">
        <is>
          <t>2326248D US Equity</t>
        </is>
      </c>
      <c r="AE2" s="2" t="inlineStr">
        <is>
          <t>UNH US Equity</t>
        </is>
      </c>
      <c r="AO2" s="2" t="inlineStr">
        <is>
          <t>AES US Equity</t>
        </is>
      </c>
      <c r="AY2" s="2" t="inlineStr">
        <is>
          <t>EXAS US Equity</t>
        </is>
      </c>
      <c r="BI2" s="2" t="inlineStr">
        <is>
          <t>UNFI US Equity</t>
        </is>
      </c>
      <c r="BS2" s="2" t="inlineStr">
        <is>
          <t>NBL US Equity</t>
        </is>
      </c>
      <c r="CC2" s="2" t="inlineStr">
        <is>
          <t>nan Equity</t>
        </is>
      </c>
      <c r="CM2" s="2" t="inlineStr">
        <is>
          <t>SWKH US Equity</t>
        </is>
      </c>
      <c r="CW2" s="2" t="inlineStr">
        <is>
          <t>2860436Q US Equity</t>
        </is>
      </c>
      <c r="DG2" s="2" t="inlineStr">
        <is>
          <t>PHM US Equity</t>
        </is>
      </c>
      <c r="DQ2" s="2" t="inlineStr">
        <is>
          <t>1436513D US Equity</t>
        </is>
      </c>
      <c r="EA2" s="2" t="inlineStr">
        <is>
          <t>AAL US Equity</t>
        </is>
      </c>
      <c r="EK2" s="2" t="inlineStr">
        <is>
          <t>2326248D US Equity</t>
        </is>
      </c>
      <c r="EU2" s="2" t="inlineStr">
        <is>
          <t>HPQ US Equity</t>
        </is>
      </c>
      <c r="FE2" s="2" t="inlineStr">
        <is>
          <t>DDS US Equity</t>
        </is>
      </c>
      <c r="FO2" s="2" t="inlineStr">
        <is>
          <t>MDT US Equity</t>
        </is>
      </c>
      <c r="FY2" s="2" t="inlineStr">
        <is>
          <t>AVTA US Equity</t>
        </is>
      </c>
      <c r="GI2" s="2" t="inlineStr">
        <is>
          <t>CAA US Equity</t>
        </is>
      </c>
      <c r="GS2" s="2" t="inlineStr">
        <is>
          <t>AM US Equity</t>
        </is>
      </c>
      <c r="HC2" s="2" t="inlineStr">
        <is>
          <t>KG US Equity</t>
        </is>
      </c>
      <c r="HM2" s="2" t="inlineStr">
        <is>
          <t>XPO US Equity</t>
        </is>
      </c>
      <c r="HW2" s="2" t="inlineStr">
        <is>
          <t>BX US Equity</t>
        </is>
      </c>
      <c r="IG2" s="2" t="inlineStr">
        <is>
          <t>SKS US Equity</t>
        </is>
      </c>
      <c r="IQ2" s="2" t="inlineStr">
        <is>
          <t>WSC US Equity</t>
        </is>
      </c>
      <c r="JA2" s="2" t="inlineStr">
        <is>
          <t>TWC US Equity</t>
        </is>
      </c>
      <c r="JK2" s="2" t="inlineStr">
        <is>
          <t>ILPT US Equity</t>
        </is>
      </c>
      <c r="JU2" s="2" t="inlineStr">
        <is>
          <t>LUMN US Equity</t>
        </is>
      </c>
      <c r="KE2" s="2" t="inlineStr">
        <is>
          <t>0544749D US Equity</t>
        </is>
      </c>
      <c r="KO2" s="2" t="inlineStr">
        <is>
          <t>HZNP US Equity</t>
        </is>
      </c>
      <c r="KY2" s="2" t="inlineStr">
        <is>
          <t>1719868D US Equity</t>
        </is>
      </c>
      <c r="LI2" s="2" t="inlineStr">
        <is>
          <t>IEP US Equity</t>
        </is>
      </c>
      <c r="LS2" s="2" t="inlineStr">
        <is>
          <t>OSK US Equity</t>
        </is>
      </c>
      <c r="MC2" s="2" t="inlineStr">
        <is>
          <t>1284849D US Equity</t>
        </is>
      </c>
      <c r="MM2" s="2" t="inlineStr">
        <is>
          <t>1920486D US Equity</t>
        </is>
      </c>
      <c r="MW2" s="2" t="inlineStr">
        <is>
          <t>ABT US Equity</t>
        </is>
      </c>
      <c r="NG2" s="2" t="inlineStr">
        <is>
          <t>nan Equity</t>
        </is>
      </c>
      <c r="NQ2" s="2" t="inlineStr">
        <is>
          <t>LEHMQ US Equity</t>
        </is>
      </c>
      <c r="OA2" s="2" t="inlineStr">
        <is>
          <t>KRG US Equity</t>
        </is>
      </c>
    </row>
    <row r="3">
      <c r="A3" t="inlineStr">
        <is>
          <t>Ann: 2010-12-07</t>
        </is>
      </c>
      <c r="K3" t="inlineStr">
        <is>
          <t>Ann: 2011-01-05</t>
        </is>
      </c>
      <c r="U3" t="inlineStr">
        <is>
          <t>Ann: 2000-02-14</t>
        </is>
      </c>
      <c r="AE3" t="inlineStr">
        <is>
          <t>Ann: 2003-10-27</t>
        </is>
      </c>
      <c r="AO3" t="inlineStr">
        <is>
          <t>Ann: 2000-07-17</t>
        </is>
      </c>
      <c r="AY3" t="inlineStr">
        <is>
          <t>Ann: 2019-07-29</t>
        </is>
      </c>
      <c r="BI3" t="inlineStr">
        <is>
          <t>Ann: 2018-07-26</t>
        </is>
      </c>
      <c r="BS3" t="inlineStr">
        <is>
          <t>Ann: 2017-01-16</t>
        </is>
      </c>
      <c r="CC3" t="inlineStr">
        <is>
          <t>Ann: 2004-03-05</t>
        </is>
      </c>
      <c r="CM3" t="inlineStr">
        <is>
          <t>Ann: 2000-02-07</t>
        </is>
      </c>
      <c r="CW3" t="inlineStr">
        <is>
          <t>Ann: 1999-06-01</t>
        </is>
      </c>
      <c r="DG3" t="inlineStr">
        <is>
          <t>Ann: 2009-04-08</t>
        </is>
      </c>
      <c r="DQ3" t="inlineStr">
        <is>
          <t>Ann: 2005-08-24</t>
        </is>
      </c>
      <c r="EA3" t="inlineStr">
        <is>
          <t>Ann: 2013-02-14</t>
        </is>
      </c>
      <c r="EK3" t="inlineStr">
        <is>
          <t>Ann: 1999-03-29</t>
        </is>
      </c>
      <c r="EU3" t="inlineStr">
        <is>
          <t>Ann: 2022-03-28</t>
        </is>
      </c>
      <c r="FE3" t="inlineStr">
        <is>
          <t>Ann: 1998-05-18</t>
        </is>
      </c>
      <c r="FO3" t="inlineStr">
        <is>
          <t>Ann: 2001-05-30</t>
        </is>
      </c>
      <c r="FY3" t="inlineStr">
        <is>
          <t>Ann: 2000-07-26</t>
        </is>
      </c>
      <c r="GI3" t="inlineStr">
        <is>
          <t>Ann: 2015-06-14</t>
        </is>
      </c>
      <c r="GS3" t="inlineStr">
        <is>
          <t>Ann: 2018-10-09</t>
        </is>
      </c>
      <c r="HC3" t="inlineStr">
        <is>
          <t>Ann: 2000-07-13</t>
        </is>
      </c>
      <c r="HM3" t="inlineStr">
        <is>
          <t>Ann: 2015-09-09</t>
        </is>
      </c>
      <c r="HW3" t="inlineStr">
        <is>
          <t>Ann: 2011-08-04</t>
        </is>
      </c>
      <c r="IG3" t="inlineStr">
        <is>
          <t>Ann: 1998-07-05</t>
        </is>
      </c>
      <c r="IQ3" t="inlineStr">
        <is>
          <t>Ann: 2020-03-02</t>
        </is>
      </c>
      <c r="JA3" t="inlineStr">
        <is>
          <t>Ann: 2011-08-15</t>
        </is>
      </c>
      <c r="JK3" t="inlineStr">
        <is>
          <t>Ann: 2021-11-05</t>
        </is>
      </c>
      <c r="JU3" t="inlineStr">
        <is>
          <t>Ann: 2011-04-27</t>
        </is>
      </c>
      <c r="KE3" t="inlineStr">
        <is>
          <t>Ann: 1998-10-15</t>
        </is>
      </c>
      <c r="KO3" t="inlineStr">
        <is>
          <t>Ann: 2021-02-01</t>
        </is>
      </c>
      <c r="KY3" t="inlineStr">
        <is>
          <t>Ann: 1998-06-10</t>
        </is>
      </c>
      <c r="LI3" t="inlineStr">
        <is>
          <t>Ann: 2008-07-03</t>
        </is>
      </c>
      <c r="LS3" t="inlineStr">
        <is>
          <t>Ann: 2006-10-16</t>
        </is>
      </c>
      <c r="MC3" t="inlineStr">
        <is>
          <t>Ann: 2005-11-15</t>
        </is>
      </c>
      <c r="MM3" t="inlineStr">
        <is>
          <t>Ann: 2005-06-02</t>
        </is>
      </c>
      <c r="MW3" t="inlineStr">
        <is>
          <t>Ann: 2009-01-12</t>
        </is>
      </c>
      <c r="NG3" t="inlineStr">
        <is>
          <t>Ann: 2005-11-09</t>
        </is>
      </c>
      <c r="NQ3" t="inlineStr">
        <is>
          <t>Ann: 2003-07-22</t>
        </is>
      </c>
      <c r="OA3" t="inlineStr">
        <is>
          <t>Ann: 2021-07-19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BDS("GAS US Equity","SUPPLY_CHAIN_SUPPLIERS","RELATIONSHIP_AS_OF_DATE","20101207")</f>
        <v/>
      </c>
      <c r="F5">
        <f>BDS("GAS US Equity","SUPPLY_CHAIN_CUSTOMERS","RELATIONSHIP_AS_OF_DATE","20101207")</f>
        <v/>
      </c>
      <c r="K5">
        <f>BDS("QCOM US Equity","SUPPLY_CHAIN_SUPPLIERS","RELATIONSHIP_AS_OF_DATE","20110105")</f>
        <v/>
      </c>
      <c r="P5">
        <f>BDS("QCOM US Equity","SUPPLY_CHAIN_CUSTOMERS","RELATIONSHIP_AS_OF_DATE","20110105")</f>
        <v/>
      </c>
      <c r="U5">
        <f>BDS("2326248D US Equity","SUPPLY_CHAIN_SUPPLIERS","RELATIONSHIP_AS_OF_DATE","20000214")</f>
        <v/>
      </c>
      <c r="Z5">
        <f>BDS("2326248D US Equity","SUPPLY_CHAIN_CUSTOMERS","RELATIONSHIP_AS_OF_DATE","20000214")</f>
        <v/>
      </c>
      <c r="AE5">
        <f>BDS("UNH US Equity","SUPPLY_CHAIN_SUPPLIERS","RELATIONSHIP_AS_OF_DATE","20031027")</f>
        <v/>
      </c>
      <c r="AJ5">
        <f>BDS("UNH US Equity","SUPPLY_CHAIN_CUSTOMERS","RELATIONSHIP_AS_OF_DATE","20031027")</f>
        <v/>
      </c>
      <c r="AO5">
        <f>BDS("AES US Equity","SUPPLY_CHAIN_SUPPLIERS","RELATIONSHIP_AS_OF_DATE","20000717")</f>
        <v/>
      </c>
      <c r="AT5">
        <f>BDS("AES US Equity","SUPPLY_CHAIN_CUSTOMERS","RELATIONSHIP_AS_OF_DATE","20000717")</f>
        <v/>
      </c>
      <c r="AY5">
        <f>BDS("EXAS US Equity","SUPPLY_CHAIN_SUPPLIERS","RELATIONSHIP_AS_OF_DATE","20190729")</f>
        <v/>
      </c>
      <c r="BD5">
        <f>BDS("EXAS US Equity","SUPPLY_CHAIN_CUSTOMERS","RELATIONSHIP_AS_OF_DATE","20190729")</f>
        <v/>
      </c>
      <c r="BI5">
        <f>BDS("UNFI US Equity","SUPPLY_CHAIN_SUPPLIERS","RELATIONSHIP_AS_OF_DATE","20180726")</f>
        <v/>
      </c>
      <c r="BN5">
        <f>BDS("UNFI US Equity","SUPPLY_CHAIN_CUSTOMERS","RELATIONSHIP_AS_OF_DATE","20180726")</f>
        <v/>
      </c>
      <c r="BS5">
        <f>BDS("NBL US Equity","SUPPLY_CHAIN_SUPPLIERS","RELATIONSHIP_AS_OF_DATE","20170116")</f>
        <v/>
      </c>
      <c r="BX5">
        <f>BDS("NBL US Equity","SUPPLY_CHAIN_CUSTOMERS","RELATIONSHIP_AS_OF_DATE","20170116")</f>
        <v/>
      </c>
      <c r="CC5">
        <f>BDS("nan Equity","SUPPLY_CHAIN_SUPPLIERS","RELATIONSHIP_AS_OF_DATE","20040305")</f>
        <v/>
      </c>
      <c r="CH5">
        <f>BDS("nan Equity","SUPPLY_CHAIN_CUSTOMERS","RELATIONSHIP_AS_OF_DATE","20040305")</f>
        <v/>
      </c>
      <c r="CM5">
        <f>BDS("SWKH US Equity","SUPPLY_CHAIN_SUPPLIERS","RELATIONSHIP_AS_OF_DATE","20000207")</f>
        <v/>
      </c>
      <c r="CR5">
        <f>BDS("SWKH US Equity","SUPPLY_CHAIN_CUSTOMERS","RELATIONSHIP_AS_OF_DATE","20000207")</f>
        <v/>
      </c>
      <c r="CW5">
        <f>BDS("2860436Q US Equity","SUPPLY_CHAIN_SUPPLIERS","RELATIONSHIP_AS_OF_DATE","19990601")</f>
        <v/>
      </c>
      <c r="DB5">
        <f>BDS("2860436Q US Equity","SUPPLY_CHAIN_CUSTOMERS","RELATIONSHIP_AS_OF_DATE","19990601")</f>
        <v/>
      </c>
      <c r="DG5">
        <f>BDS("PHM US Equity","SUPPLY_CHAIN_SUPPLIERS","RELATIONSHIP_AS_OF_DATE","20090408")</f>
        <v/>
      </c>
      <c r="DL5">
        <f>BDS("PHM US Equity","SUPPLY_CHAIN_CUSTOMERS","RELATIONSHIP_AS_OF_DATE","20090408")</f>
        <v/>
      </c>
      <c r="DQ5">
        <f>BDS("1436513D US Equity","SUPPLY_CHAIN_SUPPLIERS","RELATIONSHIP_AS_OF_DATE","20050824")</f>
        <v/>
      </c>
      <c r="DV5">
        <f>BDS("1436513D US Equity","SUPPLY_CHAIN_CUSTOMERS","RELATIONSHIP_AS_OF_DATE","20050824")</f>
        <v/>
      </c>
      <c r="EA5">
        <f>BDS("AAL US Equity","SUPPLY_CHAIN_SUPPLIERS","RELATIONSHIP_AS_OF_DATE","20130214")</f>
        <v/>
      </c>
      <c r="EF5">
        <f>BDS("AAL US Equity","SUPPLY_CHAIN_CUSTOMERS","RELATIONSHIP_AS_OF_DATE","20130214")</f>
        <v/>
      </c>
      <c r="EK5">
        <f>BDS("2326248D US Equity","SUPPLY_CHAIN_SUPPLIERS","RELATIONSHIP_AS_OF_DATE","19990329")</f>
        <v/>
      </c>
      <c r="EP5">
        <f>BDS("2326248D US Equity","SUPPLY_CHAIN_CUSTOMERS","RELATIONSHIP_AS_OF_DATE","19990329")</f>
        <v/>
      </c>
      <c r="EU5">
        <f>BDS("HPQ US Equity","SUPPLY_CHAIN_SUPPLIERS","RELATIONSHIP_AS_OF_DATE","20220328")</f>
        <v/>
      </c>
      <c r="EZ5">
        <f>BDS("HPQ US Equity","SUPPLY_CHAIN_CUSTOMERS","RELATIONSHIP_AS_OF_DATE","20220328")</f>
        <v/>
      </c>
      <c r="FE5">
        <f>BDS("DDS US Equity","SUPPLY_CHAIN_SUPPLIERS","RELATIONSHIP_AS_OF_DATE","19980518")</f>
        <v/>
      </c>
      <c r="FJ5">
        <f>BDS("DDS US Equity","SUPPLY_CHAIN_CUSTOMERS","RELATIONSHIP_AS_OF_DATE","19980518")</f>
        <v/>
      </c>
      <c r="FO5">
        <f>BDS("MDT US Equity","SUPPLY_CHAIN_SUPPLIERS","RELATIONSHIP_AS_OF_DATE","20010530")</f>
        <v/>
      </c>
      <c r="FT5">
        <f>BDS("MDT US Equity","SUPPLY_CHAIN_CUSTOMERS","RELATIONSHIP_AS_OF_DATE","20010530")</f>
        <v/>
      </c>
      <c r="FY5">
        <f>BDS("AVTA US Equity","SUPPLY_CHAIN_SUPPLIERS","RELATIONSHIP_AS_OF_DATE","20000726")</f>
        <v/>
      </c>
      <c r="GD5">
        <f>BDS("AVTA US Equity","SUPPLY_CHAIN_CUSTOMERS","RELATIONSHIP_AS_OF_DATE","20000726")</f>
        <v/>
      </c>
      <c r="GI5">
        <f>BDS("CAA US Equity","SUPPLY_CHAIN_SUPPLIERS","RELATIONSHIP_AS_OF_DATE","20150614")</f>
        <v/>
      </c>
      <c r="GN5">
        <f>BDS("CAA US Equity","SUPPLY_CHAIN_CUSTOMERS","RELATIONSHIP_AS_OF_DATE","20150614")</f>
        <v/>
      </c>
      <c r="GS5">
        <f>BDS("AM US Equity","SUPPLY_CHAIN_SUPPLIERS","RELATIONSHIP_AS_OF_DATE","20181009")</f>
        <v/>
      </c>
      <c r="GX5">
        <f>BDS("AM US Equity","SUPPLY_CHAIN_CUSTOMERS","RELATIONSHIP_AS_OF_DATE","20181009")</f>
        <v/>
      </c>
      <c r="HC5">
        <f>BDS("KG US Equity","SUPPLY_CHAIN_SUPPLIERS","RELATIONSHIP_AS_OF_DATE","20000713")</f>
        <v/>
      </c>
      <c r="HH5">
        <f>BDS("KG US Equity","SUPPLY_CHAIN_CUSTOMERS","RELATIONSHIP_AS_OF_DATE","20000713")</f>
        <v/>
      </c>
      <c r="HM5">
        <f>BDS("XPO US Equity","SUPPLY_CHAIN_SUPPLIERS","RELATIONSHIP_AS_OF_DATE","20150909")</f>
        <v/>
      </c>
      <c r="HR5">
        <f>BDS("XPO US Equity","SUPPLY_CHAIN_CUSTOMERS","RELATIONSHIP_AS_OF_DATE","20150909")</f>
        <v/>
      </c>
      <c r="HW5">
        <f>BDS("BX US Equity","SUPPLY_CHAIN_SUPPLIERS","RELATIONSHIP_AS_OF_DATE","20110804")</f>
        <v/>
      </c>
      <c r="IB5">
        <f>BDS("BX US Equity","SUPPLY_CHAIN_CUSTOMERS","RELATIONSHIP_AS_OF_DATE","20110804")</f>
        <v/>
      </c>
      <c r="IG5">
        <f>BDS("SKS US Equity","SUPPLY_CHAIN_SUPPLIERS","RELATIONSHIP_AS_OF_DATE","19980705")</f>
        <v/>
      </c>
      <c r="IL5">
        <f>BDS("SKS US Equity","SUPPLY_CHAIN_CUSTOMERS","RELATIONSHIP_AS_OF_DATE","19980705")</f>
        <v/>
      </c>
      <c r="IQ5">
        <f>BDS("WSC US Equity","SUPPLY_CHAIN_SUPPLIERS","RELATIONSHIP_AS_OF_DATE","20200302")</f>
        <v/>
      </c>
      <c r="IV5">
        <f>BDS("WSC US Equity","SUPPLY_CHAIN_CUSTOMERS","RELATIONSHIP_AS_OF_DATE","20200302")</f>
        <v/>
      </c>
      <c r="JA5">
        <f>BDS("TWC US Equity","SUPPLY_CHAIN_SUPPLIERS","RELATIONSHIP_AS_OF_DATE","20110815")</f>
        <v/>
      </c>
      <c r="JF5">
        <f>BDS("TWC US Equity","SUPPLY_CHAIN_CUSTOMERS","RELATIONSHIP_AS_OF_DATE","20110815")</f>
        <v/>
      </c>
      <c r="JK5">
        <f>BDS("ILPT US Equity","SUPPLY_CHAIN_SUPPLIERS","RELATIONSHIP_AS_OF_DATE","20211105")</f>
        <v/>
      </c>
      <c r="JP5">
        <f>BDS("ILPT US Equity","SUPPLY_CHAIN_CUSTOMERS","RELATIONSHIP_AS_OF_DATE","20211105")</f>
        <v/>
      </c>
      <c r="JU5">
        <f>BDS("LUMN US Equity","SUPPLY_CHAIN_SUPPLIERS","RELATIONSHIP_AS_OF_DATE","20110427")</f>
        <v/>
      </c>
      <c r="JZ5">
        <f>BDS("LUMN US Equity","SUPPLY_CHAIN_CUSTOMERS","RELATIONSHIP_AS_OF_DATE","20110427")</f>
        <v/>
      </c>
      <c r="KE5">
        <f>BDS("0544749D US Equity","SUPPLY_CHAIN_SUPPLIERS","RELATIONSHIP_AS_OF_DATE","19981015")</f>
        <v/>
      </c>
      <c r="KJ5">
        <f>BDS("0544749D US Equity","SUPPLY_CHAIN_CUSTOMERS","RELATIONSHIP_AS_OF_DATE","19981015")</f>
        <v/>
      </c>
      <c r="KO5">
        <f>BDS("HZNP US Equity","SUPPLY_CHAIN_SUPPLIERS","RELATIONSHIP_AS_OF_DATE","20210201")</f>
        <v/>
      </c>
      <c r="KT5">
        <f>BDS("HZNP US Equity","SUPPLY_CHAIN_CUSTOMERS","RELATIONSHIP_AS_OF_DATE","20210201")</f>
        <v/>
      </c>
      <c r="KY5">
        <f>BDS("1719868D US Equity","SUPPLY_CHAIN_SUPPLIERS","RELATIONSHIP_AS_OF_DATE","19980610")</f>
        <v/>
      </c>
      <c r="LD5">
        <f>BDS("1719868D US Equity","SUPPLY_CHAIN_CUSTOMERS","RELATIONSHIP_AS_OF_DATE","19980610")</f>
        <v/>
      </c>
      <c r="LI5">
        <f>BDS("IEP US Equity","SUPPLY_CHAIN_SUPPLIERS","RELATIONSHIP_AS_OF_DATE","20080703")</f>
        <v/>
      </c>
      <c r="LN5">
        <f>BDS("IEP US Equity","SUPPLY_CHAIN_CUSTOMERS","RELATIONSHIP_AS_OF_DATE","20080703")</f>
        <v/>
      </c>
      <c r="LS5">
        <f>BDS("OSK US Equity","SUPPLY_CHAIN_SUPPLIERS","RELATIONSHIP_AS_OF_DATE","20061016")</f>
        <v/>
      </c>
      <c r="LX5">
        <f>BDS("OSK US Equity","SUPPLY_CHAIN_CUSTOMERS","RELATIONSHIP_AS_OF_DATE","20061016")</f>
        <v/>
      </c>
      <c r="MC5">
        <f>BDS("1284849D US Equity","SUPPLY_CHAIN_SUPPLIERS","RELATIONSHIP_AS_OF_DATE","20051115")</f>
        <v/>
      </c>
      <c r="MH5">
        <f>BDS("1284849D US Equity","SUPPLY_CHAIN_CUSTOMERS","RELATIONSHIP_AS_OF_DATE","20051115")</f>
        <v/>
      </c>
      <c r="MM5">
        <f>BDS("1920486D US Equity","SUPPLY_CHAIN_SUPPLIERS","RELATIONSHIP_AS_OF_DATE","20050602")</f>
        <v/>
      </c>
      <c r="MR5">
        <f>BDS("1920486D US Equity","SUPPLY_CHAIN_CUSTOMERS","RELATIONSHIP_AS_OF_DATE","20050602")</f>
        <v/>
      </c>
      <c r="MW5">
        <f>BDS("ABT US Equity","SUPPLY_CHAIN_SUPPLIERS","RELATIONSHIP_AS_OF_DATE","20090112")</f>
        <v/>
      </c>
      <c r="NB5">
        <f>BDS("ABT US Equity","SUPPLY_CHAIN_CUSTOMERS","RELATIONSHIP_AS_OF_DATE","20090112")</f>
        <v/>
      </c>
      <c r="NG5">
        <f>BDS("nan Equity","SUPPLY_CHAIN_SUPPLIERS","RELATIONSHIP_AS_OF_DATE","20051109")</f>
        <v/>
      </c>
      <c r="NL5">
        <f>BDS("nan Equity","SUPPLY_CHAIN_CUSTOMERS","RELATIONSHIP_AS_OF_DATE","20051109")</f>
        <v/>
      </c>
      <c r="NQ5">
        <f>BDS("LEHMQ US Equity","SUPPLY_CHAIN_SUPPLIERS","RELATIONSHIP_AS_OF_DATE","20030722")</f>
        <v/>
      </c>
      <c r="NV5">
        <f>BDS("LEHMQ US Equity","SUPPLY_CHAIN_CUSTOMERS","RELATIONSHIP_AS_OF_DATE","20030722")</f>
        <v/>
      </c>
      <c r="OA5">
        <f>BDS("KRG US Equity","SUPPLY_CHAIN_SUPPLIERS","RELATIONSHIP_AS_OF_DATE","20210719")</f>
        <v/>
      </c>
      <c r="OF5">
        <f>BDS("KRG US Equity","SUPPLY_CHAIN_CUSTOMERS","RELATIONSHIP_AS_OF_DATE","20210719")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721</t>
        </is>
      </c>
      <c r="K1" s="1" t="inlineStr">
        <is>
          <t>Deal 722</t>
        </is>
      </c>
      <c r="U1" s="1" t="inlineStr">
        <is>
          <t>Deal 723</t>
        </is>
      </c>
      <c r="AE1" s="1" t="inlineStr">
        <is>
          <t>Deal 724</t>
        </is>
      </c>
      <c r="AO1" s="1" t="inlineStr">
        <is>
          <t>Deal 725</t>
        </is>
      </c>
      <c r="AY1" s="1" t="inlineStr">
        <is>
          <t>Deal 726</t>
        </is>
      </c>
      <c r="BI1" s="1" t="inlineStr">
        <is>
          <t>Deal 727</t>
        </is>
      </c>
      <c r="BS1" s="1" t="inlineStr">
        <is>
          <t>Deal 728</t>
        </is>
      </c>
      <c r="CC1" s="1" t="inlineStr">
        <is>
          <t>Deal 729</t>
        </is>
      </c>
      <c r="CM1" s="1" t="inlineStr">
        <is>
          <t>Deal 730</t>
        </is>
      </c>
      <c r="CW1" s="1" t="inlineStr">
        <is>
          <t>Deal 731</t>
        </is>
      </c>
      <c r="DG1" s="1" t="inlineStr">
        <is>
          <t>Deal 732</t>
        </is>
      </c>
      <c r="DQ1" s="1" t="inlineStr">
        <is>
          <t>Deal 733</t>
        </is>
      </c>
      <c r="EA1" s="1" t="inlineStr">
        <is>
          <t>Deal 734</t>
        </is>
      </c>
      <c r="EK1" s="1" t="inlineStr">
        <is>
          <t>Deal 735</t>
        </is>
      </c>
      <c r="EU1" s="1" t="inlineStr">
        <is>
          <t>Deal 736</t>
        </is>
      </c>
      <c r="FE1" s="1" t="inlineStr">
        <is>
          <t>Deal 737</t>
        </is>
      </c>
      <c r="FO1" s="1" t="inlineStr">
        <is>
          <t>Deal 738</t>
        </is>
      </c>
      <c r="FY1" s="1" t="inlineStr">
        <is>
          <t>Deal 739</t>
        </is>
      </c>
      <c r="GI1" s="1" t="inlineStr">
        <is>
          <t>Deal 740</t>
        </is>
      </c>
      <c r="GS1" s="1" t="inlineStr">
        <is>
          <t>Deal 741</t>
        </is>
      </c>
      <c r="HC1" s="1" t="inlineStr">
        <is>
          <t>Deal 742</t>
        </is>
      </c>
      <c r="HM1" s="1" t="inlineStr">
        <is>
          <t>Deal 743</t>
        </is>
      </c>
      <c r="HW1" s="1" t="inlineStr">
        <is>
          <t>Deal 744</t>
        </is>
      </c>
      <c r="IG1" s="1" t="inlineStr">
        <is>
          <t>Deal 745</t>
        </is>
      </c>
      <c r="IQ1" s="1" t="inlineStr">
        <is>
          <t>Deal 746</t>
        </is>
      </c>
      <c r="JA1" s="1" t="inlineStr">
        <is>
          <t>Deal 747</t>
        </is>
      </c>
      <c r="JK1" s="1" t="inlineStr">
        <is>
          <t>Deal 748</t>
        </is>
      </c>
      <c r="JU1" s="1" t="inlineStr">
        <is>
          <t>Deal 749</t>
        </is>
      </c>
      <c r="KE1" s="1" t="inlineStr">
        <is>
          <t>Deal 750</t>
        </is>
      </c>
      <c r="KO1" s="1" t="inlineStr">
        <is>
          <t>Deal 751</t>
        </is>
      </c>
      <c r="KY1" s="1" t="inlineStr">
        <is>
          <t>Deal 752</t>
        </is>
      </c>
      <c r="LI1" s="1" t="inlineStr">
        <is>
          <t>Deal 753</t>
        </is>
      </c>
      <c r="LS1" s="1" t="inlineStr">
        <is>
          <t>Deal 754</t>
        </is>
      </c>
      <c r="MC1" s="1" t="inlineStr">
        <is>
          <t>Deal 755</t>
        </is>
      </c>
      <c r="MM1" s="1" t="inlineStr">
        <is>
          <t>Deal 756</t>
        </is>
      </c>
      <c r="MW1" s="1" t="inlineStr">
        <is>
          <t>Deal 757</t>
        </is>
      </c>
      <c r="NG1" s="1" t="inlineStr">
        <is>
          <t>Deal 758</t>
        </is>
      </c>
      <c r="NQ1" s="1" t="inlineStr">
        <is>
          <t>Deal 759</t>
        </is>
      </c>
      <c r="OA1" s="1" t="inlineStr">
        <is>
          <t>Deal 760</t>
        </is>
      </c>
    </row>
    <row r="2">
      <c r="A2" s="2" t="inlineStr">
        <is>
          <t>CAG US Equity</t>
        </is>
      </c>
      <c r="K2" s="2" t="inlineStr">
        <is>
          <t>nan Equity</t>
        </is>
      </c>
      <c r="U2" s="2" t="inlineStr">
        <is>
          <t>HPC US Equity</t>
        </is>
      </c>
      <c r="AE2" s="2" t="inlineStr">
        <is>
          <t>CADE US Equity</t>
        </is>
      </c>
      <c r="AO2" s="2" t="inlineStr">
        <is>
          <t>PCP US Equity</t>
        </is>
      </c>
      <c r="AY2" s="2" t="inlineStr">
        <is>
          <t>GE US Equity</t>
        </is>
      </c>
      <c r="BI2" s="2" t="inlineStr">
        <is>
          <t>RUN US Equity</t>
        </is>
      </c>
      <c r="BS2" s="2" t="inlineStr">
        <is>
          <t>BMY US Equity</t>
        </is>
      </c>
      <c r="CC2" s="2" t="inlineStr">
        <is>
          <t>WEN US Equity</t>
        </is>
      </c>
      <c r="CM2" s="2" t="inlineStr">
        <is>
          <t>WMB US Equity</t>
        </is>
      </c>
      <c r="CW2" s="2" t="inlineStr">
        <is>
          <t>VALPQ US Equity</t>
        </is>
      </c>
      <c r="DG2" s="2" t="inlineStr">
        <is>
          <t>9990822D US Equity</t>
        </is>
      </c>
      <c r="DQ2" s="2" t="inlineStr">
        <is>
          <t>MDT US Equity</t>
        </is>
      </c>
      <c r="EA2" s="2" t="inlineStr">
        <is>
          <t>CVS US Equity</t>
        </is>
      </c>
      <c r="EK2" s="2" t="inlineStr">
        <is>
          <t>LRCX US Equity</t>
        </is>
      </c>
      <c r="EU2" s="2" t="inlineStr">
        <is>
          <t>GXP US Equity</t>
        </is>
      </c>
      <c r="FE2" s="2" t="inlineStr">
        <is>
          <t>CELG US Equity</t>
        </is>
      </c>
      <c r="FO2" s="2" t="inlineStr">
        <is>
          <t>PVH US Equity</t>
        </is>
      </c>
      <c r="FY2" s="2" t="inlineStr">
        <is>
          <t>ASH US Equity</t>
        </is>
      </c>
      <c r="GI2" s="2" t="inlineStr">
        <is>
          <t>T US Equity</t>
        </is>
      </c>
      <c r="GS2" s="2" t="inlineStr">
        <is>
          <t>BRK/A US Equity</t>
        </is>
      </c>
      <c r="HC2" s="2" t="inlineStr">
        <is>
          <t>DHR US Equity</t>
        </is>
      </c>
      <c r="HM2" s="2" t="inlineStr">
        <is>
          <t>O US Equity</t>
        </is>
      </c>
      <c r="HW2" s="2" t="inlineStr">
        <is>
          <t>DVN US Equity</t>
        </is>
      </c>
      <c r="IG2" s="2" t="inlineStr">
        <is>
          <t>FHN US Equity</t>
        </is>
      </c>
      <c r="IQ2" s="2" t="inlineStr">
        <is>
          <t>AM US Equity</t>
        </is>
      </c>
      <c r="JA2" s="2" t="inlineStr">
        <is>
          <t>TGNA US Equity</t>
        </is>
      </c>
      <c r="JK2" s="2" t="inlineStr">
        <is>
          <t>WFC US Equity</t>
        </is>
      </c>
      <c r="JU2" s="2" t="inlineStr">
        <is>
          <t>CRM US Equity</t>
        </is>
      </c>
      <c r="KE2" s="2" t="inlineStr">
        <is>
          <t>CVX US Equity</t>
        </is>
      </c>
      <c r="KO2" s="2" t="inlineStr">
        <is>
          <t>HSH US Equity</t>
        </is>
      </c>
      <c r="KY2" s="2" t="inlineStr">
        <is>
          <t>DAL US Equity</t>
        </is>
      </c>
      <c r="LI2" s="2" t="inlineStr">
        <is>
          <t>PROXQ US Equity</t>
        </is>
      </c>
      <c r="LS2" s="2" t="inlineStr">
        <is>
          <t>EMN US Equity</t>
        </is>
      </c>
      <c r="MC2" s="2" t="inlineStr">
        <is>
          <t>AA US Equity</t>
        </is>
      </c>
      <c r="MM2" s="2" t="inlineStr">
        <is>
          <t>CELG US Equity</t>
        </is>
      </c>
      <c r="MW2" s="2" t="inlineStr">
        <is>
          <t>PFGC US Equity</t>
        </is>
      </c>
      <c r="NG2" s="2" t="inlineStr">
        <is>
          <t>ORCL US Equity</t>
        </is>
      </c>
      <c r="NQ2" s="2" t="inlineStr">
        <is>
          <t>COR US Equity</t>
        </is>
      </c>
      <c r="OA2" s="2" t="inlineStr">
        <is>
          <t>BLDR US Equity</t>
        </is>
      </c>
    </row>
    <row r="3">
      <c r="A3" t="inlineStr">
        <is>
          <t>Ann: 2000-06-23</t>
        </is>
      </c>
      <c r="K3" t="inlineStr">
        <is>
          <t>Ann: 2004-07-21</t>
        </is>
      </c>
      <c r="U3" t="inlineStr">
        <is>
          <t>Ann: 1998-07-30</t>
        </is>
      </c>
      <c r="AE3" t="inlineStr">
        <is>
          <t>Ann: 2021-04-12</t>
        </is>
      </c>
      <c r="AO3" t="inlineStr">
        <is>
          <t>Ann: 2012-11-09</t>
        </is>
      </c>
      <c r="AY3" t="inlineStr">
        <is>
          <t>Ann: 2006-10-30</t>
        </is>
      </c>
      <c r="BI3" t="inlineStr">
        <is>
          <t>Ann: 2020-07-07</t>
        </is>
      </c>
      <c r="BS3" t="inlineStr">
        <is>
          <t>Ann: 2022-06-03</t>
        </is>
      </c>
      <c r="CC3" t="inlineStr">
        <is>
          <t>Ann: 2008-04-24</t>
        </is>
      </c>
      <c r="CM3" t="inlineStr">
        <is>
          <t>Ann: 2001-05-07</t>
        </is>
      </c>
      <c r="CW3" t="inlineStr">
        <is>
          <t>Ann: 2018-10-08</t>
        </is>
      </c>
      <c r="DG3" t="inlineStr">
        <is>
          <t>Ann: 2007-03-20</t>
        </is>
      </c>
      <c r="DQ3" t="inlineStr">
        <is>
          <t>Ann: 1998-11-02</t>
        </is>
      </c>
      <c r="EA3" t="inlineStr">
        <is>
          <t>Ann: 2008-08-12</t>
        </is>
      </c>
      <c r="EK3" t="inlineStr">
        <is>
          <t>Ann: 2011-12-14</t>
        </is>
      </c>
      <c r="EU3" t="inlineStr">
        <is>
          <t>Ann: 2007-02-07</t>
        </is>
      </c>
      <c r="FE3" t="inlineStr">
        <is>
          <t>Ann: 2007-11-19</t>
        </is>
      </c>
      <c r="FO3" t="inlineStr">
        <is>
          <t>Ann: 2012-10-31</t>
        </is>
      </c>
      <c r="FY3" t="inlineStr">
        <is>
          <t>Ann: 2008-07-11</t>
        </is>
      </c>
      <c r="GI3" t="inlineStr">
        <is>
          <t>Ann: 2008-11-07</t>
        </is>
      </c>
      <c r="GS3" t="inlineStr">
        <is>
          <t>Ann: 2000-09-06</t>
        </is>
      </c>
      <c r="HC3" t="inlineStr">
        <is>
          <t>Ann: 2007-10-15</t>
        </is>
      </c>
      <c r="HM3" t="inlineStr">
        <is>
          <t>Ann: 2012-09-06</t>
        </is>
      </c>
      <c r="HW3" t="inlineStr">
        <is>
          <t>Ann: 2000-05-26</t>
        </is>
      </c>
      <c r="IG3" t="inlineStr">
        <is>
          <t>Ann: 2017-05-04</t>
        </is>
      </c>
      <c r="IQ3" t="inlineStr">
        <is>
          <t>Ann: 2018-10-09</t>
        </is>
      </c>
      <c r="JA3" t="inlineStr">
        <is>
          <t>Ann: 2000-06-28</t>
        </is>
      </c>
      <c r="JK3" t="inlineStr">
        <is>
          <t>Ann: 2000-04-10</t>
        </is>
      </c>
      <c r="JU3" t="inlineStr">
        <is>
          <t>Ann: 2016-06-01</t>
        </is>
      </c>
      <c r="KE3" t="inlineStr">
        <is>
          <t>Ann: 2022-02-28</t>
        </is>
      </c>
      <c r="KO3" t="inlineStr">
        <is>
          <t>Ann: 2001-07-02</t>
        </is>
      </c>
      <c r="KY3" t="inlineStr">
        <is>
          <t>Ann: 2008-04-14</t>
        </is>
      </c>
      <c r="LI3" t="inlineStr">
        <is>
          <t>Ann: 2002-01-16</t>
        </is>
      </c>
      <c r="LS3" t="inlineStr">
        <is>
          <t>Ann: 2014-09-11</t>
        </is>
      </c>
      <c r="MC3" t="inlineStr">
        <is>
          <t>Ann: 2000-03-14</t>
        </is>
      </c>
      <c r="MM3" t="inlineStr">
        <is>
          <t>Ann: 2010-06-30</t>
        </is>
      </c>
      <c r="MW3" t="inlineStr">
        <is>
          <t>Ann: 2021-05-18</t>
        </is>
      </c>
      <c r="NG3" t="inlineStr">
        <is>
          <t>Ann: 2007-03-01</t>
        </is>
      </c>
      <c r="NQ3" t="inlineStr">
        <is>
          <t>Ann: 2015-10-06</t>
        </is>
      </c>
      <c r="OA3" t="inlineStr">
        <is>
          <t>Ann: 2020-08-27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BDS("CAG US Equity","SUPPLY_CHAIN_SUPPLIERS","RELATIONSHIP_AS_OF_DATE","20000623")</f>
        <v/>
      </c>
      <c r="F5">
        <f>BDS("CAG US Equity","SUPPLY_CHAIN_CUSTOMERS","RELATIONSHIP_AS_OF_DATE","20000623")</f>
        <v/>
      </c>
      <c r="K5">
        <f>BDS("nan Equity","SUPPLY_CHAIN_SUPPLIERS","RELATIONSHIP_AS_OF_DATE","20040721")</f>
        <v/>
      </c>
      <c r="P5">
        <f>BDS("nan Equity","SUPPLY_CHAIN_CUSTOMERS","RELATIONSHIP_AS_OF_DATE","20040721")</f>
        <v/>
      </c>
      <c r="U5">
        <f>BDS("HPC US Equity","SUPPLY_CHAIN_SUPPLIERS","RELATIONSHIP_AS_OF_DATE","19980730")</f>
        <v/>
      </c>
      <c r="Z5">
        <f>BDS("HPC US Equity","SUPPLY_CHAIN_CUSTOMERS","RELATIONSHIP_AS_OF_DATE","19980730")</f>
        <v/>
      </c>
      <c r="AE5">
        <f>BDS("CADE US Equity","SUPPLY_CHAIN_SUPPLIERS","RELATIONSHIP_AS_OF_DATE","20210412")</f>
        <v/>
      </c>
      <c r="AJ5">
        <f>BDS("CADE US Equity","SUPPLY_CHAIN_CUSTOMERS","RELATIONSHIP_AS_OF_DATE","20210412")</f>
        <v/>
      </c>
      <c r="AO5">
        <f>BDS("PCP US Equity","SUPPLY_CHAIN_SUPPLIERS","RELATIONSHIP_AS_OF_DATE","20121109")</f>
        <v/>
      </c>
      <c r="AT5">
        <f>BDS("PCP US Equity","SUPPLY_CHAIN_CUSTOMERS","RELATIONSHIP_AS_OF_DATE","20121109")</f>
        <v/>
      </c>
      <c r="AY5">
        <f>BDS("GE US Equity","SUPPLY_CHAIN_SUPPLIERS","RELATIONSHIP_AS_OF_DATE","20061030")</f>
        <v/>
      </c>
      <c r="BD5">
        <f>BDS("GE US Equity","SUPPLY_CHAIN_CUSTOMERS","RELATIONSHIP_AS_OF_DATE","20061030")</f>
        <v/>
      </c>
      <c r="BI5">
        <f>BDS("RUN US Equity","SUPPLY_CHAIN_SUPPLIERS","RELATIONSHIP_AS_OF_DATE","20200707")</f>
        <v/>
      </c>
      <c r="BN5">
        <f>BDS("RUN US Equity","SUPPLY_CHAIN_CUSTOMERS","RELATIONSHIP_AS_OF_DATE","20200707")</f>
        <v/>
      </c>
      <c r="BS5">
        <f>BDS("BMY US Equity","SUPPLY_CHAIN_SUPPLIERS","RELATIONSHIP_AS_OF_DATE","20220603")</f>
        <v/>
      </c>
      <c r="BX5">
        <f>BDS("BMY US Equity","SUPPLY_CHAIN_CUSTOMERS","RELATIONSHIP_AS_OF_DATE","20220603")</f>
        <v/>
      </c>
      <c r="CC5">
        <f>BDS("WEN US Equity","SUPPLY_CHAIN_SUPPLIERS","RELATIONSHIP_AS_OF_DATE","20080424")</f>
        <v/>
      </c>
      <c r="CH5">
        <f>BDS("WEN US Equity","SUPPLY_CHAIN_CUSTOMERS","RELATIONSHIP_AS_OF_DATE","20080424")</f>
        <v/>
      </c>
      <c r="CM5">
        <f>BDS("WMB US Equity","SUPPLY_CHAIN_SUPPLIERS","RELATIONSHIP_AS_OF_DATE","20010507")</f>
        <v/>
      </c>
      <c r="CR5">
        <f>BDS("WMB US Equity","SUPPLY_CHAIN_CUSTOMERS","RELATIONSHIP_AS_OF_DATE","20010507")</f>
        <v/>
      </c>
      <c r="CW5">
        <f>BDS("VALPQ US Equity","SUPPLY_CHAIN_SUPPLIERS","RELATIONSHIP_AS_OF_DATE","20181008")</f>
        <v/>
      </c>
      <c r="DB5">
        <f>BDS("VALPQ US Equity","SUPPLY_CHAIN_CUSTOMERS","RELATIONSHIP_AS_OF_DATE","20181008")</f>
        <v/>
      </c>
      <c r="DG5">
        <f>BDS("9990822D US Equity","SUPPLY_CHAIN_SUPPLIERS","RELATIONSHIP_AS_OF_DATE","20070320")</f>
        <v/>
      </c>
      <c r="DL5">
        <f>BDS("9990822D US Equity","SUPPLY_CHAIN_CUSTOMERS","RELATIONSHIP_AS_OF_DATE","20070320")</f>
        <v/>
      </c>
      <c r="DQ5">
        <f>BDS("MDT US Equity","SUPPLY_CHAIN_SUPPLIERS","RELATIONSHIP_AS_OF_DATE","19981102")</f>
        <v/>
      </c>
      <c r="DV5">
        <f>BDS("MDT US Equity","SUPPLY_CHAIN_CUSTOMERS","RELATIONSHIP_AS_OF_DATE","19981102")</f>
        <v/>
      </c>
      <c r="EA5">
        <f>BDS("CVS US Equity","SUPPLY_CHAIN_SUPPLIERS","RELATIONSHIP_AS_OF_DATE","20080812")</f>
        <v/>
      </c>
      <c r="EF5">
        <f>BDS("CVS US Equity","SUPPLY_CHAIN_CUSTOMERS","RELATIONSHIP_AS_OF_DATE","20080812")</f>
        <v/>
      </c>
      <c r="EK5">
        <f>BDS("LRCX US Equity","SUPPLY_CHAIN_SUPPLIERS","RELATIONSHIP_AS_OF_DATE","20111214")</f>
        <v/>
      </c>
      <c r="EP5">
        <f>BDS("LRCX US Equity","SUPPLY_CHAIN_CUSTOMERS","RELATIONSHIP_AS_OF_DATE","20111214")</f>
        <v/>
      </c>
      <c r="EU5">
        <f>BDS("GXP US Equity","SUPPLY_CHAIN_SUPPLIERS","RELATIONSHIP_AS_OF_DATE","20070207")</f>
        <v/>
      </c>
      <c r="EZ5">
        <f>BDS("GXP US Equity","SUPPLY_CHAIN_CUSTOMERS","RELATIONSHIP_AS_OF_DATE","20070207")</f>
        <v/>
      </c>
      <c r="FE5">
        <f>BDS("CELG US Equity","SUPPLY_CHAIN_SUPPLIERS","RELATIONSHIP_AS_OF_DATE","20071119")</f>
        <v/>
      </c>
      <c r="FJ5">
        <f>BDS("CELG US Equity","SUPPLY_CHAIN_CUSTOMERS","RELATIONSHIP_AS_OF_DATE","20071119")</f>
        <v/>
      </c>
      <c r="FO5">
        <f>BDS("PVH US Equity","SUPPLY_CHAIN_SUPPLIERS","RELATIONSHIP_AS_OF_DATE","20121031")</f>
        <v/>
      </c>
      <c r="FT5">
        <f>BDS("PVH US Equity","SUPPLY_CHAIN_CUSTOMERS","RELATIONSHIP_AS_OF_DATE","20121031")</f>
        <v/>
      </c>
      <c r="FY5">
        <f>BDS("ASH US Equity","SUPPLY_CHAIN_SUPPLIERS","RELATIONSHIP_AS_OF_DATE","20080711")</f>
        <v/>
      </c>
      <c r="GD5">
        <f>BDS("ASH US Equity","SUPPLY_CHAIN_CUSTOMERS","RELATIONSHIP_AS_OF_DATE","20080711")</f>
        <v/>
      </c>
      <c r="GI5">
        <f>BDS("T US Equity","SUPPLY_CHAIN_SUPPLIERS","RELATIONSHIP_AS_OF_DATE","20081107")</f>
        <v/>
      </c>
      <c r="GN5">
        <f>BDS("T US Equity","SUPPLY_CHAIN_CUSTOMERS","RELATIONSHIP_AS_OF_DATE","20081107")</f>
        <v/>
      </c>
      <c r="GS5">
        <f>BDS("BRK/A US Equity","SUPPLY_CHAIN_SUPPLIERS","RELATIONSHIP_AS_OF_DATE","20000906")</f>
        <v/>
      </c>
      <c r="GX5">
        <f>BDS("BRK/A US Equity","SUPPLY_CHAIN_CUSTOMERS","RELATIONSHIP_AS_OF_DATE","20000906")</f>
        <v/>
      </c>
      <c r="HC5">
        <f>BDS("DHR US Equity","SUPPLY_CHAIN_SUPPLIERS","RELATIONSHIP_AS_OF_DATE","20071015")</f>
        <v/>
      </c>
      <c r="HH5">
        <f>BDS("DHR US Equity","SUPPLY_CHAIN_CUSTOMERS","RELATIONSHIP_AS_OF_DATE","20071015")</f>
        <v/>
      </c>
      <c r="HM5">
        <f>BDS("O US Equity","SUPPLY_CHAIN_SUPPLIERS","RELATIONSHIP_AS_OF_DATE","20120906")</f>
        <v/>
      </c>
      <c r="HR5">
        <f>BDS("O US Equity","SUPPLY_CHAIN_CUSTOMERS","RELATIONSHIP_AS_OF_DATE","20120906")</f>
        <v/>
      </c>
      <c r="HW5">
        <f>BDS("DVN US Equity","SUPPLY_CHAIN_SUPPLIERS","RELATIONSHIP_AS_OF_DATE","20000526")</f>
        <v/>
      </c>
      <c r="IB5">
        <f>BDS("DVN US Equity","SUPPLY_CHAIN_CUSTOMERS","RELATIONSHIP_AS_OF_DATE","20000526")</f>
        <v/>
      </c>
      <c r="IG5">
        <f>BDS("FHN US Equity","SUPPLY_CHAIN_SUPPLIERS","RELATIONSHIP_AS_OF_DATE","20170504")</f>
        <v/>
      </c>
      <c r="IL5">
        <f>BDS("FHN US Equity","SUPPLY_CHAIN_CUSTOMERS","RELATIONSHIP_AS_OF_DATE","20170504")</f>
        <v/>
      </c>
      <c r="IQ5">
        <f>BDS("AM US Equity","SUPPLY_CHAIN_SUPPLIERS","RELATIONSHIP_AS_OF_DATE","20181009")</f>
        <v/>
      </c>
      <c r="IV5">
        <f>BDS("AM US Equity","SUPPLY_CHAIN_CUSTOMERS","RELATIONSHIP_AS_OF_DATE","20181009")</f>
        <v/>
      </c>
      <c r="JA5">
        <f>BDS("TGNA US Equity","SUPPLY_CHAIN_SUPPLIERS","RELATIONSHIP_AS_OF_DATE","20000628")</f>
        <v/>
      </c>
      <c r="JF5">
        <f>BDS("TGNA US Equity","SUPPLY_CHAIN_CUSTOMERS","RELATIONSHIP_AS_OF_DATE","20000628")</f>
        <v/>
      </c>
      <c r="JK5">
        <f>BDS("WFC US Equity","SUPPLY_CHAIN_SUPPLIERS","RELATIONSHIP_AS_OF_DATE","20000410")</f>
        <v/>
      </c>
      <c r="JP5">
        <f>BDS("WFC US Equity","SUPPLY_CHAIN_CUSTOMERS","RELATIONSHIP_AS_OF_DATE","20000410")</f>
        <v/>
      </c>
      <c r="JU5">
        <f>BDS("CRM US Equity","SUPPLY_CHAIN_SUPPLIERS","RELATIONSHIP_AS_OF_DATE","20160601")</f>
        <v/>
      </c>
      <c r="JZ5">
        <f>BDS("CRM US Equity","SUPPLY_CHAIN_CUSTOMERS","RELATIONSHIP_AS_OF_DATE","20160601")</f>
        <v/>
      </c>
      <c r="KE5">
        <f>BDS("CVX US Equity","SUPPLY_CHAIN_SUPPLIERS","RELATIONSHIP_AS_OF_DATE","20220228")</f>
        <v/>
      </c>
      <c r="KJ5">
        <f>BDS("CVX US Equity","SUPPLY_CHAIN_CUSTOMERS","RELATIONSHIP_AS_OF_DATE","20220228")</f>
        <v/>
      </c>
      <c r="KO5">
        <f>BDS("HSH US Equity","SUPPLY_CHAIN_SUPPLIERS","RELATIONSHIP_AS_OF_DATE","20010702")</f>
        <v/>
      </c>
      <c r="KT5">
        <f>BDS("HSH US Equity","SUPPLY_CHAIN_CUSTOMERS","RELATIONSHIP_AS_OF_DATE","20010702")</f>
        <v/>
      </c>
      <c r="KY5">
        <f>BDS("DAL US Equity","SUPPLY_CHAIN_SUPPLIERS","RELATIONSHIP_AS_OF_DATE","20080414")</f>
        <v/>
      </c>
      <c r="LD5">
        <f>BDS("DAL US Equity","SUPPLY_CHAIN_CUSTOMERS","RELATIONSHIP_AS_OF_DATE","20080414")</f>
        <v/>
      </c>
      <c r="LI5">
        <f>BDS("PROXQ US Equity","SUPPLY_CHAIN_SUPPLIERS","RELATIONSHIP_AS_OF_DATE","20020116")</f>
        <v/>
      </c>
      <c r="LN5">
        <f>BDS("PROXQ US Equity","SUPPLY_CHAIN_CUSTOMERS","RELATIONSHIP_AS_OF_DATE","20020116")</f>
        <v/>
      </c>
      <c r="LS5">
        <f>BDS("EMN US Equity","SUPPLY_CHAIN_SUPPLIERS","RELATIONSHIP_AS_OF_DATE","20140911")</f>
        <v/>
      </c>
      <c r="LX5">
        <f>BDS("EMN US Equity","SUPPLY_CHAIN_CUSTOMERS","RELATIONSHIP_AS_OF_DATE","20140911")</f>
        <v/>
      </c>
      <c r="MC5">
        <f>BDS("AA US Equity","SUPPLY_CHAIN_SUPPLIERS","RELATIONSHIP_AS_OF_DATE","20000314")</f>
        <v/>
      </c>
      <c r="MH5">
        <f>BDS("AA US Equity","SUPPLY_CHAIN_CUSTOMERS","RELATIONSHIP_AS_OF_DATE","20000314")</f>
        <v/>
      </c>
      <c r="MM5">
        <f>BDS("CELG US Equity","SUPPLY_CHAIN_SUPPLIERS","RELATIONSHIP_AS_OF_DATE","20100630")</f>
        <v/>
      </c>
      <c r="MR5">
        <f>BDS("CELG US Equity","SUPPLY_CHAIN_CUSTOMERS","RELATIONSHIP_AS_OF_DATE","20100630")</f>
        <v/>
      </c>
      <c r="MW5">
        <f>BDS("PFGC US Equity","SUPPLY_CHAIN_SUPPLIERS","RELATIONSHIP_AS_OF_DATE","20210518")</f>
        <v/>
      </c>
      <c r="NB5">
        <f>BDS("PFGC US Equity","SUPPLY_CHAIN_CUSTOMERS","RELATIONSHIP_AS_OF_DATE","20210518")</f>
        <v/>
      </c>
      <c r="NG5">
        <f>BDS("ORCL US Equity","SUPPLY_CHAIN_SUPPLIERS","RELATIONSHIP_AS_OF_DATE","20070301")</f>
        <v/>
      </c>
      <c r="NL5">
        <f>BDS("ORCL US Equity","SUPPLY_CHAIN_CUSTOMERS","RELATIONSHIP_AS_OF_DATE","20070301")</f>
        <v/>
      </c>
      <c r="NQ5">
        <f>BDS("COR US Equity","SUPPLY_CHAIN_SUPPLIERS","RELATIONSHIP_AS_OF_DATE","20151006")</f>
        <v/>
      </c>
      <c r="NV5">
        <f>BDS("COR US Equity","SUPPLY_CHAIN_CUSTOMERS","RELATIONSHIP_AS_OF_DATE","20151006")</f>
        <v/>
      </c>
      <c r="OA5">
        <f>BDS("BLDR US Equity","SUPPLY_CHAIN_SUPPLIERS","RELATIONSHIP_AS_OF_DATE","20200827")</f>
        <v/>
      </c>
      <c r="OF5">
        <f>BDS("BLDR US Equity","SUPPLY_CHAIN_CUSTOMERS","RELATIONSHIP_AS_OF_DATE","20200827")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761</t>
        </is>
      </c>
      <c r="K1" s="1" t="inlineStr">
        <is>
          <t>Deal 762</t>
        </is>
      </c>
      <c r="U1" s="1" t="inlineStr">
        <is>
          <t>Deal 763</t>
        </is>
      </c>
      <c r="AE1" s="1" t="inlineStr">
        <is>
          <t>Deal 764</t>
        </is>
      </c>
      <c r="AO1" s="1" t="inlineStr">
        <is>
          <t>Deal 765</t>
        </is>
      </c>
      <c r="AY1" s="1" t="inlineStr">
        <is>
          <t>Deal 766</t>
        </is>
      </c>
      <c r="BI1" s="1" t="inlineStr">
        <is>
          <t>Deal 767</t>
        </is>
      </c>
      <c r="BS1" s="1" t="inlineStr">
        <is>
          <t>Deal 768</t>
        </is>
      </c>
      <c r="CC1" s="1" t="inlineStr">
        <is>
          <t>Deal 769</t>
        </is>
      </c>
      <c r="CM1" s="1" t="inlineStr">
        <is>
          <t>Deal 770</t>
        </is>
      </c>
      <c r="CW1" s="1" t="inlineStr">
        <is>
          <t>Deal 771</t>
        </is>
      </c>
      <c r="DG1" s="1" t="inlineStr">
        <is>
          <t>Deal 772</t>
        </is>
      </c>
      <c r="DQ1" s="1" t="inlineStr">
        <is>
          <t>Deal 773</t>
        </is>
      </c>
      <c r="EA1" s="1" t="inlineStr">
        <is>
          <t>Deal 774</t>
        </is>
      </c>
      <c r="EK1" s="1" t="inlineStr">
        <is>
          <t>Deal 775</t>
        </is>
      </c>
      <c r="EU1" s="1" t="inlineStr">
        <is>
          <t>Deal 776</t>
        </is>
      </c>
      <c r="FE1" s="1" t="inlineStr">
        <is>
          <t>Deal 777</t>
        </is>
      </c>
      <c r="FO1" s="1" t="inlineStr">
        <is>
          <t>Deal 778</t>
        </is>
      </c>
      <c r="FY1" s="1" t="inlineStr">
        <is>
          <t>Deal 779</t>
        </is>
      </c>
      <c r="GI1" s="1" t="inlineStr">
        <is>
          <t>Deal 780</t>
        </is>
      </c>
      <c r="GS1" s="1" t="inlineStr">
        <is>
          <t>Deal 781</t>
        </is>
      </c>
      <c r="HC1" s="1" t="inlineStr">
        <is>
          <t>Deal 782</t>
        </is>
      </c>
      <c r="HM1" s="1" t="inlineStr">
        <is>
          <t>Deal 783</t>
        </is>
      </c>
      <c r="HW1" s="1" t="inlineStr">
        <is>
          <t>Deal 784</t>
        </is>
      </c>
      <c r="IG1" s="1" t="inlineStr">
        <is>
          <t>Deal 785</t>
        </is>
      </c>
      <c r="IQ1" s="1" t="inlineStr">
        <is>
          <t>Deal 786</t>
        </is>
      </c>
      <c r="JA1" s="1" t="inlineStr">
        <is>
          <t>Deal 787</t>
        </is>
      </c>
      <c r="JK1" s="1" t="inlineStr">
        <is>
          <t>Deal 788</t>
        </is>
      </c>
      <c r="JU1" s="1" t="inlineStr">
        <is>
          <t>Deal 789</t>
        </is>
      </c>
      <c r="KE1" s="1" t="inlineStr">
        <is>
          <t>Deal 790</t>
        </is>
      </c>
      <c r="KO1" s="1" t="inlineStr">
        <is>
          <t>Deal 791</t>
        </is>
      </c>
      <c r="KY1" s="1" t="inlineStr">
        <is>
          <t>Deal 792</t>
        </is>
      </c>
      <c r="LI1" s="1" t="inlineStr">
        <is>
          <t>Deal 793</t>
        </is>
      </c>
      <c r="LS1" s="1" t="inlineStr">
        <is>
          <t>Deal 794</t>
        </is>
      </c>
      <c r="MC1" s="1" t="inlineStr">
        <is>
          <t>Deal 795</t>
        </is>
      </c>
      <c r="MM1" s="1" t="inlineStr">
        <is>
          <t>Deal 796</t>
        </is>
      </c>
      <c r="MW1" s="1" t="inlineStr">
        <is>
          <t>Deal 797</t>
        </is>
      </c>
      <c r="NG1" s="1" t="inlineStr">
        <is>
          <t>Deal 798</t>
        </is>
      </c>
      <c r="NQ1" s="1" t="inlineStr">
        <is>
          <t>Deal 799</t>
        </is>
      </c>
      <c r="OA1" s="1" t="inlineStr">
        <is>
          <t>Deal 800</t>
        </is>
      </c>
    </row>
    <row r="2">
      <c r="A2" s="2" t="inlineStr">
        <is>
          <t>SNV US Equity</t>
        </is>
      </c>
      <c r="K2" s="2" t="inlineStr">
        <is>
          <t>9876567D US Equity</t>
        </is>
      </c>
      <c r="U2" s="2" t="inlineStr">
        <is>
          <t>HPQ US Equity</t>
        </is>
      </c>
      <c r="AE2" s="2" t="inlineStr">
        <is>
          <t>ENDPQ US Equity</t>
        </is>
      </c>
      <c r="AO2" s="2" t="inlineStr">
        <is>
          <t>CG US Equity</t>
        </is>
      </c>
      <c r="AY2" s="2" t="inlineStr">
        <is>
          <t>nan Equity</t>
        </is>
      </c>
      <c r="BI2" s="2" t="inlineStr">
        <is>
          <t>nan Equity</t>
        </is>
      </c>
      <c r="BS2" s="2" t="inlineStr">
        <is>
          <t>3867693Z US Equity</t>
        </is>
      </c>
      <c r="CC2" s="2" t="inlineStr">
        <is>
          <t>JEF US Equity</t>
        </is>
      </c>
      <c r="CM2" s="2" t="inlineStr">
        <is>
          <t>OVV US Equity</t>
        </is>
      </c>
      <c r="CW2" s="2" t="inlineStr">
        <is>
          <t>COHR US Equity</t>
        </is>
      </c>
      <c r="DG2" s="2" t="inlineStr">
        <is>
          <t>CSCO US Equity</t>
        </is>
      </c>
      <c r="DQ2" s="2" t="inlineStr">
        <is>
          <t>EXDSQ US Equity</t>
        </is>
      </c>
      <c r="EA2" s="2" t="inlineStr">
        <is>
          <t>FLG US Equity</t>
        </is>
      </c>
      <c r="EK2" s="2" t="inlineStr">
        <is>
          <t>MLM US Equity</t>
        </is>
      </c>
      <c r="EU2" s="2" t="inlineStr">
        <is>
          <t>1074528D US Equity</t>
        </is>
      </c>
      <c r="FE2" s="2" t="inlineStr">
        <is>
          <t>1927294D US Equity</t>
        </is>
      </c>
      <c r="FO2" s="2" t="inlineStr">
        <is>
          <t>HFC US Equity</t>
        </is>
      </c>
      <c r="FY2" s="2" t="inlineStr">
        <is>
          <t>9990822D US Equity</t>
        </is>
      </c>
      <c r="GI2" s="2" t="inlineStr">
        <is>
          <t>GT US Equity</t>
        </is>
      </c>
      <c r="GS2" s="2" t="inlineStr">
        <is>
          <t>nan Equity</t>
        </is>
      </c>
      <c r="HC2" s="2" t="inlineStr">
        <is>
          <t>UNH US Equity</t>
        </is>
      </c>
      <c r="HM2" s="2" t="inlineStr">
        <is>
          <t>SSNC US Equity</t>
        </is>
      </c>
      <c r="HW2" s="2" t="inlineStr">
        <is>
          <t>NOC US Equity</t>
        </is>
      </c>
      <c r="IG2" s="2" t="inlineStr">
        <is>
          <t>355488Q US Equity</t>
        </is>
      </c>
      <c r="IQ2" s="2" t="inlineStr">
        <is>
          <t>FCX US Equity</t>
        </is>
      </c>
      <c r="JA2" s="2" t="inlineStr">
        <is>
          <t>nan Equity</t>
        </is>
      </c>
      <c r="JK2" s="2" t="inlineStr">
        <is>
          <t>URS US Equity</t>
        </is>
      </c>
      <c r="JU2" s="2" t="inlineStr">
        <is>
          <t>OEI US Equity</t>
        </is>
      </c>
      <c r="KE2" s="2" t="inlineStr">
        <is>
          <t>NCC US Equity</t>
        </is>
      </c>
      <c r="KO2" s="2" t="inlineStr">
        <is>
          <t>PK US Equity</t>
        </is>
      </c>
      <c r="KY2" s="2" t="inlineStr">
        <is>
          <t>ANDX US Equity</t>
        </is>
      </c>
      <c r="LI2" s="2" t="inlineStr">
        <is>
          <t>TEG US Equity</t>
        </is>
      </c>
      <c r="LS2" s="2" t="inlineStr">
        <is>
          <t>9210611D US Equity</t>
        </is>
      </c>
      <c r="MC2" s="2" t="inlineStr">
        <is>
          <t>HC US Equity</t>
        </is>
      </c>
      <c r="MM2" s="2" t="inlineStr">
        <is>
          <t>COR US Equity</t>
        </is>
      </c>
      <c r="MW2" s="2" t="inlineStr">
        <is>
          <t>MDP US Equity</t>
        </is>
      </c>
      <c r="NG2" s="2" t="inlineStr">
        <is>
          <t>HPQ US Equity</t>
        </is>
      </c>
      <c r="NQ2" s="2" t="inlineStr">
        <is>
          <t>9995522D US Equity</t>
        </is>
      </c>
      <c r="OA2" s="2" t="inlineStr">
        <is>
          <t>ONB US Equity</t>
        </is>
      </c>
    </row>
    <row r="3">
      <c r="A3" t="inlineStr">
        <is>
          <t>Ann: 2018-07-24</t>
        </is>
      </c>
      <c r="K3" t="inlineStr">
        <is>
          <t>Ann: 2012-12-21</t>
        </is>
      </c>
      <c r="U3" t="inlineStr">
        <is>
          <t>Ann: 2009-11-11</t>
        </is>
      </c>
      <c r="AE3" t="inlineStr">
        <is>
          <t>Ann: 2011-04-11</t>
        </is>
      </c>
      <c r="AO3" t="inlineStr">
        <is>
          <t>Ann: 2007-07-09</t>
        </is>
      </c>
      <c r="AY3" t="inlineStr">
        <is>
          <t>Ann: 2005-08-15</t>
        </is>
      </c>
      <c r="BI3" t="inlineStr">
        <is>
          <t>Ann: 1998-07-02</t>
        </is>
      </c>
      <c r="BS3" t="inlineStr">
        <is>
          <t>Ann: 2007-05-08</t>
        </is>
      </c>
      <c r="CC3" t="inlineStr">
        <is>
          <t>Ann: 2012-11-12</t>
        </is>
      </c>
      <c r="CM3" t="inlineStr">
        <is>
          <t>Ann: 2004-04-15</t>
        </is>
      </c>
      <c r="CW3" t="inlineStr">
        <is>
          <t>Ann: 2018-11-09</t>
        </is>
      </c>
      <c r="DG3" t="inlineStr">
        <is>
          <t>Ann: 2007-03-15</t>
        </is>
      </c>
      <c r="DQ3" t="inlineStr">
        <is>
          <t>Ann: 2000-09-28</t>
        </is>
      </c>
      <c r="EA3" t="inlineStr">
        <is>
          <t>Ann: 2021-04-26</t>
        </is>
      </c>
      <c r="EK3" t="inlineStr">
        <is>
          <t>Ann: 2014-01-28</t>
        </is>
      </c>
      <c r="EU3" t="inlineStr">
        <is>
          <t>Ann: 2007-06-27</t>
        </is>
      </c>
      <c r="FE3" t="inlineStr">
        <is>
          <t>Ann: 2005-06-03</t>
        </is>
      </c>
      <c r="FO3" t="inlineStr">
        <is>
          <t>Ann: 2011-02-22</t>
        </is>
      </c>
      <c r="FY3" t="inlineStr">
        <is>
          <t>Ann: 2019-06-10</t>
        </is>
      </c>
      <c r="GI3" t="inlineStr">
        <is>
          <t>Ann: 2021-02-22</t>
        </is>
      </c>
      <c r="GS3" t="inlineStr">
        <is>
          <t>Ann: 2006-07-05</t>
        </is>
      </c>
      <c r="HC3" t="inlineStr">
        <is>
          <t>Ann: 2017-08-29</t>
        </is>
      </c>
      <c r="HM3" t="inlineStr">
        <is>
          <t>Ann: 2015-02-02</t>
        </is>
      </c>
      <c r="HW3" t="inlineStr">
        <is>
          <t>Ann: 2001-11-08</t>
        </is>
      </c>
      <c r="IG3" t="inlineStr">
        <is>
          <t>Ann: 1998-02-09</t>
        </is>
      </c>
      <c r="IQ3" t="inlineStr">
        <is>
          <t>Ann: 2012-12-05</t>
        </is>
      </c>
      <c r="JA3" t="inlineStr">
        <is>
          <t>Ann: 2010-10-28</t>
        </is>
      </c>
      <c r="JK3" t="inlineStr">
        <is>
          <t>Ann: 2007-05-28</t>
        </is>
      </c>
      <c r="JU3" t="inlineStr">
        <is>
          <t>Ann: 1998-11-25</t>
        </is>
      </c>
      <c r="KE3" t="inlineStr">
        <is>
          <t>Ann: 2007-05-01</t>
        </is>
      </c>
      <c r="KO3" t="inlineStr">
        <is>
          <t>Ann: 2019-05-06</t>
        </is>
      </c>
      <c r="KY3" t="inlineStr">
        <is>
          <t>Ann: 2017-07-21</t>
        </is>
      </c>
      <c r="LI3" t="inlineStr">
        <is>
          <t>Ann: 2006-07-10</t>
        </is>
      </c>
      <c r="LS3" t="inlineStr">
        <is>
          <t>Ann: 2018-09-24</t>
        </is>
      </c>
      <c r="MC3" t="inlineStr">
        <is>
          <t>Ann: 2007-02-05</t>
        </is>
      </c>
      <c r="MM3" t="inlineStr">
        <is>
          <t>Ann: 2015-01-12</t>
        </is>
      </c>
      <c r="MW3" t="inlineStr">
        <is>
          <t>Ann: 2017-11-27</t>
        </is>
      </c>
      <c r="NG3" t="inlineStr">
        <is>
          <t>Ann: 2015-03-02</t>
        </is>
      </c>
      <c r="NQ3" t="inlineStr">
        <is>
          <t>Ann: 1998-05-18</t>
        </is>
      </c>
      <c r="OA3" t="inlineStr">
        <is>
          <t>Ann: 2021-06-01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BDS("SNV US Equity","SUPPLY_CHAIN_SUPPLIERS","RELATIONSHIP_AS_OF_DATE","20180724")</f>
        <v/>
      </c>
      <c r="F5">
        <f>BDS("SNV US Equity","SUPPLY_CHAIN_CUSTOMERS","RELATIONSHIP_AS_OF_DATE","20180724")</f>
        <v/>
      </c>
      <c r="K5">
        <f>BDS("9876567D US Equity","SUPPLY_CHAIN_SUPPLIERS","RELATIONSHIP_AS_OF_DATE","20121221")</f>
        <v/>
      </c>
      <c r="P5">
        <f>BDS("9876567D US Equity","SUPPLY_CHAIN_CUSTOMERS","RELATIONSHIP_AS_OF_DATE","20121221")</f>
        <v/>
      </c>
      <c r="U5">
        <f>BDS("HPQ US Equity","SUPPLY_CHAIN_SUPPLIERS","RELATIONSHIP_AS_OF_DATE","20091111")</f>
        <v/>
      </c>
      <c r="Z5">
        <f>BDS("HPQ US Equity","SUPPLY_CHAIN_CUSTOMERS","RELATIONSHIP_AS_OF_DATE","20091111")</f>
        <v/>
      </c>
      <c r="AE5">
        <f>BDS("ENDPQ US Equity","SUPPLY_CHAIN_SUPPLIERS","RELATIONSHIP_AS_OF_DATE","20110411")</f>
        <v/>
      </c>
      <c r="AJ5">
        <f>BDS("ENDPQ US Equity","SUPPLY_CHAIN_CUSTOMERS","RELATIONSHIP_AS_OF_DATE","20110411")</f>
        <v/>
      </c>
      <c r="AO5">
        <f>BDS("CG US Equity","SUPPLY_CHAIN_SUPPLIERS","RELATIONSHIP_AS_OF_DATE","20070709")</f>
        <v/>
      </c>
      <c r="AT5">
        <f>BDS("CG US Equity","SUPPLY_CHAIN_CUSTOMERS","RELATIONSHIP_AS_OF_DATE","20070709")</f>
        <v/>
      </c>
      <c r="AY5">
        <f>BDS("nan Equity","SUPPLY_CHAIN_SUPPLIERS","RELATIONSHIP_AS_OF_DATE","20050815")</f>
        <v/>
      </c>
      <c r="BD5">
        <f>BDS("nan Equity","SUPPLY_CHAIN_CUSTOMERS","RELATIONSHIP_AS_OF_DATE","20050815")</f>
        <v/>
      </c>
      <c r="BI5">
        <f>BDS("nan Equity","SUPPLY_CHAIN_SUPPLIERS","RELATIONSHIP_AS_OF_DATE","19980702")</f>
        <v/>
      </c>
      <c r="BN5">
        <f>BDS("nan Equity","SUPPLY_CHAIN_CUSTOMERS","RELATIONSHIP_AS_OF_DATE","19980702")</f>
        <v/>
      </c>
      <c r="BS5">
        <f>BDS("3867693Z US Equity","SUPPLY_CHAIN_SUPPLIERS","RELATIONSHIP_AS_OF_DATE","20070508")</f>
        <v/>
      </c>
      <c r="BX5">
        <f>BDS("3867693Z US Equity","SUPPLY_CHAIN_CUSTOMERS","RELATIONSHIP_AS_OF_DATE","20070508")</f>
        <v/>
      </c>
      <c r="CC5">
        <f>BDS("JEF US Equity","SUPPLY_CHAIN_SUPPLIERS","RELATIONSHIP_AS_OF_DATE","20121112")</f>
        <v/>
      </c>
      <c r="CH5">
        <f>BDS("JEF US Equity","SUPPLY_CHAIN_CUSTOMERS","RELATIONSHIP_AS_OF_DATE","20121112")</f>
        <v/>
      </c>
      <c r="CM5">
        <f>BDS("OVV US Equity","SUPPLY_CHAIN_SUPPLIERS","RELATIONSHIP_AS_OF_DATE","20040415")</f>
        <v/>
      </c>
      <c r="CR5">
        <f>BDS("OVV US Equity","SUPPLY_CHAIN_CUSTOMERS","RELATIONSHIP_AS_OF_DATE","20040415")</f>
        <v/>
      </c>
      <c r="CW5">
        <f>BDS("COHR US Equity","SUPPLY_CHAIN_SUPPLIERS","RELATIONSHIP_AS_OF_DATE","20181109")</f>
        <v/>
      </c>
      <c r="DB5">
        <f>BDS("COHR US Equity","SUPPLY_CHAIN_CUSTOMERS","RELATIONSHIP_AS_OF_DATE","20181109")</f>
        <v/>
      </c>
      <c r="DG5">
        <f>BDS("CSCO US Equity","SUPPLY_CHAIN_SUPPLIERS","RELATIONSHIP_AS_OF_DATE","20070315")</f>
        <v/>
      </c>
      <c r="DL5">
        <f>BDS("CSCO US Equity","SUPPLY_CHAIN_CUSTOMERS","RELATIONSHIP_AS_OF_DATE","20070315")</f>
        <v/>
      </c>
      <c r="DQ5">
        <f>BDS("EXDSQ US Equity","SUPPLY_CHAIN_SUPPLIERS","RELATIONSHIP_AS_OF_DATE","20000928")</f>
        <v/>
      </c>
      <c r="DV5">
        <f>BDS("EXDSQ US Equity","SUPPLY_CHAIN_CUSTOMERS","RELATIONSHIP_AS_OF_DATE","20000928")</f>
        <v/>
      </c>
      <c r="EA5">
        <f>BDS("FLG US Equity","SUPPLY_CHAIN_SUPPLIERS","RELATIONSHIP_AS_OF_DATE","20210426")</f>
        <v/>
      </c>
      <c r="EF5">
        <f>BDS("FLG US Equity","SUPPLY_CHAIN_CUSTOMERS","RELATIONSHIP_AS_OF_DATE","20210426")</f>
        <v/>
      </c>
      <c r="EK5">
        <f>BDS("MLM US Equity","SUPPLY_CHAIN_SUPPLIERS","RELATIONSHIP_AS_OF_DATE","20140128")</f>
        <v/>
      </c>
      <c r="EP5">
        <f>BDS("MLM US Equity","SUPPLY_CHAIN_CUSTOMERS","RELATIONSHIP_AS_OF_DATE","20140128")</f>
        <v/>
      </c>
      <c r="EU5">
        <f>BDS("1074528D US Equity","SUPPLY_CHAIN_SUPPLIERS","RELATIONSHIP_AS_OF_DATE","20070627")</f>
        <v/>
      </c>
      <c r="EZ5">
        <f>BDS("1074528D US Equity","SUPPLY_CHAIN_CUSTOMERS","RELATIONSHIP_AS_OF_DATE","20070627")</f>
        <v/>
      </c>
      <c r="FE5">
        <f>BDS("1927294D US Equity","SUPPLY_CHAIN_SUPPLIERS","RELATIONSHIP_AS_OF_DATE","20050603")</f>
        <v/>
      </c>
      <c r="FJ5">
        <f>BDS("1927294D US Equity","SUPPLY_CHAIN_CUSTOMERS","RELATIONSHIP_AS_OF_DATE","20050603")</f>
        <v/>
      </c>
      <c r="FO5">
        <f>BDS("HFC US Equity","SUPPLY_CHAIN_SUPPLIERS","RELATIONSHIP_AS_OF_DATE","20110222")</f>
        <v/>
      </c>
      <c r="FT5">
        <f>BDS("HFC US Equity","SUPPLY_CHAIN_CUSTOMERS","RELATIONSHIP_AS_OF_DATE","20110222")</f>
        <v/>
      </c>
      <c r="FY5">
        <f>BDS("9990822D US Equity","SUPPLY_CHAIN_SUPPLIERS","RELATIONSHIP_AS_OF_DATE","20190610")</f>
        <v/>
      </c>
      <c r="GD5">
        <f>BDS("9990822D US Equity","SUPPLY_CHAIN_CUSTOMERS","RELATIONSHIP_AS_OF_DATE","20190610")</f>
        <v/>
      </c>
      <c r="GI5">
        <f>BDS("GT US Equity","SUPPLY_CHAIN_SUPPLIERS","RELATIONSHIP_AS_OF_DATE","20210222")</f>
        <v/>
      </c>
      <c r="GN5">
        <f>BDS("GT US Equity","SUPPLY_CHAIN_CUSTOMERS","RELATIONSHIP_AS_OF_DATE","20210222")</f>
        <v/>
      </c>
      <c r="GS5">
        <f>BDS("nan Equity","SUPPLY_CHAIN_SUPPLIERS","RELATIONSHIP_AS_OF_DATE","20060705")</f>
        <v/>
      </c>
      <c r="GX5">
        <f>BDS("nan Equity","SUPPLY_CHAIN_CUSTOMERS","RELATIONSHIP_AS_OF_DATE","20060705")</f>
        <v/>
      </c>
      <c r="HC5">
        <f>BDS("UNH US Equity","SUPPLY_CHAIN_SUPPLIERS","RELATIONSHIP_AS_OF_DATE","20170829")</f>
        <v/>
      </c>
      <c r="HH5">
        <f>BDS("UNH US Equity","SUPPLY_CHAIN_CUSTOMERS","RELATIONSHIP_AS_OF_DATE","20170829")</f>
        <v/>
      </c>
      <c r="HM5">
        <f>BDS("SSNC US Equity","SUPPLY_CHAIN_SUPPLIERS","RELATIONSHIP_AS_OF_DATE","20150202")</f>
        <v/>
      </c>
      <c r="HR5">
        <f>BDS("SSNC US Equity","SUPPLY_CHAIN_CUSTOMERS","RELATIONSHIP_AS_OF_DATE","20150202")</f>
        <v/>
      </c>
      <c r="HW5">
        <f>BDS("NOC US Equity","SUPPLY_CHAIN_SUPPLIERS","RELATIONSHIP_AS_OF_DATE","20011108")</f>
        <v/>
      </c>
      <c r="IB5">
        <f>BDS("NOC US Equity","SUPPLY_CHAIN_CUSTOMERS","RELATIONSHIP_AS_OF_DATE","20011108")</f>
        <v/>
      </c>
      <c r="IG5">
        <f>BDS("355488Q US Equity","SUPPLY_CHAIN_SUPPLIERS","RELATIONSHIP_AS_OF_DATE","19980209")</f>
        <v/>
      </c>
      <c r="IL5">
        <f>BDS("355488Q US Equity","SUPPLY_CHAIN_CUSTOMERS","RELATIONSHIP_AS_OF_DATE","19980209")</f>
        <v/>
      </c>
      <c r="IQ5">
        <f>BDS("FCX US Equity","SUPPLY_CHAIN_SUPPLIERS","RELATIONSHIP_AS_OF_DATE","20121205")</f>
        <v/>
      </c>
      <c r="IV5">
        <f>BDS("FCX US Equity","SUPPLY_CHAIN_CUSTOMERS","RELATIONSHIP_AS_OF_DATE","20121205")</f>
        <v/>
      </c>
      <c r="JA5">
        <f>BDS("nan Equity","SUPPLY_CHAIN_SUPPLIERS","RELATIONSHIP_AS_OF_DATE","20101028")</f>
        <v/>
      </c>
      <c r="JF5">
        <f>BDS("nan Equity","SUPPLY_CHAIN_CUSTOMERS","RELATIONSHIP_AS_OF_DATE","20101028")</f>
        <v/>
      </c>
      <c r="JK5">
        <f>BDS("URS US Equity","SUPPLY_CHAIN_SUPPLIERS","RELATIONSHIP_AS_OF_DATE","20070528")</f>
        <v/>
      </c>
      <c r="JP5">
        <f>BDS("URS US Equity","SUPPLY_CHAIN_CUSTOMERS","RELATIONSHIP_AS_OF_DATE","20070528")</f>
        <v/>
      </c>
      <c r="JU5">
        <f>BDS("OEI US Equity","SUPPLY_CHAIN_SUPPLIERS","RELATIONSHIP_AS_OF_DATE","19981125")</f>
        <v/>
      </c>
      <c r="JZ5">
        <f>BDS("OEI US Equity","SUPPLY_CHAIN_CUSTOMERS","RELATIONSHIP_AS_OF_DATE","19981125")</f>
        <v/>
      </c>
      <c r="KE5">
        <f>BDS("NCC US Equity","SUPPLY_CHAIN_SUPPLIERS","RELATIONSHIP_AS_OF_DATE","20070501")</f>
        <v/>
      </c>
      <c r="KJ5">
        <f>BDS("NCC US Equity","SUPPLY_CHAIN_CUSTOMERS","RELATIONSHIP_AS_OF_DATE","20070501")</f>
        <v/>
      </c>
      <c r="KO5">
        <f>BDS("PK US Equity","SUPPLY_CHAIN_SUPPLIERS","RELATIONSHIP_AS_OF_DATE","20190506")</f>
        <v/>
      </c>
      <c r="KT5">
        <f>BDS("PK US Equity","SUPPLY_CHAIN_CUSTOMERS","RELATIONSHIP_AS_OF_DATE","20190506")</f>
        <v/>
      </c>
      <c r="KY5">
        <f>BDS("ANDX US Equity","SUPPLY_CHAIN_SUPPLIERS","RELATIONSHIP_AS_OF_DATE","20170721")</f>
        <v/>
      </c>
      <c r="LD5">
        <f>BDS("ANDX US Equity","SUPPLY_CHAIN_CUSTOMERS","RELATIONSHIP_AS_OF_DATE","20170721")</f>
        <v/>
      </c>
      <c r="LI5">
        <f>BDS("TEG US Equity","SUPPLY_CHAIN_SUPPLIERS","RELATIONSHIP_AS_OF_DATE","20060710")</f>
        <v/>
      </c>
      <c r="LN5">
        <f>BDS("TEG US Equity","SUPPLY_CHAIN_CUSTOMERS","RELATIONSHIP_AS_OF_DATE","20060710")</f>
        <v/>
      </c>
      <c r="LS5">
        <f>BDS("9210611D US Equity","SUPPLY_CHAIN_SUPPLIERS","RELATIONSHIP_AS_OF_DATE","20180924")</f>
        <v/>
      </c>
      <c r="LX5">
        <f>BDS("9210611D US Equity","SUPPLY_CHAIN_CUSTOMERS","RELATIONSHIP_AS_OF_DATE","20180924")</f>
        <v/>
      </c>
      <c r="MC5">
        <f>BDS("HC US Equity","SUPPLY_CHAIN_SUPPLIERS","RELATIONSHIP_AS_OF_DATE","20070205")</f>
        <v/>
      </c>
      <c r="MH5">
        <f>BDS("HC US Equity","SUPPLY_CHAIN_CUSTOMERS","RELATIONSHIP_AS_OF_DATE","20070205")</f>
        <v/>
      </c>
      <c r="MM5">
        <f>BDS("COR US Equity","SUPPLY_CHAIN_SUPPLIERS","RELATIONSHIP_AS_OF_DATE","20150112")</f>
        <v/>
      </c>
      <c r="MR5">
        <f>BDS("COR US Equity","SUPPLY_CHAIN_CUSTOMERS","RELATIONSHIP_AS_OF_DATE","20150112")</f>
        <v/>
      </c>
      <c r="MW5">
        <f>BDS("MDP US Equity","SUPPLY_CHAIN_SUPPLIERS","RELATIONSHIP_AS_OF_DATE","20171127")</f>
        <v/>
      </c>
      <c r="NB5">
        <f>BDS("MDP US Equity","SUPPLY_CHAIN_CUSTOMERS","RELATIONSHIP_AS_OF_DATE","20171127")</f>
        <v/>
      </c>
      <c r="NG5">
        <f>BDS("HPQ US Equity","SUPPLY_CHAIN_SUPPLIERS","RELATIONSHIP_AS_OF_DATE","20150302")</f>
        <v/>
      </c>
      <c r="NL5">
        <f>BDS("HPQ US Equity","SUPPLY_CHAIN_CUSTOMERS","RELATIONSHIP_AS_OF_DATE","20150302")</f>
        <v/>
      </c>
      <c r="NQ5">
        <f>BDS("9995522D US Equity","SUPPLY_CHAIN_SUPPLIERS","RELATIONSHIP_AS_OF_DATE","19980518")</f>
        <v/>
      </c>
      <c r="NV5">
        <f>BDS("9995522D US Equity","SUPPLY_CHAIN_CUSTOMERS","RELATIONSHIP_AS_OF_DATE","19980518")</f>
        <v/>
      </c>
      <c r="OA5">
        <f>BDS("ONB US Equity","SUPPLY_CHAIN_SUPPLIERS","RELATIONSHIP_AS_OF_DATE","20210601")</f>
        <v/>
      </c>
      <c r="OF5">
        <f>BDS("ONB US Equity","SUPPLY_CHAIN_CUSTOMERS","RELATIONSHIP_AS_OF_DATE","20210601")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801</t>
        </is>
      </c>
      <c r="K1" s="1" t="inlineStr">
        <is>
          <t>Deal 802</t>
        </is>
      </c>
      <c r="U1" s="1" t="inlineStr">
        <is>
          <t>Deal 803</t>
        </is>
      </c>
      <c r="AE1" s="1" t="inlineStr">
        <is>
          <t>Deal 804</t>
        </is>
      </c>
      <c r="AO1" s="1" t="inlineStr">
        <is>
          <t>Deal 805</t>
        </is>
      </c>
      <c r="AY1" s="1" t="inlineStr">
        <is>
          <t>Deal 806</t>
        </is>
      </c>
      <c r="BI1" s="1" t="inlineStr">
        <is>
          <t>Deal 807</t>
        </is>
      </c>
      <c r="BS1" s="1" t="inlineStr">
        <is>
          <t>Deal 808</t>
        </is>
      </c>
      <c r="CC1" s="1" t="inlineStr">
        <is>
          <t>Deal 809</t>
        </is>
      </c>
      <c r="CM1" s="1" t="inlineStr">
        <is>
          <t>Deal 810</t>
        </is>
      </c>
      <c r="CW1" s="1" t="inlineStr">
        <is>
          <t>Deal 811</t>
        </is>
      </c>
      <c r="DG1" s="1" t="inlineStr">
        <is>
          <t>Deal 812</t>
        </is>
      </c>
      <c r="DQ1" s="1" t="inlineStr">
        <is>
          <t>Deal 813</t>
        </is>
      </c>
      <c r="EA1" s="1" t="inlineStr">
        <is>
          <t>Deal 814</t>
        </is>
      </c>
      <c r="EK1" s="1" t="inlineStr">
        <is>
          <t>Deal 815</t>
        </is>
      </c>
      <c r="EU1" s="1" t="inlineStr">
        <is>
          <t>Deal 816</t>
        </is>
      </c>
      <c r="FE1" s="1" t="inlineStr">
        <is>
          <t>Deal 817</t>
        </is>
      </c>
      <c r="FO1" s="1" t="inlineStr">
        <is>
          <t>Deal 818</t>
        </is>
      </c>
      <c r="FY1" s="1" t="inlineStr">
        <is>
          <t>Deal 819</t>
        </is>
      </c>
      <c r="GI1" s="1" t="inlineStr">
        <is>
          <t>Deal 820</t>
        </is>
      </c>
      <c r="GS1" s="1" t="inlineStr">
        <is>
          <t>Deal 821</t>
        </is>
      </c>
      <c r="HC1" s="1" t="inlineStr">
        <is>
          <t>Deal 822</t>
        </is>
      </c>
      <c r="HM1" s="1" t="inlineStr">
        <is>
          <t>Deal 823</t>
        </is>
      </c>
      <c r="HW1" s="1" t="inlineStr">
        <is>
          <t>Deal 824</t>
        </is>
      </c>
      <c r="IG1" s="1" t="inlineStr">
        <is>
          <t>Deal 825</t>
        </is>
      </c>
      <c r="IQ1" s="1" t="inlineStr">
        <is>
          <t>Deal 826</t>
        </is>
      </c>
      <c r="JA1" s="1" t="inlineStr">
        <is>
          <t>Deal 827</t>
        </is>
      </c>
      <c r="JK1" s="1" t="inlineStr">
        <is>
          <t>Deal 828</t>
        </is>
      </c>
      <c r="JU1" s="1" t="inlineStr">
        <is>
          <t>Deal 829</t>
        </is>
      </c>
      <c r="KE1" s="1" t="inlineStr">
        <is>
          <t>Deal 830</t>
        </is>
      </c>
      <c r="KO1" s="1" t="inlineStr">
        <is>
          <t>Deal 831</t>
        </is>
      </c>
      <c r="KY1" s="1" t="inlineStr">
        <is>
          <t>Deal 832</t>
        </is>
      </c>
      <c r="LI1" s="1" t="inlineStr">
        <is>
          <t>Deal 833</t>
        </is>
      </c>
      <c r="LS1" s="1" t="inlineStr">
        <is>
          <t>Deal 834</t>
        </is>
      </c>
      <c r="MC1" s="1" t="inlineStr">
        <is>
          <t>Deal 835</t>
        </is>
      </c>
      <c r="MM1" s="1" t="inlineStr">
        <is>
          <t>Deal 836</t>
        </is>
      </c>
      <c r="MW1" s="1" t="inlineStr">
        <is>
          <t>Deal 837</t>
        </is>
      </c>
      <c r="NG1" s="1" t="inlineStr">
        <is>
          <t>Deal 838</t>
        </is>
      </c>
      <c r="NQ1" s="1" t="inlineStr">
        <is>
          <t>Deal 839</t>
        </is>
      </c>
      <c r="OA1" s="1" t="inlineStr">
        <is>
          <t>Deal 840</t>
        </is>
      </c>
    </row>
    <row r="2">
      <c r="A2" s="2" t="inlineStr">
        <is>
          <t>BX US Equity</t>
        </is>
      </c>
      <c r="K2" s="2" t="inlineStr">
        <is>
          <t>COV US Equity</t>
        </is>
      </c>
      <c r="U2" s="2" t="inlineStr">
        <is>
          <t>PZL US Equity</t>
        </is>
      </c>
      <c r="AE2" s="2" t="inlineStr">
        <is>
          <t>KKR US Equity</t>
        </is>
      </c>
      <c r="AO2" s="2" t="inlineStr">
        <is>
          <t>nan Equity</t>
        </is>
      </c>
      <c r="AY2" s="2" t="inlineStr">
        <is>
          <t>KR US Equity</t>
        </is>
      </c>
      <c r="BI2" s="2" t="inlineStr">
        <is>
          <t>MHS US Equity</t>
        </is>
      </c>
      <c r="BS2" s="2" t="inlineStr">
        <is>
          <t>RLJ US Equity</t>
        </is>
      </c>
      <c r="CC2" s="2" t="inlineStr">
        <is>
          <t>LVLT US Equity</t>
        </is>
      </c>
      <c r="CM2" s="2" t="inlineStr">
        <is>
          <t>UNH US Equity</t>
        </is>
      </c>
      <c r="CW2" s="2" t="inlineStr">
        <is>
          <t>1811934D US Equity</t>
        </is>
      </c>
      <c r="DG2" s="2" t="inlineStr">
        <is>
          <t>CRM US Equity</t>
        </is>
      </c>
      <c r="DQ2" s="2" t="inlineStr">
        <is>
          <t>WHR US Equity</t>
        </is>
      </c>
      <c r="EA2" s="2" t="inlineStr">
        <is>
          <t>LLY US Equity</t>
        </is>
      </c>
      <c r="EK2" s="2" t="inlineStr">
        <is>
          <t>CNC US Equity</t>
        </is>
      </c>
      <c r="EU2" s="2" t="inlineStr">
        <is>
          <t>TFC US Equity</t>
        </is>
      </c>
      <c r="FE2" s="2" t="inlineStr">
        <is>
          <t>CPE US Equity</t>
        </is>
      </c>
      <c r="FO2" s="2" t="inlineStr">
        <is>
          <t>SCHW US Equity</t>
        </is>
      </c>
      <c r="FY2" s="2" t="inlineStr">
        <is>
          <t>PAA US Equity</t>
        </is>
      </c>
      <c r="GI2" s="2" t="inlineStr">
        <is>
          <t>NOV US Equity</t>
        </is>
      </c>
      <c r="GS2" s="2" t="inlineStr">
        <is>
          <t>C US Equity</t>
        </is>
      </c>
      <c r="HC2" s="2" t="inlineStr">
        <is>
          <t>EOP US Equity</t>
        </is>
      </c>
      <c r="HM2" s="2" t="inlineStr">
        <is>
          <t>MSCC US Equity</t>
        </is>
      </c>
      <c r="HW2" s="2" t="inlineStr">
        <is>
          <t>DD US Equity</t>
        </is>
      </c>
      <c r="IG2" s="2" t="inlineStr">
        <is>
          <t>MRK US Equity</t>
        </is>
      </c>
      <c r="IQ2" s="2" t="inlineStr">
        <is>
          <t>BKNG US Equity</t>
        </is>
      </c>
      <c r="JA2" s="2" t="inlineStr">
        <is>
          <t>SAIC US Equity</t>
        </is>
      </c>
      <c r="JK2" s="2" t="inlineStr">
        <is>
          <t>BRK/A US Equity</t>
        </is>
      </c>
      <c r="JU2" s="2" t="inlineStr">
        <is>
          <t>D US Equity</t>
        </is>
      </c>
      <c r="KE2" s="2" t="inlineStr">
        <is>
          <t>0574018D US Equity</t>
        </is>
      </c>
      <c r="KO2" s="2" t="inlineStr">
        <is>
          <t>SAFE US Equity</t>
        </is>
      </c>
      <c r="KY2" s="2" t="inlineStr">
        <is>
          <t>MMP US Equity</t>
        </is>
      </c>
      <c r="LI2" s="2" t="inlineStr">
        <is>
          <t>TPR US Equity</t>
        </is>
      </c>
      <c r="LS2" s="2" t="inlineStr">
        <is>
          <t>nan Equity</t>
        </is>
      </c>
      <c r="MC2" s="2" t="inlineStr">
        <is>
          <t>PSX US Equity</t>
        </is>
      </c>
      <c r="MM2" s="2" t="inlineStr">
        <is>
          <t>748957Q US Equity</t>
        </is>
      </c>
      <c r="MW2" s="2" t="inlineStr">
        <is>
          <t>667517Q US Equity</t>
        </is>
      </c>
      <c r="NG2" s="2" t="inlineStr">
        <is>
          <t>PE US Equity</t>
        </is>
      </c>
      <c r="NQ2" s="2" t="inlineStr">
        <is>
          <t>SPXC US Equity</t>
        </is>
      </c>
      <c r="OA2" s="2" t="inlineStr">
        <is>
          <t>CBRE US Equity</t>
        </is>
      </c>
    </row>
    <row r="3">
      <c r="A3" t="inlineStr">
        <is>
          <t>Ann: 2006-02-21</t>
        </is>
      </c>
      <c r="K3" t="inlineStr">
        <is>
          <t>Ann: 2010-06-01</t>
        </is>
      </c>
      <c r="U3" t="inlineStr">
        <is>
          <t>Ann: 1998-04-15</t>
        </is>
      </c>
      <c r="AE3" t="inlineStr">
        <is>
          <t>Ann: 2013-12-16</t>
        </is>
      </c>
      <c r="AO3" t="inlineStr">
        <is>
          <t>Ann: 2007-07-30</t>
        </is>
      </c>
      <c r="AY3" t="inlineStr">
        <is>
          <t>Ann: 2013-07-09</t>
        </is>
      </c>
      <c r="BI3" t="inlineStr">
        <is>
          <t>Ann: 2005-02-23</t>
        </is>
      </c>
      <c r="BS3" t="inlineStr">
        <is>
          <t>Ann: 2017-04-24</t>
        </is>
      </c>
      <c r="CC3" t="inlineStr">
        <is>
          <t>Ann: 2011-04-11</t>
        </is>
      </c>
      <c r="CM3" t="inlineStr">
        <is>
          <t>Ann: 2007-03-12</t>
        </is>
      </c>
      <c r="CW3" t="inlineStr">
        <is>
          <t>Ann: 2014-03-21</t>
        </is>
      </c>
      <c r="DG3" t="inlineStr">
        <is>
          <t>Ann: 2013-06-04</t>
        </is>
      </c>
      <c r="DQ3" t="inlineStr">
        <is>
          <t>Ann: 2005-07-17</t>
        </is>
      </c>
      <c r="EA3" t="inlineStr">
        <is>
          <t>Ann: 2006-10-17</t>
        </is>
      </c>
      <c r="EK3" t="inlineStr">
        <is>
          <t>Ann: 2021-01-04</t>
        </is>
      </c>
      <c r="EU3" t="inlineStr">
        <is>
          <t>Ann: 2014-11-12</t>
        </is>
      </c>
      <c r="FE3" t="inlineStr">
        <is>
          <t>Ann: 2019-07-15</t>
        </is>
      </c>
      <c r="FO3" t="inlineStr">
        <is>
          <t>Ann: 2000-01-13</t>
        </is>
      </c>
      <c r="FY3" t="inlineStr">
        <is>
          <t>Ann: 2006-06-12</t>
        </is>
      </c>
      <c r="GI3" t="inlineStr">
        <is>
          <t>Ann: 2012-08-09</t>
        </is>
      </c>
      <c r="GS3" t="inlineStr">
        <is>
          <t>Ann: 2000-03-21</t>
        </is>
      </c>
      <c r="HC3" t="inlineStr">
        <is>
          <t>Ann: 2000-02-11</t>
        </is>
      </c>
      <c r="HM3" t="inlineStr">
        <is>
          <t>Ann: 2015-10-20</t>
        </is>
      </c>
      <c r="HW3" t="inlineStr">
        <is>
          <t>Ann: 1999-08-04</t>
        </is>
      </c>
      <c r="IG3" t="inlineStr">
        <is>
          <t>Ann: 2019-12-09</t>
        </is>
      </c>
      <c r="IQ3" t="inlineStr">
        <is>
          <t>Ann: 2014-06-13</t>
        </is>
      </c>
      <c r="JA3" t="inlineStr">
        <is>
          <t>Ann: 2018-09-10</t>
        </is>
      </c>
      <c r="JK3" t="inlineStr">
        <is>
          <t>Ann: 2000-12-20</t>
        </is>
      </c>
      <c r="JU3" t="inlineStr">
        <is>
          <t>Ann: 2001-09-10</t>
        </is>
      </c>
      <c r="KE3" t="inlineStr">
        <is>
          <t>Ann: 2001-05-04</t>
        </is>
      </c>
      <c r="KO3" t="inlineStr">
        <is>
          <t>Ann: 1999-06-16</t>
        </is>
      </c>
      <c r="KY3" t="inlineStr">
        <is>
          <t>Ann: 2009-03-03</t>
        </is>
      </c>
      <c r="LI3" t="inlineStr">
        <is>
          <t>Ann: 2017-05-08</t>
        </is>
      </c>
      <c r="LS3" t="inlineStr">
        <is>
          <t>Ann: 2006-11-16</t>
        </is>
      </c>
      <c r="MC3" t="inlineStr">
        <is>
          <t>Ann: 2021-10-27</t>
        </is>
      </c>
      <c r="MM3" t="inlineStr">
        <is>
          <t>Ann: 1998-05-11</t>
        </is>
      </c>
      <c r="MW3" t="inlineStr">
        <is>
          <t>Ann: 1999-04-01</t>
        </is>
      </c>
      <c r="NG3" t="inlineStr">
        <is>
          <t>Ann: 2019-10-14</t>
        </is>
      </c>
      <c r="NQ3" t="inlineStr">
        <is>
          <t>Ann: 1998-07-20</t>
        </is>
      </c>
      <c r="OA3" t="inlineStr">
        <is>
          <t>Ann: 2006-10-31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BDS("BX US Equity","SUPPLY_CHAIN_SUPPLIERS","RELATIONSHIP_AS_OF_DATE","20060221")</f>
        <v/>
      </c>
      <c r="F5">
        <f>BDS("BX US Equity","SUPPLY_CHAIN_CUSTOMERS","RELATIONSHIP_AS_OF_DATE","20060221")</f>
        <v/>
      </c>
      <c r="K5">
        <f>BDS("COV US Equity","SUPPLY_CHAIN_SUPPLIERS","RELATIONSHIP_AS_OF_DATE","20100601")</f>
        <v/>
      </c>
      <c r="P5">
        <f>BDS("COV US Equity","SUPPLY_CHAIN_CUSTOMERS","RELATIONSHIP_AS_OF_DATE","20100601")</f>
        <v/>
      </c>
      <c r="U5">
        <f>BDS("PZL US Equity","SUPPLY_CHAIN_SUPPLIERS","RELATIONSHIP_AS_OF_DATE","19980415")</f>
        <v/>
      </c>
      <c r="Z5">
        <f>BDS("PZL US Equity","SUPPLY_CHAIN_CUSTOMERS","RELATIONSHIP_AS_OF_DATE","19980415")</f>
        <v/>
      </c>
      <c r="AE5">
        <f>BDS("KKR US Equity","SUPPLY_CHAIN_SUPPLIERS","RELATIONSHIP_AS_OF_DATE","20131216")</f>
        <v/>
      </c>
      <c r="AJ5">
        <f>BDS("KKR US Equity","SUPPLY_CHAIN_CUSTOMERS","RELATIONSHIP_AS_OF_DATE","20131216")</f>
        <v/>
      </c>
      <c r="AO5">
        <f>BDS("nan Equity","SUPPLY_CHAIN_SUPPLIERS","RELATIONSHIP_AS_OF_DATE","20070730")</f>
        <v/>
      </c>
      <c r="AT5">
        <f>BDS("nan Equity","SUPPLY_CHAIN_CUSTOMERS","RELATIONSHIP_AS_OF_DATE","20070730")</f>
        <v/>
      </c>
      <c r="AY5">
        <f>BDS("KR US Equity","SUPPLY_CHAIN_SUPPLIERS","RELATIONSHIP_AS_OF_DATE","20130709")</f>
        <v/>
      </c>
      <c r="BD5">
        <f>BDS("KR US Equity","SUPPLY_CHAIN_CUSTOMERS","RELATIONSHIP_AS_OF_DATE","20130709")</f>
        <v/>
      </c>
      <c r="BI5">
        <f>BDS("MHS US Equity","SUPPLY_CHAIN_SUPPLIERS","RELATIONSHIP_AS_OF_DATE","20050223")</f>
        <v/>
      </c>
      <c r="BN5">
        <f>BDS("MHS US Equity","SUPPLY_CHAIN_CUSTOMERS","RELATIONSHIP_AS_OF_DATE","20050223")</f>
        <v/>
      </c>
      <c r="BS5">
        <f>BDS("RLJ US Equity","SUPPLY_CHAIN_SUPPLIERS","RELATIONSHIP_AS_OF_DATE","20170424")</f>
        <v/>
      </c>
      <c r="BX5">
        <f>BDS("RLJ US Equity","SUPPLY_CHAIN_CUSTOMERS","RELATIONSHIP_AS_OF_DATE","20170424")</f>
        <v/>
      </c>
      <c r="CC5">
        <f>BDS("LVLT US Equity","SUPPLY_CHAIN_SUPPLIERS","RELATIONSHIP_AS_OF_DATE","20110411")</f>
        <v/>
      </c>
      <c r="CH5">
        <f>BDS("LVLT US Equity","SUPPLY_CHAIN_CUSTOMERS","RELATIONSHIP_AS_OF_DATE","20110411")</f>
        <v/>
      </c>
      <c r="CM5">
        <f>BDS("UNH US Equity","SUPPLY_CHAIN_SUPPLIERS","RELATIONSHIP_AS_OF_DATE","20070312")</f>
        <v/>
      </c>
      <c r="CR5">
        <f>BDS("UNH US Equity","SUPPLY_CHAIN_CUSTOMERS","RELATIONSHIP_AS_OF_DATE","20070312")</f>
        <v/>
      </c>
      <c r="CW5">
        <f>BDS("1811934D US Equity","SUPPLY_CHAIN_SUPPLIERS","RELATIONSHIP_AS_OF_DATE","20140321")</f>
        <v/>
      </c>
      <c r="DB5">
        <f>BDS("1811934D US Equity","SUPPLY_CHAIN_CUSTOMERS","RELATIONSHIP_AS_OF_DATE","20140321")</f>
        <v/>
      </c>
      <c r="DG5">
        <f>BDS("CRM US Equity","SUPPLY_CHAIN_SUPPLIERS","RELATIONSHIP_AS_OF_DATE","20130604")</f>
        <v/>
      </c>
      <c r="DL5">
        <f>BDS("CRM US Equity","SUPPLY_CHAIN_CUSTOMERS","RELATIONSHIP_AS_OF_DATE","20130604")</f>
        <v/>
      </c>
      <c r="DQ5">
        <f>BDS("WHR US Equity","SUPPLY_CHAIN_SUPPLIERS","RELATIONSHIP_AS_OF_DATE","20050717")</f>
        <v/>
      </c>
      <c r="DV5">
        <f>BDS("WHR US Equity","SUPPLY_CHAIN_CUSTOMERS","RELATIONSHIP_AS_OF_DATE","20050717")</f>
        <v/>
      </c>
      <c r="EA5">
        <f>BDS("LLY US Equity","SUPPLY_CHAIN_SUPPLIERS","RELATIONSHIP_AS_OF_DATE","20061017")</f>
        <v/>
      </c>
      <c r="EF5">
        <f>BDS("LLY US Equity","SUPPLY_CHAIN_CUSTOMERS","RELATIONSHIP_AS_OF_DATE","20061017")</f>
        <v/>
      </c>
      <c r="EK5">
        <f>BDS("CNC US Equity","SUPPLY_CHAIN_SUPPLIERS","RELATIONSHIP_AS_OF_DATE","20210104")</f>
        <v/>
      </c>
      <c r="EP5">
        <f>BDS("CNC US Equity","SUPPLY_CHAIN_CUSTOMERS","RELATIONSHIP_AS_OF_DATE","20210104")</f>
        <v/>
      </c>
      <c r="EU5">
        <f>BDS("TFC US Equity","SUPPLY_CHAIN_SUPPLIERS","RELATIONSHIP_AS_OF_DATE","20141112")</f>
        <v/>
      </c>
      <c r="EZ5">
        <f>BDS("TFC US Equity","SUPPLY_CHAIN_CUSTOMERS","RELATIONSHIP_AS_OF_DATE","20141112")</f>
        <v/>
      </c>
      <c r="FE5">
        <f>BDS("CPE US Equity","SUPPLY_CHAIN_SUPPLIERS","RELATIONSHIP_AS_OF_DATE","20190715")</f>
        <v/>
      </c>
      <c r="FJ5">
        <f>BDS("CPE US Equity","SUPPLY_CHAIN_CUSTOMERS","RELATIONSHIP_AS_OF_DATE","20190715")</f>
        <v/>
      </c>
      <c r="FO5">
        <f>BDS("SCHW US Equity","SUPPLY_CHAIN_SUPPLIERS","RELATIONSHIP_AS_OF_DATE","20000113")</f>
        <v/>
      </c>
      <c r="FT5">
        <f>BDS("SCHW US Equity","SUPPLY_CHAIN_CUSTOMERS","RELATIONSHIP_AS_OF_DATE","20000113")</f>
        <v/>
      </c>
      <c r="FY5">
        <f>BDS("PAA US Equity","SUPPLY_CHAIN_SUPPLIERS","RELATIONSHIP_AS_OF_DATE","20060612")</f>
        <v/>
      </c>
      <c r="GD5">
        <f>BDS("PAA US Equity","SUPPLY_CHAIN_CUSTOMERS","RELATIONSHIP_AS_OF_DATE","20060612")</f>
        <v/>
      </c>
      <c r="GI5">
        <f>BDS("NOV US Equity","SUPPLY_CHAIN_SUPPLIERS","RELATIONSHIP_AS_OF_DATE","20120809")</f>
        <v/>
      </c>
      <c r="GN5">
        <f>BDS("NOV US Equity","SUPPLY_CHAIN_CUSTOMERS","RELATIONSHIP_AS_OF_DATE","20120809")</f>
        <v/>
      </c>
      <c r="GS5">
        <f>BDS("C US Equity","SUPPLY_CHAIN_SUPPLIERS","RELATIONSHIP_AS_OF_DATE","20000321")</f>
        <v/>
      </c>
      <c r="GX5">
        <f>BDS("C US Equity","SUPPLY_CHAIN_CUSTOMERS","RELATIONSHIP_AS_OF_DATE","20000321")</f>
        <v/>
      </c>
      <c r="HC5">
        <f>BDS("EOP US Equity","SUPPLY_CHAIN_SUPPLIERS","RELATIONSHIP_AS_OF_DATE","20000211")</f>
        <v/>
      </c>
      <c r="HH5">
        <f>BDS("EOP US Equity","SUPPLY_CHAIN_CUSTOMERS","RELATIONSHIP_AS_OF_DATE","20000211")</f>
        <v/>
      </c>
      <c r="HM5">
        <f>BDS("MSCC US Equity","SUPPLY_CHAIN_SUPPLIERS","RELATIONSHIP_AS_OF_DATE","20151020")</f>
        <v/>
      </c>
      <c r="HR5">
        <f>BDS("MSCC US Equity","SUPPLY_CHAIN_CUSTOMERS","RELATIONSHIP_AS_OF_DATE","20151020")</f>
        <v/>
      </c>
      <c r="HW5">
        <f>BDS("DD US Equity","SUPPLY_CHAIN_SUPPLIERS","RELATIONSHIP_AS_OF_DATE","19990804")</f>
        <v/>
      </c>
      <c r="IB5">
        <f>BDS("DD US Equity","SUPPLY_CHAIN_CUSTOMERS","RELATIONSHIP_AS_OF_DATE","19990804")</f>
        <v/>
      </c>
      <c r="IG5">
        <f>BDS("MRK US Equity","SUPPLY_CHAIN_SUPPLIERS","RELATIONSHIP_AS_OF_DATE","20191209")</f>
        <v/>
      </c>
      <c r="IL5">
        <f>BDS("MRK US Equity","SUPPLY_CHAIN_CUSTOMERS","RELATIONSHIP_AS_OF_DATE","20191209")</f>
        <v/>
      </c>
      <c r="IQ5">
        <f>BDS("BKNG US Equity","SUPPLY_CHAIN_SUPPLIERS","RELATIONSHIP_AS_OF_DATE","20140613")</f>
        <v/>
      </c>
      <c r="IV5">
        <f>BDS("BKNG US Equity","SUPPLY_CHAIN_CUSTOMERS","RELATIONSHIP_AS_OF_DATE","20140613")</f>
        <v/>
      </c>
      <c r="JA5">
        <f>BDS("SAIC US Equity","SUPPLY_CHAIN_SUPPLIERS","RELATIONSHIP_AS_OF_DATE","20180910")</f>
        <v/>
      </c>
      <c r="JF5">
        <f>BDS("SAIC US Equity","SUPPLY_CHAIN_CUSTOMERS","RELATIONSHIP_AS_OF_DATE","20180910")</f>
        <v/>
      </c>
      <c r="JK5">
        <f>BDS("BRK/A US Equity","SUPPLY_CHAIN_SUPPLIERS","RELATIONSHIP_AS_OF_DATE","20001220")</f>
        <v/>
      </c>
      <c r="JP5">
        <f>BDS("BRK/A US Equity","SUPPLY_CHAIN_CUSTOMERS","RELATIONSHIP_AS_OF_DATE","20001220")</f>
        <v/>
      </c>
      <c r="JU5">
        <f>BDS("D US Equity","SUPPLY_CHAIN_SUPPLIERS","RELATIONSHIP_AS_OF_DATE","20010910")</f>
        <v/>
      </c>
      <c r="JZ5">
        <f>BDS("D US Equity","SUPPLY_CHAIN_CUSTOMERS","RELATIONSHIP_AS_OF_DATE","20010910")</f>
        <v/>
      </c>
      <c r="KE5">
        <f>BDS("0574018D US Equity","SUPPLY_CHAIN_SUPPLIERS","RELATIONSHIP_AS_OF_DATE","20010504")</f>
        <v/>
      </c>
      <c r="KJ5">
        <f>BDS("0574018D US Equity","SUPPLY_CHAIN_CUSTOMERS","RELATIONSHIP_AS_OF_DATE","20010504")</f>
        <v/>
      </c>
      <c r="KO5">
        <f>BDS("SAFE US Equity","SUPPLY_CHAIN_SUPPLIERS","RELATIONSHIP_AS_OF_DATE","19990616")</f>
        <v/>
      </c>
      <c r="KT5">
        <f>BDS("SAFE US Equity","SUPPLY_CHAIN_CUSTOMERS","RELATIONSHIP_AS_OF_DATE","19990616")</f>
        <v/>
      </c>
      <c r="KY5">
        <f>BDS("MMP US Equity","SUPPLY_CHAIN_SUPPLIERS","RELATIONSHIP_AS_OF_DATE","20090303")</f>
        <v/>
      </c>
      <c r="LD5">
        <f>BDS("MMP US Equity","SUPPLY_CHAIN_CUSTOMERS","RELATIONSHIP_AS_OF_DATE","20090303")</f>
        <v/>
      </c>
      <c r="LI5">
        <f>BDS("TPR US Equity","SUPPLY_CHAIN_SUPPLIERS","RELATIONSHIP_AS_OF_DATE","20170508")</f>
        <v/>
      </c>
      <c r="LN5">
        <f>BDS("TPR US Equity","SUPPLY_CHAIN_CUSTOMERS","RELATIONSHIP_AS_OF_DATE","20170508")</f>
        <v/>
      </c>
      <c r="LS5">
        <f>BDS("nan Equity","SUPPLY_CHAIN_SUPPLIERS","RELATIONSHIP_AS_OF_DATE","20061116")</f>
        <v/>
      </c>
      <c r="LX5">
        <f>BDS("nan Equity","SUPPLY_CHAIN_CUSTOMERS","RELATIONSHIP_AS_OF_DATE","20061116")</f>
        <v/>
      </c>
      <c r="MC5">
        <f>BDS("PSX US Equity","SUPPLY_CHAIN_SUPPLIERS","RELATIONSHIP_AS_OF_DATE","20211027")</f>
        <v/>
      </c>
      <c r="MH5">
        <f>BDS("PSX US Equity","SUPPLY_CHAIN_CUSTOMERS","RELATIONSHIP_AS_OF_DATE","20211027")</f>
        <v/>
      </c>
      <c r="MM5">
        <f>BDS("748957Q US Equity","SUPPLY_CHAIN_SUPPLIERS","RELATIONSHIP_AS_OF_DATE","19980511")</f>
        <v/>
      </c>
      <c r="MR5">
        <f>BDS("748957Q US Equity","SUPPLY_CHAIN_CUSTOMERS","RELATIONSHIP_AS_OF_DATE","19980511")</f>
        <v/>
      </c>
      <c r="MW5">
        <f>BDS("667517Q US Equity","SUPPLY_CHAIN_SUPPLIERS","RELATIONSHIP_AS_OF_DATE","19990401")</f>
        <v/>
      </c>
      <c r="NB5">
        <f>BDS("667517Q US Equity","SUPPLY_CHAIN_CUSTOMERS","RELATIONSHIP_AS_OF_DATE","19990401")</f>
        <v/>
      </c>
      <c r="NG5">
        <f>BDS("PE US Equity","SUPPLY_CHAIN_SUPPLIERS","RELATIONSHIP_AS_OF_DATE","20191014")</f>
        <v/>
      </c>
      <c r="NL5">
        <f>BDS("PE US Equity","SUPPLY_CHAIN_CUSTOMERS","RELATIONSHIP_AS_OF_DATE","20191014")</f>
        <v/>
      </c>
      <c r="NQ5">
        <f>BDS("SPXC US Equity","SUPPLY_CHAIN_SUPPLIERS","RELATIONSHIP_AS_OF_DATE","19980720")</f>
        <v/>
      </c>
      <c r="NV5">
        <f>BDS("SPXC US Equity","SUPPLY_CHAIN_CUSTOMERS","RELATIONSHIP_AS_OF_DATE","19980720")</f>
        <v/>
      </c>
      <c r="OA5">
        <f>BDS("CBRE US Equity","SUPPLY_CHAIN_SUPPLIERS","RELATIONSHIP_AS_OF_DATE","20061031")</f>
        <v/>
      </c>
      <c r="OF5">
        <f>BDS("CBRE US Equity","SUPPLY_CHAIN_CUSTOMERS","RELATIONSHIP_AS_OF_DATE","20061031")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841</t>
        </is>
      </c>
      <c r="K1" s="1" t="inlineStr">
        <is>
          <t>Deal 842</t>
        </is>
      </c>
      <c r="U1" s="1" t="inlineStr">
        <is>
          <t>Deal 843</t>
        </is>
      </c>
      <c r="AE1" s="1" t="inlineStr">
        <is>
          <t>Deal 844</t>
        </is>
      </c>
      <c r="AO1" s="1" t="inlineStr">
        <is>
          <t>Deal 845</t>
        </is>
      </c>
      <c r="AY1" s="1" t="inlineStr">
        <is>
          <t>Deal 846</t>
        </is>
      </c>
      <c r="BI1" s="1" t="inlineStr">
        <is>
          <t>Deal 847</t>
        </is>
      </c>
      <c r="BS1" s="1" t="inlineStr">
        <is>
          <t>Deal 848</t>
        </is>
      </c>
      <c r="CC1" s="1" t="inlineStr">
        <is>
          <t>Deal 849</t>
        </is>
      </c>
      <c r="CM1" s="1" t="inlineStr">
        <is>
          <t>Deal 850</t>
        </is>
      </c>
      <c r="CW1" s="1" t="inlineStr">
        <is>
          <t>Deal 851</t>
        </is>
      </c>
      <c r="DG1" s="1" t="inlineStr">
        <is>
          <t>Deal 852</t>
        </is>
      </c>
      <c r="DQ1" s="1" t="inlineStr">
        <is>
          <t>Deal 853</t>
        </is>
      </c>
      <c r="EA1" s="1" t="inlineStr">
        <is>
          <t>Deal 854</t>
        </is>
      </c>
      <c r="EK1" s="1" t="inlineStr">
        <is>
          <t>Deal 855</t>
        </is>
      </c>
      <c r="EU1" s="1" t="inlineStr">
        <is>
          <t>Deal 856</t>
        </is>
      </c>
      <c r="FE1" s="1" t="inlineStr">
        <is>
          <t>Deal 857</t>
        </is>
      </c>
      <c r="FO1" s="1" t="inlineStr">
        <is>
          <t>Deal 858</t>
        </is>
      </c>
      <c r="FY1" s="1" t="inlineStr">
        <is>
          <t>Deal 859</t>
        </is>
      </c>
      <c r="GI1" s="1" t="inlineStr">
        <is>
          <t>Deal 860</t>
        </is>
      </c>
      <c r="GS1" s="1" t="inlineStr">
        <is>
          <t>Deal 861</t>
        </is>
      </c>
      <c r="HC1" s="1" t="inlineStr">
        <is>
          <t>Deal 862</t>
        </is>
      </c>
      <c r="HM1" s="1" t="inlineStr">
        <is>
          <t>Deal 863</t>
        </is>
      </c>
      <c r="HW1" s="1" t="inlineStr">
        <is>
          <t>Deal 864</t>
        </is>
      </c>
      <c r="IG1" s="1" t="inlineStr">
        <is>
          <t>Deal 865</t>
        </is>
      </c>
      <c r="IQ1" s="1" t="inlineStr">
        <is>
          <t>Deal 866</t>
        </is>
      </c>
      <c r="JA1" s="1" t="inlineStr">
        <is>
          <t>Deal 867</t>
        </is>
      </c>
      <c r="JK1" s="1" t="inlineStr">
        <is>
          <t>Deal 868</t>
        </is>
      </c>
      <c r="JU1" s="1" t="inlineStr">
        <is>
          <t>Deal 869</t>
        </is>
      </c>
      <c r="KE1" s="1" t="inlineStr">
        <is>
          <t>Deal 870</t>
        </is>
      </c>
      <c r="KO1" s="1" t="inlineStr">
        <is>
          <t>Deal 871</t>
        </is>
      </c>
      <c r="KY1" s="1" t="inlineStr">
        <is>
          <t>Deal 872</t>
        </is>
      </c>
      <c r="LI1" s="1" t="inlineStr">
        <is>
          <t>Deal 873</t>
        </is>
      </c>
      <c r="LS1" s="1" t="inlineStr">
        <is>
          <t>Deal 874</t>
        </is>
      </c>
      <c r="MC1" s="1" t="inlineStr">
        <is>
          <t>Deal 875</t>
        </is>
      </c>
      <c r="MM1" s="1" t="inlineStr">
        <is>
          <t>Deal 876</t>
        </is>
      </c>
      <c r="MW1" s="1" t="inlineStr">
        <is>
          <t>Deal 877</t>
        </is>
      </c>
      <c r="NG1" s="1" t="inlineStr">
        <is>
          <t>Deal 878</t>
        </is>
      </c>
      <c r="NQ1" s="1" t="inlineStr">
        <is>
          <t>Deal 879</t>
        </is>
      </c>
      <c r="OA1" s="1" t="inlineStr">
        <is>
          <t>Deal 880</t>
        </is>
      </c>
    </row>
    <row r="2">
      <c r="A2" s="2" t="inlineStr">
        <is>
          <t>AGN US Equity</t>
        </is>
      </c>
      <c r="K2" s="2" t="inlineStr">
        <is>
          <t>VTR US Equity</t>
        </is>
      </c>
      <c r="U2" s="2" t="inlineStr">
        <is>
          <t>JNJ US Equity</t>
        </is>
      </c>
      <c r="AE2" s="2" t="inlineStr">
        <is>
          <t>AEE US Equity</t>
        </is>
      </c>
      <c r="AO2" s="2" t="inlineStr">
        <is>
          <t>LEARQ US Equity</t>
        </is>
      </c>
      <c r="AY2" s="2" t="inlineStr">
        <is>
          <t>MXIM US Equity</t>
        </is>
      </c>
      <c r="BI2" s="2" t="inlineStr">
        <is>
          <t>EQM US Equity</t>
        </is>
      </c>
      <c r="BS2" s="2" t="inlineStr">
        <is>
          <t>GPT US Equity</t>
        </is>
      </c>
      <c r="CC2" s="2" t="inlineStr">
        <is>
          <t>2649Q US Equity</t>
        </is>
      </c>
      <c r="CM2" s="2" t="inlineStr">
        <is>
          <t>ZG US Equity</t>
        </is>
      </c>
      <c r="CW2" s="2" t="inlineStr">
        <is>
          <t>ROVI US Equity</t>
        </is>
      </c>
      <c r="DG2" s="2" t="inlineStr">
        <is>
          <t>1837572D US Equity</t>
        </is>
      </c>
      <c r="DQ2" s="2" t="inlineStr">
        <is>
          <t>INTC US Equity</t>
        </is>
      </c>
      <c r="EA2" s="2" t="inlineStr">
        <is>
          <t>QVCGA US Equity</t>
        </is>
      </c>
      <c r="EK2" s="2" t="inlineStr">
        <is>
          <t>1235274D US Equity</t>
        </is>
      </c>
      <c r="EU2" s="2" t="inlineStr">
        <is>
          <t>HEROQ US Equity</t>
        </is>
      </c>
      <c r="FE2" s="2" t="inlineStr">
        <is>
          <t>1465949D US Equity</t>
        </is>
      </c>
      <c r="FO2" s="2" t="inlineStr">
        <is>
          <t>RSG US Equity</t>
        </is>
      </c>
      <c r="FY2" s="2" t="inlineStr">
        <is>
          <t>CSCO US Equity</t>
        </is>
      </c>
      <c r="GI2" s="2" t="inlineStr">
        <is>
          <t>CSCO US Equity</t>
        </is>
      </c>
      <c r="GS2" s="2" t="inlineStr">
        <is>
          <t>LYO US Equity</t>
        </is>
      </c>
      <c r="HC2" s="2" t="inlineStr">
        <is>
          <t>BFH US Equity</t>
        </is>
      </c>
      <c r="HM2" s="2" t="inlineStr">
        <is>
          <t>nan Equity</t>
        </is>
      </c>
      <c r="HW2" s="2" t="inlineStr">
        <is>
          <t>1683997D US Equity</t>
        </is>
      </c>
      <c r="IG2" s="2" t="inlineStr">
        <is>
          <t>CUZ US Equity</t>
        </is>
      </c>
      <c r="IQ2" s="2" t="inlineStr">
        <is>
          <t>BBEPQ US Equity</t>
        </is>
      </c>
      <c r="JA2" s="2" t="inlineStr">
        <is>
          <t>PACW US Equity</t>
        </is>
      </c>
      <c r="JK2" s="2" t="inlineStr">
        <is>
          <t>KNX US Equity</t>
        </is>
      </c>
      <c r="JU2" s="2" t="inlineStr">
        <is>
          <t>ON US Equity</t>
        </is>
      </c>
      <c r="KE2" s="2" t="inlineStr">
        <is>
          <t>DFODQ US Equity</t>
        </is>
      </c>
      <c r="KO2" s="2" t="inlineStr">
        <is>
          <t>AGR US Equity</t>
        </is>
      </c>
      <c r="KY2" s="2" t="inlineStr">
        <is>
          <t>ENDPQ US Equity</t>
        </is>
      </c>
      <c r="LI2" s="2" t="inlineStr">
        <is>
          <t>VTR US Equity</t>
        </is>
      </c>
      <c r="LS2" s="2" t="inlineStr">
        <is>
          <t>IPG US Equity</t>
        </is>
      </c>
      <c r="MC2" s="2" t="inlineStr">
        <is>
          <t>CLF US Equity</t>
        </is>
      </c>
      <c r="MM2" s="2" t="inlineStr">
        <is>
          <t>AMGN US Equity</t>
        </is>
      </c>
      <c r="MW2" s="2" t="inlineStr">
        <is>
          <t>1255173D US Equity</t>
        </is>
      </c>
      <c r="NG2" s="2" t="inlineStr">
        <is>
          <t>OHI US Equity</t>
        </is>
      </c>
      <c r="NQ2" s="2" t="inlineStr">
        <is>
          <t>WINMQ US Equity</t>
        </is>
      </c>
      <c r="OA2" s="2" t="inlineStr">
        <is>
          <t>GD US Equity</t>
        </is>
      </c>
    </row>
    <row r="3">
      <c r="A3" t="inlineStr">
        <is>
          <t>Ann: 2017-02-13</t>
        </is>
      </c>
      <c r="K3" t="inlineStr">
        <is>
          <t>Ann: 2014-06-02</t>
        </is>
      </c>
      <c r="U3" t="inlineStr">
        <is>
          <t>Ann: 2003-02-10</t>
        </is>
      </c>
      <c r="AE3" t="inlineStr">
        <is>
          <t>Ann: 2004-02-03</t>
        </is>
      </c>
      <c r="AO3" t="inlineStr">
        <is>
          <t>Ann: 1999-03-17</t>
        </is>
      </c>
      <c r="AY3" t="inlineStr">
        <is>
          <t>Ann: 2001-01-29</t>
        </is>
      </c>
      <c r="BI3" t="inlineStr">
        <is>
          <t>Ann: 2018-04-26</t>
        </is>
      </c>
      <c r="BS3" t="inlineStr">
        <is>
          <t>Ann: 2015-07-01</t>
        </is>
      </c>
      <c r="CC3" t="inlineStr">
        <is>
          <t>Ann: 1999-05-20</t>
        </is>
      </c>
      <c r="CM3" t="inlineStr">
        <is>
          <t>Ann: 2014-07-28</t>
        </is>
      </c>
      <c r="CW3" t="inlineStr">
        <is>
          <t>Ann: 2007-12-07</t>
        </is>
      </c>
      <c r="DG3" t="inlineStr">
        <is>
          <t>Ann: 2000-02-07</t>
        </is>
      </c>
      <c r="DQ3" t="inlineStr">
        <is>
          <t>Ann: 1999-03-04</t>
        </is>
      </c>
      <c r="EA3" t="inlineStr">
        <is>
          <t>Ann: 2017-04-04</t>
        </is>
      </c>
      <c r="EK3" t="inlineStr">
        <is>
          <t>Ann: 2010-04-11</t>
        </is>
      </c>
      <c r="EU3" t="inlineStr">
        <is>
          <t>Ann: 2007-03-19</t>
        </is>
      </c>
      <c r="FE3" t="inlineStr">
        <is>
          <t>Ann: 2000-03-27</t>
        </is>
      </c>
      <c r="FO3" t="inlineStr">
        <is>
          <t>Ann: 2022-02-09</t>
        </is>
      </c>
      <c r="FY3" t="inlineStr">
        <is>
          <t>Ann: 2009-10-13</t>
        </is>
      </c>
      <c r="GI3" t="inlineStr">
        <is>
          <t>Ann: 2013-07-23</t>
        </is>
      </c>
      <c r="GS3" t="inlineStr">
        <is>
          <t>Ann: 2004-03-29</t>
        </is>
      </c>
      <c r="HC3" t="inlineStr">
        <is>
          <t>Ann: 2014-09-11</t>
        </is>
      </c>
      <c r="HM3" t="inlineStr">
        <is>
          <t>Ann: 2006-06-28</t>
        </is>
      </c>
      <c r="HW3" t="inlineStr">
        <is>
          <t>Ann: 2012-06-14</t>
        </is>
      </c>
      <c r="IG3" t="inlineStr">
        <is>
          <t>Ann: 2019-03-25</t>
        </is>
      </c>
      <c r="IQ3" t="inlineStr">
        <is>
          <t>Ann: 2014-07-24</t>
        </is>
      </c>
      <c r="JA3" t="inlineStr">
        <is>
          <t>Ann: 2013-07-22</t>
        </is>
      </c>
      <c r="JK3" t="inlineStr">
        <is>
          <t>Ann: 2017-04-10</t>
        </is>
      </c>
      <c r="JU3" t="inlineStr">
        <is>
          <t>Ann: 2015-11-18</t>
        </is>
      </c>
      <c r="KE3" t="inlineStr">
        <is>
          <t>Ann: 2001-04-05</t>
        </is>
      </c>
      <c r="KO3" t="inlineStr">
        <is>
          <t>Ann: 2001-02-20</t>
        </is>
      </c>
      <c r="KY3" t="inlineStr">
        <is>
          <t>Ann: 2014-09-17</t>
        </is>
      </c>
      <c r="LI3" t="inlineStr">
        <is>
          <t>Ann: 2021-06-28</t>
        </is>
      </c>
      <c r="LS3" t="inlineStr">
        <is>
          <t>Ann: 2001-03-19</t>
        </is>
      </c>
      <c r="MC3" t="inlineStr">
        <is>
          <t>Ann: 2019-12-03</t>
        </is>
      </c>
      <c r="MM3" t="inlineStr">
        <is>
          <t>Ann: 2005-12-14</t>
        </is>
      </c>
      <c r="MW3" t="inlineStr">
        <is>
          <t>Ann: 1998-03-04</t>
        </is>
      </c>
      <c r="NG3" t="inlineStr">
        <is>
          <t>Ann: 2014-10-31</t>
        </is>
      </c>
      <c r="NQ3" t="inlineStr">
        <is>
          <t>Ann: 2011-08-01</t>
        </is>
      </c>
      <c r="OA3" t="inlineStr">
        <is>
          <t>Ann: 2005-12-14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BDS("AGN US Equity","SUPPLY_CHAIN_SUPPLIERS","RELATIONSHIP_AS_OF_DATE","20170213")</f>
        <v/>
      </c>
      <c r="F5">
        <f>BDS("AGN US Equity","SUPPLY_CHAIN_CUSTOMERS","RELATIONSHIP_AS_OF_DATE","20170213")</f>
        <v/>
      </c>
      <c r="K5">
        <f>BDS("VTR US Equity","SUPPLY_CHAIN_SUPPLIERS","RELATIONSHIP_AS_OF_DATE","20140602")</f>
        <v/>
      </c>
      <c r="P5">
        <f>BDS("VTR US Equity","SUPPLY_CHAIN_CUSTOMERS","RELATIONSHIP_AS_OF_DATE","20140602")</f>
        <v/>
      </c>
      <c r="U5">
        <f>BDS("JNJ US Equity","SUPPLY_CHAIN_SUPPLIERS","RELATIONSHIP_AS_OF_DATE","20030210")</f>
        <v/>
      </c>
      <c r="Z5">
        <f>BDS("JNJ US Equity","SUPPLY_CHAIN_CUSTOMERS","RELATIONSHIP_AS_OF_DATE","20030210")</f>
        <v/>
      </c>
      <c r="AE5">
        <f>BDS("AEE US Equity","SUPPLY_CHAIN_SUPPLIERS","RELATIONSHIP_AS_OF_DATE","20040203")</f>
        <v/>
      </c>
      <c r="AJ5">
        <f>BDS("AEE US Equity","SUPPLY_CHAIN_CUSTOMERS","RELATIONSHIP_AS_OF_DATE","20040203")</f>
        <v/>
      </c>
      <c r="AO5">
        <f>BDS("LEARQ US Equity","SUPPLY_CHAIN_SUPPLIERS","RELATIONSHIP_AS_OF_DATE","19990317")</f>
        <v/>
      </c>
      <c r="AT5">
        <f>BDS("LEARQ US Equity","SUPPLY_CHAIN_CUSTOMERS","RELATIONSHIP_AS_OF_DATE","19990317")</f>
        <v/>
      </c>
      <c r="AY5">
        <f>BDS("MXIM US Equity","SUPPLY_CHAIN_SUPPLIERS","RELATIONSHIP_AS_OF_DATE","20010129")</f>
        <v/>
      </c>
      <c r="BD5">
        <f>BDS("MXIM US Equity","SUPPLY_CHAIN_CUSTOMERS","RELATIONSHIP_AS_OF_DATE","20010129")</f>
        <v/>
      </c>
      <c r="BI5">
        <f>BDS("EQM US Equity","SUPPLY_CHAIN_SUPPLIERS","RELATIONSHIP_AS_OF_DATE","20180426")</f>
        <v/>
      </c>
      <c r="BN5">
        <f>BDS("EQM US Equity","SUPPLY_CHAIN_CUSTOMERS","RELATIONSHIP_AS_OF_DATE","20180426")</f>
        <v/>
      </c>
      <c r="BS5">
        <f>BDS("GPT US Equity","SUPPLY_CHAIN_SUPPLIERS","RELATIONSHIP_AS_OF_DATE","20150701")</f>
        <v/>
      </c>
      <c r="BX5">
        <f>BDS("GPT US Equity","SUPPLY_CHAIN_CUSTOMERS","RELATIONSHIP_AS_OF_DATE","20150701")</f>
        <v/>
      </c>
      <c r="CC5">
        <f>BDS("2649Q US Equity","SUPPLY_CHAIN_SUPPLIERS","RELATIONSHIP_AS_OF_DATE","19990520")</f>
        <v/>
      </c>
      <c r="CH5">
        <f>BDS("2649Q US Equity","SUPPLY_CHAIN_CUSTOMERS","RELATIONSHIP_AS_OF_DATE","19990520")</f>
        <v/>
      </c>
      <c r="CM5">
        <f>BDS("ZG US Equity","SUPPLY_CHAIN_SUPPLIERS","RELATIONSHIP_AS_OF_DATE","20140728")</f>
        <v/>
      </c>
      <c r="CR5">
        <f>BDS("ZG US Equity","SUPPLY_CHAIN_CUSTOMERS","RELATIONSHIP_AS_OF_DATE","20140728")</f>
        <v/>
      </c>
      <c r="CW5">
        <f>BDS("ROVI US Equity","SUPPLY_CHAIN_SUPPLIERS","RELATIONSHIP_AS_OF_DATE","20071207")</f>
        <v/>
      </c>
      <c r="DB5">
        <f>BDS("ROVI US Equity","SUPPLY_CHAIN_CUSTOMERS","RELATIONSHIP_AS_OF_DATE","20071207")</f>
        <v/>
      </c>
      <c r="DG5">
        <f>BDS("1837572D US Equity","SUPPLY_CHAIN_SUPPLIERS","RELATIONSHIP_AS_OF_DATE","20000207")</f>
        <v/>
      </c>
      <c r="DL5">
        <f>BDS("1837572D US Equity","SUPPLY_CHAIN_CUSTOMERS","RELATIONSHIP_AS_OF_DATE","20000207")</f>
        <v/>
      </c>
      <c r="DQ5">
        <f>BDS("INTC US Equity","SUPPLY_CHAIN_SUPPLIERS","RELATIONSHIP_AS_OF_DATE","19990304")</f>
        <v/>
      </c>
      <c r="DV5">
        <f>BDS("INTC US Equity","SUPPLY_CHAIN_CUSTOMERS","RELATIONSHIP_AS_OF_DATE","19990304")</f>
        <v/>
      </c>
      <c r="EA5">
        <f>BDS("QVCGA US Equity","SUPPLY_CHAIN_SUPPLIERS","RELATIONSHIP_AS_OF_DATE","20170404")</f>
        <v/>
      </c>
      <c r="EF5">
        <f>BDS("QVCGA US Equity","SUPPLY_CHAIN_CUSTOMERS","RELATIONSHIP_AS_OF_DATE","20170404")</f>
        <v/>
      </c>
      <c r="EK5">
        <f>BDS("1235274D US Equity","SUPPLY_CHAIN_SUPPLIERS","RELATIONSHIP_AS_OF_DATE","20100411")</f>
        <v/>
      </c>
      <c r="EP5">
        <f>BDS("1235274D US Equity","SUPPLY_CHAIN_CUSTOMERS","RELATIONSHIP_AS_OF_DATE","20100411")</f>
        <v/>
      </c>
      <c r="EU5">
        <f>BDS("HEROQ US Equity","SUPPLY_CHAIN_SUPPLIERS","RELATIONSHIP_AS_OF_DATE","20070319")</f>
        <v/>
      </c>
      <c r="EZ5">
        <f>BDS("HEROQ US Equity","SUPPLY_CHAIN_CUSTOMERS","RELATIONSHIP_AS_OF_DATE","20070319")</f>
        <v/>
      </c>
      <c r="FE5">
        <f>BDS("1465949D US Equity","SUPPLY_CHAIN_SUPPLIERS","RELATIONSHIP_AS_OF_DATE","20000327")</f>
        <v/>
      </c>
      <c r="FJ5">
        <f>BDS("1465949D US Equity","SUPPLY_CHAIN_CUSTOMERS","RELATIONSHIP_AS_OF_DATE","20000327")</f>
        <v/>
      </c>
      <c r="FO5">
        <f>BDS("RSG US Equity","SUPPLY_CHAIN_SUPPLIERS","RELATIONSHIP_AS_OF_DATE","20220209")</f>
        <v/>
      </c>
      <c r="FT5">
        <f>BDS("RSG US Equity","SUPPLY_CHAIN_CUSTOMERS","RELATIONSHIP_AS_OF_DATE","20220209")</f>
        <v/>
      </c>
      <c r="FY5">
        <f>BDS("CSCO US Equity","SUPPLY_CHAIN_SUPPLIERS","RELATIONSHIP_AS_OF_DATE","20091013")</f>
        <v/>
      </c>
      <c r="GD5">
        <f>BDS("CSCO US Equity","SUPPLY_CHAIN_CUSTOMERS","RELATIONSHIP_AS_OF_DATE","20091013")</f>
        <v/>
      </c>
      <c r="GI5">
        <f>BDS("CSCO US Equity","SUPPLY_CHAIN_SUPPLIERS","RELATIONSHIP_AS_OF_DATE","20130723")</f>
        <v/>
      </c>
      <c r="GN5">
        <f>BDS("CSCO US Equity","SUPPLY_CHAIN_CUSTOMERS","RELATIONSHIP_AS_OF_DATE","20130723")</f>
        <v/>
      </c>
      <c r="GS5">
        <f>BDS("LYO US Equity","SUPPLY_CHAIN_SUPPLIERS","RELATIONSHIP_AS_OF_DATE","20040329")</f>
        <v/>
      </c>
      <c r="GX5">
        <f>BDS("LYO US Equity","SUPPLY_CHAIN_CUSTOMERS","RELATIONSHIP_AS_OF_DATE","20040329")</f>
        <v/>
      </c>
      <c r="HC5">
        <f>BDS("BFH US Equity","SUPPLY_CHAIN_SUPPLIERS","RELATIONSHIP_AS_OF_DATE","20140911")</f>
        <v/>
      </c>
      <c r="HH5">
        <f>BDS("BFH US Equity","SUPPLY_CHAIN_CUSTOMERS","RELATIONSHIP_AS_OF_DATE","20140911")</f>
        <v/>
      </c>
      <c r="HM5">
        <f>BDS("nan Equity","SUPPLY_CHAIN_SUPPLIERS","RELATIONSHIP_AS_OF_DATE","20060628")</f>
        <v/>
      </c>
      <c r="HR5">
        <f>BDS("nan Equity","SUPPLY_CHAIN_CUSTOMERS","RELATIONSHIP_AS_OF_DATE","20060628")</f>
        <v/>
      </c>
      <c r="HW5">
        <f>BDS("1683997D US Equity","SUPPLY_CHAIN_SUPPLIERS","RELATIONSHIP_AS_OF_DATE","20120614")</f>
        <v/>
      </c>
      <c r="IB5">
        <f>BDS("1683997D US Equity","SUPPLY_CHAIN_CUSTOMERS","RELATIONSHIP_AS_OF_DATE","20120614")</f>
        <v/>
      </c>
      <c r="IG5">
        <f>BDS("CUZ US Equity","SUPPLY_CHAIN_SUPPLIERS","RELATIONSHIP_AS_OF_DATE","20190325")</f>
        <v/>
      </c>
      <c r="IL5">
        <f>BDS("CUZ US Equity","SUPPLY_CHAIN_CUSTOMERS","RELATIONSHIP_AS_OF_DATE","20190325")</f>
        <v/>
      </c>
      <c r="IQ5">
        <f>BDS("BBEPQ US Equity","SUPPLY_CHAIN_SUPPLIERS","RELATIONSHIP_AS_OF_DATE","20140724")</f>
        <v/>
      </c>
      <c r="IV5">
        <f>BDS("BBEPQ US Equity","SUPPLY_CHAIN_CUSTOMERS","RELATIONSHIP_AS_OF_DATE","20140724")</f>
        <v/>
      </c>
      <c r="JA5">
        <f>BDS("PACW US Equity","SUPPLY_CHAIN_SUPPLIERS","RELATIONSHIP_AS_OF_DATE","20130722")</f>
        <v/>
      </c>
      <c r="JF5">
        <f>BDS("PACW US Equity","SUPPLY_CHAIN_CUSTOMERS","RELATIONSHIP_AS_OF_DATE","20130722")</f>
        <v/>
      </c>
      <c r="JK5">
        <f>BDS("KNX US Equity","SUPPLY_CHAIN_SUPPLIERS","RELATIONSHIP_AS_OF_DATE","20170410")</f>
        <v/>
      </c>
      <c r="JP5">
        <f>BDS("KNX US Equity","SUPPLY_CHAIN_CUSTOMERS","RELATIONSHIP_AS_OF_DATE","20170410")</f>
        <v/>
      </c>
      <c r="JU5">
        <f>BDS("ON US Equity","SUPPLY_CHAIN_SUPPLIERS","RELATIONSHIP_AS_OF_DATE","20151118")</f>
        <v/>
      </c>
      <c r="JZ5">
        <f>BDS("ON US Equity","SUPPLY_CHAIN_CUSTOMERS","RELATIONSHIP_AS_OF_DATE","20151118")</f>
        <v/>
      </c>
      <c r="KE5">
        <f>BDS("DFODQ US Equity","SUPPLY_CHAIN_SUPPLIERS","RELATIONSHIP_AS_OF_DATE","20010405")</f>
        <v/>
      </c>
      <c r="KJ5">
        <f>BDS("DFODQ US Equity","SUPPLY_CHAIN_CUSTOMERS","RELATIONSHIP_AS_OF_DATE","20010405")</f>
        <v/>
      </c>
      <c r="KO5">
        <f>BDS("AGR US Equity","SUPPLY_CHAIN_SUPPLIERS","RELATIONSHIP_AS_OF_DATE","20010220")</f>
        <v/>
      </c>
      <c r="KT5">
        <f>BDS("AGR US Equity","SUPPLY_CHAIN_CUSTOMERS","RELATIONSHIP_AS_OF_DATE","20010220")</f>
        <v/>
      </c>
      <c r="KY5">
        <f>BDS("ENDPQ US Equity","SUPPLY_CHAIN_SUPPLIERS","RELATIONSHIP_AS_OF_DATE","20140917")</f>
        <v/>
      </c>
      <c r="LD5">
        <f>BDS("ENDPQ US Equity","SUPPLY_CHAIN_CUSTOMERS","RELATIONSHIP_AS_OF_DATE","20140917")</f>
        <v/>
      </c>
      <c r="LI5">
        <f>BDS("VTR US Equity","SUPPLY_CHAIN_SUPPLIERS","RELATIONSHIP_AS_OF_DATE","20210628")</f>
        <v/>
      </c>
      <c r="LN5">
        <f>BDS("VTR US Equity","SUPPLY_CHAIN_CUSTOMERS","RELATIONSHIP_AS_OF_DATE","20210628")</f>
        <v/>
      </c>
      <c r="LS5">
        <f>BDS("IPG US Equity","SUPPLY_CHAIN_SUPPLIERS","RELATIONSHIP_AS_OF_DATE","20010319")</f>
        <v/>
      </c>
      <c r="LX5">
        <f>BDS("IPG US Equity","SUPPLY_CHAIN_CUSTOMERS","RELATIONSHIP_AS_OF_DATE","20010319")</f>
        <v/>
      </c>
      <c r="MC5">
        <f>BDS("CLF US Equity","SUPPLY_CHAIN_SUPPLIERS","RELATIONSHIP_AS_OF_DATE","20191203")</f>
        <v/>
      </c>
      <c r="MH5">
        <f>BDS("CLF US Equity","SUPPLY_CHAIN_CUSTOMERS","RELATIONSHIP_AS_OF_DATE","20191203")</f>
        <v/>
      </c>
      <c r="MM5">
        <f>BDS("AMGN US Equity","SUPPLY_CHAIN_SUPPLIERS","RELATIONSHIP_AS_OF_DATE","20051214")</f>
        <v/>
      </c>
      <c r="MR5">
        <f>BDS("AMGN US Equity","SUPPLY_CHAIN_CUSTOMERS","RELATIONSHIP_AS_OF_DATE","20051214")</f>
        <v/>
      </c>
      <c r="MW5">
        <f>BDS("1255173D US Equity","SUPPLY_CHAIN_SUPPLIERS","RELATIONSHIP_AS_OF_DATE","19980304")</f>
        <v/>
      </c>
      <c r="NB5">
        <f>BDS("1255173D US Equity","SUPPLY_CHAIN_CUSTOMERS","RELATIONSHIP_AS_OF_DATE","19980304")</f>
        <v/>
      </c>
      <c r="NG5">
        <f>BDS("OHI US Equity","SUPPLY_CHAIN_SUPPLIERS","RELATIONSHIP_AS_OF_DATE","20141031")</f>
        <v/>
      </c>
      <c r="NL5">
        <f>BDS("OHI US Equity","SUPPLY_CHAIN_CUSTOMERS","RELATIONSHIP_AS_OF_DATE","20141031")</f>
        <v/>
      </c>
      <c r="NQ5">
        <f>BDS("WINMQ US Equity","SUPPLY_CHAIN_SUPPLIERS","RELATIONSHIP_AS_OF_DATE","20110801")</f>
        <v/>
      </c>
      <c r="NV5">
        <f>BDS("WINMQ US Equity","SUPPLY_CHAIN_CUSTOMERS","RELATIONSHIP_AS_OF_DATE","20110801")</f>
        <v/>
      </c>
      <c r="OA5">
        <f>BDS("GD US Equity","SUPPLY_CHAIN_SUPPLIERS","RELATIONSHIP_AS_OF_DATE","20051214")</f>
        <v/>
      </c>
      <c r="OF5">
        <f>BDS("GD US Equity","SUPPLY_CHAIN_CUSTOMERS","RELATIONSHIP_AS_OF_DATE","20051214")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881</t>
        </is>
      </c>
      <c r="K1" s="1" t="inlineStr">
        <is>
          <t>Deal 882</t>
        </is>
      </c>
      <c r="U1" s="1" t="inlineStr">
        <is>
          <t>Deal 883</t>
        </is>
      </c>
      <c r="AE1" s="1" t="inlineStr">
        <is>
          <t>Deal 884</t>
        </is>
      </c>
      <c r="AO1" s="1" t="inlineStr">
        <is>
          <t>Deal 885</t>
        </is>
      </c>
      <c r="AY1" s="1" t="inlineStr">
        <is>
          <t>Deal 886</t>
        </is>
      </c>
      <c r="BI1" s="1" t="inlineStr">
        <is>
          <t>Deal 887</t>
        </is>
      </c>
      <c r="BS1" s="1" t="inlineStr">
        <is>
          <t>Deal 888</t>
        </is>
      </c>
      <c r="CC1" s="1" t="inlineStr">
        <is>
          <t>Deal 889</t>
        </is>
      </c>
      <c r="CM1" s="1" t="inlineStr">
        <is>
          <t>Deal 890</t>
        </is>
      </c>
      <c r="CW1" s="1" t="inlineStr">
        <is>
          <t>Deal 891</t>
        </is>
      </c>
      <c r="DG1" s="1" t="inlineStr">
        <is>
          <t>Deal 892</t>
        </is>
      </c>
      <c r="DQ1" s="1" t="inlineStr">
        <is>
          <t>Deal 893</t>
        </is>
      </c>
      <c r="EA1" s="1" t="inlineStr">
        <is>
          <t>Deal 894</t>
        </is>
      </c>
      <c r="EK1" s="1" t="inlineStr">
        <is>
          <t>Deal 895</t>
        </is>
      </c>
      <c r="EU1" s="1" t="inlineStr">
        <is>
          <t>Deal 896</t>
        </is>
      </c>
      <c r="FE1" s="1" t="inlineStr">
        <is>
          <t>Deal 897</t>
        </is>
      </c>
      <c r="FO1" s="1" t="inlineStr">
        <is>
          <t>Deal 898</t>
        </is>
      </c>
      <c r="FY1" s="1" t="inlineStr">
        <is>
          <t>Deal 899</t>
        </is>
      </c>
      <c r="GI1" s="1" t="inlineStr">
        <is>
          <t>Deal 900</t>
        </is>
      </c>
      <c r="GS1" s="1" t="inlineStr">
        <is>
          <t>Deal 901</t>
        </is>
      </c>
      <c r="HC1" s="1" t="inlineStr">
        <is>
          <t>Deal 902</t>
        </is>
      </c>
      <c r="HM1" s="1" t="inlineStr">
        <is>
          <t>Deal 903</t>
        </is>
      </c>
      <c r="HW1" s="1" t="inlineStr">
        <is>
          <t>Deal 904</t>
        </is>
      </c>
      <c r="IG1" s="1" t="inlineStr">
        <is>
          <t>Deal 905</t>
        </is>
      </c>
      <c r="IQ1" s="1" t="inlineStr">
        <is>
          <t>Deal 906</t>
        </is>
      </c>
      <c r="JA1" s="1" t="inlineStr">
        <is>
          <t>Deal 907</t>
        </is>
      </c>
      <c r="JK1" s="1" t="inlineStr">
        <is>
          <t>Deal 908</t>
        </is>
      </c>
      <c r="JU1" s="1" t="inlineStr">
        <is>
          <t>Deal 909</t>
        </is>
      </c>
      <c r="KE1" s="1" t="inlineStr">
        <is>
          <t>Deal 910</t>
        </is>
      </c>
      <c r="KO1" s="1" t="inlineStr">
        <is>
          <t>Deal 911</t>
        </is>
      </c>
      <c r="KY1" s="1" t="inlineStr">
        <is>
          <t>Deal 912</t>
        </is>
      </c>
      <c r="LI1" s="1" t="inlineStr">
        <is>
          <t>Deal 913</t>
        </is>
      </c>
      <c r="LS1" s="1" t="inlineStr">
        <is>
          <t>Deal 914</t>
        </is>
      </c>
      <c r="MC1" s="1" t="inlineStr">
        <is>
          <t>Deal 915</t>
        </is>
      </c>
      <c r="MM1" s="1" t="inlineStr">
        <is>
          <t>Deal 916</t>
        </is>
      </c>
      <c r="MW1" s="1" t="inlineStr">
        <is>
          <t>Deal 917</t>
        </is>
      </c>
      <c r="NG1" s="1" t="inlineStr">
        <is>
          <t>Deal 918</t>
        </is>
      </c>
      <c r="NQ1" s="1" t="inlineStr">
        <is>
          <t>Deal 919</t>
        </is>
      </c>
      <c r="OA1" s="1" t="inlineStr">
        <is>
          <t>Deal 920</t>
        </is>
      </c>
    </row>
    <row r="2">
      <c r="A2" s="2" t="inlineStr">
        <is>
          <t>AKAM US Equity</t>
        </is>
      </c>
      <c r="K2" s="2" t="inlineStr">
        <is>
          <t>VZ US Equity</t>
        </is>
      </c>
      <c r="U2" s="2" t="inlineStr">
        <is>
          <t>GEN US Equity</t>
        </is>
      </c>
      <c r="AE2" s="2" t="inlineStr">
        <is>
          <t>FANG US Equity</t>
        </is>
      </c>
      <c r="AO2" s="2" t="inlineStr">
        <is>
          <t>XOXOQ US Equity</t>
        </is>
      </c>
      <c r="AY2" s="2" t="inlineStr">
        <is>
          <t>EXXIQ US Equity</t>
        </is>
      </c>
      <c r="BI2" s="2" t="inlineStr">
        <is>
          <t>IEP US Equity</t>
        </is>
      </c>
      <c r="BS2" s="2" t="inlineStr">
        <is>
          <t>GR US Equity</t>
        </is>
      </c>
      <c r="CC2" s="2" t="inlineStr">
        <is>
          <t>ALK US Equity</t>
        </is>
      </c>
      <c r="CM2" s="2" t="inlineStr">
        <is>
          <t>STL US Equity</t>
        </is>
      </c>
      <c r="CW2" s="2" t="inlineStr">
        <is>
          <t>HES US Equity</t>
        </is>
      </c>
      <c r="DG2" s="2" t="inlineStr">
        <is>
          <t>GILD US Equity</t>
        </is>
      </c>
      <c r="DQ2" s="2" t="inlineStr">
        <is>
          <t>TMHC US Equity</t>
        </is>
      </c>
      <c r="EA2" s="2" t="inlineStr">
        <is>
          <t>VZ US Equity</t>
        </is>
      </c>
      <c r="EK2" s="2" t="inlineStr">
        <is>
          <t>HON US Equity</t>
        </is>
      </c>
      <c r="EU2" s="2" t="inlineStr">
        <is>
          <t>ZAYO US Equity</t>
        </is>
      </c>
      <c r="FE2" s="2" t="inlineStr">
        <is>
          <t>9990531D US Equity</t>
        </is>
      </c>
      <c r="FO2" s="2" t="inlineStr">
        <is>
          <t>RC US Equity</t>
        </is>
      </c>
      <c r="FY2" s="2" t="inlineStr">
        <is>
          <t>CTAS US Equity</t>
        </is>
      </c>
      <c r="GI2" s="2" t="inlineStr">
        <is>
          <t>PENN US Equity</t>
        </is>
      </c>
      <c r="GS2" s="2" t="inlineStr">
        <is>
          <t>CAH US Equity</t>
        </is>
      </c>
      <c r="HC2" s="2" t="inlineStr">
        <is>
          <t>FITB US Equity</t>
        </is>
      </c>
      <c r="HM2" s="2" t="inlineStr">
        <is>
          <t>GE US Equity</t>
        </is>
      </c>
      <c r="HW2" s="2" t="inlineStr">
        <is>
          <t>nan Equity</t>
        </is>
      </c>
      <c r="IG2" s="2" t="inlineStr">
        <is>
          <t>NXL US Equity</t>
        </is>
      </c>
      <c r="IQ2" s="2" t="inlineStr">
        <is>
          <t>BMY US Equity</t>
        </is>
      </c>
      <c r="JA2" s="2" t="inlineStr">
        <is>
          <t>HPQ US Equity</t>
        </is>
      </c>
      <c r="JK2" s="2" t="inlineStr">
        <is>
          <t>9876456D US Equity</t>
        </is>
      </c>
      <c r="JU2" s="2" t="inlineStr">
        <is>
          <t>AVB US Equity</t>
        </is>
      </c>
      <c r="KE2" s="2" t="inlineStr">
        <is>
          <t>HIG US Equity</t>
        </is>
      </c>
      <c r="KO2" s="2" t="inlineStr">
        <is>
          <t>LYB US Equity</t>
        </is>
      </c>
      <c r="KY2" s="2" t="inlineStr">
        <is>
          <t>PRGNQ US Equity</t>
        </is>
      </c>
      <c r="LI2" s="2" t="inlineStr">
        <is>
          <t>USB US Equity</t>
        </is>
      </c>
      <c r="LS2" s="2" t="inlineStr">
        <is>
          <t>TMO US Equity</t>
        </is>
      </c>
      <c r="MC2" s="2" t="inlineStr">
        <is>
          <t>DIN US Equity</t>
        </is>
      </c>
      <c r="MM2" s="2" t="inlineStr">
        <is>
          <t>QVCGA US Equity</t>
        </is>
      </c>
      <c r="MW2" s="2" t="inlineStr">
        <is>
          <t>BMY US Equity</t>
        </is>
      </c>
      <c r="NG2" s="2" t="inlineStr">
        <is>
          <t>2758954Q US Equity</t>
        </is>
      </c>
      <c r="NQ2" s="2" t="inlineStr">
        <is>
          <t>CAH US Equity</t>
        </is>
      </c>
      <c r="OA2" s="2" t="inlineStr">
        <is>
          <t>TYL US Equity</t>
        </is>
      </c>
    </row>
    <row r="3">
      <c r="A3" t="inlineStr">
        <is>
          <t>Ann: 2000-02-07</t>
        </is>
      </c>
      <c r="K3" t="inlineStr">
        <is>
          <t>Ann: 2016-08-01</t>
        </is>
      </c>
      <c r="U3" t="inlineStr">
        <is>
          <t>Ann: 2016-11-21</t>
        </is>
      </c>
      <c r="AE3" t="inlineStr">
        <is>
          <t>Ann: 2020-12-21</t>
        </is>
      </c>
      <c r="AO3" t="inlineStr">
        <is>
          <t>Ann: 2000-01-10</t>
        </is>
      </c>
      <c r="AY3" t="inlineStr">
        <is>
          <t>Ann: 2014-03-12</t>
        </is>
      </c>
      <c r="BI3" t="inlineStr">
        <is>
          <t>Ann: 2012-02-16</t>
        </is>
      </c>
      <c r="BS3" t="inlineStr">
        <is>
          <t>Ann: 1998-11-23</t>
        </is>
      </c>
      <c r="CC3" t="inlineStr">
        <is>
          <t>Ann: 2016-04-04</t>
        </is>
      </c>
      <c r="CM3" t="inlineStr">
        <is>
          <t>Ann: 2017-03-07</t>
        </is>
      </c>
      <c r="CW3" t="inlineStr">
        <is>
          <t>Ann: 2001-07-10</t>
        </is>
      </c>
      <c r="DG3" t="inlineStr">
        <is>
          <t>Ann: 2006-10-02</t>
        </is>
      </c>
      <c r="DQ3" t="inlineStr">
        <is>
          <t>Ann: 2019-11-06</t>
        </is>
      </c>
      <c r="EA3" t="inlineStr">
        <is>
          <t>Ann: 2017-05-11</t>
        </is>
      </c>
      <c r="EK3" t="inlineStr">
        <is>
          <t>Ann: 1999-12-20</t>
        </is>
      </c>
      <c r="EU3" t="inlineStr">
        <is>
          <t>Ann: 2012-03-19</t>
        </is>
      </c>
      <c r="FE3" t="inlineStr">
        <is>
          <t>Ann: 2004-03-04</t>
        </is>
      </c>
      <c r="FO3" t="inlineStr">
        <is>
          <t>Ann: 2020-12-07</t>
        </is>
      </c>
      <c r="FY3" t="inlineStr">
        <is>
          <t>Ann: 2016-08-16</t>
        </is>
      </c>
      <c r="GI3" t="inlineStr">
        <is>
          <t>Ann: 2004-11-03</t>
        </is>
      </c>
      <c r="GS3" t="inlineStr">
        <is>
          <t>Ann: 1998-05-18</t>
        </is>
      </c>
      <c r="HC3" t="inlineStr">
        <is>
          <t>Ann: 1999-06-16</t>
        </is>
      </c>
      <c r="HM3" t="inlineStr">
        <is>
          <t>Ann: 2001-03-30</t>
        </is>
      </c>
      <c r="HW3" t="inlineStr">
        <is>
          <t>Ann: 2004-10-18</t>
        </is>
      </c>
      <c r="IG3" t="inlineStr">
        <is>
          <t>Ann: 1998-05-14</t>
        </is>
      </c>
      <c r="IQ3" t="inlineStr">
        <is>
          <t>Ann: 2009-07-22</t>
        </is>
      </c>
      <c r="JA3" t="inlineStr">
        <is>
          <t>Ann: 2010-08-23</t>
        </is>
      </c>
      <c r="JK3" t="inlineStr">
        <is>
          <t>Ann: 2014-04-28</t>
        </is>
      </c>
      <c r="JU3" t="inlineStr">
        <is>
          <t>Ann: 1998-03-08</t>
        </is>
      </c>
      <c r="KE3" t="inlineStr">
        <is>
          <t>Ann: 2018-08-22</t>
        </is>
      </c>
      <c r="KO3" t="inlineStr">
        <is>
          <t>Ann: 2018-02-15</t>
        </is>
      </c>
      <c r="KY3" t="inlineStr">
        <is>
          <t>Ann: 2000-04-05</t>
        </is>
      </c>
      <c r="LI3" t="inlineStr">
        <is>
          <t>Ann: 2001-05-07</t>
        </is>
      </c>
      <c r="LS3" t="inlineStr">
        <is>
          <t>Ann: 2010-12-13</t>
        </is>
      </c>
      <c r="MC3" t="inlineStr">
        <is>
          <t>Ann: 2007-07-16</t>
        </is>
      </c>
      <c r="MM3" t="inlineStr">
        <is>
          <t>Ann: 2015-08-17</t>
        </is>
      </c>
      <c r="MW3" t="inlineStr">
        <is>
          <t>Ann: 2012-01-07</t>
        </is>
      </c>
      <c r="NG3" t="inlineStr">
        <is>
          <t>Ann: 2000-10-19</t>
        </is>
      </c>
      <c r="NQ3" t="inlineStr">
        <is>
          <t>Ann: 2000-12-04</t>
        </is>
      </c>
      <c r="OA3" t="inlineStr">
        <is>
          <t>Ann: 2021-02-10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BDS("AKAM US Equity","SUPPLY_CHAIN_SUPPLIERS","RELATIONSHIP_AS_OF_DATE","20000207")</f>
        <v/>
      </c>
      <c r="F5">
        <f>BDS("AKAM US Equity","SUPPLY_CHAIN_CUSTOMERS","RELATIONSHIP_AS_OF_DATE","20000207")</f>
        <v/>
      </c>
      <c r="K5">
        <f>BDS("VZ US Equity","SUPPLY_CHAIN_SUPPLIERS","RELATIONSHIP_AS_OF_DATE","20160801")</f>
        <v/>
      </c>
      <c r="P5">
        <f>BDS("VZ US Equity","SUPPLY_CHAIN_CUSTOMERS","RELATIONSHIP_AS_OF_DATE","20160801")</f>
        <v/>
      </c>
      <c r="U5">
        <f>BDS("GEN US Equity","SUPPLY_CHAIN_SUPPLIERS","RELATIONSHIP_AS_OF_DATE","20161121")</f>
        <v/>
      </c>
      <c r="Z5">
        <f>BDS("GEN US Equity","SUPPLY_CHAIN_CUSTOMERS","RELATIONSHIP_AS_OF_DATE","20161121")</f>
        <v/>
      </c>
      <c r="AE5">
        <f>BDS("FANG US Equity","SUPPLY_CHAIN_SUPPLIERS","RELATIONSHIP_AS_OF_DATE","20201221")</f>
        <v/>
      </c>
      <c r="AJ5">
        <f>BDS("FANG US Equity","SUPPLY_CHAIN_CUSTOMERS","RELATIONSHIP_AS_OF_DATE","20201221")</f>
        <v/>
      </c>
      <c r="AO5">
        <f>BDS("XOXOQ US Equity","SUPPLY_CHAIN_SUPPLIERS","RELATIONSHIP_AS_OF_DATE","20000110")</f>
        <v/>
      </c>
      <c r="AT5">
        <f>BDS("XOXOQ US Equity","SUPPLY_CHAIN_CUSTOMERS","RELATIONSHIP_AS_OF_DATE","20000110")</f>
        <v/>
      </c>
      <c r="AY5">
        <f>BDS("EXXIQ US Equity","SUPPLY_CHAIN_SUPPLIERS","RELATIONSHIP_AS_OF_DATE","20140312")</f>
        <v/>
      </c>
      <c r="BD5">
        <f>BDS("EXXIQ US Equity","SUPPLY_CHAIN_CUSTOMERS","RELATIONSHIP_AS_OF_DATE","20140312")</f>
        <v/>
      </c>
      <c r="BI5">
        <f>BDS("IEP US Equity","SUPPLY_CHAIN_SUPPLIERS","RELATIONSHIP_AS_OF_DATE","20120216")</f>
        <v/>
      </c>
      <c r="BN5">
        <f>BDS("IEP US Equity","SUPPLY_CHAIN_CUSTOMERS","RELATIONSHIP_AS_OF_DATE","20120216")</f>
        <v/>
      </c>
      <c r="BS5">
        <f>BDS("GR US Equity","SUPPLY_CHAIN_SUPPLIERS","RELATIONSHIP_AS_OF_DATE","19981123")</f>
        <v/>
      </c>
      <c r="BX5">
        <f>BDS("GR US Equity","SUPPLY_CHAIN_CUSTOMERS","RELATIONSHIP_AS_OF_DATE","19981123")</f>
        <v/>
      </c>
      <c r="CC5">
        <f>BDS("ALK US Equity","SUPPLY_CHAIN_SUPPLIERS","RELATIONSHIP_AS_OF_DATE","20160404")</f>
        <v/>
      </c>
      <c r="CH5">
        <f>BDS("ALK US Equity","SUPPLY_CHAIN_CUSTOMERS","RELATIONSHIP_AS_OF_DATE","20160404")</f>
        <v/>
      </c>
      <c r="CM5">
        <f>BDS("STL US Equity","SUPPLY_CHAIN_SUPPLIERS","RELATIONSHIP_AS_OF_DATE","20170307")</f>
        <v/>
      </c>
      <c r="CR5">
        <f>BDS("STL US Equity","SUPPLY_CHAIN_CUSTOMERS","RELATIONSHIP_AS_OF_DATE","20170307")</f>
        <v/>
      </c>
      <c r="CW5">
        <f>BDS("HES US Equity","SUPPLY_CHAIN_SUPPLIERS","RELATIONSHIP_AS_OF_DATE","20010710")</f>
        <v/>
      </c>
      <c r="DB5">
        <f>BDS("HES US Equity","SUPPLY_CHAIN_CUSTOMERS","RELATIONSHIP_AS_OF_DATE","20010710")</f>
        <v/>
      </c>
      <c r="DG5">
        <f>BDS("GILD US Equity","SUPPLY_CHAIN_SUPPLIERS","RELATIONSHIP_AS_OF_DATE","20061002")</f>
        <v/>
      </c>
      <c r="DL5">
        <f>BDS("GILD US Equity","SUPPLY_CHAIN_CUSTOMERS","RELATIONSHIP_AS_OF_DATE","20061002")</f>
        <v/>
      </c>
      <c r="DQ5">
        <f>BDS("TMHC US Equity","SUPPLY_CHAIN_SUPPLIERS","RELATIONSHIP_AS_OF_DATE","20191106")</f>
        <v/>
      </c>
      <c r="DV5">
        <f>BDS("TMHC US Equity","SUPPLY_CHAIN_CUSTOMERS","RELATIONSHIP_AS_OF_DATE","20191106")</f>
        <v/>
      </c>
      <c r="EA5">
        <f>BDS("VZ US Equity","SUPPLY_CHAIN_SUPPLIERS","RELATIONSHIP_AS_OF_DATE","20170511")</f>
        <v/>
      </c>
      <c r="EF5">
        <f>BDS("VZ US Equity","SUPPLY_CHAIN_CUSTOMERS","RELATIONSHIP_AS_OF_DATE","20170511")</f>
        <v/>
      </c>
      <c r="EK5">
        <f>BDS("HON US Equity","SUPPLY_CHAIN_SUPPLIERS","RELATIONSHIP_AS_OF_DATE","19991220")</f>
        <v/>
      </c>
      <c r="EP5">
        <f>BDS("HON US Equity","SUPPLY_CHAIN_CUSTOMERS","RELATIONSHIP_AS_OF_DATE","19991220")</f>
        <v/>
      </c>
      <c r="EU5">
        <f>BDS("ZAYO US Equity","SUPPLY_CHAIN_SUPPLIERS","RELATIONSHIP_AS_OF_DATE","20120319")</f>
        <v/>
      </c>
      <c r="EZ5">
        <f>BDS("ZAYO US Equity","SUPPLY_CHAIN_CUSTOMERS","RELATIONSHIP_AS_OF_DATE","20120319")</f>
        <v/>
      </c>
      <c r="FE5">
        <f>BDS("9990531D US Equity","SUPPLY_CHAIN_SUPPLIERS","RELATIONSHIP_AS_OF_DATE","20040304")</f>
        <v/>
      </c>
      <c r="FJ5">
        <f>BDS("9990531D US Equity","SUPPLY_CHAIN_CUSTOMERS","RELATIONSHIP_AS_OF_DATE","20040304")</f>
        <v/>
      </c>
      <c r="FO5">
        <f>BDS("RC US Equity","SUPPLY_CHAIN_SUPPLIERS","RELATIONSHIP_AS_OF_DATE","20201207")</f>
        <v/>
      </c>
      <c r="FT5">
        <f>BDS("RC US Equity","SUPPLY_CHAIN_CUSTOMERS","RELATIONSHIP_AS_OF_DATE","20201207")</f>
        <v/>
      </c>
      <c r="FY5">
        <f>BDS("CTAS US Equity","SUPPLY_CHAIN_SUPPLIERS","RELATIONSHIP_AS_OF_DATE","20160816")</f>
        <v/>
      </c>
      <c r="GD5">
        <f>BDS("CTAS US Equity","SUPPLY_CHAIN_CUSTOMERS","RELATIONSHIP_AS_OF_DATE","20160816")</f>
        <v/>
      </c>
      <c r="GI5">
        <f>BDS("PENN US Equity","SUPPLY_CHAIN_SUPPLIERS","RELATIONSHIP_AS_OF_DATE","20041103")</f>
        <v/>
      </c>
      <c r="GN5">
        <f>BDS("PENN US Equity","SUPPLY_CHAIN_CUSTOMERS","RELATIONSHIP_AS_OF_DATE","20041103")</f>
        <v/>
      </c>
      <c r="GS5">
        <f>BDS("CAH US Equity","SUPPLY_CHAIN_SUPPLIERS","RELATIONSHIP_AS_OF_DATE","19980518")</f>
        <v/>
      </c>
      <c r="GX5">
        <f>BDS("CAH US Equity","SUPPLY_CHAIN_CUSTOMERS","RELATIONSHIP_AS_OF_DATE","19980518")</f>
        <v/>
      </c>
      <c r="HC5">
        <f>BDS("FITB US Equity","SUPPLY_CHAIN_SUPPLIERS","RELATIONSHIP_AS_OF_DATE","19990616")</f>
        <v/>
      </c>
      <c r="HH5">
        <f>BDS("FITB US Equity","SUPPLY_CHAIN_CUSTOMERS","RELATIONSHIP_AS_OF_DATE","19990616")</f>
        <v/>
      </c>
      <c r="HM5">
        <f>BDS("GE US Equity","SUPPLY_CHAIN_SUPPLIERS","RELATIONSHIP_AS_OF_DATE","20010330")</f>
        <v/>
      </c>
      <c r="HR5">
        <f>BDS("GE US Equity","SUPPLY_CHAIN_CUSTOMERS","RELATIONSHIP_AS_OF_DATE","20010330")</f>
        <v/>
      </c>
      <c r="HW5">
        <f>BDS("nan Equity","SUPPLY_CHAIN_SUPPLIERS","RELATIONSHIP_AS_OF_DATE","20041018")</f>
        <v/>
      </c>
      <c r="IB5">
        <f>BDS("nan Equity","SUPPLY_CHAIN_CUSTOMERS","RELATIONSHIP_AS_OF_DATE","20041018")</f>
        <v/>
      </c>
      <c r="IG5">
        <f>BDS("NXL US Equity","SUPPLY_CHAIN_SUPPLIERS","RELATIONSHIP_AS_OF_DATE","19980514")</f>
        <v/>
      </c>
      <c r="IL5">
        <f>BDS("NXL US Equity","SUPPLY_CHAIN_CUSTOMERS","RELATIONSHIP_AS_OF_DATE","19980514")</f>
        <v/>
      </c>
      <c r="IQ5">
        <f>BDS("BMY US Equity","SUPPLY_CHAIN_SUPPLIERS","RELATIONSHIP_AS_OF_DATE","20090722")</f>
        <v/>
      </c>
      <c r="IV5">
        <f>BDS("BMY US Equity","SUPPLY_CHAIN_CUSTOMERS","RELATIONSHIP_AS_OF_DATE","20090722")</f>
        <v/>
      </c>
      <c r="JA5">
        <f>BDS("HPQ US Equity","SUPPLY_CHAIN_SUPPLIERS","RELATIONSHIP_AS_OF_DATE","20100823")</f>
        <v/>
      </c>
      <c r="JF5">
        <f>BDS("HPQ US Equity","SUPPLY_CHAIN_CUSTOMERS","RELATIONSHIP_AS_OF_DATE","20100823")</f>
        <v/>
      </c>
      <c r="JK5">
        <f>BDS("9876456D US Equity","SUPPLY_CHAIN_SUPPLIERS","RELATIONSHIP_AS_OF_DATE","20140428")</f>
        <v/>
      </c>
      <c r="JP5">
        <f>BDS("9876456D US Equity","SUPPLY_CHAIN_CUSTOMERS","RELATIONSHIP_AS_OF_DATE","20140428")</f>
        <v/>
      </c>
      <c r="JU5">
        <f>BDS("AVB US Equity","SUPPLY_CHAIN_SUPPLIERS","RELATIONSHIP_AS_OF_DATE","19980308")</f>
        <v/>
      </c>
      <c r="JZ5">
        <f>BDS("AVB US Equity","SUPPLY_CHAIN_CUSTOMERS","RELATIONSHIP_AS_OF_DATE","19980308")</f>
        <v/>
      </c>
      <c r="KE5">
        <f>BDS("HIG US Equity","SUPPLY_CHAIN_SUPPLIERS","RELATIONSHIP_AS_OF_DATE","20180822")</f>
        <v/>
      </c>
      <c r="KJ5">
        <f>BDS("HIG US Equity","SUPPLY_CHAIN_CUSTOMERS","RELATIONSHIP_AS_OF_DATE","20180822")</f>
        <v/>
      </c>
      <c r="KO5">
        <f>BDS("LYB US Equity","SUPPLY_CHAIN_SUPPLIERS","RELATIONSHIP_AS_OF_DATE","20180215")</f>
        <v/>
      </c>
      <c r="KT5">
        <f>BDS("LYB US Equity","SUPPLY_CHAIN_CUSTOMERS","RELATIONSHIP_AS_OF_DATE","20180215")</f>
        <v/>
      </c>
      <c r="KY5">
        <f>BDS("PRGNQ US Equity","SUPPLY_CHAIN_SUPPLIERS","RELATIONSHIP_AS_OF_DATE","20000405")</f>
        <v/>
      </c>
      <c r="LD5">
        <f>BDS("PRGNQ US Equity","SUPPLY_CHAIN_CUSTOMERS","RELATIONSHIP_AS_OF_DATE","20000405")</f>
        <v/>
      </c>
      <c r="LI5">
        <f>BDS("USB US Equity","SUPPLY_CHAIN_SUPPLIERS","RELATIONSHIP_AS_OF_DATE","20010507")</f>
        <v/>
      </c>
      <c r="LN5">
        <f>BDS("USB US Equity","SUPPLY_CHAIN_CUSTOMERS","RELATIONSHIP_AS_OF_DATE","20010507")</f>
        <v/>
      </c>
      <c r="LS5">
        <f>BDS("TMO US Equity","SUPPLY_CHAIN_SUPPLIERS","RELATIONSHIP_AS_OF_DATE","20101213")</f>
        <v/>
      </c>
      <c r="LX5">
        <f>BDS("TMO US Equity","SUPPLY_CHAIN_CUSTOMERS","RELATIONSHIP_AS_OF_DATE","20101213")</f>
        <v/>
      </c>
      <c r="MC5">
        <f>BDS("DIN US Equity","SUPPLY_CHAIN_SUPPLIERS","RELATIONSHIP_AS_OF_DATE","20070716")</f>
        <v/>
      </c>
      <c r="MH5">
        <f>BDS("DIN US Equity","SUPPLY_CHAIN_CUSTOMERS","RELATIONSHIP_AS_OF_DATE","20070716")</f>
        <v/>
      </c>
      <c r="MM5">
        <f>BDS("QVCGA US Equity","SUPPLY_CHAIN_SUPPLIERS","RELATIONSHIP_AS_OF_DATE","20150817")</f>
        <v/>
      </c>
      <c r="MR5">
        <f>BDS("QVCGA US Equity","SUPPLY_CHAIN_CUSTOMERS","RELATIONSHIP_AS_OF_DATE","20150817")</f>
        <v/>
      </c>
      <c r="MW5">
        <f>BDS("BMY US Equity","SUPPLY_CHAIN_SUPPLIERS","RELATIONSHIP_AS_OF_DATE","20120107")</f>
        <v/>
      </c>
      <c r="NB5">
        <f>BDS("BMY US Equity","SUPPLY_CHAIN_CUSTOMERS","RELATIONSHIP_AS_OF_DATE","20120107")</f>
        <v/>
      </c>
      <c r="NG5">
        <f>BDS("2758954Q US Equity","SUPPLY_CHAIN_SUPPLIERS","RELATIONSHIP_AS_OF_DATE","20001019")</f>
        <v/>
      </c>
      <c r="NL5">
        <f>BDS("2758954Q US Equity","SUPPLY_CHAIN_CUSTOMERS","RELATIONSHIP_AS_OF_DATE","20001019")</f>
        <v/>
      </c>
      <c r="NQ5">
        <f>BDS("CAH US Equity","SUPPLY_CHAIN_SUPPLIERS","RELATIONSHIP_AS_OF_DATE","20001204")</f>
        <v/>
      </c>
      <c r="NV5">
        <f>BDS("CAH US Equity","SUPPLY_CHAIN_CUSTOMERS","RELATIONSHIP_AS_OF_DATE","20001204")</f>
        <v/>
      </c>
      <c r="OA5">
        <f>BDS("TYL US Equity","SUPPLY_CHAIN_SUPPLIERS","RELATIONSHIP_AS_OF_DATE","20210210")</f>
        <v/>
      </c>
      <c r="OF5">
        <f>BDS("TYL US Equity","SUPPLY_CHAIN_CUSTOMERS","RELATIONSHIP_AS_OF_DATE","20210210")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921</t>
        </is>
      </c>
      <c r="K1" s="1" t="inlineStr">
        <is>
          <t>Deal 922</t>
        </is>
      </c>
      <c r="U1" s="1" t="inlineStr">
        <is>
          <t>Deal 923</t>
        </is>
      </c>
      <c r="AE1" s="1" t="inlineStr">
        <is>
          <t>Deal 924</t>
        </is>
      </c>
      <c r="AO1" s="1" t="inlineStr">
        <is>
          <t>Deal 925</t>
        </is>
      </c>
      <c r="AY1" s="1" t="inlineStr">
        <is>
          <t>Deal 926</t>
        </is>
      </c>
      <c r="BI1" s="1" t="inlineStr">
        <is>
          <t>Deal 927</t>
        </is>
      </c>
      <c r="BS1" s="1" t="inlineStr">
        <is>
          <t>Deal 928</t>
        </is>
      </c>
      <c r="CC1" s="1" t="inlineStr">
        <is>
          <t>Deal 929</t>
        </is>
      </c>
      <c r="CM1" s="1" t="inlineStr">
        <is>
          <t>Deal 930</t>
        </is>
      </c>
      <c r="CW1" s="1" t="inlineStr">
        <is>
          <t>Deal 931</t>
        </is>
      </c>
      <c r="DG1" s="1" t="inlineStr">
        <is>
          <t>Deal 932</t>
        </is>
      </c>
      <c r="DQ1" s="1" t="inlineStr">
        <is>
          <t>Deal 933</t>
        </is>
      </c>
      <c r="EA1" s="1" t="inlineStr">
        <is>
          <t>Deal 934</t>
        </is>
      </c>
      <c r="EK1" s="1" t="inlineStr">
        <is>
          <t>Deal 935</t>
        </is>
      </c>
      <c r="EU1" s="1" t="inlineStr">
        <is>
          <t>Deal 936</t>
        </is>
      </c>
      <c r="FE1" s="1" t="inlineStr">
        <is>
          <t>Deal 937</t>
        </is>
      </c>
      <c r="FO1" s="1" t="inlineStr">
        <is>
          <t>Deal 938</t>
        </is>
      </c>
      <c r="FY1" s="1" t="inlineStr">
        <is>
          <t>Deal 939</t>
        </is>
      </c>
      <c r="GI1" s="1" t="inlineStr">
        <is>
          <t>Deal 940</t>
        </is>
      </c>
      <c r="GS1" s="1" t="inlineStr">
        <is>
          <t>Deal 941</t>
        </is>
      </c>
      <c r="HC1" s="1" t="inlineStr">
        <is>
          <t>Deal 942</t>
        </is>
      </c>
      <c r="HM1" s="1" t="inlineStr">
        <is>
          <t>Deal 943</t>
        </is>
      </c>
      <c r="HW1" s="1" t="inlineStr">
        <is>
          <t>Deal 944</t>
        </is>
      </c>
      <c r="IG1" s="1" t="inlineStr">
        <is>
          <t>Deal 945</t>
        </is>
      </c>
      <c r="IQ1" s="1" t="inlineStr">
        <is>
          <t>Deal 946</t>
        </is>
      </c>
      <c r="JA1" s="1" t="inlineStr">
        <is>
          <t>Deal 947</t>
        </is>
      </c>
      <c r="JK1" s="1" t="inlineStr">
        <is>
          <t>Deal 948</t>
        </is>
      </c>
      <c r="JU1" s="1" t="inlineStr">
        <is>
          <t>Deal 949</t>
        </is>
      </c>
      <c r="KE1" s="1" t="inlineStr">
        <is>
          <t>Deal 950</t>
        </is>
      </c>
      <c r="KO1" s="1" t="inlineStr">
        <is>
          <t>Deal 951</t>
        </is>
      </c>
      <c r="KY1" s="1" t="inlineStr">
        <is>
          <t>Deal 952</t>
        </is>
      </c>
      <c r="LI1" s="1" t="inlineStr">
        <is>
          <t>Deal 953</t>
        </is>
      </c>
      <c r="LS1" s="1" t="inlineStr">
        <is>
          <t>Deal 954</t>
        </is>
      </c>
      <c r="MC1" s="1" t="inlineStr">
        <is>
          <t>Deal 955</t>
        </is>
      </c>
      <c r="MM1" s="1" t="inlineStr">
        <is>
          <t>Deal 956</t>
        </is>
      </c>
      <c r="MW1" s="1" t="inlineStr">
        <is>
          <t>Deal 957</t>
        </is>
      </c>
      <c r="NG1" s="1" t="inlineStr">
        <is>
          <t>Deal 958</t>
        </is>
      </c>
      <c r="NQ1" s="1" t="inlineStr">
        <is>
          <t>Deal 959</t>
        </is>
      </c>
      <c r="OA1" s="1" t="inlineStr">
        <is>
          <t>Deal 960</t>
        </is>
      </c>
    </row>
    <row r="2">
      <c r="A2" s="2" t="inlineStr">
        <is>
          <t>2258717D US Equity</t>
        </is>
      </c>
      <c r="K2" s="2" t="inlineStr">
        <is>
          <t>PNFP US Equity</t>
        </is>
      </c>
      <c r="U2" s="2" t="inlineStr">
        <is>
          <t>FCNCA US Equity</t>
        </is>
      </c>
      <c r="AE2" s="2" t="inlineStr">
        <is>
          <t>XEC US Equity</t>
        </is>
      </c>
      <c r="AO2" s="2" t="inlineStr">
        <is>
          <t>ARWLQ US Equity</t>
        </is>
      </c>
      <c r="AY2" s="2" t="inlineStr">
        <is>
          <t>TGNA US Equity</t>
        </is>
      </c>
      <c r="BI2" s="2" t="inlineStr">
        <is>
          <t>PB US Equity</t>
        </is>
      </c>
      <c r="BS2" s="2" t="inlineStr">
        <is>
          <t>2083Q US Equity</t>
        </is>
      </c>
      <c r="CC2" s="2" t="inlineStr">
        <is>
          <t>STCN US Equity</t>
        </is>
      </c>
      <c r="CM2" s="2" t="inlineStr">
        <is>
          <t>FIBK US Equity</t>
        </is>
      </c>
      <c r="CW2" s="2" t="inlineStr">
        <is>
          <t>SLXP US Equity</t>
        </is>
      </c>
      <c r="DG2" s="2" t="inlineStr">
        <is>
          <t>CAH US Equity</t>
        </is>
      </c>
      <c r="DQ2" s="2" t="inlineStr">
        <is>
          <t>BKB US Equity</t>
        </is>
      </c>
      <c r="EA2" s="2" t="inlineStr">
        <is>
          <t>ASNAQ US Equity</t>
        </is>
      </c>
      <c r="EK2" s="2" t="inlineStr">
        <is>
          <t>EQR US Equity</t>
        </is>
      </c>
      <c r="EU2" s="2" t="inlineStr">
        <is>
          <t>1816375D US Equity</t>
        </is>
      </c>
      <c r="FE2" s="2" t="inlineStr">
        <is>
          <t>BA US Equity</t>
        </is>
      </c>
      <c r="FO2" s="2" t="inlineStr">
        <is>
          <t>HI US Equity</t>
        </is>
      </c>
      <c r="FY2" s="2" t="inlineStr">
        <is>
          <t>APO US Equity</t>
        </is>
      </c>
      <c r="GI2" s="2" t="inlineStr">
        <is>
          <t>TFX US Equity</t>
        </is>
      </c>
      <c r="GS2" s="2" t="inlineStr">
        <is>
          <t>PKG US Equity</t>
        </is>
      </c>
      <c r="HC2" s="2" t="inlineStr">
        <is>
          <t>JLL US Equity</t>
        </is>
      </c>
      <c r="HM2" s="2" t="inlineStr">
        <is>
          <t>BPO CN Equity</t>
        </is>
      </c>
      <c r="HW2" s="2" t="inlineStr">
        <is>
          <t>DHR US Equity</t>
        </is>
      </c>
      <c r="IG2" s="2" t="inlineStr">
        <is>
          <t>1822785D US Equity</t>
        </is>
      </c>
      <c r="IQ2" s="2" t="inlineStr">
        <is>
          <t>MCLDQ US Equity</t>
        </is>
      </c>
      <c r="JA2" s="2" t="inlineStr">
        <is>
          <t>2258717D US Equity</t>
        </is>
      </c>
      <c r="JK2" s="2" t="inlineStr">
        <is>
          <t>VFC US Equity</t>
        </is>
      </c>
      <c r="JU2" s="2" t="inlineStr">
        <is>
          <t>NCC US Equity</t>
        </is>
      </c>
      <c r="KE2" s="2" t="inlineStr">
        <is>
          <t>VMC US Equity</t>
        </is>
      </c>
      <c r="KO2" s="2" t="inlineStr">
        <is>
          <t>PXD US Equity</t>
        </is>
      </c>
      <c r="KY2" s="2" t="inlineStr">
        <is>
          <t>CLX US Equity</t>
        </is>
      </c>
      <c r="LI2" s="2" t="inlineStr">
        <is>
          <t>ADI US Equity</t>
        </is>
      </c>
      <c r="LS2" s="2" t="inlineStr">
        <is>
          <t>EA US Equity</t>
        </is>
      </c>
      <c r="MC2" s="2" t="inlineStr">
        <is>
          <t>GWR US Equity</t>
        </is>
      </c>
      <c r="MM2" s="2" t="inlineStr">
        <is>
          <t>ETFC US Equity</t>
        </is>
      </c>
      <c r="MW2" s="2" t="inlineStr">
        <is>
          <t>VIAV US Equity</t>
        </is>
      </c>
      <c r="NG2" s="2" t="inlineStr">
        <is>
          <t>MRSH US Equity</t>
        </is>
      </c>
      <c r="NQ2" s="2" t="inlineStr">
        <is>
          <t>DRS US Equity</t>
        </is>
      </c>
      <c r="OA2" s="2" t="inlineStr">
        <is>
          <t>X US Equity</t>
        </is>
      </c>
    </row>
    <row r="3">
      <c r="A3" t="inlineStr">
        <is>
          <t>Ann: 2006-06-29</t>
        </is>
      </c>
      <c r="K3" t="inlineStr">
        <is>
          <t>Ann: 2017-01-22</t>
        </is>
      </c>
      <c r="U3" t="inlineStr">
        <is>
          <t>Ann: 2020-10-16</t>
        </is>
      </c>
      <c r="AE3" t="inlineStr">
        <is>
          <t>Ann: 2005-01-26</t>
        </is>
      </c>
      <c r="AO3" t="inlineStr">
        <is>
          <t>Ann: 1999-11-08</t>
        </is>
      </c>
      <c r="AY3" t="inlineStr">
        <is>
          <t>Ann: 2013-06-13</t>
        </is>
      </c>
      <c r="BI3" t="inlineStr">
        <is>
          <t>Ann: 2019-06-17</t>
        </is>
      </c>
      <c r="BS3" t="inlineStr">
        <is>
          <t>Ann: 1996-04-01</t>
        </is>
      </c>
      <c r="CC3" t="inlineStr">
        <is>
          <t>Ann: 1999-06-29</t>
        </is>
      </c>
      <c r="CM3" t="inlineStr">
        <is>
          <t>Ann: 2021-09-16</t>
        </is>
      </c>
      <c r="CW3" t="inlineStr">
        <is>
          <t>Ann: 2013-11-07</t>
        </is>
      </c>
      <c r="DG3" t="inlineStr">
        <is>
          <t>Ann: 2004-05-19</t>
        </is>
      </c>
      <c r="DQ3" t="inlineStr">
        <is>
          <t>Ann: 1995-12-12</t>
        </is>
      </c>
      <c r="EA3" t="inlineStr">
        <is>
          <t>Ann: 2015-05-18</t>
        </is>
      </c>
      <c r="EK3" t="inlineStr">
        <is>
          <t>Ann: 1998-07-08</t>
        </is>
      </c>
      <c r="EU3" t="inlineStr">
        <is>
          <t>Ann: 2014-12-22</t>
        </is>
      </c>
      <c r="FE3" t="inlineStr">
        <is>
          <t>Ann: 2006-05-01</t>
        </is>
      </c>
      <c r="FO3" t="inlineStr">
        <is>
          <t>Ann: 2019-07-12</t>
        </is>
      </c>
      <c r="FY3" t="inlineStr">
        <is>
          <t>Ann: 2019-04-16</t>
        </is>
      </c>
      <c r="GI3" t="inlineStr">
        <is>
          <t>Ann: 2007-07-23</t>
        </is>
      </c>
      <c r="GS3" t="inlineStr">
        <is>
          <t>Ann: 2013-09-16</t>
        </is>
      </c>
      <c r="HC3" t="inlineStr">
        <is>
          <t>Ann: 2019-03-19</t>
        </is>
      </c>
      <c r="HM3" t="inlineStr">
        <is>
          <t>Ann: 2013-04-25</t>
        </is>
      </c>
      <c r="HW3" t="inlineStr">
        <is>
          <t>Ann: 2006-04-12</t>
        </is>
      </c>
      <c r="IG3" t="inlineStr">
        <is>
          <t>Ann: 1998-02-23</t>
        </is>
      </c>
      <c r="IQ3" t="inlineStr">
        <is>
          <t>Ann: 2000-01-07</t>
        </is>
      </c>
      <c r="JA3" t="inlineStr">
        <is>
          <t>Ann: 2009-06-01</t>
        </is>
      </c>
      <c r="JK3" t="inlineStr">
        <is>
          <t>Ann: 2011-06-13</t>
        </is>
      </c>
      <c r="JU3" t="inlineStr">
        <is>
          <t>Ann: 2004-02-17</t>
        </is>
      </c>
      <c r="KE3" t="inlineStr">
        <is>
          <t>Ann: 2021-06-07</t>
        </is>
      </c>
      <c r="KO3" t="inlineStr">
        <is>
          <t>Ann: 2004-05-04</t>
        </is>
      </c>
      <c r="KY3" t="inlineStr">
        <is>
          <t>Ann: 1998-10-19</t>
        </is>
      </c>
      <c r="LI3" t="inlineStr">
        <is>
          <t>Ann: 2014-06-09</t>
        </is>
      </c>
      <c r="LS3" t="inlineStr">
        <is>
          <t>Ann: 2021-02-08</t>
        </is>
      </c>
      <c r="MC3" t="inlineStr">
        <is>
          <t>Ann: 2012-07-23</t>
        </is>
      </c>
      <c r="MM3" t="inlineStr">
        <is>
          <t>Ann: 1999-06-01</t>
        </is>
      </c>
      <c r="MW3" t="inlineStr">
        <is>
          <t>Ann: 1999-11-04</t>
        </is>
      </c>
      <c r="NG3" t="inlineStr">
        <is>
          <t>Ann: 2004-05-18</t>
        </is>
      </c>
      <c r="NQ3" t="inlineStr">
        <is>
          <t>Ann: 2005-09-22</t>
        </is>
      </c>
      <c r="OA3" t="inlineStr">
        <is>
          <t>Ann: 2007-03-29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BDS("2258717D US Equity","SUPPLY_CHAIN_SUPPLIERS","RELATIONSHIP_AS_OF_DATE","20060629")</f>
        <v/>
      </c>
      <c r="F5">
        <f>BDS("2258717D US Equity","SUPPLY_CHAIN_CUSTOMERS","RELATIONSHIP_AS_OF_DATE","20060629")</f>
        <v/>
      </c>
      <c r="K5">
        <f>BDS("PNFP US Equity","SUPPLY_CHAIN_SUPPLIERS","RELATIONSHIP_AS_OF_DATE","20170122")</f>
        <v/>
      </c>
      <c r="P5">
        <f>BDS("PNFP US Equity","SUPPLY_CHAIN_CUSTOMERS","RELATIONSHIP_AS_OF_DATE","20170122")</f>
        <v/>
      </c>
      <c r="U5">
        <f>BDS("FCNCA US Equity","SUPPLY_CHAIN_SUPPLIERS","RELATIONSHIP_AS_OF_DATE","20201016")</f>
        <v/>
      </c>
      <c r="Z5">
        <f>BDS("FCNCA US Equity","SUPPLY_CHAIN_CUSTOMERS","RELATIONSHIP_AS_OF_DATE","20201016")</f>
        <v/>
      </c>
      <c r="AE5">
        <f>BDS("XEC US Equity","SUPPLY_CHAIN_SUPPLIERS","RELATIONSHIP_AS_OF_DATE","20050126")</f>
        <v/>
      </c>
      <c r="AJ5">
        <f>BDS("XEC US Equity","SUPPLY_CHAIN_CUSTOMERS","RELATIONSHIP_AS_OF_DATE","20050126")</f>
        <v/>
      </c>
      <c r="AO5">
        <f>BDS("ARWLQ US Equity","SUPPLY_CHAIN_SUPPLIERS","RELATIONSHIP_AS_OF_DATE","19991108")</f>
        <v/>
      </c>
      <c r="AT5">
        <f>BDS("ARWLQ US Equity","SUPPLY_CHAIN_CUSTOMERS","RELATIONSHIP_AS_OF_DATE","19991108")</f>
        <v/>
      </c>
      <c r="AY5">
        <f>BDS("TGNA US Equity","SUPPLY_CHAIN_SUPPLIERS","RELATIONSHIP_AS_OF_DATE","20130613")</f>
        <v/>
      </c>
      <c r="BD5">
        <f>BDS("TGNA US Equity","SUPPLY_CHAIN_CUSTOMERS","RELATIONSHIP_AS_OF_DATE","20130613")</f>
        <v/>
      </c>
      <c r="BI5">
        <f>BDS("PB US Equity","SUPPLY_CHAIN_SUPPLIERS","RELATIONSHIP_AS_OF_DATE","20190617")</f>
        <v/>
      </c>
      <c r="BN5">
        <f>BDS("PB US Equity","SUPPLY_CHAIN_CUSTOMERS","RELATIONSHIP_AS_OF_DATE","20190617")</f>
        <v/>
      </c>
      <c r="BS5">
        <f>BDS("2083Q US Equity","SUPPLY_CHAIN_SUPPLIERS","RELATIONSHIP_AS_OF_DATE","19960401")</f>
        <v/>
      </c>
      <c r="BX5">
        <f>BDS("2083Q US Equity","SUPPLY_CHAIN_CUSTOMERS","RELATIONSHIP_AS_OF_DATE","19960401")</f>
        <v/>
      </c>
      <c r="CC5">
        <f>BDS("STCN US Equity","SUPPLY_CHAIN_SUPPLIERS","RELATIONSHIP_AS_OF_DATE","19990629")</f>
        <v/>
      </c>
      <c r="CH5">
        <f>BDS("STCN US Equity","SUPPLY_CHAIN_CUSTOMERS","RELATIONSHIP_AS_OF_DATE","19990629")</f>
        <v/>
      </c>
      <c r="CM5">
        <f>BDS("FIBK US Equity","SUPPLY_CHAIN_SUPPLIERS","RELATIONSHIP_AS_OF_DATE","20210916")</f>
        <v/>
      </c>
      <c r="CR5">
        <f>BDS("FIBK US Equity","SUPPLY_CHAIN_CUSTOMERS","RELATIONSHIP_AS_OF_DATE","20210916")</f>
        <v/>
      </c>
      <c r="CW5">
        <f>BDS("SLXP US Equity","SUPPLY_CHAIN_SUPPLIERS","RELATIONSHIP_AS_OF_DATE","20131107")</f>
        <v/>
      </c>
      <c r="DB5">
        <f>BDS("SLXP US Equity","SUPPLY_CHAIN_CUSTOMERS","RELATIONSHIP_AS_OF_DATE","20131107")</f>
        <v/>
      </c>
      <c r="DG5">
        <f>BDS("CAH US Equity","SUPPLY_CHAIN_SUPPLIERS","RELATIONSHIP_AS_OF_DATE","20040519")</f>
        <v/>
      </c>
      <c r="DL5">
        <f>BDS("CAH US Equity","SUPPLY_CHAIN_CUSTOMERS","RELATIONSHIP_AS_OF_DATE","20040519")</f>
        <v/>
      </c>
      <c r="DQ5">
        <f>BDS("BKB US Equity","SUPPLY_CHAIN_SUPPLIERS","RELATIONSHIP_AS_OF_DATE","19951212")</f>
        <v/>
      </c>
      <c r="DV5">
        <f>BDS("BKB US Equity","SUPPLY_CHAIN_CUSTOMERS","RELATIONSHIP_AS_OF_DATE","19951212")</f>
        <v/>
      </c>
      <c r="EA5">
        <f>BDS("ASNAQ US Equity","SUPPLY_CHAIN_SUPPLIERS","RELATIONSHIP_AS_OF_DATE","20150518")</f>
        <v/>
      </c>
      <c r="EF5">
        <f>BDS("ASNAQ US Equity","SUPPLY_CHAIN_CUSTOMERS","RELATIONSHIP_AS_OF_DATE","20150518")</f>
        <v/>
      </c>
      <c r="EK5">
        <f>BDS("EQR US Equity","SUPPLY_CHAIN_SUPPLIERS","RELATIONSHIP_AS_OF_DATE","19980708")</f>
        <v/>
      </c>
      <c r="EP5">
        <f>BDS("EQR US Equity","SUPPLY_CHAIN_CUSTOMERS","RELATIONSHIP_AS_OF_DATE","19980708")</f>
        <v/>
      </c>
      <c r="EU5">
        <f>BDS("1816375D US Equity","SUPPLY_CHAIN_SUPPLIERS","RELATIONSHIP_AS_OF_DATE","20141222")</f>
        <v/>
      </c>
      <c r="EZ5">
        <f>BDS("1816375D US Equity","SUPPLY_CHAIN_CUSTOMERS","RELATIONSHIP_AS_OF_DATE","20141222")</f>
        <v/>
      </c>
      <c r="FE5">
        <f>BDS("BA US Equity","SUPPLY_CHAIN_SUPPLIERS","RELATIONSHIP_AS_OF_DATE","20060501")</f>
        <v/>
      </c>
      <c r="FJ5">
        <f>BDS("BA US Equity","SUPPLY_CHAIN_CUSTOMERS","RELATIONSHIP_AS_OF_DATE","20060501")</f>
        <v/>
      </c>
      <c r="FO5">
        <f>BDS("HI US Equity","SUPPLY_CHAIN_SUPPLIERS","RELATIONSHIP_AS_OF_DATE","20190712")</f>
        <v/>
      </c>
      <c r="FT5">
        <f>BDS("HI US Equity","SUPPLY_CHAIN_CUSTOMERS","RELATIONSHIP_AS_OF_DATE","20190712")</f>
        <v/>
      </c>
      <c r="FY5">
        <f>BDS("APO US Equity","SUPPLY_CHAIN_SUPPLIERS","RELATIONSHIP_AS_OF_DATE","20190416")</f>
        <v/>
      </c>
      <c r="GD5">
        <f>BDS("APO US Equity","SUPPLY_CHAIN_CUSTOMERS","RELATIONSHIP_AS_OF_DATE","20190416")</f>
        <v/>
      </c>
      <c r="GI5">
        <f>BDS("TFX US Equity","SUPPLY_CHAIN_SUPPLIERS","RELATIONSHIP_AS_OF_DATE","20070723")</f>
        <v/>
      </c>
      <c r="GN5">
        <f>BDS("TFX US Equity","SUPPLY_CHAIN_CUSTOMERS","RELATIONSHIP_AS_OF_DATE","20070723")</f>
        <v/>
      </c>
      <c r="GS5">
        <f>BDS("PKG US Equity","SUPPLY_CHAIN_SUPPLIERS","RELATIONSHIP_AS_OF_DATE","20130916")</f>
        <v/>
      </c>
      <c r="GX5">
        <f>BDS("PKG US Equity","SUPPLY_CHAIN_CUSTOMERS","RELATIONSHIP_AS_OF_DATE","20130916")</f>
        <v/>
      </c>
      <c r="HC5">
        <f>BDS("JLL US Equity","SUPPLY_CHAIN_SUPPLIERS","RELATIONSHIP_AS_OF_DATE","20190319")</f>
        <v/>
      </c>
      <c r="HH5">
        <f>BDS("JLL US Equity","SUPPLY_CHAIN_CUSTOMERS","RELATIONSHIP_AS_OF_DATE","20190319")</f>
        <v/>
      </c>
      <c r="HM5">
        <f>BDS("BPO CN Equity","SUPPLY_CHAIN_SUPPLIERS","RELATIONSHIP_AS_OF_DATE","20130425")</f>
        <v/>
      </c>
      <c r="HR5">
        <f>BDS("BPO CN Equity","SUPPLY_CHAIN_CUSTOMERS","RELATIONSHIP_AS_OF_DATE","20130425")</f>
        <v/>
      </c>
      <c r="HW5">
        <f>BDS("DHR US Equity","SUPPLY_CHAIN_SUPPLIERS","RELATIONSHIP_AS_OF_DATE","20060412")</f>
        <v/>
      </c>
      <c r="IB5">
        <f>BDS("DHR US Equity","SUPPLY_CHAIN_CUSTOMERS","RELATIONSHIP_AS_OF_DATE","20060412")</f>
        <v/>
      </c>
      <c r="IG5">
        <f>BDS("1822785D US Equity","SUPPLY_CHAIN_SUPPLIERS","RELATIONSHIP_AS_OF_DATE","19980223")</f>
        <v/>
      </c>
      <c r="IL5">
        <f>BDS("1822785D US Equity","SUPPLY_CHAIN_CUSTOMERS","RELATIONSHIP_AS_OF_DATE","19980223")</f>
        <v/>
      </c>
      <c r="IQ5">
        <f>BDS("MCLDQ US Equity","SUPPLY_CHAIN_SUPPLIERS","RELATIONSHIP_AS_OF_DATE","20000107")</f>
        <v/>
      </c>
      <c r="IV5">
        <f>BDS("MCLDQ US Equity","SUPPLY_CHAIN_CUSTOMERS","RELATIONSHIP_AS_OF_DATE","20000107")</f>
        <v/>
      </c>
      <c r="JA5">
        <f>BDS("2258717D US Equity","SUPPLY_CHAIN_SUPPLIERS","RELATIONSHIP_AS_OF_DATE","20090601")</f>
        <v/>
      </c>
      <c r="JF5">
        <f>BDS("2258717D US Equity","SUPPLY_CHAIN_CUSTOMERS","RELATIONSHIP_AS_OF_DATE","20090601")</f>
        <v/>
      </c>
      <c r="JK5">
        <f>BDS("VFC US Equity","SUPPLY_CHAIN_SUPPLIERS","RELATIONSHIP_AS_OF_DATE","20110613")</f>
        <v/>
      </c>
      <c r="JP5">
        <f>BDS("VFC US Equity","SUPPLY_CHAIN_CUSTOMERS","RELATIONSHIP_AS_OF_DATE","20110613")</f>
        <v/>
      </c>
      <c r="JU5">
        <f>BDS("NCC US Equity","SUPPLY_CHAIN_SUPPLIERS","RELATIONSHIP_AS_OF_DATE","20040217")</f>
        <v/>
      </c>
      <c r="JZ5">
        <f>BDS("NCC US Equity","SUPPLY_CHAIN_CUSTOMERS","RELATIONSHIP_AS_OF_DATE","20040217")</f>
        <v/>
      </c>
      <c r="KE5">
        <f>BDS("VMC US Equity","SUPPLY_CHAIN_SUPPLIERS","RELATIONSHIP_AS_OF_DATE","20210607")</f>
        <v/>
      </c>
      <c r="KJ5">
        <f>BDS("VMC US Equity","SUPPLY_CHAIN_CUSTOMERS","RELATIONSHIP_AS_OF_DATE","20210607")</f>
        <v/>
      </c>
      <c r="KO5">
        <f>BDS("PXD US Equity","SUPPLY_CHAIN_SUPPLIERS","RELATIONSHIP_AS_OF_DATE","20040504")</f>
        <v/>
      </c>
      <c r="KT5">
        <f>BDS("PXD US Equity","SUPPLY_CHAIN_CUSTOMERS","RELATIONSHIP_AS_OF_DATE","20040504")</f>
        <v/>
      </c>
      <c r="KY5">
        <f>BDS("CLX US Equity","SUPPLY_CHAIN_SUPPLIERS","RELATIONSHIP_AS_OF_DATE","19981019")</f>
        <v/>
      </c>
      <c r="LD5">
        <f>BDS("CLX US Equity","SUPPLY_CHAIN_CUSTOMERS","RELATIONSHIP_AS_OF_DATE","19981019")</f>
        <v/>
      </c>
      <c r="LI5">
        <f>BDS("ADI US Equity","SUPPLY_CHAIN_SUPPLIERS","RELATIONSHIP_AS_OF_DATE","20140609")</f>
        <v/>
      </c>
      <c r="LN5">
        <f>BDS("ADI US Equity","SUPPLY_CHAIN_CUSTOMERS","RELATIONSHIP_AS_OF_DATE","20140609")</f>
        <v/>
      </c>
      <c r="LS5">
        <f>BDS("EA US Equity","SUPPLY_CHAIN_SUPPLIERS","RELATIONSHIP_AS_OF_DATE","20210208")</f>
        <v/>
      </c>
      <c r="LX5">
        <f>BDS("EA US Equity","SUPPLY_CHAIN_CUSTOMERS","RELATIONSHIP_AS_OF_DATE","20210208")</f>
        <v/>
      </c>
      <c r="MC5">
        <f>BDS("GWR US Equity","SUPPLY_CHAIN_SUPPLIERS","RELATIONSHIP_AS_OF_DATE","20120723")</f>
        <v/>
      </c>
      <c r="MH5">
        <f>BDS("GWR US Equity","SUPPLY_CHAIN_CUSTOMERS","RELATIONSHIP_AS_OF_DATE","20120723")</f>
        <v/>
      </c>
      <c r="MM5">
        <f>BDS("ETFC US Equity","SUPPLY_CHAIN_SUPPLIERS","RELATIONSHIP_AS_OF_DATE","19990601")</f>
        <v/>
      </c>
      <c r="MR5">
        <f>BDS("ETFC US Equity","SUPPLY_CHAIN_CUSTOMERS","RELATIONSHIP_AS_OF_DATE","19990601")</f>
        <v/>
      </c>
      <c r="MW5">
        <f>BDS("VIAV US Equity","SUPPLY_CHAIN_SUPPLIERS","RELATIONSHIP_AS_OF_DATE","19991104")</f>
        <v/>
      </c>
      <c r="NB5">
        <f>BDS("VIAV US Equity","SUPPLY_CHAIN_CUSTOMERS","RELATIONSHIP_AS_OF_DATE","19991104")</f>
        <v/>
      </c>
      <c r="NG5">
        <f>BDS("MRSH US Equity","SUPPLY_CHAIN_SUPPLIERS","RELATIONSHIP_AS_OF_DATE","20040518")</f>
        <v/>
      </c>
      <c r="NL5">
        <f>BDS("MRSH US Equity","SUPPLY_CHAIN_CUSTOMERS","RELATIONSHIP_AS_OF_DATE","20040518")</f>
        <v/>
      </c>
      <c r="NQ5">
        <f>BDS("DRS US Equity","SUPPLY_CHAIN_SUPPLIERS","RELATIONSHIP_AS_OF_DATE","20050922")</f>
        <v/>
      </c>
      <c r="NV5">
        <f>BDS("DRS US Equity","SUPPLY_CHAIN_CUSTOMERS","RELATIONSHIP_AS_OF_DATE","20050922")</f>
        <v/>
      </c>
      <c r="OA5">
        <f>BDS("X US Equity","SUPPLY_CHAIN_SUPPLIERS","RELATIONSHIP_AS_OF_DATE","20070329")</f>
        <v/>
      </c>
      <c r="OF5">
        <f>BDS("X US Equity","SUPPLY_CHAIN_CUSTOMERS","RELATIONSHIP_AS_OF_DATE","20070329")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961</t>
        </is>
      </c>
      <c r="K1" s="1" t="inlineStr">
        <is>
          <t>Deal 962</t>
        </is>
      </c>
      <c r="U1" s="1" t="inlineStr">
        <is>
          <t>Deal 963</t>
        </is>
      </c>
      <c r="AE1" s="1" t="inlineStr">
        <is>
          <t>Deal 964</t>
        </is>
      </c>
      <c r="AO1" s="1" t="inlineStr">
        <is>
          <t>Deal 965</t>
        </is>
      </c>
      <c r="AY1" s="1" t="inlineStr">
        <is>
          <t>Deal 966</t>
        </is>
      </c>
      <c r="BI1" s="1" t="inlineStr">
        <is>
          <t>Deal 967</t>
        </is>
      </c>
      <c r="BS1" s="1" t="inlineStr">
        <is>
          <t>Deal 968</t>
        </is>
      </c>
      <c r="CC1" s="1" t="inlineStr">
        <is>
          <t>Deal 969</t>
        </is>
      </c>
      <c r="CM1" s="1" t="inlineStr">
        <is>
          <t>Deal 970</t>
        </is>
      </c>
      <c r="CW1" s="1" t="inlineStr">
        <is>
          <t>Deal 971</t>
        </is>
      </c>
      <c r="DG1" s="1" t="inlineStr">
        <is>
          <t>Deal 972</t>
        </is>
      </c>
      <c r="DQ1" s="1" t="inlineStr">
        <is>
          <t>Deal 973</t>
        </is>
      </c>
      <c r="EA1" s="1" t="inlineStr">
        <is>
          <t>Deal 974</t>
        </is>
      </c>
      <c r="EK1" s="1" t="inlineStr">
        <is>
          <t>Deal 975</t>
        </is>
      </c>
      <c r="EU1" s="1" t="inlineStr">
        <is>
          <t>Deal 976</t>
        </is>
      </c>
      <c r="FE1" s="1" t="inlineStr">
        <is>
          <t>Deal 977</t>
        </is>
      </c>
      <c r="FO1" s="1" t="inlineStr">
        <is>
          <t>Deal 978</t>
        </is>
      </c>
      <c r="FY1" s="1" t="inlineStr">
        <is>
          <t>Deal 979</t>
        </is>
      </c>
      <c r="GI1" s="1" t="inlineStr">
        <is>
          <t>Deal 980</t>
        </is>
      </c>
      <c r="GS1" s="1" t="inlineStr">
        <is>
          <t>Deal 981</t>
        </is>
      </c>
      <c r="HC1" s="1" t="inlineStr">
        <is>
          <t>Deal 982</t>
        </is>
      </c>
      <c r="HM1" s="1" t="inlineStr">
        <is>
          <t>Deal 983</t>
        </is>
      </c>
      <c r="HW1" s="1" t="inlineStr">
        <is>
          <t>Deal 984</t>
        </is>
      </c>
      <c r="IG1" s="1" t="inlineStr">
        <is>
          <t>Deal 985</t>
        </is>
      </c>
      <c r="IQ1" s="1" t="inlineStr">
        <is>
          <t>Deal 986</t>
        </is>
      </c>
      <c r="JA1" s="1" t="inlineStr">
        <is>
          <t>Deal 987</t>
        </is>
      </c>
      <c r="JK1" s="1" t="inlineStr">
        <is>
          <t>Deal 988</t>
        </is>
      </c>
      <c r="JU1" s="1" t="inlineStr">
        <is>
          <t>Deal 989</t>
        </is>
      </c>
      <c r="KE1" s="1" t="inlineStr">
        <is>
          <t>Deal 990</t>
        </is>
      </c>
      <c r="KO1" s="1" t="inlineStr">
        <is>
          <t>Deal 991</t>
        </is>
      </c>
      <c r="KY1" s="1" t="inlineStr">
        <is>
          <t>Deal 992</t>
        </is>
      </c>
      <c r="LI1" s="1" t="inlineStr">
        <is>
          <t>Deal 993</t>
        </is>
      </c>
      <c r="LS1" s="1" t="inlineStr">
        <is>
          <t>Deal 994</t>
        </is>
      </c>
      <c r="MC1" s="1" t="inlineStr">
        <is>
          <t>Deal 995</t>
        </is>
      </c>
      <c r="MM1" s="1" t="inlineStr">
        <is>
          <t>Deal 996</t>
        </is>
      </c>
      <c r="MW1" s="1" t="inlineStr">
        <is>
          <t>Deal 997</t>
        </is>
      </c>
      <c r="NG1" s="1" t="inlineStr">
        <is>
          <t>Deal 998</t>
        </is>
      </c>
      <c r="NQ1" s="1" t="inlineStr">
        <is>
          <t>Deal 999</t>
        </is>
      </c>
      <c r="OA1" s="1" t="inlineStr">
        <is>
          <t>Deal 1000</t>
        </is>
      </c>
    </row>
    <row r="2">
      <c r="A2" s="2" t="inlineStr">
        <is>
          <t>WLA US Equity</t>
        </is>
      </c>
      <c r="K2" s="2" t="inlineStr">
        <is>
          <t>SOCNQ US Equity</t>
        </is>
      </c>
      <c r="U2" s="2" t="inlineStr">
        <is>
          <t>CVH US Equity</t>
        </is>
      </c>
      <c r="AE2" s="2" t="inlineStr">
        <is>
          <t>1041267D US Equity</t>
        </is>
      </c>
      <c r="AO2" s="2" t="inlineStr">
        <is>
          <t>URI US Equity</t>
        </is>
      </c>
      <c r="AY2" s="2" t="inlineStr">
        <is>
          <t>NVP US Equity</t>
        </is>
      </c>
      <c r="BI2" s="2" t="inlineStr">
        <is>
          <t>2598Q US Equity</t>
        </is>
      </c>
      <c r="BS2" s="2" t="inlineStr">
        <is>
          <t>EBAY US Equity</t>
        </is>
      </c>
      <c r="CC2" s="2" t="inlineStr">
        <is>
          <t>LNCE US Equity</t>
        </is>
      </c>
      <c r="CM2" s="2" t="inlineStr">
        <is>
          <t>CZR US Equity</t>
        </is>
      </c>
      <c r="CW2" s="2" t="inlineStr">
        <is>
          <t>SOGCQ US Equity</t>
        </is>
      </c>
      <c r="DG2" s="2" t="inlineStr">
        <is>
          <t>0167866D US Equity</t>
        </is>
      </c>
      <c r="DQ2" s="2" t="inlineStr">
        <is>
          <t>DALRQ US Equity</t>
        </is>
      </c>
      <c r="EA2" s="2" t="inlineStr">
        <is>
          <t>CEQP US Equity</t>
        </is>
      </c>
      <c r="EK2" s="2" t="inlineStr">
        <is>
          <t>1255459D US Equity</t>
        </is>
      </c>
      <c r="EU2" s="2" t="inlineStr">
        <is>
          <t>VER US Equity</t>
        </is>
      </c>
      <c r="FE2" s="2" t="inlineStr">
        <is>
          <t>SRE US Equity</t>
        </is>
      </c>
      <c r="FO2" s="2" t="inlineStr">
        <is>
          <t>UMPQ US Equity</t>
        </is>
      </c>
      <c r="FY2" s="2" t="inlineStr">
        <is>
          <t>3692470Q US Equity</t>
        </is>
      </c>
      <c r="GI2" s="2" t="inlineStr">
        <is>
          <t>UNVR US Equity</t>
        </is>
      </c>
      <c r="GS2" s="2" t="inlineStr">
        <is>
          <t>ETRN US Equity</t>
        </is>
      </c>
      <c r="HC2" s="2" t="inlineStr">
        <is>
          <t>ADEA US Equity</t>
        </is>
      </c>
      <c r="HM2" s="2" t="inlineStr">
        <is>
          <t>1893675D US Equity</t>
        </is>
      </c>
      <c r="HW2" s="2" t="inlineStr">
        <is>
          <t>PBCT US Equity</t>
        </is>
      </c>
      <c r="IG2" s="2" t="inlineStr">
        <is>
          <t>ORCL US Equity</t>
        </is>
      </c>
      <c r="IQ2" s="2" t="inlineStr">
        <is>
          <t>9213421D CN Equity</t>
        </is>
      </c>
      <c r="JA2" s="2" t="inlineStr">
        <is>
          <t>TWLO US Equity</t>
        </is>
      </c>
      <c r="JK2" s="2" t="inlineStr">
        <is>
          <t>AGN US Equity</t>
        </is>
      </c>
      <c r="JU2" s="2" t="inlineStr">
        <is>
          <t>WCOEQ US Equity</t>
        </is>
      </c>
      <c r="KE2" s="2" t="inlineStr">
        <is>
          <t>9993232D US Equity</t>
        </is>
      </c>
      <c r="KO2" s="2" t="inlineStr">
        <is>
          <t>BX US Equity</t>
        </is>
      </c>
      <c r="KY2" s="2" t="inlineStr">
        <is>
          <t>CLDR US Equity</t>
        </is>
      </c>
      <c r="LI2" s="2" t="inlineStr">
        <is>
          <t>SATS US Equity</t>
        </is>
      </c>
      <c r="LS2" s="2" t="inlineStr">
        <is>
          <t>KND US Equity</t>
        </is>
      </c>
      <c r="MC2" s="2" t="inlineStr">
        <is>
          <t>TFC US Equity</t>
        </is>
      </c>
      <c r="MM2" s="2" t="inlineStr">
        <is>
          <t>WNR US Equity</t>
        </is>
      </c>
      <c r="MW2" s="2" t="inlineStr">
        <is>
          <t>BX US Equity</t>
        </is>
      </c>
      <c r="NG2" s="2" t="inlineStr">
        <is>
          <t>CXW US Equity</t>
        </is>
      </c>
      <c r="NQ2" s="2" t="inlineStr">
        <is>
          <t>MCK US Equity</t>
        </is>
      </c>
      <c r="OA2" s="2" t="inlineStr">
        <is>
          <t>CPT US Equity</t>
        </is>
      </c>
    </row>
    <row r="3">
      <c r="A3" t="inlineStr">
        <is>
          <t>Ann: 1999-01-26</t>
        </is>
      </c>
      <c r="K3" t="inlineStr">
        <is>
          <t>Ann: 1998-03-02</t>
        </is>
      </c>
      <c r="U3" t="inlineStr">
        <is>
          <t>Ann: 2004-10-14</t>
        </is>
      </c>
      <c r="AE3" t="inlineStr">
        <is>
          <t>Ann: 2005-07-12</t>
        </is>
      </c>
      <c r="AO3" t="inlineStr">
        <is>
          <t>Ann: 2011-12-16</t>
        </is>
      </c>
      <c r="AY3" t="inlineStr">
        <is>
          <t>Ann: 1998-04-30</t>
        </is>
      </c>
      <c r="BI3" t="inlineStr">
        <is>
          <t>Ann: 1998-02-09</t>
        </is>
      </c>
      <c r="BS3" t="inlineStr">
        <is>
          <t>Ann: 2011-03-28</t>
        </is>
      </c>
      <c r="CC3" t="inlineStr">
        <is>
          <t>Ann: 2015-10-28</t>
        </is>
      </c>
      <c r="CM3" t="inlineStr">
        <is>
          <t>Ann: 2016-09-19</t>
        </is>
      </c>
      <c r="CW3" t="inlineStr">
        <is>
          <t>Ann: 2007-01-08</t>
        </is>
      </c>
      <c r="DG3" t="inlineStr">
        <is>
          <t>Ann: 2006-04-21</t>
        </is>
      </c>
      <c r="DQ3" t="inlineStr">
        <is>
          <t>Ann: 1999-10-18</t>
        </is>
      </c>
      <c r="EA3" t="inlineStr">
        <is>
          <t>Ann: 2021-10-26</t>
        </is>
      </c>
      <c r="EK3" t="inlineStr">
        <is>
          <t>Ann: 2000-07-09</t>
        </is>
      </c>
      <c r="EU3" t="inlineStr">
        <is>
          <t>Ann: 2013-05-28</t>
        </is>
      </c>
      <c r="FE3" t="inlineStr">
        <is>
          <t>Ann: 2018-10-18</t>
        </is>
      </c>
      <c r="FO3" t="inlineStr">
        <is>
          <t>Ann: 2013-09-11</t>
        </is>
      </c>
      <c r="FY3" t="inlineStr">
        <is>
          <t>Ann: 2005-01-10</t>
        </is>
      </c>
      <c r="GI3" t="inlineStr">
        <is>
          <t>Ann: 2018-09-17</t>
        </is>
      </c>
      <c r="GS3" t="inlineStr">
        <is>
          <t>Ann: 2020-02-27</t>
        </is>
      </c>
      <c r="HC3" t="inlineStr">
        <is>
          <t>Ann: 2019-12-19</t>
        </is>
      </c>
      <c r="HM3" t="inlineStr">
        <is>
          <t>Ann: 2004-04-16</t>
        </is>
      </c>
      <c r="HW3" t="inlineStr">
        <is>
          <t>Ann: 2007-06-27</t>
        </is>
      </c>
      <c r="IG3" t="inlineStr">
        <is>
          <t>Ann: 2012-02-09</t>
        </is>
      </c>
      <c r="IQ3" t="inlineStr">
        <is>
          <t>Ann: 2020-03-17</t>
        </is>
      </c>
      <c r="JA3" t="inlineStr">
        <is>
          <t>Ann: 2018-10-15</t>
        </is>
      </c>
      <c r="JK3" t="inlineStr">
        <is>
          <t>Ann: 2015-06-17</t>
        </is>
      </c>
      <c r="JU3" t="inlineStr">
        <is>
          <t>Ann: 1999-05-28</t>
        </is>
      </c>
      <c r="KE3" t="inlineStr">
        <is>
          <t>Ann: 2005-12-21</t>
        </is>
      </c>
      <c r="KO3" t="inlineStr">
        <is>
          <t>Ann: 2015-04-10</t>
        </is>
      </c>
      <c r="KY3" t="inlineStr">
        <is>
          <t>Ann: 2018-10-03</t>
        </is>
      </c>
      <c r="LI3" t="inlineStr">
        <is>
          <t>Ann: 2011-02-14</t>
        </is>
      </c>
      <c r="LS3" t="inlineStr">
        <is>
          <t>Ann: 2014-06-16</t>
        </is>
      </c>
      <c r="MC3" t="inlineStr">
        <is>
          <t>Ann: 2015-08-17</t>
        </is>
      </c>
      <c r="MM3" t="inlineStr">
        <is>
          <t>Ann: 2015-10-26</t>
        </is>
      </c>
      <c r="MW3" t="inlineStr">
        <is>
          <t>Ann: 2021-12-20</t>
        </is>
      </c>
      <c r="NG3" t="inlineStr">
        <is>
          <t>Ann: 1998-04-20</t>
        </is>
      </c>
      <c r="NQ3" t="inlineStr">
        <is>
          <t>Ann: 2012-10-25</t>
        </is>
      </c>
      <c r="OA3" t="inlineStr">
        <is>
          <t>Ann: 2004-10-04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BDS("WLA US Equity","SUPPLY_CHAIN_SUPPLIERS","RELATIONSHIP_AS_OF_DATE","19990126")</f>
        <v/>
      </c>
      <c r="F5">
        <f>BDS("WLA US Equity","SUPPLY_CHAIN_CUSTOMERS","RELATIONSHIP_AS_OF_DATE","19990126")</f>
        <v/>
      </c>
      <c r="K5">
        <f>BDS("SOCNQ US Equity","SUPPLY_CHAIN_SUPPLIERS","RELATIONSHIP_AS_OF_DATE","19980302")</f>
        <v/>
      </c>
      <c r="P5">
        <f>BDS("SOCNQ US Equity","SUPPLY_CHAIN_CUSTOMERS","RELATIONSHIP_AS_OF_DATE","19980302")</f>
        <v/>
      </c>
      <c r="U5">
        <f>BDS("CVH US Equity","SUPPLY_CHAIN_SUPPLIERS","RELATIONSHIP_AS_OF_DATE","20041014")</f>
        <v/>
      </c>
      <c r="Z5">
        <f>BDS("CVH US Equity","SUPPLY_CHAIN_CUSTOMERS","RELATIONSHIP_AS_OF_DATE","20041014")</f>
        <v/>
      </c>
      <c r="AE5">
        <f>BDS("1041267D US Equity","SUPPLY_CHAIN_SUPPLIERS","RELATIONSHIP_AS_OF_DATE","20050712")</f>
        <v/>
      </c>
      <c r="AJ5">
        <f>BDS("1041267D US Equity","SUPPLY_CHAIN_CUSTOMERS","RELATIONSHIP_AS_OF_DATE","20050712")</f>
        <v/>
      </c>
      <c r="AO5">
        <f>BDS("URI US Equity","SUPPLY_CHAIN_SUPPLIERS","RELATIONSHIP_AS_OF_DATE","20111216")</f>
        <v/>
      </c>
      <c r="AT5">
        <f>BDS("URI US Equity","SUPPLY_CHAIN_CUSTOMERS","RELATIONSHIP_AS_OF_DATE","20111216")</f>
        <v/>
      </c>
      <c r="AY5">
        <f>BDS("NVP US Equity","SUPPLY_CHAIN_SUPPLIERS","RELATIONSHIP_AS_OF_DATE","19980430")</f>
        <v/>
      </c>
      <c r="BD5">
        <f>BDS("NVP US Equity","SUPPLY_CHAIN_CUSTOMERS","RELATIONSHIP_AS_OF_DATE","19980430")</f>
        <v/>
      </c>
      <c r="BI5">
        <f>BDS("2598Q US Equity","SUPPLY_CHAIN_SUPPLIERS","RELATIONSHIP_AS_OF_DATE","19980209")</f>
        <v/>
      </c>
      <c r="BN5">
        <f>BDS("2598Q US Equity","SUPPLY_CHAIN_CUSTOMERS","RELATIONSHIP_AS_OF_DATE","19980209")</f>
        <v/>
      </c>
      <c r="BS5">
        <f>BDS("EBAY US Equity","SUPPLY_CHAIN_SUPPLIERS","RELATIONSHIP_AS_OF_DATE","20110328")</f>
        <v/>
      </c>
      <c r="BX5">
        <f>BDS("EBAY US Equity","SUPPLY_CHAIN_CUSTOMERS","RELATIONSHIP_AS_OF_DATE","20110328")</f>
        <v/>
      </c>
      <c r="CC5">
        <f>BDS("LNCE US Equity","SUPPLY_CHAIN_SUPPLIERS","RELATIONSHIP_AS_OF_DATE","20151028")</f>
        <v/>
      </c>
      <c r="CH5">
        <f>BDS("LNCE US Equity","SUPPLY_CHAIN_CUSTOMERS","RELATIONSHIP_AS_OF_DATE","20151028")</f>
        <v/>
      </c>
      <c r="CM5">
        <f>BDS("CZR US Equity","SUPPLY_CHAIN_SUPPLIERS","RELATIONSHIP_AS_OF_DATE","20160919")</f>
        <v/>
      </c>
      <c r="CR5">
        <f>BDS("CZR US Equity","SUPPLY_CHAIN_CUSTOMERS","RELATIONSHIP_AS_OF_DATE","20160919")</f>
        <v/>
      </c>
      <c r="CW5">
        <f>BDS("SOGCQ US Equity","SUPPLY_CHAIN_SUPPLIERS","RELATIONSHIP_AS_OF_DATE","20070108")</f>
        <v/>
      </c>
      <c r="DB5">
        <f>BDS("SOGCQ US Equity","SUPPLY_CHAIN_CUSTOMERS","RELATIONSHIP_AS_OF_DATE","20070108")</f>
        <v/>
      </c>
      <c r="DG5">
        <f>BDS("0167866D US Equity","SUPPLY_CHAIN_SUPPLIERS","RELATIONSHIP_AS_OF_DATE","20060421")</f>
        <v/>
      </c>
      <c r="DL5">
        <f>BDS("0167866D US Equity","SUPPLY_CHAIN_CUSTOMERS","RELATIONSHIP_AS_OF_DATE","20060421")</f>
        <v/>
      </c>
      <c r="DQ5">
        <f>BDS("DALRQ US Equity","SUPPLY_CHAIN_SUPPLIERS","RELATIONSHIP_AS_OF_DATE","19991018")</f>
        <v/>
      </c>
      <c r="DV5">
        <f>BDS("DALRQ US Equity","SUPPLY_CHAIN_CUSTOMERS","RELATIONSHIP_AS_OF_DATE","19991018")</f>
        <v/>
      </c>
      <c r="EA5">
        <f>BDS("CEQP US Equity","SUPPLY_CHAIN_SUPPLIERS","RELATIONSHIP_AS_OF_DATE","20211026")</f>
        <v/>
      </c>
      <c r="EF5">
        <f>BDS("CEQP US Equity","SUPPLY_CHAIN_CUSTOMERS","RELATIONSHIP_AS_OF_DATE","20211026")</f>
        <v/>
      </c>
      <c r="EK5">
        <f>BDS("1255459D US Equity","SUPPLY_CHAIN_SUPPLIERS","RELATIONSHIP_AS_OF_DATE","20000709")</f>
        <v/>
      </c>
      <c r="EP5">
        <f>BDS("1255459D US Equity","SUPPLY_CHAIN_CUSTOMERS","RELATIONSHIP_AS_OF_DATE","20000709")</f>
        <v/>
      </c>
      <c r="EU5">
        <f>BDS("VER US Equity","SUPPLY_CHAIN_SUPPLIERS","RELATIONSHIP_AS_OF_DATE","20130528")</f>
        <v/>
      </c>
      <c r="EZ5">
        <f>BDS("VER US Equity","SUPPLY_CHAIN_CUSTOMERS","RELATIONSHIP_AS_OF_DATE","20130528")</f>
        <v/>
      </c>
      <c r="FE5">
        <f>BDS("SRE US Equity","SUPPLY_CHAIN_SUPPLIERS","RELATIONSHIP_AS_OF_DATE","20181018")</f>
        <v/>
      </c>
      <c r="FJ5">
        <f>BDS("SRE US Equity","SUPPLY_CHAIN_CUSTOMERS","RELATIONSHIP_AS_OF_DATE","20181018")</f>
        <v/>
      </c>
      <c r="FO5">
        <f>BDS("UMPQ US Equity","SUPPLY_CHAIN_SUPPLIERS","RELATIONSHIP_AS_OF_DATE","20130911")</f>
        <v/>
      </c>
      <c r="FT5">
        <f>BDS("UMPQ US Equity","SUPPLY_CHAIN_CUSTOMERS","RELATIONSHIP_AS_OF_DATE","20130911")</f>
        <v/>
      </c>
      <c r="FY5">
        <f>BDS("3692470Q US Equity","SUPPLY_CHAIN_SUPPLIERS","RELATIONSHIP_AS_OF_DATE","20050110")</f>
        <v/>
      </c>
      <c r="GD5">
        <f>BDS("3692470Q US Equity","SUPPLY_CHAIN_CUSTOMERS","RELATIONSHIP_AS_OF_DATE","20050110")</f>
        <v/>
      </c>
      <c r="GI5">
        <f>BDS("UNVR US Equity","SUPPLY_CHAIN_SUPPLIERS","RELATIONSHIP_AS_OF_DATE","20180917")</f>
        <v/>
      </c>
      <c r="GN5">
        <f>BDS("UNVR US Equity","SUPPLY_CHAIN_CUSTOMERS","RELATIONSHIP_AS_OF_DATE","20180917")</f>
        <v/>
      </c>
      <c r="GS5">
        <f>BDS("ETRN US Equity","SUPPLY_CHAIN_SUPPLIERS","RELATIONSHIP_AS_OF_DATE","20200227")</f>
        <v/>
      </c>
      <c r="GX5">
        <f>BDS("ETRN US Equity","SUPPLY_CHAIN_CUSTOMERS","RELATIONSHIP_AS_OF_DATE","20200227")</f>
        <v/>
      </c>
      <c r="HC5">
        <f>BDS("ADEA US Equity","SUPPLY_CHAIN_SUPPLIERS","RELATIONSHIP_AS_OF_DATE","20191219")</f>
        <v/>
      </c>
      <c r="HH5">
        <f>BDS("ADEA US Equity","SUPPLY_CHAIN_CUSTOMERS","RELATIONSHIP_AS_OF_DATE","20191219")</f>
        <v/>
      </c>
      <c r="HM5">
        <f>BDS("1893675D US Equity","SUPPLY_CHAIN_SUPPLIERS","RELATIONSHIP_AS_OF_DATE","20040416")</f>
        <v/>
      </c>
      <c r="HR5">
        <f>BDS("1893675D US Equity","SUPPLY_CHAIN_CUSTOMERS","RELATIONSHIP_AS_OF_DATE","20040416")</f>
        <v/>
      </c>
      <c r="HW5">
        <f>BDS("PBCT US Equity","SUPPLY_CHAIN_SUPPLIERS","RELATIONSHIP_AS_OF_DATE","20070627")</f>
        <v/>
      </c>
      <c r="IB5">
        <f>BDS("PBCT US Equity","SUPPLY_CHAIN_CUSTOMERS","RELATIONSHIP_AS_OF_DATE","20070627")</f>
        <v/>
      </c>
      <c r="IG5">
        <f>BDS("ORCL US Equity","SUPPLY_CHAIN_SUPPLIERS","RELATIONSHIP_AS_OF_DATE","20120209")</f>
        <v/>
      </c>
      <c r="IL5">
        <f>BDS("ORCL US Equity","SUPPLY_CHAIN_CUSTOMERS","RELATIONSHIP_AS_OF_DATE","20120209")</f>
        <v/>
      </c>
      <c r="IQ5">
        <f>BDS("9213421D CN Equity","SUPPLY_CHAIN_SUPPLIERS","RELATIONSHIP_AS_OF_DATE","20200317")</f>
        <v/>
      </c>
      <c r="IV5">
        <f>BDS("9213421D CN Equity","SUPPLY_CHAIN_CUSTOMERS","RELATIONSHIP_AS_OF_DATE","20200317")</f>
        <v/>
      </c>
      <c r="JA5">
        <f>BDS("TWLO US Equity","SUPPLY_CHAIN_SUPPLIERS","RELATIONSHIP_AS_OF_DATE","20181015")</f>
        <v/>
      </c>
      <c r="JF5">
        <f>BDS("TWLO US Equity","SUPPLY_CHAIN_CUSTOMERS","RELATIONSHIP_AS_OF_DATE","20181015")</f>
        <v/>
      </c>
      <c r="JK5">
        <f>BDS("AGN US Equity","SUPPLY_CHAIN_SUPPLIERS","RELATIONSHIP_AS_OF_DATE","20150617")</f>
        <v/>
      </c>
      <c r="JP5">
        <f>BDS("AGN US Equity","SUPPLY_CHAIN_CUSTOMERS","RELATIONSHIP_AS_OF_DATE","20150617")</f>
        <v/>
      </c>
      <c r="JU5">
        <f>BDS("WCOEQ US Equity","SUPPLY_CHAIN_SUPPLIERS","RELATIONSHIP_AS_OF_DATE","19990528")</f>
        <v/>
      </c>
      <c r="JZ5">
        <f>BDS("WCOEQ US Equity","SUPPLY_CHAIN_CUSTOMERS","RELATIONSHIP_AS_OF_DATE","19990528")</f>
        <v/>
      </c>
      <c r="KE5">
        <f>BDS("9993232D US Equity","SUPPLY_CHAIN_SUPPLIERS","RELATIONSHIP_AS_OF_DATE","20051221")</f>
        <v/>
      </c>
      <c r="KJ5">
        <f>BDS("9993232D US Equity","SUPPLY_CHAIN_CUSTOMERS","RELATIONSHIP_AS_OF_DATE","20051221")</f>
        <v/>
      </c>
      <c r="KO5">
        <f>BDS("BX US Equity","SUPPLY_CHAIN_SUPPLIERS","RELATIONSHIP_AS_OF_DATE","20150410")</f>
        <v/>
      </c>
      <c r="KT5">
        <f>BDS("BX US Equity","SUPPLY_CHAIN_CUSTOMERS","RELATIONSHIP_AS_OF_DATE","20150410")</f>
        <v/>
      </c>
      <c r="KY5">
        <f>BDS("CLDR US Equity","SUPPLY_CHAIN_SUPPLIERS","RELATIONSHIP_AS_OF_DATE","20181003")</f>
        <v/>
      </c>
      <c r="LD5">
        <f>BDS("CLDR US Equity","SUPPLY_CHAIN_CUSTOMERS","RELATIONSHIP_AS_OF_DATE","20181003")</f>
        <v/>
      </c>
      <c r="LI5">
        <f>BDS("SATS US Equity","SUPPLY_CHAIN_SUPPLIERS","RELATIONSHIP_AS_OF_DATE","20110214")</f>
        <v/>
      </c>
      <c r="LN5">
        <f>BDS("SATS US Equity","SUPPLY_CHAIN_CUSTOMERS","RELATIONSHIP_AS_OF_DATE","20110214")</f>
        <v/>
      </c>
      <c r="LS5">
        <f>BDS("KND US Equity","SUPPLY_CHAIN_SUPPLIERS","RELATIONSHIP_AS_OF_DATE","20140616")</f>
        <v/>
      </c>
      <c r="LX5">
        <f>BDS("KND US Equity","SUPPLY_CHAIN_CUSTOMERS","RELATIONSHIP_AS_OF_DATE","20140616")</f>
        <v/>
      </c>
      <c r="MC5">
        <f>BDS("TFC US Equity","SUPPLY_CHAIN_SUPPLIERS","RELATIONSHIP_AS_OF_DATE","20150817")</f>
        <v/>
      </c>
      <c r="MH5">
        <f>BDS("TFC US Equity","SUPPLY_CHAIN_CUSTOMERS","RELATIONSHIP_AS_OF_DATE","20150817")</f>
        <v/>
      </c>
      <c r="MM5">
        <f>BDS("WNR US Equity","SUPPLY_CHAIN_SUPPLIERS","RELATIONSHIP_AS_OF_DATE","20151026")</f>
        <v/>
      </c>
      <c r="MR5">
        <f>BDS("WNR US Equity","SUPPLY_CHAIN_CUSTOMERS","RELATIONSHIP_AS_OF_DATE","20151026")</f>
        <v/>
      </c>
      <c r="MW5">
        <f>BDS("BX US Equity","SUPPLY_CHAIN_SUPPLIERS","RELATIONSHIP_AS_OF_DATE","20211220")</f>
        <v/>
      </c>
      <c r="NB5">
        <f>BDS("BX US Equity","SUPPLY_CHAIN_CUSTOMERS","RELATIONSHIP_AS_OF_DATE","20211220")</f>
        <v/>
      </c>
      <c r="NG5">
        <f>BDS("CXW US Equity","SUPPLY_CHAIN_SUPPLIERS","RELATIONSHIP_AS_OF_DATE","19980420")</f>
        <v/>
      </c>
      <c r="NL5">
        <f>BDS("CXW US Equity","SUPPLY_CHAIN_CUSTOMERS","RELATIONSHIP_AS_OF_DATE","19980420")</f>
        <v/>
      </c>
      <c r="NQ5">
        <f>BDS("MCK US Equity","SUPPLY_CHAIN_SUPPLIERS","RELATIONSHIP_AS_OF_DATE","20121025")</f>
        <v/>
      </c>
      <c r="NV5">
        <f>BDS("MCK US Equity","SUPPLY_CHAIN_CUSTOMERS","RELATIONSHIP_AS_OF_DATE","20121025")</f>
        <v/>
      </c>
      <c r="OA5">
        <f>BDS("CPT US Equity","SUPPLY_CHAIN_SUPPLIERS","RELATIONSHIP_AS_OF_DATE","20041004")</f>
        <v/>
      </c>
      <c r="OF5">
        <f>BDS("CPT US Equity","SUPPLY_CHAIN_CUSTOMERS","RELATIONSHIP_AS_OF_DATE","20041004")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1001</t>
        </is>
      </c>
      <c r="K1" s="1" t="inlineStr">
        <is>
          <t>Deal 1002</t>
        </is>
      </c>
      <c r="U1" s="1" t="inlineStr">
        <is>
          <t>Deal 1003</t>
        </is>
      </c>
      <c r="AE1" s="1" t="inlineStr">
        <is>
          <t>Deal 1004</t>
        </is>
      </c>
      <c r="AO1" s="1" t="inlineStr">
        <is>
          <t>Deal 1005</t>
        </is>
      </c>
      <c r="AY1" s="1" t="inlineStr">
        <is>
          <t>Deal 1006</t>
        </is>
      </c>
      <c r="BI1" s="1" t="inlineStr">
        <is>
          <t>Deal 1007</t>
        </is>
      </c>
      <c r="BS1" s="1" t="inlineStr">
        <is>
          <t>Deal 1008</t>
        </is>
      </c>
      <c r="CC1" s="1" t="inlineStr">
        <is>
          <t>Deal 1009</t>
        </is>
      </c>
      <c r="CM1" s="1" t="inlineStr">
        <is>
          <t>Deal 1010</t>
        </is>
      </c>
      <c r="CW1" s="1" t="inlineStr">
        <is>
          <t>Deal 1011</t>
        </is>
      </c>
      <c r="DG1" s="1" t="inlineStr">
        <is>
          <t>Deal 1012</t>
        </is>
      </c>
      <c r="DQ1" s="1" t="inlineStr">
        <is>
          <t>Deal 1013</t>
        </is>
      </c>
      <c r="EA1" s="1" t="inlineStr">
        <is>
          <t>Deal 1014</t>
        </is>
      </c>
      <c r="EK1" s="1" t="inlineStr">
        <is>
          <t>Deal 1015</t>
        </is>
      </c>
      <c r="EU1" s="1" t="inlineStr">
        <is>
          <t>Deal 1016</t>
        </is>
      </c>
      <c r="FE1" s="1" t="inlineStr">
        <is>
          <t>Deal 1017</t>
        </is>
      </c>
      <c r="FO1" s="1" t="inlineStr">
        <is>
          <t>Deal 1018</t>
        </is>
      </c>
      <c r="FY1" s="1" t="inlineStr">
        <is>
          <t>Deal 1019</t>
        </is>
      </c>
      <c r="GI1" s="1" t="inlineStr">
        <is>
          <t>Deal 1020</t>
        </is>
      </c>
      <c r="GS1" s="1" t="inlineStr">
        <is>
          <t>Deal 1021</t>
        </is>
      </c>
      <c r="HC1" s="1" t="inlineStr">
        <is>
          <t>Deal 1022</t>
        </is>
      </c>
      <c r="HM1" s="1" t="inlineStr">
        <is>
          <t>Deal 1023</t>
        </is>
      </c>
      <c r="HW1" s="1" t="inlineStr">
        <is>
          <t>Deal 1024</t>
        </is>
      </c>
      <c r="IG1" s="1" t="inlineStr">
        <is>
          <t>Deal 1025</t>
        </is>
      </c>
      <c r="IQ1" s="1" t="inlineStr">
        <is>
          <t>Deal 1026</t>
        </is>
      </c>
      <c r="JA1" s="1" t="inlineStr">
        <is>
          <t>Deal 1027</t>
        </is>
      </c>
      <c r="JK1" s="1" t="inlineStr">
        <is>
          <t>Deal 1028</t>
        </is>
      </c>
      <c r="JU1" s="1" t="inlineStr">
        <is>
          <t>Deal 1029</t>
        </is>
      </c>
      <c r="KE1" s="1" t="inlineStr">
        <is>
          <t>Deal 1030</t>
        </is>
      </c>
      <c r="KO1" s="1" t="inlineStr">
        <is>
          <t>Deal 1031</t>
        </is>
      </c>
      <c r="KY1" s="1" t="inlineStr">
        <is>
          <t>Deal 1032</t>
        </is>
      </c>
      <c r="LI1" s="1" t="inlineStr">
        <is>
          <t>Deal 1033</t>
        </is>
      </c>
      <c r="LS1" s="1" t="inlineStr">
        <is>
          <t>Deal 1034</t>
        </is>
      </c>
      <c r="MC1" s="1" t="inlineStr">
        <is>
          <t>Deal 1035</t>
        </is>
      </c>
      <c r="MM1" s="1" t="inlineStr">
        <is>
          <t>Deal 1036</t>
        </is>
      </c>
      <c r="MW1" s="1" t="inlineStr">
        <is>
          <t>Deal 1037</t>
        </is>
      </c>
      <c r="NG1" s="1" t="inlineStr">
        <is>
          <t>Deal 1038</t>
        </is>
      </c>
      <c r="NQ1" s="1" t="inlineStr">
        <is>
          <t>Deal 1039</t>
        </is>
      </c>
      <c r="OA1" s="1" t="inlineStr">
        <is>
          <t>Deal 1040</t>
        </is>
      </c>
    </row>
    <row r="2">
      <c r="A2" s="2" t="inlineStr">
        <is>
          <t>OA US Equity</t>
        </is>
      </c>
      <c r="K2" s="2" t="inlineStr">
        <is>
          <t>CMLP US Equity</t>
        </is>
      </c>
      <c r="U2" s="2" t="inlineStr">
        <is>
          <t>V US Equity</t>
        </is>
      </c>
      <c r="AE2" s="2" t="inlineStr">
        <is>
          <t>TT US Equity</t>
        </is>
      </c>
      <c r="AO2" s="2" t="inlineStr">
        <is>
          <t>TDAY US Equity</t>
        </is>
      </c>
      <c r="AY2" s="2" t="inlineStr">
        <is>
          <t>605555Q US Equity</t>
        </is>
      </c>
      <c r="BI2" s="2" t="inlineStr">
        <is>
          <t>MER US Equity</t>
        </is>
      </c>
      <c r="BS2" s="2" t="inlineStr">
        <is>
          <t>NLY US Equity</t>
        </is>
      </c>
      <c r="CC2" s="2" t="inlineStr">
        <is>
          <t>VMW US Equity</t>
        </is>
      </c>
      <c r="CM2" s="2" t="inlineStr">
        <is>
          <t>EPC US Equity</t>
        </is>
      </c>
      <c r="CW2" s="2" t="inlineStr">
        <is>
          <t>QVCGA US Equity</t>
        </is>
      </c>
      <c r="DG2" s="2" t="inlineStr">
        <is>
          <t>SWY US Equity</t>
        </is>
      </c>
      <c r="DQ2" s="2" t="inlineStr">
        <is>
          <t>COOP US Equity</t>
        </is>
      </c>
      <c r="EA2" s="2" t="inlineStr">
        <is>
          <t>PFE US Equity</t>
        </is>
      </c>
      <c r="EK2" s="2" t="inlineStr">
        <is>
          <t>ORCL US Equity</t>
        </is>
      </c>
      <c r="EU2" s="2" t="inlineStr">
        <is>
          <t>nan Equity</t>
        </is>
      </c>
      <c r="FE2" s="2" t="inlineStr">
        <is>
          <t>2641504Q US Equity</t>
        </is>
      </c>
      <c r="FO2" s="2" t="inlineStr">
        <is>
          <t>0544749D US Equity</t>
        </is>
      </c>
      <c r="FY2" s="2" t="inlineStr">
        <is>
          <t>1260972D US Equity</t>
        </is>
      </c>
      <c r="GI2" s="2" t="inlineStr">
        <is>
          <t>3437127Q US Equity</t>
        </is>
      </c>
      <c r="GS2" s="2" t="inlineStr">
        <is>
          <t>PDCE US Equity</t>
        </is>
      </c>
      <c r="HC2" s="2" t="inlineStr">
        <is>
          <t>VZ US Equity</t>
        </is>
      </c>
      <c r="HM2" s="2" t="inlineStr">
        <is>
          <t>PSIXQ US Equity</t>
        </is>
      </c>
      <c r="HW2" s="2" t="inlineStr">
        <is>
          <t>PARA US Equity</t>
        </is>
      </c>
      <c r="IG2" s="2" t="inlineStr">
        <is>
          <t>FIS US Equity</t>
        </is>
      </c>
      <c r="IQ2" s="2" t="inlineStr">
        <is>
          <t>CEMJQ US Equity</t>
        </is>
      </c>
      <c r="JA2" s="2" t="inlineStr">
        <is>
          <t>CMLS US Equity</t>
        </is>
      </c>
      <c r="JK2" s="2" t="inlineStr">
        <is>
          <t>NCF US Equity</t>
        </is>
      </c>
      <c r="JU2" s="2" t="inlineStr">
        <is>
          <t>ZTS US Equity</t>
        </is>
      </c>
      <c r="KE2" s="2" t="inlineStr">
        <is>
          <t>DRE US Equity</t>
        </is>
      </c>
      <c r="KO2" s="2" t="inlineStr">
        <is>
          <t>nan Equity</t>
        </is>
      </c>
      <c r="KY2" s="2" t="inlineStr">
        <is>
          <t>1910 HK Equity</t>
        </is>
      </c>
      <c r="LI2" s="2" t="inlineStr">
        <is>
          <t>PHM US Equity</t>
        </is>
      </c>
      <c r="LS2" s="2" t="inlineStr">
        <is>
          <t>BRK/A US Equity</t>
        </is>
      </c>
      <c r="MC2" s="2" t="inlineStr">
        <is>
          <t>MTX US Equity</t>
        </is>
      </c>
      <c r="MM2" s="2" t="inlineStr">
        <is>
          <t>FCH US Equity</t>
        </is>
      </c>
      <c r="MW2" s="2" t="inlineStr">
        <is>
          <t>NDAQ US Equity</t>
        </is>
      </c>
      <c r="NG2" s="2" t="inlineStr">
        <is>
          <t>CUBE US Equity</t>
        </is>
      </c>
      <c r="NQ2" s="2" t="inlineStr">
        <is>
          <t>MLKN US Equity</t>
        </is>
      </c>
      <c r="OA2" s="2" t="inlineStr">
        <is>
          <t>OCR US Equity</t>
        </is>
      </c>
    </row>
    <row r="3">
      <c r="A3" t="inlineStr">
        <is>
          <t>Ann: 2014-04-29</t>
        </is>
      </c>
      <c r="K3" t="inlineStr">
        <is>
          <t>Ann: 2013-05-06</t>
        </is>
      </c>
      <c r="U3" t="inlineStr">
        <is>
          <t>Ann: 2010-04-21</t>
        </is>
      </c>
      <c r="AE3" t="inlineStr">
        <is>
          <t>Ann: 2000-05-12</t>
        </is>
      </c>
      <c r="AO3" t="inlineStr">
        <is>
          <t>Ann: 2019-08-05</t>
        </is>
      </c>
      <c r="AY3" t="inlineStr">
        <is>
          <t>Ann: 2002-05-13</t>
        </is>
      </c>
      <c r="BI3" t="inlineStr">
        <is>
          <t>Ann: 2007-01-29</t>
        </is>
      </c>
      <c r="BS3" t="inlineStr">
        <is>
          <t>Ann: 2016-04-11</t>
        </is>
      </c>
      <c r="CC3" t="inlineStr">
        <is>
          <t>Ann: 2019-08-22</t>
        </is>
      </c>
      <c r="CM3" t="inlineStr">
        <is>
          <t>Ann: 2007-07-12</t>
        </is>
      </c>
      <c r="CW3" t="inlineStr">
        <is>
          <t>Ann: 2017-07-06</t>
        </is>
      </c>
      <c r="DG3" t="inlineStr">
        <is>
          <t>Ann: 1998-10-13</t>
        </is>
      </c>
      <c r="DQ3" t="inlineStr">
        <is>
          <t>Ann: 2018-02-13</t>
        </is>
      </c>
      <c r="EA3" t="inlineStr">
        <is>
          <t>Ann: 2005-06-16</t>
        </is>
      </c>
      <c r="EK3" t="inlineStr">
        <is>
          <t>Ann: 2013-02-04</t>
        </is>
      </c>
      <c r="EU3" t="inlineStr">
        <is>
          <t>Ann: 2012-05-01</t>
        </is>
      </c>
      <c r="FE3" t="inlineStr">
        <is>
          <t>Ann: 1999-09-13</t>
        </is>
      </c>
      <c r="FO3" t="inlineStr">
        <is>
          <t>Ann: 2001-05-14</t>
        </is>
      </c>
      <c r="FY3" t="inlineStr">
        <is>
          <t>Ann: 2000-02-14</t>
        </is>
      </c>
      <c r="GI3" t="inlineStr">
        <is>
          <t>Ann: 2001-12-06</t>
        </is>
      </c>
      <c r="GS3" t="inlineStr">
        <is>
          <t>Ann: 2019-08-26</t>
        </is>
      </c>
      <c r="HC3" t="inlineStr">
        <is>
          <t>Ann: 2011-01-27</t>
        </is>
      </c>
      <c r="HM3" t="inlineStr">
        <is>
          <t>Ann: 2000-03-22</t>
        </is>
      </c>
      <c r="HW3" t="inlineStr">
        <is>
          <t>Ann: 2008-05-15</t>
        </is>
      </c>
      <c r="IG3" t="inlineStr">
        <is>
          <t>Ann: 2007-06-27</t>
        </is>
      </c>
      <c r="IQ3" t="inlineStr">
        <is>
          <t>Ann: 2005-03-09</t>
        </is>
      </c>
      <c r="JA3" t="inlineStr">
        <is>
          <t>Ann: 2010-12-17</t>
        </is>
      </c>
      <c r="JK3" t="inlineStr">
        <is>
          <t>Ann: 2000-03-20</t>
        </is>
      </c>
      <c r="JU3" t="inlineStr">
        <is>
          <t>Ann: 2018-05-16</t>
        </is>
      </c>
      <c r="KE3" t="inlineStr">
        <is>
          <t>Ann: 1999-03-01</t>
        </is>
      </c>
      <c r="KO3" t="inlineStr">
        <is>
          <t>Ann: 2005-09-15</t>
        </is>
      </c>
      <c r="KY3" t="inlineStr">
        <is>
          <t>Ann: 2016-03-03</t>
        </is>
      </c>
      <c r="LI3" t="inlineStr">
        <is>
          <t>Ann: 2001-05-01</t>
        </is>
      </c>
      <c r="LS3" t="inlineStr">
        <is>
          <t>Ann: 2003-04-01</t>
        </is>
      </c>
      <c r="MC3" t="inlineStr">
        <is>
          <t>Ann: 2014-02-14</t>
        </is>
      </c>
      <c r="MM3" t="inlineStr">
        <is>
          <t>Ann: 1998-03-24</t>
        </is>
      </c>
      <c r="MW3" t="inlineStr">
        <is>
          <t>Ann: 2005-04-22</t>
        </is>
      </c>
      <c r="NG3" t="inlineStr">
        <is>
          <t>Ann: 2021-11-15</t>
        </is>
      </c>
      <c r="NQ3" t="inlineStr">
        <is>
          <t>Ann: 2021-04-19</t>
        </is>
      </c>
      <c r="OA3" t="inlineStr">
        <is>
          <t>Ann: 2004-05-24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BDS("OA US Equity","SUPPLY_CHAIN_SUPPLIERS","RELATIONSHIP_AS_OF_DATE","20140429")</f>
        <v/>
      </c>
      <c r="F5">
        <f>BDS("OA US Equity","SUPPLY_CHAIN_CUSTOMERS","RELATIONSHIP_AS_OF_DATE","20140429")</f>
        <v/>
      </c>
      <c r="K5">
        <f>BDS("CMLP US Equity","SUPPLY_CHAIN_SUPPLIERS","RELATIONSHIP_AS_OF_DATE","20130506")</f>
        <v/>
      </c>
      <c r="P5">
        <f>BDS("CMLP US Equity","SUPPLY_CHAIN_CUSTOMERS","RELATIONSHIP_AS_OF_DATE","20130506")</f>
        <v/>
      </c>
      <c r="U5">
        <f>BDS("V US Equity","SUPPLY_CHAIN_SUPPLIERS","RELATIONSHIP_AS_OF_DATE","20100421")</f>
        <v/>
      </c>
      <c r="Z5">
        <f>BDS("V US Equity","SUPPLY_CHAIN_CUSTOMERS","RELATIONSHIP_AS_OF_DATE","20100421")</f>
        <v/>
      </c>
      <c r="AE5">
        <f>BDS("TT US Equity","SUPPLY_CHAIN_SUPPLIERS","RELATIONSHIP_AS_OF_DATE","20000512")</f>
        <v/>
      </c>
      <c r="AJ5">
        <f>BDS("TT US Equity","SUPPLY_CHAIN_CUSTOMERS","RELATIONSHIP_AS_OF_DATE","20000512")</f>
        <v/>
      </c>
      <c r="AO5">
        <f>BDS("TDAY US Equity","SUPPLY_CHAIN_SUPPLIERS","RELATIONSHIP_AS_OF_DATE","20190805")</f>
        <v/>
      </c>
      <c r="AT5">
        <f>BDS("TDAY US Equity","SUPPLY_CHAIN_CUSTOMERS","RELATIONSHIP_AS_OF_DATE","20190805")</f>
        <v/>
      </c>
      <c r="AY5">
        <f>BDS("605555Q US Equity","SUPPLY_CHAIN_SUPPLIERS","RELATIONSHIP_AS_OF_DATE","20020513")</f>
        <v/>
      </c>
      <c r="BD5">
        <f>BDS("605555Q US Equity","SUPPLY_CHAIN_CUSTOMERS","RELATIONSHIP_AS_OF_DATE","20020513")</f>
        <v/>
      </c>
      <c r="BI5">
        <f>BDS("MER US Equity","SUPPLY_CHAIN_SUPPLIERS","RELATIONSHIP_AS_OF_DATE","20070129")</f>
        <v/>
      </c>
      <c r="BN5">
        <f>BDS("MER US Equity","SUPPLY_CHAIN_CUSTOMERS","RELATIONSHIP_AS_OF_DATE","20070129")</f>
        <v/>
      </c>
      <c r="BS5">
        <f>BDS("NLY US Equity","SUPPLY_CHAIN_SUPPLIERS","RELATIONSHIP_AS_OF_DATE","20160411")</f>
        <v/>
      </c>
      <c r="BX5">
        <f>BDS("NLY US Equity","SUPPLY_CHAIN_CUSTOMERS","RELATIONSHIP_AS_OF_DATE","20160411")</f>
        <v/>
      </c>
      <c r="CC5">
        <f>BDS("VMW US Equity","SUPPLY_CHAIN_SUPPLIERS","RELATIONSHIP_AS_OF_DATE","20190822")</f>
        <v/>
      </c>
      <c r="CH5">
        <f>BDS("VMW US Equity","SUPPLY_CHAIN_CUSTOMERS","RELATIONSHIP_AS_OF_DATE","20190822")</f>
        <v/>
      </c>
      <c r="CM5">
        <f>BDS("EPC US Equity","SUPPLY_CHAIN_SUPPLIERS","RELATIONSHIP_AS_OF_DATE","20070712")</f>
        <v/>
      </c>
      <c r="CR5">
        <f>BDS("EPC US Equity","SUPPLY_CHAIN_CUSTOMERS","RELATIONSHIP_AS_OF_DATE","20070712")</f>
        <v/>
      </c>
      <c r="CW5">
        <f>BDS("QVCGA US Equity","SUPPLY_CHAIN_SUPPLIERS","RELATIONSHIP_AS_OF_DATE","20170706")</f>
        <v/>
      </c>
      <c r="DB5">
        <f>BDS("QVCGA US Equity","SUPPLY_CHAIN_CUSTOMERS","RELATIONSHIP_AS_OF_DATE","20170706")</f>
        <v/>
      </c>
      <c r="DG5">
        <f>BDS("SWY US Equity","SUPPLY_CHAIN_SUPPLIERS","RELATIONSHIP_AS_OF_DATE","19981013")</f>
        <v/>
      </c>
      <c r="DL5">
        <f>BDS("SWY US Equity","SUPPLY_CHAIN_CUSTOMERS","RELATIONSHIP_AS_OF_DATE","19981013")</f>
        <v/>
      </c>
      <c r="DQ5">
        <f>BDS("COOP US Equity","SUPPLY_CHAIN_SUPPLIERS","RELATIONSHIP_AS_OF_DATE","20180213")</f>
        <v/>
      </c>
      <c r="DV5">
        <f>BDS("COOP US Equity","SUPPLY_CHAIN_CUSTOMERS","RELATIONSHIP_AS_OF_DATE","20180213")</f>
        <v/>
      </c>
      <c r="EA5">
        <f>BDS("PFE US Equity","SUPPLY_CHAIN_SUPPLIERS","RELATIONSHIP_AS_OF_DATE","20050616")</f>
        <v/>
      </c>
      <c r="EF5">
        <f>BDS("PFE US Equity","SUPPLY_CHAIN_CUSTOMERS","RELATIONSHIP_AS_OF_DATE","20050616")</f>
        <v/>
      </c>
      <c r="EK5">
        <f>BDS("ORCL US Equity","SUPPLY_CHAIN_SUPPLIERS","RELATIONSHIP_AS_OF_DATE","20130204")</f>
        <v/>
      </c>
      <c r="EP5">
        <f>BDS("ORCL US Equity","SUPPLY_CHAIN_CUSTOMERS","RELATIONSHIP_AS_OF_DATE","20130204")</f>
        <v/>
      </c>
      <c r="EU5">
        <f>BDS("nan Equity","SUPPLY_CHAIN_SUPPLIERS","RELATIONSHIP_AS_OF_DATE","20120501")</f>
        <v/>
      </c>
      <c r="EZ5">
        <f>BDS("nan Equity","SUPPLY_CHAIN_CUSTOMERS","RELATIONSHIP_AS_OF_DATE","20120501")</f>
        <v/>
      </c>
      <c r="FE5">
        <f>BDS("2641504Q US Equity","SUPPLY_CHAIN_SUPPLIERS","RELATIONSHIP_AS_OF_DATE","19990913")</f>
        <v/>
      </c>
      <c r="FJ5">
        <f>BDS("2641504Q US Equity","SUPPLY_CHAIN_CUSTOMERS","RELATIONSHIP_AS_OF_DATE","19990913")</f>
        <v/>
      </c>
      <c r="FO5">
        <f>BDS("0544749D US Equity","SUPPLY_CHAIN_SUPPLIERS","RELATIONSHIP_AS_OF_DATE","20010514")</f>
        <v/>
      </c>
      <c r="FT5">
        <f>BDS("0544749D US Equity","SUPPLY_CHAIN_CUSTOMERS","RELATIONSHIP_AS_OF_DATE","20010514")</f>
        <v/>
      </c>
      <c r="FY5">
        <f>BDS("1260972D US Equity","SUPPLY_CHAIN_SUPPLIERS","RELATIONSHIP_AS_OF_DATE","20000214")</f>
        <v/>
      </c>
      <c r="GD5">
        <f>BDS("1260972D US Equity","SUPPLY_CHAIN_CUSTOMERS","RELATIONSHIP_AS_OF_DATE","20000214")</f>
        <v/>
      </c>
      <c r="GI5">
        <f>BDS("3437127Q US Equity","SUPPLY_CHAIN_SUPPLIERS","RELATIONSHIP_AS_OF_DATE","20011206")</f>
        <v/>
      </c>
      <c r="GN5">
        <f>BDS("3437127Q US Equity","SUPPLY_CHAIN_CUSTOMERS","RELATIONSHIP_AS_OF_DATE","20011206")</f>
        <v/>
      </c>
      <c r="GS5">
        <f>BDS("PDCE US Equity","SUPPLY_CHAIN_SUPPLIERS","RELATIONSHIP_AS_OF_DATE","20190826")</f>
        <v/>
      </c>
      <c r="GX5">
        <f>BDS("PDCE US Equity","SUPPLY_CHAIN_CUSTOMERS","RELATIONSHIP_AS_OF_DATE","20190826")</f>
        <v/>
      </c>
      <c r="HC5">
        <f>BDS("VZ US Equity","SUPPLY_CHAIN_SUPPLIERS","RELATIONSHIP_AS_OF_DATE","20110127")</f>
        <v/>
      </c>
      <c r="HH5">
        <f>BDS("VZ US Equity","SUPPLY_CHAIN_CUSTOMERS","RELATIONSHIP_AS_OF_DATE","20110127")</f>
        <v/>
      </c>
      <c r="HM5">
        <f>BDS("PSIXQ US Equity","SUPPLY_CHAIN_SUPPLIERS","RELATIONSHIP_AS_OF_DATE","20000322")</f>
        <v/>
      </c>
      <c r="HR5">
        <f>BDS("PSIXQ US Equity","SUPPLY_CHAIN_CUSTOMERS","RELATIONSHIP_AS_OF_DATE","20000322")</f>
        <v/>
      </c>
      <c r="HW5">
        <f>BDS("PARA US Equity","SUPPLY_CHAIN_SUPPLIERS","RELATIONSHIP_AS_OF_DATE","20080515")</f>
        <v/>
      </c>
      <c r="IB5">
        <f>BDS("PARA US Equity","SUPPLY_CHAIN_CUSTOMERS","RELATIONSHIP_AS_OF_DATE","20080515")</f>
        <v/>
      </c>
      <c r="IG5">
        <f>BDS("FIS US Equity","SUPPLY_CHAIN_SUPPLIERS","RELATIONSHIP_AS_OF_DATE","20070627")</f>
        <v/>
      </c>
      <c r="IL5">
        <f>BDS("FIS US Equity","SUPPLY_CHAIN_CUSTOMERS","RELATIONSHIP_AS_OF_DATE","20070627")</f>
        <v/>
      </c>
      <c r="IQ5">
        <f>BDS("CEMJQ US Equity","SUPPLY_CHAIN_SUPPLIERS","RELATIONSHIP_AS_OF_DATE","20050309")</f>
        <v/>
      </c>
      <c r="IV5">
        <f>BDS("CEMJQ US Equity","SUPPLY_CHAIN_CUSTOMERS","RELATIONSHIP_AS_OF_DATE","20050309")</f>
        <v/>
      </c>
      <c r="JA5">
        <f>BDS("CMLS US Equity","SUPPLY_CHAIN_SUPPLIERS","RELATIONSHIP_AS_OF_DATE","20101217")</f>
        <v/>
      </c>
      <c r="JF5">
        <f>BDS("CMLS US Equity","SUPPLY_CHAIN_CUSTOMERS","RELATIONSHIP_AS_OF_DATE","20101217")</f>
        <v/>
      </c>
      <c r="JK5">
        <f>BDS("NCF US Equity","SUPPLY_CHAIN_SUPPLIERS","RELATIONSHIP_AS_OF_DATE","20000320")</f>
        <v/>
      </c>
      <c r="JP5">
        <f>BDS("NCF US Equity","SUPPLY_CHAIN_CUSTOMERS","RELATIONSHIP_AS_OF_DATE","20000320")</f>
        <v/>
      </c>
      <c r="JU5">
        <f>BDS("ZTS US Equity","SUPPLY_CHAIN_SUPPLIERS","RELATIONSHIP_AS_OF_DATE","20180516")</f>
        <v/>
      </c>
      <c r="JZ5">
        <f>BDS("ZTS US Equity","SUPPLY_CHAIN_CUSTOMERS","RELATIONSHIP_AS_OF_DATE","20180516")</f>
        <v/>
      </c>
      <c r="KE5">
        <f>BDS("DRE US Equity","SUPPLY_CHAIN_SUPPLIERS","RELATIONSHIP_AS_OF_DATE","19990301")</f>
        <v/>
      </c>
      <c r="KJ5">
        <f>BDS("DRE US Equity","SUPPLY_CHAIN_CUSTOMERS","RELATIONSHIP_AS_OF_DATE","19990301")</f>
        <v/>
      </c>
      <c r="KO5">
        <f>BDS("nan Equity","SUPPLY_CHAIN_SUPPLIERS","RELATIONSHIP_AS_OF_DATE","20050915")</f>
        <v/>
      </c>
      <c r="KT5">
        <f>BDS("nan Equity","SUPPLY_CHAIN_CUSTOMERS","RELATIONSHIP_AS_OF_DATE","20050915")</f>
        <v/>
      </c>
      <c r="KY5">
        <f>BDS("1910 HK Equity","SUPPLY_CHAIN_SUPPLIERS","RELATIONSHIP_AS_OF_DATE","20160303")</f>
        <v/>
      </c>
      <c r="LD5">
        <f>BDS("1910 HK Equity","SUPPLY_CHAIN_CUSTOMERS","RELATIONSHIP_AS_OF_DATE","20160303")</f>
        <v/>
      </c>
      <c r="LI5">
        <f>BDS("PHM US Equity","SUPPLY_CHAIN_SUPPLIERS","RELATIONSHIP_AS_OF_DATE","20010501")</f>
        <v/>
      </c>
      <c r="LN5">
        <f>BDS("PHM US Equity","SUPPLY_CHAIN_CUSTOMERS","RELATIONSHIP_AS_OF_DATE","20010501")</f>
        <v/>
      </c>
      <c r="LS5">
        <f>BDS("BRK/A US Equity","SUPPLY_CHAIN_SUPPLIERS","RELATIONSHIP_AS_OF_DATE","20030401")</f>
        <v/>
      </c>
      <c r="LX5">
        <f>BDS("BRK/A US Equity","SUPPLY_CHAIN_CUSTOMERS","RELATIONSHIP_AS_OF_DATE","20030401")</f>
        <v/>
      </c>
      <c r="MC5">
        <f>BDS("MTX US Equity","SUPPLY_CHAIN_SUPPLIERS","RELATIONSHIP_AS_OF_DATE","20140214")</f>
        <v/>
      </c>
      <c r="MH5">
        <f>BDS("MTX US Equity","SUPPLY_CHAIN_CUSTOMERS","RELATIONSHIP_AS_OF_DATE","20140214")</f>
        <v/>
      </c>
      <c r="MM5">
        <f>BDS("FCH US Equity","SUPPLY_CHAIN_SUPPLIERS","RELATIONSHIP_AS_OF_DATE","19980324")</f>
        <v/>
      </c>
      <c r="MR5">
        <f>BDS("FCH US Equity","SUPPLY_CHAIN_CUSTOMERS","RELATIONSHIP_AS_OF_DATE","19980324")</f>
        <v/>
      </c>
      <c r="MW5">
        <f>BDS("NDAQ US Equity","SUPPLY_CHAIN_SUPPLIERS","RELATIONSHIP_AS_OF_DATE","20050422")</f>
        <v/>
      </c>
      <c r="NB5">
        <f>BDS("NDAQ US Equity","SUPPLY_CHAIN_CUSTOMERS","RELATIONSHIP_AS_OF_DATE","20050422")</f>
        <v/>
      </c>
      <c r="NG5">
        <f>BDS("CUBE US Equity","SUPPLY_CHAIN_SUPPLIERS","RELATIONSHIP_AS_OF_DATE","20211115")</f>
        <v/>
      </c>
      <c r="NL5">
        <f>BDS("CUBE US Equity","SUPPLY_CHAIN_CUSTOMERS","RELATIONSHIP_AS_OF_DATE","20211115")</f>
        <v/>
      </c>
      <c r="NQ5">
        <f>BDS("MLKN US Equity","SUPPLY_CHAIN_SUPPLIERS","RELATIONSHIP_AS_OF_DATE","20210419")</f>
        <v/>
      </c>
      <c r="NV5">
        <f>BDS("MLKN US Equity","SUPPLY_CHAIN_CUSTOMERS","RELATIONSHIP_AS_OF_DATE","20210419")</f>
        <v/>
      </c>
      <c r="OA5">
        <f>BDS("OCR US Equity","SUPPLY_CHAIN_SUPPLIERS","RELATIONSHIP_AS_OF_DATE","20040524")</f>
        <v/>
      </c>
      <c r="OF5">
        <f>BDS("OCR US Equity","SUPPLY_CHAIN_CUSTOMERS","RELATIONSHIP_AS_OF_DATE","20040524")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1041</t>
        </is>
      </c>
      <c r="K1" s="1" t="inlineStr">
        <is>
          <t>Deal 1042</t>
        </is>
      </c>
      <c r="U1" s="1" t="inlineStr">
        <is>
          <t>Deal 1043</t>
        </is>
      </c>
      <c r="AE1" s="1" t="inlineStr">
        <is>
          <t>Deal 1044</t>
        </is>
      </c>
      <c r="AO1" s="1" t="inlineStr">
        <is>
          <t>Deal 1045</t>
        </is>
      </c>
      <c r="AY1" s="1" t="inlineStr">
        <is>
          <t>Deal 1046</t>
        </is>
      </c>
      <c r="BI1" s="1" t="inlineStr">
        <is>
          <t>Deal 1047</t>
        </is>
      </c>
      <c r="BS1" s="1" t="inlineStr">
        <is>
          <t>Deal 1048</t>
        </is>
      </c>
      <c r="CC1" s="1" t="inlineStr">
        <is>
          <t>Deal 1049</t>
        </is>
      </c>
      <c r="CM1" s="1" t="inlineStr">
        <is>
          <t>Deal 1050</t>
        </is>
      </c>
      <c r="CW1" s="1" t="inlineStr">
        <is>
          <t>Deal 1051</t>
        </is>
      </c>
      <c r="DG1" s="1" t="inlineStr">
        <is>
          <t>Deal 1052</t>
        </is>
      </c>
      <c r="DQ1" s="1" t="inlineStr">
        <is>
          <t>Deal 1053</t>
        </is>
      </c>
      <c r="EA1" s="1" t="inlineStr">
        <is>
          <t>Deal 1054</t>
        </is>
      </c>
      <c r="EK1" s="1" t="inlineStr">
        <is>
          <t>Deal 1055</t>
        </is>
      </c>
      <c r="EU1" s="1" t="inlineStr">
        <is>
          <t>Deal 1056</t>
        </is>
      </c>
      <c r="FE1" s="1" t="inlineStr">
        <is>
          <t>Deal 1057</t>
        </is>
      </c>
      <c r="FO1" s="1" t="inlineStr">
        <is>
          <t>Deal 1058</t>
        </is>
      </c>
      <c r="FY1" s="1" t="inlineStr">
        <is>
          <t>Deal 1059</t>
        </is>
      </c>
      <c r="GI1" s="1" t="inlineStr">
        <is>
          <t>Deal 1060</t>
        </is>
      </c>
      <c r="GS1" s="1" t="inlineStr">
        <is>
          <t>Deal 1061</t>
        </is>
      </c>
      <c r="HC1" s="1" t="inlineStr">
        <is>
          <t>Deal 1062</t>
        </is>
      </c>
      <c r="HM1" s="1" t="inlineStr">
        <is>
          <t>Deal 1063</t>
        </is>
      </c>
      <c r="HW1" s="1" t="inlineStr">
        <is>
          <t>Deal 1064</t>
        </is>
      </c>
      <c r="IG1" s="1" t="inlineStr">
        <is>
          <t>Deal 1065</t>
        </is>
      </c>
      <c r="IQ1" s="1" t="inlineStr">
        <is>
          <t>Deal 1066</t>
        </is>
      </c>
      <c r="JA1" s="1" t="inlineStr">
        <is>
          <t>Deal 1067</t>
        </is>
      </c>
      <c r="JK1" s="1" t="inlineStr">
        <is>
          <t>Deal 1068</t>
        </is>
      </c>
      <c r="JU1" s="1" t="inlineStr">
        <is>
          <t>Deal 1069</t>
        </is>
      </c>
      <c r="KE1" s="1" t="inlineStr">
        <is>
          <t>Deal 1070</t>
        </is>
      </c>
      <c r="KO1" s="1" t="inlineStr">
        <is>
          <t>Deal 1071</t>
        </is>
      </c>
      <c r="KY1" s="1" t="inlineStr">
        <is>
          <t>Deal 1072</t>
        </is>
      </c>
      <c r="LI1" s="1" t="inlineStr">
        <is>
          <t>Deal 1073</t>
        </is>
      </c>
      <c r="LS1" s="1" t="inlineStr">
        <is>
          <t>Deal 1074</t>
        </is>
      </c>
      <c r="MC1" s="1" t="inlineStr">
        <is>
          <t>Deal 1075</t>
        </is>
      </c>
      <c r="MM1" s="1" t="inlineStr">
        <is>
          <t>Deal 1076</t>
        </is>
      </c>
      <c r="MW1" s="1" t="inlineStr">
        <is>
          <t>Deal 1077</t>
        </is>
      </c>
      <c r="NG1" s="1" t="inlineStr">
        <is>
          <t>Deal 1078</t>
        </is>
      </c>
      <c r="NQ1" s="1" t="inlineStr">
        <is>
          <t>Deal 1079</t>
        </is>
      </c>
      <c r="OA1" s="1" t="inlineStr">
        <is>
          <t>Deal 1080</t>
        </is>
      </c>
    </row>
    <row r="2">
      <c r="A2" s="2" t="inlineStr">
        <is>
          <t>KCI US Equity</t>
        </is>
      </c>
      <c r="K2" s="2" t="inlineStr">
        <is>
          <t>ARLP US Equity</t>
        </is>
      </c>
      <c r="U2" s="2" t="inlineStr">
        <is>
          <t>MCK US Equity</t>
        </is>
      </c>
      <c r="AE2" s="2" t="inlineStr">
        <is>
          <t>TALO US Equity</t>
        </is>
      </c>
      <c r="AO2" s="2" t="inlineStr">
        <is>
          <t>AMAT US Equity</t>
        </is>
      </c>
      <c r="AY2" s="2" t="inlineStr">
        <is>
          <t>ZION US Equity</t>
        </is>
      </c>
      <c r="BI2" s="2" t="inlineStr">
        <is>
          <t>PDE US Equity</t>
        </is>
      </c>
      <c r="BS2" s="2" t="inlineStr">
        <is>
          <t>XRX US Equity</t>
        </is>
      </c>
      <c r="CC2" s="2" t="inlineStr">
        <is>
          <t>IBM US Equity</t>
        </is>
      </c>
      <c r="CM2" s="2" t="inlineStr">
        <is>
          <t>BKNG US Equity</t>
        </is>
      </c>
      <c r="CW2" s="2" t="inlineStr">
        <is>
          <t>MFW US Equity</t>
        </is>
      </c>
      <c r="DG2" s="2" t="inlineStr">
        <is>
          <t>APH US Equity</t>
        </is>
      </c>
      <c r="DQ2" s="2" t="inlineStr">
        <is>
          <t>FLG US Equity</t>
        </is>
      </c>
      <c r="EA2" s="2" t="inlineStr">
        <is>
          <t>653707Q US Equity</t>
        </is>
      </c>
      <c r="EK2" s="2" t="inlineStr">
        <is>
          <t>WP US Equity</t>
        </is>
      </c>
      <c r="EU2" s="2" t="inlineStr">
        <is>
          <t>RNR US Equity</t>
        </is>
      </c>
      <c r="FE2" s="2" t="inlineStr">
        <is>
          <t>nan Equity</t>
        </is>
      </c>
      <c r="FO2" s="2" t="inlineStr">
        <is>
          <t>CY US Equity</t>
        </is>
      </c>
      <c r="FY2" s="2" t="inlineStr">
        <is>
          <t>NFS US Equity</t>
        </is>
      </c>
      <c r="GI2" s="2" t="inlineStr">
        <is>
          <t>THC US Equity</t>
        </is>
      </c>
      <c r="GS2" s="2" t="inlineStr">
        <is>
          <t>POST US Equity</t>
        </is>
      </c>
      <c r="HC2" s="2" t="inlineStr">
        <is>
          <t>BPL US Equity</t>
        </is>
      </c>
      <c r="HM2" s="2" t="inlineStr">
        <is>
          <t>GLW US Equity</t>
        </is>
      </c>
      <c r="HW2" s="2" t="inlineStr">
        <is>
          <t>IDTI US Equity</t>
        </is>
      </c>
      <c r="IG2" s="2" t="inlineStr">
        <is>
          <t>AMGN US Equity</t>
        </is>
      </c>
      <c r="IQ2" s="2" t="inlineStr">
        <is>
          <t>HLIT US Equity</t>
        </is>
      </c>
      <c r="JA2" s="2" t="inlineStr">
        <is>
          <t>4622869Z US Equity</t>
        </is>
      </c>
      <c r="JK2" s="2" t="inlineStr">
        <is>
          <t>SPHR US Equity</t>
        </is>
      </c>
      <c r="JU2" s="2" t="inlineStr">
        <is>
          <t>EXPE US Equity</t>
        </is>
      </c>
      <c r="KE2" s="2" t="inlineStr">
        <is>
          <t>ANRZQ US Equity</t>
        </is>
      </c>
      <c r="KO2" s="2" t="inlineStr">
        <is>
          <t>MTOR US Equity</t>
        </is>
      </c>
      <c r="KY2" s="2" t="inlineStr">
        <is>
          <t>ETN US Equity</t>
        </is>
      </c>
      <c r="LI2" s="2" t="inlineStr">
        <is>
          <t>0574018D US Equity</t>
        </is>
      </c>
      <c r="LS2" s="2" t="inlineStr">
        <is>
          <t>1837572D US Equity</t>
        </is>
      </c>
      <c r="MC2" s="2" t="inlineStr">
        <is>
          <t>MFNXQ US Equity</t>
        </is>
      </c>
      <c r="MM2" s="2" t="inlineStr">
        <is>
          <t>IBM US Equity</t>
        </is>
      </c>
      <c r="MW2" s="2" t="inlineStr">
        <is>
          <t>CSCO US Equity</t>
        </is>
      </c>
      <c r="NG2" s="2" t="inlineStr">
        <is>
          <t>INTC US Equity</t>
        </is>
      </c>
      <c r="NQ2" s="2" t="inlineStr">
        <is>
          <t>BX US Equity</t>
        </is>
      </c>
      <c r="OA2" s="2" t="inlineStr">
        <is>
          <t>166783Q US Equity</t>
        </is>
      </c>
    </row>
    <row r="3">
      <c r="A3" t="inlineStr">
        <is>
          <t>Ann: 2008-04-07</t>
        </is>
      </c>
      <c r="K3" t="inlineStr">
        <is>
          <t>Ann: 2018-02-23</t>
        </is>
      </c>
      <c r="U3" t="inlineStr">
        <is>
          <t>Ann: 2006-11-06</t>
        </is>
      </c>
      <c r="AE3" t="inlineStr">
        <is>
          <t>Ann: 2008-04-30</t>
        </is>
      </c>
      <c r="AO3" t="inlineStr">
        <is>
          <t>Ann: 2000-01-13</t>
        </is>
      </c>
      <c r="AY3" t="inlineStr">
        <is>
          <t>Ann: 2005-07-06</t>
        </is>
      </c>
      <c r="BI3" t="inlineStr">
        <is>
          <t>Ann: 2001-05-24</t>
        </is>
      </c>
      <c r="BS3" t="inlineStr">
        <is>
          <t>Ann: 2007-04-02</t>
        </is>
      </c>
      <c r="CC3" t="inlineStr">
        <is>
          <t>Ann: 2010-09-20</t>
        </is>
      </c>
      <c r="CM3" t="inlineStr">
        <is>
          <t>Ann: 2012-11-08</t>
        </is>
      </c>
      <c r="CW3" t="inlineStr">
        <is>
          <t>Ann: 2006-12-20</t>
        </is>
      </c>
      <c r="DG3" t="inlineStr">
        <is>
          <t>Ann: 2020-12-09</t>
        </is>
      </c>
      <c r="DQ3" t="inlineStr">
        <is>
          <t>Ann: 2003-06-27</t>
        </is>
      </c>
      <c r="EA3" t="inlineStr">
        <is>
          <t>Ann: 1998-10-05</t>
        </is>
      </c>
      <c r="EK3" t="inlineStr">
        <is>
          <t>Ann: 2014-05-12</t>
        </is>
      </c>
      <c r="EU3" t="inlineStr">
        <is>
          <t>Ann: 2014-11-24</t>
        </is>
      </c>
      <c r="FE3" t="inlineStr">
        <is>
          <t>Ann: 2007-02-26</t>
        </is>
      </c>
      <c r="FO3" t="inlineStr">
        <is>
          <t>Ann: 2014-12-01</t>
        </is>
      </c>
      <c r="FY3" t="inlineStr">
        <is>
          <t>Ann: 1998-05-18</t>
        </is>
      </c>
      <c r="GI3" t="inlineStr">
        <is>
          <t>Ann: 2013-06-24</t>
        </is>
      </c>
      <c r="GS3" t="inlineStr">
        <is>
          <t>Ann: 2017-09-19</t>
        </is>
      </c>
      <c r="HC3" t="inlineStr">
        <is>
          <t>Ann: 2010-06-11</t>
        </is>
      </c>
      <c r="HM3" t="inlineStr">
        <is>
          <t>Ann: 2000-02-14</t>
        </is>
      </c>
      <c r="HW3" t="inlineStr">
        <is>
          <t>Ann: 2005-06-15</t>
        </is>
      </c>
      <c r="IG3" t="inlineStr">
        <is>
          <t>Ann: 2021-03-04</t>
        </is>
      </c>
      <c r="IQ3" t="inlineStr">
        <is>
          <t>Ann: 1999-10-27</t>
        </is>
      </c>
      <c r="JA3" t="inlineStr">
        <is>
          <t>Ann: 2006-08-21</t>
        </is>
      </c>
      <c r="JK3" t="inlineStr">
        <is>
          <t>Ann: 2021-03-26</t>
        </is>
      </c>
      <c r="JU3" t="inlineStr">
        <is>
          <t>Ann: 2015-02-12</t>
        </is>
      </c>
      <c r="KE3" t="inlineStr">
        <is>
          <t>Ann: 2009-05-12</t>
        </is>
      </c>
      <c r="KO3" t="inlineStr">
        <is>
          <t>Ann: 2000-04-06</t>
        </is>
      </c>
      <c r="KY3" t="inlineStr">
        <is>
          <t>Ann: 1999-02-01</t>
        </is>
      </c>
      <c r="LI3" t="inlineStr">
        <is>
          <t>Ann: 1998-04-02</t>
        </is>
      </c>
      <c r="LS3" t="inlineStr">
        <is>
          <t>Ann: 1999-08-18</t>
        </is>
      </c>
      <c r="MC3" t="inlineStr">
        <is>
          <t>Ann: 2000-10-10</t>
        </is>
      </c>
      <c r="MM3" t="inlineStr">
        <is>
          <t>Ann: 2002-12-06</t>
        </is>
      </c>
      <c r="MW3" t="inlineStr">
        <is>
          <t>Ann: 1999-04-13</t>
        </is>
      </c>
      <c r="NG3" t="inlineStr">
        <is>
          <t>Ann: 1999-10-14</t>
        </is>
      </c>
      <c r="NQ3" t="inlineStr">
        <is>
          <t>Ann: 2008-06-19</t>
        </is>
      </c>
      <c r="OA3" t="inlineStr">
        <is>
          <t>Ann: 1999-09-20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BDS("KCI US Equity","SUPPLY_CHAIN_SUPPLIERS","RELATIONSHIP_AS_OF_DATE","20080407")</f>
        <v/>
      </c>
      <c r="F5">
        <f>BDS("KCI US Equity","SUPPLY_CHAIN_CUSTOMERS","RELATIONSHIP_AS_OF_DATE","20080407")</f>
        <v/>
      </c>
      <c r="K5">
        <f>BDS("ARLP US Equity","SUPPLY_CHAIN_SUPPLIERS","RELATIONSHIP_AS_OF_DATE","20180223")</f>
        <v/>
      </c>
      <c r="P5">
        <f>BDS("ARLP US Equity","SUPPLY_CHAIN_CUSTOMERS","RELATIONSHIP_AS_OF_DATE","20180223")</f>
        <v/>
      </c>
      <c r="U5">
        <f>BDS("MCK US Equity","SUPPLY_CHAIN_SUPPLIERS","RELATIONSHIP_AS_OF_DATE","20061106")</f>
        <v/>
      </c>
      <c r="Z5">
        <f>BDS("MCK US Equity","SUPPLY_CHAIN_CUSTOMERS","RELATIONSHIP_AS_OF_DATE","20061106")</f>
        <v/>
      </c>
      <c r="AE5">
        <f>BDS("TALO US Equity","SUPPLY_CHAIN_SUPPLIERS","RELATIONSHIP_AS_OF_DATE","20080430")</f>
        <v/>
      </c>
      <c r="AJ5">
        <f>BDS("TALO US Equity","SUPPLY_CHAIN_CUSTOMERS","RELATIONSHIP_AS_OF_DATE","20080430")</f>
        <v/>
      </c>
      <c r="AO5">
        <f>BDS("AMAT US Equity","SUPPLY_CHAIN_SUPPLIERS","RELATIONSHIP_AS_OF_DATE","20000113")</f>
        <v/>
      </c>
      <c r="AT5">
        <f>BDS("AMAT US Equity","SUPPLY_CHAIN_CUSTOMERS","RELATIONSHIP_AS_OF_DATE","20000113")</f>
        <v/>
      </c>
      <c r="AY5">
        <f>BDS("ZION US Equity","SUPPLY_CHAIN_SUPPLIERS","RELATIONSHIP_AS_OF_DATE","20050706")</f>
        <v/>
      </c>
      <c r="BD5">
        <f>BDS("ZION US Equity","SUPPLY_CHAIN_CUSTOMERS","RELATIONSHIP_AS_OF_DATE","20050706")</f>
        <v/>
      </c>
      <c r="BI5">
        <f>BDS("PDE US Equity","SUPPLY_CHAIN_SUPPLIERS","RELATIONSHIP_AS_OF_DATE","20010524")</f>
        <v/>
      </c>
      <c r="BN5">
        <f>BDS("PDE US Equity","SUPPLY_CHAIN_CUSTOMERS","RELATIONSHIP_AS_OF_DATE","20010524")</f>
        <v/>
      </c>
      <c r="BS5">
        <f>BDS("XRX US Equity","SUPPLY_CHAIN_SUPPLIERS","RELATIONSHIP_AS_OF_DATE","20070402")</f>
        <v/>
      </c>
      <c r="BX5">
        <f>BDS("XRX US Equity","SUPPLY_CHAIN_CUSTOMERS","RELATIONSHIP_AS_OF_DATE","20070402")</f>
        <v/>
      </c>
      <c r="CC5">
        <f>BDS("IBM US Equity","SUPPLY_CHAIN_SUPPLIERS","RELATIONSHIP_AS_OF_DATE","20100920")</f>
        <v/>
      </c>
      <c r="CH5">
        <f>BDS("IBM US Equity","SUPPLY_CHAIN_CUSTOMERS","RELATIONSHIP_AS_OF_DATE","20100920")</f>
        <v/>
      </c>
      <c r="CM5">
        <f>BDS("BKNG US Equity","SUPPLY_CHAIN_SUPPLIERS","RELATIONSHIP_AS_OF_DATE","20121108")</f>
        <v/>
      </c>
      <c r="CR5">
        <f>BDS("BKNG US Equity","SUPPLY_CHAIN_CUSTOMERS","RELATIONSHIP_AS_OF_DATE","20121108")</f>
        <v/>
      </c>
      <c r="CW5">
        <f>BDS("MFW US Equity","SUPPLY_CHAIN_SUPPLIERS","RELATIONSHIP_AS_OF_DATE","20061220")</f>
        <v/>
      </c>
      <c r="DB5">
        <f>BDS("MFW US Equity","SUPPLY_CHAIN_CUSTOMERS","RELATIONSHIP_AS_OF_DATE","20061220")</f>
        <v/>
      </c>
      <c r="DG5">
        <f>BDS("APH US Equity","SUPPLY_CHAIN_SUPPLIERS","RELATIONSHIP_AS_OF_DATE","20201209")</f>
        <v/>
      </c>
      <c r="DL5">
        <f>BDS("APH US Equity","SUPPLY_CHAIN_CUSTOMERS","RELATIONSHIP_AS_OF_DATE","20201209")</f>
        <v/>
      </c>
      <c r="DQ5">
        <f>BDS("FLG US Equity","SUPPLY_CHAIN_SUPPLIERS","RELATIONSHIP_AS_OF_DATE","20030627")</f>
        <v/>
      </c>
      <c r="DV5">
        <f>BDS("FLG US Equity","SUPPLY_CHAIN_CUSTOMERS","RELATIONSHIP_AS_OF_DATE","20030627")</f>
        <v/>
      </c>
      <c r="EA5">
        <f>BDS("653707Q US Equity","SUPPLY_CHAIN_SUPPLIERS","RELATIONSHIP_AS_OF_DATE","19981005")</f>
        <v/>
      </c>
      <c r="EF5">
        <f>BDS("653707Q US Equity","SUPPLY_CHAIN_CUSTOMERS","RELATIONSHIP_AS_OF_DATE","19981005")</f>
        <v/>
      </c>
      <c r="EK5">
        <f>BDS("WP US Equity","SUPPLY_CHAIN_SUPPLIERS","RELATIONSHIP_AS_OF_DATE","20140512")</f>
        <v/>
      </c>
      <c r="EP5">
        <f>BDS("WP US Equity","SUPPLY_CHAIN_CUSTOMERS","RELATIONSHIP_AS_OF_DATE","20140512")</f>
        <v/>
      </c>
      <c r="EU5">
        <f>BDS("RNR US Equity","SUPPLY_CHAIN_SUPPLIERS","RELATIONSHIP_AS_OF_DATE","20141124")</f>
        <v/>
      </c>
      <c r="EZ5">
        <f>BDS("RNR US Equity","SUPPLY_CHAIN_CUSTOMERS","RELATIONSHIP_AS_OF_DATE","20141124")</f>
        <v/>
      </c>
      <c r="FE5">
        <f>BDS("nan Equity","SUPPLY_CHAIN_SUPPLIERS","RELATIONSHIP_AS_OF_DATE","20070226")</f>
        <v/>
      </c>
      <c r="FJ5">
        <f>BDS("nan Equity","SUPPLY_CHAIN_CUSTOMERS","RELATIONSHIP_AS_OF_DATE","20070226")</f>
        <v/>
      </c>
      <c r="FO5">
        <f>BDS("CY US Equity","SUPPLY_CHAIN_SUPPLIERS","RELATIONSHIP_AS_OF_DATE","20141201")</f>
        <v/>
      </c>
      <c r="FT5">
        <f>BDS("CY US Equity","SUPPLY_CHAIN_CUSTOMERS","RELATIONSHIP_AS_OF_DATE","20141201")</f>
        <v/>
      </c>
      <c r="FY5">
        <f>BDS("NFS US Equity","SUPPLY_CHAIN_SUPPLIERS","RELATIONSHIP_AS_OF_DATE","19980518")</f>
        <v/>
      </c>
      <c r="GD5">
        <f>BDS("NFS US Equity","SUPPLY_CHAIN_CUSTOMERS","RELATIONSHIP_AS_OF_DATE","19980518")</f>
        <v/>
      </c>
      <c r="GI5">
        <f>BDS("THC US Equity","SUPPLY_CHAIN_SUPPLIERS","RELATIONSHIP_AS_OF_DATE","20130624")</f>
        <v/>
      </c>
      <c r="GN5">
        <f>BDS("THC US Equity","SUPPLY_CHAIN_CUSTOMERS","RELATIONSHIP_AS_OF_DATE","20130624")</f>
        <v/>
      </c>
      <c r="GS5">
        <f>BDS("POST US Equity","SUPPLY_CHAIN_SUPPLIERS","RELATIONSHIP_AS_OF_DATE","20170919")</f>
        <v/>
      </c>
      <c r="GX5">
        <f>BDS("POST US Equity","SUPPLY_CHAIN_CUSTOMERS","RELATIONSHIP_AS_OF_DATE","20170919")</f>
        <v/>
      </c>
      <c r="HC5">
        <f>BDS("BPL US Equity","SUPPLY_CHAIN_SUPPLIERS","RELATIONSHIP_AS_OF_DATE","20100611")</f>
        <v/>
      </c>
      <c r="HH5">
        <f>BDS("BPL US Equity","SUPPLY_CHAIN_CUSTOMERS","RELATIONSHIP_AS_OF_DATE","20100611")</f>
        <v/>
      </c>
      <c r="HM5">
        <f>BDS("GLW US Equity","SUPPLY_CHAIN_SUPPLIERS","RELATIONSHIP_AS_OF_DATE","20000214")</f>
        <v/>
      </c>
      <c r="HR5">
        <f>BDS("GLW US Equity","SUPPLY_CHAIN_CUSTOMERS","RELATIONSHIP_AS_OF_DATE","20000214")</f>
        <v/>
      </c>
      <c r="HW5">
        <f>BDS("IDTI US Equity","SUPPLY_CHAIN_SUPPLIERS","RELATIONSHIP_AS_OF_DATE","20050615")</f>
        <v/>
      </c>
      <c r="IB5">
        <f>BDS("IDTI US Equity","SUPPLY_CHAIN_CUSTOMERS","RELATIONSHIP_AS_OF_DATE","20050615")</f>
        <v/>
      </c>
      <c r="IG5">
        <f>BDS("AMGN US Equity","SUPPLY_CHAIN_SUPPLIERS","RELATIONSHIP_AS_OF_DATE","20210304")</f>
        <v/>
      </c>
      <c r="IL5">
        <f>BDS("AMGN US Equity","SUPPLY_CHAIN_CUSTOMERS","RELATIONSHIP_AS_OF_DATE","20210304")</f>
        <v/>
      </c>
      <c r="IQ5">
        <f>BDS("HLIT US Equity","SUPPLY_CHAIN_SUPPLIERS","RELATIONSHIP_AS_OF_DATE","19991027")</f>
        <v/>
      </c>
      <c r="IV5">
        <f>BDS("HLIT US Equity","SUPPLY_CHAIN_CUSTOMERS","RELATIONSHIP_AS_OF_DATE","19991027")</f>
        <v/>
      </c>
      <c r="JA5">
        <f>BDS("4622869Z US Equity","SUPPLY_CHAIN_SUPPLIERS","RELATIONSHIP_AS_OF_DATE","20060821")</f>
        <v/>
      </c>
      <c r="JF5">
        <f>BDS("4622869Z US Equity","SUPPLY_CHAIN_CUSTOMERS","RELATIONSHIP_AS_OF_DATE","20060821")</f>
        <v/>
      </c>
      <c r="JK5">
        <f>BDS("SPHR US Equity","SUPPLY_CHAIN_SUPPLIERS","RELATIONSHIP_AS_OF_DATE","20210326")</f>
        <v/>
      </c>
      <c r="JP5">
        <f>BDS("SPHR US Equity","SUPPLY_CHAIN_CUSTOMERS","RELATIONSHIP_AS_OF_DATE","20210326")</f>
        <v/>
      </c>
      <c r="JU5">
        <f>BDS("EXPE US Equity","SUPPLY_CHAIN_SUPPLIERS","RELATIONSHIP_AS_OF_DATE","20150212")</f>
        <v/>
      </c>
      <c r="JZ5">
        <f>BDS("EXPE US Equity","SUPPLY_CHAIN_CUSTOMERS","RELATIONSHIP_AS_OF_DATE","20150212")</f>
        <v/>
      </c>
      <c r="KE5">
        <f>BDS("ANRZQ US Equity","SUPPLY_CHAIN_SUPPLIERS","RELATIONSHIP_AS_OF_DATE","20090512")</f>
        <v/>
      </c>
      <c r="KJ5">
        <f>BDS("ANRZQ US Equity","SUPPLY_CHAIN_CUSTOMERS","RELATIONSHIP_AS_OF_DATE","20090512")</f>
        <v/>
      </c>
      <c r="KO5">
        <f>BDS("MTOR US Equity","SUPPLY_CHAIN_SUPPLIERS","RELATIONSHIP_AS_OF_DATE","20000406")</f>
        <v/>
      </c>
      <c r="KT5">
        <f>BDS("MTOR US Equity","SUPPLY_CHAIN_CUSTOMERS","RELATIONSHIP_AS_OF_DATE","20000406")</f>
        <v/>
      </c>
      <c r="KY5">
        <f>BDS("ETN US Equity","SUPPLY_CHAIN_SUPPLIERS","RELATIONSHIP_AS_OF_DATE","19990201")</f>
        <v/>
      </c>
      <c r="LD5">
        <f>BDS("ETN US Equity","SUPPLY_CHAIN_CUSTOMERS","RELATIONSHIP_AS_OF_DATE","19990201")</f>
        <v/>
      </c>
      <c r="LI5">
        <f>BDS("0574018D US Equity","SUPPLY_CHAIN_SUPPLIERS","RELATIONSHIP_AS_OF_DATE","19980402")</f>
        <v/>
      </c>
      <c r="LN5">
        <f>BDS("0574018D US Equity","SUPPLY_CHAIN_CUSTOMERS","RELATIONSHIP_AS_OF_DATE","19980402")</f>
        <v/>
      </c>
      <c r="LS5">
        <f>BDS("1837572D US Equity","SUPPLY_CHAIN_SUPPLIERS","RELATIONSHIP_AS_OF_DATE","19990818")</f>
        <v/>
      </c>
      <c r="LX5">
        <f>BDS("1837572D US Equity","SUPPLY_CHAIN_CUSTOMERS","RELATIONSHIP_AS_OF_DATE","19990818")</f>
        <v/>
      </c>
      <c r="MC5">
        <f>BDS("MFNXQ US Equity","SUPPLY_CHAIN_SUPPLIERS","RELATIONSHIP_AS_OF_DATE","20001010")</f>
        <v/>
      </c>
      <c r="MH5">
        <f>BDS("MFNXQ US Equity","SUPPLY_CHAIN_CUSTOMERS","RELATIONSHIP_AS_OF_DATE","20001010")</f>
        <v/>
      </c>
      <c r="MM5">
        <f>BDS("IBM US Equity","SUPPLY_CHAIN_SUPPLIERS","RELATIONSHIP_AS_OF_DATE","20021206")</f>
        <v/>
      </c>
      <c r="MR5">
        <f>BDS("IBM US Equity","SUPPLY_CHAIN_CUSTOMERS","RELATIONSHIP_AS_OF_DATE","20021206")</f>
        <v/>
      </c>
      <c r="MW5">
        <f>BDS("CSCO US Equity","SUPPLY_CHAIN_SUPPLIERS","RELATIONSHIP_AS_OF_DATE","19990413")</f>
        <v/>
      </c>
      <c r="NB5">
        <f>BDS("CSCO US Equity","SUPPLY_CHAIN_CUSTOMERS","RELATIONSHIP_AS_OF_DATE","19990413")</f>
        <v/>
      </c>
      <c r="NG5">
        <f>BDS("INTC US Equity","SUPPLY_CHAIN_SUPPLIERS","RELATIONSHIP_AS_OF_DATE","19991014")</f>
        <v/>
      </c>
      <c r="NL5">
        <f>BDS("INTC US Equity","SUPPLY_CHAIN_CUSTOMERS","RELATIONSHIP_AS_OF_DATE","19991014")</f>
        <v/>
      </c>
      <c r="NQ5">
        <f>BDS("BX US Equity","SUPPLY_CHAIN_SUPPLIERS","RELATIONSHIP_AS_OF_DATE","20080619")</f>
        <v/>
      </c>
      <c r="NV5">
        <f>BDS("BX US Equity","SUPPLY_CHAIN_CUSTOMERS","RELATIONSHIP_AS_OF_DATE","20080619")</f>
        <v/>
      </c>
      <c r="OA5">
        <f>BDS("166783Q US Equity","SUPPLY_CHAIN_SUPPLIERS","RELATIONSHIP_AS_OF_DATE","19990920")</f>
        <v/>
      </c>
      <c r="OF5">
        <f>BDS("166783Q US Equity","SUPPLY_CHAIN_CUSTOMERS","RELATIONSHIP_AS_OF_DATE","19990920")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1081</t>
        </is>
      </c>
      <c r="K1" s="1" t="inlineStr">
        <is>
          <t>Deal 1082</t>
        </is>
      </c>
      <c r="U1" s="1" t="inlineStr">
        <is>
          <t>Deal 1083</t>
        </is>
      </c>
      <c r="AE1" s="1" t="inlineStr">
        <is>
          <t>Deal 1084</t>
        </is>
      </c>
      <c r="AO1" s="1" t="inlineStr">
        <is>
          <t>Deal 1085</t>
        </is>
      </c>
      <c r="AY1" s="1" t="inlineStr">
        <is>
          <t>Deal 1086</t>
        </is>
      </c>
      <c r="BI1" s="1" t="inlineStr">
        <is>
          <t>Deal 1087</t>
        </is>
      </c>
      <c r="BS1" s="1" t="inlineStr">
        <is>
          <t>Deal 1088</t>
        </is>
      </c>
      <c r="CC1" s="1" t="inlineStr">
        <is>
          <t>Deal 1089</t>
        </is>
      </c>
      <c r="CM1" s="1" t="inlineStr">
        <is>
          <t>Deal 1090</t>
        </is>
      </c>
      <c r="CW1" s="1" t="inlineStr">
        <is>
          <t>Deal 1091</t>
        </is>
      </c>
      <c r="DG1" s="1" t="inlineStr">
        <is>
          <t>Deal 1092</t>
        </is>
      </c>
      <c r="DQ1" s="1" t="inlineStr">
        <is>
          <t>Deal 1093</t>
        </is>
      </c>
      <c r="EA1" s="1" t="inlineStr">
        <is>
          <t>Deal 1094</t>
        </is>
      </c>
      <c r="EK1" s="1" t="inlineStr">
        <is>
          <t>Deal 1095</t>
        </is>
      </c>
      <c r="EU1" s="1" t="inlineStr">
        <is>
          <t>Deal 1096</t>
        </is>
      </c>
      <c r="FE1" s="1" t="inlineStr">
        <is>
          <t>Deal 1097</t>
        </is>
      </c>
      <c r="FO1" s="1" t="inlineStr">
        <is>
          <t>Deal 1098</t>
        </is>
      </c>
      <c r="FY1" s="1" t="inlineStr">
        <is>
          <t>Deal 1099</t>
        </is>
      </c>
      <c r="GI1" s="1" t="inlineStr">
        <is>
          <t>Deal 1100</t>
        </is>
      </c>
      <c r="GS1" s="1" t="inlineStr">
        <is>
          <t>Deal 1101</t>
        </is>
      </c>
      <c r="HC1" s="1" t="inlineStr">
        <is>
          <t>Deal 1102</t>
        </is>
      </c>
      <c r="HM1" s="1" t="inlineStr">
        <is>
          <t>Deal 1103</t>
        </is>
      </c>
      <c r="HW1" s="1" t="inlineStr">
        <is>
          <t>Deal 1104</t>
        </is>
      </c>
      <c r="IG1" s="1" t="inlineStr">
        <is>
          <t>Deal 1105</t>
        </is>
      </c>
      <c r="IQ1" s="1" t="inlineStr">
        <is>
          <t>Deal 1106</t>
        </is>
      </c>
      <c r="JA1" s="1" t="inlineStr">
        <is>
          <t>Deal 1107</t>
        </is>
      </c>
      <c r="JK1" s="1" t="inlineStr">
        <is>
          <t>Deal 1108</t>
        </is>
      </c>
      <c r="JU1" s="1" t="inlineStr">
        <is>
          <t>Deal 1109</t>
        </is>
      </c>
      <c r="KE1" s="1" t="inlineStr">
        <is>
          <t>Deal 1110</t>
        </is>
      </c>
      <c r="KO1" s="1" t="inlineStr">
        <is>
          <t>Deal 1111</t>
        </is>
      </c>
      <c r="KY1" s="1" t="inlineStr">
        <is>
          <t>Deal 1112</t>
        </is>
      </c>
      <c r="LI1" s="1" t="inlineStr">
        <is>
          <t>Deal 1113</t>
        </is>
      </c>
      <c r="LS1" s="1" t="inlineStr">
        <is>
          <t>Deal 1114</t>
        </is>
      </c>
      <c r="MC1" s="1" t="inlineStr">
        <is>
          <t>Deal 1115</t>
        </is>
      </c>
      <c r="MM1" s="1" t="inlineStr">
        <is>
          <t>Deal 1116</t>
        </is>
      </c>
      <c r="MW1" s="1" t="inlineStr">
        <is>
          <t>Deal 1117</t>
        </is>
      </c>
      <c r="NG1" s="1" t="inlineStr">
        <is>
          <t>Deal 1118</t>
        </is>
      </c>
      <c r="NQ1" s="1" t="inlineStr">
        <is>
          <t>Deal 1119</t>
        </is>
      </c>
      <c r="OA1" s="1" t="inlineStr">
        <is>
          <t>Deal 1120</t>
        </is>
      </c>
    </row>
    <row r="2">
      <c r="A2" s="2" t="inlineStr">
        <is>
          <t>BRCD US Equity</t>
        </is>
      </c>
      <c r="K2" s="2" t="inlineStr">
        <is>
          <t>SD US Equity</t>
        </is>
      </c>
      <c r="U2" s="2" t="inlineStr">
        <is>
          <t>KEYS US Equity</t>
        </is>
      </c>
      <c r="AE2" s="2" t="inlineStr">
        <is>
          <t>ACH US Equity</t>
        </is>
      </c>
      <c r="AO2" s="2" t="inlineStr">
        <is>
          <t>ADBE US Equity</t>
        </is>
      </c>
      <c r="AY2" s="2" t="inlineStr">
        <is>
          <t>9876552D US Equity</t>
        </is>
      </c>
      <c r="BI2" s="2" t="inlineStr">
        <is>
          <t>GMH US Equity</t>
        </is>
      </c>
      <c r="BS2" s="2" t="inlineStr">
        <is>
          <t>LPNT US Equity</t>
        </is>
      </c>
      <c r="CC2" s="2" t="inlineStr">
        <is>
          <t>3867693Z US Equity</t>
        </is>
      </c>
      <c r="CM2" s="2" t="inlineStr">
        <is>
          <t>BBWI US Equity</t>
        </is>
      </c>
      <c r="CW2" s="2" t="inlineStr">
        <is>
          <t>CSCO US Equity</t>
        </is>
      </c>
      <c r="DG2" s="2" t="inlineStr">
        <is>
          <t>AGN US Equity</t>
        </is>
      </c>
      <c r="DQ2" s="2" t="inlineStr">
        <is>
          <t>ELNK US Equity</t>
        </is>
      </c>
      <c r="EA2" s="2" t="inlineStr">
        <is>
          <t>2309719Q US Equity</t>
        </is>
      </c>
      <c r="EK2" s="2" t="inlineStr">
        <is>
          <t>HPQ US Equity</t>
        </is>
      </c>
      <c r="EU2" s="2" t="inlineStr">
        <is>
          <t>MRK US Equity</t>
        </is>
      </c>
      <c r="FE2" s="2" t="inlineStr">
        <is>
          <t>CCMP US Equity</t>
        </is>
      </c>
      <c r="FO2" s="2" t="inlineStr">
        <is>
          <t>2556796D US Equity</t>
        </is>
      </c>
      <c r="FY2" s="2" t="inlineStr">
        <is>
          <t>XEC US Equity</t>
        </is>
      </c>
      <c r="GI2" s="2" t="inlineStr">
        <is>
          <t>SVU US Equity</t>
        </is>
      </c>
      <c r="GS2" s="2" t="inlineStr">
        <is>
          <t>M US Equity</t>
        </is>
      </c>
      <c r="HC2" s="2" t="inlineStr">
        <is>
          <t>PVR US Equity</t>
        </is>
      </c>
      <c r="HM2" s="2" t="inlineStr">
        <is>
          <t>FNFG US Equity</t>
        </is>
      </c>
      <c r="HW2" s="2" t="inlineStr">
        <is>
          <t>AF US Equity</t>
        </is>
      </c>
      <c r="IG2" s="2" t="inlineStr">
        <is>
          <t>GD US Equity</t>
        </is>
      </c>
      <c r="IQ2" s="2" t="inlineStr">
        <is>
          <t>1859004D US Equity</t>
        </is>
      </c>
      <c r="JA2" s="2" t="inlineStr">
        <is>
          <t>CAH US Equity</t>
        </is>
      </c>
      <c r="JK2" s="2" t="inlineStr">
        <is>
          <t>LEE US Equity</t>
        </is>
      </c>
      <c r="JU2" s="2" t="inlineStr">
        <is>
          <t>1825471D US Equity</t>
        </is>
      </c>
      <c r="KE2" s="2" t="inlineStr">
        <is>
          <t>9995522D US Equity</t>
        </is>
      </c>
      <c r="KO2" s="2" t="inlineStr">
        <is>
          <t>MHK US Equity</t>
        </is>
      </c>
      <c r="KY2" s="2" t="inlineStr">
        <is>
          <t>1986522D US Equity</t>
        </is>
      </c>
      <c r="LI2" s="2" t="inlineStr">
        <is>
          <t>QTRN US Equity</t>
        </is>
      </c>
      <c r="LS2" s="2" t="inlineStr">
        <is>
          <t>ITG US Equity</t>
        </is>
      </c>
      <c r="MC2" s="2" t="inlineStr">
        <is>
          <t>L US Equity</t>
        </is>
      </c>
      <c r="MM2" s="2" t="inlineStr">
        <is>
          <t>HSY US Equity</t>
        </is>
      </c>
      <c r="MW2" s="2" t="inlineStr">
        <is>
          <t>GOOGL US Equity</t>
        </is>
      </c>
      <c r="NG2" s="2" t="inlineStr">
        <is>
          <t>SSNC US Equity</t>
        </is>
      </c>
      <c r="NQ2" s="2" t="inlineStr">
        <is>
          <t>WSFS US Equity</t>
        </is>
      </c>
      <c r="OA2" s="2" t="inlineStr">
        <is>
          <t>MFNXQ US Equity</t>
        </is>
      </c>
    </row>
    <row r="3">
      <c r="A3" t="inlineStr">
        <is>
          <t>Ann: 2008-07-21</t>
        </is>
      </c>
      <c r="K3" t="inlineStr">
        <is>
          <t>Ann: 2010-04-04</t>
        </is>
      </c>
      <c r="U3" t="inlineStr">
        <is>
          <t>Ann: 2017-01-30</t>
        </is>
      </c>
      <c r="AE3" t="inlineStr">
        <is>
          <t>Ann: 2022-01-10</t>
        </is>
      </c>
      <c r="AO3" t="inlineStr">
        <is>
          <t>Ann: 2009-09-15</t>
        </is>
      </c>
      <c r="AY3" t="inlineStr">
        <is>
          <t>Ann: 2007-09-17</t>
        </is>
      </c>
      <c r="BI3" t="inlineStr">
        <is>
          <t>Ann: 1998-12-14</t>
        </is>
      </c>
      <c r="BS3" t="inlineStr">
        <is>
          <t>Ann: 2004-08-16</t>
        </is>
      </c>
      <c r="CC3" t="inlineStr">
        <is>
          <t>Ann: 2005-05-31</t>
        </is>
      </c>
      <c r="CM3" t="inlineStr">
        <is>
          <t>Ann: 2002-02-04</t>
        </is>
      </c>
      <c r="CW3" t="inlineStr">
        <is>
          <t>Ann: 2017-10-23</t>
        </is>
      </c>
      <c r="DG3" t="inlineStr">
        <is>
          <t>Ann: 2006-03-13</t>
        </is>
      </c>
      <c r="DQ3" t="inlineStr">
        <is>
          <t>Ann: 1999-09-23</t>
        </is>
      </c>
      <c r="EA3" t="inlineStr">
        <is>
          <t>Ann: 2001-11-06</t>
        </is>
      </c>
      <c r="EK3" t="inlineStr">
        <is>
          <t>Ann: 2007-07-23</t>
        </is>
      </c>
      <c r="EU3" t="inlineStr">
        <is>
          <t>Ann: 2021-02-25</t>
        </is>
      </c>
      <c r="FE3" t="inlineStr">
        <is>
          <t>Ann: 2018-08-15</t>
        </is>
      </c>
      <c r="FO3" t="inlineStr">
        <is>
          <t>Ann: 2015-08-04</t>
        </is>
      </c>
      <c r="FY3" t="inlineStr">
        <is>
          <t>Ann: 2018-11-19</t>
        </is>
      </c>
      <c r="GI3" t="inlineStr">
        <is>
          <t>Ann: 1999-06-09</t>
        </is>
      </c>
      <c r="GS3" t="inlineStr">
        <is>
          <t>Ann: 1999-02-11</t>
        </is>
      </c>
      <c r="HC3" t="inlineStr">
        <is>
          <t>Ann: 2010-09-21</t>
        </is>
      </c>
      <c r="HM3" t="inlineStr">
        <is>
          <t>Ann: 2010-08-19</t>
        </is>
      </c>
      <c r="HW3" t="inlineStr">
        <is>
          <t>Ann: 1998-04-03</t>
        </is>
      </c>
      <c r="IG3" t="inlineStr">
        <is>
          <t>Ann: 2003-06-09</t>
        </is>
      </c>
      <c r="IQ3" t="inlineStr">
        <is>
          <t>Ann: 2015-10-28</t>
        </is>
      </c>
      <c r="JA3" t="inlineStr">
        <is>
          <t>Ann: 2007-05-14</t>
        </is>
      </c>
      <c r="JK3" t="inlineStr">
        <is>
          <t>Ann: 2005-01-30</t>
        </is>
      </c>
      <c r="JU3" t="inlineStr">
        <is>
          <t>Ann: 1999-05-10</t>
        </is>
      </c>
      <c r="KE3" t="inlineStr">
        <is>
          <t>Ann: 2013-02-20</t>
        </is>
      </c>
      <c r="KO3" t="inlineStr">
        <is>
          <t>Ann: 2001-11-19</t>
        </is>
      </c>
      <c r="KY3" t="inlineStr">
        <is>
          <t>Ann: 2007-04-05</t>
        </is>
      </c>
      <c r="LI3" t="inlineStr">
        <is>
          <t>Ann: 1998-12-16</t>
        </is>
      </c>
      <c r="LS3" t="inlineStr">
        <is>
          <t>Ann: 1998-03-18</t>
        </is>
      </c>
      <c r="MC3" t="inlineStr">
        <is>
          <t>Ann: 2018-06-29</t>
        </is>
      </c>
      <c r="MM3" t="inlineStr">
        <is>
          <t>Ann: 2017-12-18</t>
        </is>
      </c>
      <c r="MW3" t="inlineStr">
        <is>
          <t>Ann: 2019-11-01</t>
        </is>
      </c>
      <c r="NG3" t="inlineStr">
        <is>
          <t>Ann: 2018-09-06</t>
        </is>
      </c>
      <c r="NQ3" t="inlineStr">
        <is>
          <t>Ann: 2018-08-08</t>
        </is>
      </c>
      <c r="OA3" t="inlineStr">
        <is>
          <t>Ann: 1999-06-23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BDS("BRCD US Equity","SUPPLY_CHAIN_SUPPLIERS","RELATIONSHIP_AS_OF_DATE","20080721")</f>
        <v/>
      </c>
      <c r="F5">
        <f>BDS("BRCD US Equity","SUPPLY_CHAIN_CUSTOMERS","RELATIONSHIP_AS_OF_DATE","20080721")</f>
        <v/>
      </c>
      <c r="K5">
        <f>BDS("SD US Equity","SUPPLY_CHAIN_SUPPLIERS","RELATIONSHIP_AS_OF_DATE","20100404")</f>
        <v/>
      </c>
      <c r="P5">
        <f>BDS("SD US Equity","SUPPLY_CHAIN_CUSTOMERS","RELATIONSHIP_AS_OF_DATE","20100404")</f>
        <v/>
      </c>
      <c r="U5">
        <f>BDS("KEYS US Equity","SUPPLY_CHAIN_SUPPLIERS","RELATIONSHIP_AS_OF_DATE","20170130")</f>
        <v/>
      </c>
      <c r="Z5">
        <f>BDS("KEYS US Equity","SUPPLY_CHAIN_CUSTOMERS","RELATIONSHIP_AS_OF_DATE","20170130")</f>
        <v/>
      </c>
      <c r="AE5">
        <f>BDS("ACH US Equity","SUPPLY_CHAIN_SUPPLIERS","RELATIONSHIP_AS_OF_DATE","20220110")</f>
        <v/>
      </c>
      <c r="AJ5">
        <f>BDS("ACH US Equity","SUPPLY_CHAIN_CUSTOMERS","RELATIONSHIP_AS_OF_DATE","20220110")</f>
        <v/>
      </c>
      <c r="AO5">
        <f>BDS("ADBE US Equity","SUPPLY_CHAIN_SUPPLIERS","RELATIONSHIP_AS_OF_DATE","20090915")</f>
        <v/>
      </c>
      <c r="AT5">
        <f>BDS("ADBE US Equity","SUPPLY_CHAIN_CUSTOMERS","RELATIONSHIP_AS_OF_DATE","20090915")</f>
        <v/>
      </c>
      <c r="AY5">
        <f>BDS("9876552D US Equity","SUPPLY_CHAIN_SUPPLIERS","RELATIONSHIP_AS_OF_DATE","20070917")</f>
        <v/>
      </c>
      <c r="BD5">
        <f>BDS("9876552D US Equity","SUPPLY_CHAIN_CUSTOMERS","RELATIONSHIP_AS_OF_DATE","20070917")</f>
        <v/>
      </c>
      <c r="BI5">
        <f>BDS("GMH US Equity","SUPPLY_CHAIN_SUPPLIERS","RELATIONSHIP_AS_OF_DATE","19981214")</f>
        <v/>
      </c>
      <c r="BN5">
        <f>BDS("GMH US Equity","SUPPLY_CHAIN_CUSTOMERS","RELATIONSHIP_AS_OF_DATE","19981214")</f>
        <v/>
      </c>
      <c r="BS5">
        <f>BDS("LPNT US Equity","SUPPLY_CHAIN_SUPPLIERS","RELATIONSHIP_AS_OF_DATE","20040816")</f>
        <v/>
      </c>
      <c r="BX5">
        <f>BDS("LPNT US Equity","SUPPLY_CHAIN_CUSTOMERS","RELATIONSHIP_AS_OF_DATE","20040816")</f>
        <v/>
      </c>
      <c r="CC5">
        <f>BDS("3867693Z US Equity","SUPPLY_CHAIN_SUPPLIERS","RELATIONSHIP_AS_OF_DATE","20050531")</f>
        <v/>
      </c>
      <c r="CH5">
        <f>BDS("3867693Z US Equity","SUPPLY_CHAIN_CUSTOMERS","RELATIONSHIP_AS_OF_DATE","20050531")</f>
        <v/>
      </c>
      <c r="CM5">
        <f>BDS("BBWI US Equity","SUPPLY_CHAIN_SUPPLIERS","RELATIONSHIP_AS_OF_DATE","20020204")</f>
        <v/>
      </c>
      <c r="CR5">
        <f>BDS("BBWI US Equity","SUPPLY_CHAIN_CUSTOMERS","RELATIONSHIP_AS_OF_DATE","20020204")</f>
        <v/>
      </c>
      <c r="CW5">
        <f>BDS("CSCO US Equity","SUPPLY_CHAIN_SUPPLIERS","RELATIONSHIP_AS_OF_DATE","20171023")</f>
        <v/>
      </c>
      <c r="DB5">
        <f>BDS("CSCO US Equity","SUPPLY_CHAIN_CUSTOMERS","RELATIONSHIP_AS_OF_DATE","20171023")</f>
        <v/>
      </c>
      <c r="DG5">
        <f>BDS("AGN US Equity","SUPPLY_CHAIN_SUPPLIERS","RELATIONSHIP_AS_OF_DATE","20060313")</f>
        <v/>
      </c>
      <c r="DL5">
        <f>BDS("AGN US Equity","SUPPLY_CHAIN_CUSTOMERS","RELATIONSHIP_AS_OF_DATE","20060313")</f>
        <v/>
      </c>
      <c r="DQ5">
        <f>BDS("ELNK US Equity","SUPPLY_CHAIN_SUPPLIERS","RELATIONSHIP_AS_OF_DATE","19990923")</f>
        <v/>
      </c>
      <c r="DV5">
        <f>BDS("ELNK US Equity","SUPPLY_CHAIN_CUSTOMERS","RELATIONSHIP_AS_OF_DATE","19990923")</f>
        <v/>
      </c>
      <c r="EA5">
        <f>BDS("2309719Q US Equity","SUPPLY_CHAIN_SUPPLIERS","RELATIONSHIP_AS_OF_DATE","20011106")</f>
        <v/>
      </c>
      <c r="EF5">
        <f>BDS("2309719Q US Equity","SUPPLY_CHAIN_CUSTOMERS","RELATIONSHIP_AS_OF_DATE","20011106")</f>
        <v/>
      </c>
      <c r="EK5">
        <f>BDS("HPQ US Equity","SUPPLY_CHAIN_SUPPLIERS","RELATIONSHIP_AS_OF_DATE","20070723")</f>
        <v/>
      </c>
      <c r="EP5">
        <f>BDS("HPQ US Equity","SUPPLY_CHAIN_CUSTOMERS","RELATIONSHIP_AS_OF_DATE","20070723")</f>
        <v/>
      </c>
      <c r="EU5">
        <f>BDS("MRK US Equity","SUPPLY_CHAIN_SUPPLIERS","RELATIONSHIP_AS_OF_DATE","20210225")</f>
        <v/>
      </c>
      <c r="EZ5">
        <f>BDS("MRK US Equity","SUPPLY_CHAIN_CUSTOMERS","RELATIONSHIP_AS_OF_DATE","20210225")</f>
        <v/>
      </c>
      <c r="FE5">
        <f>BDS("CCMP US Equity","SUPPLY_CHAIN_SUPPLIERS","RELATIONSHIP_AS_OF_DATE","20180815")</f>
        <v/>
      </c>
      <c r="FJ5">
        <f>BDS("CCMP US Equity","SUPPLY_CHAIN_CUSTOMERS","RELATIONSHIP_AS_OF_DATE","20180815")</f>
        <v/>
      </c>
      <c r="FO5">
        <f>BDS("2556796D US Equity","SUPPLY_CHAIN_SUPPLIERS","RELATIONSHIP_AS_OF_DATE","20150804")</f>
        <v/>
      </c>
      <c r="FT5">
        <f>BDS("2556796D US Equity","SUPPLY_CHAIN_CUSTOMERS","RELATIONSHIP_AS_OF_DATE","20150804")</f>
        <v/>
      </c>
      <c r="FY5">
        <f>BDS("XEC US Equity","SUPPLY_CHAIN_SUPPLIERS","RELATIONSHIP_AS_OF_DATE","20181119")</f>
        <v/>
      </c>
      <c r="GD5">
        <f>BDS("XEC US Equity","SUPPLY_CHAIN_CUSTOMERS","RELATIONSHIP_AS_OF_DATE","20181119")</f>
        <v/>
      </c>
      <c r="GI5">
        <f>BDS("SVU US Equity","SUPPLY_CHAIN_SUPPLIERS","RELATIONSHIP_AS_OF_DATE","19990609")</f>
        <v/>
      </c>
      <c r="GN5">
        <f>BDS("SVU US Equity","SUPPLY_CHAIN_CUSTOMERS","RELATIONSHIP_AS_OF_DATE","19990609")</f>
        <v/>
      </c>
      <c r="GS5">
        <f>BDS("M US Equity","SUPPLY_CHAIN_SUPPLIERS","RELATIONSHIP_AS_OF_DATE","19990211")</f>
        <v/>
      </c>
      <c r="GX5">
        <f>BDS("M US Equity","SUPPLY_CHAIN_CUSTOMERS","RELATIONSHIP_AS_OF_DATE","19990211")</f>
        <v/>
      </c>
      <c r="HC5">
        <f>BDS("PVR US Equity","SUPPLY_CHAIN_SUPPLIERS","RELATIONSHIP_AS_OF_DATE","20100921")</f>
        <v/>
      </c>
      <c r="HH5">
        <f>BDS("PVR US Equity","SUPPLY_CHAIN_CUSTOMERS","RELATIONSHIP_AS_OF_DATE","20100921")</f>
        <v/>
      </c>
      <c r="HM5">
        <f>BDS("FNFG US Equity","SUPPLY_CHAIN_SUPPLIERS","RELATIONSHIP_AS_OF_DATE","20100819")</f>
        <v/>
      </c>
      <c r="HR5">
        <f>BDS("FNFG US Equity","SUPPLY_CHAIN_CUSTOMERS","RELATIONSHIP_AS_OF_DATE","20100819")</f>
        <v/>
      </c>
      <c r="HW5">
        <f>BDS("AF US Equity","SUPPLY_CHAIN_SUPPLIERS","RELATIONSHIP_AS_OF_DATE","19980403")</f>
        <v/>
      </c>
      <c r="IB5">
        <f>BDS("AF US Equity","SUPPLY_CHAIN_CUSTOMERS","RELATIONSHIP_AS_OF_DATE","19980403")</f>
        <v/>
      </c>
      <c r="IG5">
        <f>BDS("GD US Equity","SUPPLY_CHAIN_SUPPLIERS","RELATIONSHIP_AS_OF_DATE","20030609")</f>
        <v/>
      </c>
      <c r="IL5">
        <f>BDS("GD US Equity","SUPPLY_CHAIN_CUSTOMERS","RELATIONSHIP_AS_OF_DATE","20030609")</f>
        <v/>
      </c>
      <c r="IQ5">
        <f>BDS("1859004D US Equity","SUPPLY_CHAIN_SUPPLIERS","RELATIONSHIP_AS_OF_DATE","20151028")</f>
        <v/>
      </c>
      <c r="IV5">
        <f>BDS("1859004D US Equity","SUPPLY_CHAIN_CUSTOMERS","RELATIONSHIP_AS_OF_DATE","20151028")</f>
        <v/>
      </c>
      <c r="JA5">
        <f>BDS("CAH US Equity","SUPPLY_CHAIN_SUPPLIERS","RELATIONSHIP_AS_OF_DATE","20070514")</f>
        <v/>
      </c>
      <c r="JF5">
        <f>BDS("CAH US Equity","SUPPLY_CHAIN_CUSTOMERS","RELATIONSHIP_AS_OF_DATE","20070514")</f>
        <v/>
      </c>
      <c r="JK5">
        <f>BDS("LEE US Equity","SUPPLY_CHAIN_SUPPLIERS","RELATIONSHIP_AS_OF_DATE","20050130")</f>
        <v/>
      </c>
      <c r="JP5">
        <f>BDS("LEE US Equity","SUPPLY_CHAIN_CUSTOMERS","RELATIONSHIP_AS_OF_DATE","20050130")</f>
        <v/>
      </c>
      <c r="JU5">
        <f>BDS("1825471D US Equity","SUPPLY_CHAIN_SUPPLIERS","RELATIONSHIP_AS_OF_DATE","19990510")</f>
        <v/>
      </c>
      <c r="JZ5">
        <f>BDS("1825471D US Equity","SUPPLY_CHAIN_CUSTOMERS","RELATIONSHIP_AS_OF_DATE","19990510")</f>
        <v/>
      </c>
      <c r="KE5">
        <f>BDS("9995522D US Equity","SUPPLY_CHAIN_SUPPLIERS","RELATIONSHIP_AS_OF_DATE","20130220")</f>
        <v/>
      </c>
      <c r="KJ5">
        <f>BDS("9995522D US Equity","SUPPLY_CHAIN_CUSTOMERS","RELATIONSHIP_AS_OF_DATE","20130220")</f>
        <v/>
      </c>
      <c r="KO5">
        <f>BDS("MHK US Equity","SUPPLY_CHAIN_SUPPLIERS","RELATIONSHIP_AS_OF_DATE","20011119")</f>
        <v/>
      </c>
      <c r="KT5">
        <f>BDS("MHK US Equity","SUPPLY_CHAIN_CUSTOMERS","RELATIONSHIP_AS_OF_DATE","20011119")</f>
        <v/>
      </c>
      <c r="KY5">
        <f>BDS("1986522D US Equity","SUPPLY_CHAIN_SUPPLIERS","RELATIONSHIP_AS_OF_DATE","20070405")</f>
        <v/>
      </c>
      <c r="LD5">
        <f>BDS("1986522D US Equity","SUPPLY_CHAIN_CUSTOMERS","RELATIONSHIP_AS_OF_DATE","20070405")</f>
        <v/>
      </c>
      <c r="LI5">
        <f>BDS("QTRN US Equity","SUPPLY_CHAIN_SUPPLIERS","RELATIONSHIP_AS_OF_DATE","19981216")</f>
        <v/>
      </c>
      <c r="LN5">
        <f>BDS("QTRN US Equity","SUPPLY_CHAIN_CUSTOMERS","RELATIONSHIP_AS_OF_DATE","19981216")</f>
        <v/>
      </c>
      <c r="LS5">
        <f>BDS("ITG US Equity","SUPPLY_CHAIN_SUPPLIERS","RELATIONSHIP_AS_OF_DATE","19980318")</f>
        <v/>
      </c>
      <c r="LX5">
        <f>BDS("ITG US Equity","SUPPLY_CHAIN_CUSTOMERS","RELATIONSHIP_AS_OF_DATE","19980318")</f>
        <v/>
      </c>
      <c r="MC5">
        <f>BDS("L US Equity","SUPPLY_CHAIN_SUPPLIERS","RELATIONSHIP_AS_OF_DATE","20180629")</f>
        <v/>
      </c>
      <c r="MH5">
        <f>BDS("L US Equity","SUPPLY_CHAIN_CUSTOMERS","RELATIONSHIP_AS_OF_DATE","20180629")</f>
        <v/>
      </c>
      <c r="MM5">
        <f>BDS("HSY US Equity","SUPPLY_CHAIN_SUPPLIERS","RELATIONSHIP_AS_OF_DATE","20171218")</f>
        <v/>
      </c>
      <c r="MR5">
        <f>BDS("HSY US Equity","SUPPLY_CHAIN_CUSTOMERS","RELATIONSHIP_AS_OF_DATE","20171218")</f>
        <v/>
      </c>
      <c r="MW5">
        <f>BDS("GOOGL US Equity","SUPPLY_CHAIN_SUPPLIERS","RELATIONSHIP_AS_OF_DATE","20191101")</f>
        <v/>
      </c>
      <c r="NB5">
        <f>BDS("GOOGL US Equity","SUPPLY_CHAIN_CUSTOMERS","RELATIONSHIP_AS_OF_DATE","20191101")</f>
        <v/>
      </c>
      <c r="NG5">
        <f>BDS("SSNC US Equity","SUPPLY_CHAIN_SUPPLIERS","RELATIONSHIP_AS_OF_DATE","20180906")</f>
        <v/>
      </c>
      <c r="NL5">
        <f>BDS("SSNC US Equity","SUPPLY_CHAIN_CUSTOMERS","RELATIONSHIP_AS_OF_DATE","20180906")</f>
        <v/>
      </c>
      <c r="NQ5">
        <f>BDS("WSFS US Equity","SUPPLY_CHAIN_SUPPLIERS","RELATIONSHIP_AS_OF_DATE","20180808")</f>
        <v/>
      </c>
      <c r="NV5">
        <f>BDS("WSFS US Equity","SUPPLY_CHAIN_CUSTOMERS","RELATIONSHIP_AS_OF_DATE","20180808")</f>
        <v/>
      </c>
      <c r="OA5">
        <f>BDS("MFNXQ US Equity","SUPPLY_CHAIN_SUPPLIERS","RELATIONSHIP_AS_OF_DATE","19990623")</f>
        <v/>
      </c>
      <c r="OF5">
        <f>BDS("MFNXQ US Equity","SUPPLY_CHAIN_CUSTOMERS","RELATIONSHIP_AS_OF_DATE","19990623")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1121</t>
        </is>
      </c>
      <c r="K1" s="1" t="inlineStr">
        <is>
          <t>Deal 1122</t>
        </is>
      </c>
      <c r="U1" s="1" t="inlineStr">
        <is>
          <t>Deal 1123</t>
        </is>
      </c>
      <c r="AE1" s="1" t="inlineStr">
        <is>
          <t>Deal 1124</t>
        </is>
      </c>
      <c r="AO1" s="1" t="inlineStr">
        <is>
          <t>Deal 1125</t>
        </is>
      </c>
      <c r="AY1" s="1" t="inlineStr">
        <is>
          <t>Deal 1126</t>
        </is>
      </c>
      <c r="BI1" s="1" t="inlineStr">
        <is>
          <t>Deal 1127</t>
        </is>
      </c>
      <c r="BS1" s="1" t="inlineStr">
        <is>
          <t>Deal 1128</t>
        </is>
      </c>
      <c r="CC1" s="1" t="inlineStr">
        <is>
          <t>Deal 1129</t>
        </is>
      </c>
      <c r="CM1" s="1" t="inlineStr">
        <is>
          <t>Deal 1130</t>
        </is>
      </c>
      <c r="CW1" s="1" t="inlineStr">
        <is>
          <t>Deal 1131</t>
        </is>
      </c>
      <c r="DG1" s="1" t="inlineStr">
        <is>
          <t>Deal 1132</t>
        </is>
      </c>
      <c r="DQ1" s="1" t="inlineStr">
        <is>
          <t>Deal 1133</t>
        </is>
      </c>
      <c r="EA1" s="1" t="inlineStr">
        <is>
          <t>Deal 1134</t>
        </is>
      </c>
      <c r="EK1" s="1" t="inlineStr">
        <is>
          <t>Deal 1135</t>
        </is>
      </c>
      <c r="EU1" s="1" t="inlineStr">
        <is>
          <t>Deal 1136</t>
        </is>
      </c>
      <c r="FE1" s="1" t="inlineStr">
        <is>
          <t>Deal 1137</t>
        </is>
      </c>
      <c r="FO1" s="1" t="inlineStr">
        <is>
          <t>Deal 1138</t>
        </is>
      </c>
      <c r="FY1" s="1" t="inlineStr">
        <is>
          <t>Deal 1139</t>
        </is>
      </c>
      <c r="GI1" s="1" t="inlineStr">
        <is>
          <t>Deal 1140</t>
        </is>
      </c>
      <c r="GS1" s="1" t="inlineStr">
        <is>
          <t>Deal 1141</t>
        </is>
      </c>
      <c r="HC1" s="1" t="inlineStr">
        <is>
          <t>Deal 1142</t>
        </is>
      </c>
      <c r="HM1" s="1" t="inlineStr">
        <is>
          <t>Deal 1143</t>
        </is>
      </c>
      <c r="HW1" s="1" t="inlineStr">
        <is>
          <t>Deal 1144</t>
        </is>
      </c>
      <c r="IG1" s="1" t="inlineStr">
        <is>
          <t>Deal 1145</t>
        </is>
      </c>
      <c r="IQ1" s="1" t="inlineStr">
        <is>
          <t>Deal 1146</t>
        </is>
      </c>
      <c r="JA1" s="1" t="inlineStr">
        <is>
          <t>Deal 1147</t>
        </is>
      </c>
      <c r="JK1" s="1" t="inlineStr">
        <is>
          <t>Deal 1148</t>
        </is>
      </c>
      <c r="JU1" s="1" t="inlineStr">
        <is>
          <t>Deal 1149</t>
        </is>
      </c>
      <c r="KE1" s="1" t="inlineStr">
        <is>
          <t>Deal 1150</t>
        </is>
      </c>
      <c r="KO1" s="1" t="inlineStr">
        <is>
          <t>Deal 1151</t>
        </is>
      </c>
      <c r="KY1" s="1" t="inlineStr">
        <is>
          <t>Deal 1152</t>
        </is>
      </c>
      <c r="LI1" s="1" t="inlineStr">
        <is>
          <t>Deal 1153</t>
        </is>
      </c>
      <c r="LS1" s="1" t="inlineStr">
        <is>
          <t>Deal 1154</t>
        </is>
      </c>
      <c r="MC1" s="1" t="inlineStr">
        <is>
          <t>Deal 1155</t>
        </is>
      </c>
      <c r="MM1" s="1" t="inlineStr">
        <is>
          <t>Deal 1156</t>
        </is>
      </c>
      <c r="MW1" s="1" t="inlineStr">
        <is>
          <t>Deal 1157</t>
        </is>
      </c>
      <c r="NG1" s="1" t="inlineStr">
        <is>
          <t>Deal 1158</t>
        </is>
      </c>
      <c r="NQ1" s="1" t="inlineStr">
        <is>
          <t>Deal 1159</t>
        </is>
      </c>
      <c r="OA1" s="1" t="inlineStr">
        <is>
          <t>Deal 1160</t>
        </is>
      </c>
    </row>
    <row r="2">
      <c r="A2" s="2" t="inlineStr">
        <is>
          <t>nan Equity</t>
        </is>
      </c>
      <c r="K2" s="2" t="inlineStr">
        <is>
          <t>MHS US Equity</t>
        </is>
      </c>
      <c r="U2" s="2" t="inlineStr">
        <is>
          <t>TLRDQ US Equity</t>
        </is>
      </c>
      <c r="AE2" s="2" t="inlineStr">
        <is>
          <t>HPQ US Equity</t>
        </is>
      </c>
      <c r="AO2" s="2" t="inlineStr">
        <is>
          <t>RFMD US Equity</t>
        </is>
      </c>
      <c r="AY2" s="2" t="inlineStr">
        <is>
          <t>THRY US Equity</t>
        </is>
      </c>
      <c r="BI2" s="2" t="inlineStr">
        <is>
          <t>LLY US Equity</t>
        </is>
      </c>
      <c r="BS2" s="2" t="inlineStr">
        <is>
          <t>SANM US Equity</t>
        </is>
      </c>
      <c r="CC2" s="2" t="inlineStr">
        <is>
          <t>AA US Equity</t>
        </is>
      </c>
      <c r="CM2" s="2" t="inlineStr">
        <is>
          <t>YELLQ US Equity</t>
        </is>
      </c>
      <c r="CW2" s="2" t="inlineStr">
        <is>
          <t>ORCL US Equity</t>
        </is>
      </c>
      <c r="DG2" s="2" t="inlineStr">
        <is>
          <t>9876456D US Equity</t>
        </is>
      </c>
      <c r="DQ2" s="2" t="inlineStr">
        <is>
          <t>UCOMA US Equity</t>
        </is>
      </c>
      <c r="EA2" s="2" t="inlineStr">
        <is>
          <t>EXE US Equity</t>
        </is>
      </c>
      <c r="EK2" s="2" t="inlineStr">
        <is>
          <t>ICBC US Equity</t>
        </is>
      </c>
      <c r="EU2" s="2" t="inlineStr">
        <is>
          <t>WBMD US Equity</t>
        </is>
      </c>
      <c r="FE2" s="2" t="inlineStr">
        <is>
          <t>LNWO US Equity</t>
        </is>
      </c>
      <c r="FO2" s="2" t="inlineStr">
        <is>
          <t>TRUL CN Equity</t>
        </is>
      </c>
      <c r="FY2" s="2" t="inlineStr">
        <is>
          <t>WAMUQ US Equity</t>
        </is>
      </c>
      <c r="GI2" s="2" t="inlineStr">
        <is>
          <t>2258717D US Equity</t>
        </is>
      </c>
      <c r="GS2" s="2" t="inlineStr">
        <is>
          <t>CRL US Equity</t>
        </is>
      </c>
      <c r="HC2" s="2" t="inlineStr">
        <is>
          <t>nan Equity</t>
        </is>
      </c>
      <c r="HM2" s="2" t="inlineStr">
        <is>
          <t>WFC US Equity</t>
        </is>
      </c>
      <c r="HW2" s="2" t="inlineStr">
        <is>
          <t>JNY US Equity</t>
        </is>
      </c>
      <c r="IG2" s="2" t="inlineStr">
        <is>
          <t>1856613D US Equity</t>
        </is>
      </c>
      <c r="IQ2" s="2" t="inlineStr">
        <is>
          <t>WEC US Equity</t>
        </is>
      </c>
      <c r="JA2" s="2" t="inlineStr">
        <is>
          <t>nan Equity</t>
        </is>
      </c>
      <c r="JK2" s="2" t="inlineStr">
        <is>
          <t>CNSL US Equity</t>
        </is>
      </c>
      <c r="JU2" s="2" t="inlineStr">
        <is>
          <t>KMPR US Equity</t>
        </is>
      </c>
      <c r="KE2" s="2" t="inlineStr">
        <is>
          <t>HTV US Equity</t>
        </is>
      </c>
      <c r="KO2" s="2" t="inlineStr">
        <is>
          <t>BKD US Equity</t>
        </is>
      </c>
      <c r="KY2" s="2" t="inlineStr">
        <is>
          <t>3692470Q US Equity</t>
        </is>
      </c>
      <c r="LI2" s="2" t="inlineStr">
        <is>
          <t>EXR US Equity</t>
        </is>
      </c>
      <c r="LS2" s="2" t="inlineStr">
        <is>
          <t>1856613D US Equity</t>
        </is>
      </c>
      <c r="MC2" s="2" t="inlineStr">
        <is>
          <t>TXT US Equity</t>
        </is>
      </c>
      <c r="MM2" s="2" t="inlineStr">
        <is>
          <t>1919709D US Equity</t>
        </is>
      </c>
      <c r="MW2" s="2" t="inlineStr">
        <is>
          <t>CLP US Equity</t>
        </is>
      </c>
      <c r="NG2" s="2" t="inlineStr">
        <is>
          <t>VZ US Equity</t>
        </is>
      </c>
      <c r="NQ2" s="2" t="inlineStr">
        <is>
          <t>A US Equity</t>
        </is>
      </c>
      <c r="OA2" s="2" t="inlineStr">
        <is>
          <t>nan Equity</t>
        </is>
      </c>
    </row>
    <row r="3">
      <c r="A3" t="inlineStr">
        <is>
          <t>Ann: 2020-07-22</t>
        </is>
      </c>
      <c r="K3" t="inlineStr">
        <is>
          <t>Ann: 2007-08-28</t>
        </is>
      </c>
      <c r="U3" t="inlineStr">
        <is>
          <t>Ann: 2013-11-26</t>
        </is>
      </c>
      <c r="AE3" t="inlineStr">
        <is>
          <t>Ann: 2010-09-13</t>
        </is>
      </c>
      <c r="AO3" t="inlineStr">
        <is>
          <t>Ann: 2014-02-24</t>
        </is>
      </c>
      <c r="AY3" t="inlineStr">
        <is>
          <t>Ann: 2012-08-21</t>
        </is>
      </c>
      <c r="BI3" t="inlineStr">
        <is>
          <t>Ann: 2018-05-10</t>
        </is>
      </c>
      <c r="BS3" t="inlineStr">
        <is>
          <t>Ann: 2000-04-17</t>
        </is>
      </c>
      <c r="CC3" t="inlineStr">
        <is>
          <t>Ann: 2015-03-09</t>
        </is>
      </c>
      <c r="CM3" t="inlineStr">
        <is>
          <t>Ann: 2005-02-27</t>
        </is>
      </c>
      <c r="CW3" t="inlineStr">
        <is>
          <t>Ann: 2011-10-24</t>
        </is>
      </c>
      <c r="DG3" t="inlineStr">
        <is>
          <t>Ann: 2006-09-15</t>
        </is>
      </c>
      <c r="DQ3" t="inlineStr">
        <is>
          <t>Ann: 2003-10-06</t>
        </is>
      </c>
      <c r="EA3" t="inlineStr">
        <is>
          <t>Ann: 2021-08-11</t>
        </is>
      </c>
      <c r="EK3" t="inlineStr">
        <is>
          <t>Ann: 2003-11-25</t>
        </is>
      </c>
      <c r="EU3" t="inlineStr">
        <is>
          <t>Ann: 2009-06-18</t>
        </is>
      </c>
      <c r="FE3" t="inlineStr">
        <is>
          <t>Ann: 2013-01-31</t>
        </is>
      </c>
      <c r="FO3" t="inlineStr">
        <is>
          <t>Ann: 2021-05-10</t>
        </is>
      </c>
      <c r="FY3" t="inlineStr">
        <is>
          <t>Ann: 2000-08-21</t>
        </is>
      </c>
      <c r="GI3" t="inlineStr">
        <is>
          <t>Ann: 2003-10-14</t>
        </is>
      </c>
      <c r="GS3" t="inlineStr">
        <is>
          <t>Ann: 2004-07-01</t>
        </is>
      </c>
      <c r="HC3" t="inlineStr">
        <is>
          <t>Ann: 1998-01-20</t>
        </is>
      </c>
      <c r="HM3" t="inlineStr">
        <is>
          <t>Ann: 2007-05-04</t>
        </is>
      </c>
      <c r="HW3" t="inlineStr">
        <is>
          <t>Ann: 1999-03-03</t>
        </is>
      </c>
      <c r="IG3" t="inlineStr">
        <is>
          <t>Ann: 2006-08-15</t>
        </is>
      </c>
      <c r="IQ3" t="inlineStr">
        <is>
          <t>Ann: 1999-06-28</t>
        </is>
      </c>
      <c r="JA3" t="inlineStr">
        <is>
          <t>Ann: 2007-02-16</t>
        </is>
      </c>
      <c r="JK3" t="inlineStr">
        <is>
          <t>Ann: 2016-12-05</t>
        </is>
      </c>
      <c r="JU3" t="inlineStr">
        <is>
          <t>Ann: 2018-02-13</t>
        </is>
      </c>
      <c r="KE3" t="inlineStr">
        <is>
          <t>Ann: 1998-05-26</t>
        </is>
      </c>
      <c r="KO3" t="inlineStr">
        <is>
          <t>Ann: 2006-05-12</t>
        </is>
      </c>
      <c r="KY3" t="inlineStr">
        <is>
          <t>Ann: 1998-12-18</t>
        </is>
      </c>
      <c r="LI3" t="inlineStr">
        <is>
          <t>Ann: 2015-06-15</t>
        </is>
      </c>
      <c r="LS3" t="inlineStr">
        <is>
          <t>Ann: 2005-01-24</t>
        </is>
      </c>
      <c r="MC3" t="inlineStr">
        <is>
          <t>Ann: 2013-12-26</t>
        </is>
      </c>
      <c r="MM3" t="inlineStr">
        <is>
          <t>Ann: 2013-06-09</t>
        </is>
      </c>
      <c r="MW3" t="inlineStr">
        <is>
          <t>Ann: 2004-10-25</t>
        </is>
      </c>
      <c r="NG3" t="inlineStr">
        <is>
          <t>Ann: 2012-06-01</t>
        </is>
      </c>
      <c r="NQ3" t="inlineStr">
        <is>
          <t>Ann: 2009-07-27</t>
        </is>
      </c>
      <c r="OA3" t="inlineStr">
        <is>
          <t>Ann: 2017-08-02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BDS("nan Equity","SUPPLY_CHAIN_SUPPLIERS","RELATIONSHIP_AS_OF_DATE","20200722")</f>
        <v/>
      </c>
      <c r="F5">
        <f>BDS("nan Equity","SUPPLY_CHAIN_CUSTOMERS","RELATIONSHIP_AS_OF_DATE","20200722")</f>
        <v/>
      </c>
      <c r="K5">
        <f>BDS("MHS US Equity","SUPPLY_CHAIN_SUPPLIERS","RELATIONSHIP_AS_OF_DATE","20070828")</f>
        <v/>
      </c>
      <c r="P5">
        <f>BDS("MHS US Equity","SUPPLY_CHAIN_CUSTOMERS","RELATIONSHIP_AS_OF_DATE","20070828")</f>
        <v/>
      </c>
      <c r="U5">
        <f>BDS("TLRDQ US Equity","SUPPLY_CHAIN_SUPPLIERS","RELATIONSHIP_AS_OF_DATE","20131126")</f>
        <v/>
      </c>
      <c r="Z5">
        <f>BDS("TLRDQ US Equity","SUPPLY_CHAIN_CUSTOMERS","RELATIONSHIP_AS_OF_DATE","20131126")</f>
        <v/>
      </c>
      <c r="AE5">
        <f>BDS("HPQ US Equity","SUPPLY_CHAIN_SUPPLIERS","RELATIONSHIP_AS_OF_DATE","20100913")</f>
        <v/>
      </c>
      <c r="AJ5">
        <f>BDS("HPQ US Equity","SUPPLY_CHAIN_CUSTOMERS","RELATIONSHIP_AS_OF_DATE","20100913")</f>
        <v/>
      </c>
      <c r="AO5">
        <f>BDS("RFMD US Equity","SUPPLY_CHAIN_SUPPLIERS","RELATIONSHIP_AS_OF_DATE","20140224")</f>
        <v/>
      </c>
      <c r="AT5">
        <f>BDS("RFMD US Equity","SUPPLY_CHAIN_CUSTOMERS","RELATIONSHIP_AS_OF_DATE","20140224")</f>
        <v/>
      </c>
      <c r="AY5">
        <f>BDS("THRY US Equity","SUPPLY_CHAIN_SUPPLIERS","RELATIONSHIP_AS_OF_DATE","20120821")</f>
        <v/>
      </c>
      <c r="BD5">
        <f>BDS("THRY US Equity","SUPPLY_CHAIN_CUSTOMERS","RELATIONSHIP_AS_OF_DATE","20120821")</f>
        <v/>
      </c>
      <c r="BI5">
        <f>BDS("LLY US Equity","SUPPLY_CHAIN_SUPPLIERS","RELATIONSHIP_AS_OF_DATE","20180510")</f>
        <v/>
      </c>
      <c r="BN5">
        <f>BDS("LLY US Equity","SUPPLY_CHAIN_CUSTOMERS","RELATIONSHIP_AS_OF_DATE","20180510")</f>
        <v/>
      </c>
      <c r="BS5">
        <f>BDS("SANM US Equity","SUPPLY_CHAIN_SUPPLIERS","RELATIONSHIP_AS_OF_DATE","20000417")</f>
        <v/>
      </c>
      <c r="BX5">
        <f>BDS("SANM US Equity","SUPPLY_CHAIN_CUSTOMERS","RELATIONSHIP_AS_OF_DATE","20000417")</f>
        <v/>
      </c>
      <c r="CC5">
        <f>BDS("AA US Equity","SUPPLY_CHAIN_SUPPLIERS","RELATIONSHIP_AS_OF_DATE","20150309")</f>
        <v/>
      </c>
      <c r="CH5">
        <f>BDS("AA US Equity","SUPPLY_CHAIN_CUSTOMERS","RELATIONSHIP_AS_OF_DATE","20150309")</f>
        <v/>
      </c>
      <c r="CM5">
        <f>BDS("YELLQ US Equity","SUPPLY_CHAIN_SUPPLIERS","RELATIONSHIP_AS_OF_DATE","20050227")</f>
        <v/>
      </c>
      <c r="CR5">
        <f>BDS("YELLQ US Equity","SUPPLY_CHAIN_CUSTOMERS","RELATIONSHIP_AS_OF_DATE","20050227")</f>
        <v/>
      </c>
      <c r="CW5">
        <f>BDS("ORCL US Equity","SUPPLY_CHAIN_SUPPLIERS","RELATIONSHIP_AS_OF_DATE","20111024")</f>
        <v/>
      </c>
      <c r="DB5">
        <f>BDS("ORCL US Equity","SUPPLY_CHAIN_CUSTOMERS","RELATIONSHIP_AS_OF_DATE","20111024")</f>
        <v/>
      </c>
      <c r="DG5">
        <f>BDS("9876456D US Equity","SUPPLY_CHAIN_SUPPLIERS","RELATIONSHIP_AS_OF_DATE","20060915")</f>
        <v/>
      </c>
      <c r="DL5">
        <f>BDS("9876456D US Equity","SUPPLY_CHAIN_CUSTOMERS","RELATIONSHIP_AS_OF_DATE","20060915")</f>
        <v/>
      </c>
      <c r="DQ5">
        <f>BDS("UCOMA US Equity","SUPPLY_CHAIN_SUPPLIERS","RELATIONSHIP_AS_OF_DATE","20031006")</f>
        <v/>
      </c>
      <c r="DV5">
        <f>BDS("UCOMA US Equity","SUPPLY_CHAIN_CUSTOMERS","RELATIONSHIP_AS_OF_DATE","20031006")</f>
        <v/>
      </c>
      <c r="EA5">
        <f>BDS("EXE US Equity","SUPPLY_CHAIN_SUPPLIERS","RELATIONSHIP_AS_OF_DATE","20210811")</f>
        <v/>
      </c>
      <c r="EF5">
        <f>BDS("EXE US Equity","SUPPLY_CHAIN_CUSTOMERS","RELATIONSHIP_AS_OF_DATE","20210811")</f>
        <v/>
      </c>
      <c r="EK5">
        <f>BDS("ICBC US Equity","SUPPLY_CHAIN_SUPPLIERS","RELATIONSHIP_AS_OF_DATE","20031125")</f>
        <v/>
      </c>
      <c r="EP5">
        <f>BDS("ICBC US Equity","SUPPLY_CHAIN_CUSTOMERS","RELATIONSHIP_AS_OF_DATE","20031125")</f>
        <v/>
      </c>
      <c r="EU5">
        <f>BDS("WBMD US Equity","SUPPLY_CHAIN_SUPPLIERS","RELATIONSHIP_AS_OF_DATE","20090618")</f>
        <v/>
      </c>
      <c r="EZ5">
        <f>BDS("WBMD US Equity","SUPPLY_CHAIN_CUSTOMERS","RELATIONSHIP_AS_OF_DATE","20090618")</f>
        <v/>
      </c>
      <c r="FE5">
        <f>BDS("LNWO US Equity","SUPPLY_CHAIN_SUPPLIERS","RELATIONSHIP_AS_OF_DATE","20130131")</f>
        <v/>
      </c>
      <c r="FJ5">
        <f>BDS("LNWO US Equity","SUPPLY_CHAIN_CUSTOMERS","RELATIONSHIP_AS_OF_DATE","20130131")</f>
        <v/>
      </c>
      <c r="FO5">
        <f>BDS("TRUL CN Equity","SUPPLY_CHAIN_SUPPLIERS","RELATIONSHIP_AS_OF_DATE","20210510")</f>
        <v/>
      </c>
      <c r="FT5">
        <f>BDS("TRUL CN Equity","SUPPLY_CHAIN_CUSTOMERS","RELATIONSHIP_AS_OF_DATE","20210510")</f>
        <v/>
      </c>
      <c r="FY5">
        <f>BDS("WAMUQ US Equity","SUPPLY_CHAIN_SUPPLIERS","RELATIONSHIP_AS_OF_DATE","20000821")</f>
        <v/>
      </c>
      <c r="GD5">
        <f>BDS("WAMUQ US Equity","SUPPLY_CHAIN_CUSTOMERS","RELATIONSHIP_AS_OF_DATE","20000821")</f>
        <v/>
      </c>
      <c r="GI5">
        <f>BDS("2258717D US Equity","SUPPLY_CHAIN_SUPPLIERS","RELATIONSHIP_AS_OF_DATE","20031014")</f>
        <v/>
      </c>
      <c r="GN5">
        <f>BDS("2258717D US Equity","SUPPLY_CHAIN_CUSTOMERS","RELATIONSHIP_AS_OF_DATE","20031014")</f>
        <v/>
      </c>
      <c r="GS5">
        <f>BDS("CRL US Equity","SUPPLY_CHAIN_SUPPLIERS","RELATIONSHIP_AS_OF_DATE","20040701")</f>
        <v/>
      </c>
      <c r="GX5">
        <f>BDS("CRL US Equity","SUPPLY_CHAIN_CUSTOMERS","RELATIONSHIP_AS_OF_DATE","20040701")</f>
        <v/>
      </c>
      <c r="HC5">
        <f>BDS("nan Equity","SUPPLY_CHAIN_SUPPLIERS","RELATIONSHIP_AS_OF_DATE","19980120")</f>
        <v/>
      </c>
      <c r="HH5">
        <f>BDS("nan Equity","SUPPLY_CHAIN_CUSTOMERS","RELATIONSHIP_AS_OF_DATE","19980120")</f>
        <v/>
      </c>
      <c r="HM5">
        <f>BDS("WFC US Equity","SUPPLY_CHAIN_SUPPLIERS","RELATIONSHIP_AS_OF_DATE","20070504")</f>
        <v/>
      </c>
      <c r="HR5">
        <f>BDS("WFC US Equity","SUPPLY_CHAIN_CUSTOMERS","RELATIONSHIP_AS_OF_DATE","20070504")</f>
        <v/>
      </c>
      <c r="HW5">
        <f>BDS("JNY US Equity","SUPPLY_CHAIN_SUPPLIERS","RELATIONSHIP_AS_OF_DATE","19990303")</f>
        <v/>
      </c>
      <c r="IB5">
        <f>BDS("JNY US Equity","SUPPLY_CHAIN_CUSTOMERS","RELATIONSHIP_AS_OF_DATE","19990303")</f>
        <v/>
      </c>
      <c r="IG5">
        <f>BDS("1856613D US Equity","SUPPLY_CHAIN_SUPPLIERS","RELATIONSHIP_AS_OF_DATE","20060815")</f>
        <v/>
      </c>
      <c r="IL5">
        <f>BDS("1856613D US Equity","SUPPLY_CHAIN_CUSTOMERS","RELATIONSHIP_AS_OF_DATE","20060815")</f>
        <v/>
      </c>
      <c r="IQ5">
        <f>BDS("WEC US Equity","SUPPLY_CHAIN_SUPPLIERS","RELATIONSHIP_AS_OF_DATE","19990628")</f>
        <v/>
      </c>
      <c r="IV5">
        <f>BDS("WEC US Equity","SUPPLY_CHAIN_CUSTOMERS","RELATIONSHIP_AS_OF_DATE","19990628")</f>
        <v/>
      </c>
      <c r="JA5">
        <f>BDS("nan Equity","SUPPLY_CHAIN_SUPPLIERS","RELATIONSHIP_AS_OF_DATE","20070216")</f>
        <v/>
      </c>
      <c r="JF5">
        <f>BDS("nan Equity","SUPPLY_CHAIN_CUSTOMERS","RELATIONSHIP_AS_OF_DATE","20070216")</f>
        <v/>
      </c>
      <c r="JK5">
        <f>BDS("CNSL US Equity","SUPPLY_CHAIN_SUPPLIERS","RELATIONSHIP_AS_OF_DATE","20161205")</f>
        <v/>
      </c>
      <c r="JP5">
        <f>BDS("CNSL US Equity","SUPPLY_CHAIN_CUSTOMERS","RELATIONSHIP_AS_OF_DATE","20161205")</f>
        <v/>
      </c>
      <c r="JU5">
        <f>BDS("KMPR US Equity","SUPPLY_CHAIN_SUPPLIERS","RELATIONSHIP_AS_OF_DATE","20180213")</f>
        <v/>
      </c>
      <c r="JZ5">
        <f>BDS("KMPR US Equity","SUPPLY_CHAIN_CUSTOMERS","RELATIONSHIP_AS_OF_DATE","20180213")</f>
        <v/>
      </c>
      <c r="KE5">
        <f>BDS("HTV US Equity","SUPPLY_CHAIN_SUPPLIERS","RELATIONSHIP_AS_OF_DATE","19980526")</f>
        <v/>
      </c>
      <c r="KJ5">
        <f>BDS("HTV US Equity","SUPPLY_CHAIN_CUSTOMERS","RELATIONSHIP_AS_OF_DATE","19980526")</f>
        <v/>
      </c>
      <c r="KO5">
        <f>BDS("BKD US Equity","SUPPLY_CHAIN_SUPPLIERS","RELATIONSHIP_AS_OF_DATE","20060512")</f>
        <v/>
      </c>
      <c r="KT5">
        <f>BDS("BKD US Equity","SUPPLY_CHAIN_CUSTOMERS","RELATIONSHIP_AS_OF_DATE","20060512")</f>
        <v/>
      </c>
      <c r="KY5">
        <f>BDS("3692470Q US Equity","SUPPLY_CHAIN_SUPPLIERS","RELATIONSHIP_AS_OF_DATE","19981218")</f>
        <v/>
      </c>
      <c r="LD5">
        <f>BDS("3692470Q US Equity","SUPPLY_CHAIN_CUSTOMERS","RELATIONSHIP_AS_OF_DATE","19981218")</f>
        <v/>
      </c>
      <c r="LI5">
        <f>BDS("EXR US Equity","SUPPLY_CHAIN_SUPPLIERS","RELATIONSHIP_AS_OF_DATE","20150615")</f>
        <v/>
      </c>
      <c r="LN5">
        <f>BDS("EXR US Equity","SUPPLY_CHAIN_CUSTOMERS","RELATIONSHIP_AS_OF_DATE","20150615")</f>
        <v/>
      </c>
      <c r="LS5">
        <f>BDS("1856613D US Equity","SUPPLY_CHAIN_SUPPLIERS","RELATIONSHIP_AS_OF_DATE","20050124")</f>
        <v/>
      </c>
      <c r="LX5">
        <f>BDS("1856613D US Equity","SUPPLY_CHAIN_CUSTOMERS","RELATIONSHIP_AS_OF_DATE","20050124")</f>
        <v/>
      </c>
      <c r="MC5">
        <f>BDS("TXT US Equity","SUPPLY_CHAIN_SUPPLIERS","RELATIONSHIP_AS_OF_DATE","20131226")</f>
        <v/>
      </c>
      <c r="MH5">
        <f>BDS("TXT US Equity","SUPPLY_CHAIN_CUSTOMERS","RELATIONSHIP_AS_OF_DATE","20131226")</f>
        <v/>
      </c>
      <c r="MM5">
        <f>BDS("1919709D US Equity","SUPPLY_CHAIN_SUPPLIERS","RELATIONSHIP_AS_OF_DATE","20130609")</f>
        <v/>
      </c>
      <c r="MR5">
        <f>BDS("1919709D US Equity","SUPPLY_CHAIN_CUSTOMERS","RELATIONSHIP_AS_OF_DATE","20130609")</f>
        <v/>
      </c>
      <c r="MW5">
        <f>BDS("CLP US Equity","SUPPLY_CHAIN_SUPPLIERS","RELATIONSHIP_AS_OF_DATE","20041025")</f>
        <v/>
      </c>
      <c r="NB5">
        <f>BDS("CLP US Equity","SUPPLY_CHAIN_CUSTOMERS","RELATIONSHIP_AS_OF_DATE","20041025")</f>
        <v/>
      </c>
      <c r="NG5">
        <f>BDS("VZ US Equity","SUPPLY_CHAIN_SUPPLIERS","RELATIONSHIP_AS_OF_DATE","20120601")</f>
        <v/>
      </c>
      <c r="NL5">
        <f>BDS("VZ US Equity","SUPPLY_CHAIN_CUSTOMERS","RELATIONSHIP_AS_OF_DATE","20120601")</f>
        <v/>
      </c>
      <c r="NQ5">
        <f>BDS("A US Equity","SUPPLY_CHAIN_SUPPLIERS","RELATIONSHIP_AS_OF_DATE","20090727")</f>
        <v/>
      </c>
      <c r="NV5">
        <f>BDS("A US Equity","SUPPLY_CHAIN_CUSTOMERS","RELATIONSHIP_AS_OF_DATE","20090727")</f>
        <v/>
      </c>
      <c r="OA5">
        <f>BDS("nan Equity","SUPPLY_CHAIN_SUPPLIERS","RELATIONSHIP_AS_OF_DATE","20170802")</f>
        <v/>
      </c>
      <c r="OF5">
        <f>BDS("nan Equity","SUPPLY_CHAIN_CUSTOMERS","RELATIONSHIP_AS_OF_DATE","20170802")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1161</t>
        </is>
      </c>
      <c r="K1" s="1" t="inlineStr">
        <is>
          <t>Deal 1162</t>
        </is>
      </c>
      <c r="U1" s="1" t="inlineStr">
        <is>
          <t>Deal 1163</t>
        </is>
      </c>
      <c r="AE1" s="1" t="inlineStr">
        <is>
          <t>Deal 1164</t>
        </is>
      </c>
      <c r="AO1" s="1" t="inlineStr">
        <is>
          <t>Deal 1165</t>
        </is>
      </c>
      <c r="AY1" s="1" t="inlineStr">
        <is>
          <t>Deal 1166</t>
        </is>
      </c>
      <c r="BI1" s="1" t="inlineStr">
        <is>
          <t>Deal 1167</t>
        </is>
      </c>
      <c r="BS1" s="1" t="inlineStr">
        <is>
          <t>Deal 1168</t>
        </is>
      </c>
      <c r="CC1" s="1" t="inlineStr">
        <is>
          <t>Deal 1169</t>
        </is>
      </c>
      <c r="CM1" s="1" t="inlineStr">
        <is>
          <t>Deal 1170</t>
        </is>
      </c>
      <c r="CW1" s="1" t="inlineStr">
        <is>
          <t>Deal 1171</t>
        </is>
      </c>
      <c r="DG1" s="1" t="inlineStr">
        <is>
          <t>Deal 1172</t>
        </is>
      </c>
      <c r="DQ1" s="1" t="inlineStr">
        <is>
          <t>Deal 1173</t>
        </is>
      </c>
      <c r="EA1" s="1" t="inlineStr">
        <is>
          <t>Deal 1174</t>
        </is>
      </c>
      <c r="EK1" s="1" t="inlineStr">
        <is>
          <t>Deal 1175</t>
        </is>
      </c>
      <c r="EU1" s="1" t="inlineStr">
        <is>
          <t>Deal 1176</t>
        </is>
      </c>
      <c r="FE1" s="1" t="inlineStr">
        <is>
          <t>Deal 1177</t>
        </is>
      </c>
      <c r="FO1" s="1" t="inlineStr">
        <is>
          <t>Deal 1178</t>
        </is>
      </c>
      <c r="FY1" s="1" t="inlineStr">
        <is>
          <t>Deal 1179</t>
        </is>
      </c>
      <c r="GI1" s="1" t="inlineStr">
        <is>
          <t>Deal 1180</t>
        </is>
      </c>
      <c r="GS1" s="1" t="inlineStr">
        <is>
          <t>Deal 1181</t>
        </is>
      </c>
      <c r="HC1" s="1" t="inlineStr">
        <is>
          <t>Deal 1182</t>
        </is>
      </c>
      <c r="HM1" s="1" t="inlineStr">
        <is>
          <t>Deal 1183</t>
        </is>
      </c>
      <c r="HW1" s="1" t="inlineStr">
        <is>
          <t>Deal 1184</t>
        </is>
      </c>
      <c r="IG1" s="1" t="inlineStr">
        <is>
          <t>Deal 1185</t>
        </is>
      </c>
      <c r="IQ1" s="1" t="inlineStr">
        <is>
          <t>Deal 1186</t>
        </is>
      </c>
      <c r="JA1" s="1" t="inlineStr">
        <is>
          <t>Deal 1187</t>
        </is>
      </c>
      <c r="JK1" s="1" t="inlineStr">
        <is>
          <t>Deal 1188</t>
        </is>
      </c>
      <c r="JU1" s="1" t="inlineStr">
        <is>
          <t>Deal 1189</t>
        </is>
      </c>
      <c r="KE1" s="1" t="inlineStr">
        <is>
          <t>Deal 1190</t>
        </is>
      </c>
      <c r="KO1" s="1" t="inlineStr">
        <is>
          <t>Deal 1191</t>
        </is>
      </c>
      <c r="KY1" s="1" t="inlineStr">
        <is>
          <t>Deal 1192</t>
        </is>
      </c>
      <c r="LI1" s="1" t="inlineStr">
        <is>
          <t>Deal 1193</t>
        </is>
      </c>
      <c r="LS1" s="1" t="inlineStr">
        <is>
          <t>Deal 1194</t>
        </is>
      </c>
      <c r="MC1" s="1" t="inlineStr">
        <is>
          <t>Deal 1195</t>
        </is>
      </c>
      <c r="MM1" s="1" t="inlineStr">
        <is>
          <t>Deal 1196</t>
        </is>
      </c>
      <c r="MW1" s="1" t="inlineStr">
        <is>
          <t>Deal 1197</t>
        </is>
      </c>
      <c r="NG1" s="1" t="inlineStr">
        <is>
          <t>Deal 1198</t>
        </is>
      </c>
      <c r="NQ1" s="1" t="inlineStr">
        <is>
          <t>Deal 1199</t>
        </is>
      </c>
      <c r="OA1" s="1" t="inlineStr">
        <is>
          <t>Deal 1200</t>
        </is>
      </c>
    </row>
    <row r="2">
      <c r="A2" s="2" t="inlineStr">
        <is>
          <t>CIVI US Equity</t>
        </is>
      </c>
      <c r="K2" s="2" t="inlineStr">
        <is>
          <t>SCI US Equity</t>
        </is>
      </c>
      <c r="U2" s="2" t="inlineStr">
        <is>
          <t>HWC US Equity</t>
        </is>
      </c>
      <c r="AE2" s="2" t="inlineStr">
        <is>
          <t>FNB US Equity</t>
        </is>
      </c>
      <c r="AO2" s="2" t="inlineStr">
        <is>
          <t>EBAY US Equity</t>
        </is>
      </c>
      <c r="AY2" s="2" t="inlineStr">
        <is>
          <t>3029830Q US Equity</t>
        </is>
      </c>
      <c r="BI2" s="2" t="inlineStr">
        <is>
          <t>ATBA AV Equity</t>
        </is>
      </c>
      <c r="BS2" s="2" t="inlineStr">
        <is>
          <t>611214Q US Equity</t>
        </is>
      </c>
      <c r="CC2" s="2" t="inlineStr">
        <is>
          <t>PTEN US Equity</t>
        </is>
      </c>
      <c r="CM2" s="2" t="inlineStr">
        <is>
          <t>AMH US Equity</t>
        </is>
      </c>
      <c r="CW2" s="2" t="inlineStr">
        <is>
          <t>DRI US Equity</t>
        </is>
      </c>
      <c r="DG2" s="2" t="inlineStr">
        <is>
          <t>CAR US Equity</t>
        </is>
      </c>
      <c r="DQ2" s="2" t="inlineStr">
        <is>
          <t>PCH US Equity</t>
        </is>
      </c>
      <c r="EA2" s="2" t="inlineStr">
        <is>
          <t>8394653Q US Equity</t>
        </is>
      </c>
      <c r="EK2" s="2" t="inlineStr">
        <is>
          <t>C US Equity</t>
        </is>
      </c>
      <c r="EU2" s="2" t="inlineStr">
        <is>
          <t>HIG US Equity</t>
        </is>
      </c>
      <c r="FE2" s="2" t="inlineStr">
        <is>
          <t>GLW US Equity</t>
        </is>
      </c>
      <c r="FO2" s="2" t="inlineStr">
        <is>
          <t>SNX US Equity</t>
        </is>
      </c>
      <c r="FY2" s="2" t="inlineStr">
        <is>
          <t>SYK US Equity</t>
        </is>
      </c>
      <c r="GI2" s="2" t="inlineStr">
        <is>
          <t>2207158D US Equity</t>
        </is>
      </c>
      <c r="GS2" s="2" t="inlineStr">
        <is>
          <t>ALXN US Equity</t>
        </is>
      </c>
      <c r="HC2" s="2" t="inlineStr">
        <is>
          <t>AMGN US Equity</t>
        </is>
      </c>
      <c r="HM2" s="2" t="inlineStr">
        <is>
          <t>GILD US Equity</t>
        </is>
      </c>
      <c r="HW2" s="2" t="inlineStr">
        <is>
          <t>MMM US Equity</t>
        </is>
      </c>
      <c r="IG2" s="2" t="inlineStr">
        <is>
          <t>9983490D US Equity</t>
        </is>
      </c>
      <c r="IQ2" s="2" t="inlineStr">
        <is>
          <t>VIRT US Equity</t>
        </is>
      </c>
      <c r="JA2" s="2" t="inlineStr">
        <is>
          <t>JNJ US Equity</t>
        </is>
      </c>
      <c r="JK2" s="2" t="inlineStr">
        <is>
          <t>PTEN US Equity</t>
        </is>
      </c>
      <c r="JU2" s="2" t="inlineStr">
        <is>
          <t>OPK US Equity</t>
        </is>
      </c>
      <c r="KE2" s="2" t="inlineStr">
        <is>
          <t>LITE US Equity</t>
        </is>
      </c>
      <c r="KO2" s="2" t="inlineStr">
        <is>
          <t>MNKTQ US Equity</t>
        </is>
      </c>
      <c r="KY2" s="2" t="inlineStr">
        <is>
          <t>WNR US Equity</t>
        </is>
      </c>
      <c r="LI2" s="2" t="inlineStr">
        <is>
          <t>502466Q US Equity</t>
        </is>
      </c>
      <c r="LS2" s="2" t="inlineStr">
        <is>
          <t>0848680D US Equity</t>
        </is>
      </c>
      <c r="MC2" s="2" t="inlineStr">
        <is>
          <t>8251545Q US Equity</t>
        </is>
      </c>
      <c r="MM2" s="2" t="inlineStr">
        <is>
          <t>TXN US Equity</t>
        </is>
      </c>
      <c r="MW2" s="2" t="inlineStr">
        <is>
          <t>362125Q US Equity</t>
        </is>
      </c>
      <c r="NG2" s="2" t="inlineStr">
        <is>
          <t>AVY US Equity</t>
        </is>
      </c>
      <c r="NQ2" s="2" t="inlineStr">
        <is>
          <t>0848680D US Equity</t>
        </is>
      </c>
      <c r="OA2" s="2" t="inlineStr">
        <is>
          <t>PAA US Equity</t>
        </is>
      </c>
    </row>
    <row r="3">
      <c r="A3" t="inlineStr">
        <is>
          <t>Ann: 2021-05-10</t>
        </is>
      </c>
      <c r="K3" t="inlineStr">
        <is>
          <t>Ann: 2013-05-29</t>
        </is>
      </c>
      <c r="U3" t="inlineStr">
        <is>
          <t>Ann: 2010-12-22</t>
        </is>
      </c>
      <c r="AE3" t="inlineStr">
        <is>
          <t>Ann: 2016-07-21</t>
        </is>
      </c>
      <c r="AO3" t="inlineStr">
        <is>
          <t>Ann: 2002-07-08</t>
        </is>
      </c>
      <c r="AY3" t="inlineStr">
        <is>
          <t>Ann: 2003-06-02</t>
        </is>
      </c>
      <c r="BI3" t="inlineStr">
        <is>
          <t>Ann: 2003-07-14</t>
        </is>
      </c>
      <c r="BS3" t="inlineStr">
        <is>
          <t>Ann: 1999-01-11</t>
        </is>
      </c>
      <c r="CC3" t="inlineStr">
        <is>
          <t>Ann: 2016-12-13</t>
        </is>
      </c>
      <c r="CM3" t="inlineStr">
        <is>
          <t>Ann: 2015-12-03</t>
        </is>
      </c>
      <c r="CW3" t="inlineStr">
        <is>
          <t>Ann: 2007-08-16</t>
        </is>
      </c>
      <c r="DG3" t="inlineStr">
        <is>
          <t>Ann: 2000-08-15</t>
        </is>
      </c>
      <c r="DQ3" t="inlineStr">
        <is>
          <t>Ann: 2017-10-23</t>
        </is>
      </c>
      <c r="EA3" t="inlineStr">
        <is>
          <t>Ann: 1998-11-17</t>
        </is>
      </c>
      <c r="EK3" t="inlineStr">
        <is>
          <t>Ann: 2007-05-02</t>
        </is>
      </c>
      <c r="EU3" t="inlineStr">
        <is>
          <t>Ann: 2000-03-31</t>
        </is>
      </c>
      <c r="FE3" t="inlineStr">
        <is>
          <t>Ann: 1999-11-14</t>
        </is>
      </c>
      <c r="FO3" t="inlineStr">
        <is>
          <t>Ann: 2018-06-28</t>
        </is>
      </c>
      <c r="FY3" t="inlineStr">
        <is>
          <t>Ann: 2013-09-25</t>
        </is>
      </c>
      <c r="GI3" t="inlineStr">
        <is>
          <t>Ann: 2001-12-03</t>
        </is>
      </c>
      <c r="GS3" t="inlineStr">
        <is>
          <t>Ann: 2020-05-05</t>
        </is>
      </c>
      <c r="HC3" t="inlineStr">
        <is>
          <t>Ann: 2004-03-29</t>
        </is>
      </c>
      <c r="HM3" t="inlineStr">
        <is>
          <t>Ann: 2009-03-12</t>
        </is>
      </c>
      <c r="HW3" t="inlineStr">
        <is>
          <t>Ann: 2005-05-12</t>
        </is>
      </c>
      <c r="IG3" t="inlineStr">
        <is>
          <t>Ann: 2010-07-13</t>
        </is>
      </c>
      <c r="IQ3" t="inlineStr">
        <is>
          <t>Ann: 2017-03-15</t>
        </is>
      </c>
      <c r="JA3" t="inlineStr">
        <is>
          <t>Ann: 2006-11-16</t>
        </is>
      </c>
      <c r="JK3" t="inlineStr">
        <is>
          <t>Ann: 2001-02-05</t>
        </is>
      </c>
      <c r="JU3" t="inlineStr">
        <is>
          <t>Ann: 2015-06-04</t>
        </is>
      </c>
      <c r="KE3" t="inlineStr">
        <is>
          <t>Ann: 2018-03-12</t>
        </is>
      </c>
      <c r="KO3" t="inlineStr">
        <is>
          <t>Ann: 2014-02-11</t>
        </is>
      </c>
      <c r="KY3" t="inlineStr">
        <is>
          <t>Ann: 2006-08-28</t>
        </is>
      </c>
      <c r="LI3" t="inlineStr">
        <is>
          <t>Ann: 2001-10-18</t>
        </is>
      </c>
      <c r="LS3" t="inlineStr">
        <is>
          <t>Ann: 2006-04-20</t>
        </is>
      </c>
      <c r="MC3" t="inlineStr">
        <is>
          <t>Ann: 2009-04-27</t>
        </is>
      </c>
      <c r="MM3" t="inlineStr">
        <is>
          <t>Ann: 1999-07-26</t>
        </is>
      </c>
      <c r="MW3" t="inlineStr">
        <is>
          <t>Ann: 1998-03-15</t>
        </is>
      </c>
      <c r="NG3" t="inlineStr">
        <is>
          <t>Ann: 2007-03-22</t>
        </is>
      </c>
      <c r="NQ3" t="inlineStr">
        <is>
          <t>Ann: 2005-07-11</t>
        </is>
      </c>
      <c r="OA3" t="inlineStr">
        <is>
          <t>Ann: 2013-10-22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BDS("CIVI US Equity","SUPPLY_CHAIN_SUPPLIERS","RELATIONSHIP_AS_OF_DATE","20210510")</f>
        <v/>
      </c>
      <c r="F5">
        <f>BDS("CIVI US Equity","SUPPLY_CHAIN_CUSTOMERS","RELATIONSHIP_AS_OF_DATE","20210510")</f>
        <v/>
      </c>
      <c r="K5">
        <f>BDS("SCI US Equity","SUPPLY_CHAIN_SUPPLIERS","RELATIONSHIP_AS_OF_DATE","20130529")</f>
        <v/>
      </c>
      <c r="P5">
        <f>BDS("SCI US Equity","SUPPLY_CHAIN_CUSTOMERS","RELATIONSHIP_AS_OF_DATE","20130529")</f>
        <v/>
      </c>
      <c r="U5">
        <f>BDS("HWC US Equity","SUPPLY_CHAIN_SUPPLIERS","RELATIONSHIP_AS_OF_DATE","20101222")</f>
        <v/>
      </c>
      <c r="Z5">
        <f>BDS("HWC US Equity","SUPPLY_CHAIN_CUSTOMERS","RELATIONSHIP_AS_OF_DATE","20101222")</f>
        <v/>
      </c>
      <c r="AE5">
        <f>BDS("FNB US Equity","SUPPLY_CHAIN_SUPPLIERS","RELATIONSHIP_AS_OF_DATE","20160721")</f>
        <v/>
      </c>
      <c r="AJ5">
        <f>BDS("FNB US Equity","SUPPLY_CHAIN_CUSTOMERS","RELATIONSHIP_AS_OF_DATE","20160721")</f>
        <v/>
      </c>
      <c r="AO5">
        <f>BDS("EBAY US Equity","SUPPLY_CHAIN_SUPPLIERS","RELATIONSHIP_AS_OF_DATE","20020708")</f>
        <v/>
      </c>
      <c r="AT5">
        <f>BDS("EBAY US Equity","SUPPLY_CHAIN_CUSTOMERS","RELATIONSHIP_AS_OF_DATE","20020708")</f>
        <v/>
      </c>
      <c r="AY5">
        <f>BDS("3029830Q US Equity","SUPPLY_CHAIN_SUPPLIERS","RELATIONSHIP_AS_OF_DATE","20030602")</f>
        <v/>
      </c>
      <c r="BD5">
        <f>BDS("3029830Q US Equity","SUPPLY_CHAIN_CUSTOMERS","RELATIONSHIP_AS_OF_DATE","20030602")</f>
        <v/>
      </c>
      <c r="BI5">
        <f>BDS("ATBA AV Equity","SUPPLY_CHAIN_SUPPLIERS","RELATIONSHIP_AS_OF_DATE","20030714")</f>
        <v/>
      </c>
      <c r="BN5">
        <f>BDS("ATBA AV Equity","SUPPLY_CHAIN_CUSTOMERS","RELATIONSHIP_AS_OF_DATE","20030714")</f>
        <v/>
      </c>
      <c r="BS5">
        <f>BDS("611214Q US Equity","SUPPLY_CHAIN_SUPPLIERS","RELATIONSHIP_AS_OF_DATE","19990111")</f>
        <v/>
      </c>
      <c r="BX5">
        <f>BDS("611214Q US Equity","SUPPLY_CHAIN_CUSTOMERS","RELATIONSHIP_AS_OF_DATE","19990111")</f>
        <v/>
      </c>
      <c r="CC5">
        <f>BDS("PTEN US Equity","SUPPLY_CHAIN_SUPPLIERS","RELATIONSHIP_AS_OF_DATE","20161213")</f>
        <v/>
      </c>
      <c r="CH5">
        <f>BDS("PTEN US Equity","SUPPLY_CHAIN_CUSTOMERS","RELATIONSHIP_AS_OF_DATE","20161213")</f>
        <v/>
      </c>
      <c r="CM5">
        <f>BDS("AMH US Equity","SUPPLY_CHAIN_SUPPLIERS","RELATIONSHIP_AS_OF_DATE","20151203")</f>
        <v/>
      </c>
      <c r="CR5">
        <f>BDS("AMH US Equity","SUPPLY_CHAIN_CUSTOMERS","RELATIONSHIP_AS_OF_DATE","20151203")</f>
        <v/>
      </c>
      <c r="CW5">
        <f>BDS("DRI US Equity","SUPPLY_CHAIN_SUPPLIERS","RELATIONSHIP_AS_OF_DATE","20070816")</f>
        <v/>
      </c>
      <c r="DB5">
        <f>BDS("DRI US Equity","SUPPLY_CHAIN_CUSTOMERS","RELATIONSHIP_AS_OF_DATE","20070816")</f>
        <v/>
      </c>
      <c r="DG5">
        <f>BDS("CAR US Equity","SUPPLY_CHAIN_SUPPLIERS","RELATIONSHIP_AS_OF_DATE","20000815")</f>
        <v/>
      </c>
      <c r="DL5">
        <f>BDS("CAR US Equity","SUPPLY_CHAIN_CUSTOMERS","RELATIONSHIP_AS_OF_DATE","20000815")</f>
        <v/>
      </c>
      <c r="DQ5">
        <f>BDS("PCH US Equity","SUPPLY_CHAIN_SUPPLIERS","RELATIONSHIP_AS_OF_DATE","20171023")</f>
        <v/>
      </c>
      <c r="DV5">
        <f>BDS("PCH US Equity","SUPPLY_CHAIN_CUSTOMERS","RELATIONSHIP_AS_OF_DATE","20171023")</f>
        <v/>
      </c>
      <c r="EA5">
        <f>BDS("8394653Q US Equity","SUPPLY_CHAIN_SUPPLIERS","RELATIONSHIP_AS_OF_DATE","19981117")</f>
        <v/>
      </c>
      <c r="EF5">
        <f>BDS("8394653Q US Equity","SUPPLY_CHAIN_CUSTOMERS","RELATIONSHIP_AS_OF_DATE","19981117")</f>
        <v/>
      </c>
      <c r="EK5">
        <f>BDS("C US Equity","SUPPLY_CHAIN_SUPPLIERS","RELATIONSHIP_AS_OF_DATE","20070502")</f>
        <v/>
      </c>
      <c r="EP5">
        <f>BDS("C US Equity","SUPPLY_CHAIN_CUSTOMERS","RELATIONSHIP_AS_OF_DATE","20070502")</f>
        <v/>
      </c>
      <c r="EU5">
        <f>BDS("HIG US Equity","SUPPLY_CHAIN_SUPPLIERS","RELATIONSHIP_AS_OF_DATE","20000331")</f>
        <v/>
      </c>
      <c r="EZ5">
        <f>BDS("HIG US Equity","SUPPLY_CHAIN_CUSTOMERS","RELATIONSHIP_AS_OF_DATE","20000331")</f>
        <v/>
      </c>
      <c r="FE5">
        <f>BDS("GLW US Equity","SUPPLY_CHAIN_SUPPLIERS","RELATIONSHIP_AS_OF_DATE","19991114")</f>
        <v/>
      </c>
      <c r="FJ5">
        <f>BDS("GLW US Equity","SUPPLY_CHAIN_CUSTOMERS","RELATIONSHIP_AS_OF_DATE","19991114")</f>
        <v/>
      </c>
      <c r="FO5">
        <f>BDS("SNX US Equity","SUPPLY_CHAIN_SUPPLIERS","RELATIONSHIP_AS_OF_DATE","20180628")</f>
        <v/>
      </c>
      <c r="FT5">
        <f>BDS("SNX US Equity","SUPPLY_CHAIN_CUSTOMERS","RELATIONSHIP_AS_OF_DATE","20180628")</f>
        <v/>
      </c>
      <c r="FY5">
        <f>BDS("SYK US Equity","SUPPLY_CHAIN_SUPPLIERS","RELATIONSHIP_AS_OF_DATE","20130925")</f>
        <v/>
      </c>
      <c r="GD5">
        <f>BDS("SYK US Equity","SUPPLY_CHAIN_CUSTOMERS","RELATIONSHIP_AS_OF_DATE","20130925")</f>
        <v/>
      </c>
      <c r="GI5">
        <f>BDS("2207158D US Equity","SUPPLY_CHAIN_SUPPLIERS","RELATIONSHIP_AS_OF_DATE","20011203")</f>
        <v/>
      </c>
      <c r="GN5">
        <f>BDS("2207158D US Equity","SUPPLY_CHAIN_CUSTOMERS","RELATIONSHIP_AS_OF_DATE","20011203")</f>
        <v/>
      </c>
      <c r="GS5">
        <f>BDS("ALXN US Equity","SUPPLY_CHAIN_SUPPLIERS","RELATIONSHIP_AS_OF_DATE","20200505")</f>
        <v/>
      </c>
      <c r="GX5">
        <f>BDS("ALXN US Equity","SUPPLY_CHAIN_CUSTOMERS","RELATIONSHIP_AS_OF_DATE","20200505")</f>
        <v/>
      </c>
      <c r="HC5">
        <f>BDS("AMGN US Equity","SUPPLY_CHAIN_SUPPLIERS","RELATIONSHIP_AS_OF_DATE","20040329")</f>
        <v/>
      </c>
      <c r="HH5">
        <f>BDS("AMGN US Equity","SUPPLY_CHAIN_CUSTOMERS","RELATIONSHIP_AS_OF_DATE","20040329")</f>
        <v/>
      </c>
      <c r="HM5">
        <f>BDS("GILD US Equity","SUPPLY_CHAIN_SUPPLIERS","RELATIONSHIP_AS_OF_DATE","20090312")</f>
        <v/>
      </c>
      <c r="HR5">
        <f>BDS("GILD US Equity","SUPPLY_CHAIN_CUSTOMERS","RELATIONSHIP_AS_OF_DATE","20090312")</f>
        <v/>
      </c>
      <c r="HW5">
        <f>BDS("MMM US Equity","SUPPLY_CHAIN_SUPPLIERS","RELATIONSHIP_AS_OF_DATE","20050512")</f>
        <v/>
      </c>
      <c r="IB5">
        <f>BDS("MMM US Equity","SUPPLY_CHAIN_CUSTOMERS","RELATIONSHIP_AS_OF_DATE","20050512")</f>
        <v/>
      </c>
      <c r="IG5">
        <f>BDS("9983490D US Equity","SUPPLY_CHAIN_SUPPLIERS","RELATIONSHIP_AS_OF_DATE","20100713")</f>
        <v/>
      </c>
      <c r="IL5">
        <f>BDS("9983490D US Equity","SUPPLY_CHAIN_CUSTOMERS","RELATIONSHIP_AS_OF_DATE","20100713")</f>
        <v/>
      </c>
      <c r="IQ5">
        <f>BDS("VIRT US Equity","SUPPLY_CHAIN_SUPPLIERS","RELATIONSHIP_AS_OF_DATE","20170315")</f>
        <v/>
      </c>
      <c r="IV5">
        <f>BDS("VIRT US Equity","SUPPLY_CHAIN_CUSTOMERS","RELATIONSHIP_AS_OF_DATE","20170315")</f>
        <v/>
      </c>
      <c r="JA5">
        <f>BDS("JNJ US Equity","SUPPLY_CHAIN_SUPPLIERS","RELATIONSHIP_AS_OF_DATE","20061116")</f>
        <v/>
      </c>
      <c r="JF5">
        <f>BDS("JNJ US Equity","SUPPLY_CHAIN_CUSTOMERS","RELATIONSHIP_AS_OF_DATE","20061116")</f>
        <v/>
      </c>
      <c r="JK5">
        <f>BDS("PTEN US Equity","SUPPLY_CHAIN_SUPPLIERS","RELATIONSHIP_AS_OF_DATE","20010205")</f>
        <v/>
      </c>
      <c r="JP5">
        <f>BDS("PTEN US Equity","SUPPLY_CHAIN_CUSTOMERS","RELATIONSHIP_AS_OF_DATE","20010205")</f>
        <v/>
      </c>
      <c r="JU5">
        <f>BDS("OPK US Equity","SUPPLY_CHAIN_SUPPLIERS","RELATIONSHIP_AS_OF_DATE","20150604")</f>
        <v/>
      </c>
      <c r="JZ5">
        <f>BDS("OPK US Equity","SUPPLY_CHAIN_CUSTOMERS","RELATIONSHIP_AS_OF_DATE","20150604")</f>
        <v/>
      </c>
      <c r="KE5">
        <f>BDS("LITE US Equity","SUPPLY_CHAIN_SUPPLIERS","RELATIONSHIP_AS_OF_DATE","20180312")</f>
        <v/>
      </c>
      <c r="KJ5">
        <f>BDS("LITE US Equity","SUPPLY_CHAIN_CUSTOMERS","RELATIONSHIP_AS_OF_DATE","20180312")</f>
        <v/>
      </c>
      <c r="KO5">
        <f>BDS("MNKTQ US Equity","SUPPLY_CHAIN_SUPPLIERS","RELATIONSHIP_AS_OF_DATE","20140211")</f>
        <v/>
      </c>
      <c r="KT5">
        <f>BDS("MNKTQ US Equity","SUPPLY_CHAIN_CUSTOMERS","RELATIONSHIP_AS_OF_DATE","20140211")</f>
        <v/>
      </c>
      <c r="KY5">
        <f>BDS("WNR US Equity","SUPPLY_CHAIN_SUPPLIERS","RELATIONSHIP_AS_OF_DATE","20060828")</f>
        <v/>
      </c>
      <c r="LD5">
        <f>BDS("WNR US Equity","SUPPLY_CHAIN_CUSTOMERS","RELATIONSHIP_AS_OF_DATE","20060828")</f>
        <v/>
      </c>
      <c r="LI5">
        <f>BDS("502466Q US Equity","SUPPLY_CHAIN_SUPPLIERS","RELATIONSHIP_AS_OF_DATE","20011018")</f>
        <v/>
      </c>
      <c r="LN5">
        <f>BDS("502466Q US Equity","SUPPLY_CHAIN_CUSTOMERS","RELATIONSHIP_AS_OF_DATE","20011018")</f>
        <v/>
      </c>
      <c r="LS5">
        <f>BDS("0848680D US Equity","SUPPLY_CHAIN_SUPPLIERS","RELATIONSHIP_AS_OF_DATE","20060420")</f>
        <v/>
      </c>
      <c r="LX5">
        <f>BDS("0848680D US Equity","SUPPLY_CHAIN_CUSTOMERS","RELATIONSHIP_AS_OF_DATE","20060420")</f>
        <v/>
      </c>
      <c r="MC5">
        <f>BDS("8251545Q US Equity","SUPPLY_CHAIN_SUPPLIERS","RELATIONSHIP_AS_OF_DATE","20090427")</f>
        <v/>
      </c>
      <c r="MH5">
        <f>BDS("8251545Q US Equity","SUPPLY_CHAIN_CUSTOMERS","RELATIONSHIP_AS_OF_DATE","20090427")</f>
        <v/>
      </c>
      <c r="MM5">
        <f>BDS("TXN US Equity","SUPPLY_CHAIN_SUPPLIERS","RELATIONSHIP_AS_OF_DATE","19990726")</f>
        <v/>
      </c>
      <c r="MR5">
        <f>BDS("TXN US Equity","SUPPLY_CHAIN_CUSTOMERS","RELATIONSHIP_AS_OF_DATE","19990726")</f>
        <v/>
      </c>
      <c r="MW5">
        <f>BDS("362125Q US Equity","SUPPLY_CHAIN_SUPPLIERS","RELATIONSHIP_AS_OF_DATE","19980315")</f>
        <v/>
      </c>
      <c r="NB5">
        <f>BDS("362125Q US Equity","SUPPLY_CHAIN_CUSTOMERS","RELATIONSHIP_AS_OF_DATE","19980315")</f>
        <v/>
      </c>
      <c r="NG5">
        <f>BDS("AVY US Equity","SUPPLY_CHAIN_SUPPLIERS","RELATIONSHIP_AS_OF_DATE","20070322")</f>
        <v/>
      </c>
      <c r="NL5">
        <f>BDS("AVY US Equity","SUPPLY_CHAIN_CUSTOMERS","RELATIONSHIP_AS_OF_DATE","20070322")</f>
        <v/>
      </c>
      <c r="NQ5">
        <f>BDS("0848680D US Equity","SUPPLY_CHAIN_SUPPLIERS","RELATIONSHIP_AS_OF_DATE","20050711")</f>
        <v/>
      </c>
      <c r="NV5">
        <f>BDS("0848680D US Equity","SUPPLY_CHAIN_CUSTOMERS","RELATIONSHIP_AS_OF_DATE","20050711")</f>
        <v/>
      </c>
      <c r="OA5">
        <f>BDS("PAA US Equity","SUPPLY_CHAIN_SUPPLIERS","RELATIONSHIP_AS_OF_DATE","20131022")</f>
        <v/>
      </c>
      <c r="OF5">
        <f>BDS("PAA US Equity","SUPPLY_CHAIN_CUSTOMERS","RELATIONSHIP_AS_OF_DATE","20131022")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1201</t>
        </is>
      </c>
      <c r="K1" s="1" t="inlineStr">
        <is>
          <t>Deal 1202</t>
        </is>
      </c>
      <c r="U1" s="1" t="inlineStr">
        <is>
          <t>Deal 1203</t>
        </is>
      </c>
      <c r="AE1" s="1" t="inlineStr">
        <is>
          <t>Deal 1204</t>
        </is>
      </c>
      <c r="AO1" s="1" t="inlineStr">
        <is>
          <t>Deal 1205</t>
        </is>
      </c>
      <c r="AY1" s="1" t="inlineStr">
        <is>
          <t>Deal 1206</t>
        </is>
      </c>
      <c r="BI1" s="1" t="inlineStr">
        <is>
          <t>Deal 1207</t>
        </is>
      </c>
      <c r="BS1" s="1" t="inlineStr">
        <is>
          <t>Deal 1208</t>
        </is>
      </c>
      <c r="CC1" s="1" t="inlineStr">
        <is>
          <t>Deal 1209</t>
        </is>
      </c>
      <c r="CM1" s="1" t="inlineStr">
        <is>
          <t>Deal 1210</t>
        </is>
      </c>
      <c r="CW1" s="1" t="inlineStr">
        <is>
          <t>Deal 1211</t>
        </is>
      </c>
      <c r="DG1" s="1" t="inlineStr">
        <is>
          <t>Deal 1212</t>
        </is>
      </c>
      <c r="DQ1" s="1" t="inlineStr">
        <is>
          <t>Deal 1213</t>
        </is>
      </c>
      <c r="EA1" s="1" t="inlineStr">
        <is>
          <t>Deal 1214</t>
        </is>
      </c>
      <c r="EK1" s="1" t="inlineStr">
        <is>
          <t>Deal 1215</t>
        </is>
      </c>
      <c r="EU1" s="1" t="inlineStr">
        <is>
          <t>Deal 1216</t>
        </is>
      </c>
      <c r="FE1" s="1" t="inlineStr">
        <is>
          <t>Deal 1217</t>
        </is>
      </c>
      <c r="FO1" s="1" t="inlineStr">
        <is>
          <t>Deal 1218</t>
        </is>
      </c>
      <c r="FY1" s="1" t="inlineStr">
        <is>
          <t>Deal 1219</t>
        </is>
      </c>
      <c r="GI1" s="1" t="inlineStr">
        <is>
          <t>Deal 1220</t>
        </is>
      </c>
      <c r="GS1" s="1" t="inlineStr">
        <is>
          <t>Deal 1221</t>
        </is>
      </c>
      <c r="HC1" s="1" t="inlineStr">
        <is>
          <t>Deal 1222</t>
        </is>
      </c>
      <c r="HM1" s="1" t="inlineStr">
        <is>
          <t>Deal 1223</t>
        </is>
      </c>
      <c r="HW1" s="1" t="inlineStr">
        <is>
          <t>Deal 1224</t>
        </is>
      </c>
      <c r="IG1" s="1" t="inlineStr">
        <is>
          <t>Deal 1225</t>
        </is>
      </c>
      <c r="IQ1" s="1" t="inlineStr">
        <is>
          <t>Deal 1226</t>
        </is>
      </c>
      <c r="JA1" s="1" t="inlineStr">
        <is>
          <t>Deal 1227</t>
        </is>
      </c>
      <c r="JK1" s="1" t="inlineStr">
        <is>
          <t>Deal 1228</t>
        </is>
      </c>
      <c r="JU1" s="1" t="inlineStr">
        <is>
          <t>Deal 1229</t>
        </is>
      </c>
      <c r="KE1" s="1" t="inlineStr">
        <is>
          <t>Deal 1230</t>
        </is>
      </c>
      <c r="KO1" s="1" t="inlineStr">
        <is>
          <t>Deal 1231</t>
        </is>
      </c>
      <c r="KY1" s="1" t="inlineStr">
        <is>
          <t>Deal 1232</t>
        </is>
      </c>
      <c r="LI1" s="1" t="inlineStr">
        <is>
          <t>Deal 1233</t>
        </is>
      </c>
      <c r="LS1" s="1" t="inlineStr">
        <is>
          <t>Deal 1234</t>
        </is>
      </c>
      <c r="MC1" s="1" t="inlineStr">
        <is>
          <t>Deal 1235</t>
        </is>
      </c>
      <c r="MM1" s="1" t="inlineStr">
        <is>
          <t>Deal 1236</t>
        </is>
      </c>
      <c r="MW1" s="1" t="inlineStr">
        <is>
          <t>Deal 1237</t>
        </is>
      </c>
      <c r="NG1" s="1" t="inlineStr">
        <is>
          <t>Deal 1238</t>
        </is>
      </c>
      <c r="NQ1" s="1" t="inlineStr">
        <is>
          <t>Deal 1239</t>
        </is>
      </c>
      <c r="OA1" s="1" t="inlineStr">
        <is>
          <t>Deal 1240</t>
        </is>
      </c>
    </row>
    <row r="2">
      <c r="A2" s="2" t="inlineStr">
        <is>
          <t>QLGC US Equity</t>
        </is>
      </c>
      <c r="K2" s="2" t="inlineStr">
        <is>
          <t>UPS US Equity</t>
        </is>
      </c>
      <c r="U2" s="2" t="inlineStr">
        <is>
          <t>STJ US Equity</t>
        </is>
      </c>
      <c r="AE2" s="2" t="inlineStr">
        <is>
          <t>HPE US Equity</t>
        </is>
      </c>
      <c r="AO2" s="2" t="inlineStr">
        <is>
          <t>BYI US Equity</t>
        </is>
      </c>
      <c r="AY2" s="2" t="inlineStr">
        <is>
          <t>TVTY US Equity</t>
        </is>
      </c>
      <c r="BI2" s="2" t="inlineStr">
        <is>
          <t>JPM US Equity</t>
        </is>
      </c>
      <c r="BS2" s="2" t="inlineStr">
        <is>
          <t>MSFT US Equity</t>
        </is>
      </c>
      <c r="CC2" s="2" t="inlineStr">
        <is>
          <t>OPITQ US Equity</t>
        </is>
      </c>
      <c r="CM2" s="2" t="inlineStr">
        <is>
          <t>nan Equity</t>
        </is>
      </c>
      <c r="CW2" s="2" t="inlineStr">
        <is>
          <t>FANG US Equity</t>
        </is>
      </c>
      <c r="DG2" s="2" t="inlineStr">
        <is>
          <t>nan Equity</t>
        </is>
      </c>
      <c r="DQ2" s="2" t="inlineStr">
        <is>
          <t>JAZZ US Equity</t>
        </is>
      </c>
      <c r="EA2" s="2" t="inlineStr">
        <is>
          <t>ORCL US Equity</t>
        </is>
      </c>
      <c r="EK2" s="2" t="inlineStr">
        <is>
          <t>nan Equity</t>
        </is>
      </c>
      <c r="EU2" s="2" t="inlineStr">
        <is>
          <t>AES US Equity</t>
        </is>
      </c>
      <c r="FE2" s="2" t="inlineStr">
        <is>
          <t>GS US Equity</t>
        </is>
      </c>
      <c r="FO2" s="2" t="inlineStr">
        <is>
          <t>KND US Equity</t>
        </is>
      </c>
      <c r="FY2" s="2" t="inlineStr">
        <is>
          <t>URI US Equity</t>
        </is>
      </c>
      <c r="GI2" s="2" t="inlineStr">
        <is>
          <t>9990822D US Equity</t>
        </is>
      </c>
      <c r="GS2" s="2" t="inlineStr">
        <is>
          <t>nan Equity</t>
        </is>
      </c>
      <c r="HC2" s="2" t="inlineStr">
        <is>
          <t>FITB US Equity</t>
        </is>
      </c>
      <c r="HM2" s="2" t="inlineStr">
        <is>
          <t>9990822D US Equity</t>
        </is>
      </c>
      <c r="HW2" s="2" t="inlineStr">
        <is>
          <t>YELLQ US Equity</t>
        </is>
      </c>
      <c r="IG2" s="2" t="inlineStr">
        <is>
          <t>GE US Equity</t>
        </is>
      </c>
      <c r="IQ2" s="2" t="inlineStr">
        <is>
          <t>SYK US Equity</t>
        </is>
      </c>
      <c r="JA2" s="2" t="inlineStr">
        <is>
          <t>MKSI US Equity</t>
        </is>
      </c>
      <c r="JK2" s="2" t="inlineStr">
        <is>
          <t>GAPTQ US Equity</t>
        </is>
      </c>
      <c r="JU2" s="2" t="inlineStr">
        <is>
          <t>ESRX US Equity</t>
        </is>
      </c>
      <c r="KE2" s="2" t="inlineStr">
        <is>
          <t>2258717D US Equity</t>
        </is>
      </c>
      <c r="KO2" s="2" t="inlineStr">
        <is>
          <t>KG US Equity</t>
        </is>
      </c>
      <c r="KY2" s="2" t="inlineStr">
        <is>
          <t>nan Equity</t>
        </is>
      </c>
      <c r="LI2" s="2" t="inlineStr">
        <is>
          <t>TSS US Equity</t>
        </is>
      </c>
      <c r="LS2" s="2" t="inlineStr">
        <is>
          <t>MMGR US Equity</t>
        </is>
      </c>
      <c r="MC2" s="2" t="inlineStr">
        <is>
          <t>HLX US Equity</t>
        </is>
      </c>
      <c r="MM2" s="2" t="inlineStr">
        <is>
          <t>CLH US Equity</t>
        </is>
      </c>
      <c r="MW2" s="2" t="inlineStr">
        <is>
          <t>1858968D US Equity</t>
        </is>
      </c>
      <c r="NG2" s="2" t="inlineStr">
        <is>
          <t>MDRX US Equity</t>
        </is>
      </c>
      <c r="NQ2" s="2" t="inlineStr">
        <is>
          <t>9876549D US Equity</t>
        </is>
      </c>
      <c r="OA2" s="2" t="inlineStr">
        <is>
          <t>HRI US Equity</t>
        </is>
      </c>
    </row>
    <row r="3">
      <c r="A3" t="inlineStr">
        <is>
          <t>Ann: 2000-05-08</t>
        </is>
      </c>
      <c r="K3" t="inlineStr">
        <is>
          <t>Ann: 2005-05-16</t>
        </is>
      </c>
      <c r="U3" t="inlineStr">
        <is>
          <t>Ann: 2010-10-18</t>
        </is>
      </c>
      <c r="AE3" t="inlineStr">
        <is>
          <t>Ann: 2019-05-17</t>
        </is>
      </c>
      <c r="AO3" t="inlineStr">
        <is>
          <t>Ann: 2013-07-16</t>
        </is>
      </c>
      <c r="AY3" t="inlineStr">
        <is>
          <t>Ann: 2018-12-10</t>
        </is>
      </c>
      <c r="BI3" t="inlineStr">
        <is>
          <t>Ann: 2008-03-16</t>
        </is>
      </c>
      <c r="BS3" t="inlineStr">
        <is>
          <t>Ann: 1999-09-15</t>
        </is>
      </c>
      <c r="CC3" t="inlineStr">
        <is>
          <t>Ann: 2017-06-28</t>
        </is>
      </c>
      <c r="CM3" t="inlineStr">
        <is>
          <t>Ann: 2006-09-05</t>
        </is>
      </c>
      <c r="CW3" t="inlineStr">
        <is>
          <t>Ann: 2022-05-16</t>
        </is>
      </c>
      <c r="DG3" t="inlineStr">
        <is>
          <t>Ann: 2004-05-03</t>
        </is>
      </c>
      <c r="DQ3" t="inlineStr">
        <is>
          <t>Ann: 2016-05-31</t>
        </is>
      </c>
      <c r="EA3" t="inlineStr">
        <is>
          <t>Ann: 2013-12-20</t>
        </is>
      </c>
      <c r="EK3" t="inlineStr">
        <is>
          <t>Ann: 2001-02-15</t>
        </is>
      </c>
      <c r="EU3" t="inlineStr">
        <is>
          <t>Ann: 1998-11-23</t>
        </is>
      </c>
      <c r="FE3" t="inlineStr">
        <is>
          <t>Ann: 2021-09-15</t>
        </is>
      </c>
      <c r="FO3" t="inlineStr">
        <is>
          <t>Ann: 2011-02-08</t>
        </is>
      </c>
      <c r="FY3" t="inlineStr">
        <is>
          <t>Ann: 2017-08-16</t>
        </is>
      </c>
      <c r="GI3" t="inlineStr">
        <is>
          <t>Ann: 2005-11-08</t>
        </is>
      </c>
      <c r="GS3" t="inlineStr">
        <is>
          <t>Ann: 2006-10-16</t>
        </is>
      </c>
      <c r="HC3" t="inlineStr">
        <is>
          <t>Ann: 2004-08-02</t>
        </is>
      </c>
      <c r="HM3" t="inlineStr">
        <is>
          <t>Ann: 2006-10-11</t>
        </is>
      </c>
      <c r="HW3" t="inlineStr">
        <is>
          <t>Ann: 2003-07-08</t>
        </is>
      </c>
      <c r="IG3" t="inlineStr">
        <is>
          <t>Ann: 2004-11-24</t>
        </is>
      </c>
      <c r="IQ3" t="inlineStr">
        <is>
          <t>Ann: 2018-08-30</t>
        </is>
      </c>
      <c r="JA3" t="inlineStr">
        <is>
          <t>Ann: 2016-02-23</t>
        </is>
      </c>
      <c r="JK3" t="inlineStr">
        <is>
          <t>Ann: 2007-03-05</t>
        </is>
      </c>
      <c r="JU3" t="inlineStr">
        <is>
          <t>Ann: 2005-07-21</t>
        </is>
      </c>
      <c r="KE3" t="inlineStr">
        <is>
          <t>Ann: 1999-08-09</t>
        </is>
      </c>
      <c r="KO3" t="inlineStr">
        <is>
          <t>Ann: 2008-09-11</t>
        </is>
      </c>
      <c r="KY3" t="inlineStr">
        <is>
          <t>Ann: 2008-01-18</t>
        </is>
      </c>
      <c r="LI3" t="inlineStr">
        <is>
          <t>Ann: 2013-02-19</t>
        </is>
      </c>
      <c r="LS3" t="inlineStr">
        <is>
          <t>Ann: 1999-05-17</t>
        </is>
      </c>
      <c r="MC3" t="inlineStr">
        <is>
          <t>Ann: 2006-01-23</t>
        </is>
      </c>
      <c r="MM3" t="inlineStr">
        <is>
          <t>Ann: 2012-10-29</t>
        </is>
      </c>
      <c r="MW3" t="inlineStr">
        <is>
          <t>Ann: 2014-04-28</t>
        </is>
      </c>
      <c r="NG3" t="inlineStr">
        <is>
          <t>Ann: 2010-06-09</t>
        </is>
      </c>
      <c r="NQ3" t="inlineStr">
        <is>
          <t>Ann: 2012-12-18</t>
        </is>
      </c>
      <c r="OA3" t="inlineStr">
        <is>
          <t>Ann: 2012-08-26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BDS("QLGC US Equity","SUPPLY_CHAIN_SUPPLIERS","RELATIONSHIP_AS_OF_DATE","20000508")</f>
        <v/>
      </c>
      <c r="F5">
        <f>BDS("QLGC US Equity","SUPPLY_CHAIN_CUSTOMERS","RELATIONSHIP_AS_OF_DATE","20000508")</f>
        <v/>
      </c>
      <c r="K5">
        <f>BDS("UPS US Equity","SUPPLY_CHAIN_SUPPLIERS","RELATIONSHIP_AS_OF_DATE","20050516")</f>
        <v/>
      </c>
      <c r="P5">
        <f>BDS("UPS US Equity","SUPPLY_CHAIN_CUSTOMERS","RELATIONSHIP_AS_OF_DATE","20050516")</f>
        <v/>
      </c>
      <c r="U5">
        <f>BDS("STJ US Equity","SUPPLY_CHAIN_SUPPLIERS","RELATIONSHIP_AS_OF_DATE","20101018")</f>
        <v/>
      </c>
      <c r="Z5">
        <f>BDS("STJ US Equity","SUPPLY_CHAIN_CUSTOMERS","RELATIONSHIP_AS_OF_DATE","20101018")</f>
        <v/>
      </c>
      <c r="AE5">
        <f>BDS("HPE US Equity","SUPPLY_CHAIN_SUPPLIERS","RELATIONSHIP_AS_OF_DATE","20190517")</f>
        <v/>
      </c>
      <c r="AJ5">
        <f>BDS("HPE US Equity","SUPPLY_CHAIN_CUSTOMERS","RELATIONSHIP_AS_OF_DATE","20190517")</f>
        <v/>
      </c>
      <c r="AO5">
        <f>BDS("BYI US Equity","SUPPLY_CHAIN_SUPPLIERS","RELATIONSHIP_AS_OF_DATE","20130716")</f>
        <v/>
      </c>
      <c r="AT5">
        <f>BDS("BYI US Equity","SUPPLY_CHAIN_CUSTOMERS","RELATIONSHIP_AS_OF_DATE","20130716")</f>
        <v/>
      </c>
      <c r="AY5">
        <f>BDS("TVTY US Equity","SUPPLY_CHAIN_SUPPLIERS","RELATIONSHIP_AS_OF_DATE","20181210")</f>
        <v/>
      </c>
      <c r="BD5">
        <f>BDS("TVTY US Equity","SUPPLY_CHAIN_CUSTOMERS","RELATIONSHIP_AS_OF_DATE","20181210")</f>
        <v/>
      </c>
      <c r="BI5">
        <f>BDS("JPM US Equity","SUPPLY_CHAIN_SUPPLIERS","RELATIONSHIP_AS_OF_DATE","20080316")</f>
        <v/>
      </c>
      <c r="BN5">
        <f>BDS("JPM US Equity","SUPPLY_CHAIN_CUSTOMERS","RELATIONSHIP_AS_OF_DATE","20080316")</f>
        <v/>
      </c>
      <c r="BS5">
        <f>BDS("MSFT US Equity","SUPPLY_CHAIN_SUPPLIERS","RELATIONSHIP_AS_OF_DATE","19990915")</f>
        <v/>
      </c>
      <c r="BX5">
        <f>BDS("MSFT US Equity","SUPPLY_CHAIN_CUSTOMERS","RELATIONSHIP_AS_OF_DATE","19990915")</f>
        <v/>
      </c>
      <c r="CC5">
        <f>BDS("OPITQ US Equity","SUPPLY_CHAIN_SUPPLIERS","RELATIONSHIP_AS_OF_DATE","20170628")</f>
        <v/>
      </c>
      <c r="CH5">
        <f>BDS("OPITQ US Equity","SUPPLY_CHAIN_CUSTOMERS","RELATIONSHIP_AS_OF_DATE","20170628")</f>
        <v/>
      </c>
      <c r="CM5">
        <f>BDS("nan Equity","SUPPLY_CHAIN_SUPPLIERS","RELATIONSHIP_AS_OF_DATE","20060905")</f>
        <v/>
      </c>
      <c r="CR5">
        <f>BDS("nan Equity","SUPPLY_CHAIN_CUSTOMERS","RELATIONSHIP_AS_OF_DATE","20060905")</f>
        <v/>
      </c>
      <c r="CW5">
        <f>BDS("FANG US Equity","SUPPLY_CHAIN_SUPPLIERS","RELATIONSHIP_AS_OF_DATE","20220516")</f>
        <v/>
      </c>
      <c r="DB5">
        <f>BDS("FANG US Equity","SUPPLY_CHAIN_CUSTOMERS","RELATIONSHIP_AS_OF_DATE","20220516")</f>
        <v/>
      </c>
      <c r="DG5">
        <f>BDS("nan Equity","SUPPLY_CHAIN_SUPPLIERS","RELATIONSHIP_AS_OF_DATE","20040503")</f>
        <v/>
      </c>
      <c r="DL5">
        <f>BDS("nan Equity","SUPPLY_CHAIN_CUSTOMERS","RELATIONSHIP_AS_OF_DATE","20040503")</f>
        <v/>
      </c>
      <c r="DQ5">
        <f>BDS("JAZZ US Equity","SUPPLY_CHAIN_SUPPLIERS","RELATIONSHIP_AS_OF_DATE","20160531")</f>
        <v/>
      </c>
      <c r="DV5">
        <f>BDS("JAZZ US Equity","SUPPLY_CHAIN_CUSTOMERS","RELATIONSHIP_AS_OF_DATE","20160531")</f>
        <v/>
      </c>
      <c r="EA5">
        <f>BDS("ORCL US Equity","SUPPLY_CHAIN_SUPPLIERS","RELATIONSHIP_AS_OF_DATE","20131220")</f>
        <v/>
      </c>
      <c r="EF5">
        <f>BDS("ORCL US Equity","SUPPLY_CHAIN_CUSTOMERS","RELATIONSHIP_AS_OF_DATE","20131220")</f>
        <v/>
      </c>
      <c r="EK5">
        <f>BDS("nan Equity","SUPPLY_CHAIN_SUPPLIERS","RELATIONSHIP_AS_OF_DATE","20010215")</f>
        <v/>
      </c>
      <c r="EP5">
        <f>BDS("nan Equity","SUPPLY_CHAIN_CUSTOMERS","RELATIONSHIP_AS_OF_DATE","20010215")</f>
        <v/>
      </c>
      <c r="EU5">
        <f>BDS("AES US Equity","SUPPLY_CHAIN_SUPPLIERS","RELATIONSHIP_AS_OF_DATE","19981123")</f>
        <v/>
      </c>
      <c r="EZ5">
        <f>BDS("AES US Equity","SUPPLY_CHAIN_CUSTOMERS","RELATIONSHIP_AS_OF_DATE","19981123")</f>
        <v/>
      </c>
      <c r="FE5">
        <f>BDS("GS US Equity","SUPPLY_CHAIN_SUPPLIERS","RELATIONSHIP_AS_OF_DATE","20210915")</f>
        <v/>
      </c>
      <c r="FJ5">
        <f>BDS("GS US Equity","SUPPLY_CHAIN_CUSTOMERS","RELATIONSHIP_AS_OF_DATE","20210915")</f>
        <v/>
      </c>
      <c r="FO5">
        <f>BDS("KND US Equity","SUPPLY_CHAIN_SUPPLIERS","RELATIONSHIP_AS_OF_DATE","20110208")</f>
        <v/>
      </c>
      <c r="FT5">
        <f>BDS("KND US Equity","SUPPLY_CHAIN_CUSTOMERS","RELATIONSHIP_AS_OF_DATE","20110208")</f>
        <v/>
      </c>
      <c r="FY5">
        <f>BDS("URI US Equity","SUPPLY_CHAIN_SUPPLIERS","RELATIONSHIP_AS_OF_DATE","20170816")</f>
        <v/>
      </c>
      <c r="GD5">
        <f>BDS("URI US Equity","SUPPLY_CHAIN_CUSTOMERS","RELATIONSHIP_AS_OF_DATE","20170816")</f>
        <v/>
      </c>
      <c r="GI5">
        <f>BDS("9990822D US Equity","SUPPLY_CHAIN_SUPPLIERS","RELATIONSHIP_AS_OF_DATE","20051108")</f>
        <v/>
      </c>
      <c r="GN5">
        <f>BDS("9990822D US Equity","SUPPLY_CHAIN_CUSTOMERS","RELATIONSHIP_AS_OF_DATE","20051108")</f>
        <v/>
      </c>
      <c r="GS5">
        <f>BDS("nan Equity","SUPPLY_CHAIN_SUPPLIERS","RELATIONSHIP_AS_OF_DATE","20061016")</f>
        <v/>
      </c>
      <c r="GX5">
        <f>BDS("nan Equity","SUPPLY_CHAIN_CUSTOMERS","RELATIONSHIP_AS_OF_DATE","20061016")</f>
        <v/>
      </c>
      <c r="HC5">
        <f>BDS("FITB US Equity","SUPPLY_CHAIN_SUPPLIERS","RELATIONSHIP_AS_OF_DATE","20040802")</f>
        <v/>
      </c>
      <c r="HH5">
        <f>BDS("FITB US Equity","SUPPLY_CHAIN_CUSTOMERS","RELATIONSHIP_AS_OF_DATE","20040802")</f>
        <v/>
      </c>
      <c r="HM5">
        <f>BDS("9990822D US Equity","SUPPLY_CHAIN_SUPPLIERS","RELATIONSHIP_AS_OF_DATE","20061011")</f>
        <v/>
      </c>
      <c r="HR5">
        <f>BDS("9990822D US Equity","SUPPLY_CHAIN_CUSTOMERS","RELATIONSHIP_AS_OF_DATE","20061011")</f>
        <v/>
      </c>
      <c r="HW5">
        <f>BDS("YELLQ US Equity","SUPPLY_CHAIN_SUPPLIERS","RELATIONSHIP_AS_OF_DATE","20030708")</f>
        <v/>
      </c>
      <c r="IB5">
        <f>BDS("YELLQ US Equity","SUPPLY_CHAIN_CUSTOMERS","RELATIONSHIP_AS_OF_DATE","20030708")</f>
        <v/>
      </c>
      <c r="IG5">
        <f>BDS("GE US Equity","SUPPLY_CHAIN_SUPPLIERS","RELATIONSHIP_AS_OF_DATE","20041124")</f>
        <v/>
      </c>
      <c r="IL5">
        <f>BDS("GE US Equity","SUPPLY_CHAIN_CUSTOMERS","RELATIONSHIP_AS_OF_DATE","20041124")</f>
        <v/>
      </c>
      <c r="IQ5">
        <f>BDS("SYK US Equity","SUPPLY_CHAIN_SUPPLIERS","RELATIONSHIP_AS_OF_DATE","20180830")</f>
        <v/>
      </c>
      <c r="IV5">
        <f>BDS("SYK US Equity","SUPPLY_CHAIN_CUSTOMERS","RELATIONSHIP_AS_OF_DATE","20180830")</f>
        <v/>
      </c>
      <c r="JA5">
        <f>BDS("MKSI US Equity","SUPPLY_CHAIN_SUPPLIERS","RELATIONSHIP_AS_OF_DATE","20160223")</f>
        <v/>
      </c>
      <c r="JF5">
        <f>BDS("MKSI US Equity","SUPPLY_CHAIN_CUSTOMERS","RELATIONSHIP_AS_OF_DATE","20160223")</f>
        <v/>
      </c>
      <c r="JK5">
        <f>BDS("GAPTQ US Equity","SUPPLY_CHAIN_SUPPLIERS","RELATIONSHIP_AS_OF_DATE","20070305")</f>
        <v/>
      </c>
      <c r="JP5">
        <f>BDS("GAPTQ US Equity","SUPPLY_CHAIN_CUSTOMERS","RELATIONSHIP_AS_OF_DATE","20070305")</f>
        <v/>
      </c>
      <c r="JU5">
        <f>BDS("ESRX US Equity","SUPPLY_CHAIN_SUPPLIERS","RELATIONSHIP_AS_OF_DATE","20050721")</f>
        <v/>
      </c>
      <c r="JZ5">
        <f>BDS("ESRX US Equity","SUPPLY_CHAIN_CUSTOMERS","RELATIONSHIP_AS_OF_DATE","20050721")</f>
        <v/>
      </c>
      <c r="KE5">
        <f>BDS("2258717D US Equity","SUPPLY_CHAIN_SUPPLIERS","RELATIONSHIP_AS_OF_DATE","19990809")</f>
        <v/>
      </c>
      <c r="KJ5">
        <f>BDS("2258717D US Equity","SUPPLY_CHAIN_CUSTOMERS","RELATIONSHIP_AS_OF_DATE","19990809")</f>
        <v/>
      </c>
      <c r="KO5">
        <f>BDS("KG US Equity","SUPPLY_CHAIN_SUPPLIERS","RELATIONSHIP_AS_OF_DATE","20080911")</f>
        <v/>
      </c>
      <c r="KT5">
        <f>BDS("KG US Equity","SUPPLY_CHAIN_CUSTOMERS","RELATIONSHIP_AS_OF_DATE","20080911")</f>
        <v/>
      </c>
      <c r="KY5">
        <f>BDS("nan Equity","SUPPLY_CHAIN_SUPPLIERS","RELATIONSHIP_AS_OF_DATE","20080118")</f>
        <v/>
      </c>
      <c r="LD5">
        <f>BDS("nan Equity","SUPPLY_CHAIN_CUSTOMERS","RELATIONSHIP_AS_OF_DATE","20080118")</f>
        <v/>
      </c>
      <c r="LI5">
        <f>BDS("TSS US Equity","SUPPLY_CHAIN_SUPPLIERS","RELATIONSHIP_AS_OF_DATE","20130219")</f>
        <v/>
      </c>
      <c r="LN5">
        <f>BDS("TSS US Equity","SUPPLY_CHAIN_CUSTOMERS","RELATIONSHIP_AS_OF_DATE","20130219")</f>
        <v/>
      </c>
      <c r="LS5">
        <f>BDS("MMGR US Equity","SUPPLY_CHAIN_SUPPLIERS","RELATIONSHIP_AS_OF_DATE","19990517")</f>
        <v/>
      </c>
      <c r="LX5">
        <f>BDS("MMGR US Equity","SUPPLY_CHAIN_CUSTOMERS","RELATIONSHIP_AS_OF_DATE","19990517")</f>
        <v/>
      </c>
      <c r="MC5">
        <f>BDS("HLX US Equity","SUPPLY_CHAIN_SUPPLIERS","RELATIONSHIP_AS_OF_DATE","20060123")</f>
        <v/>
      </c>
      <c r="MH5">
        <f>BDS("HLX US Equity","SUPPLY_CHAIN_CUSTOMERS","RELATIONSHIP_AS_OF_DATE","20060123")</f>
        <v/>
      </c>
      <c r="MM5">
        <f>BDS("CLH US Equity","SUPPLY_CHAIN_SUPPLIERS","RELATIONSHIP_AS_OF_DATE","20121029")</f>
        <v/>
      </c>
      <c r="MR5">
        <f>BDS("CLH US Equity","SUPPLY_CHAIN_CUSTOMERS","RELATIONSHIP_AS_OF_DATE","20121029")</f>
        <v/>
      </c>
      <c r="MW5">
        <f>BDS("1858968D US Equity","SUPPLY_CHAIN_SUPPLIERS","RELATIONSHIP_AS_OF_DATE","20140428")</f>
        <v/>
      </c>
      <c r="NB5">
        <f>BDS("1858968D US Equity","SUPPLY_CHAIN_CUSTOMERS","RELATIONSHIP_AS_OF_DATE","20140428")</f>
        <v/>
      </c>
      <c r="NG5">
        <f>BDS("MDRX US Equity","SUPPLY_CHAIN_SUPPLIERS","RELATIONSHIP_AS_OF_DATE","20100609")</f>
        <v/>
      </c>
      <c r="NL5">
        <f>BDS("MDRX US Equity","SUPPLY_CHAIN_CUSTOMERS","RELATIONSHIP_AS_OF_DATE","20100609")</f>
        <v/>
      </c>
      <c r="NQ5">
        <f>BDS("9876549D US Equity","SUPPLY_CHAIN_SUPPLIERS","RELATIONSHIP_AS_OF_DATE","20121218")</f>
        <v/>
      </c>
      <c r="NV5">
        <f>BDS("9876549D US Equity","SUPPLY_CHAIN_CUSTOMERS","RELATIONSHIP_AS_OF_DATE","20121218")</f>
        <v/>
      </c>
      <c r="OA5">
        <f>BDS("HRI US Equity","SUPPLY_CHAIN_SUPPLIERS","RELATIONSHIP_AS_OF_DATE","20120826")</f>
        <v/>
      </c>
      <c r="OF5">
        <f>BDS("HRI US Equity","SUPPLY_CHAIN_CUSTOMERS","RELATIONSHIP_AS_OF_DATE","20120826")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1241</t>
        </is>
      </c>
      <c r="K1" s="1" t="inlineStr">
        <is>
          <t>Deal 1242</t>
        </is>
      </c>
      <c r="U1" s="1" t="inlineStr">
        <is>
          <t>Deal 1243</t>
        </is>
      </c>
      <c r="AE1" s="1" t="inlineStr">
        <is>
          <t>Deal 1244</t>
        </is>
      </c>
      <c r="AO1" s="1" t="inlineStr">
        <is>
          <t>Deal 1245</t>
        </is>
      </c>
      <c r="AY1" s="1" t="inlineStr">
        <is>
          <t>Deal 1246</t>
        </is>
      </c>
      <c r="BI1" s="1" t="inlineStr">
        <is>
          <t>Deal 1247</t>
        </is>
      </c>
      <c r="BS1" s="1" t="inlineStr">
        <is>
          <t>Deal 1248</t>
        </is>
      </c>
      <c r="CC1" s="1" t="inlineStr">
        <is>
          <t>Deal 1249</t>
        </is>
      </c>
      <c r="CM1" s="1" t="inlineStr">
        <is>
          <t>Deal 1250</t>
        </is>
      </c>
      <c r="CW1" s="1" t="inlineStr">
        <is>
          <t>Deal 1251</t>
        </is>
      </c>
      <c r="DG1" s="1" t="inlineStr">
        <is>
          <t>Deal 1252</t>
        </is>
      </c>
      <c r="DQ1" s="1" t="inlineStr">
        <is>
          <t>Deal 1253</t>
        </is>
      </c>
      <c r="EA1" s="1" t="inlineStr">
        <is>
          <t>Deal 1254</t>
        </is>
      </c>
      <c r="EK1" s="1" t="inlineStr">
        <is>
          <t>Deal 1255</t>
        </is>
      </c>
      <c r="EU1" s="1" t="inlineStr">
        <is>
          <t>Deal 1256</t>
        </is>
      </c>
      <c r="FE1" s="1" t="inlineStr">
        <is>
          <t>Deal 1257</t>
        </is>
      </c>
      <c r="FO1" s="1" t="inlineStr">
        <is>
          <t>Deal 1258</t>
        </is>
      </c>
      <c r="FY1" s="1" t="inlineStr">
        <is>
          <t>Deal 1259</t>
        </is>
      </c>
      <c r="GI1" s="1" t="inlineStr">
        <is>
          <t>Deal 1260</t>
        </is>
      </c>
      <c r="GS1" s="1" t="inlineStr">
        <is>
          <t>Deal 1261</t>
        </is>
      </c>
      <c r="HC1" s="1" t="inlineStr">
        <is>
          <t>Deal 1262</t>
        </is>
      </c>
      <c r="HM1" s="1" t="inlineStr">
        <is>
          <t>Deal 1263</t>
        </is>
      </c>
      <c r="HW1" s="1" t="inlineStr">
        <is>
          <t>Deal 1264</t>
        </is>
      </c>
      <c r="IG1" s="1" t="inlineStr">
        <is>
          <t>Deal 1265</t>
        </is>
      </c>
      <c r="IQ1" s="1" t="inlineStr">
        <is>
          <t>Deal 1266</t>
        </is>
      </c>
      <c r="JA1" s="1" t="inlineStr">
        <is>
          <t>Deal 1267</t>
        </is>
      </c>
      <c r="JK1" s="1" t="inlineStr">
        <is>
          <t>Deal 1268</t>
        </is>
      </c>
      <c r="JU1" s="1" t="inlineStr">
        <is>
          <t>Deal 1269</t>
        </is>
      </c>
      <c r="KE1" s="1" t="inlineStr">
        <is>
          <t>Deal 1270</t>
        </is>
      </c>
      <c r="KO1" s="1" t="inlineStr">
        <is>
          <t>Deal 1271</t>
        </is>
      </c>
      <c r="KY1" s="1" t="inlineStr">
        <is>
          <t>Deal 1272</t>
        </is>
      </c>
      <c r="LI1" s="1" t="inlineStr">
        <is>
          <t>Deal 1273</t>
        </is>
      </c>
      <c r="LS1" s="1" t="inlineStr">
        <is>
          <t>Deal 1274</t>
        </is>
      </c>
      <c r="MC1" s="1" t="inlineStr">
        <is>
          <t>Deal 1275</t>
        </is>
      </c>
      <c r="MM1" s="1" t="inlineStr">
        <is>
          <t>Deal 1276</t>
        </is>
      </c>
      <c r="MW1" s="1" t="inlineStr">
        <is>
          <t>Deal 1277</t>
        </is>
      </c>
      <c r="NG1" s="1" t="inlineStr">
        <is>
          <t>Deal 1278</t>
        </is>
      </c>
      <c r="NQ1" s="1" t="inlineStr">
        <is>
          <t>Deal 1279</t>
        </is>
      </c>
      <c r="OA1" s="1" t="inlineStr">
        <is>
          <t>Deal 1280</t>
        </is>
      </c>
    </row>
    <row r="2">
      <c r="A2" s="2" t="inlineStr">
        <is>
          <t>IRM US Equity</t>
        </is>
      </c>
      <c r="K2" s="2" t="inlineStr">
        <is>
          <t>IBM US Equity</t>
        </is>
      </c>
      <c r="U2" s="2" t="inlineStr">
        <is>
          <t>AGR US Equity</t>
        </is>
      </c>
      <c r="AE2" s="2" t="inlineStr">
        <is>
          <t>CLOV US Equity</t>
        </is>
      </c>
      <c r="AO2" s="2" t="inlineStr">
        <is>
          <t>CMRCQ US Equity</t>
        </is>
      </c>
      <c r="AY2" s="2" t="inlineStr">
        <is>
          <t>JPM US Equity</t>
        </is>
      </c>
      <c r="BI2" s="2" t="inlineStr">
        <is>
          <t>INTU US Equity</t>
        </is>
      </c>
      <c r="BS2" s="2" t="inlineStr">
        <is>
          <t>GME US Equity</t>
        </is>
      </c>
      <c r="CC2" s="2" t="inlineStr">
        <is>
          <t>605018Q US Equity</t>
        </is>
      </c>
      <c r="CM2" s="2" t="inlineStr">
        <is>
          <t>ACC US Equity</t>
        </is>
      </c>
      <c r="CW2" s="2" t="inlineStr">
        <is>
          <t>MSFT US Equity</t>
        </is>
      </c>
      <c r="DG2" s="2" t="inlineStr">
        <is>
          <t>EFX US Equity</t>
        </is>
      </c>
      <c r="DQ2" s="2" t="inlineStr">
        <is>
          <t>CVS US Equity</t>
        </is>
      </c>
      <c r="EA2" s="2" t="inlineStr">
        <is>
          <t>GE US Equity</t>
        </is>
      </c>
      <c r="EK2" s="2" t="inlineStr">
        <is>
          <t>MWE US Equity</t>
        </is>
      </c>
      <c r="EU2" s="2" t="inlineStr">
        <is>
          <t>PFE US Equity</t>
        </is>
      </c>
      <c r="FE2" s="2" t="inlineStr">
        <is>
          <t>JNJ US Equity</t>
        </is>
      </c>
      <c r="FO2" s="2" t="inlineStr">
        <is>
          <t>VRSN US Equity</t>
        </is>
      </c>
      <c r="FY2" s="2" t="inlineStr">
        <is>
          <t>AIG US Equity</t>
        </is>
      </c>
      <c r="GI2" s="2" t="inlineStr">
        <is>
          <t>EXE US Equity</t>
        </is>
      </c>
      <c r="GS2" s="2" t="inlineStr">
        <is>
          <t>TCF US Equity</t>
        </is>
      </c>
      <c r="HC2" s="2" t="inlineStr">
        <is>
          <t>RS US Equity</t>
        </is>
      </c>
      <c r="HM2" s="2" t="inlineStr">
        <is>
          <t>INDB US Equity</t>
        </is>
      </c>
      <c r="HW2" s="2" t="inlineStr">
        <is>
          <t>ASCMA US Equity</t>
        </is>
      </c>
      <c r="IG2" s="2" t="inlineStr">
        <is>
          <t>LEN US Equity</t>
        </is>
      </c>
      <c r="IQ2" s="2" t="inlineStr">
        <is>
          <t>SCI US Equity</t>
        </is>
      </c>
      <c r="JA2" s="2" t="inlineStr">
        <is>
          <t>BWA US Equity</t>
        </is>
      </c>
      <c r="JK2" s="2" t="inlineStr">
        <is>
          <t>PWR US Equity</t>
        </is>
      </c>
      <c r="JU2" s="2" t="inlineStr">
        <is>
          <t>CMA US Equity</t>
        </is>
      </c>
      <c r="KE2" s="2" t="inlineStr">
        <is>
          <t>TQNT US Equity</t>
        </is>
      </c>
      <c r="KO2" s="2" t="inlineStr">
        <is>
          <t>WELL US Equity</t>
        </is>
      </c>
      <c r="KY2" s="2" t="inlineStr">
        <is>
          <t>LVLT US Equity</t>
        </is>
      </c>
      <c r="LI2" s="2" t="inlineStr">
        <is>
          <t>DHI US Equity</t>
        </is>
      </c>
      <c r="LS2" s="2" t="inlineStr">
        <is>
          <t>BOKF US Equity</t>
        </is>
      </c>
      <c r="MC2" s="2" t="inlineStr">
        <is>
          <t>RAH US Equity</t>
        </is>
      </c>
      <c r="MM2" s="2" t="inlineStr">
        <is>
          <t>HQY US Equity</t>
        </is>
      </c>
      <c r="MW2" s="2" t="inlineStr">
        <is>
          <t>TFC US Equity</t>
        </is>
      </c>
      <c r="NG2" s="2" t="inlineStr">
        <is>
          <t>FDX US Equity</t>
        </is>
      </c>
      <c r="NQ2" s="2" t="inlineStr">
        <is>
          <t>SIG US Equity</t>
        </is>
      </c>
      <c r="OA2" s="2" t="inlineStr">
        <is>
          <t>0202445Q US Equity</t>
        </is>
      </c>
    </row>
    <row r="3">
      <c r="A3" t="inlineStr">
        <is>
          <t>Ann: 1999-10-21</t>
        </is>
      </c>
      <c r="K3" t="inlineStr">
        <is>
          <t>Ann: 2012-08-27</t>
        </is>
      </c>
      <c r="U3" t="inlineStr">
        <is>
          <t>Ann: 1999-06-15</t>
        </is>
      </c>
      <c r="AE3" t="inlineStr">
        <is>
          <t>Ann: 2020-10-06</t>
        </is>
      </c>
      <c r="AO3" t="inlineStr">
        <is>
          <t>Ann: 2000-06-20</t>
        </is>
      </c>
      <c r="AY3" t="inlineStr">
        <is>
          <t>Ann: 1999-09-28</t>
        </is>
      </c>
      <c r="BI3" t="inlineStr">
        <is>
          <t>Ann: 2006-11-30</t>
        </is>
      </c>
      <c r="BS3" t="inlineStr">
        <is>
          <t>Ann: 2005-04-18</t>
        </is>
      </c>
      <c r="CC3" t="inlineStr">
        <is>
          <t>Ann: 1999-05-17</t>
        </is>
      </c>
      <c r="CM3" t="inlineStr">
        <is>
          <t>Ann: 2008-02-12</t>
        </is>
      </c>
      <c r="CW3" t="inlineStr">
        <is>
          <t>Ann: 2000-12-21</t>
        </is>
      </c>
      <c r="DG3" t="inlineStr">
        <is>
          <t>Ann: 2007-02-14</t>
        </is>
      </c>
      <c r="DQ3" t="inlineStr">
        <is>
          <t>Ann: 1998-02-09</t>
        </is>
      </c>
      <c r="EA3" t="inlineStr">
        <is>
          <t>Ann: 2005-09-29</t>
        </is>
      </c>
      <c r="EK3" t="inlineStr">
        <is>
          <t>Ann: 2007-09-06</t>
        </is>
      </c>
      <c r="EU3" t="inlineStr">
        <is>
          <t>Ann: 2003-12-21</t>
        </is>
      </c>
      <c r="FE3" t="inlineStr">
        <is>
          <t>Ann: 2001-05-23</t>
        </is>
      </c>
      <c r="FO3" t="inlineStr">
        <is>
          <t>Ann: 2001-09-24</t>
        </is>
      </c>
      <c r="FY3" t="inlineStr">
        <is>
          <t>Ann: 2000-08-18</t>
        </is>
      </c>
      <c r="GI3" t="inlineStr">
        <is>
          <t>Ann: 2018-10-30</t>
        </is>
      </c>
      <c r="GS3" t="inlineStr">
        <is>
          <t>Ann: 2016-01-26</t>
        </is>
      </c>
      <c r="HC3" t="inlineStr">
        <is>
          <t>Ann: 2013-02-06</t>
        </is>
      </c>
      <c r="HM3" t="inlineStr">
        <is>
          <t>Ann: 2021-04-22</t>
        </is>
      </c>
      <c r="HW3" t="inlineStr">
        <is>
          <t>Ann: 2010-12-17</t>
        </is>
      </c>
      <c r="IG3" t="inlineStr">
        <is>
          <t>Ann: 2000-02-17</t>
        </is>
      </c>
      <c r="IQ3" t="inlineStr">
        <is>
          <t>Ann: 2006-04-03</t>
        </is>
      </c>
      <c r="JA3" t="inlineStr">
        <is>
          <t>Ann: 2015-07-13</t>
        </is>
      </c>
      <c r="JK3" t="inlineStr">
        <is>
          <t>Ann: 2007-03-19</t>
        </is>
      </c>
      <c r="JU3" t="inlineStr">
        <is>
          <t>Ann: 2000-11-01</t>
        </is>
      </c>
      <c r="KE3" t="inlineStr">
        <is>
          <t>Ann: 2001-05-15</t>
        </is>
      </c>
      <c r="KO3" t="inlineStr">
        <is>
          <t>Ann: 2012-08-22</t>
        </is>
      </c>
      <c r="KY3" t="inlineStr">
        <is>
          <t>Ann: 2006-10-17</t>
        </is>
      </c>
      <c r="LI3" t="inlineStr">
        <is>
          <t>Ann: 2001-10-23</t>
        </is>
      </c>
      <c r="LS3" t="inlineStr">
        <is>
          <t>Ann: 2018-06-18</t>
        </is>
      </c>
      <c r="MC3" t="inlineStr">
        <is>
          <t>Ann: 2010-06-21</t>
        </is>
      </c>
      <c r="MM3" t="inlineStr">
        <is>
          <t>Ann: 2019-06-27</t>
        </is>
      </c>
      <c r="MW3" t="inlineStr">
        <is>
          <t>Ann: 2000-02-07</t>
        </is>
      </c>
      <c r="NG3" t="inlineStr">
        <is>
          <t>Ann: 2000-11-13</t>
        </is>
      </c>
      <c r="NQ3" t="inlineStr">
        <is>
          <t>Ann: 2014-02-19</t>
        </is>
      </c>
      <c r="OA3" t="inlineStr">
        <is>
          <t>Ann: 2006-04-25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BDS("IRM US Equity","SUPPLY_CHAIN_SUPPLIERS","RELATIONSHIP_AS_OF_DATE","19991021")</f>
        <v/>
      </c>
      <c r="F5">
        <f>BDS("IRM US Equity","SUPPLY_CHAIN_CUSTOMERS","RELATIONSHIP_AS_OF_DATE","19991021")</f>
        <v/>
      </c>
      <c r="K5">
        <f>BDS("IBM US Equity","SUPPLY_CHAIN_SUPPLIERS","RELATIONSHIP_AS_OF_DATE","20120827")</f>
        <v/>
      </c>
      <c r="P5">
        <f>BDS("IBM US Equity","SUPPLY_CHAIN_CUSTOMERS","RELATIONSHIP_AS_OF_DATE","20120827")</f>
        <v/>
      </c>
      <c r="U5">
        <f>BDS("AGR US Equity","SUPPLY_CHAIN_SUPPLIERS","RELATIONSHIP_AS_OF_DATE","19990615")</f>
        <v/>
      </c>
      <c r="Z5">
        <f>BDS("AGR US Equity","SUPPLY_CHAIN_CUSTOMERS","RELATIONSHIP_AS_OF_DATE","19990615")</f>
        <v/>
      </c>
      <c r="AE5">
        <f>BDS("CLOV US Equity","SUPPLY_CHAIN_SUPPLIERS","RELATIONSHIP_AS_OF_DATE","20201006")</f>
        <v/>
      </c>
      <c r="AJ5">
        <f>BDS("CLOV US Equity","SUPPLY_CHAIN_CUSTOMERS","RELATIONSHIP_AS_OF_DATE","20201006")</f>
        <v/>
      </c>
      <c r="AO5">
        <f>BDS("CMRCQ US Equity","SUPPLY_CHAIN_SUPPLIERS","RELATIONSHIP_AS_OF_DATE","20000620")</f>
        <v/>
      </c>
      <c r="AT5">
        <f>BDS("CMRCQ US Equity","SUPPLY_CHAIN_CUSTOMERS","RELATIONSHIP_AS_OF_DATE","20000620")</f>
        <v/>
      </c>
      <c r="AY5">
        <f>BDS("JPM US Equity","SUPPLY_CHAIN_SUPPLIERS","RELATIONSHIP_AS_OF_DATE","19990928")</f>
        <v/>
      </c>
      <c r="BD5">
        <f>BDS("JPM US Equity","SUPPLY_CHAIN_CUSTOMERS","RELATIONSHIP_AS_OF_DATE","19990928")</f>
        <v/>
      </c>
      <c r="BI5">
        <f>BDS("INTU US Equity","SUPPLY_CHAIN_SUPPLIERS","RELATIONSHIP_AS_OF_DATE","20061130")</f>
        <v/>
      </c>
      <c r="BN5">
        <f>BDS("INTU US Equity","SUPPLY_CHAIN_CUSTOMERS","RELATIONSHIP_AS_OF_DATE","20061130")</f>
        <v/>
      </c>
      <c r="BS5">
        <f>BDS("GME US Equity","SUPPLY_CHAIN_SUPPLIERS","RELATIONSHIP_AS_OF_DATE","20050418")</f>
        <v/>
      </c>
      <c r="BX5">
        <f>BDS("GME US Equity","SUPPLY_CHAIN_CUSTOMERS","RELATIONSHIP_AS_OF_DATE","20050418")</f>
        <v/>
      </c>
      <c r="CC5">
        <f>BDS("605018Q US Equity","SUPPLY_CHAIN_SUPPLIERS","RELATIONSHIP_AS_OF_DATE","19990517")</f>
        <v/>
      </c>
      <c r="CH5">
        <f>BDS("605018Q US Equity","SUPPLY_CHAIN_CUSTOMERS","RELATIONSHIP_AS_OF_DATE","19990517")</f>
        <v/>
      </c>
      <c r="CM5">
        <f>BDS("ACC US Equity","SUPPLY_CHAIN_SUPPLIERS","RELATIONSHIP_AS_OF_DATE","20080212")</f>
        <v/>
      </c>
      <c r="CR5">
        <f>BDS("ACC US Equity","SUPPLY_CHAIN_CUSTOMERS","RELATIONSHIP_AS_OF_DATE","20080212")</f>
        <v/>
      </c>
      <c r="CW5">
        <f>BDS("MSFT US Equity","SUPPLY_CHAIN_SUPPLIERS","RELATIONSHIP_AS_OF_DATE","20001221")</f>
        <v/>
      </c>
      <c r="DB5">
        <f>BDS("MSFT US Equity","SUPPLY_CHAIN_CUSTOMERS","RELATIONSHIP_AS_OF_DATE","20001221")</f>
        <v/>
      </c>
      <c r="DG5">
        <f>BDS("EFX US Equity","SUPPLY_CHAIN_SUPPLIERS","RELATIONSHIP_AS_OF_DATE","20070214")</f>
        <v/>
      </c>
      <c r="DL5">
        <f>BDS("EFX US Equity","SUPPLY_CHAIN_CUSTOMERS","RELATIONSHIP_AS_OF_DATE","20070214")</f>
        <v/>
      </c>
      <c r="DQ5">
        <f>BDS("CVS US Equity","SUPPLY_CHAIN_SUPPLIERS","RELATIONSHIP_AS_OF_DATE","19980209")</f>
        <v/>
      </c>
      <c r="DV5">
        <f>BDS("CVS US Equity","SUPPLY_CHAIN_CUSTOMERS","RELATIONSHIP_AS_OF_DATE","19980209")</f>
        <v/>
      </c>
      <c r="EA5">
        <f>BDS("GE US Equity","SUPPLY_CHAIN_SUPPLIERS","RELATIONSHIP_AS_OF_DATE","20050929")</f>
        <v/>
      </c>
      <c r="EF5">
        <f>BDS("GE US Equity","SUPPLY_CHAIN_CUSTOMERS","RELATIONSHIP_AS_OF_DATE","20050929")</f>
        <v/>
      </c>
      <c r="EK5">
        <f>BDS("MWE US Equity","SUPPLY_CHAIN_SUPPLIERS","RELATIONSHIP_AS_OF_DATE","20070906")</f>
        <v/>
      </c>
      <c r="EP5">
        <f>BDS("MWE US Equity","SUPPLY_CHAIN_CUSTOMERS","RELATIONSHIP_AS_OF_DATE","20070906")</f>
        <v/>
      </c>
      <c r="EU5">
        <f>BDS("PFE US Equity","SUPPLY_CHAIN_SUPPLIERS","RELATIONSHIP_AS_OF_DATE","20031221")</f>
        <v/>
      </c>
      <c r="EZ5">
        <f>BDS("PFE US Equity","SUPPLY_CHAIN_CUSTOMERS","RELATIONSHIP_AS_OF_DATE","20031221")</f>
        <v/>
      </c>
      <c r="FE5">
        <f>BDS("JNJ US Equity","SUPPLY_CHAIN_SUPPLIERS","RELATIONSHIP_AS_OF_DATE","20010523")</f>
        <v/>
      </c>
      <c r="FJ5">
        <f>BDS("JNJ US Equity","SUPPLY_CHAIN_CUSTOMERS","RELATIONSHIP_AS_OF_DATE","20010523")</f>
        <v/>
      </c>
      <c r="FO5">
        <f>BDS("VRSN US Equity","SUPPLY_CHAIN_SUPPLIERS","RELATIONSHIP_AS_OF_DATE","20010924")</f>
        <v/>
      </c>
      <c r="FT5">
        <f>BDS("VRSN US Equity","SUPPLY_CHAIN_CUSTOMERS","RELATIONSHIP_AS_OF_DATE","20010924")</f>
        <v/>
      </c>
      <c r="FY5">
        <f>BDS("AIG US Equity","SUPPLY_CHAIN_SUPPLIERS","RELATIONSHIP_AS_OF_DATE","20000818")</f>
        <v/>
      </c>
      <c r="GD5">
        <f>BDS("AIG US Equity","SUPPLY_CHAIN_CUSTOMERS","RELATIONSHIP_AS_OF_DATE","20000818")</f>
        <v/>
      </c>
      <c r="GI5">
        <f>BDS("EXE US Equity","SUPPLY_CHAIN_SUPPLIERS","RELATIONSHIP_AS_OF_DATE","20181030")</f>
        <v/>
      </c>
      <c r="GN5">
        <f>BDS("EXE US Equity","SUPPLY_CHAIN_CUSTOMERS","RELATIONSHIP_AS_OF_DATE","20181030")</f>
        <v/>
      </c>
      <c r="GS5">
        <f>BDS("TCF US Equity","SUPPLY_CHAIN_SUPPLIERS","RELATIONSHIP_AS_OF_DATE","20160126")</f>
        <v/>
      </c>
      <c r="GX5">
        <f>BDS("TCF US Equity","SUPPLY_CHAIN_CUSTOMERS","RELATIONSHIP_AS_OF_DATE","20160126")</f>
        <v/>
      </c>
      <c r="HC5">
        <f>BDS("RS US Equity","SUPPLY_CHAIN_SUPPLIERS","RELATIONSHIP_AS_OF_DATE","20130206")</f>
        <v/>
      </c>
      <c r="HH5">
        <f>BDS("RS US Equity","SUPPLY_CHAIN_CUSTOMERS","RELATIONSHIP_AS_OF_DATE","20130206")</f>
        <v/>
      </c>
      <c r="HM5">
        <f>BDS("INDB US Equity","SUPPLY_CHAIN_SUPPLIERS","RELATIONSHIP_AS_OF_DATE","20210422")</f>
        <v/>
      </c>
      <c r="HR5">
        <f>BDS("INDB US Equity","SUPPLY_CHAIN_CUSTOMERS","RELATIONSHIP_AS_OF_DATE","20210422")</f>
        <v/>
      </c>
      <c r="HW5">
        <f>BDS("ASCMA US Equity","SUPPLY_CHAIN_SUPPLIERS","RELATIONSHIP_AS_OF_DATE","20101217")</f>
        <v/>
      </c>
      <c r="IB5">
        <f>BDS("ASCMA US Equity","SUPPLY_CHAIN_CUSTOMERS","RELATIONSHIP_AS_OF_DATE","20101217")</f>
        <v/>
      </c>
      <c r="IG5">
        <f>BDS("LEN US Equity","SUPPLY_CHAIN_SUPPLIERS","RELATIONSHIP_AS_OF_DATE","20000217")</f>
        <v/>
      </c>
      <c r="IL5">
        <f>BDS("LEN US Equity","SUPPLY_CHAIN_CUSTOMERS","RELATIONSHIP_AS_OF_DATE","20000217")</f>
        <v/>
      </c>
      <c r="IQ5">
        <f>BDS("SCI US Equity","SUPPLY_CHAIN_SUPPLIERS","RELATIONSHIP_AS_OF_DATE","20060403")</f>
        <v/>
      </c>
      <c r="IV5">
        <f>BDS("SCI US Equity","SUPPLY_CHAIN_CUSTOMERS","RELATIONSHIP_AS_OF_DATE","20060403")</f>
        <v/>
      </c>
      <c r="JA5">
        <f>BDS("BWA US Equity","SUPPLY_CHAIN_SUPPLIERS","RELATIONSHIP_AS_OF_DATE","20150713")</f>
        <v/>
      </c>
      <c r="JF5">
        <f>BDS("BWA US Equity","SUPPLY_CHAIN_CUSTOMERS","RELATIONSHIP_AS_OF_DATE","20150713")</f>
        <v/>
      </c>
      <c r="JK5">
        <f>BDS("PWR US Equity","SUPPLY_CHAIN_SUPPLIERS","RELATIONSHIP_AS_OF_DATE","20070319")</f>
        <v/>
      </c>
      <c r="JP5">
        <f>BDS("PWR US Equity","SUPPLY_CHAIN_CUSTOMERS","RELATIONSHIP_AS_OF_DATE","20070319")</f>
        <v/>
      </c>
      <c r="JU5">
        <f>BDS("CMA US Equity","SUPPLY_CHAIN_SUPPLIERS","RELATIONSHIP_AS_OF_DATE","20001101")</f>
        <v/>
      </c>
      <c r="JZ5">
        <f>BDS("CMA US Equity","SUPPLY_CHAIN_CUSTOMERS","RELATIONSHIP_AS_OF_DATE","20001101")</f>
        <v/>
      </c>
      <c r="KE5">
        <f>BDS("TQNT US Equity","SUPPLY_CHAIN_SUPPLIERS","RELATIONSHIP_AS_OF_DATE","20010515")</f>
        <v/>
      </c>
      <c r="KJ5">
        <f>BDS("TQNT US Equity","SUPPLY_CHAIN_CUSTOMERS","RELATIONSHIP_AS_OF_DATE","20010515")</f>
        <v/>
      </c>
      <c r="KO5">
        <f>BDS("WELL US Equity","SUPPLY_CHAIN_SUPPLIERS","RELATIONSHIP_AS_OF_DATE","20120822")</f>
        <v/>
      </c>
      <c r="KT5">
        <f>BDS("WELL US Equity","SUPPLY_CHAIN_CUSTOMERS","RELATIONSHIP_AS_OF_DATE","20120822")</f>
        <v/>
      </c>
      <c r="KY5">
        <f>BDS("LVLT US Equity","SUPPLY_CHAIN_SUPPLIERS","RELATIONSHIP_AS_OF_DATE","20061017")</f>
        <v/>
      </c>
      <c r="LD5">
        <f>BDS("LVLT US Equity","SUPPLY_CHAIN_CUSTOMERS","RELATIONSHIP_AS_OF_DATE","20061017")</f>
        <v/>
      </c>
      <c r="LI5">
        <f>BDS("DHI US Equity","SUPPLY_CHAIN_SUPPLIERS","RELATIONSHIP_AS_OF_DATE","20011023")</f>
        <v/>
      </c>
      <c r="LN5">
        <f>BDS("DHI US Equity","SUPPLY_CHAIN_CUSTOMERS","RELATIONSHIP_AS_OF_DATE","20011023")</f>
        <v/>
      </c>
      <c r="LS5">
        <f>BDS("BOKF US Equity","SUPPLY_CHAIN_SUPPLIERS","RELATIONSHIP_AS_OF_DATE","20180618")</f>
        <v/>
      </c>
      <c r="LX5">
        <f>BDS("BOKF US Equity","SUPPLY_CHAIN_CUSTOMERS","RELATIONSHIP_AS_OF_DATE","20180618")</f>
        <v/>
      </c>
      <c r="MC5">
        <f>BDS("RAH US Equity","SUPPLY_CHAIN_SUPPLIERS","RELATIONSHIP_AS_OF_DATE","20100621")</f>
        <v/>
      </c>
      <c r="MH5">
        <f>BDS("RAH US Equity","SUPPLY_CHAIN_CUSTOMERS","RELATIONSHIP_AS_OF_DATE","20100621")</f>
        <v/>
      </c>
      <c r="MM5">
        <f>BDS("HQY US Equity","SUPPLY_CHAIN_SUPPLIERS","RELATIONSHIP_AS_OF_DATE","20190627")</f>
        <v/>
      </c>
      <c r="MR5">
        <f>BDS("HQY US Equity","SUPPLY_CHAIN_CUSTOMERS","RELATIONSHIP_AS_OF_DATE","20190627")</f>
        <v/>
      </c>
      <c r="MW5">
        <f>BDS("TFC US Equity","SUPPLY_CHAIN_SUPPLIERS","RELATIONSHIP_AS_OF_DATE","20000207")</f>
        <v/>
      </c>
      <c r="NB5">
        <f>BDS("TFC US Equity","SUPPLY_CHAIN_CUSTOMERS","RELATIONSHIP_AS_OF_DATE","20000207")</f>
        <v/>
      </c>
      <c r="NG5">
        <f>BDS("FDX US Equity","SUPPLY_CHAIN_SUPPLIERS","RELATIONSHIP_AS_OF_DATE","20001113")</f>
        <v/>
      </c>
      <c r="NL5">
        <f>BDS("FDX US Equity","SUPPLY_CHAIN_CUSTOMERS","RELATIONSHIP_AS_OF_DATE","20001113")</f>
        <v/>
      </c>
      <c r="NQ5">
        <f>BDS("SIG US Equity","SUPPLY_CHAIN_SUPPLIERS","RELATIONSHIP_AS_OF_DATE","20140219")</f>
        <v/>
      </c>
      <c r="NV5">
        <f>BDS("SIG US Equity","SUPPLY_CHAIN_CUSTOMERS","RELATIONSHIP_AS_OF_DATE","20140219")</f>
        <v/>
      </c>
      <c r="OA5">
        <f>BDS("0202445Q US Equity","SUPPLY_CHAIN_SUPPLIERS","RELATIONSHIP_AS_OF_DATE","20060425")</f>
        <v/>
      </c>
      <c r="OF5">
        <f>BDS("0202445Q US Equity","SUPPLY_CHAIN_CUSTOMERS","RELATIONSHIP_AS_OF_DATE","20060425")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1281</t>
        </is>
      </c>
      <c r="K1" s="1" t="inlineStr">
        <is>
          <t>Deal 1282</t>
        </is>
      </c>
      <c r="U1" s="1" t="inlineStr">
        <is>
          <t>Deal 1283</t>
        </is>
      </c>
      <c r="AE1" s="1" t="inlineStr">
        <is>
          <t>Deal 1284</t>
        </is>
      </c>
      <c r="AO1" s="1" t="inlineStr">
        <is>
          <t>Deal 1285</t>
        </is>
      </c>
      <c r="AY1" s="1" t="inlineStr">
        <is>
          <t>Deal 1286</t>
        </is>
      </c>
      <c r="BI1" s="1" t="inlineStr">
        <is>
          <t>Deal 1287</t>
        </is>
      </c>
      <c r="BS1" s="1" t="inlineStr">
        <is>
          <t>Deal 1288</t>
        </is>
      </c>
      <c r="CC1" s="1" t="inlineStr">
        <is>
          <t>Deal 1289</t>
        </is>
      </c>
      <c r="CM1" s="1" t="inlineStr">
        <is>
          <t>Deal 1290</t>
        </is>
      </c>
      <c r="CW1" s="1" t="inlineStr">
        <is>
          <t>Deal 1291</t>
        </is>
      </c>
      <c r="DG1" s="1" t="inlineStr">
        <is>
          <t>Deal 1292</t>
        </is>
      </c>
      <c r="DQ1" s="1" t="inlineStr">
        <is>
          <t>Deal 1293</t>
        </is>
      </c>
      <c r="EA1" s="1" t="inlineStr">
        <is>
          <t>Deal 1294</t>
        </is>
      </c>
      <c r="EK1" s="1" t="inlineStr">
        <is>
          <t>Deal 1295</t>
        </is>
      </c>
      <c r="EU1" s="1" t="inlineStr">
        <is>
          <t>Deal 1296</t>
        </is>
      </c>
      <c r="FE1" s="1" t="inlineStr">
        <is>
          <t>Deal 1297</t>
        </is>
      </c>
      <c r="FO1" s="1" t="inlineStr">
        <is>
          <t>Deal 1298</t>
        </is>
      </c>
      <c r="FY1" s="1" t="inlineStr">
        <is>
          <t>Deal 1299</t>
        </is>
      </c>
      <c r="GI1" s="1" t="inlineStr">
        <is>
          <t>Deal 1300</t>
        </is>
      </c>
      <c r="GS1" s="1" t="inlineStr">
        <is>
          <t>Deal 1301</t>
        </is>
      </c>
      <c r="HC1" s="1" t="inlineStr">
        <is>
          <t>Deal 1302</t>
        </is>
      </c>
      <c r="HM1" s="1" t="inlineStr">
        <is>
          <t>Deal 1303</t>
        </is>
      </c>
      <c r="HW1" s="1" t="inlineStr">
        <is>
          <t>Deal 1304</t>
        </is>
      </c>
      <c r="IG1" s="1" t="inlineStr">
        <is>
          <t>Deal 1305</t>
        </is>
      </c>
      <c r="IQ1" s="1" t="inlineStr">
        <is>
          <t>Deal 1306</t>
        </is>
      </c>
      <c r="JA1" s="1" t="inlineStr">
        <is>
          <t>Deal 1307</t>
        </is>
      </c>
      <c r="JK1" s="1" t="inlineStr">
        <is>
          <t>Deal 1308</t>
        </is>
      </c>
      <c r="JU1" s="1" t="inlineStr">
        <is>
          <t>Deal 1309</t>
        </is>
      </c>
      <c r="KE1" s="1" t="inlineStr">
        <is>
          <t>Deal 1310</t>
        </is>
      </c>
      <c r="KO1" s="1" t="inlineStr">
        <is>
          <t>Deal 1311</t>
        </is>
      </c>
      <c r="KY1" s="1" t="inlineStr">
        <is>
          <t>Deal 1312</t>
        </is>
      </c>
      <c r="LI1" s="1" t="inlineStr">
        <is>
          <t>Deal 1313</t>
        </is>
      </c>
      <c r="LS1" s="1" t="inlineStr">
        <is>
          <t>Deal 1314</t>
        </is>
      </c>
      <c r="MC1" s="1" t="inlineStr">
        <is>
          <t>Deal 1315</t>
        </is>
      </c>
      <c r="MM1" s="1" t="inlineStr">
        <is>
          <t>Deal 1316</t>
        </is>
      </c>
      <c r="MW1" s="1" t="inlineStr">
        <is>
          <t>Deal 1317</t>
        </is>
      </c>
      <c r="NG1" s="1" t="inlineStr">
        <is>
          <t>Deal 1318</t>
        </is>
      </c>
      <c r="NQ1" s="1" t="inlineStr">
        <is>
          <t>Deal 1319</t>
        </is>
      </c>
      <c r="OA1" s="1" t="inlineStr">
        <is>
          <t>Deal 1320</t>
        </is>
      </c>
    </row>
    <row r="2">
      <c r="A2" s="2" t="inlineStr">
        <is>
          <t>AMC US Equity</t>
        </is>
      </c>
      <c r="K2" s="2" t="inlineStr">
        <is>
          <t>0848680D US Equity</t>
        </is>
      </c>
      <c r="U2" s="2" t="inlineStr">
        <is>
          <t>MPANQ US Equity</t>
        </is>
      </c>
      <c r="AE2" s="2" t="inlineStr">
        <is>
          <t>MTCH US Equity</t>
        </is>
      </c>
      <c r="AO2" s="2" t="inlineStr">
        <is>
          <t>BX US Equity</t>
        </is>
      </c>
      <c r="AY2" s="2" t="inlineStr">
        <is>
          <t>JAH US Equity</t>
        </is>
      </c>
      <c r="BI2" s="2" t="inlineStr">
        <is>
          <t>1541946D US Equity</t>
        </is>
      </c>
      <c r="BS2" s="2" t="inlineStr">
        <is>
          <t>COO US Equity</t>
        </is>
      </c>
      <c r="CC2" s="2" t="inlineStr">
        <is>
          <t>ED US Equity</t>
        </is>
      </c>
      <c r="CM2" s="2" t="inlineStr">
        <is>
          <t>1986522D US Equity</t>
        </is>
      </c>
      <c r="CW2" s="2" t="inlineStr">
        <is>
          <t>EMR US Equity</t>
        </is>
      </c>
      <c r="DG2" s="2" t="inlineStr">
        <is>
          <t>WSC US Equity</t>
        </is>
      </c>
      <c r="DQ2" s="2" t="inlineStr">
        <is>
          <t>VCI US Equity</t>
        </is>
      </c>
      <c r="EA2" s="2" t="inlineStr">
        <is>
          <t>SRTOQ US Equity</t>
        </is>
      </c>
      <c r="EK2" s="2" t="inlineStr">
        <is>
          <t>9876544D US Equity</t>
        </is>
      </c>
      <c r="EU2" s="2" t="inlineStr">
        <is>
          <t>2596516D US Equity</t>
        </is>
      </c>
      <c r="FE2" s="2" t="inlineStr">
        <is>
          <t>MATV US Equity</t>
        </is>
      </c>
      <c r="FO2" s="2" t="inlineStr">
        <is>
          <t>838969Q US Equity</t>
        </is>
      </c>
      <c r="FY2" s="2" t="inlineStr">
        <is>
          <t>NCC US Equity</t>
        </is>
      </c>
      <c r="GI2" s="2" t="inlineStr">
        <is>
          <t>WINMQ US Equity</t>
        </is>
      </c>
      <c r="GS2" s="2" t="inlineStr">
        <is>
          <t>BAC US Equity</t>
        </is>
      </c>
      <c r="HC2" s="2" t="inlineStr">
        <is>
          <t>STJ US Equity</t>
        </is>
      </c>
      <c r="HM2" s="2" t="inlineStr">
        <is>
          <t>PPC US Equity</t>
        </is>
      </c>
      <c r="HW2" s="2" t="inlineStr">
        <is>
          <t>HTO US Equity</t>
        </is>
      </c>
      <c r="IG2" s="2" t="inlineStr">
        <is>
          <t>IBM US Equity</t>
        </is>
      </c>
      <c r="IQ2" s="2" t="inlineStr">
        <is>
          <t>JNJ US Equity</t>
        </is>
      </c>
      <c r="JA2" s="2" t="inlineStr">
        <is>
          <t>NS US Equity</t>
        </is>
      </c>
      <c r="JK2" s="2" t="inlineStr">
        <is>
          <t>AKS US Equity</t>
        </is>
      </c>
      <c r="JU2" s="2" t="inlineStr">
        <is>
          <t>FTRCQ US Equity</t>
        </is>
      </c>
      <c r="KE2" s="2" t="inlineStr">
        <is>
          <t>TMO US Equity</t>
        </is>
      </c>
      <c r="KO2" s="2" t="inlineStr">
        <is>
          <t>ON US Equity</t>
        </is>
      </c>
      <c r="KY2" s="2" t="inlineStr">
        <is>
          <t>118569Q US Equity</t>
        </is>
      </c>
      <c r="LI2" s="2" t="inlineStr">
        <is>
          <t>ABT US Equity</t>
        </is>
      </c>
      <c r="LS2" s="2" t="inlineStr">
        <is>
          <t>1255173D US Equity</t>
        </is>
      </c>
      <c r="MC2" s="2" t="inlineStr">
        <is>
          <t>VYX US Equity</t>
        </is>
      </c>
      <c r="MM2" s="2" t="inlineStr">
        <is>
          <t>PBF US Equity</t>
        </is>
      </c>
      <c r="MW2" s="2" t="inlineStr">
        <is>
          <t>WM US Equity</t>
        </is>
      </c>
      <c r="NG2" s="2" t="inlineStr">
        <is>
          <t>PRETQ US Equity</t>
        </is>
      </c>
      <c r="NQ2" s="2" t="inlineStr">
        <is>
          <t>SCHW US Equity</t>
        </is>
      </c>
      <c r="OA2" s="2" t="inlineStr">
        <is>
          <t>ATTM US Equity</t>
        </is>
      </c>
    </row>
    <row r="3">
      <c r="A3" t="inlineStr">
        <is>
          <t>Ann: 2016-03-03</t>
        </is>
      </c>
      <c r="K3" t="inlineStr">
        <is>
          <t>Ann: 2009-11-10</t>
        </is>
      </c>
      <c r="U3" t="inlineStr">
        <is>
          <t>Ann: 1998-04-13</t>
        </is>
      </c>
      <c r="AE3" t="inlineStr">
        <is>
          <t>Ann: 2003-04-10</t>
        </is>
      </c>
      <c r="AO3" t="inlineStr">
        <is>
          <t>Ann: 2004-10-20</t>
        </is>
      </c>
      <c r="AY3" t="inlineStr">
        <is>
          <t>Ann: 2007-04-25</t>
        </is>
      </c>
      <c r="BI3" t="inlineStr">
        <is>
          <t>Ann: 2004-11-09</t>
        </is>
      </c>
      <c r="BS3" t="inlineStr">
        <is>
          <t>Ann: 2004-07-28</t>
        </is>
      </c>
      <c r="CC3" t="inlineStr">
        <is>
          <t>Ann: 1998-05-11</t>
        </is>
      </c>
      <c r="CM3" t="inlineStr">
        <is>
          <t>Ann: 2008-01-28</t>
        </is>
      </c>
      <c r="CW3" t="inlineStr">
        <is>
          <t>Ann: 2009-10-06</t>
        </is>
      </c>
      <c r="DG3" t="inlineStr">
        <is>
          <t>Ann: 2018-06-22</t>
        </is>
      </c>
      <c r="DQ3" t="inlineStr">
        <is>
          <t>Ann: 2006-07-06</t>
        </is>
      </c>
      <c r="EA3" t="inlineStr">
        <is>
          <t>Ann: 1998-10-22</t>
        </is>
      </c>
      <c r="EK3" t="inlineStr">
        <is>
          <t>Ann: 2001-07-09</t>
        </is>
      </c>
      <c r="EU3" t="inlineStr">
        <is>
          <t>Ann: 2007-04-25</t>
        </is>
      </c>
      <c r="FE3" t="inlineStr">
        <is>
          <t>Ann: 2022-03-28</t>
        </is>
      </c>
      <c r="FO3" t="inlineStr">
        <is>
          <t>Ann: 1999-08-02</t>
        </is>
      </c>
      <c r="FY3" t="inlineStr">
        <is>
          <t>Ann: 2006-07-11</t>
        </is>
      </c>
      <c r="GI3" t="inlineStr">
        <is>
          <t>Ann: 2009-11-24</t>
        </is>
      </c>
      <c r="GS3" t="inlineStr">
        <is>
          <t>Ann: 2004-07-13</t>
        </is>
      </c>
      <c r="HC3" t="inlineStr">
        <is>
          <t>Ann: 2005-10-16</t>
        </is>
      </c>
      <c r="HM3" t="inlineStr">
        <is>
          <t>Ann: 2006-08-18</t>
        </is>
      </c>
      <c r="HW3" t="inlineStr">
        <is>
          <t>Ann: 2018-03-15</t>
        </is>
      </c>
      <c r="IG3" t="inlineStr">
        <is>
          <t>Ann: 2006-08-10</t>
        </is>
      </c>
      <c r="IQ3" t="inlineStr">
        <is>
          <t>Ann: 2008-12-01</t>
        </is>
      </c>
      <c r="JA3" t="inlineStr">
        <is>
          <t>Ann: 2004-11-01</t>
        </is>
      </c>
      <c r="JK3" t="inlineStr">
        <is>
          <t>Ann: 1999-05-21</t>
        </is>
      </c>
      <c r="JU3" t="inlineStr">
        <is>
          <t>Ann: 2006-09-18</t>
        </is>
      </c>
      <c r="KE3" t="inlineStr">
        <is>
          <t>Ann: 2016-01-08</t>
        </is>
      </c>
      <c r="KO3" t="inlineStr">
        <is>
          <t>Ann: 2007-12-13</t>
        </is>
      </c>
      <c r="KY3" t="inlineStr">
        <is>
          <t>Ann: 1998-06-18</t>
        </is>
      </c>
      <c r="LI3" t="inlineStr">
        <is>
          <t>Ann: 2004-01-13</t>
        </is>
      </c>
      <c r="LS3" t="inlineStr">
        <is>
          <t>Ann: 1999-04-26</t>
        </is>
      </c>
      <c r="MC3" t="inlineStr">
        <is>
          <t>Ann: 2011-07-11</t>
        </is>
      </c>
      <c r="MM3" t="inlineStr">
        <is>
          <t>Ann: 2022-07-28</t>
        </is>
      </c>
      <c r="MW3" t="inlineStr">
        <is>
          <t>Ann: 1998-08-17</t>
        </is>
      </c>
      <c r="NG3" t="inlineStr">
        <is>
          <t>Ann: 2003-05-14</t>
        </is>
      </c>
      <c r="NQ3" t="inlineStr">
        <is>
          <t>Ann: 2011-03-21</t>
        </is>
      </c>
      <c r="OA3" t="inlineStr">
        <is>
          <t>Ann: 2010-11-22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BDS("AMC US Equity","SUPPLY_CHAIN_SUPPLIERS","RELATIONSHIP_AS_OF_DATE","20160303")</f>
        <v/>
      </c>
      <c r="F5">
        <f>BDS("AMC US Equity","SUPPLY_CHAIN_CUSTOMERS","RELATIONSHIP_AS_OF_DATE","20160303")</f>
        <v/>
      </c>
      <c r="K5">
        <f>BDS("0848680D US Equity","SUPPLY_CHAIN_SUPPLIERS","RELATIONSHIP_AS_OF_DATE","20091110")</f>
        <v/>
      </c>
      <c r="P5">
        <f>BDS("0848680D US Equity","SUPPLY_CHAIN_CUSTOMERS","RELATIONSHIP_AS_OF_DATE","20091110")</f>
        <v/>
      </c>
      <c r="U5">
        <f>BDS("MPANQ US Equity","SUPPLY_CHAIN_SUPPLIERS","RELATIONSHIP_AS_OF_DATE","19980413")</f>
        <v/>
      </c>
      <c r="Z5">
        <f>BDS("MPANQ US Equity","SUPPLY_CHAIN_CUSTOMERS","RELATIONSHIP_AS_OF_DATE","19980413")</f>
        <v/>
      </c>
      <c r="AE5">
        <f>BDS("MTCH US Equity","SUPPLY_CHAIN_SUPPLIERS","RELATIONSHIP_AS_OF_DATE","20030410")</f>
        <v/>
      </c>
      <c r="AJ5">
        <f>BDS("MTCH US Equity","SUPPLY_CHAIN_CUSTOMERS","RELATIONSHIP_AS_OF_DATE","20030410")</f>
        <v/>
      </c>
      <c r="AO5">
        <f>BDS("BX US Equity","SUPPLY_CHAIN_SUPPLIERS","RELATIONSHIP_AS_OF_DATE","20041020")</f>
        <v/>
      </c>
      <c r="AT5">
        <f>BDS("BX US Equity","SUPPLY_CHAIN_CUSTOMERS","RELATIONSHIP_AS_OF_DATE","20041020")</f>
        <v/>
      </c>
      <c r="AY5">
        <f>BDS("JAH US Equity","SUPPLY_CHAIN_SUPPLIERS","RELATIONSHIP_AS_OF_DATE","20070425")</f>
        <v/>
      </c>
      <c r="BD5">
        <f>BDS("JAH US Equity","SUPPLY_CHAIN_CUSTOMERS","RELATIONSHIP_AS_OF_DATE","20070425")</f>
        <v/>
      </c>
      <c r="BI5">
        <f>BDS("1541946D US Equity","SUPPLY_CHAIN_SUPPLIERS","RELATIONSHIP_AS_OF_DATE","20041109")</f>
        <v/>
      </c>
      <c r="BN5">
        <f>BDS("1541946D US Equity","SUPPLY_CHAIN_CUSTOMERS","RELATIONSHIP_AS_OF_DATE","20041109")</f>
        <v/>
      </c>
      <c r="BS5">
        <f>BDS("COO US Equity","SUPPLY_CHAIN_SUPPLIERS","RELATIONSHIP_AS_OF_DATE","20040728")</f>
        <v/>
      </c>
      <c r="BX5">
        <f>BDS("COO US Equity","SUPPLY_CHAIN_CUSTOMERS","RELATIONSHIP_AS_OF_DATE","20040728")</f>
        <v/>
      </c>
      <c r="CC5">
        <f>BDS("ED US Equity","SUPPLY_CHAIN_SUPPLIERS","RELATIONSHIP_AS_OF_DATE","19980511")</f>
        <v/>
      </c>
      <c r="CH5">
        <f>BDS("ED US Equity","SUPPLY_CHAIN_CUSTOMERS","RELATIONSHIP_AS_OF_DATE","19980511")</f>
        <v/>
      </c>
      <c r="CM5">
        <f>BDS("1986522D US Equity","SUPPLY_CHAIN_SUPPLIERS","RELATIONSHIP_AS_OF_DATE","20080128")</f>
        <v/>
      </c>
      <c r="CR5">
        <f>BDS("1986522D US Equity","SUPPLY_CHAIN_CUSTOMERS","RELATIONSHIP_AS_OF_DATE","20080128")</f>
        <v/>
      </c>
      <c r="CW5">
        <f>BDS("EMR US Equity","SUPPLY_CHAIN_SUPPLIERS","RELATIONSHIP_AS_OF_DATE","20091006")</f>
        <v/>
      </c>
      <c r="DB5">
        <f>BDS("EMR US Equity","SUPPLY_CHAIN_CUSTOMERS","RELATIONSHIP_AS_OF_DATE","20091006")</f>
        <v/>
      </c>
      <c r="DG5">
        <f>BDS("WSC US Equity","SUPPLY_CHAIN_SUPPLIERS","RELATIONSHIP_AS_OF_DATE","20180622")</f>
        <v/>
      </c>
      <c r="DL5">
        <f>BDS("WSC US Equity","SUPPLY_CHAIN_CUSTOMERS","RELATIONSHIP_AS_OF_DATE","20180622")</f>
        <v/>
      </c>
      <c r="DQ5">
        <f>BDS("VCI US Equity","SUPPLY_CHAIN_SUPPLIERS","RELATIONSHIP_AS_OF_DATE","20060706")</f>
        <v/>
      </c>
      <c r="DV5">
        <f>BDS("VCI US Equity","SUPPLY_CHAIN_CUSTOMERS","RELATIONSHIP_AS_OF_DATE","20060706")</f>
        <v/>
      </c>
      <c r="EA5">
        <f>BDS("SRTOQ US Equity","SUPPLY_CHAIN_SUPPLIERS","RELATIONSHIP_AS_OF_DATE","19981022")</f>
        <v/>
      </c>
      <c r="EF5">
        <f>BDS("SRTOQ US Equity","SUPPLY_CHAIN_CUSTOMERS","RELATIONSHIP_AS_OF_DATE","19981022")</f>
        <v/>
      </c>
      <c r="EK5">
        <f>BDS("9876544D US Equity","SUPPLY_CHAIN_SUPPLIERS","RELATIONSHIP_AS_OF_DATE","20010709")</f>
        <v/>
      </c>
      <c r="EP5">
        <f>BDS("9876544D US Equity","SUPPLY_CHAIN_CUSTOMERS","RELATIONSHIP_AS_OF_DATE","20010709")</f>
        <v/>
      </c>
      <c r="EU5">
        <f>BDS("2596516D US Equity","SUPPLY_CHAIN_SUPPLIERS","RELATIONSHIP_AS_OF_DATE","20070425")</f>
        <v/>
      </c>
      <c r="EZ5">
        <f>BDS("2596516D US Equity","SUPPLY_CHAIN_CUSTOMERS","RELATIONSHIP_AS_OF_DATE","20070425")</f>
        <v/>
      </c>
      <c r="FE5">
        <f>BDS("MATV US Equity","SUPPLY_CHAIN_SUPPLIERS","RELATIONSHIP_AS_OF_DATE","20220328")</f>
        <v/>
      </c>
      <c r="FJ5">
        <f>BDS("MATV US Equity","SUPPLY_CHAIN_CUSTOMERS","RELATIONSHIP_AS_OF_DATE","20220328")</f>
        <v/>
      </c>
      <c r="FO5">
        <f>BDS("838969Q US Equity","SUPPLY_CHAIN_SUPPLIERS","RELATIONSHIP_AS_OF_DATE","19990802")</f>
        <v/>
      </c>
      <c r="FT5">
        <f>BDS("838969Q US Equity","SUPPLY_CHAIN_CUSTOMERS","RELATIONSHIP_AS_OF_DATE","19990802")</f>
        <v/>
      </c>
      <c r="FY5">
        <f>BDS("NCC US Equity","SUPPLY_CHAIN_SUPPLIERS","RELATIONSHIP_AS_OF_DATE","20060711")</f>
        <v/>
      </c>
      <c r="GD5">
        <f>BDS("NCC US Equity","SUPPLY_CHAIN_CUSTOMERS","RELATIONSHIP_AS_OF_DATE","20060711")</f>
        <v/>
      </c>
      <c r="GI5">
        <f>BDS("WINMQ US Equity","SUPPLY_CHAIN_SUPPLIERS","RELATIONSHIP_AS_OF_DATE","20091124")</f>
        <v/>
      </c>
      <c r="GN5">
        <f>BDS("WINMQ US Equity","SUPPLY_CHAIN_CUSTOMERS","RELATIONSHIP_AS_OF_DATE","20091124")</f>
        <v/>
      </c>
      <c r="GS5">
        <f>BDS("BAC US Equity","SUPPLY_CHAIN_SUPPLIERS","RELATIONSHIP_AS_OF_DATE","20040713")</f>
        <v/>
      </c>
      <c r="GX5">
        <f>BDS("BAC US Equity","SUPPLY_CHAIN_CUSTOMERS","RELATIONSHIP_AS_OF_DATE","20040713")</f>
        <v/>
      </c>
      <c r="HC5">
        <f>BDS("STJ US Equity","SUPPLY_CHAIN_SUPPLIERS","RELATIONSHIP_AS_OF_DATE","20051016")</f>
        <v/>
      </c>
      <c r="HH5">
        <f>BDS("STJ US Equity","SUPPLY_CHAIN_CUSTOMERS","RELATIONSHIP_AS_OF_DATE","20051016")</f>
        <v/>
      </c>
      <c r="HM5">
        <f>BDS("PPC US Equity","SUPPLY_CHAIN_SUPPLIERS","RELATIONSHIP_AS_OF_DATE","20060818")</f>
        <v/>
      </c>
      <c r="HR5">
        <f>BDS("PPC US Equity","SUPPLY_CHAIN_CUSTOMERS","RELATIONSHIP_AS_OF_DATE","20060818")</f>
        <v/>
      </c>
      <c r="HW5">
        <f>BDS("HTO US Equity","SUPPLY_CHAIN_SUPPLIERS","RELATIONSHIP_AS_OF_DATE","20180315")</f>
        <v/>
      </c>
      <c r="IB5">
        <f>BDS("HTO US Equity","SUPPLY_CHAIN_CUSTOMERS","RELATIONSHIP_AS_OF_DATE","20180315")</f>
        <v/>
      </c>
      <c r="IG5">
        <f>BDS("IBM US Equity","SUPPLY_CHAIN_SUPPLIERS","RELATIONSHIP_AS_OF_DATE","20060810")</f>
        <v/>
      </c>
      <c r="IL5">
        <f>BDS("IBM US Equity","SUPPLY_CHAIN_CUSTOMERS","RELATIONSHIP_AS_OF_DATE","20060810")</f>
        <v/>
      </c>
      <c r="IQ5">
        <f>BDS("JNJ US Equity","SUPPLY_CHAIN_SUPPLIERS","RELATIONSHIP_AS_OF_DATE","20081201")</f>
        <v/>
      </c>
      <c r="IV5">
        <f>BDS("JNJ US Equity","SUPPLY_CHAIN_CUSTOMERS","RELATIONSHIP_AS_OF_DATE","20081201")</f>
        <v/>
      </c>
      <c r="JA5">
        <f>BDS("NS US Equity","SUPPLY_CHAIN_SUPPLIERS","RELATIONSHIP_AS_OF_DATE","20041101")</f>
        <v/>
      </c>
      <c r="JF5">
        <f>BDS("NS US Equity","SUPPLY_CHAIN_CUSTOMERS","RELATIONSHIP_AS_OF_DATE","20041101")</f>
        <v/>
      </c>
      <c r="JK5">
        <f>BDS("AKS US Equity","SUPPLY_CHAIN_SUPPLIERS","RELATIONSHIP_AS_OF_DATE","19990521")</f>
        <v/>
      </c>
      <c r="JP5">
        <f>BDS("AKS US Equity","SUPPLY_CHAIN_CUSTOMERS","RELATIONSHIP_AS_OF_DATE","19990521")</f>
        <v/>
      </c>
      <c r="JU5">
        <f>BDS("FTRCQ US Equity","SUPPLY_CHAIN_SUPPLIERS","RELATIONSHIP_AS_OF_DATE","20060918")</f>
        <v/>
      </c>
      <c r="JZ5">
        <f>BDS("FTRCQ US Equity","SUPPLY_CHAIN_CUSTOMERS","RELATIONSHIP_AS_OF_DATE","20060918")</f>
        <v/>
      </c>
      <c r="KE5">
        <f>BDS("TMO US Equity","SUPPLY_CHAIN_SUPPLIERS","RELATIONSHIP_AS_OF_DATE","20160108")</f>
        <v/>
      </c>
      <c r="KJ5">
        <f>BDS("TMO US Equity","SUPPLY_CHAIN_CUSTOMERS","RELATIONSHIP_AS_OF_DATE","20160108")</f>
        <v/>
      </c>
      <c r="KO5">
        <f>BDS("ON US Equity","SUPPLY_CHAIN_SUPPLIERS","RELATIONSHIP_AS_OF_DATE","20071213")</f>
        <v/>
      </c>
      <c r="KT5">
        <f>BDS("ON US Equity","SUPPLY_CHAIN_CUSTOMERS","RELATIONSHIP_AS_OF_DATE","20071213")</f>
        <v/>
      </c>
      <c r="KY5">
        <f>BDS("118569Q US Equity","SUPPLY_CHAIN_SUPPLIERS","RELATIONSHIP_AS_OF_DATE","19980618")</f>
        <v/>
      </c>
      <c r="LD5">
        <f>BDS("118569Q US Equity","SUPPLY_CHAIN_CUSTOMERS","RELATIONSHIP_AS_OF_DATE","19980618")</f>
        <v/>
      </c>
      <c r="LI5">
        <f>BDS("ABT US Equity","SUPPLY_CHAIN_SUPPLIERS","RELATIONSHIP_AS_OF_DATE","20040113")</f>
        <v/>
      </c>
      <c r="LN5">
        <f>BDS("ABT US Equity","SUPPLY_CHAIN_CUSTOMERS","RELATIONSHIP_AS_OF_DATE","20040113")</f>
        <v/>
      </c>
      <c r="LS5">
        <f>BDS("1255173D US Equity","SUPPLY_CHAIN_SUPPLIERS","RELATIONSHIP_AS_OF_DATE","19990426")</f>
        <v/>
      </c>
      <c r="LX5">
        <f>BDS("1255173D US Equity","SUPPLY_CHAIN_CUSTOMERS","RELATIONSHIP_AS_OF_DATE","19990426")</f>
        <v/>
      </c>
      <c r="MC5">
        <f>BDS("VYX US Equity","SUPPLY_CHAIN_SUPPLIERS","RELATIONSHIP_AS_OF_DATE","20110711")</f>
        <v/>
      </c>
      <c r="MH5">
        <f>BDS("VYX US Equity","SUPPLY_CHAIN_CUSTOMERS","RELATIONSHIP_AS_OF_DATE","20110711")</f>
        <v/>
      </c>
      <c r="MM5">
        <f>BDS("PBF US Equity","SUPPLY_CHAIN_SUPPLIERS","RELATIONSHIP_AS_OF_DATE","20220728")</f>
        <v/>
      </c>
      <c r="MR5">
        <f>BDS("PBF US Equity","SUPPLY_CHAIN_CUSTOMERS","RELATIONSHIP_AS_OF_DATE","20220728")</f>
        <v/>
      </c>
      <c r="MW5">
        <f>BDS("WM US Equity","SUPPLY_CHAIN_SUPPLIERS","RELATIONSHIP_AS_OF_DATE","19980817")</f>
        <v/>
      </c>
      <c r="NB5">
        <f>BDS("WM US Equity","SUPPLY_CHAIN_CUSTOMERS","RELATIONSHIP_AS_OF_DATE","19980817")</f>
        <v/>
      </c>
      <c r="NG5">
        <f>BDS("PRETQ US Equity","SUPPLY_CHAIN_SUPPLIERS","RELATIONSHIP_AS_OF_DATE","20030514")</f>
        <v/>
      </c>
      <c r="NL5">
        <f>BDS("PRETQ US Equity","SUPPLY_CHAIN_CUSTOMERS","RELATIONSHIP_AS_OF_DATE","20030514")</f>
        <v/>
      </c>
      <c r="NQ5">
        <f>BDS("SCHW US Equity","SUPPLY_CHAIN_SUPPLIERS","RELATIONSHIP_AS_OF_DATE","20110321")</f>
        <v/>
      </c>
      <c r="NV5">
        <f>BDS("SCHW US Equity","SUPPLY_CHAIN_CUSTOMERS","RELATIONSHIP_AS_OF_DATE","20110321")</f>
        <v/>
      </c>
      <c r="OA5">
        <f>BDS("ATTM US Equity","SUPPLY_CHAIN_SUPPLIERS","RELATIONSHIP_AS_OF_DATE","20101122")</f>
        <v/>
      </c>
      <c r="OF5">
        <f>BDS("ATTM US Equity","SUPPLY_CHAIN_CUSTOMERS","RELATIONSHIP_AS_OF_DATE","20101122")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1321</t>
        </is>
      </c>
      <c r="K1" s="1" t="inlineStr">
        <is>
          <t>Deal 1322</t>
        </is>
      </c>
      <c r="U1" s="1" t="inlineStr">
        <is>
          <t>Deal 1323</t>
        </is>
      </c>
      <c r="AE1" s="1" t="inlineStr">
        <is>
          <t>Deal 1324</t>
        </is>
      </c>
      <c r="AO1" s="1" t="inlineStr">
        <is>
          <t>Deal 1325</t>
        </is>
      </c>
      <c r="AY1" s="1" t="inlineStr">
        <is>
          <t>Deal 1326</t>
        </is>
      </c>
      <c r="BI1" s="1" t="inlineStr">
        <is>
          <t>Deal 1327</t>
        </is>
      </c>
      <c r="BS1" s="1" t="inlineStr">
        <is>
          <t>Deal 1328</t>
        </is>
      </c>
      <c r="CC1" s="1" t="inlineStr">
        <is>
          <t>Deal 1329</t>
        </is>
      </c>
      <c r="CM1" s="1" t="inlineStr">
        <is>
          <t>Deal 1330</t>
        </is>
      </c>
      <c r="CW1" s="1" t="inlineStr">
        <is>
          <t>Deal 1331</t>
        </is>
      </c>
      <c r="DG1" s="1" t="inlineStr">
        <is>
          <t>Deal 1332</t>
        </is>
      </c>
      <c r="DQ1" s="1" t="inlineStr">
        <is>
          <t>Deal 1333</t>
        </is>
      </c>
      <c r="EA1" s="1" t="inlineStr">
        <is>
          <t>Deal 1334</t>
        </is>
      </c>
      <c r="EK1" s="1" t="inlineStr">
        <is>
          <t>Deal 1335</t>
        </is>
      </c>
      <c r="EU1" s="1" t="inlineStr">
        <is>
          <t>Deal 1336</t>
        </is>
      </c>
      <c r="FE1" s="1" t="inlineStr">
        <is>
          <t>Deal 1337</t>
        </is>
      </c>
      <c r="FO1" s="1" t="inlineStr">
        <is>
          <t>Deal 1338</t>
        </is>
      </c>
      <c r="FY1" s="1" t="inlineStr">
        <is>
          <t>Deal 1339</t>
        </is>
      </c>
      <c r="GI1" s="1" t="inlineStr">
        <is>
          <t>Deal 1340</t>
        </is>
      </c>
      <c r="GS1" s="1" t="inlineStr">
        <is>
          <t>Deal 1341</t>
        </is>
      </c>
      <c r="HC1" s="1" t="inlineStr">
        <is>
          <t>Deal 1342</t>
        </is>
      </c>
      <c r="HM1" s="1" t="inlineStr">
        <is>
          <t>Deal 1343</t>
        </is>
      </c>
      <c r="HW1" s="1" t="inlineStr">
        <is>
          <t>Deal 1344</t>
        </is>
      </c>
      <c r="IG1" s="1" t="inlineStr">
        <is>
          <t>Deal 1345</t>
        </is>
      </c>
      <c r="IQ1" s="1" t="inlineStr">
        <is>
          <t>Deal 1346</t>
        </is>
      </c>
      <c r="JA1" s="1" t="inlineStr">
        <is>
          <t>Deal 1347</t>
        </is>
      </c>
      <c r="JK1" s="1" t="inlineStr">
        <is>
          <t>Deal 1348</t>
        </is>
      </c>
      <c r="JU1" s="1" t="inlineStr">
        <is>
          <t>Deal 1349</t>
        </is>
      </c>
      <c r="KE1" s="1" t="inlineStr">
        <is>
          <t>Deal 1350</t>
        </is>
      </c>
      <c r="KO1" s="1" t="inlineStr">
        <is>
          <t>Deal 1351</t>
        </is>
      </c>
      <c r="KY1" s="1" t="inlineStr">
        <is>
          <t>Deal 1352</t>
        </is>
      </c>
      <c r="LI1" s="1" t="inlineStr">
        <is>
          <t>Deal 1353</t>
        </is>
      </c>
      <c r="LS1" s="1" t="inlineStr">
        <is>
          <t>Deal 1354</t>
        </is>
      </c>
      <c r="MC1" s="1" t="inlineStr">
        <is>
          <t>Deal 1355</t>
        </is>
      </c>
      <c r="MM1" s="1" t="inlineStr">
        <is>
          <t>Deal 1356</t>
        </is>
      </c>
      <c r="MW1" s="1" t="inlineStr">
        <is>
          <t>Deal 1357</t>
        </is>
      </c>
      <c r="NG1" s="1" t="inlineStr">
        <is>
          <t>Deal 1358</t>
        </is>
      </c>
      <c r="NQ1" s="1" t="inlineStr">
        <is>
          <t>Deal 1359</t>
        </is>
      </c>
      <c r="OA1" s="1" t="inlineStr">
        <is>
          <t>Deal 1360</t>
        </is>
      </c>
    </row>
    <row r="2">
      <c r="A2" s="2" t="inlineStr">
        <is>
          <t>FITB US Equity</t>
        </is>
      </c>
      <c r="K2" s="2" t="inlineStr">
        <is>
          <t>LOW US Equity</t>
        </is>
      </c>
      <c r="U2" s="2" t="inlineStr">
        <is>
          <t>CAR US Equity</t>
        </is>
      </c>
      <c r="AE2" s="2" t="inlineStr">
        <is>
          <t>9876566D US Equity</t>
        </is>
      </c>
      <c r="AO2" s="2" t="inlineStr">
        <is>
          <t>nan Equity</t>
        </is>
      </c>
      <c r="AY2" s="2" t="inlineStr">
        <is>
          <t>WINMQ US Equity</t>
        </is>
      </c>
      <c r="BI2" s="2" t="inlineStr">
        <is>
          <t>ACKH US Equity</t>
        </is>
      </c>
      <c r="BS2" s="2" t="inlineStr">
        <is>
          <t>WCOEQ US Equity</t>
        </is>
      </c>
      <c r="CC2" s="2" t="inlineStr">
        <is>
          <t>OMX US Equity</t>
        </is>
      </c>
      <c r="CM2" s="2" t="inlineStr">
        <is>
          <t>MNKTQ US Equity</t>
        </is>
      </c>
      <c r="CW2" s="2" t="inlineStr">
        <is>
          <t>EPD US Equity</t>
        </is>
      </c>
      <c r="DG2" s="2" t="inlineStr">
        <is>
          <t>MTB US Equity</t>
        </is>
      </c>
      <c r="DQ2" s="2" t="inlineStr">
        <is>
          <t>3406956Q US Equity</t>
        </is>
      </c>
      <c r="EA2" s="2" t="inlineStr">
        <is>
          <t>LUV US Equity</t>
        </is>
      </c>
      <c r="EK2" s="2" t="inlineStr">
        <is>
          <t>IBM US Equity</t>
        </is>
      </c>
      <c r="EU2" s="2" t="inlineStr">
        <is>
          <t>SNDK US Equity</t>
        </is>
      </c>
      <c r="FE2" s="2" t="inlineStr">
        <is>
          <t>3867693Z US Equity</t>
        </is>
      </c>
      <c r="FO2" s="2" t="inlineStr">
        <is>
          <t>CRBC US Equity</t>
        </is>
      </c>
      <c r="FY2" s="2" t="inlineStr">
        <is>
          <t>SPNX US Equity</t>
        </is>
      </c>
      <c r="GI2" s="2" t="inlineStr">
        <is>
          <t>NEX US Equity</t>
        </is>
      </c>
      <c r="GS2" s="2" t="inlineStr">
        <is>
          <t>9990819D US Equity</t>
        </is>
      </c>
      <c r="HC2" s="2" t="inlineStr">
        <is>
          <t>HOLX US Equity</t>
        </is>
      </c>
      <c r="HM2" s="2" t="inlineStr">
        <is>
          <t>BRCD US Equity</t>
        </is>
      </c>
      <c r="HW2" s="2" t="inlineStr">
        <is>
          <t>CAR US Equity</t>
        </is>
      </c>
      <c r="IG2" s="2" t="inlineStr">
        <is>
          <t>INSW US Equity</t>
        </is>
      </c>
      <c r="IQ2" s="2" t="inlineStr">
        <is>
          <t>MTZ US Equity</t>
        </is>
      </c>
      <c r="JA2" s="2" t="inlineStr">
        <is>
          <t>391243Q US Equity</t>
        </is>
      </c>
      <c r="JK2" s="2" t="inlineStr">
        <is>
          <t>2258717D US Equity</t>
        </is>
      </c>
      <c r="JU2" s="2" t="inlineStr">
        <is>
          <t>LLY US Equity</t>
        </is>
      </c>
      <c r="KE2" s="2" t="inlineStr">
        <is>
          <t>CEMJQ US Equity</t>
        </is>
      </c>
      <c r="KO2" s="2" t="inlineStr">
        <is>
          <t>NCC US Equity</t>
        </is>
      </c>
      <c r="KY2" s="2" t="inlineStr">
        <is>
          <t>DCLK US Equity</t>
        </is>
      </c>
      <c r="LI2" s="2" t="inlineStr">
        <is>
          <t>BBIO US Equity</t>
        </is>
      </c>
      <c r="LS2" s="2" t="inlineStr">
        <is>
          <t>MVL US Equity</t>
        </is>
      </c>
      <c r="MC2" s="2" t="inlineStr">
        <is>
          <t>VSUNQ US Equity</t>
        </is>
      </c>
      <c r="MM2" s="2" t="inlineStr">
        <is>
          <t>CKH US Equity</t>
        </is>
      </c>
      <c r="MW2" s="2" t="inlineStr">
        <is>
          <t>PPBI US Equity</t>
        </is>
      </c>
      <c r="NG2" s="2" t="inlineStr">
        <is>
          <t>MDT US Equity</t>
        </is>
      </c>
      <c r="NQ2" s="2" t="inlineStr">
        <is>
          <t>VIRT US Equity</t>
        </is>
      </c>
      <c r="OA2" s="2" t="inlineStr">
        <is>
          <t>CMA US Equity</t>
        </is>
      </c>
    </row>
    <row r="3">
      <c r="A3" t="inlineStr">
        <is>
          <t>Ann: 2007-08-16</t>
        </is>
      </c>
      <c r="K3" t="inlineStr">
        <is>
          <t>Ann: 1998-11-22</t>
        </is>
      </c>
      <c r="U3" t="inlineStr">
        <is>
          <t>Ann: 2002-04-01</t>
        </is>
      </c>
      <c r="AE3" t="inlineStr">
        <is>
          <t>Ann: 1999-02-08</t>
        </is>
      </c>
      <c r="AO3" t="inlineStr">
        <is>
          <t>Ann: 2003-04-21</t>
        </is>
      </c>
      <c r="AY3" t="inlineStr">
        <is>
          <t>Ann: 2016-11-07</t>
        </is>
      </c>
      <c r="BI3" t="inlineStr">
        <is>
          <t>Ann: 1998-06-15</t>
        </is>
      </c>
      <c r="BS3" t="inlineStr">
        <is>
          <t>Ann: 1999-04-16</t>
        </is>
      </c>
      <c r="CC3" t="inlineStr">
        <is>
          <t>Ann: 2003-07-14</t>
        </is>
      </c>
      <c r="CM3" t="inlineStr">
        <is>
          <t>Ann: 2017-12-26</t>
        </is>
      </c>
      <c r="CW3" t="inlineStr">
        <is>
          <t>Ann: 2011-02-23</t>
        </is>
      </c>
      <c r="DG3" t="inlineStr">
        <is>
          <t>Ann: 2000-05-17</t>
        </is>
      </c>
      <c r="DQ3" t="inlineStr">
        <is>
          <t>Ann: 2006-02-27</t>
        </is>
      </c>
      <c r="EA3" t="inlineStr">
        <is>
          <t>Ann: 2010-09-27</t>
        </is>
      </c>
      <c r="EK3" t="inlineStr">
        <is>
          <t>Ann: 2006-08-23</t>
        </is>
      </c>
      <c r="EU3" t="inlineStr">
        <is>
          <t>Ann: 2014-06-16</t>
        </is>
      </c>
      <c r="FE3" t="inlineStr">
        <is>
          <t>Ann: 2006-11-15</t>
        </is>
      </c>
      <c r="FO3" t="inlineStr">
        <is>
          <t>Ann: 2006-06-27</t>
        </is>
      </c>
      <c r="FY3" t="inlineStr">
        <is>
          <t>Ann: 2011-10-10</t>
        </is>
      </c>
      <c r="GI3" t="inlineStr">
        <is>
          <t>Ann: 2019-06-17</t>
        </is>
      </c>
      <c r="GS3" t="inlineStr">
        <is>
          <t>Ann: 2016-04-28</t>
        </is>
      </c>
      <c r="HC3" t="inlineStr">
        <is>
          <t>Ann: 2017-02-14</t>
        </is>
      </c>
      <c r="HM3" t="inlineStr">
        <is>
          <t>Ann: 2016-04-04</t>
        </is>
      </c>
      <c r="HW3" t="inlineStr">
        <is>
          <t>Ann: 2004-09-29</t>
        </is>
      </c>
      <c r="IG3" t="inlineStr">
        <is>
          <t>Ann: 2021-03-31</t>
        </is>
      </c>
      <c r="IQ3" t="inlineStr">
        <is>
          <t>Ann: 2022-07-25</t>
        </is>
      </c>
      <c r="JA3" t="inlineStr">
        <is>
          <t>Ann: 2000-03-08</t>
        </is>
      </c>
      <c r="JK3" t="inlineStr">
        <is>
          <t>Ann: 2003-07-08</t>
        </is>
      </c>
      <c r="JU3" t="inlineStr">
        <is>
          <t>Ann: 2020-01-10</t>
        </is>
      </c>
      <c r="KE3" t="inlineStr">
        <is>
          <t>Ann: 1999-06-01</t>
        </is>
      </c>
      <c r="KO3" t="inlineStr">
        <is>
          <t>Ann: 2006-07-27</t>
        </is>
      </c>
      <c r="KY3" t="inlineStr">
        <is>
          <t>Ann: 1999-06-14</t>
        </is>
      </c>
      <c r="LI3" t="inlineStr">
        <is>
          <t>Ann: 2020-10-05</t>
        </is>
      </c>
      <c r="LS3" t="inlineStr">
        <is>
          <t>Ann: 1998-07-30</t>
        </is>
      </c>
      <c r="MC3" t="inlineStr">
        <is>
          <t>Ann: 2007-11-29</t>
        </is>
      </c>
      <c r="MM3" t="inlineStr">
        <is>
          <t>Ann: 2005-03-16</t>
        </is>
      </c>
      <c r="MW3" t="inlineStr">
        <is>
          <t>Ann: 2020-02-03</t>
        </is>
      </c>
      <c r="NG3" t="inlineStr">
        <is>
          <t>Ann: 2016-06-27</t>
        </is>
      </c>
      <c r="NQ3" t="inlineStr">
        <is>
          <t>Ann: 2018-11-07</t>
        </is>
      </c>
      <c r="OA3" t="inlineStr">
        <is>
          <t>Ann: 2011-01-18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BDS("FITB US Equity","SUPPLY_CHAIN_SUPPLIERS","RELATIONSHIP_AS_OF_DATE","20070816")</f>
        <v/>
      </c>
      <c r="F5">
        <f>BDS("FITB US Equity","SUPPLY_CHAIN_CUSTOMERS","RELATIONSHIP_AS_OF_DATE","20070816")</f>
        <v/>
      </c>
      <c r="K5">
        <f>BDS("LOW US Equity","SUPPLY_CHAIN_SUPPLIERS","RELATIONSHIP_AS_OF_DATE","19981122")</f>
        <v/>
      </c>
      <c r="P5">
        <f>BDS("LOW US Equity","SUPPLY_CHAIN_CUSTOMERS","RELATIONSHIP_AS_OF_DATE","19981122")</f>
        <v/>
      </c>
      <c r="U5">
        <f>BDS("CAR US Equity","SUPPLY_CHAIN_SUPPLIERS","RELATIONSHIP_AS_OF_DATE","20020401")</f>
        <v/>
      </c>
      <c r="Z5">
        <f>BDS("CAR US Equity","SUPPLY_CHAIN_CUSTOMERS","RELATIONSHIP_AS_OF_DATE","20020401")</f>
        <v/>
      </c>
      <c r="AE5">
        <f>BDS("9876566D US Equity","SUPPLY_CHAIN_SUPPLIERS","RELATIONSHIP_AS_OF_DATE","19990208")</f>
        <v/>
      </c>
      <c r="AJ5">
        <f>BDS("9876566D US Equity","SUPPLY_CHAIN_CUSTOMERS","RELATIONSHIP_AS_OF_DATE","19990208")</f>
        <v/>
      </c>
      <c r="AO5">
        <f>BDS("nan Equity","SUPPLY_CHAIN_SUPPLIERS","RELATIONSHIP_AS_OF_DATE","20030421")</f>
        <v/>
      </c>
      <c r="AT5">
        <f>BDS("nan Equity","SUPPLY_CHAIN_CUSTOMERS","RELATIONSHIP_AS_OF_DATE","20030421")</f>
        <v/>
      </c>
      <c r="AY5">
        <f>BDS("WINMQ US Equity","SUPPLY_CHAIN_SUPPLIERS","RELATIONSHIP_AS_OF_DATE","20161107")</f>
        <v/>
      </c>
      <c r="BD5">
        <f>BDS("WINMQ US Equity","SUPPLY_CHAIN_CUSTOMERS","RELATIONSHIP_AS_OF_DATE","20161107")</f>
        <v/>
      </c>
      <c r="BI5">
        <f>BDS("ACKH US Equity","SUPPLY_CHAIN_SUPPLIERS","RELATIONSHIP_AS_OF_DATE","19980615")</f>
        <v/>
      </c>
      <c r="BN5">
        <f>BDS("ACKH US Equity","SUPPLY_CHAIN_CUSTOMERS","RELATIONSHIP_AS_OF_DATE","19980615")</f>
        <v/>
      </c>
      <c r="BS5">
        <f>BDS("WCOEQ US Equity","SUPPLY_CHAIN_SUPPLIERS","RELATIONSHIP_AS_OF_DATE","19990416")</f>
        <v/>
      </c>
      <c r="BX5">
        <f>BDS("WCOEQ US Equity","SUPPLY_CHAIN_CUSTOMERS","RELATIONSHIP_AS_OF_DATE","19990416")</f>
        <v/>
      </c>
      <c r="CC5">
        <f>BDS("OMX US Equity","SUPPLY_CHAIN_SUPPLIERS","RELATIONSHIP_AS_OF_DATE","20030714")</f>
        <v/>
      </c>
      <c r="CH5">
        <f>BDS("OMX US Equity","SUPPLY_CHAIN_CUSTOMERS","RELATIONSHIP_AS_OF_DATE","20030714")</f>
        <v/>
      </c>
      <c r="CM5">
        <f>BDS("MNKTQ US Equity","SUPPLY_CHAIN_SUPPLIERS","RELATIONSHIP_AS_OF_DATE","20171226")</f>
        <v/>
      </c>
      <c r="CR5">
        <f>BDS("MNKTQ US Equity","SUPPLY_CHAIN_CUSTOMERS","RELATIONSHIP_AS_OF_DATE","20171226")</f>
        <v/>
      </c>
      <c r="CW5">
        <f>BDS("EPD US Equity","SUPPLY_CHAIN_SUPPLIERS","RELATIONSHIP_AS_OF_DATE","20110223")</f>
        <v/>
      </c>
      <c r="DB5">
        <f>BDS("EPD US Equity","SUPPLY_CHAIN_CUSTOMERS","RELATIONSHIP_AS_OF_DATE","20110223")</f>
        <v/>
      </c>
      <c r="DG5">
        <f>BDS("MTB US Equity","SUPPLY_CHAIN_SUPPLIERS","RELATIONSHIP_AS_OF_DATE","20000517")</f>
        <v/>
      </c>
      <c r="DL5">
        <f>BDS("MTB US Equity","SUPPLY_CHAIN_CUSTOMERS","RELATIONSHIP_AS_OF_DATE","20000517")</f>
        <v/>
      </c>
      <c r="DQ5">
        <f>BDS("3406956Q US Equity","SUPPLY_CHAIN_SUPPLIERS","RELATIONSHIP_AS_OF_DATE","20060227")</f>
        <v/>
      </c>
      <c r="DV5">
        <f>BDS("3406956Q US Equity","SUPPLY_CHAIN_CUSTOMERS","RELATIONSHIP_AS_OF_DATE","20060227")</f>
        <v/>
      </c>
      <c r="EA5">
        <f>BDS("LUV US Equity","SUPPLY_CHAIN_SUPPLIERS","RELATIONSHIP_AS_OF_DATE","20100927")</f>
        <v/>
      </c>
      <c r="EF5">
        <f>BDS("LUV US Equity","SUPPLY_CHAIN_CUSTOMERS","RELATIONSHIP_AS_OF_DATE","20100927")</f>
        <v/>
      </c>
      <c r="EK5">
        <f>BDS("IBM US Equity","SUPPLY_CHAIN_SUPPLIERS","RELATIONSHIP_AS_OF_DATE","20060823")</f>
        <v/>
      </c>
      <c r="EP5">
        <f>BDS("IBM US Equity","SUPPLY_CHAIN_CUSTOMERS","RELATIONSHIP_AS_OF_DATE","20060823")</f>
        <v/>
      </c>
      <c r="EU5">
        <f>BDS("SNDK US Equity","SUPPLY_CHAIN_SUPPLIERS","RELATIONSHIP_AS_OF_DATE","20140616")</f>
        <v/>
      </c>
      <c r="EZ5">
        <f>BDS("SNDK US Equity","SUPPLY_CHAIN_CUSTOMERS","RELATIONSHIP_AS_OF_DATE","20140616")</f>
        <v/>
      </c>
      <c r="FE5">
        <f>BDS("3867693Z US Equity","SUPPLY_CHAIN_SUPPLIERS","RELATIONSHIP_AS_OF_DATE","20061115")</f>
        <v/>
      </c>
      <c r="FJ5">
        <f>BDS("3867693Z US Equity","SUPPLY_CHAIN_CUSTOMERS","RELATIONSHIP_AS_OF_DATE","20061115")</f>
        <v/>
      </c>
      <c r="FO5">
        <f>BDS("CRBC US Equity","SUPPLY_CHAIN_SUPPLIERS","RELATIONSHIP_AS_OF_DATE","20060627")</f>
        <v/>
      </c>
      <c r="FT5">
        <f>BDS("CRBC US Equity","SUPPLY_CHAIN_CUSTOMERS","RELATIONSHIP_AS_OF_DATE","20060627")</f>
        <v/>
      </c>
      <c r="FY5">
        <f>BDS("SPNX US Equity","SUPPLY_CHAIN_SUPPLIERS","RELATIONSHIP_AS_OF_DATE","20111010")</f>
        <v/>
      </c>
      <c r="GD5">
        <f>BDS("SPNX US Equity","SUPPLY_CHAIN_CUSTOMERS","RELATIONSHIP_AS_OF_DATE","20111010")</f>
        <v/>
      </c>
      <c r="GI5">
        <f>BDS("NEX US Equity","SUPPLY_CHAIN_SUPPLIERS","RELATIONSHIP_AS_OF_DATE","20190617")</f>
        <v/>
      </c>
      <c r="GN5">
        <f>BDS("NEX US Equity","SUPPLY_CHAIN_CUSTOMERS","RELATIONSHIP_AS_OF_DATE","20190617")</f>
        <v/>
      </c>
      <c r="GS5">
        <f>BDS("9990819D US Equity","SUPPLY_CHAIN_SUPPLIERS","RELATIONSHIP_AS_OF_DATE","20160428")</f>
        <v/>
      </c>
      <c r="GX5">
        <f>BDS("9990819D US Equity","SUPPLY_CHAIN_CUSTOMERS","RELATIONSHIP_AS_OF_DATE","20160428")</f>
        <v/>
      </c>
      <c r="HC5">
        <f>BDS("HOLX US Equity","SUPPLY_CHAIN_SUPPLIERS","RELATIONSHIP_AS_OF_DATE","20170214")</f>
        <v/>
      </c>
      <c r="HH5">
        <f>BDS("HOLX US Equity","SUPPLY_CHAIN_CUSTOMERS","RELATIONSHIP_AS_OF_DATE","20170214")</f>
        <v/>
      </c>
      <c r="HM5">
        <f>BDS("BRCD US Equity","SUPPLY_CHAIN_SUPPLIERS","RELATIONSHIP_AS_OF_DATE","20160404")</f>
        <v/>
      </c>
      <c r="HR5">
        <f>BDS("BRCD US Equity","SUPPLY_CHAIN_CUSTOMERS","RELATIONSHIP_AS_OF_DATE","20160404")</f>
        <v/>
      </c>
      <c r="HW5">
        <f>BDS("CAR US Equity","SUPPLY_CHAIN_SUPPLIERS","RELATIONSHIP_AS_OF_DATE","20040929")</f>
        <v/>
      </c>
      <c r="IB5">
        <f>BDS("CAR US Equity","SUPPLY_CHAIN_CUSTOMERS","RELATIONSHIP_AS_OF_DATE","20040929")</f>
        <v/>
      </c>
      <c r="IG5">
        <f>BDS("INSW US Equity","SUPPLY_CHAIN_SUPPLIERS","RELATIONSHIP_AS_OF_DATE","20210331")</f>
        <v/>
      </c>
      <c r="IL5">
        <f>BDS("INSW US Equity","SUPPLY_CHAIN_CUSTOMERS","RELATIONSHIP_AS_OF_DATE","20210331")</f>
        <v/>
      </c>
      <c r="IQ5">
        <f>BDS("MTZ US Equity","SUPPLY_CHAIN_SUPPLIERS","RELATIONSHIP_AS_OF_DATE","20220725")</f>
        <v/>
      </c>
      <c r="IV5">
        <f>BDS("MTZ US Equity","SUPPLY_CHAIN_CUSTOMERS","RELATIONSHIP_AS_OF_DATE","20220725")</f>
        <v/>
      </c>
      <c r="JA5">
        <f>BDS("391243Q US Equity","SUPPLY_CHAIN_SUPPLIERS","RELATIONSHIP_AS_OF_DATE","20000308")</f>
        <v/>
      </c>
      <c r="JF5">
        <f>BDS("391243Q US Equity","SUPPLY_CHAIN_CUSTOMERS","RELATIONSHIP_AS_OF_DATE","20000308")</f>
        <v/>
      </c>
      <c r="JK5">
        <f>BDS("2258717D US Equity","SUPPLY_CHAIN_SUPPLIERS","RELATIONSHIP_AS_OF_DATE","20030708")</f>
        <v/>
      </c>
      <c r="JP5">
        <f>BDS("2258717D US Equity","SUPPLY_CHAIN_CUSTOMERS","RELATIONSHIP_AS_OF_DATE","20030708")</f>
        <v/>
      </c>
      <c r="JU5">
        <f>BDS("LLY US Equity","SUPPLY_CHAIN_SUPPLIERS","RELATIONSHIP_AS_OF_DATE","20200110")</f>
        <v/>
      </c>
      <c r="JZ5">
        <f>BDS("LLY US Equity","SUPPLY_CHAIN_CUSTOMERS","RELATIONSHIP_AS_OF_DATE","20200110")</f>
        <v/>
      </c>
      <c r="KE5">
        <f>BDS("CEMJQ US Equity","SUPPLY_CHAIN_SUPPLIERS","RELATIONSHIP_AS_OF_DATE","19990601")</f>
        <v/>
      </c>
      <c r="KJ5">
        <f>BDS("CEMJQ US Equity","SUPPLY_CHAIN_CUSTOMERS","RELATIONSHIP_AS_OF_DATE","19990601")</f>
        <v/>
      </c>
      <c r="KO5">
        <f>BDS("NCC US Equity","SUPPLY_CHAIN_SUPPLIERS","RELATIONSHIP_AS_OF_DATE","20060727")</f>
        <v/>
      </c>
      <c r="KT5">
        <f>BDS("NCC US Equity","SUPPLY_CHAIN_CUSTOMERS","RELATIONSHIP_AS_OF_DATE","20060727")</f>
        <v/>
      </c>
      <c r="KY5">
        <f>BDS("DCLK US Equity","SUPPLY_CHAIN_SUPPLIERS","RELATIONSHIP_AS_OF_DATE","19990614")</f>
        <v/>
      </c>
      <c r="LD5">
        <f>BDS("DCLK US Equity","SUPPLY_CHAIN_CUSTOMERS","RELATIONSHIP_AS_OF_DATE","19990614")</f>
        <v/>
      </c>
      <c r="LI5">
        <f>BDS("BBIO US Equity","SUPPLY_CHAIN_SUPPLIERS","RELATIONSHIP_AS_OF_DATE","20201005")</f>
        <v/>
      </c>
      <c r="LN5">
        <f>BDS("BBIO US Equity","SUPPLY_CHAIN_CUSTOMERS","RELATIONSHIP_AS_OF_DATE","20201005")</f>
        <v/>
      </c>
      <c r="LS5">
        <f>BDS("MVL US Equity","SUPPLY_CHAIN_SUPPLIERS","RELATIONSHIP_AS_OF_DATE","19980730")</f>
        <v/>
      </c>
      <c r="LX5">
        <f>BDS("MVL US Equity","SUPPLY_CHAIN_CUSTOMERS","RELATIONSHIP_AS_OF_DATE","19980730")</f>
        <v/>
      </c>
      <c r="MC5">
        <f>BDS("VSUNQ US Equity","SUPPLY_CHAIN_SUPPLIERS","RELATIONSHIP_AS_OF_DATE","20071129")</f>
        <v/>
      </c>
      <c r="MH5">
        <f>BDS("VSUNQ US Equity","SUPPLY_CHAIN_CUSTOMERS","RELATIONSHIP_AS_OF_DATE","20071129")</f>
        <v/>
      </c>
      <c r="MM5">
        <f>BDS("CKH US Equity","SUPPLY_CHAIN_SUPPLIERS","RELATIONSHIP_AS_OF_DATE","20050316")</f>
        <v/>
      </c>
      <c r="MR5">
        <f>BDS("CKH US Equity","SUPPLY_CHAIN_CUSTOMERS","RELATIONSHIP_AS_OF_DATE","20050316")</f>
        <v/>
      </c>
      <c r="MW5">
        <f>BDS("PPBI US Equity","SUPPLY_CHAIN_SUPPLIERS","RELATIONSHIP_AS_OF_DATE","20200203")</f>
        <v/>
      </c>
      <c r="NB5">
        <f>BDS("PPBI US Equity","SUPPLY_CHAIN_CUSTOMERS","RELATIONSHIP_AS_OF_DATE","20200203")</f>
        <v/>
      </c>
      <c r="NG5">
        <f>BDS("MDT US Equity","SUPPLY_CHAIN_SUPPLIERS","RELATIONSHIP_AS_OF_DATE","20160627")</f>
        <v/>
      </c>
      <c r="NL5">
        <f>BDS("MDT US Equity","SUPPLY_CHAIN_CUSTOMERS","RELATIONSHIP_AS_OF_DATE","20160627")</f>
        <v/>
      </c>
      <c r="NQ5">
        <f>BDS("VIRT US Equity","SUPPLY_CHAIN_SUPPLIERS","RELATIONSHIP_AS_OF_DATE","20181107")</f>
        <v/>
      </c>
      <c r="NV5">
        <f>BDS("VIRT US Equity","SUPPLY_CHAIN_CUSTOMERS","RELATIONSHIP_AS_OF_DATE","20181107")</f>
        <v/>
      </c>
      <c r="OA5">
        <f>BDS("CMA US Equity","SUPPLY_CHAIN_SUPPLIERS","RELATIONSHIP_AS_OF_DATE","20110118")</f>
        <v/>
      </c>
      <c r="OF5">
        <f>BDS("CMA US Equity","SUPPLY_CHAIN_CUSTOMERS","RELATIONSHIP_AS_OF_DATE","20110118")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1361</t>
        </is>
      </c>
      <c r="K1" s="1" t="inlineStr">
        <is>
          <t>Deal 1362</t>
        </is>
      </c>
      <c r="U1" s="1" t="inlineStr">
        <is>
          <t>Deal 1363</t>
        </is>
      </c>
      <c r="AE1" s="1" t="inlineStr">
        <is>
          <t>Deal 1364</t>
        </is>
      </c>
      <c r="AO1" s="1" t="inlineStr">
        <is>
          <t>Deal 1365</t>
        </is>
      </c>
      <c r="AY1" s="1" t="inlineStr">
        <is>
          <t>Deal 1366</t>
        </is>
      </c>
      <c r="BI1" s="1" t="inlineStr">
        <is>
          <t>Deal 1367</t>
        </is>
      </c>
      <c r="BS1" s="1" t="inlineStr">
        <is>
          <t>Deal 1368</t>
        </is>
      </c>
      <c r="CC1" s="1" t="inlineStr">
        <is>
          <t>Deal 1369</t>
        </is>
      </c>
      <c r="CM1" s="1" t="inlineStr">
        <is>
          <t>Deal 1370</t>
        </is>
      </c>
      <c r="CW1" s="1" t="inlineStr">
        <is>
          <t>Deal 1371</t>
        </is>
      </c>
      <c r="DG1" s="1" t="inlineStr">
        <is>
          <t>Deal 1372</t>
        </is>
      </c>
      <c r="DQ1" s="1" t="inlineStr">
        <is>
          <t>Deal 1373</t>
        </is>
      </c>
      <c r="EA1" s="1" t="inlineStr">
        <is>
          <t>Deal 1374</t>
        </is>
      </c>
      <c r="EK1" s="1" t="inlineStr">
        <is>
          <t>Deal 1375</t>
        </is>
      </c>
      <c r="EU1" s="1" t="inlineStr">
        <is>
          <t>Deal 1376</t>
        </is>
      </c>
      <c r="FE1" s="1" t="inlineStr">
        <is>
          <t>Deal 1377</t>
        </is>
      </c>
      <c r="FO1" s="1" t="inlineStr">
        <is>
          <t>Deal 1378</t>
        </is>
      </c>
      <c r="FY1" s="1" t="inlineStr">
        <is>
          <t>Deal 1379</t>
        </is>
      </c>
      <c r="GI1" s="1" t="inlineStr">
        <is>
          <t>Deal 1380</t>
        </is>
      </c>
      <c r="GS1" s="1" t="inlineStr">
        <is>
          <t>Deal 1381</t>
        </is>
      </c>
      <c r="HC1" s="1" t="inlineStr">
        <is>
          <t>Deal 1382</t>
        </is>
      </c>
      <c r="HM1" s="1" t="inlineStr">
        <is>
          <t>Deal 1383</t>
        </is>
      </c>
      <c r="HW1" s="1" t="inlineStr">
        <is>
          <t>Deal 1384</t>
        </is>
      </c>
      <c r="IG1" s="1" t="inlineStr">
        <is>
          <t>Deal 1385</t>
        </is>
      </c>
      <c r="IQ1" s="1" t="inlineStr">
        <is>
          <t>Deal 1386</t>
        </is>
      </c>
      <c r="JA1" s="1" t="inlineStr">
        <is>
          <t>Deal 1387</t>
        </is>
      </c>
      <c r="JK1" s="1" t="inlineStr">
        <is>
          <t>Deal 1388</t>
        </is>
      </c>
      <c r="JU1" s="1" t="inlineStr">
        <is>
          <t>Deal 1389</t>
        </is>
      </c>
      <c r="KE1" s="1" t="inlineStr">
        <is>
          <t>Deal 1390</t>
        </is>
      </c>
      <c r="KO1" s="1" t="inlineStr">
        <is>
          <t>Deal 1391</t>
        </is>
      </c>
      <c r="KY1" s="1" t="inlineStr">
        <is>
          <t>Deal 1392</t>
        </is>
      </c>
      <c r="LI1" s="1" t="inlineStr">
        <is>
          <t>Deal 1393</t>
        </is>
      </c>
      <c r="LS1" s="1" t="inlineStr">
        <is>
          <t>Deal 1394</t>
        </is>
      </c>
      <c r="MC1" s="1" t="inlineStr">
        <is>
          <t>Deal 1395</t>
        </is>
      </c>
      <c r="MM1" s="1" t="inlineStr">
        <is>
          <t>Deal 1396</t>
        </is>
      </c>
      <c r="MW1" s="1" t="inlineStr">
        <is>
          <t>Deal 1397</t>
        </is>
      </c>
      <c r="NG1" s="1" t="inlineStr">
        <is>
          <t>Deal 1398</t>
        </is>
      </c>
      <c r="NQ1" s="1" t="inlineStr">
        <is>
          <t>Deal 1399</t>
        </is>
      </c>
      <c r="OA1" s="1" t="inlineStr">
        <is>
          <t>Deal 1400</t>
        </is>
      </c>
    </row>
    <row r="2">
      <c r="A2" s="2" t="inlineStr">
        <is>
          <t>TIN US Equity</t>
        </is>
      </c>
      <c r="K2" s="2" t="inlineStr">
        <is>
          <t>MOVIQ US Equity</t>
        </is>
      </c>
      <c r="U2" s="2" t="inlineStr">
        <is>
          <t>nan Equity</t>
        </is>
      </c>
      <c r="AE2" s="2" t="inlineStr">
        <is>
          <t>ORLY US Equity</t>
        </is>
      </c>
      <c r="AO2" s="2" t="inlineStr">
        <is>
          <t>9990822D US Equity</t>
        </is>
      </c>
      <c r="AY2" s="2" t="inlineStr">
        <is>
          <t>SOV US Equity</t>
        </is>
      </c>
      <c r="BI2" s="2" t="inlineStr">
        <is>
          <t>HOPE US Equity</t>
        </is>
      </c>
      <c r="BS2" s="2" t="inlineStr">
        <is>
          <t>1746513D US Equity</t>
        </is>
      </c>
      <c r="CC2" s="2" t="inlineStr">
        <is>
          <t>UBSI US Equity</t>
        </is>
      </c>
      <c r="CM2" s="2" t="inlineStr">
        <is>
          <t>TFC US Equity</t>
        </is>
      </c>
      <c r="CW2" s="2" t="inlineStr">
        <is>
          <t>ZBH US Equity</t>
        </is>
      </c>
      <c r="DG2" s="2" t="inlineStr">
        <is>
          <t>IEP US Equity</t>
        </is>
      </c>
      <c r="DQ2" s="2" t="inlineStr">
        <is>
          <t>CAH US Equity</t>
        </is>
      </c>
      <c r="EA2" s="2" t="inlineStr">
        <is>
          <t>LXP US Equity</t>
        </is>
      </c>
      <c r="EK2" s="2" t="inlineStr">
        <is>
          <t>GE US Equity</t>
        </is>
      </c>
      <c r="EU2" s="2" t="inlineStr">
        <is>
          <t>3346Q US Equity</t>
        </is>
      </c>
      <c r="FE2" s="2" t="inlineStr">
        <is>
          <t>LEHMQ US Equity</t>
        </is>
      </c>
      <c r="FO2" s="2" t="inlineStr">
        <is>
          <t>FFBC US Equity</t>
        </is>
      </c>
      <c r="FY2" s="2" t="inlineStr">
        <is>
          <t>TXT US Equity</t>
        </is>
      </c>
      <c r="GI2" s="2" t="inlineStr">
        <is>
          <t>IBTX US Equity</t>
        </is>
      </c>
      <c r="GS2" s="2" t="inlineStr">
        <is>
          <t>LHCG US Equity</t>
        </is>
      </c>
      <c r="HC2" s="2" t="inlineStr">
        <is>
          <t>EVRI US Equity</t>
        </is>
      </c>
      <c r="HM2" s="2" t="inlineStr">
        <is>
          <t>EMR US Equity</t>
        </is>
      </c>
      <c r="HW2" s="2" t="inlineStr">
        <is>
          <t>WAMUQ US Equity</t>
        </is>
      </c>
      <c r="IG2" s="2" t="inlineStr">
        <is>
          <t>WDC US Equity</t>
        </is>
      </c>
      <c r="IQ2" s="2" t="inlineStr">
        <is>
          <t>SDW US Equity</t>
        </is>
      </c>
      <c r="JA2" s="2" t="inlineStr">
        <is>
          <t>RS US Equity</t>
        </is>
      </c>
      <c r="JK2" s="2" t="inlineStr">
        <is>
          <t>ARGO US Equity</t>
        </is>
      </c>
      <c r="JU2" s="2" t="inlineStr">
        <is>
          <t>IFF US Equity</t>
        </is>
      </c>
      <c r="KE2" s="2" t="inlineStr">
        <is>
          <t>STZ US Equity</t>
        </is>
      </c>
      <c r="KO2" s="2" t="inlineStr">
        <is>
          <t>1858968D US Equity</t>
        </is>
      </c>
      <c r="KY2" s="2" t="inlineStr">
        <is>
          <t>SITC US Equity</t>
        </is>
      </c>
      <c r="LI2" s="2" t="inlineStr">
        <is>
          <t>9966911D US Equity</t>
        </is>
      </c>
      <c r="LS2" s="2" t="inlineStr">
        <is>
          <t>2297161Q US Equity</t>
        </is>
      </c>
      <c r="MC2" s="2" t="inlineStr">
        <is>
          <t>1837572D US Equity</t>
        </is>
      </c>
      <c r="MM2" s="2" t="inlineStr">
        <is>
          <t>CNX US Equity</t>
        </is>
      </c>
      <c r="MW2" s="2" t="inlineStr">
        <is>
          <t>TFX US Equity</t>
        </is>
      </c>
      <c r="NG2" s="2" t="inlineStr">
        <is>
          <t>PXP US Equity</t>
        </is>
      </c>
      <c r="NQ2" s="2" t="inlineStr">
        <is>
          <t>BRK/A US Equity</t>
        </is>
      </c>
      <c r="OA2" s="2" t="inlineStr">
        <is>
          <t>nan Equity</t>
        </is>
      </c>
    </row>
    <row r="3">
      <c r="A3" t="inlineStr">
        <is>
          <t>Ann: 2001-09-27</t>
        </is>
      </c>
      <c r="K3" t="inlineStr">
        <is>
          <t>Ann: 2004-11-19</t>
        </is>
      </c>
      <c r="U3" t="inlineStr">
        <is>
          <t>Ann: 2016-10-31</t>
        </is>
      </c>
      <c r="AE3" t="inlineStr">
        <is>
          <t>Ann: 2008-02-01</t>
        </is>
      </c>
      <c r="AO3" t="inlineStr">
        <is>
          <t>Ann: 2010-04-24</t>
        </is>
      </c>
      <c r="AY3" t="inlineStr">
        <is>
          <t>Ann: 2004-01-26</t>
        </is>
      </c>
      <c r="BI3" t="inlineStr">
        <is>
          <t>Ann: 2015-12-07</t>
        </is>
      </c>
      <c r="BS3" t="inlineStr">
        <is>
          <t>Ann: 2000-02-23</t>
        </is>
      </c>
      <c r="CC3" t="inlineStr">
        <is>
          <t>Ann: 2019-11-18</t>
        </is>
      </c>
      <c r="CM3" t="inlineStr">
        <is>
          <t>Ann: 2001-01-24</t>
        </is>
      </c>
      <c r="CW3" t="inlineStr">
        <is>
          <t>Ann: 2016-06-07</t>
        </is>
      </c>
      <c r="DG3" t="inlineStr">
        <is>
          <t>Ann: 2015-12-08</t>
        </is>
      </c>
      <c r="DQ3" t="inlineStr">
        <is>
          <t>Ann: 2002-06-14</t>
        </is>
      </c>
      <c r="EA3" t="inlineStr">
        <is>
          <t>Ann: 2006-07-23</t>
        </is>
      </c>
      <c r="EK3" t="inlineStr">
        <is>
          <t>Ann: 2001-12-18</t>
        </is>
      </c>
      <c r="EU3" t="inlineStr">
        <is>
          <t>Ann: 1999-05-19</t>
        </is>
      </c>
      <c r="FE3" t="inlineStr">
        <is>
          <t>Ann: 1999-04-19</t>
        </is>
      </c>
      <c r="FO3" t="inlineStr">
        <is>
          <t>Ann: 2017-07-25</t>
        </is>
      </c>
      <c r="FY3" t="inlineStr">
        <is>
          <t>Ann: 2007-10-08</t>
        </is>
      </c>
      <c r="GI3" t="inlineStr">
        <is>
          <t>Ann: 2018-05-22</t>
        </is>
      </c>
      <c r="GS3" t="inlineStr">
        <is>
          <t>Ann: 2017-11-16</t>
        </is>
      </c>
      <c r="HC3" t="inlineStr">
        <is>
          <t>Ann: 2014-09-08</t>
        </is>
      </c>
      <c r="HM3" t="inlineStr">
        <is>
          <t>Ann: 1999-12-14</t>
        </is>
      </c>
      <c r="HW3" t="inlineStr">
        <is>
          <t>Ann: 2006-04-23</t>
        </is>
      </c>
      <c r="IG3" t="inlineStr">
        <is>
          <t>Ann: 2007-06-28</t>
        </is>
      </c>
      <c r="IQ3" t="inlineStr">
        <is>
          <t>Ann: 1998-03-18</t>
        </is>
      </c>
      <c r="JA3" t="inlineStr">
        <is>
          <t>Ann: 2006-01-17</t>
        </is>
      </c>
      <c r="JK3" t="inlineStr">
        <is>
          <t>Ann: 2007-03-14</t>
        </is>
      </c>
      <c r="JU3" t="inlineStr">
        <is>
          <t>Ann: 2000-09-25</t>
        </is>
      </c>
      <c r="KE3" t="inlineStr">
        <is>
          <t>Ann: 2004-10-19</t>
        </is>
      </c>
      <c r="KO3" t="inlineStr">
        <is>
          <t>Ann: 2011-02-22</t>
        </is>
      </c>
      <c r="KY3" t="inlineStr">
        <is>
          <t>Ann: 2002-10-04</t>
        </is>
      </c>
      <c r="LI3" t="inlineStr">
        <is>
          <t>Ann: 2018-05-13</t>
        </is>
      </c>
      <c r="LS3" t="inlineStr">
        <is>
          <t>Ann: 2005-08-29</t>
        </is>
      </c>
      <c r="MC3" t="inlineStr">
        <is>
          <t>Ann: 1998-04-27</t>
        </is>
      </c>
      <c r="MM3" t="inlineStr">
        <is>
          <t>Ann: 2010-03-21</t>
        </is>
      </c>
      <c r="MW3" t="inlineStr">
        <is>
          <t>Ann: 2016-12-02</t>
        </is>
      </c>
      <c r="NG3" t="inlineStr">
        <is>
          <t>Ann: 2004-02-12</t>
        </is>
      </c>
      <c r="NQ3" t="inlineStr">
        <is>
          <t>Ann: 2006-04-17</t>
        </is>
      </c>
      <c r="OA3" t="inlineStr">
        <is>
          <t>Ann: 2007-04-03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BDS("TIN US Equity","SUPPLY_CHAIN_SUPPLIERS","RELATIONSHIP_AS_OF_DATE","20010927")</f>
        <v/>
      </c>
      <c r="F5">
        <f>BDS("TIN US Equity","SUPPLY_CHAIN_CUSTOMERS","RELATIONSHIP_AS_OF_DATE","20010927")</f>
        <v/>
      </c>
      <c r="K5">
        <f>BDS("MOVIQ US Equity","SUPPLY_CHAIN_SUPPLIERS","RELATIONSHIP_AS_OF_DATE","20041119")</f>
        <v/>
      </c>
      <c r="P5">
        <f>BDS("MOVIQ US Equity","SUPPLY_CHAIN_CUSTOMERS","RELATIONSHIP_AS_OF_DATE","20041119")</f>
        <v/>
      </c>
      <c r="U5">
        <f>BDS("nan Equity","SUPPLY_CHAIN_SUPPLIERS","RELATIONSHIP_AS_OF_DATE","20161031")</f>
        <v/>
      </c>
      <c r="Z5">
        <f>BDS("nan Equity","SUPPLY_CHAIN_CUSTOMERS","RELATIONSHIP_AS_OF_DATE","20161031")</f>
        <v/>
      </c>
      <c r="AE5">
        <f>BDS("ORLY US Equity","SUPPLY_CHAIN_SUPPLIERS","RELATIONSHIP_AS_OF_DATE","20080201")</f>
        <v/>
      </c>
      <c r="AJ5">
        <f>BDS("ORLY US Equity","SUPPLY_CHAIN_CUSTOMERS","RELATIONSHIP_AS_OF_DATE","20080201")</f>
        <v/>
      </c>
      <c r="AO5">
        <f>BDS("9990822D US Equity","SUPPLY_CHAIN_SUPPLIERS","RELATIONSHIP_AS_OF_DATE","20100424")</f>
        <v/>
      </c>
      <c r="AT5">
        <f>BDS("9990822D US Equity","SUPPLY_CHAIN_CUSTOMERS","RELATIONSHIP_AS_OF_DATE","20100424")</f>
        <v/>
      </c>
      <c r="AY5">
        <f>BDS("SOV US Equity","SUPPLY_CHAIN_SUPPLIERS","RELATIONSHIP_AS_OF_DATE","20040126")</f>
        <v/>
      </c>
      <c r="BD5">
        <f>BDS("SOV US Equity","SUPPLY_CHAIN_CUSTOMERS","RELATIONSHIP_AS_OF_DATE","20040126")</f>
        <v/>
      </c>
      <c r="BI5">
        <f>BDS("HOPE US Equity","SUPPLY_CHAIN_SUPPLIERS","RELATIONSHIP_AS_OF_DATE","20151207")</f>
        <v/>
      </c>
      <c r="BN5">
        <f>BDS("HOPE US Equity","SUPPLY_CHAIN_CUSTOMERS","RELATIONSHIP_AS_OF_DATE","20151207")</f>
        <v/>
      </c>
      <c r="BS5">
        <f>BDS("1746513D US Equity","SUPPLY_CHAIN_SUPPLIERS","RELATIONSHIP_AS_OF_DATE","20000223")</f>
        <v/>
      </c>
      <c r="BX5">
        <f>BDS("1746513D US Equity","SUPPLY_CHAIN_CUSTOMERS","RELATIONSHIP_AS_OF_DATE","20000223")</f>
        <v/>
      </c>
      <c r="CC5">
        <f>BDS("UBSI US Equity","SUPPLY_CHAIN_SUPPLIERS","RELATIONSHIP_AS_OF_DATE","20191118")</f>
        <v/>
      </c>
      <c r="CH5">
        <f>BDS("UBSI US Equity","SUPPLY_CHAIN_CUSTOMERS","RELATIONSHIP_AS_OF_DATE","20191118")</f>
        <v/>
      </c>
      <c r="CM5">
        <f>BDS("TFC US Equity","SUPPLY_CHAIN_SUPPLIERS","RELATIONSHIP_AS_OF_DATE","20010124")</f>
        <v/>
      </c>
      <c r="CR5">
        <f>BDS("TFC US Equity","SUPPLY_CHAIN_CUSTOMERS","RELATIONSHIP_AS_OF_DATE","20010124")</f>
        <v/>
      </c>
      <c r="CW5">
        <f>BDS("ZBH US Equity","SUPPLY_CHAIN_SUPPLIERS","RELATIONSHIP_AS_OF_DATE","20160607")</f>
        <v/>
      </c>
      <c r="DB5">
        <f>BDS("ZBH US Equity","SUPPLY_CHAIN_CUSTOMERS","RELATIONSHIP_AS_OF_DATE","20160607")</f>
        <v/>
      </c>
      <c r="DG5">
        <f>BDS("IEP US Equity","SUPPLY_CHAIN_SUPPLIERS","RELATIONSHIP_AS_OF_DATE","20151208")</f>
        <v/>
      </c>
      <c r="DL5">
        <f>BDS("IEP US Equity","SUPPLY_CHAIN_CUSTOMERS","RELATIONSHIP_AS_OF_DATE","20151208")</f>
        <v/>
      </c>
      <c r="DQ5">
        <f>BDS("CAH US Equity","SUPPLY_CHAIN_SUPPLIERS","RELATIONSHIP_AS_OF_DATE","20020614")</f>
        <v/>
      </c>
      <c r="DV5">
        <f>BDS("CAH US Equity","SUPPLY_CHAIN_CUSTOMERS","RELATIONSHIP_AS_OF_DATE","20020614")</f>
        <v/>
      </c>
      <c r="EA5">
        <f>BDS("LXP US Equity","SUPPLY_CHAIN_SUPPLIERS","RELATIONSHIP_AS_OF_DATE","20060723")</f>
        <v/>
      </c>
      <c r="EF5">
        <f>BDS("LXP US Equity","SUPPLY_CHAIN_CUSTOMERS","RELATIONSHIP_AS_OF_DATE","20060723")</f>
        <v/>
      </c>
      <c r="EK5">
        <f>BDS("GE US Equity","SUPPLY_CHAIN_SUPPLIERS","RELATIONSHIP_AS_OF_DATE","20011218")</f>
        <v/>
      </c>
      <c r="EP5">
        <f>BDS("GE US Equity","SUPPLY_CHAIN_CUSTOMERS","RELATIONSHIP_AS_OF_DATE","20011218")</f>
        <v/>
      </c>
      <c r="EU5">
        <f>BDS("3346Q US Equity","SUPPLY_CHAIN_SUPPLIERS","RELATIONSHIP_AS_OF_DATE","19990519")</f>
        <v/>
      </c>
      <c r="EZ5">
        <f>BDS("3346Q US Equity","SUPPLY_CHAIN_CUSTOMERS","RELATIONSHIP_AS_OF_DATE","19990519")</f>
        <v/>
      </c>
      <c r="FE5">
        <f>BDS("LEHMQ US Equity","SUPPLY_CHAIN_SUPPLIERS","RELATIONSHIP_AS_OF_DATE","19990419")</f>
        <v/>
      </c>
      <c r="FJ5">
        <f>BDS("LEHMQ US Equity","SUPPLY_CHAIN_CUSTOMERS","RELATIONSHIP_AS_OF_DATE","19990419")</f>
        <v/>
      </c>
      <c r="FO5">
        <f>BDS("FFBC US Equity","SUPPLY_CHAIN_SUPPLIERS","RELATIONSHIP_AS_OF_DATE","20170725")</f>
        <v/>
      </c>
      <c r="FT5">
        <f>BDS("FFBC US Equity","SUPPLY_CHAIN_CUSTOMERS","RELATIONSHIP_AS_OF_DATE","20170725")</f>
        <v/>
      </c>
      <c r="FY5">
        <f>BDS("TXT US Equity","SUPPLY_CHAIN_SUPPLIERS","RELATIONSHIP_AS_OF_DATE","20071008")</f>
        <v/>
      </c>
      <c r="GD5">
        <f>BDS("TXT US Equity","SUPPLY_CHAIN_CUSTOMERS","RELATIONSHIP_AS_OF_DATE","20071008")</f>
        <v/>
      </c>
      <c r="GI5">
        <f>BDS("IBTX US Equity","SUPPLY_CHAIN_SUPPLIERS","RELATIONSHIP_AS_OF_DATE","20180522")</f>
        <v/>
      </c>
      <c r="GN5">
        <f>BDS("IBTX US Equity","SUPPLY_CHAIN_CUSTOMERS","RELATIONSHIP_AS_OF_DATE","20180522")</f>
        <v/>
      </c>
      <c r="GS5">
        <f>BDS("LHCG US Equity","SUPPLY_CHAIN_SUPPLIERS","RELATIONSHIP_AS_OF_DATE","20171116")</f>
        <v/>
      </c>
      <c r="GX5">
        <f>BDS("LHCG US Equity","SUPPLY_CHAIN_CUSTOMERS","RELATIONSHIP_AS_OF_DATE","20171116")</f>
        <v/>
      </c>
      <c r="HC5">
        <f>BDS("EVRI US Equity","SUPPLY_CHAIN_SUPPLIERS","RELATIONSHIP_AS_OF_DATE","20140908")</f>
        <v/>
      </c>
      <c r="HH5">
        <f>BDS("EVRI US Equity","SUPPLY_CHAIN_CUSTOMERS","RELATIONSHIP_AS_OF_DATE","20140908")</f>
        <v/>
      </c>
      <c r="HM5">
        <f>BDS("EMR US Equity","SUPPLY_CHAIN_SUPPLIERS","RELATIONSHIP_AS_OF_DATE","19991214")</f>
        <v/>
      </c>
      <c r="HR5">
        <f>BDS("EMR US Equity","SUPPLY_CHAIN_CUSTOMERS","RELATIONSHIP_AS_OF_DATE","19991214")</f>
        <v/>
      </c>
      <c r="HW5">
        <f>BDS("WAMUQ US Equity","SUPPLY_CHAIN_SUPPLIERS","RELATIONSHIP_AS_OF_DATE","20060423")</f>
        <v/>
      </c>
      <c r="IB5">
        <f>BDS("WAMUQ US Equity","SUPPLY_CHAIN_CUSTOMERS","RELATIONSHIP_AS_OF_DATE","20060423")</f>
        <v/>
      </c>
      <c r="IG5">
        <f>BDS("WDC US Equity","SUPPLY_CHAIN_SUPPLIERS","RELATIONSHIP_AS_OF_DATE","20070628")</f>
        <v/>
      </c>
      <c r="IL5">
        <f>BDS("WDC US Equity","SUPPLY_CHAIN_CUSTOMERS","RELATIONSHIP_AS_OF_DATE","20070628")</f>
        <v/>
      </c>
      <c r="IQ5">
        <f>BDS("SDW US Equity","SUPPLY_CHAIN_SUPPLIERS","RELATIONSHIP_AS_OF_DATE","19980318")</f>
        <v/>
      </c>
      <c r="IV5">
        <f>BDS("SDW US Equity","SUPPLY_CHAIN_CUSTOMERS","RELATIONSHIP_AS_OF_DATE","19980318")</f>
        <v/>
      </c>
      <c r="JA5">
        <f>BDS("RS US Equity","SUPPLY_CHAIN_SUPPLIERS","RELATIONSHIP_AS_OF_DATE","20060117")</f>
        <v/>
      </c>
      <c r="JF5">
        <f>BDS("RS US Equity","SUPPLY_CHAIN_CUSTOMERS","RELATIONSHIP_AS_OF_DATE","20060117")</f>
        <v/>
      </c>
      <c r="JK5">
        <f>BDS("ARGO US Equity","SUPPLY_CHAIN_SUPPLIERS","RELATIONSHIP_AS_OF_DATE","20070314")</f>
        <v/>
      </c>
      <c r="JP5">
        <f>BDS("ARGO US Equity","SUPPLY_CHAIN_CUSTOMERS","RELATIONSHIP_AS_OF_DATE","20070314")</f>
        <v/>
      </c>
      <c r="JU5">
        <f>BDS("IFF US Equity","SUPPLY_CHAIN_SUPPLIERS","RELATIONSHIP_AS_OF_DATE","20000925")</f>
        <v/>
      </c>
      <c r="JZ5">
        <f>BDS("IFF US Equity","SUPPLY_CHAIN_CUSTOMERS","RELATIONSHIP_AS_OF_DATE","20000925")</f>
        <v/>
      </c>
      <c r="KE5">
        <f>BDS("STZ US Equity","SUPPLY_CHAIN_SUPPLIERS","RELATIONSHIP_AS_OF_DATE","20041019")</f>
        <v/>
      </c>
      <c r="KJ5">
        <f>BDS("STZ US Equity","SUPPLY_CHAIN_CUSTOMERS","RELATIONSHIP_AS_OF_DATE","20041019")</f>
        <v/>
      </c>
      <c r="KO5">
        <f>BDS("1858968D US Equity","SUPPLY_CHAIN_SUPPLIERS","RELATIONSHIP_AS_OF_DATE","20110222")</f>
        <v/>
      </c>
      <c r="KT5">
        <f>BDS("1858968D US Equity","SUPPLY_CHAIN_CUSTOMERS","RELATIONSHIP_AS_OF_DATE","20110222")</f>
        <v/>
      </c>
      <c r="KY5">
        <f>BDS("SITC US Equity","SUPPLY_CHAIN_SUPPLIERS","RELATIONSHIP_AS_OF_DATE","20021004")</f>
        <v/>
      </c>
      <c r="LD5">
        <f>BDS("SITC US Equity","SUPPLY_CHAIN_CUSTOMERS","RELATIONSHIP_AS_OF_DATE","20021004")</f>
        <v/>
      </c>
      <c r="LI5">
        <f>BDS("9966911D US Equity","SUPPLY_CHAIN_SUPPLIERS","RELATIONSHIP_AS_OF_DATE","20180513")</f>
        <v/>
      </c>
      <c r="LN5">
        <f>BDS("9966911D US Equity","SUPPLY_CHAIN_CUSTOMERS","RELATIONSHIP_AS_OF_DATE","20180513")</f>
        <v/>
      </c>
      <c r="LS5">
        <f>BDS("2297161Q US Equity","SUPPLY_CHAIN_SUPPLIERS","RELATIONSHIP_AS_OF_DATE","20050829")</f>
        <v/>
      </c>
      <c r="LX5">
        <f>BDS("2297161Q US Equity","SUPPLY_CHAIN_CUSTOMERS","RELATIONSHIP_AS_OF_DATE","20050829")</f>
        <v/>
      </c>
      <c r="MC5">
        <f>BDS("1837572D US Equity","SUPPLY_CHAIN_SUPPLIERS","RELATIONSHIP_AS_OF_DATE","19980427")</f>
        <v/>
      </c>
      <c r="MH5">
        <f>BDS("1837572D US Equity","SUPPLY_CHAIN_CUSTOMERS","RELATIONSHIP_AS_OF_DATE","19980427")</f>
        <v/>
      </c>
      <c r="MM5">
        <f>BDS("CNX US Equity","SUPPLY_CHAIN_SUPPLIERS","RELATIONSHIP_AS_OF_DATE","20100321")</f>
        <v/>
      </c>
      <c r="MR5">
        <f>BDS("CNX US Equity","SUPPLY_CHAIN_CUSTOMERS","RELATIONSHIP_AS_OF_DATE","20100321")</f>
        <v/>
      </c>
      <c r="MW5">
        <f>BDS("TFX US Equity","SUPPLY_CHAIN_SUPPLIERS","RELATIONSHIP_AS_OF_DATE","20161202")</f>
        <v/>
      </c>
      <c r="NB5">
        <f>BDS("TFX US Equity","SUPPLY_CHAIN_CUSTOMERS","RELATIONSHIP_AS_OF_DATE","20161202")</f>
        <v/>
      </c>
      <c r="NG5">
        <f>BDS("PXP US Equity","SUPPLY_CHAIN_SUPPLIERS","RELATIONSHIP_AS_OF_DATE","20040212")</f>
        <v/>
      </c>
      <c r="NL5">
        <f>BDS("PXP US Equity","SUPPLY_CHAIN_CUSTOMERS","RELATIONSHIP_AS_OF_DATE","20040212")</f>
        <v/>
      </c>
      <c r="NQ5">
        <f>BDS("BRK/A US Equity","SUPPLY_CHAIN_SUPPLIERS","RELATIONSHIP_AS_OF_DATE","20060417")</f>
        <v/>
      </c>
      <c r="NV5">
        <f>BDS("BRK/A US Equity","SUPPLY_CHAIN_CUSTOMERS","RELATIONSHIP_AS_OF_DATE","20060417")</f>
        <v/>
      </c>
      <c r="OA5">
        <f>BDS("nan Equity","SUPPLY_CHAIN_SUPPLIERS","RELATIONSHIP_AS_OF_DATE","20070403")</f>
        <v/>
      </c>
      <c r="OF5">
        <f>BDS("nan Equity","SUPPLY_CHAIN_CUSTOMERS","RELATIONSHIP_AS_OF_DATE","20070403")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1401</t>
        </is>
      </c>
      <c r="K1" s="1" t="inlineStr">
        <is>
          <t>Deal 1402</t>
        </is>
      </c>
      <c r="U1" s="1" t="inlineStr">
        <is>
          <t>Deal 1403</t>
        </is>
      </c>
      <c r="AE1" s="1" t="inlineStr">
        <is>
          <t>Deal 1404</t>
        </is>
      </c>
      <c r="AO1" s="1" t="inlineStr">
        <is>
          <t>Deal 1405</t>
        </is>
      </c>
      <c r="AY1" s="1" t="inlineStr">
        <is>
          <t>Deal 1406</t>
        </is>
      </c>
      <c r="BI1" s="1" t="inlineStr">
        <is>
          <t>Deal 1407</t>
        </is>
      </c>
      <c r="BS1" s="1" t="inlineStr">
        <is>
          <t>Deal 1408</t>
        </is>
      </c>
      <c r="CC1" s="1" t="inlineStr">
        <is>
          <t>Deal 1409</t>
        </is>
      </c>
      <c r="CM1" s="1" t="inlineStr">
        <is>
          <t>Deal 1410</t>
        </is>
      </c>
      <c r="CW1" s="1" t="inlineStr">
        <is>
          <t>Deal 1411</t>
        </is>
      </c>
      <c r="DG1" s="1" t="inlineStr">
        <is>
          <t>Deal 1412</t>
        </is>
      </c>
      <c r="DQ1" s="1" t="inlineStr">
        <is>
          <t>Deal 1413</t>
        </is>
      </c>
      <c r="EA1" s="1" t="inlineStr">
        <is>
          <t>Deal 1414</t>
        </is>
      </c>
      <c r="EK1" s="1" t="inlineStr">
        <is>
          <t>Deal 1415</t>
        </is>
      </c>
      <c r="EU1" s="1" t="inlineStr">
        <is>
          <t>Deal 1416</t>
        </is>
      </c>
      <c r="FE1" s="1" t="inlineStr">
        <is>
          <t>Deal 1417</t>
        </is>
      </c>
      <c r="FO1" s="1" t="inlineStr">
        <is>
          <t>Deal 1418</t>
        </is>
      </c>
      <c r="FY1" s="1" t="inlineStr">
        <is>
          <t>Deal 1419</t>
        </is>
      </c>
      <c r="GI1" s="1" t="inlineStr">
        <is>
          <t>Deal 1420</t>
        </is>
      </c>
      <c r="GS1" s="1" t="inlineStr">
        <is>
          <t>Deal 1421</t>
        </is>
      </c>
      <c r="HC1" s="1" t="inlineStr">
        <is>
          <t>Deal 1422</t>
        </is>
      </c>
      <c r="HM1" s="1" t="inlineStr">
        <is>
          <t>Deal 1423</t>
        </is>
      </c>
      <c r="HW1" s="1" t="inlineStr">
        <is>
          <t>Deal 1424</t>
        </is>
      </c>
      <c r="IG1" s="1" t="inlineStr">
        <is>
          <t>Deal 1425</t>
        </is>
      </c>
      <c r="IQ1" s="1" t="inlineStr">
        <is>
          <t>Deal 1426</t>
        </is>
      </c>
      <c r="JA1" s="1" t="inlineStr">
        <is>
          <t>Deal 1427</t>
        </is>
      </c>
      <c r="JK1" s="1" t="inlineStr">
        <is>
          <t>Deal 1428</t>
        </is>
      </c>
      <c r="JU1" s="1" t="inlineStr">
        <is>
          <t>Deal 1429</t>
        </is>
      </c>
      <c r="KE1" s="1" t="inlineStr">
        <is>
          <t>Deal 1430</t>
        </is>
      </c>
      <c r="KO1" s="1" t="inlineStr">
        <is>
          <t>Deal 1431</t>
        </is>
      </c>
      <c r="KY1" s="1" t="inlineStr">
        <is>
          <t>Deal 1432</t>
        </is>
      </c>
      <c r="LI1" s="1" t="inlineStr">
        <is>
          <t>Deal 1433</t>
        </is>
      </c>
      <c r="LS1" s="1" t="inlineStr">
        <is>
          <t>Deal 1434</t>
        </is>
      </c>
      <c r="MC1" s="1" t="inlineStr">
        <is>
          <t>Deal 1435</t>
        </is>
      </c>
      <c r="MM1" s="1" t="inlineStr">
        <is>
          <t>Deal 1436</t>
        </is>
      </c>
      <c r="MW1" s="1" t="inlineStr">
        <is>
          <t>Deal 1437</t>
        </is>
      </c>
      <c r="NG1" s="1" t="inlineStr">
        <is>
          <t>Deal 1438</t>
        </is>
      </c>
      <c r="NQ1" s="1" t="inlineStr">
        <is>
          <t>Deal 1439</t>
        </is>
      </c>
      <c r="OA1" s="1" t="inlineStr">
        <is>
          <t>Deal 1440</t>
        </is>
      </c>
    </row>
    <row r="2">
      <c r="A2" s="2" t="inlineStr">
        <is>
          <t>VYTLQ US Equity</t>
        </is>
      </c>
      <c r="K2" s="2" t="inlineStr">
        <is>
          <t>AMGN US Equity</t>
        </is>
      </c>
      <c r="U2" s="2" t="inlineStr">
        <is>
          <t>CAVM US Equity</t>
        </is>
      </c>
      <c r="AE2" s="2" t="inlineStr">
        <is>
          <t>BATL US Equity</t>
        </is>
      </c>
      <c r="AO2" s="2" t="inlineStr">
        <is>
          <t>ENTG US Equity</t>
        </is>
      </c>
      <c r="AY2" s="2" t="inlineStr">
        <is>
          <t>VLO US Equity</t>
        </is>
      </c>
      <c r="BI2" s="2" t="inlineStr">
        <is>
          <t>VBTX US Equity</t>
        </is>
      </c>
      <c r="BS2" s="2" t="inlineStr">
        <is>
          <t>PF US Equity</t>
        </is>
      </c>
      <c r="CC2" s="2" t="inlineStr">
        <is>
          <t>SCG US Equity</t>
        </is>
      </c>
      <c r="CM2" s="2" t="inlineStr">
        <is>
          <t>ON US Equity</t>
        </is>
      </c>
      <c r="CW2" s="2" t="inlineStr">
        <is>
          <t>DOC US Equity</t>
        </is>
      </c>
      <c r="DG2" s="2" t="inlineStr">
        <is>
          <t>ISIL US Equity</t>
        </is>
      </c>
      <c r="DQ2" s="2" t="inlineStr">
        <is>
          <t>PRGNQ US Equity</t>
        </is>
      </c>
      <c r="EA2" s="2" t="inlineStr">
        <is>
          <t>BRK/A US Equity</t>
        </is>
      </c>
      <c r="EK2" s="2" t="inlineStr">
        <is>
          <t>2491Q US Equity</t>
        </is>
      </c>
      <c r="EU2" s="2" t="inlineStr">
        <is>
          <t>1731877D US Equity</t>
        </is>
      </c>
      <c r="FE2" s="2" t="inlineStr">
        <is>
          <t>2150994D US Equity</t>
        </is>
      </c>
      <c r="FO2" s="2" t="inlineStr">
        <is>
          <t>TLAB US Equity</t>
        </is>
      </c>
      <c r="FY2" s="2" t="inlineStr">
        <is>
          <t>2619871D US Equity</t>
        </is>
      </c>
      <c r="GI2" s="2" t="inlineStr">
        <is>
          <t>RFMD US Equity</t>
        </is>
      </c>
      <c r="GS2" s="2" t="inlineStr">
        <is>
          <t>IBM US Equity</t>
        </is>
      </c>
      <c r="HC2" s="2" t="inlineStr">
        <is>
          <t>605018Q US Equity</t>
        </is>
      </c>
      <c r="HM2" s="2" t="inlineStr">
        <is>
          <t>nan Equity</t>
        </is>
      </c>
      <c r="HW2" s="2" t="inlineStr">
        <is>
          <t>NTIQ US Equity</t>
        </is>
      </c>
      <c r="IG2" s="2" t="inlineStr">
        <is>
          <t>GENZ US Equity</t>
        </is>
      </c>
      <c r="IQ2" s="2" t="inlineStr">
        <is>
          <t>HPE US Equity</t>
        </is>
      </c>
      <c r="JA2" s="2" t="inlineStr">
        <is>
          <t>RVBD US Equity</t>
        </is>
      </c>
      <c r="JK2" s="2" t="inlineStr">
        <is>
          <t>HALO US Equity</t>
        </is>
      </c>
      <c r="JU2" s="2" t="inlineStr">
        <is>
          <t>SGI US Equity</t>
        </is>
      </c>
      <c r="KE2" s="2" t="inlineStr">
        <is>
          <t>MKSI US Equity</t>
        </is>
      </c>
      <c r="KO2" s="2" t="inlineStr">
        <is>
          <t>WFC US Equity</t>
        </is>
      </c>
      <c r="KY2" s="2" t="inlineStr">
        <is>
          <t>TTMI US Equity</t>
        </is>
      </c>
      <c r="LI2" s="2" t="inlineStr">
        <is>
          <t>VRNT US Equity</t>
        </is>
      </c>
      <c r="LS2" s="2" t="inlineStr">
        <is>
          <t>UAN US Equity</t>
        </is>
      </c>
      <c r="MC2" s="2" t="inlineStr">
        <is>
          <t>ALL US Equity</t>
        </is>
      </c>
      <c r="MM2" s="2" t="inlineStr">
        <is>
          <t>GBCI US Equity</t>
        </is>
      </c>
      <c r="MW2" s="2" t="inlineStr">
        <is>
          <t>UBSI US Equity</t>
        </is>
      </c>
      <c r="NG2" s="2" t="inlineStr">
        <is>
          <t>IM US Equity</t>
        </is>
      </c>
      <c r="NQ2" s="2" t="inlineStr">
        <is>
          <t>FMER US Equity</t>
        </is>
      </c>
      <c r="OA2" s="2" t="inlineStr">
        <is>
          <t>D US Equity</t>
        </is>
      </c>
    </row>
    <row r="3">
      <c r="A3" t="inlineStr">
        <is>
          <t>Ann: 1999-08-27</t>
        </is>
      </c>
      <c r="K3" t="inlineStr">
        <is>
          <t>Ann: 2012-01-26</t>
        </is>
      </c>
      <c r="U3" t="inlineStr">
        <is>
          <t>Ann: 2016-06-15</t>
        </is>
      </c>
      <c r="AE3" t="inlineStr">
        <is>
          <t>Ann: 2012-04-25</t>
        </is>
      </c>
      <c r="AO3" t="inlineStr">
        <is>
          <t>Ann: 2014-02-04</t>
        </is>
      </c>
      <c r="AY3" t="inlineStr">
        <is>
          <t>Ann: 2018-10-18</t>
        </is>
      </c>
      <c r="BI3" t="inlineStr">
        <is>
          <t>Ann: 2018-07-24</t>
        </is>
      </c>
      <c r="BS3" t="inlineStr">
        <is>
          <t>Ann: 2015-11-24</t>
        </is>
      </c>
      <c r="CC3" t="inlineStr">
        <is>
          <t>Ann: 1999-02-17</t>
        </is>
      </c>
      <c r="CM3" t="inlineStr">
        <is>
          <t>Ann: 2019-03-27</t>
        </is>
      </c>
      <c r="CW3" t="inlineStr">
        <is>
          <t>Ann: 1999-08-04</t>
        </is>
      </c>
      <c r="DG3" t="inlineStr">
        <is>
          <t>Ann: 2002-03-10</t>
        </is>
      </c>
      <c r="DQ3" t="inlineStr">
        <is>
          <t>Ann: 2001-06-11</t>
        </is>
      </c>
      <c r="EA3" t="inlineStr">
        <is>
          <t>Ann: 2000-11-08</t>
        </is>
      </c>
      <c r="EK3" t="inlineStr">
        <is>
          <t>Ann: 1996-06-06</t>
        </is>
      </c>
      <c r="EU3" t="inlineStr">
        <is>
          <t>Ann: 2000-06-26</t>
        </is>
      </c>
      <c r="FE3" t="inlineStr">
        <is>
          <t>Ann: 2016-03-16</t>
        </is>
      </c>
      <c r="FO3" t="inlineStr">
        <is>
          <t>Ann: 1998-02-16</t>
        </is>
      </c>
      <c r="FY3" t="inlineStr">
        <is>
          <t>Ann: 2018-09-14</t>
        </is>
      </c>
      <c r="GI3" t="inlineStr">
        <is>
          <t>Ann: 2007-08-13</t>
        </is>
      </c>
      <c r="GS3" t="inlineStr">
        <is>
          <t>Ann: 2015-08-06</t>
        </is>
      </c>
      <c r="HC3" t="inlineStr">
        <is>
          <t>Ann: 1998-06-15</t>
        </is>
      </c>
      <c r="HM3" t="inlineStr">
        <is>
          <t>Ann: 1999-12-28</t>
        </is>
      </c>
      <c r="HW3" t="inlineStr">
        <is>
          <t>Ann: 2001-01-17</t>
        </is>
      </c>
      <c r="IG3" t="inlineStr">
        <is>
          <t>Ann: 2004-02-26</t>
        </is>
      </c>
      <c r="IQ3" t="inlineStr">
        <is>
          <t>Ann: 2017-03-07</t>
        </is>
      </c>
      <c r="JA3" t="inlineStr">
        <is>
          <t>Ann: 2012-10-29</t>
        </is>
      </c>
      <c r="JK3" t="inlineStr">
        <is>
          <t>Ann: 2022-04-13</t>
        </is>
      </c>
      <c r="JU3" t="inlineStr">
        <is>
          <t>Ann: 2012-09-27</t>
        </is>
      </c>
      <c r="KE3" t="inlineStr">
        <is>
          <t>Ann: 2018-10-30</t>
        </is>
      </c>
      <c r="KO3" t="inlineStr">
        <is>
          <t>Ann: 1999-12-21</t>
        </is>
      </c>
      <c r="KY3" t="inlineStr">
        <is>
          <t>Ann: 2014-09-22</t>
        </is>
      </c>
      <c r="LI3" t="inlineStr">
        <is>
          <t>Ann: 2012-08-13</t>
        </is>
      </c>
      <c r="LS3" t="inlineStr">
        <is>
          <t>Ann: 2015-08-10</t>
        </is>
      </c>
      <c r="MC3" t="inlineStr">
        <is>
          <t>Ann: 1999-07-09</t>
        </is>
      </c>
      <c r="MM3" t="inlineStr">
        <is>
          <t>Ann: 2021-05-18</t>
        </is>
      </c>
      <c r="MW3" t="inlineStr">
        <is>
          <t>Ann: 2016-08-18</t>
        </is>
      </c>
      <c r="NG3" t="inlineStr">
        <is>
          <t>Ann: 2012-07-02</t>
        </is>
      </c>
      <c r="NQ3" t="inlineStr">
        <is>
          <t>Ann: 2012-09-13</t>
        </is>
      </c>
      <c r="OA3" t="inlineStr">
        <is>
          <t>Ann: 2018-11-26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BDS("VYTLQ US Equity","SUPPLY_CHAIN_SUPPLIERS","RELATIONSHIP_AS_OF_DATE","19990827")</f>
        <v/>
      </c>
      <c r="F5">
        <f>BDS("VYTLQ US Equity","SUPPLY_CHAIN_CUSTOMERS","RELATIONSHIP_AS_OF_DATE","19990827")</f>
        <v/>
      </c>
      <c r="K5">
        <f>BDS("AMGN US Equity","SUPPLY_CHAIN_SUPPLIERS","RELATIONSHIP_AS_OF_DATE","20120126")</f>
        <v/>
      </c>
      <c r="P5">
        <f>BDS("AMGN US Equity","SUPPLY_CHAIN_CUSTOMERS","RELATIONSHIP_AS_OF_DATE","20120126")</f>
        <v/>
      </c>
      <c r="U5">
        <f>BDS("CAVM US Equity","SUPPLY_CHAIN_SUPPLIERS","RELATIONSHIP_AS_OF_DATE","20160615")</f>
        <v/>
      </c>
      <c r="Z5">
        <f>BDS("CAVM US Equity","SUPPLY_CHAIN_CUSTOMERS","RELATIONSHIP_AS_OF_DATE","20160615")</f>
        <v/>
      </c>
      <c r="AE5">
        <f>BDS("BATL US Equity","SUPPLY_CHAIN_SUPPLIERS","RELATIONSHIP_AS_OF_DATE","20120425")</f>
        <v/>
      </c>
      <c r="AJ5">
        <f>BDS("BATL US Equity","SUPPLY_CHAIN_CUSTOMERS","RELATIONSHIP_AS_OF_DATE","20120425")</f>
        <v/>
      </c>
      <c r="AO5">
        <f>BDS("ENTG US Equity","SUPPLY_CHAIN_SUPPLIERS","RELATIONSHIP_AS_OF_DATE","20140204")</f>
        <v/>
      </c>
      <c r="AT5">
        <f>BDS("ENTG US Equity","SUPPLY_CHAIN_CUSTOMERS","RELATIONSHIP_AS_OF_DATE","20140204")</f>
        <v/>
      </c>
      <c r="AY5">
        <f>BDS("VLO US Equity","SUPPLY_CHAIN_SUPPLIERS","RELATIONSHIP_AS_OF_DATE","20181018")</f>
        <v/>
      </c>
      <c r="BD5">
        <f>BDS("VLO US Equity","SUPPLY_CHAIN_CUSTOMERS","RELATIONSHIP_AS_OF_DATE","20181018")</f>
        <v/>
      </c>
      <c r="BI5">
        <f>BDS("VBTX US Equity","SUPPLY_CHAIN_SUPPLIERS","RELATIONSHIP_AS_OF_DATE","20180724")</f>
        <v/>
      </c>
      <c r="BN5">
        <f>BDS("VBTX US Equity","SUPPLY_CHAIN_CUSTOMERS","RELATIONSHIP_AS_OF_DATE","20180724")</f>
        <v/>
      </c>
      <c r="BS5">
        <f>BDS("PF US Equity","SUPPLY_CHAIN_SUPPLIERS","RELATIONSHIP_AS_OF_DATE","20151124")</f>
        <v/>
      </c>
      <c r="BX5">
        <f>BDS("PF US Equity","SUPPLY_CHAIN_CUSTOMERS","RELATIONSHIP_AS_OF_DATE","20151124")</f>
        <v/>
      </c>
      <c r="CC5">
        <f>BDS("SCG US Equity","SUPPLY_CHAIN_SUPPLIERS","RELATIONSHIP_AS_OF_DATE","19990217")</f>
        <v/>
      </c>
      <c r="CH5">
        <f>BDS("SCG US Equity","SUPPLY_CHAIN_CUSTOMERS","RELATIONSHIP_AS_OF_DATE","19990217")</f>
        <v/>
      </c>
      <c r="CM5">
        <f>BDS("ON US Equity","SUPPLY_CHAIN_SUPPLIERS","RELATIONSHIP_AS_OF_DATE","20190327")</f>
        <v/>
      </c>
      <c r="CR5">
        <f>BDS("ON US Equity","SUPPLY_CHAIN_CUSTOMERS","RELATIONSHIP_AS_OF_DATE","20190327")</f>
        <v/>
      </c>
      <c r="CW5">
        <f>BDS("DOC US Equity","SUPPLY_CHAIN_SUPPLIERS","RELATIONSHIP_AS_OF_DATE","19990804")</f>
        <v/>
      </c>
      <c r="DB5">
        <f>BDS("DOC US Equity","SUPPLY_CHAIN_CUSTOMERS","RELATIONSHIP_AS_OF_DATE","19990804")</f>
        <v/>
      </c>
      <c r="DG5">
        <f>BDS("ISIL US Equity","SUPPLY_CHAIN_SUPPLIERS","RELATIONSHIP_AS_OF_DATE","20020310")</f>
        <v/>
      </c>
      <c r="DL5">
        <f>BDS("ISIL US Equity","SUPPLY_CHAIN_CUSTOMERS","RELATIONSHIP_AS_OF_DATE","20020310")</f>
        <v/>
      </c>
      <c r="DQ5">
        <f>BDS("PRGNQ US Equity","SUPPLY_CHAIN_SUPPLIERS","RELATIONSHIP_AS_OF_DATE","20010611")</f>
        <v/>
      </c>
      <c r="DV5">
        <f>BDS("PRGNQ US Equity","SUPPLY_CHAIN_CUSTOMERS","RELATIONSHIP_AS_OF_DATE","20010611")</f>
        <v/>
      </c>
      <c r="EA5">
        <f>BDS("BRK/A US Equity","SUPPLY_CHAIN_SUPPLIERS","RELATIONSHIP_AS_OF_DATE","20001108")</f>
        <v/>
      </c>
      <c r="EF5">
        <f>BDS("BRK/A US Equity","SUPPLY_CHAIN_CUSTOMERS","RELATIONSHIP_AS_OF_DATE","20001108")</f>
        <v/>
      </c>
      <c r="EK5">
        <f>BDS("2491Q US Equity","SUPPLY_CHAIN_SUPPLIERS","RELATIONSHIP_AS_OF_DATE","19960606")</f>
        <v/>
      </c>
      <c r="EP5">
        <f>BDS("2491Q US Equity","SUPPLY_CHAIN_CUSTOMERS","RELATIONSHIP_AS_OF_DATE","19960606")</f>
        <v/>
      </c>
      <c r="EU5">
        <f>BDS("1731877D US Equity","SUPPLY_CHAIN_SUPPLIERS","RELATIONSHIP_AS_OF_DATE","20000626")</f>
        <v/>
      </c>
      <c r="EZ5">
        <f>BDS("1731877D US Equity","SUPPLY_CHAIN_CUSTOMERS","RELATIONSHIP_AS_OF_DATE","20000626")</f>
        <v/>
      </c>
      <c r="FE5">
        <f>BDS("2150994D US Equity","SUPPLY_CHAIN_SUPPLIERS","RELATIONSHIP_AS_OF_DATE","20160316")</f>
        <v/>
      </c>
      <c r="FJ5">
        <f>BDS("2150994D US Equity","SUPPLY_CHAIN_CUSTOMERS","RELATIONSHIP_AS_OF_DATE","20160316")</f>
        <v/>
      </c>
      <c r="FO5">
        <f>BDS("TLAB US Equity","SUPPLY_CHAIN_SUPPLIERS","RELATIONSHIP_AS_OF_DATE","19980216")</f>
        <v/>
      </c>
      <c r="FT5">
        <f>BDS("TLAB US Equity","SUPPLY_CHAIN_CUSTOMERS","RELATIONSHIP_AS_OF_DATE","19980216")</f>
        <v/>
      </c>
      <c r="FY5">
        <f>BDS("2619871D US Equity","SUPPLY_CHAIN_SUPPLIERS","RELATIONSHIP_AS_OF_DATE","20180914")</f>
        <v/>
      </c>
      <c r="GD5">
        <f>BDS("2619871D US Equity","SUPPLY_CHAIN_CUSTOMERS","RELATIONSHIP_AS_OF_DATE","20180914")</f>
        <v/>
      </c>
      <c r="GI5">
        <f>BDS("RFMD US Equity","SUPPLY_CHAIN_SUPPLIERS","RELATIONSHIP_AS_OF_DATE","20070813")</f>
        <v/>
      </c>
      <c r="GN5">
        <f>BDS("RFMD US Equity","SUPPLY_CHAIN_CUSTOMERS","RELATIONSHIP_AS_OF_DATE","20070813")</f>
        <v/>
      </c>
      <c r="GS5">
        <f>BDS("IBM US Equity","SUPPLY_CHAIN_SUPPLIERS","RELATIONSHIP_AS_OF_DATE","20150806")</f>
        <v/>
      </c>
      <c r="GX5">
        <f>BDS("IBM US Equity","SUPPLY_CHAIN_CUSTOMERS","RELATIONSHIP_AS_OF_DATE","20150806")</f>
        <v/>
      </c>
      <c r="HC5">
        <f>BDS("605018Q US Equity","SUPPLY_CHAIN_SUPPLIERS","RELATIONSHIP_AS_OF_DATE","19980615")</f>
        <v/>
      </c>
      <c r="HH5">
        <f>BDS("605018Q US Equity","SUPPLY_CHAIN_CUSTOMERS","RELATIONSHIP_AS_OF_DATE","19980615")</f>
        <v/>
      </c>
      <c r="HM5">
        <f>BDS("nan Equity","SUPPLY_CHAIN_SUPPLIERS","RELATIONSHIP_AS_OF_DATE","19991228")</f>
        <v/>
      </c>
      <c r="HR5">
        <f>BDS("nan Equity","SUPPLY_CHAIN_CUSTOMERS","RELATIONSHIP_AS_OF_DATE","19991228")</f>
        <v/>
      </c>
      <c r="HW5">
        <f>BDS("NTIQ US Equity","SUPPLY_CHAIN_SUPPLIERS","RELATIONSHIP_AS_OF_DATE","20010117")</f>
        <v/>
      </c>
      <c r="IB5">
        <f>BDS("NTIQ US Equity","SUPPLY_CHAIN_CUSTOMERS","RELATIONSHIP_AS_OF_DATE","20010117")</f>
        <v/>
      </c>
      <c r="IG5">
        <f>BDS("GENZ US Equity","SUPPLY_CHAIN_SUPPLIERS","RELATIONSHIP_AS_OF_DATE","20040226")</f>
        <v/>
      </c>
      <c r="IL5">
        <f>BDS("GENZ US Equity","SUPPLY_CHAIN_CUSTOMERS","RELATIONSHIP_AS_OF_DATE","20040226")</f>
        <v/>
      </c>
      <c r="IQ5">
        <f>BDS("HPE US Equity","SUPPLY_CHAIN_SUPPLIERS","RELATIONSHIP_AS_OF_DATE","20170307")</f>
        <v/>
      </c>
      <c r="IV5">
        <f>BDS("HPE US Equity","SUPPLY_CHAIN_CUSTOMERS","RELATIONSHIP_AS_OF_DATE","20170307")</f>
        <v/>
      </c>
      <c r="JA5">
        <f>BDS("RVBD US Equity","SUPPLY_CHAIN_SUPPLIERS","RELATIONSHIP_AS_OF_DATE","20121029")</f>
        <v/>
      </c>
      <c r="JF5">
        <f>BDS("RVBD US Equity","SUPPLY_CHAIN_CUSTOMERS","RELATIONSHIP_AS_OF_DATE","20121029")</f>
        <v/>
      </c>
      <c r="JK5">
        <f>BDS("HALO US Equity","SUPPLY_CHAIN_SUPPLIERS","RELATIONSHIP_AS_OF_DATE","20220413")</f>
        <v/>
      </c>
      <c r="JP5">
        <f>BDS("HALO US Equity","SUPPLY_CHAIN_CUSTOMERS","RELATIONSHIP_AS_OF_DATE","20220413")</f>
        <v/>
      </c>
      <c r="JU5">
        <f>BDS("SGI US Equity","SUPPLY_CHAIN_SUPPLIERS","RELATIONSHIP_AS_OF_DATE","20120927")</f>
        <v/>
      </c>
      <c r="JZ5">
        <f>BDS("SGI US Equity","SUPPLY_CHAIN_CUSTOMERS","RELATIONSHIP_AS_OF_DATE","20120927")</f>
        <v/>
      </c>
      <c r="KE5">
        <f>BDS("MKSI US Equity","SUPPLY_CHAIN_SUPPLIERS","RELATIONSHIP_AS_OF_DATE","20181030")</f>
        <v/>
      </c>
      <c r="KJ5">
        <f>BDS("MKSI US Equity","SUPPLY_CHAIN_CUSTOMERS","RELATIONSHIP_AS_OF_DATE","20181030")</f>
        <v/>
      </c>
      <c r="KO5">
        <f>BDS("WFC US Equity","SUPPLY_CHAIN_SUPPLIERS","RELATIONSHIP_AS_OF_DATE","19991221")</f>
        <v/>
      </c>
      <c r="KT5">
        <f>BDS("WFC US Equity","SUPPLY_CHAIN_CUSTOMERS","RELATIONSHIP_AS_OF_DATE","19991221")</f>
        <v/>
      </c>
      <c r="KY5">
        <f>BDS("TTMI US Equity","SUPPLY_CHAIN_SUPPLIERS","RELATIONSHIP_AS_OF_DATE","20140922")</f>
        <v/>
      </c>
      <c r="LD5">
        <f>BDS("TTMI US Equity","SUPPLY_CHAIN_CUSTOMERS","RELATIONSHIP_AS_OF_DATE","20140922")</f>
        <v/>
      </c>
      <c r="LI5">
        <f>BDS("VRNT US Equity","SUPPLY_CHAIN_SUPPLIERS","RELATIONSHIP_AS_OF_DATE","20120813")</f>
        <v/>
      </c>
      <c r="LN5">
        <f>BDS("VRNT US Equity","SUPPLY_CHAIN_CUSTOMERS","RELATIONSHIP_AS_OF_DATE","20120813")</f>
        <v/>
      </c>
      <c r="LS5">
        <f>BDS("UAN US Equity","SUPPLY_CHAIN_SUPPLIERS","RELATIONSHIP_AS_OF_DATE","20150810")</f>
        <v/>
      </c>
      <c r="LX5">
        <f>BDS("UAN US Equity","SUPPLY_CHAIN_CUSTOMERS","RELATIONSHIP_AS_OF_DATE","20150810")</f>
        <v/>
      </c>
      <c r="MC5">
        <f>BDS("ALL US Equity","SUPPLY_CHAIN_SUPPLIERS","RELATIONSHIP_AS_OF_DATE","19990709")</f>
        <v/>
      </c>
      <c r="MH5">
        <f>BDS("ALL US Equity","SUPPLY_CHAIN_CUSTOMERS","RELATIONSHIP_AS_OF_DATE","19990709")</f>
        <v/>
      </c>
      <c r="MM5">
        <f>BDS("GBCI US Equity","SUPPLY_CHAIN_SUPPLIERS","RELATIONSHIP_AS_OF_DATE","20210518")</f>
        <v/>
      </c>
      <c r="MR5">
        <f>BDS("GBCI US Equity","SUPPLY_CHAIN_CUSTOMERS","RELATIONSHIP_AS_OF_DATE","20210518")</f>
        <v/>
      </c>
      <c r="MW5">
        <f>BDS("UBSI US Equity","SUPPLY_CHAIN_SUPPLIERS","RELATIONSHIP_AS_OF_DATE","20160818")</f>
        <v/>
      </c>
      <c r="NB5">
        <f>BDS("UBSI US Equity","SUPPLY_CHAIN_CUSTOMERS","RELATIONSHIP_AS_OF_DATE","20160818")</f>
        <v/>
      </c>
      <c r="NG5">
        <f>BDS("IM US Equity","SUPPLY_CHAIN_SUPPLIERS","RELATIONSHIP_AS_OF_DATE","20120702")</f>
        <v/>
      </c>
      <c r="NL5">
        <f>BDS("IM US Equity","SUPPLY_CHAIN_CUSTOMERS","RELATIONSHIP_AS_OF_DATE","20120702")</f>
        <v/>
      </c>
      <c r="NQ5">
        <f>BDS("FMER US Equity","SUPPLY_CHAIN_SUPPLIERS","RELATIONSHIP_AS_OF_DATE","20120913")</f>
        <v/>
      </c>
      <c r="NV5">
        <f>BDS("FMER US Equity","SUPPLY_CHAIN_CUSTOMERS","RELATIONSHIP_AS_OF_DATE","20120913")</f>
        <v/>
      </c>
      <c r="OA5">
        <f>BDS("D US Equity","SUPPLY_CHAIN_SUPPLIERS","RELATIONSHIP_AS_OF_DATE","20181126")</f>
        <v/>
      </c>
      <c r="OF5">
        <f>BDS("D US Equity","SUPPLY_CHAIN_CUSTOMERS","RELATIONSHIP_AS_OF_DATE","20181126")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1441</t>
        </is>
      </c>
      <c r="K1" s="1" t="inlineStr">
        <is>
          <t>Deal 1442</t>
        </is>
      </c>
      <c r="U1" s="1" t="inlineStr">
        <is>
          <t>Deal 1443</t>
        </is>
      </c>
      <c r="AE1" s="1" t="inlineStr">
        <is>
          <t>Deal 1444</t>
        </is>
      </c>
      <c r="AO1" s="1" t="inlineStr">
        <is>
          <t>Deal 1445</t>
        </is>
      </c>
      <c r="AY1" s="1" t="inlineStr">
        <is>
          <t>Deal 1446</t>
        </is>
      </c>
      <c r="BI1" s="1" t="inlineStr">
        <is>
          <t>Deal 1447</t>
        </is>
      </c>
      <c r="BS1" s="1" t="inlineStr">
        <is>
          <t>Deal 1448</t>
        </is>
      </c>
      <c r="CC1" s="1" t="inlineStr">
        <is>
          <t>Deal 1449</t>
        </is>
      </c>
      <c r="CM1" s="1" t="inlineStr">
        <is>
          <t>Deal 1450</t>
        </is>
      </c>
      <c r="CW1" s="1" t="inlineStr">
        <is>
          <t>Deal 1451</t>
        </is>
      </c>
      <c r="DG1" s="1" t="inlineStr">
        <is>
          <t>Deal 1452</t>
        </is>
      </c>
      <c r="DQ1" s="1" t="inlineStr">
        <is>
          <t>Deal 1453</t>
        </is>
      </c>
      <c r="EA1" s="1" t="inlineStr">
        <is>
          <t>Deal 1454</t>
        </is>
      </c>
      <c r="EK1" s="1" t="inlineStr">
        <is>
          <t>Deal 1455</t>
        </is>
      </c>
      <c r="EU1" s="1" t="inlineStr">
        <is>
          <t>Deal 1456</t>
        </is>
      </c>
      <c r="FE1" s="1" t="inlineStr">
        <is>
          <t>Deal 1457</t>
        </is>
      </c>
      <c r="FO1" s="1" t="inlineStr">
        <is>
          <t>Deal 1458</t>
        </is>
      </c>
      <c r="FY1" s="1" t="inlineStr">
        <is>
          <t>Deal 1459</t>
        </is>
      </c>
      <c r="GI1" s="1" t="inlineStr">
        <is>
          <t>Deal 1460</t>
        </is>
      </c>
      <c r="GS1" s="1" t="inlineStr">
        <is>
          <t>Deal 1461</t>
        </is>
      </c>
      <c r="HC1" s="1" t="inlineStr">
        <is>
          <t>Deal 1462</t>
        </is>
      </c>
      <c r="HM1" s="1" t="inlineStr">
        <is>
          <t>Deal 1463</t>
        </is>
      </c>
      <c r="HW1" s="1" t="inlineStr">
        <is>
          <t>Deal 1464</t>
        </is>
      </c>
      <c r="IG1" s="1" t="inlineStr">
        <is>
          <t>Deal 1465</t>
        </is>
      </c>
      <c r="IQ1" s="1" t="inlineStr">
        <is>
          <t>Deal 1466</t>
        </is>
      </c>
      <c r="JA1" s="1" t="inlineStr">
        <is>
          <t>Deal 1467</t>
        </is>
      </c>
      <c r="JK1" s="1" t="inlineStr">
        <is>
          <t>Deal 1468</t>
        </is>
      </c>
      <c r="JU1" s="1" t="inlineStr">
        <is>
          <t>Deal 1469</t>
        </is>
      </c>
      <c r="KE1" s="1" t="inlineStr">
        <is>
          <t>Deal 1470</t>
        </is>
      </c>
      <c r="KO1" s="1" t="inlineStr">
        <is>
          <t>Deal 1471</t>
        </is>
      </c>
      <c r="KY1" s="1" t="inlineStr">
        <is>
          <t>Deal 1472</t>
        </is>
      </c>
      <c r="LI1" s="1" t="inlineStr">
        <is>
          <t>Deal 1473</t>
        </is>
      </c>
      <c r="LS1" s="1" t="inlineStr">
        <is>
          <t>Deal 1474</t>
        </is>
      </c>
      <c r="MC1" s="1" t="inlineStr">
        <is>
          <t>Deal 1475</t>
        </is>
      </c>
      <c r="MM1" s="1" t="inlineStr">
        <is>
          <t>Deal 1476</t>
        </is>
      </c>
      <c r="MW1" s="1" t="inlineStr">
        <is>
          <t>Deal 1477</t>
        </is>
      </c>
      <c r="NG1" s="1" t="inlineStr">
        <is>
          <t>Deal 1478</t>
        </is>
      </c>
      <c r="NQ1" s="1" t="inlineStr">
        <is>
          <t>Deal 1479</t>
        </is>
      </c>
      <c r="OA1" s="1" t="inlineStr">
        <is>
          <t>Deal 1480</t>
        </is>
      </c>
    </row>
    <row r="2">
      <c r="A2" s="2" t="inlineStr">
        <is>
          <t>AGN US Equity</t>
        </is>
      </c>
      <c r="K2" s="2" t="inlineStr">
        <is>
          <t>AVNT US Equity</t>
        </is>
      </c>
      <c r="U2" s="2" t="inlineStr">
        <is>
          <t>GTIV US Equity</t>
        </is>
      </c>
      <c r="AE2" s="2" t="inlineStr">
        <is>
          <t>MRK US Equity</t>
        </is>
      </c>
      <c r="AO2" s="2" t="inlineStr">
        <is>
          <t>1545746D US Equity</t>
        </is>
      </c>
      <c r="AY2" s="2" t="inlineStr">
        <is>
          <t>PCH US Equity</t>
        </is>
      </c>
      <c r="BI2" s="2" t="inlineStr">
        <is>
          <t>MKL US Equity</t>
        </is>
      </c>
      <c r="BS2" s="2" t="inlineStr">
        <is>
          <t>GE US Equity</t>
        </is>
      </c>
      <c r="CC2" s="2" t="inlineStr">
        <is>
          <t>BPYU US Equity</t>
        </is>
      </c>
      <c r="CM2" s="2" t="inlineStr">
        <is>
          <t>WSFS US Equity</t>
        </is>
      </c>
      <c r="CW2" s="2" t="inlineStr">
        <is>
          <t>JNJ US Equity</t>
        </is>
      </c>
      <c r="DG2" s="2" t="inlineStr">
        <is>
          <t>9991735D US Equity</t>
        </is>
      </c>
      <c r="DQ2" s="2" t="inlineStr">
        <is>
          <t>URI US Equity</t>
        </is>
      </c>
      <c r="EA2" s="2" t="inlineStr">
        <is>
          <t>AVT US Equity</t>
        </is>
      </c>
      <c r="EK2" s="2" t="inlineStr">
        <is>
          <t>RJF US Equity</t>
        </is>
      </c>
      <c r="EU2" s="2" t="inlineStr">
        <is>
          <t>UNH US Equity</t>
        </is>
      </c>
      <c r="FE2" s="2" t="inlineStr">
        <is>
          <t>502466Q US Equity</t>
        </is>
      </c>
      <c r="FO2" s="2" t="inlineStr">
        <is>
          <t>1544866D US Equity</t>
        </is>
      </c>
      <c r="FY2" s="2" t="inlineStr">
        <is>
          <t>DGX US Equity</t>
        </is>
      </c>
      <c r="GI2" s="2" t="inlineStr">
        <is>
          <t>SJM US Equity</t>
        </is>
      </c>
      <c r="GS2" s="2" t="inlineStr">
        <is>
          <t>9990721D US Equity</t>
        </is>
      </c>
      <c r="HC2" s="2" t="inlineStr">
        <is>
          <t>SWN US Equity</t>
        </is>
      </c>
      <c r="HM2" s="2" t="inlineStr">
        <is>
          <t>HOMB US Equity</t>
        </is>
      </c>
      <c r="HW2" s="2" t="inlineStr">
        <is>
          <t>SIVBQ US Equity</t>
        </is>
      </c>
      <c r="IG2" s="2" t="inlineStr">
        <is>
          <t>HZNP US Equity</t>
        </is>
      </c>
      <c r="IQ2" s="2" t="inlineStr">
        <is>
          <t>EBC US Equity</t>
        </is>
      </c>
      <c r="JA2" s="2" t="inlineStr">
        <is>
          <t>WLTGQ US Equity</t>
        </is>
      </c>
      <c r="JK2" s="2" t="inlineStr">
        <is>
          <t>CVBF US Equity</t>
        </is>
      </c>
      <c r="JU2" s="2" t="inlineStr">
        <is>
          <t>244630Q US Equity</t>
        </is>
      </c>
      <c r="KE2" s="2" t="inlineStr">
        <is>
          <t>PSS US Equity</t>
        </is>
      </c>
      <c r="KO2" s="2" t="inlineStr">
        <is>
          <t>1683997D US Equity</t>
        </is>
      </c>
      <c r="KY2" s="2" t="inlineStr">
        <is>
          <t>EQIX US Equity</t>
        </is>
      </c>
      <c r="LI2" s="2" t="inlineStr">
        <is>
          <t>BMC US Equity</t>
        </is>
      </c>
      <c r="LS2" s="2" t="inlineStr">
        <is>
          <t>4612775Q US Equity</t>
        </is>
      </c>
      <c r="MC2" s="2" t="inlineStr">
        <is>
          <t>TLAB US Equity</t>
        </is>
      </c>
      <c r="MM2" s="2" t="inlineStr">
        <is>
          <t>ASNAQ US Equity</t>
        </is>
      </c>
      <c r="MW2" s="2" t="inlineStr">
        <is>
          <t>MFIC US Equity</t>
        </is>
      </c>
      <c r="NG2" s="2" t="inlineStr">
        <is>
          <t>ESVNQ US Equity</t>
        </is>
      </c>
      <c r="NQ2" s="2" t="inlineStr">
        <is>
          <t>116777Q US Equity</t>
        </is>
      </c>
      <c r="OA2" s="2" t="inlineStr">
        <is>
          <t>GMH US Equity</t>
        </is>
      </c>
    </row>
    <row r="3">
      <c r="A3" t="inlineStr">
        <is>
          <t>Ann: 2000-05-25</t>
        </is>
      </c>
      <c r="K3" t="inlineStr">
        <is>
          <t>Ann: 2000-05-08</t>
        </is>
      </c>
      <c r="U3" t="inlineStr">
        <is>
          <t>Ann: 2010-05-24</t>
        </is>
      </c>
      <c r="AE3" t="inlineStr">
        <is>
          <t>Ann: 2006-10-30</t>
        </is>
      </c>
      <c r="AO3" t="inlineStr">
        <is>
          <t>Ann: 1999-06-02</t>
        </is>
      </c>
      <c r="AY3" t="inlineStr">
        <is>
          <t>Ann: 2022-05-31</t>
        </is>
      </c>
      <c r="BI3" t="inlineStr">
        <is>
          <t>Ann: 2017-07-26</t>
        </is>
      </c>
      <c r="BS3" t="inlineStr">
        <is>
          <t>Ann: 2008-07-24</t>
        </is>
      </c>
      <c r="CC3" t="inlineStr">
        <is>
          <t>Ann: 2002-03-04</t>
        </is>
      </c>
      <c r="CM3" t="inlineStr">
        <is>
          <t>Ann: 2021-03-10</t>
        </is>
      </c>
      <c r="CW3" t="inlineStr">
        <is>
          <t>Ann: 2009-05-22</t>
        </is>
      </c>
      <c r="DG3" t="inlineStr">
        <is>
          <t>Ann: 2016-09-20</t>
        </is>
      </c>
      <c r="DQ3" t="inlineStr">
        <is>
          <t>Ann: 1998-06-16</t>
        </is>
      </c>
      <c r="EA3" t="inlineStr">
        <is>
          <t>Ann: 1999-06-28</t>
        </is>
      </c>
      <c r="EK3" t="inlineStr">
        <is>
          <t>Ann: 2021-10-20</t>
        </is>
      </c>
      <c r="EU3" t="inlineStr">
        <is>
          <t>Ann: 2019-12-09</t>
        </is>
      </c>
      <c r="FE3" t="inlineStr">
        <is>
          <t>Ann: 2003-06-03</t>
        </is>
      </c>
      <c r="FO3" t="inlineStr">
        <is>
          <t>Ann: 2001-08-29</t>
        </is>
      </c>
      <c r="FY3" t="inlineStr">
        <is>
          <t>Ann: 2005-08-08</t>
        </is>
      </c>
      <c r="GI3" t="inlineStr">
        <is>
          <t>Ann: 2004-03-08</t>
        </is>
      </c>
      <c r="GS3" t="inlineStr">
        <is>
          <t>Ann: 1998-06-08</t>
        </is>
      </c>
      <c r="HC3" t="inlineStr">
        <is>
          <t>Ann: 2020-08-12</t>
        </is>
      </c>
      <c r="HM3" t="inlineStr">
        <is>
          <t>Ann: 2017-03-27</t>
        </is>
      </c>
      <c r="HW3" t="inlineStr">
        <is>
          <t>Ann: 2021-01-04</t>
        </is>
      </c>
      <c r="IG3" t="inlineStr">
        <is>
          <t>Ann: 2015-03-30</t>
        </is>
      </c>
      <c r="IQ3" t="inlineStr">
        <is>
          <t>Ann: 2021-04-08</t>
        </is>
      </c>
      <c r="JA3" t="inlineStr">
        <is>
          <t>Ann: 2005-06-19</t>
        </is>
      </c>
      <c r="JK3" t="inlineStr">
        <is>
          <t>Ann: 2018-02-26</t>
        </is>
      </c>
      <c r="JU3" t="inlineStr">
        <is>
          <t>Ann: 1998-09-28</t>
        </is>
      </c>
      <c r="KE3" t="inlineStr">
        <is>
          <t>Ann: 2007-05-22</t>
        </is>
      </c>
      <c r="KO3" t="inlineStr">
        <is>
          <t>Ann: 2010-12-13</t>
        </is>
      </c>
      <c r="KY3" t="inlineStr">
        <is>
          <t>Ann: 2009-10-21</t>
        </is>
      </c>
      <c r="LI3" t="inlineStr">
        <is>
          <t>Ann: 1998-11-02</t>
        </is>
      </c>
      <c r="LS3" t="inlineStr">
        <is>
          <t>Ann: 1998-06-30</t>
        </is>
      </c>
      <c r="MC3" t="inlineStr">
        <is>
          <t>Ann: 2004-05-20</t>
        </is>
      </c>
      <c r="MM3" t="inlineStr">
        <is>
          <t>Ann: 2012-05-02</t>
        </is>
      </c>
      <c r="MW3" t="inlineStr">
        <is>
          <t>Ann: 2007-04-16</t>
        </is>
      </c>
      <c r="NG3" t="inlineStr">
        <is>
          <t>Ann: 1999-11-03</t>
        </is>
      </c>
      <c r="NQ3" t="inlineStr">
        <is>
          <t>Ann: 2000-03-13</t>
        </is>
      </c>
      <c r="OA3" t="inlineStr">
        <is>
          <t>Ann: 1998-05-01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BDS("AGN US Equity","SUPPLY_CHAIN_SUPPLIERS","RELATIONSHIP_AS_OF_DATE","20000525")</f>
        <v/>
      </c>
      <c r="F5">
        <f>BDS("AGN US Equity","SUPPLY_CHAIN_CUSTOMERS","RELATIONSHIP_AS_OF_DATE","20000525")</f>
        <v/>
      </c>
      <c r="K5">
        <f>BDS("AVNT US Equity","SUPPLY_CHAIN_SUPPLIERS","RELATIONSHIP_AS_OF_DATE","20000508")</f>
        <v/>
      </c>
      <c r="P5">
        <f>BDS("AVNT US Equity","SUPPLY_CHAIN_CUSTOMERS","RELATIONSHIP_AS_OF_DATE","20000508")</f>
        <v/>
      </c>
      <c r="U5">
        <f>BDS("GTIV US Equity","SUPPLY_CHAIN_SUPPLIERS","RELATIONSHIP_AS_OF_DATE","20100524")</f>
        <v/>
      </c>
      <c r="Z5">
        <f>BDS("GTIV US Equity","SUPPLY_CHAIN_CUSTOMERS","RELATIONSHIP_AS_OF_DATE","20100524")</f>
        <v/>
      </c>
      <c r="AE5">
        <f>BDS("MRK US Equity","SUPPLY_CHAIN_SUPPLIERS","RELATIONSHIP_AS_OF_DATE","20061030")</f>
        <v/>
      </c>
      <c r="AJ5">
        <f>BDS("MRK US Equity","SUPPLY_CHAIN_CUSTOMERS","RELATIONSHIP_AS_OF_DATE","20061030")</f>
        <v/>
      </c>
      <c r="AO5">
        <f>BDS("1545746D US Equity","SUPPLY_CHAIN_SUPPLIERS","RELATIONSHIP_AS_OF_DATE","19990602")</f>
        <v/>
      </c>
      <c r="AT5">
        <f>BDS("1545746D US Equity","SUPPLY_CHAIN_CUSTOMERS","RELATIONSHIP_AS_OF_DATE","19990602")</f>
        <v/>
      </c>
      <c r="AY5">
        <f>BDS("PCH US Equity","SUPPLY_CHAIN_SUPPLIERS","RELATIONSHIP_AS_OF_DATE","20220531")</f>
        <v/>
      </c>
      <c r="BD5">
        <f>BDS("PCH US Equity","SUPPLY_CHAIN_CUSTOMERS","RELATIONSHIP_AS_OF_DATE","20220531")</f>
        <v/>
      </c>
      <c r="BI5">
        <f>BDS("MKL US Equity","SUPPLY_CHAIN_SUPPLIERS","RELATIONSHIP_AS_OF_DATE","20170726")</f>
        <v/>
      </c>
      <c r="BN5">
        <f>BDS("MKL US Equity","SUPPLY_CHAIN_CUSTOMERS","RELATIONSHIP_AS_OF_DATE","20170726")</f>
        <v/>
      </c>
      <c r="BS5">
        <f>BDS("GE US Equity","SUPPLY_CHAIN_SUPPLIERS","RELATIONSHIP_AS_OF_DATE","20080724")</f>
        <v/>
      </c>
      <c r="BX5">
        <f>BDS("GE US Equity","SUPPLY_CHAIN_CUSTOMERS","RELATIONSHIP_AS_OF_DATE","20080724")</f>
        <v/>
      </c>
      <c r="CC5">
        <f>BDS("BPYU US Equity","SUPPLY_CHAIN_SUPPLIERS","RELATIONSHIP_AS_OF_DATE","20020304")</f>
        <v/>
      </c>
      <c r="CH5">
        <f>BDS("BPYU US Equity","SUPPLY_CHAIN_CUSTOMERS","RELATIONSHIP_AS_OF_DATE","20020304")</f>
        <v/>
      </c>
      <c r="CM5">
        <f>BDS("WSFS US Equity","SUPPLY_CHAIN_SUPPLIERS","RELATIONSHIP_AS_OF_DATE","20210310")</f>
        <v/>
      </c>
      <c r="CR5">
        <f>BDS("WSFS US Equity","SUPPLY_CHAIN_CUSTOMERS","RELATIONSHIP_AS_OF_DATE","20210310")</f>
        <v/>
      </c>
      <c r="CW5">
        <f>BDS("JNJ US Equity","SUPPLY_CHAIN_SUPPLIERS","RELATIONSHIP_AS_OF_DATE","20090522")</f>
        <v/>
      </c>
      <c r="DB5">
        <f>BDS("JNJ US Equity","SUPPLY_CHAIN_CUSTOMERS","RELATIONSHIP_AS_OF_DATE","20090522")</f>
        <v/>
      </c>
      <c r="DG5">
        <f>BDS("9991735D US Equity","SUPPLY_CHAIN_SUPPLIERS","RELATIONSHIP_AS_OF_DATE","20160920")</f>
        <v/>
      </c>
      <c r="DL5">
        <f>BDS("9991735D US Equity","SUPPLY_CHAIN_CUSTOMERS","RELATIONSHIP_AS_OF_DATE","20160920")</f>
        <v/>
      </c>
      <c r="DQ5">
        <f>BDS("URI US Equity","SUPPLY_CHAIN_SUPPLIERS","RELATIONSHIP_AS_OF_DATE","19980616")</f>
        <v/>
      </c>
      <c r="DV5">
        <f>BDS("URI US Equity","SUPPLY_CHAIN_CUSTOMERS","RELATIONSHIP_AS_OF_DATE","19980616")</f>
        <v/>
      </c>
      <c r="EA5">
        <f>BDS("AVT US Equity","SUPPLY_CHAIN_SUPPLIERS","RELATIONSHIP_AS_OF_DATE","19990628")</f>
        <v/>
      </c>
      <c r="EF5">
        <f>BDS("AVT US Equity","SUPPLY_CHAIN_CUSTOMERS","RELATIONSHIP_AS_OF_DATE","19990628")</f>
        <v/>
      </c>
      <c r="EK5">
        <f>BDS("RJF US Equity","SUPPLY_CHAIN_SUPPLIERS","RELATIONSHIP_AS_OF_DATE","20211020")</f>
        <v/>
      </c>
      <c r="EP5">
        <f>BDS("RJF US Equity","SUPPLY_CHAIN_CUSTOMERS","RELATIONSHIP_AS_OF_DATE","20211020")</f>
        <v/>
      </c>
      <c r="EU5">
        <f>BDS("UNH US Equity","SUPPLY_CHAIN_SUPPLIERS","RELATIONSHIP_AS_OF_DATE","20191209")</f>
        <v/>
      </c>
      <c r="EZ5">
        <f>BDS("UNH US Equity","SUPPLY_CHAIN_CUSTOMERS","RELATIONSHIP_AS_OF_DATE","20191209")</f>
        <v/>
      </c>
      <c r="FE5">
        <f>BDS("502466Q US Equity","SUPPLY_CHAIN_SUPPLIERS","RELATIONSHIP_AS_OF_DATE","20030603")</f>
        <v/>
      </c>
      <c r="FJ5">
        <f>BDS("502466Q US Equity","SUPPLY_CHAIN_CUSTOMERS","RELATIONSHIP_AS_OF_DATE","20030603")</f>
        <v/>
      </c>
      <c r="FO5">
        <f>BDS("1544866D US Equity","SUPPLY_CHAIN_SUPPLIERS","RELATIONSHIP_AS_OF_DATE","20010829")</f>
        <v/>
      </c>
      <c r="FT5">
        <f>BDS("1544866D US Equity","SUPPLY_CHAIN_CUSTOMERS","RELATIONSHIP_AS_OF_DATE","20010829")</f>
        <v/>
      </c>
      <c r="FY5">
        <f>BDS("DGX US Equity","SUPPLY_CHAIN_SUPPLIERS","RELATIONSHIP_AS_OF_DATE","20050808")</f>
        <v/>
      </c>
      <c r="GD5">
        <f>BDS("DGX US Equity","SUPPLY_CHAIN_CUSTOMERS","RELATIONSHIP_AS_OF_DATE","20050808")</f>
        <v/>
      </c>
      <c r="GI5">
        <f>BDS("SJM US Equity","SUPPLY_CHAIN_SUPPLIERS","RELATIONSHIP_AS_OF_DATE","20040308")</f>
        <v/>
      </c>
      <c r="GN5">
        <f>BDS("SJM US Equity","SUPPLY_CHAIN_CUSTOMERS","RELATIONSHIP_AS_OF_DATE","20040308")</f>
        <v/>
      </c>
      <c r="GS5">
        <f>BDS("9990721D US Equity","SUPPLY_CHAIN_SUPPLIERS","RELATIONSHIP_AS_OF_DATE","19980608")</f>
        <v/>
      </c>
      <c r="GX5">
        <f>BDS("9990721D US Equity","SUPPLY_CHAIN_CUSTOMERS","RELATIONSHIP_AS_OF_DATE","19980608")</f>
        <v/>
      </c>
      <c r="HC5">
        <f>BDS("SWN US Equity","SUPPLY_CHAIN_SUPPLIERS","RELATIONSHIP_AS_OF_DATE","20200812")</f>
        <v/>
      </c>
      <c r="HH5">
        <f>BDS("SWN US Equity","SUPPLY_CHAIN_CUSTOMERS","RELATIONSHIP_AS_OF_DATE","20200812")</f>
        <v/>
      </c>
      <c r="HM5">
        <f>BDS("HOMB US Equity","SUPPLY_CHAIN_SUPPLIERS","RELATIONSHIP_AS_OF_DATE","20170327")</f>
        <v/>
      </c>
      <c r="HR5">
        <f>BDS("HOMB US Equity","SUPPLY_CHAIN_CUSTOMERS","RELATIONSHIP_AS_OF_DATE","20170327")</f>
        <v/>
      </c>
      <c r="HW5">
        <f>BDS("SIVBQ US Equity","SUPPLY_CHAIN_SUPPLIERS","RELATIONSHIP_AS_OF_DATE","20210104")</f>
        <v/>
      </c>
      <c r="IB5">
        <f>BDS("SIVBQ US Equity","SUPPLY_CHAIN_CUSTOMERS","RELATIONSHIP_AS_OF_DATE","20210104")</f>
        <v/>
      </c>
      <c r="IG5">
        <f>BDS("HZNP US Equity","SUPPLY_CHAIN_SUPPLIERS","RELATIONSHIP_AS_OF_DATE","20150330")</f>
        <v/>
      </c>
      <c r="IL5">
        <f>BDS("HZNP US Equity","SUPPLY_CHAIN_CUSTOMERS","RELATIONSHIP_AS_OF_DATE","20150330")</f>
        <v/>
      </c>
      <c r="IQ5">
        <f>BDS("EBC US Equity","SUPPLY_CHAIN_SUPPLIERS","RELATIONSHIP_AS_OF_DATE","20210408")</f>
        <v/>
      </c>
      <c r="IV5">
        <f>BDS("EBC US Equity","SUPPLY_CHAIN_CUSTOMERS","RELATIONSHIP_AS_OF_DATE","20210408")</f>
        <v/>
      </c>
      <c r="JA5">
        <f>BDS("WLTGQ US Equity","SUPPLY_CHAIN_SUPPLIERS","RELATIONSHIP_AS_OF_DATE","20050619")</f>
        <v/>
      </c>
      <c r="JF5">
        <f>BDS("WLTGQ US Equity","SUPPLY_CHAIN_CUSTOMERS","RELATIONSHIP_AS_OF_DATE","20050619")</f>
        <v/>
      </c>
      <c r="JK5">
        <f>BDS("CVBF US Equity","SUPPLY_CHAIN_SUPPLIERS","RELATIONSHIP_AS_OF_DATE","20180226")</f>
        <v/>
      </c>
      <c r="JP5">
        <f>BDS("CVBF US Equity","SUPPLY_CHAIN_CUSTOMERS","RELATIONSHIP_AS_OF_DATE","20180226")</f>
        <v/>
      </c>
      <c r="JU5">
        <f>BDS("244630Q US Equity","SUPPLY_CHAIN_SUPPLIERS","RELATIONSHIP_AS_OF_DATE","19980928")</f>
        <v/>
      </c>
      <c r="JZ5">
        <f>BDS("244630Q US Equity","SUPPLY_CHAIN_CUSTOMERS","RELATIONSHIP_AS_OF_DATE","19980928")</f>
        <v/>
      </c>
      <c r="KE5">
        <f>BDS("PSS US Equity","SUPPLY_CHAIN_SUPPLIERS","RELATIONSHIP_AS_OF_DATE","20070522")</f>
        <v/>
      </c>
      <c r="KJ5">
        <f>BDS("PSS US Equity","SUPPLY_CHAIN_CUSTOMERS","RELATIONSHIP_AS_OF_DATE","20070522")</f>
        <v/>
      </c>
      <c r="KO5">
        <f>BDS("1683997D US Equity","SUPPLY_CHAIN_SUPPLIERS","RELATIONSHIP_AS_OF_DATE","20101213")</f>
        <v/>
      </c>
      <c r="KT5">
        <f>BDS("1683997D US Equity","SUPPLY_CHAIN_CUSTOMERS","RELATIONSHIP_AS_OF_DATE","20101213")</f>
        <v/>
      </c>
      <c r="KY5">
        <f>BDS("EQIX US Equity","SUPPLY_CHAIN_SUPPLIERS","RELATIONSHIP_AS_OF_DATE","20091021")</f>
        <v/>
      </c>
      <c r="LD5">
        <f>BDS("EQIX US Equity","SUPPLY_CHAIN_CUSTOMERS","RELATIONSHIP_AS_OF_DATE","20091021")</f>
        <v/>
      </c>
      <c r="LI5">
        <f>BDS("BMC US Equity","SUPPLY_CHAIN_SUPPLIERS","RELATIONSHIP_AS_OF_DATE","19981102")</f>
        <v/>
      </c>
      <c r="LN5">
        <f>BDS("BMC US Equity","SUPPLY_CHAIN_CUSTOMERS","RELATIONSHIP_AS_OF_DATE","19981102")</f>
        <v/>
      </c>
      <c r="LS5">
        <f>BDS("4612775Q US Equity","SUPPLY_CHAIN_SUPPLIERS","RELATIONSHIP_AS_OF_DATE","19980630")</f>
        <v/>
      </c>
      <c r="LX5">
        <f>BDS("4612775Q US Equity","SUPPLY_CHAIN_CUSTOMERS","RELATIONSHIP_AS_OF_DATE","19980630")</f>
        <v/>
      </c>
      <c r="MC5">
        <f>BDS("TLAB US Equity","SUPPLY_CHAIN_SUPPLIERS","RELATIONSHIP_AS_OF_DATE","20040520")</f>
        <v/>
      </c>
      <c r="MH5">
        <f>BDS("TLAB US Equity","SUPPLY_CHAIN_CUSTOMERS","RELATIONSHIP_AS_OF_DATE","20040520")</f>
        <v/>
      </c>
      <c r="MM5">
        <f>BDS("ASNAQ US Equity","SUPPLY_CHAIN_SUPPLIERS","RELATIONSHIP_AS_OF_DATE","20120502")</f>
        <v/>
      </c>
      <c r="MR5">
        <f>BDS("ASNAQ US Equity","SUPPLY_CHAIN_CUSTOMERS","RELATIONSHIP_AS_OF_DATE","20120502")</f>
        <v/>
      </c>
      <c r="MW5">
        <f>BDS("MFIC US Equity","SUPPLY_CHAIN_SUPPLIERS","RELATIONSHIP_AS_OF_DATE","20070416")</f>
        <v/>
      </c>
      <c r="NB5">
        <f>BDS("MFIC US Equity","SUPPLY_CHAIN_CUSTOMERS","RELATIONSHIP_AS_OF_DATE","20070416")</f>
        <v/>
      </c>
      <c r="NG5">
        <f>BDS("ESVNQ US Equity","SUPPLY_CHAIN_SUPPLIERS","RELATIONSHIP_AS_OF_DATE","19991103")</f>
        <v/>
      </c>
      <c r="NL5">
        <f>BDS("ESVNQ US Equity","SUPPLY_CHAIN_CUSTOMERS","RELATIONSHIP_AS_OF_DATE","19991103")</f>
        <v/>
      </c>
      <c r="NQ5">
        <f>BDS("116777Q US Equity","SUPPLY_CHAIN_SUPPLIERS","RELATIONSHIP_AS_OF_DATE","20000313")</f>
        <v/>
      </c>
      <c r="NV5">
        <f>BDS("116777Q US Equity","SUPPLY_CHAIN_CUSTOMERS","RELATIONSHIP_AS_OF_DATE","20000313")</f>
        <v/>
      </c>
      <c r="OA5">
        <f>BDS("GMH US Equity","SUPPLY_CHAIN_SUPPLIERS","RELATIONSHIP_AS_OF_DATE","19980501")</f>
        <v/>
      </c>
      <c r="OF5">
        <f>BDS("GMH US Equity","SUPPLY_CHAIN_CUSTOMERS","RELATIONSHIP_AS_OF_DATE","19980501")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1481</t>
        </is>
      </c>
      <c r="K1" s="1" t="inlineStr">
        <is>
          <t>Deal 1482</t>
        </is>
      </c>
      <c r="U1" s="1" t="inlineStr">
        <is>
          <t>Deal 1483</t>
        </is>
      </c>
      <c r="AE1" s="1" t="inlineStr">
        <is>
          <t>Deal 1484</t>
        </is>
      </c>
      <c r="AO1" s="1" t="inlineStr">
        <is>
          <t>Deal 1485</t>
        </is>
      </c>
      <c r="AY1" s="1" t="inlineStr">
        <is>
          <t>Deal 1486</t>
        </is>
      </c>
      <c r="BI1" s="1" t="inlineStr">
        <is>
          <t>Deal 1487</t>
        </is>
      </c>
      <c r="BS1" s="1" t="inlineStr">
        <is>
          <t>Deal 1488</t>
        </is>
      </c>
      <c r="CC1" s="1" t="inlineStr">
        <is>
          <t>Deal 1489</t>
        </is>
      </c>
      <c r="CM1" s="1" t="inlineStr">
        <is>
          <t>Deal 1490</t>
        </is>
      </c>
      <c r="CW1" s="1" t="inlineStr">
        <is>
          <t>Deal 1491</t>
        </is>
      </c>
      <c r="DG1" s="1" t="inlineStr">
        <is>
          <t>Deal 1492</t>
        </is>
      </c>
      <c r="DQ1" s="1" t="inlineStr">
        <is>
          <t>Deal 1493</t>
        </is>
      </c>
      <c r="EA1" s="1" t="inlineStr">
        <is>
          <t>Deal 1494</t>
        </is>
      </c>
      <c r="EK1" s="1" t="inlineStr">
        <is>
          <t>Deal 1495</t>
        </is>
      </c>
      <c r="EU1" s="1" t="inlineStr">
        <is>
          <t>Deal 1496</t>
        </is>
      </c>
      <c r="FE1" s="1" t="inlineStr">
        <is>
          <t>Deal 1497</t>
        </is>
      </c>
      <c r="FO1" s="1" t="inlineStr">
        <is>
          <t>Deal 1498</t>
        </is>
      </c>
      <c r="FY1" s="1" t="inlineStr">
        <is>
          <t>Deal 1499</t>
        </is>
      </c>
      <c r="GI1" s="1" t="inlineStr">
        <is>
          <t>Deal 1500</t>
        </is>
      </c>
      <c r="GS1" s="1" t="inlineStr">
        <is>
          <t>Deal 1501</t>
        </is>
      </c>
      <c r="HC1" s="1" t="inlineStr">
        <is>
          <t>Deal 1502</t>
        </is>
      </c>
      <c r="HM1" s="1" t="inlineStr">
        <is>
          <t>Deal 1503</t>
        </is>
      </c>
      <c r="HW1" s="1" t="inlineStr">
        <is>
          <t>Deal 1504</t>
        </is>
      </c>
      <c r="IG1" s="1" t="inlineStr">
        <is>
          <t>Deal 1505</t>
        </is>
      </c>
      <c r="IQ1" s="1" t="inlineStr">
        <is>
          <t>Deal 1506</t>
        </is>
      </c>
      <c r="JA1" s="1" t="inlineStr">
        <is>
          <t>Deal 1507</t>
        </is>
      </c>
      <c r="JK1" s="1" t="inlineStr">
        <is>
          <t>Deal 1508</t>
        </is>
      </c>
      <c r="JU1" s="1" t="inlineStr">
        <is>
          <t>Deal 1509</t>
        </is>
      </c>
      <c r="KE1" s="1" t="inlineStr">
        <is>
          <t>Deal 1510</t>
        </is>
      </c>
      <c r="KO1" s="1" t="inlineStr">
        <is>
          <t>Deal 1511</t>
        </is>
      </c>
      <c r="KY1" s="1" t="inlineStr">
        <is>
          <t>Deal 1512</t>
        </is>
      </c>
      <c r="LI1" s="1" t="inlineStr">
        <is>
          <t>Deal 1513</t>
        </is>
      </c>
      <c r="LS1" s="1" t="inlineStr">
        <is>
          <t>Deal 1514</t>
        </is>
      </c>
      <c r="MC1" s="1" t="inlineStr">
        <is>
          <t>Deal 1515</t>
        </is>
      </c>
      <c r="MM1" s="1" t="inlineStr">
        <is>
          <t>Deal 1516</t>
        </is>
      </c>
      <c r="MW1" s="1" t="inlineStr">
        <is>
          <t>Deal 1517</t>
        </is>
      </c>
      <c r="NG1" s="1" t="inlineStr">
        <is>
          <t>Deal 1518</t>
        </is>
      </c>
      <c r="NQ1" s="1" t="inlineStr">
        <is>
          <t>Deal 1519</t>
        </is>
      </c>
      <c r="OA1" s="1" t="inlineStr">
        <is>
          <t>Deal 1520</t>
        </is>
      </c>
    </row>
    <row r="2">
      <c r="A2" s="2" t="inlineStr">
        <is>
          <t>GMH US Equity</t>
        </is>
      </c>
      <c r="K2" s="2" t="inlineStr">
        <is>
          <t>NWSA US Equity</t>
        </is>
      </c>
      <c r="U2" s="2" t="inlineStr">
        <is>
          <t>DGX US Equity</t>
        </is>
      </c>
      <c r="AE2" s="2" t="inlineStr">
        <is>
          <t>ORCL US Equity</t>
        </is>
      </c>
      <c r="AO2" s="2" t="inlineStr">
        <is>
          <t>VMC US Equity</t>
        </is>
      </c>
      <c r="AY2" s="2" t="inlineStr">
        <is>
          <t>PYPL US Equity</t>
        </is>
      </c>
      <c r="BI2" s="2" t="inlineStr">
        <is>
          <t>ARR US Equity</t>
        </is>
      </c>
      <c r="BS2" s="2" t="inlineStr">
        <is>
          <t>CAR US Equity</t>
        </is>
      </c>
      <c r="CC2" s="2" t="inlineStr">
        <is>
          <t>NS US Equity</t>
        </is>
      </c>
      <c r="CM2" s="2" t="inlineStr">
        <is>
          <t>MTCH US Equity</t>
        </is>
      </c>
      <c r="CW2" s="2" t="inlineStr">
        <is>
          <t>CSFL US Equity</t>
        </is>
      </c>
      <c r="DG2" s="2" t="inlineStr">
        <is>
          <t>BRK/A US Equity</t>
        </is>
      </c>
      <c r="DQ2" s="2" t="inlineStr">
        <is>
          <t>AIV US Equity</t>
        </is>
      </c>
      <c r="EA2" s="2" t="inlineStr">
        <is>
          <t>GE US Equity</t>
        </is>
      </c>
      <c r="EK2" s="2" t="inlineStr">
        <is>
          <t>MU US Equity</t>
        </is>
      </c>
      <c r="EU2" s="2" t="inlineStr">
        <is>
          <t>DST US Equity</t>
        </is>
      </c>
      <c r="FE2" s="2" t="inlineStr">
        <is>
          <t>MCHP US Equity</t>
        </is>
      </c>
      <c r="FO2" s="2" t="inlineStr">
        <is>
          <t>390297Q US Equity</t>
        </is>
      </c>
      <c r="FY2" s="2" t="inlineStr">
        <is>
          <t>JACK US Equity</t>
        </is>
      </c>
      <c r="GI2" s="2" t="inlineStr">
        <is>
          <t>BEN US Equity</t>
        </is>
      </c>
      <c r="GS2" s="2" t="inlineStr">
        <is>
          <t>SHAW US Equity</t>
        </is>
      </c>
      <c r="HC2" s="2" t="inlineStr">
        <is>
          <t>4936C US Equity</t>
        </is>
      </c>
      <c r="HM2" s="2" t="inlineStr">
        <is>
          <t>540513Q US Equity</t>
        </is>
      </c>
      <c r="HW2" s="2" t="inlineStr">
        <is>
          <t>BIP US Equity</t>
        </is>
      </c>
      <c r="IG2" s="2" t="inlineStr">
        <is>
          <t>9990213D US Equity</t>
        </is>
      </c>
      <c r="IQ2" s="2" t="inlineStr">
        <is>
          <t>VLY US Equity</t>
        </is>
      </c>
      <c r="JA2" s="2" t="inlineStr">
        <is>
          <t>9990822D US Equity</t>
        </is>
      </c>
      <c r="JK2" s="2" t="inlineStr">
        <is>
          <t>SUSQ US Equity</t>
        </is>
      </c>
      <c r="JU2" s="2" t="inlineStr">
        <is>
          <t>DGI US Equity</t>
        </is>
      </c>
      <c r="KE2" s="2" t="inlineStr">
        <is>
          <t>LLY US Equity</t>
        </is>
      </c>
      <c r="KO2" s="2" t="inlineStr">
        <is>
          <t>PCP US Equity</t>
        </is>
      </c>
      <c r="KY2" s="2" t="inlineStr">
        <is>
          <t>IP US Equity</t>
        </is>
      </c>
      <c r="LI2" s="2" t="inlineStr">
        <is>
          <t>GIS US Equity</t>
        </is>
      </c>
      <c r="LS2" s="2" t="inlineStr">
        <is>
          <t>WBVNQ US Equity</t>
        </is>
      </c>
      <c r="MC2" s="2" t="inlineStr">
        <is>
          <t>VNRSQ US Equity</t>
        </is>
      </c>
      <c r="MM2" s="2" t="inlineStr">
        <is>
          <t>3867693Z US Equity</t>
        </is>
      </c>
      <c r="MW2" s="2" t="inlineStr">
        <is>
          <t>0848680D US Equity</t>
        </is>
      </c>
      <c r="NG2" s="2" t="inlineStr">
        <is>
          <t>ATI US Equity</t>
        </is>
      </c>
      <c r="NQ2" s="2" t="inlineStr">
        <is>
          <t>SCOR US Equity</t>
        </is>
      </c>
      <c r="OA2" s="2" t="inlineStr">
        <is>
          <t>REVRQ US Equity</t>
        </is>
      </c>
    </row>
    <row r="3">
      <c r="A3" t="inlineStr">
        <is>
          <t>Ann: 1998-05-01</t>
        </is>
      </c>
      <c r="K3" t="inlineStr">
        <is>
          <t>Ann: 2014-09-30</t>
        </is>
      </c>
      <c r="U3" t="inlineStr">
        <is>
          <t>Ann: 2002-04-02</t>
        </is>
      </c>
      <c r="AE3" t="inlineStr">
        <is>
          <t>Ann: 2010-11-02</t>
        </is>
      </c>
      <c r="AO3" t="inlineStr">
        <is>
          <t>Ann: 1998-11-16</t>
        </is>
      </c>
      <c r="AY3" t="inlineStr">
        <is>
          <t>Ann: 2015-07-01</t>
        </is>
      </c>
      <c r="BI3" t="inlineStr">
        <is>
          <t>Ann: 2016-03-02</t>
        </is>
      </c>
      <c r="BS3" t="inlineStr">
        <is>
          <t>Ann: 2000-11-02</t>
        </is>
      </c>
      <c r="CC3" t="inlineStr">
        <is>
          <t>Ann: 2018-02-08</t>
        </is>
      </c>
      <c r="CM3" t="inlineStr">
        <is>
          <t>Ann: 2002-06-03</t>
        </is>
      </c>
      <c r="CW3" t="inlineStr">
        <is>
          <t>Ann: 2018-11-26</t>
        </is>
      </c>
      <c r="DG3" t="inlineStr">
        <is>
          <t>Ann: 2002-01-02</t>
        </is>
      </c>
      <c r="DQ3" t="inlineStr">
        <is>
          <t>Ann: 1998-03-17</t>
        </is>
      </c>
      <c r="EA3" t="inlineStr">
        <is>
          <t>Ann: 1998-09-21</t>
        </is>
      </c>
      <c r="EK3" t="inlineStr">
        <is>
          <t>Ann: 2006-03-08</t>
        </is>
      </c>
      <c r="EU3" t="inlineStr">
        <is>
          <t>Ann: 1998-09-02</t>
        </is>
      </c>
      <c r="FE3" t="inlineStr">
        <is>
          <t>Ann: 2015-05-07</t>
        </is>
      </c>
      <c r="FO3" t="inlineStr">
        <is>
          <t>Ann: 1996-10-28</t>
        </is>
      </c>
      <c r="FY3" t="inlineStr">
        <is>
          <t>Ann: 2021-12-06</t>
        </is>
      </c>
      <c r="GI3" t="inlineStr">
        <is>
          <t>Ann: 2000-10-25</t>
        </is>
      </c>
      <c r="GS3" t="inlineStr">
        <is>
          <t>Ann: 2000-07-06</t>
        </is>
      </c>
      <c r="HC3" t="inlineStr">
        <is>
          <t>Ann: 1999-05-18</t>
        </is>
      </c>
      <c r="HM3" t="inlineStr">
        <is>
          <t>Ann: 1999-06-02</t>
        </is>
      </c>
      <c r="HW3" t="inlineStr">
        <is>
          <t>Ann: 2015-06-15</t>
        </is>
      </c>
      <c r="IG3" t="inlineStr">
        <is>
          <t>Ann: 2019-04-22</t>
        </is>
      </c>
      <c r="IQ3" t="inlineStr">
        <is>
          <t>Ann: 2017-07-26</t>
        </is>
      </c>
      <c r="JA3" t="inlineStr">
        <is>
          <t>Ann: 2007-02-20</t>
        </is>
      </c>
      <c r="JK3" t="inlineStr">
        <is>
          <t>Ann: 2007-05-01</t>
        </is>
      </c>
      <c r="JU3" t="inlineStr">
        <is>
          <t>Ann: 2012-07-23</t>
        </is>
      </c>
      <c r="KE3" t="inlineStr">
        <is>
          <t>Ann: 2017-01-18</t>
        </is>
      </c>
      <c r="KO3" t="inlineStr">
        <is>
          <t>Ann: 1999-05-17</t>
        </is>
      </c>
      <c r="KY3" t="inlineStr">
        <is>
          <t>Ann: 2000-02-17</t>
        </is>
      </c>
      <c r="LI3" t="inlineStr">
        <is>
          <t>Ann: 2014-09-08</t>
        </is>
      </c>
      <c r="LS3" t="inlineStr">
        <is>
          <t>Ann: 2000-06-26</t>
        </is>
      </c>
      <c r="MC3" t="inlineStr">
        <is>
          <t>Ann: 2011-03-25</t>
        </is>
      </c>
      <c r="MM3" t="inlineStr">
        <is>
          <t>Ann: 2007-04-20</t>
        </is>
      </c>
      <c r="MW3" t="inlineStr">
        <is>
          <t>Ann: 2009-10-19</t>
        </is>
      </c>
      <c r="NG3" t="inlineStr">
        <is>
          <t>Ann: 2010-11-17</t>
        </is>
      </c>
      <c r="NQ3" t="inlineStr">
        <is>
          <t>Ann: 2015-09-29</t>
        </is>
      </c>
      <c r="OA3" t="inlineStr">
        <is>
          <t>Ann: 2016-06-16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BDS("GMH US Equity","SUPPLY_CHAIN_SUPPLIERS","RELATIONSHIP_AS_OF_DATE","19980501")</f>
        <v/>
      </c>
      <c r="F5">
        <f>BDS("GMH US Equity","SUPPLY_CHAIN_CUSTOMERS","RELATIONSHIP_AS_OF_DATE","19980501")</f>
        <v/>
      </c>
      <c r="K5">
        <f>BDS("NWSA US Equity","SUPPLY_CHAIN_SUPPLIERS","RELATIONSHIP_AS_OF_DATE","20140930")</f>
        <v/>
      </c>
      <c r="P5">
        <f>BDS("NWSA US Equity","SUPPLY_CHAIN_CUSTOMERS","RELATIONSHIP_AS_OF_DATE","20140930")</f>
        <v/>
      </c>
      <c r="U5">
        <f>BDS("DGX US Equity","SUPPLY_CHAIN_SUPPLIERS","RELATIONSHIP_AS_OF_DATE","20020402")</f>
        <v/>
      </c>
      <c r="Z5">
        <f>BDS("DGX US Equity","SUPPLY_CHAIN_CUSTOMERS","RELATIONSHIP_AS_OF_DATE","20020402")</f>
        <v/>
      </c>
      <c r="AE5">
        <f>BDS("ORCL US Equity","SUPPLY_CHAIN_SUPPLIERS","RELATIONSHIP_AS_OF_DATE","20101102")</f>
        <v/>
      </c>
      <c r="AJ5">
        <f>BDS("ORCL US Equity","SUPPLY_CHAIN_CUSTOMERS","RELATIONSHIP_AS_OF_DATE","20101102")</f>
        <v/>
      </c>
      <c r="AO5">
        <f>BDS("VMC US Equity","SUPPLY_CHAIN_SUPPLIERS","RELATIONSHIP_AS_OF_DATE","19981116")</f>
        <v/>
      </c>
      <c r="AT5">
        <f>BDS("VMC US Equity","SUPPLY_CHAIN_CUSTOMERS","RELATIONSHIP_AS_OF_DATE","19981116")</f>
        <v/>
      </c>
      <c r="AY5">
        <f>BDS("PYPL US Equity","SUPPLY_CHAIN_SUPPLIERS","RELATIONSHIP_AS_OF_DATE","20150701")</f>
        <v/>
      </c>
      <c r="BD5">
        <f>BDS("PYPL US Equity","SUPPLY_CHAIN_CUSTOMERS","RELATIONSHIP_AS_OF_DATE","20150701")</f>
        <v/>
      </c>
      <c r="BI5">
        <f>BDS("ARR US Equity","SUPPLY_CHAIN_SUPPLIERS","RELATIONSHIP_AS_OF_DATE","20160302")</f>
        <v/>
      </c>
      <c r="BN5">
        <f>BDS("ARR US Equity","SUPPLY_CHAIN_CUSTOMERS","RELATIONSHIP_AS_OF_DATE","20160302")</f>
        <v/>
      </c>
      <c r="BS5">
        <f>BDS("CAR US Equity","SUPPLY_CHAIN_SUPPLIERS","RELATIONSHIP_AS_OF_DATE","20001102")</f>
        <v/>
      </c>
      <c r="BX5">
        <f>BDS("CAR US Equity","SUPPLY_CHAIN_CUSTOMERS","RELATIONSHIP_AS_OF_DATE","20001102")</f>
        <v/>
      </c>
      <c r="CC5">
        <f>BDS("NS US Equity","SUPPLY_CHAIN_SUPPLIERS","RELATIONSHIP_AS_OF_DATE","20180208")</f>
        <v/>
      </c>
      <c r="CH5">
        <f>BDS("NS US Equity","SUPPLY_CHAIN_CUSTOMERS","RELATIONSHIP_AS_OF_DATE","20180208")</f>
        <v/>
      </c>
      <c r="CM5">
        <f>BDS("MTCH US Equity","SUPPLY_CHAIN_SUPPLIERS","RELATIONSHIP_AS_OF_DATE","20020603")</f>
        <v/>
      </c>
      <c r="CR5">
        <f>BDS("MTCH US Equity","SUPPLY_CHAIN_CUSTOMERS","RELATIONSHIP_AS_OF_DATE","20020603")</f>
        <v/>
      </c>
      <c r="CW5">
        <f>BDS("CSFL US Equity","SUPPLY_CHAIN_SUPPLIERS","RELATIONSHIP_AS_OF_DATE","20181126")</f>
        <v/>
      </c>
      <c r="DB5">
        <f>BDS("CSFL US Equity","SUPPLY_CHAIN_CUSTOMERS","RELATIONSHIP_AS_OF_DATE","20181126")</f>
        <v/>
      </c>
      <c r="DG5">
        <f>BDS("BRK/A US Equity","SUPPLY_CHAIN_SUPPLIERS","RELATIONSHIP_AS_OF_DATE","20020102")</f>
        <v/>
      </c>
      <c r="DL5">
        <f>BDS("BRK/A US Equity","SUPPLY_CHAIN_CUSTOMERS","RELATIONSHIP_AS_OF_DATE","20020102")</f>
        <v/>
      </c>
      <c r="DQ5">
        <f>BDS("AIV US Equity","SUPPLY_CHAIN_SUPPLIERS","RELATIONSHIP_AS_OF_DATE","19980317")</f>
        <v/>
      </c>
      <c r="DV5">
        <f>BDS("AIV US Equity","SUPPLY_CHAIN_CUSTOMERS","RELATIONSHIP_AS_OF_DATE","19980317")</f>
        <v/>
      </c>
      <c r="EA5">
        <f>BDS("GE US Equity","SUPPLY_CHAIN_SUPPLIERS","RELATIONSHIP_AS_OF_DATE","19980921")</f>
        <v/>
      </c>
      <c r="EF5">
        <f>BDS("GE US Equity","SUPPLY_CHAIN_CUSTOMERS","RELATIONSHIP_AS_OF_DATE","19980921")</f>
        <v/>
      </c>
      <c r="EK5">
        <f>BDS("MU US Equity","SUPPLY_CHAIN_SUPPLIERS","RELATIONSHIP_AS_OF_DATE","20060308")</f>
        <v/>
      </c>
      <c r="EP5">
        <f>BDS("MU US Equity","SUPPLY_CHAIN_CUSTOMERS","RELATIONSHIP_AS_OF_DATE","20060308")</f>
        <v/>
      </c>
      <c r="EU5">
        <f>BDS("DST US Equity","SUPPLY_CHAIN_SUPPLIERS","RELATIONSHIP_AS_OF_DATE","19980902")</f>
        <v/>
      </c>
      <c r="EZ5">
        <f>BDS("DST US Equity","SUPPLY_CHAIN_CUSTOMERS","RELATIONSHIP_AS_OF_DATE","19980902")</f>
        <v/>
      </c>
      <c r="FE5">
        <f>BDS("MCHP US Equity","SUPPLY_CHAIN_SUPPLIERS","RELATIONSHIP_AS_OF_DATE","20150507")</f>
        <v/>
      </c>
      <c r="FJ5">
        <f>BDS("MCHP US Equity","SUPPLY_CHAIN_CUSTOMERS","RELATIONSHIP_AS_OF_DATE","20150507")</f>
        <v/>
      </c>
      <c r="FO5">
        <f>BDS("390297Q US Equity","SUPPLY_CHAIN_SUPPLIERS","RELATIONSHIP_AS_OF_DATE","19961028")</f>
        <v/>
      </c>
      <c r="FT5">
        <f>BDS("390297Q US Equity","SUPPLY_CHAIN_CUSTOMERS","RELATIONSHIP_AS_OF_DATE","19961028")</f>
        <v/>
      </c>
      <c r="FY5">
        <f>BDS("JACK US Equity","SUPPLY_CHAIN_SUPPLIERS","RELATIONSHIP_AS_OF_DATE","20211206")</f>
        <v/>
      </c>
      <c r="GD5">
        <f>BDS("JACK US Equity","SUPPLY_CHAIN_CUSTOMERS","RELATIONSHIP_AS_OF_DATE","20211206")</f>
        <v/>
      </c>
      <c r="GI5">
        <f>BDS("BEN US Equity","SUPPLY_CHAIN_SUPPLIERS","RELATIONSHIP_AS_OF_DATE","20001025")</f>
        <v/>
      </c>
      <c r="GN5">
        <f>BDS("BEN US Equity","SUPPLY_CHAIN_CUSTOMERS","RELATIONSHIP_AS_OF_DATE","20001025")</f>
        <v/>
      </c>
      <c r="GS5">
        <f>BDS("SHAW US Equity","SUPPLY_CHAIN_SUPPLIERS","RELATIONSHIP_AS_OF_DATE","20000706")</f>
        <v/>
      </c>
      <c r="GX5">
        <f>BDS("SHAW US Equity","SUPPLY_CHAIN_CUSTOMERS","RELATIONSHIP_AS_OF_DATE","20000706")</f>
        <v/>
      </c>
      <c r="HC5">
        <f>BDS("4936C US Equity","SUPPLY_CHAIN_SUPPLIERS","RELATIONSHIP_AS_OF_DATE","19990518")</f>
        <v/>
      </c>
      <c r="HH5">
        <f>BDS("4936C US Equity","SUPPLY_CHAIN_CUSTOMERS","RELATIONSHIP_AS_OF_DATE","19990518")</f>
        <v/>
      </c>
      <c r="HM5">
        <f>BDS("540513Q US Equity","SUPPLY_CHAIN_SUPPLIERS","RELATIONSHIP_AS_OF_DATE","19990602")</f>
        <v/>
      </c>
      <c r="HR5">
        <f>BDS("540513Q US Equity","SUPPLY_CHAIN_CUSTOMERS","RELATIONSHIP_AS_OF_DATE","19990602")</f>
        <v/>
      </c>
      <c r="HW5">
        <f>BDS("BIP US Equity","SUPPLY_CHAIN_SUPPLIERS","RELATIONSHIP_AS_OF_DATE","20150615")</f>
        <v/>
      </c>
      <c r="IB5">
        <f>BDS("BIP US Equity","SUPPLY_CHAIN_CUSTOMERS","RELATIONSHIP_AS_OF_DATE","20150615")</f>
        <v/>
      </c>
      <c r="IG5">
        <f>BDS("9990213D US Equity","SUPPLY_CHAIN_SUPPLIERS","RELATIONSHIP_AS_OF_DATE","20190422")</f>
        <v/>
      </c>
      <c r="IL5">
        <f>BDS("9990213D US Equity","SUPPLY_CHAIN_CUSTOMERS","RELATIONSHIP_AS_OF_DATE","20190422")</f>
        <v/>
      </c>
      <c r="IQ5">
        <f>BDS("VLY US Equity","SUPPLY_CHAIN_SUPPLIERS","RELATIONSHIP_AS_OF_DATE","20170726")</f>
        <v/>
      </c>
      <c r="IV5">
        <f>BDS("VLY US Equity","SUPPLY_CHAIN_CUSTOMERS","RELATIONSHIP_AS_OF_DATE","20170726")</f>
        <v/>
      </c>
      <c r="JA5">
        <f>BDS("9990822D US Equity","SUPPLY_CHAIN_SUPPLIERS","RELATIONSHIP_AS_OF_DATE","20070220")</f>
        <v/>
      </c>
      <c r="JF5">
        <f>BDS("9990822D US Equity","SUPPLY_CHAIN_CUSTOMERS","RELATIONSHIP_AS_OF_DATE","20070220")</f>
        <v/>
      </c>
      <c r="JK5">
        <f>BDS("SUSQ US Equity","SUPPLY_CHAIN_SUPPLIERS","RELATIONSHIP_AS_OF_DATE","20070501")</f>
        <v/>
      </c>
      <c r="JP5">
        <f>BDS("SUSQ US Equity","SUPPLY_CHAIN_CUSTOMERS","RELATIONSHIP_AS_OF_DATE","20070501")</f>
        <v/>
      </c>
      <c r="JU5">
        <f>BDS("DGI US Equity","SUPPLY_CHAIN_SUPPLIERS","RELATIONSHIP_AS_OF_DATE","20120723")</f>
        <v/>
      </c>
      <c r="JZ5">
        <f>BDS("DGI US Equity","SUPPLY_CHAIN_CUSTOMERS","RELATIONSHIP_AS_OF_DATE","20120723")</f>
        <v/>
      </c>
      <c r="KE5">
        <f>BDS("LLY US Equity","SUPPLY_CHAIN_SUPPLIERS","RELATIONSHIP_AS_OF_DATE","20170118")</f>
        <v/>
      </c>
      <c r="KJ5">
        <f>BDS("LLY US Equity","SUPPLY_CHAIN_CUSTOMERS","RELATIONSHIP_AS_OF_DATE","20170118")</f>
        <v/>
      </c>
      <c r="KO5">
        <f>BDS("PCP US Equity","SUPPLY_CHAIN_SUPPLIERS","RELATIONSHIP_AS_OF_DATE","19990517")</f>
        <v/>
      </c>
      <c r="KT5">
        <f>BDS("PCP US Equity","SUPPLY_CHAIN_CUSTOMERS","RELATIONSHIP_AS_OF_DATE","19990517")</f>
        <v/>
      </c>
      <c r="KY5">
        <f>BDS("IP US Equity","SUPPLY_CHAIN_SUPPLIERS","RELATIONSHIP_AS_OF_DATE","20000217")</f>
        <v/>
      </c>
      <c r="LD5">
        <f>BDS("IP US Equity","SUPPLY_CHAIN_CUSTOMERS","RELATIONSHIP_AS_OF_DATE","20000217")</f>
        <v/>
      </c>
      <c r="LI5">
        <f>BDS("GIS US Equity","SUPPLY_CHAIN_SUPPLIERS","RELATIONSHIP_AS_OF_DATE","20140908")</f>
        <v/>
      </c>
      <c r="LN5">
        <f>BDS("GIS US Equity","SUPPLY_CHAIN_CUSTOMERS","RELATIONSHIP_AS_OF_DATE","20140908")</f>
        <v/>
      </c>
      <c r="LS5">
        <f>BDS("WBVNQ US Equity","SUPPLY_CHAIN_SUPPLIERS","RELATIONSHIP_AS_OF_DATE","20000626")</f>
        <v/>
      </c>
      <c r="LX5">
        <f>BDS("WBVNQ US Equity","SUPPLY_CHAIN_CUSTOMERS","RELATIONSHIP_AS_OF_DATE","20000626")</f>
        <v/>
      </c>
      <c r="MC5">
        <f>BDS("VNRSQ US Equity","SUPPLY_CHAIN_SUPPLIERS","RELATIONSHIP_AS_OF_DATE","20110325")</f>
        <v/>
      </c>
      <c r="MH5">
        <f>BDS("VNRSQ US Equity","SUPPLY_CHAIN_CUSTOMERS","RELATIONSHIP_AS_OF_DATE","20110325")</f>
        <v/>
      </c>
      <c r="MM5">
        <f>BDS("3867693Z US Equity","SUPPLY_CHAIN_SUPPLIERS","RELATIONSHIP_AS_OF_DATE","20070420")</f>
        <v/>
      </c>
      <c r="MR5">
        <f>BDS("3867693Z US Equity","SUPPLY_CHAIN_CUSTOMERS","RELATIONSHIP_AS_OF_DATE","20070420")</f>
        <v/>
      </c>
      <c r="MW5">
        <f>BDS("0848680D US Equity","SUPPLY_CHAIN_SUPPLIERS","RELATIONSHIP_AS_OF_DATE","20091019")</f>
        <v/>
      </c>
      <c r="NB5">
        <f>BDS("0848680D US Equity","SUPPLY_CHAIN_CUSTOMERS","RELATIONSHIP_AS_OF_DATE","20091019")</f>
        <v/>
      </c>
      <c r="NG5">
        <f>BDS("ATI US Equity","SUPPLY_CHAIN_SUPPLIERS","RELATIONSHIP_AS_OF_DATE","20101117")</f>
        <v/>
      </c>
      <c r="NL5">
        <f>BDS("ATI US Equity","SUPPLY_CHAIN_CUSTOMERS","RELATIONSHIP_AS_OF_DATE","20101117")</f>
        <v/>
      </c>
      <c r="NQ5">
        <f>BDS("SCOR US Equity","SUPPLY_CHAIN_SUPPLIERS","RELATIONSHIP_AS_OF_DATE","20150929")</f>
        <v/>
      </c>
      <c r="NV5">
        <f>BDS("SCOR US Equity","SUPPLY_CHAIN_CUSTOMERS","RELATIONSHIP_AS_OF_DATE","20150929")</f>
        <v/>
      </c>
      <c r="OA5">
        <f>BDS("REVRQ US Equity","SUPPLY_CHAIN_SUPPLIERS","RELATIONSHIP_AS_OF_DATE","20160616")</f>
        <v/>
      </c>
      <c r="OF5">
        <f>BDS("REVRQ US Equity","SUPPLY_CHAIN_CUSTOMERS","RELATIONSHIP_AS_OF_DATE","20160616")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1521</t>
        </is>
      </c>
      <c r="K1" s="1" t="inlineStr">
        <is>
          <t>Deal 1522</t>
        </is>
      </c>
      <c r="U1" s="1" t="inlineStr">
        <is>
          <t>Deal 1523</t>
        </is>
      </c>
      <c r="AE1" s="1" t="inlineStr">
        <is>
          <t>Deal 1524</t>
        </is>
      </c>
      <c r="AO1" s="1" t="inlineStr">
        <is>
          <t>Deal 1525</t>
        </is>
      </c>
      <c r="AY1" s="1" t="inlineStr">
        <is>
          <t>Deal 1526</t>
        </is>
      </c>
      <c r="BI1" s="1" t="inlineStr">
        <is>
          <t>Deal 1527</t>
        </is>
      </c>
      <c r="BS1" s="1" t="inlineStr">
        <is>
          <t>Deal 1528</t>
        </is>
      </c>
      <c r="CC1" s="1" t="inlineStr">
        <is>
          <t>Deal 1529</t>
        </is>
      </c>
      <c r="CM1" s="1" t="inlineStr">
        <is>
          <t>Deal 1530</t>
        </is>
      </c>
      <c r="CW1" s="1" t="inlineStr">
        <is>
          <t>Deal 1531</t>
        </is>
      </c>
      <c r="DG1" s="1" t="inlineStr">
        <is>
          <t>Deal 1532</t>
        </is>
      </c>
      <c r="DQ1" s="1" t="inlineStr">
        <is>
          <t>Deal 1533</t>
        </is>
      </c>
      <c r="EA1" s="1" t="inlineStr">
        <is>
          <t>Deal 1534</t>
        </is>
      </c>
      <c r="EK1" s="1" t="inlineStr">
        <is>
          <t>Deal 1535</t>
        </is>
      </c>
      <c r="EU1" s="1" t="inlineStr">
        <is>
          <t>Deal 1536</t>
        </is>
      </c>
      <c r="FE1" s="1" t="inlineStr">
        <is>
          <t>Deal 1537</t>
        </is>
      </c>
      <c r="FO1" s="1" t="inlineStr">
        <is>
          <t>Deal 1538</t>
        </is>
      </c>
      <c r="FY1" s="1" t="inlineStr">
        <is>
          <t>Deal 1539</t>
        </is>
      </c>
      <c r="GI1" s="1" t="inlineStr">
        <is>
          <t>Deal 1540</t>
        </is>
      </c>
      <c r="GS1" s="1" t="inlineStr">
        <is>
          <t>Deal 1541</t>
        </is>
      </c>
      <c r="HC1" s="1" t="inlineStr">
        <is>
          <t>Deal 1542</t>
        </is>
      </c>
      <c r="HM1" s="1" t="inlineStr">
        <is>
          <t>Deal 1543</t>
        </is>
      </c>
      <c r="HW1" s="1" t="inlineStr">
        <is>
          <t>Deal 1544</t>
        </is>
      </c>
      <c r="IG1" s="1" t="inlineStr">
        <is>
          <t>Deal 1545</t>
        </is>
      </c>
      <c r="IQ1" s="1" t="inlineStr">
        <is>
          <t>Deal 1546</t>
        </is>
      </c>
      <c r="JA1" s="1" t="inlineStr">
        <is>
          <t>Deal 1547</t>
        </is>
      </c>
      <c r="JK1" s="1" t="inlineStr">
        <is>
          <t>Deal 1548</t>
        </is>
      </c>
      <c r="JU1" s="1" t="inlineStr">
        <is>
          <t>Deal 1549</t>
        </is>
      </c>
      <c r="KE1" s="1" t="inlineStr">
        <is>
          <t>Deal 1550</t>
        </is>
      </c>
      <c r="KO1" s="1" t="inlineStr">
        <is>
          <t>Deal 1551</t>
        </is>
      </c>
      <c r="KY1" s="1" t="inlineStr">
        <is>
          <t>Deal 1552</t>
        </is>
      </c>
      <c r="LI1" s="1" t="inlineStr">
        <is>
          <t>Deal 1553</t>
        </is>
      </c>
      <c r="LS1" s="1" t="inlineStr">
        <is>
          <t>Deal 1554</t>
        </is>
      </c>
      <c r="MC1" s="1" t="inlineStr">
        <is>
          <t>Deal 1555</t>
        </is>
      </c>
      <c r="MM1" s="1" t="inlineStr">
        <is>
          <t>Deal 1556</t>
        </is>
      </c>
      <c r="MW1" s="1" t="inlineStr">
        <is>
          <t>Deal 1557</t>
        </is>
      </c>
      <c r="NG1" s="1" t="inlineStr">
        <is>
          <t>Deal 1558</t>
        </is>
      </c>
      <c r="NQ1" s="1" t="inlineStr">
        <is>
          <t>Deal 1559</t>
        </is>
      </c>
      <c r="OA1" s="1" t="inlineStr">
        <is>
          <t>Deal 1560</t>
        </is>
      </c>
    </row>
    <row r="2">
      <c r="A2" s="2" t="inlineStr">
        <is>
          <t>CG US Equity</t>
        </is>
      </c>
      <c r="K2" s="2" t="inlineStr">
        <is>
          <t>CAT US Equity</t>
        </is>
      </c>
      <c r="U2" s="2" t="inlineStr">
        <is>
          <t>ICPXQ US Equity</t>
        </is>
      </c>
      <c r="AE2" s="2" t="inlineStr">
        <is>
          <t>LPT US Equity</t>
        </is>
      </c>
      <c r="AO2" s="2" t="inlineStr">
        <is>
          <t>LITE US Equity</t>
        </is>
      </c>
      <c r="AY2" s="2" t="inlineStr">
        <is>
          <t>INTC US Equity</t>
        </is>
      </c>
      <c r="BI2" s="2" t="inlineStr">
        <is>
          <t>DK US Equity</t>
        </is>
      </c>
      <c r="BS2" s="2" t="inlineStr">
        <is>
          <t>RVTY US Equity</t>
        </is>
      </c>
      <c r="CC2" s="2" t="inlineStr">
        <is>
          <t>NLY US Equity</t>
        </is>
      </c>
      <c r="CM2" s="2" t="inlineStr">
        <is>
          <t>AAIC US Equity</t>
        </is>
      </c>
      <c r="CW2" s="2" t="inlineStr">
        <is>
          <t>PACW US Equity</t>
        </is>
      </c>
      <c r="DG2" s="2" t="inlineStr">
        <is>
          <t>BX US Equity</t>
        </is>
      </c>
      <c r="DQ2" s="2" t="inlineStr">
        <is>
          <t>CRXA US Equity</t>
        </is>
      </c>
      <c r="EA2" s="2" t="inlineStr">
        <is>
          <t>MDT US Equity</t>
        </is>
      </c>
      <c r="EK2" s="2" t="inlineStr">
        <is>
          <t>SFD US Equity</t>
        </is>
      </c>
      <c r="EU2" s="2" t="inlineStr">
        <is>
          <t>UDR US Equity</t>
        </is>
      </c>
      <c r="FE2" s="2" t="inlineStr">
        <is>
          <t>ICGC US Equity</t>
        </is>
      </c>
      <c r="FO2" s="2" t="inlineStr">
        <is>
          <t>NTLDQ US Equity</t>
        </is>
      </c>
      <c r="FY2" s="2" t="inlineStr">
        <is>
          <t>LEN US Equity</t>
        </is>
      </c>
      <c r="GI2" s="2" t="inlineStr">
        <is>
          <t>KR US Equity</t>
        </is>
      </c>
      <c r="GS2" s="2" t="inlineStr">
        <is>
          <t>SNCR US Equity</t>
        </is>
      </c>
      <c r="HC2" s="2" t="inlineStr">
        <is>
          <t>2596516D US Equity</t>
        </is>
      </c>
      <c r="HM2" s="2" t="inlineStr">
        <is>
          <t>STEL US Equity</t>
        </is>
      </c>
      <c r="HW2" s="2" t="inlineStr">
        <is>
          <t>RRD US Equity</t>
        </is>
      </c>
      <c r="IG2" s="2" t="inlineStr">
        <is>
          <t>KMB US Equity</t>
        </is>
      </c>
      <c r="IQ2" s="2" t="inlineStr">
        <is>
          <t>MS US Equity</t>
        </is>
      </c>
      <c r="JA2" s="2" t="inlineStr">
        <is>
          <t>LKQ US Equity</t>
        </is>
      </c>
      <c r="JK2" s="2" t="inlineStr">
        <is>
          <t>TMHC US Equity</t>
        </is>
      </c>
      <c r="JU2" s="2" t="inlineStr">
        <is>
          <t>0876902D US Equity</t>
        </is>
      </c>
      <c r="KE2" s="2" t="inlineStr">
        <is>
          <t>INTC US Equity</t>
        </is>
      </c>
      <c r="KO2" s="2" t="inlineStr">
        <is>
          <t>355488Q US Equity</t>
        </is>
      </c>
      <c r="KY2" s="2" t="inlineStr">
        <is>
          <t>AA US Equity</t>
        </is>
      </c>
      <c r="LI2" s="2" t="inlineStr">
        <is>
          <t>HPQ US Equity</t>
        </is>
      </c>
      <c r="LS2" s="2" t="inlineStr">
        <is>
          <t>ECOL US Equity</t>
        </is>
      </c>
      <c r="MC2" s="2" t="inlineStr">
        <is>
          <t>CIEN US Equity</t>
        </is>
      </c>
      <c r="MM2" s="2" t="inlineStr">
        <is>
          <t>CVIAQ US Equity</t>
        </is>
      </c>
      <c r="MW2" s="2" t="inlineStr">
        <is>
          <t>1284849D US Equity</t>
        </is>
      </c>
      <c r="NG2" s="2" t="inlineStr">
        <is>
          <t>DLX US Equity</t>
        </is>
      </c>
      <c r="NQ2" s="2" t="inlineStr">
        <is>
          <t>WBA US Equity</t>
        </is>
      </c>
      <c r="OA2" s="2" t="inlineStr">
        <is>
          <t>IBM US Equity</t>
        </is>
      </c>
    </row>
    <row r="3">
      <c r="A3" t="inlineStr">
        <is>
          <t>Ann: 2005-07-28</t>
        </is>
      </c>
      <c r="K3" t="inlineStr">
        <is>
          <t>Ann: 2006-05-16</t>
        </is>
      </c>
      <c r="U3" t="inlineStr">
        <is>
          <t>Ann: 1998-10-09</t>
        </is>
      </c>
      <c r="AE3" t="inlineStr">
        <is>
          <t>Ann: 2007-07-24</t>
        </is>
      </c>
      <c r="AO3" t="inlineStr">
        <is>
          <t>Ann: 2021-11-04</t>
        </is>
      </c>
      <c r="AY3" t="inlineStr">
        <is>
          <t>Ann: 2009-06-04</t>
        </is>
      </c>
      <c r="BI3" t="inlineStr">
        <is>
          <t>Ann: 2016-10-17</t>
        </is>
      </c>
      <c r="BS3" t="inlineStr">
        <is>
          <t>Ann: 2001-07-16</t>
        </is>
      </c>
      <c r="CC3" t="inlineStr">
        <is>
          <t>Ann: 2012-11-12</t>
        </is>
      </c>
      <c r="CM3" t="inlineStr">
        <is>
          <t>Ann: 2002-11-15</t>
        </is>
      </c>
      <c r="CW3" t="inlineStr">
        <is>
          <t>Ann: 2015-03-02</t>
        </is>
      </c>
      <c r="DG3" t="inlineStr">
        <is>
          <t>Ann: 2006-06-30</t>
        </is>
      </c>
      <c r="DQ3" t="inlineStr">
        <is>
          <t>Ann: 2000-10-16</t>
        </is>
      </c>
      <c r="EA3" t="inlineStr">
        <is>
          <t>Ann: 1999-08-27</t>
        </is>
      </c>
      <c r="EK3" t="inlineStr">
        <is>
          <t>Ann: 2006-09-18</t>
        </is>
      </c>
      <c r="EU3" t="inlineStr">
        <is>
          <t>Ann: 1998-09-11</t>
        </is>
      </c>
      <c r="FE3" t="inlineStr">
        <is>
          <t>Ann: 2004-08-17</t>
        </is>
      </c>
      <c r="FO3" t="inlineStr">
        <is>
          <t>Ann: 1998-02-05</t>
        </is>
      </c>
      <c r="FY3" t="inlineStr">
        <is>
          <t>Ann: 2016-09-22</t>
        </is>
      </c>
      <c r="GI3" t="inlineStr">
        <is>
          <t>Ann: 2015-11-11</t>
        </is>
      </c>
      <c r="GS3" t="inlineStr">
        <is>
          <t>Ann: 2016-12-06</t>
        </is>
      </c>
      <c r="HC3" t="inlineStr">
        <is>
          <t>Ann: 2000-06-20</t>
        </is>
      </c>
      <c r="HM3" t="inlineStr">
        <is>
          <t>Ann: 2021-11-08</t>
        </is>
      </c>
      <c r="HW3" t="inlineStr">
        <is>
          <t>Ann: 2006-10-31</t>
        </is>
      </c>
      <c r="IG3" t="inlineStr">
        <is>
          <t>Ann: 1999-11-17</t>
        </is>
      </c>
      <c r="IQ3" t="inlineStr">
        <is>
          <t>Ann: 2006-03-22</t>
        </is>
      </c>
      <c r="JA3" t="inlineStr">
        <is>
          <t>Ann: 2007-07-17</t>
        </is>
      </c>
      <c r="JK3" t="inlineStr">
        <is>
          <t>Ann: 2018-06-07</t>
        </is>
      </c>
      <c r="JU3" t="inlineStr">
        <is>
          <t>Ann: 2005-07-05</t>
        </is>
      </c>
      <c r="KE3" t="inlineStr">
        <is>
          <t>Ann: 1999-06-01</t>
        </is>
      </c>
      <c r="KO3" t="inlineStr">
        <is>
          <t>Ann: 2000-12-18</t>
        </is>
      </c>
      <c r="KY3" t="inlineStr">
        <is>
          <t>Ann: 2002-03-18</t>
        </is>
      </c>
      <c r="LI3" t="inlineStr">
        <is>
          <t>Ann: 2010-04-28</t>
        </is>
      </c>
      <c r="LS3" t="inlineStr">
        <is>
          <t>Ann: 2019-06-24</t>
        </is>
      </c>
      <c r="MC3" t="inlineStr">
        <is>
          <t>Ann: 2002-02-18</t>
        </is>
      </c>
      <c r="MM3" t="inlineStr">
        <is>
          <t>Ann: 2017-12-12</t>
        </is>
      </c>
      <c r="MW3" t="inlineStr">
        <is>
          <t>Ann: 2013-01-22</t>
        </is>
      </c>
      <c r="NG3" t="inlineStr">
        <is>
          <t>Ann: 2004-05-17</t>
        </is>
      </c>
      <c r="NQ3" t="inlineStr">
        <is>
          <t>Ann: 2007-07-02</t>
        </is>
      </c>
      <c r="OA3" t="inlineStr">
        <is>
          <t>Ann: 2009-07-28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BDS("CG US Equity","SUPPLY_CHAIN_SUPPLIERS","RELATIONSHIP_AS_OF_DATE","20050728")</f>
        <v/>
      </c>
      <c r="F5">
        <f>BDS("CG US Equity","SUPPLY_CHAIN_CUSTOMERS","RELATIONSHIP_AS_OF_DATE","20050728")</f>
        <v/>
      </c>
      <c r="K5">
        <f>BDS("CAT US Equity","SUPPLY_CHAIN_SUPPLIERS","RELATIONSHIP_AS_OF_DATE","20060516")</f>
        <v/>
      </c>
      <c r="P5">
        <f>BDS("CAT US Equity","SUPPLY_CHAIN_CUSTOMERS","RELATIONSHIP_AS_OF_DATE","20060516")</f>
        <v/>
      </c>
      <c r="U5">
        <f>BDS("ICPXQ US Equity","SUPPLY_CHAIN_SUPPLIERS","RELATIONSHIP_AS_OF_DATE","19981009")</f>
        <v/>
      </c>
      <c r="Z5">
        <f>BDS("ICPXQ US Equity","SUPPLY_CHAIN_CUSTOMERS","RELATIONSHIP_AS_OF_DATE","19981009")</f>
        <v/>
      </c>
      <c r="AE5">
        <f>BDS("LPT US Equity","SUPPLY_CHAIN_SUPPLIERS","RELATIONSHIP_AS_OF_DATE","20070724")</f>
        <v/>
      </c>
      <c r="AJ5">
        <f>BDS("LPT US Equity","SUPPLY_CHAIN_CUSTOMERS","RELATIONSHIP_AS_OF_DATE","20070724")</f>
        <v/>
      </c>
      <c r="AO5">
        <f>BDS("LITE US Equity","SUPPLY_CHAIN_SUPPLIERS","RELATIONSHIP_AS_OF_DATE","20211104")</f>
        <v/>
      </c>
      <c r="AT5">
        <f>BDS("LITE US Equity","SUPPLY_CHAIN_CUSTOMERS","RELATIONSHIP_AS_OF_DATE","20211104")</f>
        <v/>
      </c>
      <c r="AY5">
        <f>BDS("INTC US Equity","SUPPLY_CHAIN_SUPPLIERS","RELATIONSHIP_AS_OF_DATE","20090604")</f>
        <v/>
      </c>
      <c r="BD5">
        <f>BDS("INTC US Equity","SUPPLY_CHAIN_CUSTOMERS","RELATIONSHIP_AS_OF_DATE","20090604")</f>
        <v/>
      </c>
      <c r="BI5">
        <f>BDS("DK US Equity","SUPPLY_CHAIN_SUPPLIERS","RELATIONSHIP_AS_OF_DATE","20161017")</f>
        <v/>
      </c>
      <c r="BN5">
        <f>BDS("DK US Equity","SUPPLY_CHAIN_CUSTOMERS","RELATIONSHIP_AS_OF_DATE","20161017")</f>
        <v/>
      </c>
      <c r="BS5">
        <f>BDS("RVTY US Equity","SUPPLY_CHAIN_SUPPLIERS","RELATIONSHIP_AS_OF_DATE","20010716")</f>
        <v/>
      </c>
      <c r="BX5">
        <f>BDS("RVTY US Equity","SUPPLY_CHAIN_CUSTOMERS","RELATIONSHIP_AS_OF_DATE","20010716")</f>
        <v/>
      </c>
      <c r="CC5">
        <f>BDS("NLY US Equity","SUPPLY_CHAIN_SUPPLIERS","RELATIONSHIP_AS_OF_DATE","20121112")</f>
        <v/>
      </c>
      <c r="CH5">
        <f>BDS("NLY US Equity","SUPPLY_CHAIN_CUSTOMERS","RELATIONSHIP_AS_OF_DATE","20121112")</f>
        <v/>
      </c>
      <c r="CM5">
        <f>BDS("AAIC US Equity","SUPPLY_CHAIN_SUPPLIERS","RELATIONSHIP_AS_OF_DATE","20021115")</f>
        <v/>
      </c>
      <c r="CR5">
        <f>BDS("AAIC US Equity","SUPPLY_CHAIN_CUSTOMERS","RELATIONSHIP_AS_OF_DATE","20021115")</f>
        <v/>
      </c>
      <c r="CW5">
        <f>BDS("PACW US Equity","SUPPLY_CHAIN_SUPPLIERS","RELATIONSHIP_AS_OF_DATE","20150302")</f>
        <v/>
      </c>
      <c r="DB5">
        <f>BDS("PACW US Equity","SUPPLY_CHAIN_CUSTOMERS","RELATIONSHIP_AS_OF_DATE","20150302")</f>
        <v/>
      </c>
      <c r="DG5">
        <f>BDS("BX US Equity","SUPPLY_CHAIN_SUPPLIERS","RELATIONSHIP_AS_OF_DATE","20060630")</f>
        <v/>
      </c>
      <c r="DL5">
        <f>BDS("BX US Equity","SUPPLY_CHAIN_CUSTOMERS","RELATIONSHIP_AS_OF_DATE","20060630")</f>
        <v/>
      </c>
      <c r="DQ5">
        <f>BDS("CRXA US Equity","SUPPLY_CHAIN_SUPPLIERS","RELATIONSHIP_AS_OF_DATE","20001016")</f>
        <v/>
      </c>
      <c r="DV5">
        <f>BDS("CRXA US Equity","SUPPLY_CHAIN_CUSTOMERS","RELATIONSHIP_AS_OF_DATE","20001016")</f>
        <v/>
      </c>
      <c r="EA5">
        <f>BDS("MDT US Equity","SUPPLY_CHAIN_SUPPLIERS","RELATIONSHIP_AS_OF_DATE","19990827")</f>
        <v/>
      </c>
      <c r="EF5">
        <f>BDS("MDT US Equity","SUPPLY_CHAIN_CUSTOMERS","RELATIONSHIP_AS_OF_DATE","19990827")</f>
        <v/>
      </c>
      <c r="EK5">
        <f>BDS("SFD US Equity","SUPPLY_CHAIN_SUPPLIERS","RELATIONSHIP_AS_OF_DATE","20060918")</f>
        <v/>
      </c>
      <c r="EP5">
        <f>BDS("SFD US Equity","SUPPLY_CHAIN_CUSTOMERS","RELATIONSHIP_AS_OF_DATE","20060918")</f>
        <v/>
      </c>
      <c r="EU5">
        <f>BDS("UDR US Equity","SUPPLY_CHAIN_SUPPLIERS","RELATIONSHIP_AS_OF_DATE","19980911")</f>
        <v/>
      </c>
      <c r="EZ5">
        <f>BDS("UDR US Equity","SUPPLY_CHAIN_CUSTOMERS","RELATIONSHIP_AS_OF_DATE","19980911")</f>
        <v/>
      </c>
      <c r="FE5">
        <f>BDS("ICGC US Equity","SUPPLY_CHAIN_SUPPLIERS","RELATIONSHIP_AS_OF_DATE","20040817")</f>
        <v/>
      </c>
      <c r="FJ5">
        <f>BDS("ICGC US Equity","SUPPLY_CHAIN_CUSTOMERS","RELATIONSHIP_AS_OF_DATE","20040817")</f>
        <v/>
      </c>
      <c r="FO5">
        <f>BDS("NTLDQ US Equity","SUPPLY_CHAIN_SUPPLIERS","RELATIONSHIP_AS_OF_DATE","19980205")</f>
        <v/>
      </c>
      <c r="FT5">
        <f>BDS("NTLDQ US Equity","SUPPLY_CHAIN_CUSTOMERS","RELATIONSHIP_AS_OF_DATE","19980205")</f>
        <v/>
      </c>
      <c r="FY5">
        <f>BDS("LEN US Equity","SUPPLY_CHAIN_SUPPLIERS","RELATIONSHIP_AS_OF_DATE","20160922")</f>
        <v/>
      </c>
      <c r="GD5">
        <f>BDS("LEN US Equity","SUPPLY_CHAIN_CUSTOMERS","RELATIONSHIP_AS_OF_DATE","20160922")</f>
        <v/>
      </c>
      <c r="GI5">
        <f>BDS("KR US Equity","SUPPLY_CHAIN_SUPPLIERS","RELATIONSHIP_AS_OF_DATE","20151111")</f>
        <v/>
      </c>
      <c r="GN5">
        <f>BDS("KR US Equity","SUPPLY_CHAIN_CUSTOMERS","RELATIONSHIP_AS_OF_DATE","20151111")</f>
        <v/>
      </c>
      <c r="GS5">
        <f>BDS("SNCR US Equity","SUPPLY_CHAIN_SUPPLIERS","RELATIONSHIP_AS_OF_DATE","20161206")</f>
        <v/>
      </c>
      <c r="GX5">
        <f>BDS("SNCR US Equity","SUPPLY_CHAIN_CUSTOMERS","RELATIONSHIP_AS_OF_DATE","20161206")</f>
        <v/>
      </c>
      <c r="HC5">
        <f>BDS("2596516D US Equity","SUPPLY_CHAIN_SUPPLIERS","RELATIONSHIP_AS_OF_DATE","20000620")</f>
        <v/>
      </c>
      <c r="HH5">
        <f>BDS("2596516D US Equity","SUPPLY_CHAIN_CUSTOMERS","RELATIONSHIP_AS_OF_DATE","20000620")</f>
        <v/>
      </c>
      <c r="HM5">
        <f>BDS("STEL US Equity","SUPPLY_CHAIN_SUPPLIERS","RELATIONSHIP_AS_OF_DATE","20211108")</f>
        <v/>
      </c>
      <c r="HR5">
        <f>BDS("STEL US Equity","SUPPLY_CHAIN_CUSTOMERS","RELATIONSHIP_AS_OF_DATE","20211108")</f>
        <v/>
      </c>
      <c r="HW5">
        <f>BDS("RRD US Equity","SUPPLY_CHAIN_SUPPLIERS","RELATIONSHIP_AS_OF_DATE","20061031")</f>
        <v/>
      </c>
      <c r="IB5">
        <f>BDS("RRD US Equity","SUPPLY_CHAIN_CUSTOMERS","RELATIONSHIP_AS_OF_DATE","20061031")</f>
        <v/>
      </c>
      <c r="IG5">
        <f>BDS("KMB US Equity","SUPPLY_CHAIN_SUPPLIERS","RELATIONSHIP_AS_OF_DATE","19991117")</f>
        <v/>
      </c>
      <c r="IL5">
        <f>BDS("KMB US Equity","SUPPLY_CHAIN_CUSTOMERS","RELATIONSHIP_AS_OF_DATE","19991117")</f>
        <v/>
      </c>
      <c r="IQ5">
        <f>BDS("MS US Equity","SUPPLY_CHAIN_SUPPLIERS","RELATIONSHIP_AS_OF_DATE","20060322")</f>
        <v/>
      </c>
      <c r="IV5">
        <f>BDS("MS US Equity","SUPPLY_CHAIN_CUSTOMERS","RELATIONSHIP_AS_OF_DATE","20060322")</f>
        <v/>
      </c>
      <c r="JA5">
        <f>BDS("LKQ US Equity","SUPPLY_CHAIN_SUPPLIERS","RELATIONSHIP_AS_OF_DATE","20070717")</f>
        <v/>
      </c>
      <c r="JF5">
        <f>BDS("LKQ US Equity","SUPPLY_CHAIN_CUSTOMERS","RELATIONSHIP_AS_OF_DATE","20070717")</f>
        <v/>
      </c>
      <c r="JK5">
        <f>BDS("TMHC US Equity","SUPPLY_CHAIN_SUPPLIERS","RELATIONSHIP_AS_OF_DATE","20180607")</f>
        <v/>
      </c>
      <c r="JP5">
        <f>BDS("TMHC US Equity","SUPPLY_CHAIN_CUSTOMERS","RELATIONSHIP_AS_OF_DATE","20180607")</f>
        <v/>
      </c>
      <c r="JU5">
        <f>BDS("0876902D US Equity","SUPPLY_CHAIN_SUPPLIERS","RELATIONSHIP_AS_OF_DATE","20050705")</f>
        <v/>
      </c>
      <c r="JZ5">
        <f>BDS("0876902D US Equity","SUPPLY_CHAIN_CUSTOMERS","RELATIONSHIP_AS_OF_DATE","20050705")</f>
        <v/>
      </c>
      <c r="KE5">
        <f>BDS("INTC US Equity","SUPPLY_CHAIN_SUPPLIERS","RELATIONSHIP_AS_OF_DATE","19990601")</f>
        <v/>
      </c>
      <c r="KJ5">
        <f>BDS("INTC US Equity","SUPPLY_CHAIN_CUSTOMERS","RELATIONSHIP_AS_OF_DATE","19990601")</f>
        <v/>
      </c>
      <c r="KO5">
        <f>BDS("355488Q US Equity","SUPPLY_CHAIN_SUPPLIERS","RELATIONSHIP_AS_OF_DATE","20001218")</f>
        <v/>
      </c>
      <c r="KT5">
        <f>BDS("355488Q US Equity","SUPPLY_CHAIN_CUSTOMERS","RELATIONSHIP_AS_OF_DATE","20001218")</f>
        <v/>
      </c>
      <c r="KY5">
        <f>BDS("AA US Equity","SUPPLY_CHAIN_SUPPLIERS","RELATIONSHIP_AS_OF_DATE","20020318")</f>
        <v/>
      </c>
      <c r="LD5">
        <f>BDS("AA US Equity","SUPPLY_CHAIN_CUSTOMERS","RELATIONSHIP_AS_OF_DATE","20020318")</f>
        <v/>
      </c>
      <c r="LI5">
        <f>BDS("HPQ US Equity","SUPPLY_CHAIN_SUPPLIERS","RELATIONSHIP_AS_OF_DATE","20100428")</f>
        <v/>
      </c>
      <c r="LN5">
        <f>BDS("HPQ US Equity","SUPPLY_CHAIN_CUSTOMERS","RELATIONSHIP_AS_OF_DATE","20100428")</f>
        <v/>
      </c>
      <c r="LS5">
        <f>BDS("ECOL US Equity","SUPPLY_CHAIN_SUPPLIERS","RELATIONSHIP_AS_OF_DATE","20190624")</f>
        <v/>
      </c>
      <c r="LX5">
        <f>BDS("ECOL US Equity","SUPPLY_CHAIN_CUSTOMERS","RELATIONSHIP_AS_OF_DATE","20190624")</f>
        <v/>
      </c>
      <c r="MC5">
        <f>BDS("CIEN US Equity","SUPPLY_CHAIN_SUPPLIERS","RELATIONSHIP_AS_OF_DATE","20020218")</f>
        <v/>
      </c>
      <c r="MH5">
        <f>BDS("CIEN US Equity","SUPPLY_CHAIN_CUSTOMERS","RELATIONSHIP_AS_OF_DATE","20020218")</f>
        <v/>
      </c>
      <c r="MM5">
        <f>BDS("CVIAQ US Equity","SUPPLY_CHAIN_SUPPLIERS","RELATIONSHIP_AS_OF_DATE","20171212")</f>
        <v/>
      </c>
      <c r="MR5">
        <f>BDS("CVIAQ US Equity","SUPPLY_CHAIN_CUSTOMERS","RELATIONSHIP_AS_OF_DATE","20171212")</f>
        <v/>
      </c>
      <c r="MW5">
        <f>BDS("1284849D US Equity","SUPPLY_CHAIN_SUPPLIERS","RELATIONSHIP_AS_OF_DATE","20130122")</f>
        <v/>
      </c>
      <c r="NB5">
        <f>BDS("1284849D US Equity","SUPPLY_CHAIN_CUSTOMERS","RELATIONSHIP_AS_OF_DATE","20130122")</f>
        <v/>
      </c>
      <c r="NG5">
        <f>BDS("DLX US Equity","SUPPLY_CHAIN_SUPPLIERS","RELATIONSHIP_AS_OF_DATE","20040517")</f>
        <v/>
      </c>
      <c r="NL5">
        <f>BDS("DLX US Equity","SUPPLY_CHAIN_CUSTOMERS","RELATIONSHIP_AS_OF_DATE","20040517")</f>
        <v/>
      </c>
      <c r="NQ5">
        <f>BDS("WBA US Equity","SUPPLY_CHAIN_SUPPLIERS","RELATIONSHIP_AS_OF_DATE","20070702")</f>
        <v/>
      </c>
      <c r="NV5">
        <f>BDS("WBA US Equity","SUPPLY_CHAIN_CUSTOMERS","RELATIONSHIP_AS_OF_DATE","20070702")</f>
        <v/>
      </c>
      <c r="OA5">
        <f>BDS("IBM US Equity","SUPPLY_CHAIN_SUPPLIERS","RELATIONSHIP_AS_OF_DATE","20090728")</f>
        <v/>
      </c>
      <c r="OF5">
        <f>BDS("IBM US Equity","SUPPLY_CHAIN_CUSTOMERS","RELATIONSHIP_AS_OF_DATE","20090728")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1561</t>
        </is>
      </c>
      <c r="K1" s="1" t="inlineStr">
        <is>
          <t>Deal 1562</t>
        </is>
      </c>
      <c r="U1" s="1" t="inlineStr">
        <is>
          <t>Deal 1563</t>
        </is>
      </c>
      <c r="AE1" s="1" t="inlineStr">
        <is>
          <t>Deal 1564</t>
        </is>
      </c>
      <c r="AO1" s="1" t="inlineStr">
        <is>
          <t>Deal 1565</t>
        </is>
      </c>
      <c r="AY1" s="1" t="inlineStr">
        <is>
          <t>Deal 1566</t>
        </is>
      </c>
      <c r="BI1" s="1" t="inlineStr">
        <is>
          <t>Deal 1567</t>
        </is>
      </c>
      <c r="BS1" s="1" t="inlineStr">
        <is>
          <t>Deal 1568</t>
        </is>
      </c>
      <c r="CC1" s="1" t="inlineStr">
        <is>
          <t>Deal 1569</t>
        </is>
      </c>
      <c r="CM1" s="1" t="inlineStr">
        <is>
          <t>Deal 1570</t>
        </is>
      </c>
      <c r="CW1" s="1" t="inlineStr">
        <is>
          <t>Deal 1571</t>
        </is>
      </c>
      <c r="DG1" s="1" t="inlineStr">
        <is>
          <t>Deal 1572</t>
        </is>
      </c>
      <c r="DQ1" s="1" t="inlineStr">
        <is>
          <t>Deal 1573</t>
        </is>
      </c>
      <c r="EA1" s="1" t="inlineStr">
        <is>
          <t>Deal 1574</t>
        </is>
      </c>
      <c r="EK1" s="1" t="inlineStr">
        <is>
          <t>Deal 1575</t>
        </is>
      </c>
      <c r="EU1" s="1" t="inlineStr">
        <is>
          <t>Deal 1576</t>
        </is>
      </c>
      <c r="FE1" s="1" t="inlineStr">
        <is>
          <t>Deal 1577</t>
        </is>
      </c>
      <c r="FO1" s="1" t="inlineStr">
        <is>
          <t>Deal 1578</t>
        </is>
      </c>
      <c r="FY1" s="1" t="inlineStr">
        <is>
          <t>Deal 1579</t>
        </is>
      </c>
      <c r="GI1" s="1" t="inlineStr">
        <is>
          <t>Deal 1580</t>
        </is>
      </c>
      <c r="GS1" s="1" t="inlineStr">
        <is>
          <t>Deal 1581</t>
        </is>
      </c>
      <c r="HC1" s="1" t="inlineStr">
        <is>
          <t>Deal 1582</t>
        </is>
      </c>
      <c r="HM1" s="1" t="inlineStr">
        <is>
          <t>Deal 1583</t>
        </is>
      </c>
      <c r="HW1" s="1" t="inlineStr">
        <is>
          <t>Deal 1584</t>
        </is>
      </c>
      <c r="IG1" s="1" t="inlineStr">
        <is>
          <t>Deal 1585</t>
        </is>
      </c>
      <c r="IQ1" s="1" t="inlineStr">
        <is>
          <t>Deal 1586</t>
        </is>
      </c>
      <c r="JA1" s="1" t="inlineStr">
        <is>
          <t>Deal 1587</t>
        </is>
      </c>
      <c r="JK1" s="1" t="inlineStr">
        <is>
          <t>Deal 1588</t>
        </is>
      </c>
      <c r="JU1" s="1" t="inlineStr">
        <is>
          <t>Deal 1589</t>
        </is>
      </c>
      <c r="KE1" s="1" t="inlineStr">
        <is>
          <t>Deal 1590</t>
        </is>
      </c>
      <c r="KO1" s="1" t="inlineStr">
        <is>
          <t>Deal 1591</t>
        </is>
      </c>
      <c r="KY1" s="1" t="inlineStr">
        <is>
          <t>Deal 1592</t>
        </is>
      </c>
      <c r="LI1" s="1" t="inlineStr">
        <is>
          <t>Deal 1593</t>
        </is>
      </c>
      <c r="LS1" s="1" t="inlineStr">
        <is>
          <t>Deal 1594</t>
        </is>
      </c>
      <c r="MC1" s="1" t="inlineStr">
        <is>
          <t>Deal 1595</t>
        </is>
      </c>
      <c r="MM1" s="1" t="inlineStr">
        <is>
          <t>Deal 1596</t>
        </is>
      </c>
      <c r="MW1" s="1" t="inlineStr">
        <is>
          <t>Deal 1597</t>
        </is>
      </c>
      <c r="NG1" s="1" t="inlineStr">
        <is>
          <t>Deal 1598</t>
        </is>
      </c>
      <c r="NQ1" s="1" t="inlineStr">
        <is>
          <t>Deal 1599</t>
        </is>
      </c>
      <c r="OA1" s="1" t="inlineStr">
        <is>
          <t>Deal 1600</t>
        </is>
      </c>
    </row>
    <row r="2">
      <c r="A2" s="2" t="inlineStr">
        <is>
          <t>ROVI US Equity</t>
        </is>
      </c>
      <c r="K2" s="2" t="inlineStr">
        <is>
          <t>CTB US Equity</t>
        </is>
      </c>
      <c r="U2" s="2" t="inlineStr">
        <is>
          <t>BX US Equity</t>
        </is>
      </c>
      <c r="AE2" s="2" t="inlineStr">
        <is>
          <t>AVT US Equity</t>
        </is>
      </c>
      <c r="AO2" s="2" t="inlineStr">
        <is>
          <t>SCI US Equity</t>
        </is>
      </c>
      <c r="AY2" s="2" t="inlineStr">
        <is>
          <t>HZNP US Equity</t>
        </is>
      </c>
      <c r="BI2" s="2" t="inlineStr">
        <is>
          <t>6222B US Equity</t>
        </is>
      </c>
      <c r="BS2" s="2" t="inlineStr">
        <is>
          <t>USB US Equity</t>
        </is>
      </c>
      <c r="CC2" s="2" t="inlineStr">
        <is>
          <t>PENN US Equity</t>
        </is>
      </c>
      <c r="CM2" s="2" t="inlineStr">
        <is>
          <t>BIIB US Equity</t>
        </is>
      </c>
      <c r="CW2" s="2" t="inlineStr">
        <is>
          <t>GE US Equity</t>
        </is>
      </c>
      <c r="DG2" s="2" t="inlineStr">
        <is>
          <t>ITRI US Equity</t>
        </is>
      </c>
      <c r="DQ2" s="2" t="inlineStr">
        <is>
          <t>PRMW CN Equity</t>
        </is>
      </c>
      <c r="EA2" s="2" t="inlineStr">
        <is>
          <t>NXTL US Equity</t>
        </is>
      </c>
      <c r="EK2" s="2" t="inlineStr">
        <is>
          <t>SHP LN Equity</t>
        </is>
      </c>
      <c r="EU2" s="2" t="inlineStr">
        <is>
          <t>ENS US Equity</t>
        </is>
      </c>
      <c r="FE2" s="2" t="inlineStr">
        <is>
          <t>VLY US Equity</t>
        </is>
      </c>
      <c r="FO2" s="2" t="inlineStr">
        <is>
          <t>1918938D US Equity</t>
        </is>
      </c>
      <c r="FY2" s="2" t="inlineStr">
        <is>
          <t>BERY US Equity</t>
        </is>
      </c>
      <c r="GI2" s="2" t="inlineStr">
        <is>
          <t>RTX US Equity</t>
        </is>
      </c>
      <c r="GS2" s="2" t="inlineStr">
        <is>
          <t>EPB US Equity</t>
        </is>
      </c>
      <c r="HC2" s="2" t="inlineStr">
        <is>
          <t>9990822D US Equity</t>
        </is>
      </c>
      <c r="HM2" s="2" t="inlineStr">
        <is>
          <t>VIAV US Equity</t>
        </is>
      </c>
      <c r="HW2" s="2" t="inlineStr">
        <is>
          <t>HET US Equity</t>
        </is>
      </c>
      <c r="IG2" s="2" t="inlineStr">
        <is>
          <t>1436225D US Equity</t>
        </is>
      </c>
      <c r="IQ2" s="2" t="inlineStr">
        <is>
          <t>AAL US Equity</t>
        </is>
      </c>
      <c r="JA2" s="2" t="inlineStr">
        <is>
          <t>CG US Equity</t>
        </is>
      </c>
      <c r="JK2" s="2" t="inlineStr">
        <is>
          <t>3423152Q US Equity</t>
        </is>
      </c>
      <c r="JU2" s="2" t="inlineStr">
        <is>
          <t>VRC US Equity</t>
        </is>
      </c>
      <c r="KE2" s="2" t="inlineStr">
        <is>
          <t>2860436Q US Equity</t>
        </is>
      </c>
      <c r="KO2" s="2" t="inlineStr">
        <is>
          <t>VMW US Equity</t>
        </is>
      </c>
      <c r="KY2" s="2" t="inlineStr">
        <is>
          <t>JJZ US Equity</t>
        </is>
      </c>
      <c r="LI2" s="2" t="inlineStr">
        <is>
          <t>2968900Q US Equity</t>
        </is>
      </c>
      <c r="LS2" s="2" t="inlineStr">
        <is>
          <t>EQR US Equity</t>
        </is>
      </c>
      <c r="MC2" s="2" t="inlineStr">
        <is>
          <t>1789494D US Equity</t>
        </is>
      </c>
      <c r="MM2" s="2" t="inlineStr">
        <is>
          <t>STRA US Equity</t>
        </is>
      </c>
      <c r="MW2" s="2" t="inlineStr">
        <is>
          <t>BA US Equity</t>
        </is>
      </c>
      <c r="NG2" s="2" t="inlineStr">
        <is>
          <t>AUB US Equity</t>
        </is>
      </c>
      <c r="NQ2" s="2" t="inlineStr">
        <is>
          <t>EPD US Equity</t>
        </is>
      </c>
      <c r="OA2" s="2" t="inlineStr">
        <is>
          <t>SRE US Equity</t>
        </is>
      </c>
    </row>
    <row r="3">
      <c r="A3" t="inlineStr">
        <is>
          <t>Ann: 2010-12-22</t>
        </is>
      </c>
      <c r="K3" t="inlineStr">
        <is>
          <t>Ann: 1999-07-27</t>
        </is>
      </c>
      <c r="U3" t="inlineStr">
        <is>
          <t>Ann: 2004-08-18</t>
        </is>
      </c>
      <c r="AE3" t="inlineStr">
        <is>
          <t>Ann: 2001-03-22</t>
        </is>
      </c>
      <c r="AO3" t="inlineStr">
        <is>
          <t>Ann: 1998-08-06</t>
        </is>
      </c>
      <c r="AY3" t="inlineStr">
        <is>
          <t>Ann: 2016-09-12</t>
        </is>
      </c>
      <c r="BI3" t="inlineStr">
        <is>
          <t>Ann: 2001-01-15</t>
        </is>
      </c>
      <c r="BS3" t="inlineStr">
        <is>
          <t>Ann: 1998-04-10</t>
        </is>
      </c>
      <c r="CC3" t="inlineStr">
        <is>
          <t>Ann: 2002-08-07</t>
        </is>
      </c>
      <c r="CM3" t="inlineStr">
        <is>
          <t>Ann: 2019-03-04</t>
        </is>
      </c>
      <c r="CW3" t="inlineStr">
        <is>
          <t>Ann: 2004-03-15</t>
        </is>
      </c>
      <c r="DG3" t="inlineStr">
        <is>
          <t>Ann: 2017-09-18</t>
        </is>
      </c>
      <c r="DQ3" t="inlineStr">
        <is>
          <t>Ann: 2020-01-13</t>
        </is>
      </c>
      <c r="EA3" t="inlineStr">
        <is>
          <t>Ann: 1995-12-31</t>
        </is>
      </c>
      <c r="EK3" t="inlineStr">
        <is>
          <t>Ann: 2011-05-17</t>
        </is>
      </c>
      <c r="EU3" t="inlineStr">
        <is>
          <t>Ann: 2018-10-29</t>
        </is>
      </c>
      <c r="FE3" t="inlineStr">
        <is>
          <t>Ann: 2019-06-26</t>
        </is>
      </c>
      <c r="FO3" t="inlineStr">
        <is>
          <t>Ann: 2006-11-09</t>
        </is>
      </c>
      <c r="FY3" t="inlineStr">
        <is>
          <t>Ann: 2016-08-25</t>
        </is>
      </c>
      <c r="GI3" t="inlineStr">
        <is>
          <t>Ann: 2000-10-16</t>
        </is>
      </c>
      <c r="GS3" t="inlineStr">
        <is>
          <t>Ann: 2011-06-29</t>
        </is>
      </c>
      <c r="HC3" t="inlineStr">
        <is>
          <t>Ann: 2012-03-13</t>
        </is>
      </c>
      <c r="HM3" t="inlineStr">
        <is>
          <t>Ann: 2005-05-23</t>
        </is>
      </c>
      <c r="HW3" t="inlineStr">
        <is>
          <t>Ann: 1998-08-10</t>
        </is>
      </c>
      <c r="IG3" t="inlineStr">
        <is>
          <t>Ann: 1999-12-01</t>
        </is>
      </c>
      <c r="IQ3" t="inlineStr">
        <is>
          <t>Ann: 2001-01-10</t>
        </is>
      </c>
      <c r="JA3" t="inlineStr">
        <is>
          <t>Ann: 2007-01-29</t>
        </is>
      </c>
      <c r="JK3" t="inlineStr">
        <is>
          <t>Ann: 2001-05-23</t>
        </is>
      </c>
      <c r="JU3" t="inlineStr">
        <is>
          <t>Ann: 2000-03-22</t>
        </is>
      </c>
      <c r="KE3" t="inlineStr">
        <is>
          <t>Ann: 2000-02-22</t>
        </is>
      </c>
      <c r="KO3" t="inlineStr">
        <is>
          <t>Ann: 2019-08-22</t>
        </is>
      </c>
      <c r="KY3" t="inlineStr">
        <is>
          <t>Ann: 1998-02-17</t>
        </is>
      </c>
      <c r="LI3" t="inlineStr">
        <is>
          <t>Ann: 2001-10-08</t>
        </is>
      </c>
      <c r="LS3" t="inlineStr">
        <is>
          <t>Ann: 1999-07-01</t>
        </is>
      </c>
      <c r="MC3" t="inlineStr">
        <is>
          <t>Ann: 1999-05-03</t>
        </is>
      </c>
      <c r="MM3" t="inlineStr">
        <is>
          <t>Ann: 2017-10-30</t>
        </is>
      </c>
      <c r="MW3" t="inlineStr">
        <is>
          <t>Ann: 2010-06-30</t>
        </is>
      </c>
      <c r="NG3" t="inlineStr">
        <is>
          <t>Ann: 2017-05-22</t>
        </is>
      </c>
      <c r="NQ3" t="inlineStr">
        <is>
          <t>Ann: 2014-11-12</t>
        </is>
      </c>
      <c r="OA3" t="inlineStr">
        <is>
          <t>Ann: 2008-07-28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BDS("ROVI US Equity","SUPPLY_CHAIN_SUPPLIERS","RELATIONSHIP_AS_OF_DATE","20101222")</f>
        <v/>
      </c>
      <c r="F5">
        <f>BDS("ROVI US Equity","SUPPLY_CHAIN_CUSTOMERS","RELATIONSHIP_AS_OF_DATE","20101222")</f>
        <v/>
      </c>
      <c r="K5">
        <f>BDS("CTB US Equity","SUPPLY_CHAIN_SUPPLIERS","RELATIONSHIP_AS_OF_DATE","19990727")</f>
        <v/>
      </c>
      <c r="P5">
        <f>BDS("CTB US Equity","SUPPLY_CHAIN_CUSTOMERS","RELATIONSHIP_AS_OF_DATE","19990727")</f>
        <v/>
      </c>
      <c r="U5">
        <f>BDS("BX US Equity","SUPPLY_CHAIN_SUPPLIERS","RELATIONSHIP_AS_OF_DATE","20040818")</f>
        <v/>
      </c>
      <c r="Z5">
        <f>BDS("BX US Equity","SUPPLY_CHAIN_CUSTOMERS","RELATIONSHIP_AS_OF_DATE","20040818")</f>
        <v/>
      </c>
      <c r="AE5">
        <f>BDS("AVT US Equity","SUPPLY_CHAIN_SUPPLIERS","RELATIONSHIP_AS_OF_DATE","20010322")</f>
        <v/>
      </c>
      <c r="AJ5">
        <f>BDS("AVT US Equity","SUPPLY_CHAIN_CUSTOMERS","RELATIONSHIP_AS_OF_DATE","20010322")</f>
        <v/>
      </c>
      <c r="AO5">
        <f>BDS("SCI US Equity","SUPPLY_CHAIN_SUPPLIERS","RELATIONSHIP_AS_OF_DATE","19980806")</f>
        <v/>
      </c>
      <c r="AT5">
        <f>BDS("SCI US Equity","SUPPLY_CHAIN_CUSTOMERS","RELATIONSHIP_AS_OF_DATE","19980806")</f>
        <v/>
      </c>
      <c r="AY5">
        <f>BDS("HZNP US Equity","SUPPLY_CHAIN_SUPPLIERS","RELATIONSHIP_AS_OF_DATE","20160912")</f>
        <v/>
      </c>
      <c r="BD5">
        <f>BDS("HZNP US Equity","SUPPLY_CHAIN_CUSTOMERS","RELATIONSHIP_AS_OF_DATE","20160912")</f>
        <v/>
      </c>
      <c r="BI5">
        <f>BDS("6222B US Equity","SUPPLY_CHAIN_SUPPLIERS","RELATIONSHIP_AS_OF_DATE","20010115")</f>
        <v/>
      </c>
      <c r="BN5">
        <f>BDS("6222B US Equity","SUPPLY_CHAIN_CUSTOMERS","RELATIONSHIP_AS_OF_DATE","20010115")</f>
        <v/>
      </c>
      <c r="BS5">
        <f>BDS("USB US Equity","SUPPLY_CHAIN_SUPPLIERS","RELATIONSHIP_AS_OF_DATE","19980410")</f>
        <v/>
      </c>
      <c r="BX5">
        <f>BDS("USB US Equity","SUPPLY_CHAIN_CUSTOMERS","RELATIONSHIP_AS_OF_DATE","19980410")</f>
        <v/>
      </c>
      <c r="CC5">
        <f>BDS("PENN US Equity","SUPPLY_CHAIN_SUPPLIERS","RELATIONSHIP_AS_OF_DATE","20020807")</f>
        <v/>
      </c>
      <c r="CH5">
        <f>BDS("PENN US Equity","SUPPLY_CHAIN_CUSTOMERS","RELATIONSHIP_AS_OF_DATE","20020807")</f>
        <v/>
      </c>
      <c r="CM5">
        <f>BDS("BIIB US Equity","SUPPLY_CHAIN_SUPPLIERS","RELATIONSHIP_AS_OF_DATE","20190304")</f>
        <v/>
      </c>
      <c r="CR5">
        <f>BDS("BIIB US Equity","SUPPLY_CHAIN_CUSTOMERS","RELATIONSHIP_AS_OF_DATE","20190304")</f>
        <v/>
      </c>
      <c r="CW5">
        <f>BDS("GE US Equity","SUPPLY_CHAIN_SUPPLIERS","RELATIONSHIP_AS_OF_DATE","20040315")</f>
        <v/>
      </c>
      <c r="DB5">
        <f>BDS("GE US Equity","SUPPLY_CHAIN_CUSTOMERS","RELATIONSHIP_AS_OF_DATE","20040315")</f>
        <v/>
      </c>
      <c r="DG5">
        <f>BDS("ITRI US Equity","SUPPLY_CHAIN_SUPPLIERS","RELATIONSHIP_AS_OF_DATE","20170918")</f>
        <v/>
      </c>
      <c r="DL5">
        <f>BDS("ITRI US Equity","SUPPLY_CHAIN_CUSTOMERS","RELATIONSHIP_AS_OF_DATE","20170918")</f>
        <v/>
      </c>
      <c r="DQ5">
        <f>BDS("PRMW CN Equity","SUPPLY_CHAIN_SUPPLIERS","RELATIONSHIP_AS_OF_DATE","20200113")</f>
        <v/>
      </c>
      <c r="DV5">
        <f>BDS("PRMW CN Equity","SUPPLY_CHAIN_CUSTOMERS","RELATIONSHIP_AS_OF_DATE","20200113")</f>
        <v/>
      </c>
      <c r="EA5">
        <f>BDS("NXTL US Equity","SUPPLY_CHAIN_SUPPLIERS","RELATIONSHIP_AS_OF_DATE","19951231")</f>
        <v/>
      </c>
      <c r="EF5">
        <f>BDS("NXTL US Equity","SUPPLY_CHAIN_CUSTOMERS","RELATIONSHIP_AS_OF_DATE","19951231")</f>
        <v/>
      </c>
      <c r="EK5">
        <f>BDS("SHP LN Equity","SUPPLY_CHAIN_SUPPLIERS","RELATIONSHIP_AS_OF_DATE","20110517")</f>
        <v/>
      </c>
      <c r="EP5">
        <f>BDS("SHP LN Equity","SUPPLY_CHAIN_CUSTOMERS","RELATIONSHIP_AS_OF_DATE","20110517")</f>
        <v/>
      </c>
      <c r="EU5">
        <f>BDS("ENS US Equity","SUPPLY_CHAIN_SUPPLIERS","RELATIONSHIP_AS_OF_DATE","20181029")</f>
        <v/>
      </c>
      <c r="EZ5">
        <f>BDS("ENS US Equity","SUPPLY_CHAIN_CUSTOMERS","RELATIONSHIP_AS_OF_DATE","20181029")</f>
        <v/>
      </c>
      <c r="FE5">
        <f>BDS("VLY US Equity","SUPPLY_CHAIN_SUPPLIERS","RELATIONSHIP_AS_OF_DATE","20190626")</f>
        <v/>
      </c>
      <c r="FJ5">
        <f>BDS("VLY US Equity","SUPPLY_CHAIN_CUSTOMERS","RELATIONSHIP_AS_OF_DATE","20190626")</f>
        <v/>
      </c>
      <c r="FO5">
        <f>BDS("1918938D US Equity","SUPPLY_CHAIN_SUPPLIERS","RELATIONSHIP_AS_OF_DATE","20061109")</f>
        <v/>
      </c>
      <c r="FT5">
        <f>BDS("1918938D US Equity","SUPPLY_CHAIN_CUSTOMERS","RELATIONSHIP_AS_OF_DATE","20061109")</f>
        <v/>
      </c>
      <c r="FY5">
        <f>BDS("BERY US Equity","SUPPLY_CHAIN_SUPPLIERS","RELATIONSHIP_AS_OF_DATE","20160825")</f>
        <v/>
      </c>
      <c r="GD5">
        <f>BDS("BERY US Equity","SUPPLY_CHAIN_CUSTOMERS","RELATIONSHIP_AS_OF_DATE","20160825")</f>
        <v/>
      </c>
      <c r="GI5">
        <f>BDS("RTX US Equity","SUPPLY_CHAIN_SUPPLIERS","RELATIONSHIP_AS_OF_DATE","20001016")</f>
        <v/>
      </c>
      <c r="GN5">
        <f>BDS("RTX US Equity","SUPPLY_CHAIN_CUSTOMERS","RELATIONSHIP_AS_OF_DATE","20001016")</f>
        <v/>
      </c>
      <c r="GS5">
        <f>BDS("EPB US Equity","SUPPLY_CHAIN_SUPPLIERS","RELATIONSHIP_AS_OF_DATE","20110629")</f>
        <v/>
      </c>
      <c r="GX5">
        <f>BDS("EPB US Equity","SUPPLY_CHAIN_CUSTOMERS","RELATIONSHIP_AS_OF_DATE","20110629")</f>
        <v/>
      </c>
      <c r="HC5">
        <f>BDS("9990822D US Equity","SUPPLY_CHAIN_SUPPLIERS","RELATIONSHIP_AS_OF_DATE","20120313")</f>
        <v/>
      </c>
      <c r="HH5">
        <f>BDS("9990822D US Equity","SUPPLY_CHAIN_CUSTOMERS","RELATIONSHIP_AS_OF_DATE","20120313")</f>
        <v/>
      </c>
      <c r="HM5">
        <f>BDS("VIAV US Equity","SUPPLY_CHAIN_SUPPLIERS","RELATIONSHIP_AS_OF_DATE","20050523")</f>
        <v/>
      </c>
      <c r="HR5">
        <f>BDS("VIAV US Equity","SUPPLY_CHAIN_CUSTOMERS","RELATIONSHIP_AS_OF_DATE","20050523")</f>
        <v/>
      </c>
      <c r="HW5">
        <f>BDS("HET US Equity","SUPPLY_CHAIN_SUPPLIERS","RELATIONSHIP_AS_OF_DATE","19980810")</f>
        <v/>
      </c>
      <c r="IB5">
        <f>BDS("HET US Equity","SUPPLY_CHAIN_CUSTOMERS","RELATIONSHIP_AS_OF_DATE","19980810")</f>
        <v/>
      </c>
      <c r="IG5">
        <f>BDS("1436225D US Equity","SUPPLY_CHAIN_SUPPLIERS","RELATIONSHIP_AS_OF_DATE","19991201")</f>
        <v/>
      </c>
      <c r="IL5">
        <f>BDS("1436225D US Equity","SUPPLY_CHAIN_CUSTOMERS","RELATIONSHIP_AS_OF_DATE","19991201")</f>
        <v/>
      </c>
      <c r="IQ5">
        <f>BDS("AAL US Equity","SUPPLY_CHAIN_SUPPLIERS","RELATIONSHIP_AS_OF_DATE","20010110")</f>
        <v/>
      </c>
      <c r="IV5">
        <f>BDS("AAL US Equity","SUPPLY_CHAIN_CUSTOMERS","RELATIONSHIP_AS_OF_DATE","20010110")</f>
        <v/>
      </c>
      <c r="JA5">
        <f>BDS("CG US Equity","SUPPLY_CHAIN_SUPPLIERS","RELATIONSHIP_AS_OF_DATE","20070129")</f>
        <v/>
      </c>
      <c r="JF5">
        <f>BDS("CG US Equity","SUPPLY_CHAIN_CUSTOMERS","RELATIONSHIP_AS_OF_DATE","20070129")</f>
        <v/>
      </c>
      <c r="JK5">
        <f>BDS("3423152Q US Equity","SUPPLY_CHAIN_SUPPLIERS","RELATIONSHIP_AS_OF_DATE","20010523")</f>
        <v/>
      </c>
      <c r="JP5">
        <f>BDS("3423152Q US Equity","SUPPLY_CHAIN_CUSTOMERS","RELATIONSHIP_AS_OF_DATE","20010523")</f>
        <v/>
      </c>
      <c r="JU5">
        <f>BDS("VRC US Equity","SUPPLY_CHAIN_SUPPLIERS","RELATIONSHIP_AS_OF_DATE","20000322")</f>
        <v/>
      </c>
      <c r="JZ5">
        <f>BDS("VRC US Equity","SUPPLY_CHAIN_CUSTOMERS","RELATIONSHIP_AS_OF_DATE","20000322")</f>
        <v/>
      </c>
      <c r="KE5">
        <f>BDS("2860436Q US Equity","SUPPLY_CHAIN_SUPPLIERS","RELATIONSHIP_AS_OF_DATE","20000222")</f>
        <v/>
      </c>
      <c r="KJ5">
        <f>BDS("2860436Q US Equity","SUPPLY_CHAIN_CUSTOMERS","RELATIONSHIP_AS_OF_DATE","20000222")</f>
        <v/>
      </c>
      <c r="KO5">
        <f>BDS("VMW US Equity","SUPPLY_CHAIN_SUPPLIERS","RELATIONSHIP_AS_OF_DATE","20190822")</f>
        <v/>
      </c>
      <c r="KT5">
        <f>BDS("VMW US Equity","SUPPLY_CHAIN_CUSTOMERS","RELATIONSHIP_AS_OF_DATE","20190822")</f>
        <v/>
      </c>
      <c r="KY5">
        <f>BDS("JJZ US Equity","SUPPLY_CHAIN_SUPPLIERS","RELATIONSHIP_AS_OF_DATE","19980217")</f>
        <v/>
      </c>
      <c r="LD5">
        <f>BDS("JJZ US Equity","SUPPLY_CHAIN_CUSTOMERS","RELATIONSHIP_AS_OF_DATE","19980217")</f>
        <v/>
      </c>
      <c r="LI5">
        <f>BDS("2968900Q US Equity","SUPPLY_CHAIN_SUPPLIERS","RELATIONSHIP_AS_OF_DATE","20011008")</f>
        <v/>
      </c>
      <c r="LN5">
        <f>BDS("2968900Q US Equity","SUPPLY_CHAIN_CUSTOMERS","RELATIONSHIP_AS_OF_DATE","20011008")</f>
        <v/>
      </c>
      <c r="LS5">
        <f>BDS("EQR US Equity","SUPPLY_CHAIN_SUPPLIERS","RELATIONSHIP_AS_OF_DATE","19990701")</f>
        <v/>
      </c>
      <c r="LX5">
        <f>BDS("EQR US Equity","SUPPLY_CHAIN_CUSTOMERS","RELATIONSHIP_AS_OF_DATE","19990701")</f>
        <v/>
      </c>
      <c r="MC5">
        <f>BDS("1789494D US Equity","SUPPLY_CHAIN_SUPPLIERS","RELATIONSHIP_AS_OF_DATE","19990503")</f>
        <v/>
      </c>
      <c r="MH5">
        <f>BDS("1789494D US Equity","SUPPLY_CHAIN_CUSTOMERS","RELATIONSHIP_AS_OF_DATE","19990503")</f>
        <v/>
      </c>
      <c r="MM5">
        <f>BDS("STRA US Equity","SUPPLY_CHAIN_SUPPLIERS","RELATIONSHIP_AS_OF_DATE","20171030")</f>
        <v/>
      </c>
      <c r="MR5">
        <f>BDS("STRA US Equity","SUPPLY_CHAIN_CUSTOMERS","RELATIONSHIP_AS_OF_DATE","20171030")</f>
        <v/>
      </c>
      <c r="MW5">
        <f>BDS("BA US Equity","SUPPLY_CHAIN_SUPPLIERS","RELATIONSHIP_AS_OF_DATE","20100630")</f>
        <v/>
      </c>
      <c r="NB5">
        <f>BDS("BA US Equity","SUPPLY_CHAIN_CUSTOMERS","RELATIONSHIP_AS_OF_DATE","20100630")</f>
        <v/>
      </c>
      <c r="NG5">
        <f>BDS("AUB US Equity","SUPPLY_CHAIN_SUPPLIERS","RELATIONSHIP_AS_OF_DATE","20170522")</f>
        <v/>
      </c>
      <c r="NL5">
        <f>BDS("AUB US Equity","SUPPLY_CHAIN_CUSTOMERS","RELATIONSHIP_AS_OF_DATE","20170522")</f>
        <v/>
      </c>
      <c r="NQ5">
        <f>BDS("EPD US Equity","SUPPLY_CHAIN_SUPPLIERS","RELATIONSHIP_AS_OF_DATE","20141112")</f>
        <v/>
      </c>
      <c r="NV5">
        <f>BDS("EPD US Equity","SUPPLY_CHAIN_CUSTOMERS","RELATIONSHIP_AS_OF_DATE","20141112")</f>
        <v/>
      </c>
      <c r="OA5">
        <f>BDS("SRE US Equity","SUPPLY_CHAIN_SUPPLIERS","RELATIONSHIP_AS_OF_DATE","20080728")</f>
        <v/>
      </c>
      <c r="OF5">
        <f>BDS("SRE US Equity","SUPPLY_CHAIN_CUSTOMERS","RELATIONSHIP_AS_OF_DATE","20080728")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1601</t>
        </is>
      </c>
      <c r="K1" s="1" t="inlineStr">
        <is>
          <t>Deal 1602</t>
        </is>
      </c>
      <c r="U1" s="1" t="inlineStr">
        <is>
          <t>Deal 1603</t>
        </is>
      </c>
      <c r="AE1" s="1" t="inlineStr">
        <is>
          <t>Deal 1604</t>
        </is>
      </c>
      <c r="AO1" s="1" t="inlineStr">
        <is>
          <t>Deal 1605</t>
        </is>
      </c>
      <c r="AY1" s="1" t="inlineStr">
        <is>
          <t>Deal 1606</t>
        </is>
      </c>
      <c r="BI1" s="1" t="inlineStr">
        <is>
          <t>Deal 1607</t>
        </is>
      </c>
      <c r="BS1" s="1" t="inlineStr">
        <is>
          <t>Deal 1608</t>
        </is>
      </c>
      <c r="CC1" s="1" t="inlineStr">
        <is>
          <t>Deal 1609</t>
        </is>
      </c>
      <c r="CM1" s="1" t="inlineStr">
        <is>
          <t>Deal 1610</t>
        </is>
      </c>
      <c r="CW1" s="1" t="inlineStr">
        <is>
          <t>Deal 1611</t>
        </is>
      </c>
      <c r="DG1" s="1" t="inlineStr">
        <is>
          <t>Deal 1612</t>
        </is>
      </c>
      <c r="DQ1" s="1" t="inlineStr">
        <is>
          <t>Deal 1613</t>
        </is>
      </c>
      <c r="EA1" s="1" t="inlineStr">
        <is>
          <t>Deal 1614</t>
        </is>
      </c>
      <c r="EK1" s="1" t="inlineStr">
        <is>
          <t>Deal 1615</t>
        </is>
      </c>
      <c r="EU1" s="1" t="inlineStr">
        <is>
          <t>Deal 1616</t>
        </is>
      </c>
      <c r="FE1" s="1" t="inlineStr">
        <is>
          <t>Deal 1617</t>
        </is>
      </c>
      <c r="FO1" s="1" t="inlineStr">
        <is>
          <t>Deal 1618</t>
        </is>
      </c>
      <c r="FY1" s="1" t="inlineStr">
        <is>
          <t>Deal 1619</t>
        </is>
      </c>
      <c r="GI1" s="1" t="inlineStr">
        <is>
          <t>Deal 1620</t>
        </is>
      </c>
      <c r="GS1" s="1" t="inlineStr">
        <is>
          <t>Deal 1621</t>
        </is>
      </c>
      <c r="HC1" s="1" t="inlineStr">
        <is>
          <t>Deal 1622</t>
        </is>
      </c>
      <c r="HM1" s="1" t="inlineStr">
        <is>
          <t>Deal 1623</t>
        </is>
      </c>
      <c r="HW1" s="1" t="inlineStr">
        <is>
          <t>Deal 1624</t>
        </is>
      </c>
      <c r="IG1" s="1" t="inlineStr">
        <is>
          <t>Deal 1625</t>
        </is>
      </c>
      <c r="IQ1" s="1" t="inlineStr">
        <is>
          <t>Deal 1626</t>
        </is>
      </c>
      <c r="JA1" s="1" t="inlineStr">
        <is>
          <t>Deal 1627</t>
        </is>
      </c>
      <c r="JK1" s="1" t="inlineStr">
        <is>
          <t>Deal 1628</t>
        </is>
      </c>
      <c r="JU1" s="1" t="inlineStr">
        <is>
          <t>Deal 1629</t>
        </is>
      </c>
      <c r="KE1" s="1" t="inlineStr">
        <is>
          <t>Deal 1630</t>
        </is>
      </c>
      <c r="KO1" s="1" t="inlineStr">
        <is>
          <t>Deal 1631</t>
        </is>
      </c>
      <c r="KY1" s="1" t="inlineStr">
        <is>
          <t>Deal 1632</t>
        </is>
      </c>
      <c r="LI1" s="1" t="inlineStr">
        <is>
          <t>Deal 1633</t>
        </is>
      </c>
      <c r="LS1" s="1" t="inlineStr">
        <is>
          <t>Deal 1634</t>
        </is>
      </c>
      <c r="MC1" s="1" t="inlineStr">
        <is>
          <t>Deal 1635</t>
        </is>
      </c>
      <c r="MM1" s="1" t="inlineStr">
        <is>
          <t>Deal 1636</t>
        </is>
      </c>
      <c r="MW1" s="1" t="inlineStr">
        <is>
          <t>Deal 1637</t>
        </is>
      </c>
      <c r="NG1" s="1" t="inlineStr">
        <is>
          <t>Deal 1638</t>
        </is>
      </c>
      <c r="NQ1" s="1" t="inlineStr">
        <is>
          <t>Deal 1639</t>
        </is>
      </c>
      <c r="OA1" s="1" t="inlineStr">
        <is>
          <t>Deal 1640</t>
        </is>
      </c>
    </row>
    <row r="2">
      <c r="A2" s="2" t="inlineStr">
        <is>
          <t>WELL US Equity</t>
        </is>
      </c>
      <c r="K2" s="2" t="inlineStr">
        <is>
          <t>PBCT US Equity</t>
        </is>
      </c>
      <c r="U2" s="2" t="inlineStr">
        <is>
          <t>NEM US Equity</t>
        </is>
      </c>
      <c r="AE2" s="2" t="inlineStr">
        <is>
          <t>FLG US Equity</t>
        </is>
      </c>
      <c r="AO2" s="2" t="inlineStr">
        <is>
          <t>FTV US Equity</t>
        </is>
      </c>
      <c r="AY2" s="2" t="inlineStr">
        <is>
          <t>BMY US Equity</t>
        </is>
      </c>
      <c r="BI2" s="2" t="inlineStr">
        <is>
          <t>ORCL US Equity</t>
        </is>
      </c>
      <c r="BS2" s="2" t="inlineStr">
        <is>
          <t>AIG US Equity</t>
        </is>
      </c>
      <c r="CC2" s="2" t="inlineStr">
        <is>
          <t>FITB US Equity</t>
        </is>
      </c>
      <c r="CM2" s="2" t="inlineStr">
        <is>
          <t>NFB US Equity</t>
        </is>
      </c>
      <c r="CW2" s="2" t="inlineStr">
        <is>
          <t>ANSS US Equity</t>
        </is>
      </c>
      <c r="DG2" s="2" t="inlineStr">
        <is>
          <t>PBCT US Equity</t>
        </is>
      </c>
      <c r="DQ2" s="2" t="inlineStr">
        <is>
          <t>LFUS US Equity</t>
        </is>
      </c>
      <c r="EA2" s="2" t="inlineStr">
        <is>
          <t>PCP US Equity</t>
        </is>
      </c>
      <c r="EK2" s="2" t="inlineStr">
        <is>
          <t>UNTD US Equity</t>
        </is>
      </c>
      <c r="EU2" s="2" t="inlineStr">
        <is>
          <t>nan Equity</t>
        </is>
      </c>
      <c r="FE2" s="2" t="inlineStr">
        <is>
          <t>nan Equity</t>
        </is>
      </c>
      <c r="FO2" s="2" t="inlineStr">
        <is>
          <t>2307762D US Equity</t>
        </is>
      </c>
      <c r="FY2" s="2" t="inlineStr">
        <is>
          <t>EQY US Equity</t>
        </is>
      </c>
      <c r="GI2" s="2" t="inlineStr">
        <is>
          <t>1847569D US Equity</t>
        </is>
      </c>
      <c r="GS2" s="2" t="inlineStr">
        <is>
          <t>MCHP US Equity</t>
        </is>
      </c>
      <c r="HC2" s="2" t="inlineStr">
        <is>
          <t>9990822D US Equity</t>
        </is>
      </c>
      <c r="HM2" s="2" t="inlineStr">
        <is>
          <t>MWV US Equity</t>
        </is>
      </c>
      <c r="HW2" s="2" t="inlineStr">
        <is>
          <t>CRBC US Equity</t>
        </is>
      </c>
      <c r="IG2" s="2" t="inlineStr">
        <is>
          <t>PACW US Equity</t>
        </is>
      </c>
      <c r="IQ2" s="2" t="inlineStr">
        <is>
          <t>2213185D US Equity</t>
        </is>
      </c>
      <c r="JA2" s="2" t="inlineStr">
        <is>
          <t>F US Equity</t>
        </is>
      </c>
      <c r="JK2" s="2" t="inlineStr">
        <is>
          <t>MS US Equity</t>
        </is>
      </c>
      <c r="JU2" s="2" t="inlineStr">
        <is>
          <t>BVSN US Equity</t>
        </is>
      </c>
      <c r="KE2" s="2" t="inlineStr">
        <is>
          <t>KIM US Equity</t>
        </is>
      </c>
      <c r="KO2" s="2" t="inlineStr">
        <is>
          <t>390297Q US Equity</t>
        </is>
      </c>
      <c r="KY2" s="2" t="inlineStr">
        <is>
          <t>GEN US Equity</t>
        </is>
      </c>
      <c r="LI2" s="2" t="inlineStr">
        <is>
          <t>INDB US Equity</t>
        </is>
      </c>
      <c r="LS2" s="2" t="inlineStr">
        <is>
          <t>RSLN US Equity</t>
        </is>
      </c>
      <c r="MC2" s="2" t="inlineStr">
        <is>
          <t>DALRQ US Equity</t>
        </is>
      </c>
      <c r="MM2" s="2" t="inlineStr">
        <is>
          <t>KMB US Equity</t>
        </is>
      </c>
      <c r="MW2" s="2" t="inlineStr">
        <is>
          <t>RYN US Equity</t>
        </is>
      </c>
      <c r="NG2" s="2" t="inlineStr">
        <is>
          <t>1541946D US Equity</t>
        </is>
      </c>
      <c r="NQ2" s="2" t="inlineStr">
        <is>
          <t>FRG US Equity</t>
        </is>
      </c>
      <c r="OA2" s="2" t="inlineStr">
        <is>
          <t>SNPS US Equity</t>
        </is>
      </c>
    </row>
    <row r="3">
      <c r="A3" t="inlineStr">
        <is>
          <t>Ann: 2006-09-13</t>
        </is>
      </c>
      <c r="K3" t="inlineStr">
        <is>
          <t>Ann: 2019-07-15</t>
        </is>
      </c>
      <c r="U3" t="inlineStr">
        <is>
          <t>Ann: 2000-06-21</t>
        </is>
      </c>
      <c r="AE3" t="inlineStr">
        <is>
          <t>Ann: 2001-03-27</t>
        </is>
      </c>
      <c r="AO3" t="inlineStr">
        <is>
          <t>Ann: 2017-09-06</t>
        </is>
      </c>
      <c r="AY3" t="inlineStr">
        <is>
          <t>Ann: 2010-09-07</t>
        </is>
      </c>
      <c r="BI3" t="inlineStr">
        <is>
          <t>Ann: 2012-12-20</t>
        </is>
      </c>
      <c r="BS3" t="inlineStr">
        <is>
          <t>Ann: 2007-01-24</t>
        </is>
      </c>
      <c r="CC3" t="inlineStr">
        <is>
          <t>Ann: 1998-01-14</t>
        </is>
      </c>
      <c r="CM3" t="inlineStr">
        <is>
          <t>Ann: 2003-12-16</t>
        </is>
      </c>
      <c r="CW3" t="inlineStr">
        <is>
          <t>Ann: 2008-03-31</t>
        </is>
      </c>
      <c r="DG3" t="inlineStr">
        <is>
          <t>Ann: 2009-11-23</t>
        </is>
      </c>
      <c r="DQ3" t="inlineStr">
        <is>
          <t>Ann: 2017-08-28</t>
        </is>
      </c>
      <c r="EA3" t="inlineStr">
        <is>
          <t>Ann: 2003-08-18</t>
        </is>
      </c>
      <c r="EK3" t="inlineStr">
        <is>
          <t>Ann: 2008-04-30</t>
        </is>
      </c>
      <c r="EU3" t="inlineStr">
        <is>
          <t>Ann: 2004-07-21</t>
        </is>
      </c>
      <c r="FE3" t="inlineStr">
        <is>
          <t>Ann: 2007-03-22</t>
        </is>
      </c>
      <c r="FO3" t="inlineStr">
        <is>
          <t>Ann: 2004-02-05</t>
        </is>
      </c>
      <c r="FY3" t="inlineStr">
        <is>
          <t>Ann: 2002-10-29</t>
        </is>
      </c>
      <c r="GI3" t="inlineStr">
        <is>
          <t>Ann: 2006-01-12</t>
        </is>
      </c>
      <c r="GS3" t="inlineStr">
        <is>
          <t>Ann: 2012-05-02</t>
        </is>
      </c>
      <c r="HC3" t="inlineStr">
        <is>
          <t>Ann: 2005-05-18</t>
        </is>
      </c>
      <c r="HM3" t="inlineStr">
        <is>
          <t>Ann: 2006-04-27</t>
        </is>
      </c>
      <c r="HW3" t="inlineStr">
        <is>
          <t>Ann: 1999-04-19</t>
        </is>
      </c>
      <c r="IG3" t="inlineStr">
        <is>
          <t>Ann: 2017-04-06</t>
        </is>
      </c>
      <c r="IQ3" t="inlineStr">
        <is>
          <t>Ann: 2005-11-10</t>
        </is>
      </c>
      <c r="JA3" t="inlineStr">
        <is>
          <t>Ann: 2000-09-21</t>
        </is>
      </c>
      <c r="JK3" t="inlineStr">
        <is>
          <t>Ann: 2006-08-09</t>
        </is>
      </c>
      <c r="JU3" t="inlineStr">
        <is>
          <t>Ann: 2000-01-26</t>
        </is>
      </c>
      <c r="KE3" t="inlineStr">
        <is>
          <t>Ann: 1998-01-14</t>
        </is>
      </c>
      <c r="KO3" t="inlineStr">
        <is>
          <t>Ann: 1998-02-02</t>
        </is>
      </c>
      <c r="KY3" t="inlineStr">
        <is>
          <t>Ann: 2000-07-27</t>
        </is>
      </c>
      <c r="LI3" t="inlineStr">
        <is>
          <t>Ann: 2018-09-20</t>
        </is>
      </c>
      <c r="LS3" t="inlineStr">
        <is>
          <t>Ann: 1998-05-26</t>
        </is>
      </c>
      <c r="MC3" t="inlineStr">
        <is>
          <t>Ann: 1999-02-16</t>
        </is>
      </c>
      <c r="MM3" t="inlineStr">
        <is>
          <t>Ann: 1998-12-23</t>
        </is>
      </c>
      <c r="MW3" t="inlineStr">
        <is>
          <t>Ann: 2020-01-15</t>
        </is>
      </c>
      <c r="NG3" t="inlineStr">
        <is>
          <t>Ann: 2007-01-08</t>
        </is>
      </c>
      <c r="NQ3" t="inlineStr">
        <is>
          <t>Ann: 2019-08-08</t>
        </is>
      </c>
      <c r="OA3" t="inlineStr">
        <is>
          <t>Ann: 2001-12-03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BDS("WELL US Equity","SUPPLY_CHAIN_SUPPLIERS","RELATIONSHIP_AS_OF_DATE","20060913")</f>
        <v/>
      </c>
      <c r="F5">
        <f>BDS("WELL US Equity","SUPPLY_CHAIN_CUSTOMERS","RELATIONSHIP_AS_OF_DATE","20060913")</f>
        <v/>
      </c>
      <c r="K5">
        <f>BDS("PBCT US Equity","SUPPLY_CHAIN_SUPPLIERS","RELATIONSHIP_AS_OF_DATE","20190715")</f>
        <v/>
      </c>
      <c r="P5">
        <f>BDS("PBCT US Equity","SUPPLY_CHAIN_CUSTOMERS","RELATIONSHIP_AS_OF_DATE","20190715")</f>
        <v/>
      </c>
      <c r="U5">
        <f>BDS("NEM US Equity","SUPPLY_CHAIN_SUPPLIERS","RELATIONSHIP_AS_OF_DATE","20000621")</f>
        <v/>
      </c>
      <c r="Z5">
        <f>BDS("NEM US Equity","SUPPLY_CHAIN_CUSTOMERS","RELATIONSHIP_AS_OF_DATE","20000621")</f>
        <v/>
      </c>
      <c r="AE5">
        <f>BDS("FLG US Equity","SUPPLY_CHAIN_SUPPLIERS","RELATIONSHIP_AS_OF_DATE","20010327")</f>
        <v/>
      </c>
      <c r="AJ5">
        <f>BDS("FLG US Equity","SUPPLY_CHAIN_CUSTOMERS","RELATIONSHIP_AS_OF_DATE","20010327")</f>
        <v/>
      </c>
      <c r="AO5">
        <f>BDS("FTV US Equity","SUPPLY_CHAIN_SUPPLIERS","RELATIONSHIP_AS_OF_DATE","20170906")</f>
        <v/>
      </c>
      <c r="AT5">
        <f>BDS("FTV US Equity","SUPPLY_CHAIN_CUSTOMERS","RELATIONSHIP_AS_OF_DATE","20170906")</f>
        <v/>
      </c>
      <c r="AY5">
        <f>BDS("BMY US Equity","SUPPLY_CHAIN_SUPPLIERS","RELATIONSHIP_AS_OF_DATE","20100907")</f>
        <v/>
      </c>
      <c r="BD5">
        <f>BDS("BMY US Equity","SUPPLY_CHAIN_CUSTOMERS","RELATIONSHIP_AS_OF_DATE","20100907")</f>
        <v/>
      </c>
      <c r="BI5">
        <f>BDS("ORCL US Equity","SUPPLY_CHAIN_SUPPLIERS","RELATIONSHIP_AS_OF_DATE","20121220")</f>
        <v/>
      </c>
      <c r="BN5">
        <f>BDS("ORCL US Equity","SUPPLY_CHAIN_CUSTOMERS","RELATIONSHIP_AS_OF_DATE","20121220")</f>
        <v/>
      </c>
      <c r="BS5">
        <f>BDS("AIG US Equity","SUPPLY_CHAIN_SUPPLIERS","RELATIONSHIP_AS_OF_DATE","20070124")</f>
        <v/>
      </c>
      <c r="BX5">
        <f>BDS("AIG US Equity","SUPPLY_CHAIN_CUSTOMERS","RELATIONSHIP_AS_OF_DATE","20070124")</f>
        <v/>
      </c>
      <c r="CC5">
        <f>BDS("FITB US Equity","SUPPLY_CHAIN_SUPPLIERS","RELATIONSHIP_AS_OF_DATE","19980114")</f>
        <v/>
      </c>
      <c r="CH5">
        <f>BDS("FITB US Equity","SUPPLY_CHAIN_CUSTOMERS","RELATIONSHIP_AS_OF_DATE","19980114")</f>
        <v/>
      </c>
      <c r="CM5">
        <f>BDS("NFB US Equity","SUPPLY_CHAIN_SUPPLIERS","RELATIONSHIP_AS_OF_DATE","20031216")</f>
        <v/>
      </c>
      <c r="CR5">
        <f>BDS("NFB US Equity","SUPPLY_CHAIN_CUSTOMERS","RELATIONSHIP_AS_OF_DATE","20031216")</f>
        <v/>
      </c>
      <c r="CW5">
        <f>BDS("ANSS US Equity","SUPPLY_CHAIN_SUPPLIERS","RELATIONSHIP_AS_OF_DATE","20080331")</f>
        <v/>
      </c>
      <c r="DB5">
        <f>BDS("ANSS US Equity","SUPPLY_CHAIN_CUSTOMERS","RELATIONSHIP_AS_OF_DATE","20080331")</f>
        <v/>
      </c>
      <c r="DG5">
        <f>BDS("PBCT US Equity","SUPPLY_CHAIN_SUPPLIERS","RELATIONSHIP_AS_OF_DATE","20091123")</f>
        <v/>
      </c>
      <c r="DL5">
        <f>BDS("PBCT US Equity","SUPPLY_CHAIN_CUSTOMERS","RELATIONSHIP_AS_OF_DATE","20091123")</f>
        <v/>
      </c>
      <c r="DQ5">
        <f>BDS("LFUS US Equity","SUPPLY_CHAIN_SUPPLIERS","RELATIONSHIP_AS_OF_DATE","20170828")</f>
        <v/>
      </c>
      <c r="DV5">
        <f>BDS("LFUS US Equity","SUPPLY_CHAIN_CUSTOMERS","RELATIONSHIP_AS_OF_DATE","20170828")</f>
        <v/>
      </c>
      <c r="EA5">
        <f>BDS("PCP US Equity","SUPPLY_CHAIN_SUPPLIERS","RELATIONSHIP_AS_OF_DATE","20030818")</f>
        <v/>
      </c>
      <c r="EF5">
        <f>BDS("PCP US Equity","SUPPLY_CHAIN_CUSTOMERS","RELATIONSHIP_AS_OF_DATE","20030818")</f>
        <v/>
      </c>
      <c r="EK5">
        <f>BDS("UNTD US Equity","SUPPLY_CHAIN_SUPPLIERS","RELATIONSHIP_AS_OF_DATE","20080430")</f>
        <v/>
      </c>
      <c r="EP5">
        <f>BDS("UNTD US Equity","SUPPLY_CHAIN_CUSTOMERS","RELATIONSHIP_AS_OF_DATE","20080430")</f>
        <v/>
      </c>
      <c r="EU5">
        <f>BDS("nan Equity","SUPPLY_CHAIN_SUPPLIERS","RELATIONSHIP_AS_OF_DATE","20040721")</f>
        <v/>
      </c>
      <c r="EZ5">
        <f>BDS("nan Equity","SUPPLY_CHAIN_CUSTOMERS","RELATIONSHIP_AS_OF_DATE","20040721")</f>
        <v/>
      </c>
      <c r="FE5">
        <f>BDS("nan Equity","SUPPLY_CHAIN_SUPPLIERS","RELATIONSHIP_AS_OF_DATE","20070322")</f>
        <v/>
      </c>
      <c r="FJ5">
        <f>BDS("nan Equity","SUPPLY_CHAIN_CUSTOMERS","RELATIONSHIP_AS_OF_DATE","20070322")</f>
        <v/>
      </c>
      <c r="FO5">
        <f>BDS("2307762D US Equity","SUPPLY_CHAIN_SUPPLIERS","RELATIONSHIP_AS_OF_DATE","20040205")</f>
        <v/>
      </c>
      <c r="FT5">
        <f>BDS("2307762D US Equity","SUPPLY_CHAIN_CUSTOMERS","RELATIONSHIP_AS_OF_DATE","20040205")</f>
        <v/>
      </c>
      <c r="FY5">
        <f>BDS("EQY US Equity","SUPPLY_CHAIN_SUPPLIERS","RELATIONSHIP_AS_OF_DATE","20021029")</f>
        <v/>
      </c>
      <c r="GD5">
        <f>BDS("EQY US Equity","SUPPLY_CHAIN_CUSTOMERS","RELATIONSHIP_AS_OF_DATE","20021029")</f>
        <v/>
      </c>
      <c r="GI5">
        <f>BDS("1847569D US Equity","SUPPLY_CHAIN_SUPPLIERS","RELATIONSHIP_AS_OF_DATE","20060112")</f>
        <v/>
      </c>
      <c r="GN5">
        <f>BDS("1847569D US Equity","SUPPLY_CHAIN_CUSTOMERS","RELATIONSHIP_AS_OF_DATE","20060112")</f>
        <v/>
      </c>
      <c r="GS5">
        <f>BDS("MCHP US Equity","SUPPLY_CHAIN_SUPPLIERS","RELATIONSHIP_AS_OF_DATE","20120502")</f>
        <v/>
      </c>
      <c r="GX5">
        <f>BDS("MCHP US Equity","SUPPLY_CHAIN_CUSTOMERS","RELATIONSHIP_AS_OF_DATE","20120502")</f>
        <v/>
      </c>
      <c r="HC5">
        <f>BDS("9990822D US Equity","SUPPLY_CHAIN_SUPPLIERS","RELATIONSHIP_AS_OF_DATE","20050518")</f>
        <v/>
      </c>
      <c r="HH5">
        <f>BDS("9990822D US Equity","SUPPLY_CHAIN_CUSTOMERS","RELATIONSHIP_AS_OF_DATE","20050518")</f>
        <v/>
      </c>
      <c r="HM5">
        <f>BDS("MWV US Equity","SUPPLY_CHAIN_SUPPLIERS","RELATIONSHIP_AS_OF_DATE","20060427")</f>
        <v/>
      </c>
      <c r="HR5">
        <f>BDS("MWV US Equity","SUPPLY_CHAIN_CUSTOMERS","RELATIONSHIP_AS_OF_DATE","20060427")</f>
        <v/>
      </c>
      <c r="HW5">
        <f>BDS("CRBC US Equity","SUPPLY_CHAIN_SUPPLIERS","RELATIONSHIP_AS_OF_DATE","19990419")</f>
        <v/>
      </c>
      <c r="IB5">
        <f>BDS("CRBC US Equity","SUPPLY_CHAIN_CUSTOMERS","RELATIONSHIP_AS_OF_DATE","19990419")</f>
        <v/>
      </c>
      <c r="IG5">
        <f>BDS("PACW US Equity","SUPPLY_CHAIN_SUPPLIERS","RELATIONSHIP_AS_OF_DATE","20170406")</f>
        <v/>
      </c>
      <c r="IL5">
        <f>BDS("PACW US Equity","SUPPLY_CHAIN_CUSTOMERS","RELATIONSHIP_AS_OF_DATE","20170406")</f>
        <v/>
      </c>
      <c r="IQ5">
        <f>BDS("2213185D US Equity","SUPPLY_CHAIN_SUPPLIERS","RELATIONSHIP_AS_OF_DATE","20051110")</f>
        <v/>
      </c>
      <c r="IV5">
        <f>BDS("2213185D US Equity","SUPPLY_CHAIN_CUSTOMERS","RELATIONSHIP_AS_OF_DATE","20051110")</f>
        <v/>
      </c>
      <c r="JA5">
        <f>BDS("F US Equity","SUPPLY_CHAIN_SUPPLIERS","RELATIONSHIP_AS_OF_DATE","20000921")</f>
        <v/>
      </c>
      <c r="JF5">
        <f>BDS("F US Equity","SUPPLY_CHAIN_CUSTOMERS","RELATIONSHIP_AS_OF_DATE","20000921")</f>
        <v/>
      </c>
      <c r="JK5">
        <f>BDS("MS US Equity","SUPPLY_CHAIN_SUPPLIERS","RELATIONSHIP_AS_OF_DATE","20060809")</f>
        <v/>
      </c>
      <c r="JP5">
        <f>BDS("MS US Equity","SUPPLY_CHAIN_CUSTOMERS","RELATIONSHIP_AS_OF_DATE","20060809")</f>
        <v/>
      </c>
      <c r="JU5">
        <f>BDS("BVSN US Equity","SUPPLY_CHAIN_SUPPLIERS","RELATIONSHIP_AS_OF_DATE","20000126")</f>
        <v/>
      </c>
      <c r="JZ5">
        <f>BDS("BVSN US Equity","SUPPLY_CHAIN_CUSTOMERS","RELATIONSHIP_AS_OF_DATE","20000126")</f>
        <v/>
      </c>
      <c r="KE5">
        <f>BDS("KIM US Equity","SUPPLY_CHAIN_SUPPLIERS","RELATIONSHIP_AS_OF_DATE","19980114")</f>
        <v/>
      </c>
      <c r="KJ5">
        <f>BDS("KIM US Equity","SUPPLY_CHAIN_CUSTOMERS","RELATIONSHIP_AS_OF_DATE","19980114")</f>
        <v/>
      </c>
      <c r="KO5">
        <f>BDS("390297Q US Equity","SUPPLY_CHAIN_SUPPLIERS","RELATIONSHIP_AS_OF_DATE","19980202")</f>
        <v/>
      </c>
      <c r="KT5">
        <f>BDS("390297Q US Equity","SUPPLY_CHAIN_CUSTOMERS","RELATIONSHIP_AS_OF_DATE","19980202")</f>
        <v/>
      </c>
      <c r="KY5">
        <f>BDS("GEN US Equity","SUPPLY_CHAIN_SUPPLIERS","RELATIONSHIP_AS_OF_DATE","20000727")</f>
        <v/>
      </c>
      <c r="LD5">
        <f>BDS("GEN US Equity","SUPPLY_CHAIN_CUSTOMERS","RELATIONSHIP_AS_OF_DATE","20000727")</f>
        <v/>
      </c>
      <c r="LI5">
        <f>BDS("INDB US Equity","SUPPLY_CHAIN_SUPPLIERS","RELATIONSHIP_AS_OF_DATE","20180920")</f>
        <v/>
      </c>
      <c r="LN5">
        <f>BDS("INDB US Equity","SUPPLY_CHAIN_CUSTOMERS","RELATIONSHIP_AS_OF_DATE","20180920")</f>
        <v/>
      </c>
      <c r="LS5">
        <f>BDS("RSLN US Equity","SUPPLY_CHAIN_SUPPLIERS","RELATIONSHIP_AS_OF_DATE","19980526")</f>
        <v/>
      </c>
      <c r="LX5">
        <f>BDS("RSLN US Equity","SUPPLY_CHAIN_CUSTOMERS","RELATIONSHIP_AS_OF_DATE","19980526")</f>
        <v/>
      </c>
      <c r="MC5">
        <f>BDS("DALRQ US Equity","SUPPLY_CHAIN_SUPPLIERS","RELATIONSHIP_AS_OF_DATE","19990216")</f>
        <v/>
      </c>
      <c r="MH5">
        <f>BDS("DALRQ US Equity","SUPPLY_CHAIN_CUSTOMERS","RELATIONSHIP_AS_OF_DATE","19990216")</f>
        <v/>
      </c>
      <c r="MM5">
        <f>BDS("KMB US Equity","SUPPLY_CHAIN_SUPPLIERS","RELATIONSHIP_AS_OF_DATE","19981223")</f>
        <v/>
      </c>
      <c r="MR5">
        <f>BDS("KMB US Equity","SUPPLY_CHAIN_CUSTOMERS","RELATIONSHIP_AS_OF_DATE","19981223")</f>
        <v/>
      </c>
      <c r="MW5">
        <f>BDS("RYN US Equity","SUPPLY_CHAIN_SUPPLIERS","RELATIONSHIP_AS_OF_DATE","20200115")</f>
        <v/>
      </c>
      <c r="NB5">
        <f>BDS("RYN US Equity","SUPPLY_CHAIN_CUSTOMERS","RELATIONSHIP_AS_OF_DATE","20200115")</f>
        <v/>
      </c>
      <c r="NG5">
        <f>BDS("1541946D US Equity","SUPPLY_CHAIN_SUPPLIERS","RELATIONSHIP_AS_OF_DATE","20070108")</f>
        <v/>
      </c>
      <c r="NL5">
        <f>BDS("1541946D US Equity","SUPPLY_CHAIN_CUSTOMERS","RELATIONSHIP_AS_OF_DATE","20070108")</f>
        <v/>
      </c>
      <c r="NQ5">
        <f>BDS("FRG US Equity","SUPPLY_CHAIN_SUPPLIERS","RELATIONSHIP_AS_OF_DATE","20190808")</f>
        <v/>
      </c>
      <c r="NV5">
        <f>BDS("FRG US Equity","SUPPLY_CHAIN_CUSTOMERS","RELATIONSHIP_AS_OF_DATE","20190808")</f>
        <v/>
      </c>
      <c r="OA5">
        <f>BDS("SNPS US Equity","SUPPLY_CHAIN_SUPPLIERS","RELATIONSHIP_AS_OF_DATE","20011203")</f>
        <v/>
      </c>
      <c r="OF5">
        <f>BDS("SNPS US Equity","SUPPLY_CHAIN_CUSTOMERS","RELATIONSHIP_AS_OF_DATE","20011203")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1641</t>
        </is>
      </c>
      <c r="K1" s="1" t="inlineStr">
        <is>
          <t>Deal 1642</t>
        </is>
      </c>
      <c r="U1" s="1" t="inlineStr">
        <is>
          <t>Deal 1643</t>
        </is>
      </c>
      <c r="AE1" s="1" t="inlineStr">
        <is>
          <t>Deal 1644</t>
        </is>
      </c>
      <c r="AO1" s="1" t="inlineStr">
        <is>
          <t>Deal 1645</t>
        </is>
      </c>
      <c r="AY1" s="1" t="inlineStr">
        <is>
          <t>Deal 1646</t>
        </is>
      </c>
      <c r="BI1" s="1" t="inlineStr">
        <is>
          <t>Deal 1647</t>
        </is>
      </c>
      <c r="BS1" s="1" t="inlineStr">
        <is>
          <t>Deal 1648</t>
        </is>
      </c>
      <c r="CC1" s="1" t="inlineStr">
        <is>
          <t>Deal 1649</t>
        </is>
      </c>
      <c r="CM1" s="1" t="inlineStr">
        <is>
          <t>Deal 1650</t>
        </is>
      </c>
      <c r="CW1" s="1" t="inlineStr">
        <is>
          <t>Deal 1651</t>
        </is>
      </c>
      <c r="DG1" s="1" t="inlineStr">
        <is>
          <t>Deal 1652</t>
        </is>
      </c>
      <c r="DQ1" s="1" t="inlineStr">
        <is>
          <t>Deal 1653</t>
        </is>
      </c>
      <c r="EA1" s="1" t="inlineStr">
        <is>
          <t>Deal 1654</t>
        </is>
      </c>
      <c r="EK1" s="1" t="inlineStr">
        <is>
          <t>Deal 1655</t>
        </is>
      </c>
      <c r="EU1" s="1" t="inlineStr">
        <is>
          <t>Deal 1656</t>
        </is>
      </c>
      <c r="FE1" s="1" t="inlineStr">
        <is>
          <t>Deal 1657</t>
        </is>
      </c>
      <c r="FO1" s="1" t="inlineStr">
        <is>
          <t>Deal 1658</t>
        </is>
      </c>
      <c r="FY1" s="1" t="inlineStr">
        <is>
          <t>Deal 1659</t>
        </is>
      </c>
      <c r="GI1" s="1" t="inlineStr">
        <is>
          <t>Deal 1660</t>
        </is>
      </c>
      <c r="GS1" s="1" t="inlineStr">
        <is>
          <t>Deal 1661</t>
        </is>
      </c>
      <c r="HC1" s="1" t="inlineStr">
        <is>
          <t>Deal 1662</t>
        </is>
      </c>
      <c r="HM1" s="1" t="inlineStr">
        <is>
          <t>Deal 1663</t>
        </is>
      </c>
      <c r="HW1" s="1" t="inlineStr">
        <is>
          <t>Deal 1664</t>
        </is>
      </c>
      <c r="IG1" s="1" t="inlineStr">
        <is>
          <t>Deal 1665</t>
        </is>
      </c>
      <c r="IQ1" s="1" t="inlineStr">
        <is>
          <t>Deal 1666</t>
        </is>
      </c>
      <c r="JA1" s="1" t="inlineStr">
        <is>
          <t>Deal 1667</t>
        </is>
      </c>
      <c r="JK1" s="1" t="inlineStr">
        <is>
          <t>Deal 1668</t>
        </is>
      </c>
      <c r="JU1" s="1" t="inlineStr">
        <is>
          <t>Deal 1669</t>
        </is>
      </c>
      <c r="KE1" s="1" t="inlineStr">
        <is>
          <t>Deal 1670</t>
        </is>
      </c>
      <c r="KO1" s="1" t="inlineStr">
        <is>
          <t>Deal 1671</t>
        </is>
      </c>
      <c r="KY1" s="1" t="inlineStr">
        <is>
          <t>Deal 1672</t>
        </is>
      </c>
      <c r="LI1" s="1" t="inlineStr">
        <is>
          <t>Deal 1673</t>
        </is>
      </c>
      <c r="LS1" s="1" t="inlineStr">
        <is>
          <t>Deal 1674</t>
        </is>
      </c>
      <c r="MC1" s="1" t="inlineStr">
        <is>
          <t>Deal 1675</t>
        </is>
      </c>
      <c r="MM1" s="1" t="inlineStr">
        <is>
          <t>Deal 1676</t>
        </is>
      </c>
      <c r="MW1" s="1" t="inlineStr">
        <is>
          <t>Deal 1677</t>
        </is>
      </c>
      <c r="NG1" s="1" t="inlineStr">
        <is>
          <t>Deal 1678</t>
        </is>
      </c>
      <c r="NQ1" s="1" t="inlineStr">
        <is>
          <t>Deal 1679</t>
        </is>
      </c>
      <c r="OA1" s="1" t="inlineStr">
        <is>
          <t>Deal 1680</t>
        </is>
      </c>
    </row>
    <row r="2">
      <c r="A2" s="2" t="inlineStr">
        <is>
          <t>OSIP US Equity</t>
        </is>
      </c>
      <c r="K2" s="2" t="inlineStr">
        <is>
          <t>540513Q US Equity</t>
        </is>
      </c>
      <c r="U2" s="2" t="inlineStr">
        <is>
          <t>IBM US Equity</t>
        </is>
      </c>
      <c r="AE2" s="2" t="inlineStr">
        <is>
          <t>RRD US Equity</t>
        </is>
      </c>
      <c r="AO2" s="2" t="inlineStr">
        <is>
          <t>3353984Q US Equity</t>
        </is>
      </c>
      <c r="AY2" s="2" t="inlineStr">
        <is>
          <t>TYG US Equity</t>
        </is>
      </c>
      <c r="BI2" s="2" t="inlineStr">
        <is>
          <t>LLY US Equity</t>
        </is>
      </c>
      <c r="BS2" s="2" t="inlineStr">
        <is>
          <t>IBM US Equity</t>
        </is>
      </c>
      <c r="CC2" s="2" t="inlineStr">
        <is>
          <t>SPTN US Equity</t>
        </is>
      </c>
      <c r="CM2" s="2" t="inlineStr">
        <is>
          <t>1431816D US Equity</t>
        </is>
      </c>
      <c r="CW2" s="2" t="inlineStr">
        <is>
          <t>GAS US Equity</t>
        </is>
      </c>
      <c r="DG2" s="2" t="inlineStr">
        <is>
          <t>1367809D US Equity</t>
        </is>
      </c>
      <c r="DQ2" s="2" t="inlineStr">
        <is>
          <t>EA US Equity</t>
        </is>
      </c>
      <c r="EA2" s="2" t="inlineStr">
        <is>
          <t>GEO US Equity</t>
        </is>
      </c>
      <c r="EK2" s="2" t="inlineStr">
        <is>
          <t>ES US Equity</t>
        </is>
      </c>
      <c r="EU2" s="2" t="inlineStr">
        <is>
          <t>496160Q US Equity</t>
        </is>
      </c>
      <c r="FE2" s="2" t="inlineStr">
        <is>
          <t>AMMD US Equity</t>
        </is>
      </c>
      <c r="FO2" s="2" t="inlineStr">
        <is>
          <t>2674129Q US Equity</t>
        </is>
      </c>
      <c r="FY2" s="2" t="inlineStr">
        <is>
          <t>BRCD US Equity</t>
        </is>
      </c>
      <c r="GI2" s="2" t="inlineStr">
        <is>
          <t>PNC US Equity</t>
        </is>
      </c>
      <c r="GS2" s="2" t="inlineStr">
        <is>
          <t>MMM US Equity</t>
        </is>
      </c>
      <c r="HC2" s="2" t="inlineStr">
        <is>
          <t>BWA US Equity</t>
        </is>
      </c>
      <c r="HM2" s="2" t="inlineStr">
        <is>
          <t>CZR US Equity</t>
        </is>
      </c>
      <c r="HW2" s="2" t="inlineStr">
        <is>
          <t>JNPR US Equity</t>
        </is>
      </c>
      <c r="IG2" s="2" t="inlineStr">
        <is>
          <t>CAM US Equity</t>
        </is>
      </c>
      <c r="IQ2" s="2" t="inlineStr">
        <is>
          <t>841273Q US Equity</t>
        </is>
      </c>
      <c r="JA2" s="2" t="inlineStr">
        <is>
          <t>LYV US Equity</t>
        </is>
      </c>
      <c r="JK2" s="2" t="inlineStr">
        <is>
          <t>WFM US Equity</t>
        </is>
      </c>
      <c r="JU2" s="2" t="inlineStr">
        <is>
          <t>1013207D US Equity</t>
        </is>
      </c>
      <c r="KE2" s="2" t="inlineStr">
        <is>
          <t>ACCO US Equity</t>
        </is>
      </c>
      <c r="KO2" s="2" t="inlineStr">
        <is>
          <t>WY US Equity</t>
        </is>
      </c>
      <c r="KY2" s="2" t="inlineStr">
        <is>
          <t>GVNTQ US Equity</t>
        </is>
      </c>
      <c r="LI2" s="2" t="inlineStr">
        <is>
          <t>MMM US Equity</t>
        </is>
      </c>
      <c r="LS2" s="2" t="inlineStr">
        <is>
          <t>XEL US Equity</t>
        </is>
      </c>
      <c r="MC2" s="2" t="inlineStr">
        <is>
          <t>PNC US Equity</t>
        </is>
      </c>
      <c r="MM2" s="2" t="inlineStr">
        <is>
          <t>ISCA US Equity</t>
        </is>
      </c>
      <c r="MW2" s="2" t="inlineStr">
        <is>
          <t>SSP US Equity</t>
        </is>
      </c>
      <c r="NG2" s="2" t="inlineStr">
        <is>
          <t>1676829D US Equity</t>
        </is>
      </c>
      <c r="NQ2" s="2" t="inlineStr">
        <is>
          <t>SSB US Equity</t>
        </is>
      </c>
      <c r="OA2" s="2" t="inlineStr">
        <is>
          <t>4621824Q US Equity</t>
        </is>
      </c>
    </row>
    <row r="3">
      <c r="A3" t="inlineStr">
        <is>
          <t>Ann: 2005-08-21</t>
        </is>
      </c>
      <c r="K3" t="inlineStr">
        <is>
          <t>Ann: 2002-08-22</t>
        </is>
      </c>
      <c r="U3" t="inlineStr">
        <is>
          <t>Ann: 2005-12-21</t>
        </is>
      </c>
      <c r="AE3" t="inlineStr">
        <is>
          <t>Ann: 2013-10-24</t>
        </is>
      </c>
      <c r="AO3" t="inlineStr">
        <is>
          <t>Ann: 1998-12-09</t>
        </is>
      </c>
      <c r="AY3" t="inlineStr">
        <is>
          <t>Ann: 2014-01-28</t>
        </is>
      </c>
      <c r="BI3" t="inlineStr">
        <is>
          <t>Ann: 2020-12-15</t>
        </is>
      </c>
      <c r="BS3" t="inlineStr">
        <is>
          <t>Ann: 1999-07-13</t>
        </is>
      </c>
      <c r="CC3" t="inlineStr">
        <is>
          <t>Ann: 2013-07-22</t>
        </is>
      </c>
      <c r="CM3" t="inlineStr">
        <is>
          <t>Ann: 2001-03-26</t>
        </is>
      </c>
      <c r="CW3" t="inlineStr">
        <is>
          <t>Ann: 2004-07-15</t>
        </is>
      </c>
      <c r="DG3" t="inlineStr">
        <is>
          <t>Ann: 2007-09-23</t>
        </is>
      </c>
      <c r="DQ3" t="inlineStr">
        <is>
          <t>Ann: 2005-12-08</t>
        </is>
      </c>
      <c r="EA3" t="inlineStr">
        <is>
          <t>Ann: 2010-04-19</t>
        </is>
      </c>
      <c r="EK3" t="inlineStr">
        <is>
          <t>Ann: 1999-06-15</t>
        </is>
      </c>
      <c r="EU3" t="inlineStr">
        <is>
          <t>Ann: 1999-06-14</t>
        </is>
      </c>
      <c r="FE3" t="inlineStr">
        <is>
          <t>Ann: 2006-06-05</t>
        </is>
      </c>
      <c r="FO3" t="inlineStr">
        <is>
          <t>Ann: 1998-05-21</t>
        </is>
      </c>
      <c r="FY3" t="inlineStr">
        <is>
          <t>Ann: 2006-08-08</t>
        </is>
      </c>
      <c r="GI3" t="inlineStr">
        <is>
          <t>Ann: 2003-08-21</t>
        </is>
      </c>
      <c r="GS3" t="inlineStr">
        <is>
          <t>Ann: 2012-10-01</t>
        </is>
      </c>
      <c r="HC3" t="inlineStr">
        <is>
          <t>Ann: 1998-12-18</t>
        </is>
      </c>
      <c r="HM3" t="inlineStr">
        <is>
          <t>Ann: 2018-04-16</t>
        </is>
      </c>
      <c r="HW3" t="inlineStr">
        <is>
          <t>Ann: 2002-05-20</t>
        </is>
      </c>
      <c r="IG3" t="inlineStr">
        <is>
          <t>Ann: 2009-06-01</t>
        </is>
      </c>
      <c r="IQ3" t="inlineStr">
        <is>
          <t>Ann: 1998-08-03</t>
        </is>
      </c>
      <c r="JA3" t="inlineStr">
        <is>
          <t>Ann: 2009-02-10</t>
        </is>
      </c>
      <c r="JK3" t="inlineStr">
        <is>
          <t>Ann: 2007-01-21</t>
        </is>
      </c>
      <c r="JU3" t="inlineStr">
        <is>
          <t>Ann: 1999-01-13</t>
        </is>
      </c>
      <c r="KE3" t="inlineStr">
        <is>
          <t>Ann: 2005-03-16</t>
        </is>
      </c>
      <c r="KO3" t="inlineStr">
        <is>
          <t>Ann: 1999-11-23</t>
        </is>
      </c>
      <c r="KY3" t="inlineStr">
        <is>
          <t>Ann: 1998-04-27</t>
        </is>
      </c>
      <c r="LI3" t="inlineStr">
        <is>
          <t>Ann: 2010-08-30</t>
        </is>
      </c>
      <c r="LS3" t="inlineStr">
        <is>
          <t>Ann: 2002-02-15</t>
        </is>
      </c>
      <c r="MC3" t="inlineStr">
        <is>
          <t>Ann: 2004-07-16</t>
        </is>
      </c>
      <c r="MM3" t="inlineStr">
        <is>
          <t>Ann: 1999-05-10</t>
        </is>
      </c>
      <c r="MW3" t="inlineStr">
        <is>
          <t>Ann: 2014-07-30</t>
        </is>
      </c>
      <c r="NG3" t="inlineStr">
        <is>
          <t>Ann: 2000-10-03</t>
        </is>
      </c>
      <c r="NQ3" t="inlineStr">
        <is>
          <t>Ann: 2017-04-27</t>
        </is>
      </c>
      <c r="OA3" t="inlineStr">
        <is>
          <t>Ann: 1999-07-09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BDS("OSIP US Equity","SUPPLY_CHAIN_SUPPLIERS","RELATIONSHIP_AS_OF_DATE","20050821")</f>
        <v/>
      </c>
      <c r="F5">
        <f>BDS("OSIP US Equity","SUPPLY_CHAIN_CUSTOMERS","RELATIONSHIP_AS_OF_DATE","20050821")</f>
        <v/>
      </c>
      <c r="K5">
        <f>BDS("540513Q US Equity","SUPPLY_CHAIN_SUPPLIERS","RELATIONSHIP_AS_OF_DATE","20020822")</f>
        <v/>
      </c>
      <c r="P5">
        <f>BDS("540513Q US Equity","SUPPLY_CHAIN_CUSTOMERS","RELATIONSHIP_AS_OF_DATE","20020822")</f>
        <v/>
      </c>
      <c r="U5">
        <f>BDS("IBM US Equity","SUPPLY_CHAIN_SUPPLIERS","RELATIONSHIP_AS_OF_DATE","20051221")</f>
        <v/>
      </c>
      <c r="Z5">
        <f>BDS("IBM US Equity","SUPPLY_CHAIN_CUSTOMERS","RELATIONSHIP_AS_OF_DATE","20051221")</f>
        <v/>
      </c>
      <c r="AE5">
        <f>BDS("RRD US Equity","SUPPLY_CHAIN_SUPPLIERS","RELATIONSHIP_AS_OF_DATE","20131024")</f>
        <v/>
      </c>
      <c r="AJ5">
        <f>BDS("RRD US Equity","SUPPLY_CHAIN_CUSTOMERS","RELATIONSHIP_AS_OF_DATE","20131024")</f>
        <v/>
      </c>
      <c r="AO5">
        <f>BDS("3353984Q US Equity","SUPPLY_CHAIN_SUPPLIERS","RELATIONSHIP_AS_OF_DATE","19981209")</f>
        <v/>
      </c>
      <c r="AT5">
        <f>BDS("3353984Q US Equity","SUPPLY_CHAIN_CUSTOMERS","RELATIONSHIP_AS_OF_DATE","19981209")</f>
        <v/>
      </c>
      <c r="AY5">
        <f>BDS("TYG US Equity","SUPPLY_CHAIN_SUPPLIERS","RELATIONSHIP_AS_OF_DATE","20140128")</f>
        <v/>
      </c>
      <c r="BD5">
        <f>BDS("TYG US Equity","SUPPLY_CHAIN_CUSTOMERS","RELATIONSHIP_AS_OF_DATE","20140128")</f>
        <v/>
      </c>
      <c r="BI5">
        <f>BDS("LLY US Equity","SUPPLY_CHAIN_SUPPLIERS","RELATIONSHIP_AS_OF_DATE","20201215")</f>
        <v/>
      </c>
      <c r="BN5">
        <f>BDS("LLY US Equity","SUPPLY_CHAIN_CUSTOMERS","RELATIONSHIP_AS_OF_DATE","20201215")</f>
        <v/>
      </c>
      <c r="BS5">
        <f>BDS("IBM US Equity","SUPPLY_CHAIN_SUPPLIERS","RELATIONSHIP_AS_OF_DATE","19990713")</f>
        <v/>
      </c>
      <c r="BX5">
        <f>BDS("IBM US Equity","SUPPLY_CHAIN_CUSTOMERS","RELATIONSHIP_AS_OF_DATE","19990713")</f>
        <v/>
      </c>
      <c r="CC5">
        <f>BDS("SPTN US Equity","SUPPLY_CHAIN_SUPPLIERS","RELATIONSHIP_AS_OF_DATE","20130722")</f>
        <v/>
      </c>
      <c r="CH5">
        <f>BDS("SPTN US Equity","SUPPLY_CHAIN_CUSTOMERS","RELATIONSHIP_AS_OF_DATE","20130722")</f>
        <v/>
      </c>
      <c r="CM5">
        <f>BDS("1431816D US Equity","SUPPLY_CHAIN_SUPPLIERS","RELATIONSHIP_AS_OF_DATE","20010326")</f>
        <v/>
      </c>
      <c r="CR5">
        <f>BDS("1431816D US Equity","SUPPLY_CHAIN_CUSTOMERS","RELATIONSHIP_AS_OF_DATE","20010326")</f>
        <v/>
      </c>
      <c r="CW5">
        <f>BDS("GAS US Equity","SUPPLY_CHAIN_SUPPLIERS","RELATIONSHIP_AS_OF_DATE","20040715")</f>
        <v/>
      </c>
      <c r="DB5">
        <f>BDS("GAS US Equity","SUPPLY_CHAIN_CUSTOMERS","RELATIONSHIP_AS_OF_DATE","20040715")</f>
        <v/>
      </c>
      <c r="DG5">
        <f>BDS("1367809D US Equity","SUPPLY_CHAIN_SUPPLIERS","RELATIONSHIP_AS_OF_DATE","20070923")</f>
        <v/>
      </c>
      <c r="DL5">
        <f>BDS("1367809D US Equity","SUPPLY_CHAIN_CUSTOMERS","RELATIONSHIP_AS_OF_DATE","20070923")</f>
        <v/>
      </c>
      <c r="DQ5">
        <f>BDS("EA US Equity","SUPPLY_CHAIN_SUPPLIERS","RELATIONSHIP_AS_OF_DATE","20051208")</f>
        <v/>
      </c>
      <c r="DV5">
        <f>BDS("EA US Equity","SUPPLY_CHAIN_CUSTOMERS","RELATIONSHIP_AS_OF_DATE","20051208")</f>
        <v/>
      </c>
      <c r="EA5">
        <f>BDS("GEO US Equity","SUPPLY_CHAIN_SUPPLIERS","RELATIONSHIP_AS_OF_DATE","20100419")</f>
        <v/>
      </c>
      <c r="EF5">
        <f>BDS("GEO US Equity","SUPPLY_CHAIN_CUSTOMERS","RELATIONSHIP_AS_OF_DATE","20100419")</f>
        <v/>
      </c>
      <c r="EK5">
        <f>BDS("ES US Equity","SUPPLY_CHAIN_SUPPLIERS","RELATIONSHIP_AS_OF_DATE","19990615")</f>
        <v/>
      </c>
      <c r="EP5">
        <f>BDS("ES US Equity","SUPPLY_CHAIN_CUSTOMERS","RELATIONSHIP_AS_OF_DATE","19990615")</f>
        <v/>
      </c>
      <c r="EU5">
        <f>BDS("496160Q US Equity","SUPPLY_CHAIN_SUPPLIERS","RELATIONSHIP_AS_OF_DATE","19990614")</f>
        <v/>
      </c>
      <c r="EZ5">
        <f>BDS("496160Q US Equity","SUPPLY_CHAIN_CUSTOMERS","RELATIONSHIP_AS_OF_DATE","19990614")</f>
        <v/>
      </c>
      <c r="FE5">
        <f>BDS("AMMD US Equity","SUPPLY_CHAIN_SUPPLIERS","RELATIONSHIP_AS_OF_DATE","20060605")</f>
        <v/>
      </c>
      <c r="FJ5">
        <f>BDS("AMMD US Equity","SUPPLY_CHAIN_CUSTOMERS","RELATIONSHIP_AS_OF_DATE","20060605")</f>
        <v/>
      </c>
      <c r="FO5">
        <f>BDS("2674129Q US Equity","SUPPLY_CHAIN_SUPPLIERS","RELATIONSHIP_AS_OF_DATE","19980521")</f>
        <v/>
      </c>
      <c r="FT5">
        <f>BDS("2674129Q US Equity","SUPPLY_CHAIN_CUSTOMERS","RELATIONSHIP_AS_OF_DATE","19980521")</f>
        <v/>
      </c>
      <c r="FY5">
        <f>BDS("BRCD US Equity","SUPPLY_CHAIN_SUPPLIERS","RELATIONSHIP_AS_OF_DATE","20060808")</f>
        <v/>
      </c>
      <c r="GD5">
        <f>BDS("BRCD US Equity","SUPPLY_CHAIN_CUSTOMERS","RELATIONSHIP_AS_OF_DATE","20060808")</f>
        <v/>
      </c>
      <c r="GI5">
        <f>BDS("PNC US Equity","SUPPLY_CHAIN_SUPPLIERS","RELATIONSHIP_AS_OF_DATE","20030821")</f>
        <v/>
      </c>
      <c r="GN5">
        <f>BDS("PNC US Equity","SUPPLY_CHAIN_CUSTOMERS","RELATIONSHIP_AS_OF_DATE","20030821")</f>
        <v/>
      </c>
      <c r="GS5">
        <f>BDS("MMM US Equity","SUPPLY_CHAIN_SUPPLIERS","RELATIONSHIP_AS_OF_DATE","20121001")</f>
        <v/>
      </c>
      <c r="GX5">
        <f>BDS("MMM US Equity","SUPPLY_CHAIN_CUSTOMERS","RELATIONSHIP_AS_OF_DATE","20121001")</f>
        <v/>
      </c>
      <c r="HC5">
        <f>BDS("BWA US Equity","SUPPLY_CHAIN_SUPPLIERS","RELATIONSHIP_AS_OF_DATE","19981218")</f>
        <v/>
      </c>
      <c r="HH5">
        <f>BDS("BWA US Equity","SUPPLY_CHAIN_CUSTOMERS","RELATIONSHIP_AS_OF_DATE","19981218")</f>
        <v/>
      </c>
      <c r="HM5">
        <f>BDS("CZR US Equity","SUPPLY_CHAIN_SUPPLIERS","RELATIONSHIP_AS_OF_DATE","20180416")</f>
        <v/>
      </c>
      <c r="HR5">
        <f>BDS("CZR US Equity","SUPPLY_CHAIN_CUSTOMERS","RELATIONSHIP_AS_OF_DATE","20180416")</f>
        <v/>
      </c>
      <c r="HW5">
        <f>BDS("JNPR US Equity","SUPPLY_CHAIN_SUPPLIERS","RELATIONSHIP_AS_OF_DATE","20020520")</f>
        <v/>
      </c>
      <c r="IB5">
        <f>BDS("JNPR US Equity","SUPPLY_CHAIN_CUSTOMERS","RELATIONSHIP_AS_OF_DATE","20020520")</f>
        <v/>
      </c>
      <c r="IG5">
        <f>BDS("CAM US Equity","SUPPLY_CHAIN_SUPPLIERS","RELATIONSHIP_AS_OF_DATE","20090601")</f>
        <v/>
      </c>
      <c r="IL5">
        <f>BDS("CAM US Equity","SUPPLY_CHAIN_CUSTOMERS","RELATIONSHIP_AS_OF_DATE","20090601")</f>
        <v/>
      </c>
      <c r="IQ5">
        <f>BDS("841273Q US Equity","SUPPLY_CHAIN_SUPPLIERS","RELATIONSHIP_AS_OF_DATE","19980803")</f>
        <v/>
      </c>
      <c r="IV5">
        <f>BDS("841273Q US Equity","SUPPLY_CHAIN_CUSTOMERS","RELATIONSHIP_AS_OF_DATE","19980803")</f>
        <v/>
      </c>
      <c r="JA5">
        <f>BDS("LYV US Equity","SUPPLY_CHAIN_SUPPLIERS","RELATIONSHIP_AS_OF_DATE","20090210")</f>
        <v/>
      </c>
      <c r="JF5">
        <f>BDS("LYV US Equity","SUPPLY_CHAIN_CUSTOMERS","RELATIONSHIP_AS_OF_DATE","20090210")</f>
        <v/>
      </c>
      <c r="JK5">
        <f>BDS("WFM US Equity","SUPPLY_CHAIN_SUPPLIERS","RELATIONSHIP_AS_OF_DATE","20070121")</f>
        <v/>
      </c>
      <c r="JP5">
        <f>BDS("WFM US Equity","SUPPLY_CHAIN_CUSTOMERS","RELATIONSHIP_AS_OF_DATE","20070121")</f>
        <v/>
      </c>
      <c r="JU5">
        <f>BDS("1013207D US Equity","SUPPLY_CHAIN_SUPPLIERS","RELATIONSHIP_AS_OF_DATE","19990113")</f>
        <v/>
      </c>
      <c r="JZ5">
        <f>BDS("1013207D US Equity","SUPPLY_CHAIN_CUSTOMERS","RELATIONSHIP_AS_OF_DATE","19990113")</f>
        <v/>
      </c>
      <c r="KE5">
        <f>BDS("ACCO US Equity","SUPPLY_CHAIN_SUPPLIERS","RELATIONSHIP_AS_OF_DATE","20050316")</f>
        <v/>
      </c>
      <c r="KJ5">
        <f>BDS("ACCO US Equity","SUPPLY_CHAIN_CUSTOMERS","RELATIONSHIP_AS_OF_DATE","20050316")</f>
        <v/>
      </c>
      <c r="KO5">
        <f>BDS("WY US Equity","SUPPLY_CHAIN_SUPPLIERS","RELATIONSHIP_AS_OF_DATE","19991123")</f>
        <v/>
      </c>
      <c r="KT5">
        <f>BDS("WY US Equity","SUPPLY_CHAIN_CUSTOMERS","RELATIONSHIP_AS_OF_DATE","19991123")</f>
        <v/>
      </c>
      <c r="KY5">
        <f>BDS("GVNTQ US Equity","SUPPLY_CHAIN_SUPPLIERS","RELATIONSHIP_AS_OF_DATE","19980427")</f>
        <v/>
      </c>
      <c r="LD5">
        <f>BDS("GVNTQ US Equity","SUPPLY_CHAIN_CUSTOMERS","RELATIONSHIP_AS_OF_DATE","19980427")</f>
        <v/>
      </c>
      <c r="LI5">
        <f>BDS("MMM US Equity","SUPPLY_CHAIN_SUPPLIERS","RELATIONSHIP_AS_OF_DATE","20100830")</f>
        <v/>
      </c>
      <c r="LN5">
        <f>BDS("MMM US Equity","SUPPLY_CHAIN_CUSTOMERS","RELATIONSHIP_AS_OF_DATE","20100830")</f>
        <v/>
      </c>
      <c r="LS5">
        <f>BDS("XEL US Equity","SUPPLY_CHAIN_SUPPLIERS","RELATIONSHIP_AS_OF_DATE","20020215")</f>
        <v/>
      </c>
      <c r="LX5">
        <f>BDS("XEL US Equity","SUPPLY_CHAIN_CUSTOMERS","RELATIONSHIP_AS_OF_DATE","20020215")</f>
        <v/>
      </c>
      <c r="MC5">
        <f>BDS("PNC US Equity","SUPPLY_CHAIN_SUPPLIERS","RELATIONSHIP_AS_OF_DATE","20040716")</f>
        <v/>
      </c>
      <c r="MH5">
        <f>BDS("PNC US Equity","SUPPLY_CHAIN_CUSTOMERS","RELATIONSHIP_AS_OF_DATE","20040716")</f>
        <v/>
      </c>
      <c r="MM5">
        <f>BDS("ISCA US Equity","SUPPLY_CHAIN_SUPPLIERS","RELATIONSHIP_AS_OF_DATE","19990510")</f>
        <v/>
      </c>
      <c r="MR5">
        <f>BDS("ISCA US Equity","SUPPLY_CHAIN_CUSTOMERS","RELATIONSHIP_AS_OF_DATE","19990510")</f>
        <v/>
      </c>
      <c r="MW5">
        <f>BDS("SSP US Equity","SUPPLY_CHAIN_SUPPLIERS","RELATIONSHIP_AS_OF_DATE","20140730")</f>
        <v/>
      </c>
      <c r="NB5">
        <f>BDS("SSP US Equity","SUPPLY_CHAIN_CUSTOMERS","RELATIONSHIP_AS_OF_DATE","20140730")</f>
        <v/>
      </c>
      <c r="NG5">
        <f>BDS("1676829D US Equity","SUPPLY_CHAIN_SUPPLIERS","RELATIONSHIP_AS_OF_DATE","20001003")</f>
        <v/>
      </c>
      <c r="NL5">
        <f>BDS("1676829D US Equity","SUPPLY_CHAIN_CUSTOMERS","RELATIONSHIP_AS_OF_DATE","20001003")</f>
        <v/>
      </c>
      <c r="NQ5">
        <f>BDS("SSB US Equity","SUPPLY_CHAIN_SUPPLIERS","RELATIONSHIP_AS_OF_DATE","20170427")</f>
        <v/>
      </c>
      <c r="NV5">
        <f>BDS("SSB US Equity","SUPPLY_CHAIN_CUSTOMERS","RELATIONSHIP_AS_OF_DATE","20170427")</f>
        <v/>
      </c>
      <c r="OA5">
        <f>BDS("4621824Q US Equity","SUPPLY_CHAIN_SUPPLIERS","RELATIONSHIP_AS_OF_DATE","19990709")</f>
        <v/>
      </c>
      <c r="OF5">
        <f>BDS("4621824Q US Equity","SUPPLY_CHAIN_CUSTOMERS","RELATIONSHIP_AS_OF_DATE","19990709")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1681</t>
        </is>
      </c>
      <c r="K1" s="1" t="inlineStr">
        <is>
          <t>Deal 1682</t>
        </is>
      </c>
      <c r="U1" s="1" t="inlineStr">
        <is>
          <t>Deal 1683</t>
        </is>
      </c>
      <c r="AE1" s="1" t="inlineStr">
        <is>
          <t>Deal 1684</t>
        </is>
      </c>
      <c r="AO1" s="1" t="inlineStr">
        <is>
          <t>Deal 1685</t>
        </is>
      </c>
      <c r="AY1" s="1" t="inlineStr">
        <is>
          <t>Deal 1686</t>
        </is>
      </c>
      <c r="BI1" s="1" t="inlineStr">
        <is>
          <t>Deal 1687</t>
        </is>
      </c>
      <c r="BS1" s="1" t="inlineStr">
        <is>
          <t>Deal 1688</t>
        </is>
      </c>
      <c r="CC1" s="1" t="inlineStr">
        <is>
          <t>Deal 1689</t>
        </is>
      </c>
      <c r="CM1" s="1" t="inlineStr">
        <is>
          <t>Deal 1690</t>
        </is>
      </c>
      <c r="CW1" s="1" t="inlineStr">
        <is>
          <t>Deal 1691</t>
        </is>
      </c>
      <c r="DG1" s="1" t="inlineStr">
        <is>
          <t>Deal 1692</t>
        </is>
      </c>
      <c r="DQ1" s="1" t="inlineStr">
        <is>
          <t>Deal 1693</t>
        </is>
      </c>
      <c r="EA1" s="1" t="inlineStr">
        <is>
          <t>Deal 1694</t>
        </is>
      </c>
      <c r="EK1" s="1" t="inlineStr">
        <is>
          <t>Deal 1695</t>
        </is>
      </c>
      <c r="EU1" s="1" t="inlineStr">
        <is>
          <t>Deal 1696</t>
        </is>
      </c>
      <c r="FE1" s="1" t="inlineStr">
        <is>
          <t>Deal 1697</t>
        </is>
      </c>
      <c r="FO1" s="1" t="inlineStr">
        <is>
          <t>Deal 1698</t>
        </is>
      </c>
      <c r="FY1" s="1" t="inlineStr">
        <is>
          <t>Deal 1699</t>
        </is>
      </c>
      <c r="GI1" s="1" t="inlineStr">
        <is>
          <t>Deal 1700</t>
        </is>
      </c>
      <c r="GS1" s="1" t="inlineStr">
        <is>
          <t>Deal 1701</t>
        </is>
      </c>
      <c r="HC1" s="1" t="inlineStr">
        <is>
          <t>Deal 1702</t>
        </is>
      </c>
      <c r="HM1" s="1" t="inlineStr">
        <is>
          <t>Deal 1703</t>
        </is>
      </c>
      <c r="HW1" s="1" t="inlineStr">
        <is>
          <t>Deal 1704</t>
        </is>
      </c>
      <c r="IG1" s="1" t="inlineStr">
        <is>
          <t>Deal 1705</t>
        </is>
      </c>
      <c r="IQ1" s="1" t="inlineStr">
        <is>
          <t>Deal 1706</t>
        </is>
      </c>
      <c r="JA1" s="1" t="inlineStr">
        <is>
          <t>Deal 1707</t>
        </is>
      </c>
      <c r="JK1" s="1" t="inlineStr">
        <is>
          <t>Deal 1708</t>
        </is>
      </c>
      <c r="JU1" s="1" t="inlineStr">
        <is>
          <t>Deal 1709</t>
        </is>
      </c>
      <c r="KE1" s="1" t="inlineStr">
        <is>
          <t>Deal 1710</t>
        </is>
      </c>
      <c r="KO1" s="1" t="inlineStr">
        <is>
          <t>Deal 1711</t>
        </is>
      </c>
      <c r="KY1" s="1" t="inlineStr">
        <is>
          <t>Deal 1712</t>
        </is>
      </c>
      <c r="LI1" s="1" t="inlineStr">
        <is>
          <t>Deal 1713</t>
        </is>
      </c>
      <c r="LS1" s="1" t="inlineStr">
        <is>
          <t>Deal 1714</t>
        </is>
      </c>
      <c r="MC1" s="1" t="inlineStr">
        <is>
          <t>Deal 1715</t>
        </is>
      </c>
      <c r="MM1" s="1" t="inlineStr">
        <is>
          <t>Deal 1716</t>
        </is>
      </c>
      <c r="MW1" s="1" t="inlineStr">
        <is>
          <t>Deal 1717</t>
        </is>
      </c>
      <c r="NG1" s="1" t="inlineStr">
        <is>
          <t>Deal 1718</t>
        </is>
      </c>
      <c r="NQ1" s="1" t="inlineStr">
        <is>
          <t>Deal 1719</t>
        </is>
      </c>
      <c r="OA1" s="1" t="inlineStr">
        <is>
          <t>Deal 1720</t>
        </is>
      </c>
    </row>
    <row r="2">
      <c r="A2" s="2" t="inlineStr">
        <is>
          <t>0554877D US Equity</t>
        </is>
      </c>
      <c r="K2" s="2" t="inlineStr">
        <is>
          <t>TFCFA US Equity</t>
        </is>
      </c>
      <c r="U2" s="2" t="inlineStr">
        <is>
          <t>COLB US Equity</t>
        </is>
      </c>
      <c r="AE2" s="2" t="inlineStr">
        <is>
          <t>ORCL US Equity</t>
        </is>
      </c>
      <c r="AO2" s="2" t="inlineStr">
        <is>
          <t>JPM US Equity</t>
        </is>
      </c>
      <c r="AY2" s="2" t="inlineStr">
        <is>
          <t>WHXCQ US Equity</t>
        </is>
      </c>
      <c r="BI2" s="2" t="inlineStr">
        <is>
          <t>HOT US Equity</t>
        </is>
      </c>
      <c r="BS2" s="2" t="inlineStr">
        <is>
          <t>CMOS US Equity</t>
        </is>
      </c>
      <c r="CC2" s="2" t="inlineStr">
        <is>
          <t>CZR US Equity</t>
        </is>
      </c>
      <c r="CM2" s="2" t="inlineStr">
        <is>
          <t>PAS US Equity</t>
        </is>
      </c>
      <c r="CW2" s="2" t="inlineStr">
        <is>
          <t>MTCH US Equity</t>
        </is>
      </c>
      <c r="DG2" s="2" t="inlineStr">
        <is>
          <t>PXD US Equity</t>
        </is>
      </c>
      <c r="DQ2" s="2" t="inlineStr">
        <is>
          <t>9980328D US Equity</t>
        </is>
      </c>
      <c r="EA2" s="2" t="inlineStr">
        <is>
          <t>PPBI US Equity</t>
        </is>
      </c>
      <c r="EK2" s="2" t="inlineStr">
        <is>
          <t>ALXN US Equity</t>
        </is>
      </c>
      <c r="EU2" s="2" t="inlineStr">
        <is>
          <t>9876456D US Equity</t>
        </is>
      </c>
      <c r="FE2" s="2" t="inlineStr">
        <is>
          <t>PFS US Equity</t>
        </is>
      </c>
      <c r="FO2" s="2" t="inlineStr">
        <is>
          <t>CDVIQ US Equity</t>
        </is>
      </c>
      <c r="FY2" s="2" t="inlineStr">
        <is>
          <t>CBB US Equity</t>
        </is>
      </c>
      <c r="GI2" s="2" t="inlineStr">
        <is>
          <t>HEW US Equity</t>
        </is>
      </c>
      <c r="GS2" s="2" t="inlineStr">
        <is>
          <t>VSH US Equity</t>
        </is>
      </c>
      <c r="HC2" s="2" t="inlineStr">
        <is>
          <t>EVVV US Equity</t>
        </is>
      </c>
      <c r="HM2" s="2" t="inlineStr">
        <is>
          <t>A US Equity</t>
        </is>
      </c>
      <c r="HW2" s="2" t="inlineStr">
        <is>
          <t>VTR US Equity</t>
        </is>
      </c>
      <c r="IG2" s="2" t="inlineStr">
        <is>
          <t>PSIXQ US Equity</t>
        </is>
      </c>
      <c r="IQ2" s="2" t="inlineStr">
        <is>
          <t>VALPQ US Equity</t>
        </is>
      </c>
      <c r="JA2" s="2" t="inlineStr">
        <is>
          <t>ARCC US Equity</t>
        </is>
      </c>
      <c r="JK2" s="2" t="inlineStr">
        <is>
          <t>CSCO US Equity</t>
        </is>
      </c>
      <c r="JU2" s="2" t="inlineStr">
        <is>
          <t>BBBYQ US Equity</t>
        </is>
      </c>
      <c r="KE2" s="2" t="inlineStr">
        <is>
          <t>WFC US Equity</t>
        </is>
      </c>
      <c r="KO2" s="2" t="inlineStr">
        <is>
          <t>1683351D US Equity</t>
        </is>
      </c>
      <c r="KY2" s="2" t="inlineStr">
        <is>
          <t>nan Equity</t>
        </is>
      </c>
      <c r="LI2" s="2" t="inlineStr">
        <is>
          <t>AUB US Equity</t>
        </is>
      </c>
      <c r="LS2" s="2" t="inlineStr">
        <is>
          <t>ONTO US Equity</t>
        </is>
      </c>
      <c r="MC2" s="2" t="inlineStr">
        <is>
          <t>DM US Equity</t>
        </is>
      </c>
      <c r="MM2" s="2" t="inlineStr">
        <is>
          <t>SBUX US Equity</t>
        </is>
      </c>
      <c r="MW2" s="2" t="inlineStr">
        <is>
          <t>DHR US Equity</t>
        </is>
      </c>
      <c r="NG2" s="2" t="inlineStr">
        <is>
          <t>BPYU US Equity</t>
        </is>
      </c>
      <c r="NQ2" s="2" t="inlineStr">
        <is>
          <t>T US Equity</t>
        </is>
      </c>
      <c r="OA2" s="2" t="inlineStr">
        <is>
          <t>nan Equity</t>
        </is>
      </c>
    </row>
    <row r="3">
      <c r="A3" t="inlineStr">
        <is>
          <t>Ann: 1999-10-04</t>
        </is>
      </c>
      <c r="K3" t="inlineStr">
        <is>
          <t>Ann: 2005-09-08</t>
        </is>
      </c>
      <c r="U3" t="inlineStr">
        <is>
          <t>Ann: 2017-01-10</t>
        </is>
      </c>
      <c r="AE3" t="inlineStr">
        <is>
          <t>Ann: 2010-04-16</t>
        </is>
      </c>
      <c r="AO3" t="inlineStr">
        <is>
          <t>Ann: 2005-12-15</t>
        </is>
      </c>
      <c r="AY3" t="inlineStr">
        <is>
          <t>Ann: 1998-03-03</t>
        </is>
      </c>
      <c r="BI3" t="inlineStr">
        <is>
          <t>Ann: 1999-07-19</t>
        </is>
      </c>
      <c r="BS3" t="inlineStr">
        <is>
          <t>Ann: 2004-02-23</t>
        </is>
      </c>
      <c r="CC3" t="inlineStr">
        <is>
          <t>Ann: 2013-09-09</t>
        </is>
      </c>
      <c r="CM3" t="inlineStr">
        <is>
          <t>Ann: 2000-08-21</t>
        </is>
      </c>
      <c r="CW3" t="inlineStr">
        <is>
          <t>Ann: 2000-01-12</t>
        </is>
      </c>
      <c r="DG3" t="inlineStr">
        <is>
          <t>Ann: 2013-05-07</t>
        </is>
      </c>
      <c r="DQ3" t="inlineStr">
        <is>
          <t>Ann: 2002-05-09</t>
        </is>
      </c>
      <c r="EA3" t="inlineStr">
        <is>
          <t>Ann: 2018-02-12</t>
        </is>
      </c>
      <c r="EK3" t="inlineStr">
        <is>
          <t>Ann: 2019-10-16</t>
        </is>
      </c>
      <c r="EU3" t="inlineStr">
        <is>
          <t>Ann: 2016-10-25</t>
        </is>
      </c>
      <c r="FE3" t="inlineStr">
        <is>
          <t>Ann: 2003-12-22</t>
        </is>
      </c>
      <c r="FO3" t="inlineStr">
        <is>
          <t>Ann: 2007-06-11</t>
        </is>
      </c>
      <c r="FY3" t="inlineStr">
        <is>
          <t>Ann: 2017-07-10</t>
        </is>
      </c>
      <c r="GI3" t="inlineStr">
        <is>
          <t>Ann: 2004-06-16</t>
        </is>
      </c>
      <c r="GS3" t="inlineStr">
        <is>
          <t>Ann: 2001-04-02</t>
        </is>
      </c>
      <c r="HC3" t="inlineStr">
        <is>
          <t>Ann: 2007-07-22</t>
        </is>
      </c>
      <c r="HM3" t="inlineStr">
        <is>
          <t>Ann: 2000-11-27</t>
        </is>
      </c>
      <c r="HW3" t="inlineStr">
        <is>
          <t>Ann: 2011-12-27</t>
        </is>
      </c>
      <c r="IG3" t="inlineStr">
        <is>
          <t>Ann: 1999-08-23</t>
        </is>
      </c>
      <c r="IQ3" t="inlineStr">
        <is>
          <t>Ann: 2002-05-15</t>
        </is>
      </c>
      <c r="JA3" t="inlineStr">
        <is>
          <t>Ann: 2009-10-26</t>
        </is>
      </c>
      <c r="JK3" t="inlineStr">
        <is>
          <t>Ann: 1999-11-09</t>
        </is>
      </c>
      <c r="JU3" t="inlineStr">
        <is>
          <t>Ann: 2012-05-09</t>
        </is>
      </c>
      <c r="KE3" t="inlineStr">
        <is>
          <t>Ann: 2007-01-09</t>
        </is>
      </c>
      <c r="KO3" t="inlineStr">
        <is>
          <t>Ann: 2000-08-14</t>
        </is>
      </c>
      <c r="KY3" t="inlineStr">
        <is>
          <t>Ann: 2012-12-30</t>
        </is>
      </c>
      <c r="LI3" t="inlineStr">
        <is>
          <t>Ann: 2018-10-05</t>
        </is>
      </c>
      <c r="LS3" t="inlineStr">
        <is>
          <t>Ann: 2019-06-24</t>
        </is>
      </c>
      <c r="MC3" t="inlineStr">
        <is>
          <t>Ann: 2021-08-11</t>
        </is>
      </c>
      <c r="MM3" t="inlineStr">
        <is>
          <t>Ann: 2012-11-14</t>
        </is>
      </c>
      <c r="MW3" t="inlineStr">
        <is>
          <t>Ann: 2012-04-10</t>
        </is>
      </c>
      <c r="NG3" t="inlineStr">
        <is>
          <t>Ann: 1998-05-15</t>
        </is>
      </c>
      <c r="NQ3" t="inlineStr">
        <is>
          <t>Ann: 2012-08-02</t>
        </is>
      </c>
      <c r="OA3" t="inlineStr">
        <is>
          <t>Ann: 2017-04-13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BDS("0554877D US Equity","SUPPLY_CHAIN_SUPPLIERS","RELATIONSHIP_AS_OF_DATE","19991004")</f>
        <v/>
      </c>
      <c r="F5">
        <f>BDS("0554877D US Equity","SUPPLY_CHAIN_CUSTOMERS","RELATIONSHIP_AS_OF_DATE","19991004")</f>
        <v/>
      </c>
      <c r="K5">
        <f>BDS("TFCFA US Equity","SUPPLY_CHAIN_SUPPLIERS","RELATIONSHIP_AS_OF_DATE","20050908")</f>
        <v/>
      </c>
      <c r="P5">
        <f>BDS("TFCFA US Equity","SUPPLY_CHAIN_CUSTOMERS","RELATIONSHIP_AS_OF_DATE","20050908")</f>
        <v/>
      </c>
      <c r="U5">
        <f>BDS("COLB US Equity","SUPPLY_CHAIN_SUPPLIERS","RELATIONSHIP_AS_OF_DATE","20170110")</f>
        <v/>
      </c>
      <c r="Z5">
        <f>BDS("COLB US Equity","SUPPLY_CHAIN_CUSTOMERS","RELATIONSHIP_AS_OF_DATE","20170110")</f>
        <v/>
      </c>
      <c r="AE5">
        <f>BDS("ORCL US Equity","SUPPLY_CHAIN_SUPPLIERS","RELATIONSHIP_AS_OF_DATE","20100416")</f>
        <v/>
      </c>
      <c r="AJ5">
        <f>BDS("ORCL US Equity","SUPPLY_CHAIN_CUSTOMERS","RELATIONSHIP_AS_OF_DATE","20100416")</f>
        <v/>
      </c>
      <c r="AO5">
        <f>BDS("JPM US Equity","SUPPLY_CHAIN_SUPPLIERS","RELATIONSHIP_AS_OF_DATE","20051215")</f>
        <v/>
      </c>
      <c r="AT5">
        <f>BDS("JPM US Equity","SUPPLY_CHAIN_CUSTOMERS","RELATIONSHIP_AS_OF_DATE","20051215")</f>
        <v/>
      </c>
      <c r="AY5">
        <f>BDS("WHXCQ US Equity","SUPPLY_CHAIN_SUPPLIERS","RELATIONSHIP_AS_OF_DATE","19980303")</f>
        <v/>
      </c>
      <c r="BD5">
        <f>BDS("WHXCQ US Equity","SUPPLY_CHAIN_CUSTOMERS","RELATIONSHIP_AS_OF_DATE","19980303")</f>
        <v/>
      </c>
      <c r="BI5">
        <f>BDS("HOT US Equity","SUPPLY_CHAIN_SUPPLIERS","RELATIONSHIP_AS_OF_DATE","19990719")</f>
        <v/>
      </c>
      <c r="BN5">
        <f>BDS("HOT US Equity","SUPPLY_CHAIN_CUSTOMERS","RELATIONSHIP_AS_OF_DATE","19990719")</f>
        <v/>
      </c>
      <c r="BS5">
        <f>BDS("CMOS US Equity","SUPPLY_CHAIN_SUPPLIERS","RELATIONSHIP_AS_OF_DATE","20040223")</f>
        <v/>
      </c>
      <c r="BX5">
        <f>BDS("CMOS US Equity","SUPPLY_CHAIN_CUSTOMERS","RELATIONSHIP_AS_OF_DATE","20040223")</f>
        <v/>
      </c>
      <c r="CC5">
        <f>BDS("CZR US Equity","SUPPLY_CHAIN_SUPPLIERS","RELATIONSHIP_AS_OF_DATE","20130909")</f>
        <v/>
      </c>
      <c r="CH5">
        <f>BDS("CZR US Equity","SUPPLY_CHAIN_CUSTOMERS","RELATIONSHIP_AS_OF_DATE","20130909")</f>
        <v/>
      </c>
      <c r="CM5">
        <f>BDS("PAS US Equity","SUPPLY_CHAIN_SUPPLIERS","RELATIONSHIP_AS_OF_DATE","20000821")</f>
        <v/>
      </c>
      <c r="CR5">
        <f>BDS("PAS US Equity","SUPPLY_CHAIN_CUSTOMERS","RELATIONSHIP_AS_OF_DATE","20000821")</f>
        <v/>
      </c>
      <c r="CW5">
        <f>BDS("MTCH US Equity","SUPPLY_CHAIN_SUPPLIERS","RELATIONSHIP_AS_OF_DATE","20000112")</f>
        <v/>
      </c>
      <c r="DB5">
        <f>BDS("MTCH US Equity","SUPPLY_CHAIN_CUSTOMERS","RELATIONSHIP_AS_OF_DATE","20000112")</f>
        <v/>
      </c>
      <c r="DG5">
        <f>BDS("PXD US Equity","SUPPLY_CHAIN_SUPPLIERS","RELATIONSHIP_AS_OF_DATE","20130507")</f>
        <v/>
      </c>
      <c r="DL5">
        <f>BDS("PXD US Equity","SUPPLY_CHAIN_CUSTOMERS","RELATIONSHIP_AS_OF_DATE","20130507")</f>
        <v/>
      </c>
      <c r="DQ5">
        <f>BDS("9980328D US Equity","SUPPLY_CHAIN_SUPPLIERS","RELATIONSHIP_AS_OF_DATE","20020509")</f>
        <v/>
      </c>
      <c r="DV5">
        <f>BDS("9980328D US Equity","SUPPLY_CHAIN_CUSTOMERS","RELATIONSHIP_AS_OF_DATE","20020509")</f>
        <v/>
      </c>
      <c r="EA5">
        <f>BDS("PPBI US Equity","SUPPLY_CHAIN_SUPPLIERS","RELATIONSHIP_AS_OF_DATE","20180212")</f>
        <v/>
      </c>
      <c r="EF5">
        <f>BDS("PPBI US Equity","SUPPLY_CHAIN_CUSTOMERS","RELATIONSHIP_AS_OF_DATE","20180212")</f>
        <v/>
      </c>
      <c r="EK5">
        <f>BDS("ALXN US Equity","SUPPLY_CHAIN_SUPPLIERS","RELATIONSHIP_AS_OF_DATE","20191016")</f>
        <v/>
      </c>
      <c r="EP5">
        <f>BDS("ALXN US Equity","SUPPLY_CHAIN_CUSTOMERS","RELATIONSHIP_AS_OF_DATE","20191016")</f>
        <v/>
      </c>
      <c r="EU5">
        <f>BDS("9876456D US Equity","SUPPLY_CHAIN_SUPPLIERS","RELATIONSHIP_AS_OF_DATE","20161025")</f>
        <v/>
      </c>
      <c r="EZ5">
        <f>BDS("9876456D US Equity","SUPPLY_CHAIN_CUSTOMERS","RELATIONSHIP_AS_OF_DATE","20161025")</f>
        <v/>
      </c>
      <c r="FE5">
        <f>BDS("PFS US Equity","SUPPLY_CHAIN_SUPPLIERS","RELATIONSHIP_AS_OF_DATE","20031222")</f>
        <v/>
      </c>
      <c r="FJ5">
        <f>BDS("PFS US Equity","SUPPLY_CHAIN_CUSTOMERS","RELATIONSHIP_AS_OF_DATE","20031222")</f>
        <v/>
      </c>
      <c r="FO5">
        <f>BDS("CDVIQ US Equity","SUPPLY_CHAIN_SUPPLIERS","RELATIONSHIP_AS_OF_DATE","20070611")</f>
        <v/>
      </c>
      <c r="FT5">
        <f>BDS("CDVIQ US Equity","SUPPLY_CHAIN_CUSTOMERS","RELATIONSHIP_AS_OF_DATE","20070611")</f>
        <v/>
      </c>
      <c r="FY5">
        <f>BDS("CBB US Equity","SUPPLY_CHAIN_SUPPLIERS","RELATIONSHIP_AS_OF_DATE","20170710")</f>
        <v/>
      </c>
      <c r="GD5">
        <f>BDS("CBB US Equity","SUPPLY_CHAIN_CUSTOMERS","RELATIONSHIP_AS_OF_DATE","20170710")</f>
        <v/>
      </c>
      <c r="GI5">
        <f>BDS("HEW US Equity","SUPPLY_CHAIN_SUPPLIERS","RELATIONSHIP_AS_OF_DATE","20040616")</f>
        <v/>
      </c>
      <c r="GN5">
        <f>BDS("HEW US Equity","SUPPLY_CHAIN_CUSTOMERS","RELATIONSHIP_AS_OF_DATE","20040616")</f>
        <v/>
      </c>
      <c r="GS5">
        <f>BDS("VSH US Equity","SUPPLY_CHAIN_SUPPLIERS","RELATIONSHIP_AS_OF_DATE","20010402")</f>
        <v/>
      </c>
      <c r="GX5">
        <f>BDS("VSH US Equity","SUPPLY_CHAIN_CUSTOMERS","RELATIONSHIP_AS_OF_DATE","20010402")</f>
        <v/>
      </c>
      <c r="HC5">
        <f>BDS("EVVV US Equity","SUPPLY_CHAIN_SUPPLIERS","RELATIONSHIP_AS_OF_DATE","20070722")</f>
        <v/>
      </c>
      <c r="HH5">
        <f>BDS("EVVV US Equity","SUPPLY_CHAIN_CUSTOMERS","RELATIONSHIP_AS_OF_DATE","20070722")</f>
        <v/>
      </c>
      <c r="HM5">
        <f>BDS("A US Equity","SUPPLY_CHAIN_SUPPLIERS","RELATIONSHIP_AS_OF_DATE","20001127")</f>
        <v/>
      </c>
      <c r="HR5">
        <f>BDS("A US Equity","SUPPLY_CHAIN_CUSTOMERS","RELATIONSHIP_AS_OF_DATE","20001127")</f>
        <v/>
      </c>
      <c r="HW5">
        <f>BDS("VTR US Equity","SUPPLY_CHAIN_SUPPLIERS","RELATIONSHIP_AS_OF_DATE","20111227")</f>
        <v/>
      </c>
      <c r="IB5">
        <f>BDS("VTR US Equity","SUPPLY_CHAIN_CUSTOMERS","RELATIONSHIP_AS_OF_DATE","20111227")</f>
        <v/>
      </c>
      <c r="IG5">
        <f>BDS("PSIXQ US Equity","SUPPLY_CHAIN_SUPPLIERS","RELATIONSHIP_AS_OF_DATE","19990823")</f>
        <v/>
      </c>
      <c r="IL5">
        <f>BDS("PSIXQ US Equity","SUPPLY_CHAIN_CUSTOMERS","RELATIONSHIP_AS_OF_DATE","19990823")</f>
        <v/>
      </c>
      <c r="IQ5">
        <f>BDS("VALPQ US Equity","SUPPLY_CHAIN_SUPPLIERS","RELATIONSHIP_AS_OF_DATE","20020515")</f>
        <v/>
      </c>
      <c r="IV5">
        <f>BDS("VALPQ US Equity","SUPPLY_CHAIN_CUSTOMERS","RELATIONSHIP_AS_OF_DATE","20020515")</f>
        <v/>
      </c>
      <c r="JA5">
        <f>BDS("ARCC US Equity","SUPPLY_CHAIN_SUPPLIERS","RELATIONSHIP_AS_OF_DATE","20091026")</f>
        <v/>
      </c>
      <c r="JF5">
        <f>BDS("ARCC US Equity","SUPPLY_CHAIN_CUSTOMERS","RELATIONSHIP_AS_OF_DATE","20091026")</f>
        <v/>
      </c>
      <c r="JK5">
        <f>BDS("CSCO US Equity","SUPPLY_CHAIN_SUPPLIERS","RELATIONSHIP_AS_OF_DATE","19991109")</f>
        <v/>
      </c>
      <c r="JP5">
        <f>BDS("CSCO US Equity","SUPPLY_CHAIN_CUSTOMERS","RELATIONSHIP_AS_OF_DATE","19991109")</f>
        <v/>
      </c>
      <c r="JU5">
        <f>BDS("BBBYQ US Equity","SUPPLY_CHAIN_SUPPLIERS","RELATIONSHIP_AS_OF_DATE","20120509")</f>
        <v/>
      </c>
      <c r="JZ5">
        <f>BDS("BBBYQ US Equity","SUPPLY_CHAIN_CUSTOMERS","RELATIONSHIP_AS_OF_DATE","20120509")</f>
        <v/>
      </c>
      <c r="KE5">
        <f>BDS("WFC US Equity","SUPPLY_CHAIN_SUPPLIERS","RELATIONSHIP_AS_OF_DATE","20070109")</f>
        <v/>
      </c>
      <c r="KJ5">
        <f>BDS("WFC US Equity","SUPPLY_CHAIN_CUSTOMERS","RELATIONSHIP_AS_OF_DATE","20070109")</f>
        <v/>
      </c>
      <c r="KO5">
        <f>BDS("1683351D US Equity","SUPPLY_CHAIN_SUPPLIERS","RELATIONSHIP_AS_OF_DATE","20000814")</f>
        <v/>
      </c>
      <c r="KT5">
        <f>BDS("1683351D US Equity","SUPPLY_CHAIN_CUSTOMERS","RELATIONSHIP_AS_OF_DATE","20000814")</f>
        <v/>
      </c>
      <c r="KY5">
        <f>BDS("nan Equity","SUPPLY_CHAIN_SUPPLIERS","RELATIONSHIP_AS_OF_DATE","20121230")</f>
        <v/>
      </c>
      <c r="LD5">
        <f>BDS("nan Equity","SUPPLY_CHAIN_CUSTOMERS","RELATIONSHIP_AS_OF_DATE","20121230")</f>
        <v/>
      </c>
      <c r="LI5">
        <f>BDS("AUB US Equity","SUPPLY_CHAIN_SUPPLIERS","RELATIONSHIP_AS_OF_DATE","20181005")</f>
        <v/>
      </c>
      <c r="LN5">
        <f>BDS("AUB US Equity","SUPPLY_CHAIN_CUSTOMERS","RELATIONSHIP_AS_OF_DATE","20181005")</f>
        <v/>
      </c>
      <c r="LS5">
        <f>BDS("ONTO US Equity","SUPPLY_CHAIN_SUPPLIERS","RELATIONSHIP_AS_OF_DATE","20190624")</f>
        <v/>
      </c>
      <c r="LX5">
        <f>BDS("ONTO US Equity","SUPPLY_CHAIN_CUSTOMERS","RELATIONSHIP_AS_OF_DATE","20190624")</f>
        <v/>
      </c>
      <c r="MC5">
        <f>BDS("DM US Equity","SUPPLY_CHAIN_SUPPLIERS","RELATIONSHIP_AS_OF_DATE","20210811")</f>
        <v/>
      </c>
      <c r="MH5">
        <f>BDS("DM US Equity","SUPPLY_CHAIN_CUSTOMERS","RELATIONSHIP_AS_OF_DATE","20210811")</f>
        <v/>
      </c>
      <c r="MM5">
        <f>BDS("SBUX US Equity","SUPPLY_CHAIN_SUPPLIERS","RELATIONSHIP_AS_OF_DATE","20121114")</f>
        <v/>
      </c>
      <c r="MR5">
        <f>BDS("SBUX US Equity","SUPPLY_CHAIN_CUSTOMERS","RELATIONSHIP_AS_OF_DATE","20121114")</f>
        <v/>
      </c>
      <c r="MW5">
        <f>BDS("DHR US Equity","SUPPLY_CHAIN_SUPPLIERS","RELATIONSHIP_AS_OF_DATE","20120410")</f>
        <v/>
      </c>
      <c r="NB5">
        <f>BDS("DHR US Equity","SUPPLY_CHAIN_CUSTOMERS","RELATIONSHIP_AS_OF_DATE","20120410")</f>
        <v/>
      </c>
      <c r="NG5">
        <f>BDS("BPYU US Equity","SUPPLY_CHAIN_SUPPLIERS","RELATIONSHIP_AS_OF_DATE","19980515")</f>
        <v/>
      </c>
      <c r="NL5">
        <f>BDS("BPYU US Equity","SUPPLY_CHAIN_CUSTOMERS","RELATIONSHIP_AS_OF_DATE","19980515")</f>
        <v/>
      </c>
      <c r="NQ5">
        <f>BDS("T US Equity","SUPPLY_CHAIN_SUPPLIERS","RELATIONSHIP_AS_OF_DATE","20120802")</f>
        <v/>
      </c>
      <c r="NV5">
        <f>BDS("T US Equity","SUPPLY_CHAIN_CUSTOMERS","RELATIONSHIP_AS_OF_DATE","20120802")</f>
        <v/>
      </c>
      <c r="OA5">
        <f>BDS("nan Equity","SUPPLY_CHAIN_SUPPLIERS","RELATIONSHIP_AS_OF_DATE","20170413")</f>
        <v/>
      </c>
      <c r="OF5">
        <f>BDS("nan Equity","SUPPLY_CHAIN_CUSTOMERS","RELATIONSHIP_AS_OF_DATE","20170413")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1721</t>
        </is>
      </c>
      <c r="K1" s="1" t="inlineStr">
        <is>
          <t>Deal 1722</t>
        </is>
      </c>
      <c r="U1" s="1" t="inlineStr">
        <is>
          <t>Deal 1723</t>
        </is>
      </c>
      <c r="AE1" s="1" t="inlineStr">
        <is>
          <t>Deal 1724</t>
        </is>
      </c>
      <c r="AO1" s="1" t="inlineStr">
        <is>
          <t>Deal 1725</t>
        </is>
      </c>
      <c r="AY1" s="1" t="inlineStr">
        <is>
          <t>Deal 1726</t>
        </is>
      </c>
      <c r="BI1" s="1" t="inlineStr">
        <is>
          <t>Deal 1727</t>
        </is>
      </c>
      <c r="BS1" s="1" t="inlineStr">
        <is>
          <t>Deal 1728</t>
        </is>
      </c>
      <c r="CC1" s="1" t="inlineStr">
        <is>
          <t>Deal 1729</t>
        </is>
      </c>
      <c r="CM1" s="1" t="inlineStr">
        <is>
          <t>Deal 1730</t>
        </is>
      </c>
      <c r="CW1" s="1" t="inlineStr">
        <is>
          <t>Deal 1731</t>
        </is>
      </c>
      <c r="DG1" s="1" t="inlineStr">
        <is>
          <t>Deal 1732</t>
        </is>
      </c>
      <c r="DQ1" s="1" t="inlineStr">
        <is>
          <t>Deal 1733</t>
        </is>
      </c>
      <c r="EA1" s="1" t="inlineStr">
        <is>
          <t>Deal 1734</t>
        </is>
      </c>
      <c r="EK1" s="1" t="inlineStr">
        <is>
          <t>Deal 1735</t>
        </is>
      </c>
      <c r="EU1" s="1" t="inlineStr">
        <is>
          <t>Deal 1736</t>
        </is>
      </c>
      <c r="FE1" s="1" t="inlineStr">
        <is>
          <t>Deal 1737</t>
        </is>
      </c>
      <c r="FO1" s="1" t="inlineStr">
        <is>
          <t>Deal 1738</t>
        </is>
      </c>
      <c r="FY1" s="1" t="inlineStr">
        <is>
          <t>Deal 1739</t>
        </is>
      </c>
      <c r="GI1" s="1" t="inlineStr">
        <is>
          <t>Deal 1740</t>
        </is>
      </c>
      <c r="GS1" s="1" t="inlineStr">
        <is>
          <t>Deal 1741</t>
        </is>
      </c>
      <c r="HC1" s="1" t="inlineStr">
        <is>
          <t>Deal 1742</t>
        </is>
      </c>
      <c r="HM1" s="1" t="inlineStr">
        <is>
          <t>Deal 1743</t>
        </is>
      </c>
      <c r="HW1" s="1" t="inlineStr">
        <is>
          <t>Deal 1744</t>
        </is>
      </c>
      <c r="IG1" s="1" t="inlineStr">
        <is>
          <t>Deal 1745</t>
        </is>
      </c>
      <c r="IQ1" s="1" t="inlineStr">
        <is>
          <t>Deal 1746</t>
        </is>
      </c>
      <c r="JA1" s="1" t="inlineStr">
        <is>
          <t>Deal 1747</t>
        </is>
      </c>
      <c r="JK1" s="1" t="inlineStr">
        <is>
          <t>Deal 1748</t>
        </is>
      </c>
      <c r="JU1" s="1" t="inlineStr">
        <is>
          <t>Deal 1749</t>
        </is>
      </c>
      <c r="KE1" s="1" t="inlineStr">
        <is>
          <t>Deal 1750</t>
        </is>
      </c>
      <c r="KO1" s="1" t="inlineStr">
        <is>
          <t>Deal 1751</t>
        </is>
      </c>
      <c r="KY1" s="1" t="inlineStr">
        <is>
          <t>Deal 1752</t>
        </is>
      </c>
      <c r="LI1" s="1" t="inlineStr">
        <is>
          <t>Deal 1753</t>
        </is>
      </c>
      <c r="LS1" s="1" t="inlineStr">
        <is>
          <t>Deal 1754</t>
        </is>
      </c>
      <c r="MC1" s="1" t="inlineStr">
        <is>
          <t>Deal 1755</t>
        </is>
      </c>
      <c r="MM1" s="1" t="inlineStr">
        <is>
          <t>Deal 1756</t>
        </is>
      </c>
      <c r="MW1" s="1" t="inlineStr">
        <is>
          <t>Deal 1757</t>
        </is>
      </c>
      <c r="NG1" s="1" t="inlineStr">
        <is>
          <t>Deal 1758</t>
        </is>
      </c>
      <c r="NQ1" s="1" t="inlineStr">
        <is>
          <t>Deal 1759</t>
        </is>
      </c>
      <c r="OA1" s="1" t="inlineStr">
        <is>
          <t>Deal 1760</t>
        </is>
      </c>
    </row>
    <row r="2">
      <c r="A2" s="2" t="inlineStr">
        <is>
          <t>TFC US Equity</t>
        </is>
      </c>
      <c r="K2" s="2" t="inlineStr">
        <is>
          <t>78651Q US Equity</t>
        </is>
      </c>
      <c r="U2" s="2" t="inlineStr">
        <is>
          <t>MBFI US Equity</t>
        </is>
      </c>
      <c r="AE2" s="2" t="inlineStr">
        <is>
          <t>AGN US Equity</t>
        </is>
      </c>
      <c r="AO2" s="2" t="inlineStr">
        <is>
          <t>KIM US Equity</t>
        </is>
      </c>
      <c r="AY2" s="2" t="inlineStr">
        <is>
          <t>ONEX CN Equity</t>
        </is>
      </c>
      <c r="BI2" s="2" t="inlineStr">
        <is>
          <t>IBM US Equity</t>
        </is>
      </c>
      <c r="BS2" s="2" t="inlineStr">
        <is>
          <t>NOV US Equity</t>
        </is>
      </c>
      <c r="CC2" s="2" t="inlineStr">
        <is>
          <t>TFC US Equity</t>
        </is>
      </c>
      <c r="CM2" s="2" t="inlineStr">
        <is>
          <t>FCNCA US Equity</t>
        </is>
      </c>
      <c r="CW2" s="2" t="inlineStr">
        <is>
          <t>1981718D US Equity</t>
        </is>
      </c>
      <c r="DG2" s="2" t="inlineStr">
        <is>
          <t>NUE US Equity</t>
        </is>
      </c>
      <c r="DQ2" s="2" t="inlineStr">
        <is>
          <t>BRK/A US Equity</t>
        </is>
      </c>
      <c r="EA2" s="2" t="inlineStr">
        <is>
          <t>IVZ US Equity</t>
        </is>
      </c>
      <c r="EK2" s="2" t="inlineStr">
        <is>
          <t>HYMC US Equity</t>
        </is>
      </c>
      <c r="EU2" s="2" t="inlineStr">
        <is>
          <t>PYXSQ US Equity</t>
        </is>
      </c>
      <c r="FE2" s="2" t="inlineStr">
        <is>
          <t>ROVI US Equity</t>
        </is>
      </c>
      <c r="FO2" s="2" t="inlineStr">
        <is>
          <t>SOGCQ US Equity</t>
        </is>
      </c>
      <c r="FY2" s="2" t="inlineStr">
        <is>
          <t>BZH US Equity</t>
        </is>
      </c>
      <c r="GI2" s="2" t="inlineStr">
        <is>
          <t>GD US Equity</t>
        </is>
      </c>
      <c r="GS2" s="2" t="inlineStr">
        <is>
          <t>IRT US Equity</t>
        </is>
      </c>
      <c r="HC2" s="2" t="inlineStr">
        <is>
          <t>ASB US Equity</t>
        </is>
      </c>
      <c r="HM2" s="2" t="inlineStr">
        <is>
          <t>SYK US Equity</t>
        </is>
      </c>
      <c r="HW2" s="2" t="inlineStr">
        <is>
          <t>ARWLQ US Equity</t>
        </is>
      </c>
      <c r="IG2" s="2" t="inlineStr">
        <is>
          <t>VNRSQ US Equity</t>
        </is>
      </c>
      <c r="IQ2" s="2" t="inlineStr">
        <is>
          <t>1811934D US Equity</t>
        </is>
      </c>
      <c r="JA2" s="2" t="inlineStr">
        <is>
          <t>BX US Equity</t>
        </is>
      </c>
      <c r="JK2" s="2" t="inlineStr">
        <is>
          <t>9993232D US Equity</t>
        </is>
      </c>
      <c r="JU2" s="2" t="inlineStr">
        <is>
          <t>ORCL US Equity</t>
        </is>
      </c>
      <c r="KE2" s="2" t="inlineStr">
        <is>
          <t>VTR US Equity</t>
        </is>
      </c>
      <c r="KO2" s="2" t="inlineStr">
        <is>
          <t>PNP US Equity</t>
        </is>
      </c>
      <c r="KY2" s="2" t="inlineStr">
        <is>
          <t>HON US Equity</t>
        </is>
      </c>
      <c r="LI2" s="2" t="inlineStr">
        <is>
          <t>IBM US Equity</t>
        </is>
      </c>
      <c r="LS2" s="2" t="inlineStr">
        <is>
          <t>FBK US Equity</t>
        </is>
      </c>
      <c r="MC2" s="2" t="inlineStr">
        <is>
          <t>URS US Equity</t>
        </is>
      </c>
      <c r="MM2" s="2" t="inlineStr">
        <is>
          <t>NFB US Equity</t>
        </is>
      </c>
      <c r="MW2" s="2" t="inlineStr">
        <is>
          <t>INVCORP BI Equity</t>
        </is>
      </c>
      <c r="NG2" s="2" t="inlineStr">
        <is>
          <t>URI US Equity</t>
        </is>
      </c>
      <c r="NQ2" s="2" t="inlineStr">
        <is>
          <t>BBY US Equity</t>
        </is>
      </c>
      <c r="OA2" s="2" t="inlineStr">
        <is>
          <t>GE US Equity</t>
        </is>
      </c>
    </row>
    <row r="3">
      <c r="A3" t="inlineStr">
        <is>
          <t>Ann: 2005-12-15</t>
        </is>
      </c>
      <c r="K3" t="inlineStr">
        <is>
          <t>Ann: 1999-08-23</t>
        </is>
      </c>
      <c r="U3" t="inlineStr">
        <is>
          <t>Ann: 2013-07-15</t>
        </is>
      </c>
      <c r="AE3" t="inlineStr">
        <is>
          <t>Ann: 2014-10-06</t>
        </is>
      </c>
      <c r="AO3" t="inlineStr">
        <is>
          <t>Ann: 2003-06-18</t>
        </is>
      </c>
      <c r="AY3" t="inlineStr">
        <is>
          <t>Ann: 2006-11-10</t>
        </is>
      </c>
      <c r="BI3" t="inlineStr">
        <is>
          <t>Ann: 2005-03-14</t>
        </is>
      </c>
      <c r="BS3" t="inlineStr">
        <is>
          <t>Ann: 2011-07-05</t>
        </is>
      </c>
      <c r="CC3" t="inlineStr">
        <is>
          <t>Ann: 1998-08-27</t>
        </is>
      </c>
      <c r="CM3" t="inlineStr">
        <is>
          <t>Ann: 2014-06-11</t>
        </is>
      </c>
      <c r="CW3" t="inlineStr">
        <is>
          <t>Ann: 2009-01-08</t>
        </is>
      </c>
      <c r="DG3" t="inlineStr">
        <is>
          <t>Ann: 2002-02-14</t>
        </is>
      </c>
      <c r="DQ3" t="inlineStr">
        <is>
          <t>Ann: 2000-06-20</t>
        </is>
      </c>
      <c r="EA3" t="inlineStr">
        <is>
          <t>Ann: 2003-07-25</t>
        </is>
      </c>
      <c r="EK3" t="inlineStr">
        <is>
          <t>Ann: 2020-01-14</t>
        </is>
      </c>
      <c r="EU3" t="inlineStr">
        <is>
          <t>Ann: 2004-11-08</t>
        </is>
      </c>
      <c r="FE3" t="inlineStr">
        <is>
          <t>Ann: 2016-04-29</t>
        </is>
      </c>
      <c r="FO3" t="inlineStr">
        <is>
          <t>Ann: 2000-07-10</t>
        </is>
      </c>
      <c r="FY3" t="inlineStr">
        <is>
          <t>Ann: 2002-01-30</t>
        </is>
      </c>
      <c r="GI3" t="inlineStr">
        <is>
          <t>Ann: 2009-06-04</t>
        </is>
      </c>
      <c r="GS3" t="inlineStr">
        <is>
          <t>Ann: 2015-05-11</t>
        </is>
      </c>
      <c r="HC3" t="inlineStr">
        <is>
          <t>Ann: 2004-04-28</t>
        </is>
      </c>
      <c r="HM3" t="inlineStr">
        <is>
          <t>Ann: 2017-12-07</t>
        </is>
      </c>
      <c r="HW3" t="inlineStr">
        <is>
          <t>Ann: 1998-08-20</t>
        </is>
      </c>
      <c r="IG3" t="inlineStr">
        <is>
          <t>Ann: 2015-05-21</t>
        </is>
      </c>
      <c r="IQ3" t="inlineStr">
        <is>
          <t>Ann: 1999-12-08</t>
        </is>
      </c>
      <c r="JA3" t="inlineStr">
        <is>
          <t>Ann: 2010-10-04</t>
        </is>
      </c>
      <c r="JK3" t="inlineStr">
        <is>
          <t>Ann: 2015-08-18</t>
        </is>
      </c>
      <c r="JU3" t="inlineStr">
        <is>
          <t>Ann: 2016-04-28</t>
        </is>
      </c>
      <c r="KE3" t="inlineStr">
        <is>
          <t>Ann: 2005-04-12</t>
        </is>
      </c>
      <c r="KO3" t="inlineStr">
        <is>
          <t>Ann: 2002-11-06</t>
        </is>
      </c>
      <c r="KY3" t="inlineStr">
        <is>
          <t>Ann: 2012-12-10</t>
        </is>
      </c>
      <c r="LI3" t="inlineStr">
        <is>
          <t>Ann: 2006-08-03</t>
        </is>
      </c>
      <c r="LS3" t="inlineStr">
        <is>
          <t>Ann: 2020-01-21</t>
        </is>
      </c>
      <c r="MC3" t="inlineStr">
        <is>
          <t>Ann: 1999-05-05</t>
        </is>
      </c>
      <c r="MM3" t="inlineStr">
        <is>
          <t>Ann: 1999-08-16</t>
        </is>
      </c>
      <c r="MW3" t="inlineStr">
        <is>
          <t>Ann: 2005-09-22</t>
        </is>
      </c>
      <c r="NG3" t="inlineStr">
        <is>
          <t>Ann: 2021-04-16</t>
        </is>
      </c>
      <c r="NQ3" t="inlineStr">
        <is>
          <t>Ann: 2000-12-07</t>
        </is>
      </c>
      <c r="OA3" t="inlineStr">
        <is>
          <t>Ann: 2006-03-06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BDS("TFC US Equity","SUPPLY_CHAIN_SUPPLIERS","RELATIONSHIP_AS_OF_DATE","20051215")</f>
        <v/>
      </c>
      <c r="F5">
        <f>BDS("TFC US Equity","SUPPLY_CHAIN_CUSTOMERS","RELATIONSHIP_AS_OF_DATE","20051215")</f>
        <v/>
      </c>
      <c r="K5">
        <f>BDS("78651Q US Equity","SUPPLY_CHAIN_SUPPLIERS","RELATIONSHIP_AS_OF_DATE","19990823")</f>
        <v/>
      </c>
      <c r="P5">
        <f>BDS("78651Q US Equity","SUPPLY_CHAIN_CUSTOMERS","RELATIONSHIP_AS_OF_DATE","19990823")</f>
        <v/>
      </c>
      <c r="U5">
        <f>BDS("MBFI US Equity","SUPPLY_CHAIN_SUPPLIERS","RELATIONSHIP_AS_OF_DATE","20130715")</f>
        <v/>
      </c>
      <c r="Z5">
        <f>BDS("MBFI US Equity","SUPPLY_CHAIN_CUSTOMERS","RELATIONSHIP_AS_OF_DATE","20130715")</f>
        <v/>
      </c>
      <c r="AE5">
        <f>BDS("AGN US Equity","SUPPLY_CHAIN_SUPPLIERS","RELATIONSHIP_AS_OF_DATE","20141006")</f>
        <v/>
      </c>
      <c r="AJ5">
        <f>BDS("AGN US Equity","SUPPLY_CHAIN_CUSTOMERS","RELATIONSHIP_AS_OF_DATE","20141006")</f>
        <v/>
      </c>
      <c r="AO5">
        <f>BDS("KIM US Equity","SUPPLY_CHAIN_SUPPLIERS","RELATIONSHIP_AS_OF_DATE","20030618")</f>
        <v/>
      </c>
      <c r="AT5">
        <f>BDS("KIM US Equity","SUPPLY_CHAIN_CUSTOMERS","RELATIONSHIP_AS_OF_DATE","20030618")</f>
        <v/>
      </c>
      <c r="AY5">
        <f>BDS("ONEX CN Equity","SUPPLY_CHAIN_SUPPLIERS","RELATIONSHIP_AS_OF_DATE","20061110")</f>
        <v/>
      </c>
      <c r="BD5">
        <f>BDS("ONEX CN Equity","SUPPLY_CHAIN_CUSTOMERS","RELATIONSHIP_AS_OF_DATE","20061110")</f>
        <v/>
      </c>
      <c r="BI5">
        <f>BDS("IBM US Equity","SUPPLY_CHAIN_SUPPLIERS","RELATIONSHIP_AS_OF_DATE","20050314")</f>
        <v/>
      </c>
      <c r="BN5">
        <f>BDS("IBM US Equity","SUPPLY_CHAIN_CUSTOMERS","RELATIONSHIP_AS_OF_DATE","20050314")</f>
        <v/>
      </c>
      <c r="BS5">
        <f>BDS("NOV US Equity","SUPPLY_CHAIN_SUPPLIERS","RELATIONSHIP_AS_OF_DATE","20110705")</f>
        <v/>
      </c>
      <c r="BX5">
        <f>BDS("NOV US Equity","SUPPLY_CHAIN_CUSTOMERS","RELATIONSHIP_AS_OF_DATE","20110705")</f>
        <v/>
      </c>
      <c r="CC5">
        <f>BDS("TFC US Equity","SUPPLY_CHAIN_SUPPLIERS","RELATIONSHIP_AS_OF_DATE","19980827")</f>
        <v/>
      </c>
      <c r="CH5">
        <f>BDS("TFC US Equity","SUPPLY_CHAIN_CUSTOMERS","RELATIONSHIP_AS_OF_DATE","19980827")</f>
        <v/>
      </c>
      <c r="CM5">
        <f>BDS("FCNCA US Equity","SUPPLY_CHAIN_SUPPLIERS","RELATIONSHIP_AS_OF_DATE","20140611")</f>
        <v/>
      </c>
      <c r="CR5">
        <f>BDS("FCNCA US Equity","SUPPLY_CHAIN_CUSTOMERS","RELATIONSHIP_AS_OF_DATE","20140611")</f>
        <v/>
      </c>
      <c r="CW5">
        <f>BDS("1981718D US Equity","SUPPLY_CHAIN_SUPPLIERS","RELATIONSHIP_AS_OF_DATE","20090108")</f>
        <v/>
      </c>
      <c r="DB5">
        <f>BDS("1981718D US Equity","SUPPLY_CHAIN_CUSTOMERS","RELATIONSHIP_AS_OF_DATE","20090108")</f>
        <v/>
      </c>
      <c r="DG5">
        <f>BDS("NUE US Equity","SUPPLY_CHAIN_SUPPLIERS","RELATIONSHIP_AS_OF_DATE","20020214")</f>
        <v/>
      </c>
      <c r="DL5">
        <f>BDS("NUE US Equity","SUPPLY_CHAIN_CUSTOMERS","RELATIONSHIP_AS_OF_DATE","20020214")</f>
        <v/>
      </c>
      <c r="DQ5">
        <f>BDS("BRK/A US Equity","SUPPLY_CHAIN_SUPPLIERS","RELATIONSHIP_AS_OF_DATE","20000620")</f>
        <v/>
      </c>
      <c r="DV5">
        <f>BDS("BRK/A US Equity","SUPPLY_CHAIN_CUSTOMERS","RELATIONSHIP_AS_OF_DATE","20000620")</f>
        <v/>
      </c>
      <c r="EA5">
        <f>BDS("IVZ US Equity","SUPPLY_CHAIN_SUPPLIERS","RELATIONSHIP_AS_OF_DATE","20030725")</f>
        <v/>
      </c>
      <c r="EF5">
        <f>BDS("IVZ US Equity","SUPPLY_CHAIN_CUSTOMERS","RELATIONSHIP_AS_OF_DATE","20030725")</f>
        <v/>
      </c>
      <c r="EK5">
        <f>BDS("HYMC US Equity","SUPPLY_CHAIN_SUPPLIERS","RELATIONSHIP_AS_OF_DATE","20200114")</f>
        <v/>
      </c>
      <c r="EP5">
        <f>BDS("HYMC US Equity","SUPPLY_CHAIN_CUSTOMERS","RELATIONSHIP_AS_OF_DATE","20200114")</f>
        <v/>
      </c>
      <c r="EU5">
        <f>BDS("PYXSQ US Equity","SUPPLY_CHAIN_SUPPLIERS","RELATIONSHIP_AS_OF_DATE","20041108")</f>
        <v/>
      </c>
      <c r="EZ5">
        <f>BDS("PYXSQ US Equity","SUPPLY_CHAIN_CUSTOMERS","RELATIONSHIP_AS_OF_DATE","20041108")</f>
        <v/>
      </c>
      <c r="FE5">
        <f>BDS("ROVI US Equity","SUPPLY_CHAIN_SUPPLIERS","RELATIONSHIP_AS_OF_DATE","20160429")</f>
        <v/>
      </c>
      <c r="FJ5">
        <f>BDS("ROVI US Equity","SUPPLY_CHAIN_CUSTOMERS","RELATIONSHIP_AS_OF_DATE","20160429")</f>
        <v/>
      </c>
      <c r="FO5">
        <f>BDS("SOGCQ US Equity","SUPPLY_CHAIN_SUPPLIERS","RELATIONSHIP_AS_OF_DATE","20000710")</f>
        <v/>
      </c>
      <c r="FT5">
        <f>BDS("SOGCQ US Equity","SUPPLY_CHAIN_CUSTOMERS","RELATIONSHIP_AS_OF_DATE","20000710")</f>
        <v/>
      </c>
      <c r="FY5">
        <f>BDS("BZH US Equity","SUPPLY_CHAIN_SUPPLIERS","RELATIONSHIP_AS_OF_DATE","20020130")</f>
        <v/>
      </c>
      <c r="GD5">
        <f>BDS("BZH US Equity","SUPPLY_CHAIN_CUSTOMERS","RELATIONSHIP_AS_OF_DATE","20020130")</f>
        <v/>
      </c>
      <c r="GI5">
        <f>BDS("GD US Equity","SUPPLY_CHAIN_SUPPLIERS","RELATIONSHIP_AS_OF_DATE","20090604")</f>
        <v/>
      </c>
      <c r="GN5">
        <f>BDS("GD US Equity","SUPPLY_CHAIN_CUSTOMERS","RELATIONSHIP_AS_OF_DATE","20090604")</f>
        <v/>
      </c>
      <c r="GS5">
        <f>BDS("IRT US Equity","SUPPLY_CHAIN_SUPPLIERS","RELATIONSHIP_AS_OF_DATE","20150511")</f>
        <v/>
      </c>
      <c r="GX5">
        <f>BDS("IRT US Equity","SUPPLY_CHAIN_CUSTOMERS","RELATIONSHIP_AS_OF_DATE","20150511")</f>
        <v/>
      </c>
      <c r="HC5">
        <f>BDS("ASB US Equity","SUPPLY_CHAIN_SUPPLIERS","RELATIONSHIP_AS_OF_DATE","20040428")</f>
        <v/>
      </c>
      <c r="HH5">
        <f>BDS("ASB US Equity","SUPPLY_CHAIN_CUSTOMERS","RELATIONSHIP_AS_OF_DATE","20040428")</f>
        <v/>
      </c>
      <c r="HM5">
        <f>BDS("SYK US Equity","SUPPLY_CHAIN_SUPPLIERS","RELATIONSHIP_AS_OF_DATE","20171207")</f>
        <v/>
      </c>
      <c r="HR5">
        <f>BDS("SYK US Equity","SUPPLY_CHAIN_CUSTOMERS","RELATIONSHIP_AS_OF_DATE","20171207")</f>
        <v/>
      </c>
      <c r="HW5">
        <f>BDS("ARWLQ US Equity","SUPPLY_CHAIN_SUPPLIERS","RELATIONSHIP_AS_OF_DATE","19980820")</f>
        <v/>
      </c>
      <c r="IB5">
        <f>BDS("ARWLQ US Equity","SUPPLY_CHAIN_CUSTOMERS","RELATIONSHIP_AS_OF_DATE","19980820")</f>
        <v/>
      </c>
      <c r="IG5">
        <f>BDS("VNRSQ US Equity","SUPPLY_CHAIN_SUPPLIERS","RELATIONSHIP_AS_OF_DATE","20150521")</f>
        <v/>
      </c>
      <c r="IL5">
        <f>BDS("VNRSQ US Equity","SUPPLY_CHAIN_CUSTOMERS","RELATIONSHIP_AS_OF_DATE","20150521")</f>
        <v/>
      </c>
      <c r="IQ5">
        <f>BDS("1811934D US Equity","SUPPLY_CHAIN_SUPPLIERS","RELATIONSHIP_AS_OF_DATE","19991208")</f>
        <v/>
      </c>
      <c r="IV5">
        <f>BDS("1811934D US Equity","SUPPLY_CHAIN_CUSTOMERS","RELATIONSHIP_AS_OF_DATE","19991208")</f>
        <v/>
      </c>
      <c r="JA5">
        <f>BDS("BX US Equity","SUPPLY_CHAIN_SUPPLIERS","RELATIONSHIP_AS_OF_DATE","20101004")</f>
        <v/>
      </c>
      <c r="JF5">
        <f>BDS("BX US Equity","SUPPLY_CHAIN_CUSTOMERS","RELATIONSHIP_AS_OF_DATE","20101004")</f>
        <v/>
      </c>
      <c r="JK5">
        <f>BDS("9993232D US Equity","SUPPLY_CHAIN_SUPPLIERS","RELATIONSHIP_AS_OF_DATE","20150818")</f>
        <v/>
      </c>
      <c r="JP5">
        <f>BDS("9993232D US Equity","SUPPLY_CHAIN_CUSTOMERS","RELATIONSHIP_AS_OF_DATE","20150818")</f>
        <v/>
      </c>
      <c r="JU5">
        <f>BDS("ORCL US Equity","SUPPLY_CHAIN_SUPPLIERS","RELATIONSHIP_AS_OF_DATE","20160428")</f>
        <v/>
      </c>
      <c r="JZ5">
        <f>BDS("ORCL US Equity","SUPPLY_CHAIN_CUSTOMERS","RELATIONSHIP_AS_OF_DATE","20160428")</f>
        <v/>
      </c>
      <c r="KE5">
        <f>BDS("VTR US Equity","SUPPLY_CHAIN_SUPPLIERS","RELATIONSHIP_AS_OF_DATE","20050412")</f>
        <v/>
      </c>
      <c r="KJ5">
        <f>BDS("VTR US Equity","SUPPLY_CHAIN_CUSTOMERS","RELATIONSHIP_AS_OF_DATE","20050412")</f>
        <v/>
      </c>
      <c r="KO5">
        <f>BDS("PNP US Equity","SUPPLY_CHAIN_SUPPLIERS","RELATIONSHIP_AS_OF_DATE","20021106")</f>
        <v/>
      </c>
      <c r="KT5">
        <f>BDS("PNP US Equity","SUPPLY_CHAIN_CUSTOMERS","RELATIONSHIP_AS_OF_DATE","20021106")</f>
        <v/>
      </c>
      <c r="KY5">
        <f>BDS("HON US Equity","SUPPLY_CHAIN_SUPPLIERS","RELATIONSHIP_AS_OF_DATE","20121210")</f>
        <v/>
      </c>
      <c r="LD5">
        <f>BDS("HON US Equity","SUPPLY_CHAIN_CUSTOMERS","RELATIONSHIP_AS_OF_DATE","20121210")</f>
        <v/>
      </c>
      <c r="LI5">
        <f>BDS("IBM US Equity","SUPPLY_CHAIN_SUPPLIERS","RELATIONSHIP_AS_OF_DATE","20060803")</f>
        <v/>
      </c>
      <c r="LN5">
        <f>BDS("IBM US Equity","SUPPLY_CHAIN_CUSTOMERS","RELATIONSHIP_AS_OF_DATE","20060803")</f>
        <v/>
      </c>
      <c r="LS5">
        <f>BDS("FBK US Equity","SUPPLY_CHAIN_SUPPLIERS","RELATIONSHIP_AS_OF_DATE","20200121")</f>
        <v/>
      </c>
      <c r="LX5">
        <f>BDS("FBK US Equity","SUPPLY_CHAIN_CUSTOMERS","RELATIONSHIP_AS_OF_DATE","20200121")</f>
        <v/>
      </c>
      <c r="MC5">
        <f>BDS("URS US Equity","SUPPLY_CHAIN_SUPPLIERS","RELATIONSHIP_AS_OF_DATE","19990505")</f>
        <v/>
      </c>
      <c r="MH5">
        <f>BDS("URS US Equity","SUPPLY_CHAIN_CUSTOMERS","RELATIONSHIP_AS_OF_DATE","19990505")</f>
        <v/>
      </c>
      <c r="MM5">
        <f>BDS("NFB US Equity","SUPPLY_CHAIN_SUPPLIERS","RELATIONSHIP_AS_OF_DATE","19990816")</f>
        <v/>
      </c>
      <c r="MR5">
        <f>BDS("NFB US Equity","SUPPLY_CHAIN_CUSTOMERS","RELATIONSHIP_AS_OF_DATE","19990816")</f>
        <v/>
      </c>
      <c r="MW5">
        <f>BDS("INVCORP BI Equity","SUPPLY_CHAIN_SUPPLIERS","RELATIONSHIP_AS_OF_DATE","20050922")</f>
        <v/>
      </c>
      <c r="NB5">
        <f>BDS("INVCORP BI Equity","SUPPLY_CHAIN_CUSTOMERS","RELATIONSHIP_AS_OF_DATE","20050922")</f>
        <v/>
      </c>
      <c r="NG5">
        <f>BDS("URI US Equity","SUPPLY_CHAIN_SUPPLIERS","RELATIONSHIP_AS_OF_DATE","20210416")</f>
        <v/>
      </c>
      <c r="NL5">
        <f>BDS("URI US Equity","SUPPLY_CHAIN_CUSTOMERS","RELATIONSHIP_AS_OF_DATE","20210416")</f>
        <v/>
      </c>
      <c r="NQ5">
        <f>BDS("BBY US Equity","SUPPLY_CHAIN_SUPPLIERS","RELATIONSHIP_AS_OF_DATE","20001207")</f>
        <v/>
      </c>
      <c r="NV5">
        <f>BDS("BBY US Equity","SUPPLY_CHAIN_CUSTOMERS","RELATIONSHIP_AS_OF_DATE","20001207")</f>
        <v/>
      </c>
      <c r="OA5">
        <f>BDS("GE US Equity","SUPPLY_CHAIN_SUPPLIERS","RELATIONSHIP_AS_OF_DATE","20060306")</f>
        <v/>
      </c>
      <c r="OF5">
        <f>BDS("GE US Equity","SUPPLY_CHAIN_CUSTOMERS","RELATIONSHIP_AS_OF_DATE","20060306")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1761</t>
        </is>
      </c>
      <c r="K1" s="1" t="inlineStr">
        <is>
          <t>Deal 1762</t>
        </is>
      </c>
      <c r="U1" s="1" t="inlineStr">
        <is>
          <t>Deal 1763</t>
        </is>
      </c>
      <c r="AE1" s="1" t="inlineStr">
        <is>
          <t>Deal 1764</t>
        </is>
      </c>
      <c r="AO1" s="1" t="inlineStr">
        <is>
          <t>Deal 1765</t>
        </is>
      </c>
      <c r="AY1" s="1" t="inlineStr">
        <is>
          <t>Deal 1766</t>
        </is>
      </c>
      <c r="BI1" s="1" t="inlineStr">
        <is>
          <t>Deal 1767</t>
        </is>
      </c>
      <c r="BS1" s="1" t="inlineStr">
        <is>
          <t>Deal 1768</t>
        </is>
      </c>
      <c r="CC1" s="1" t="inlineStr">
        <is>
          <t>Deal 1769</t>
        </is>
      </c>
      <c r="CM1" s="1" t="inlineStr">
        <is>
          <t>Deal 1770</t>
        </is>
      </c>
      <c r="CW1" s="1" t="inlineStr">
        <is>
          <t>Deal 1771</t>
        </is>
      </c>
      <c r="DG1" s="1" t="inlineStr">
        <is>
          <t>Deal 1772</t>
        </is>
      </c>
      <c r="DQ1" s="1" t="inlineStr">
        <is>
          <t>Deal 1773</t>
        </is>
      </c>
      <c r="EA1" s="1" t="inlineStr">
        <is>
          <t>Deal 1774</t>
        </is>
      </c>
      <c r="EK1" s="1" t="inlineStr">
        <is>
          <t>Deal 1775</t>
        </is>
      </c>
      <c r="EU1" s="1" t="inlineStr">
        <is>
          <t>Deal 1776</t>
        </is>
      </c>
      <c r="FE1" s="1" t="inlineStr">
        <is>
          <t>Deal 1777</t>
        </is>
      </c>
      <c r="FO1" s="1" t="inlineStr">
        <is>
          <t>Deal 1778</t>
        </is>
      </c>
      <c r="FY1" s="1" t="inlineStr">
        <is>
          <t>Deal 1779</t>
        </is>
      </c>
      <c r="GI1" s="1" t="inlineStr">
        <is>
          <t>Deal 1780</t>
        </is>
      </c>
      <c r="GS1" s="1" t="inlineStr">
        <is>
          <t>Deal 1781</t>
        </is>
      </c>
      <c r="HC1" s="1" t="inlineStr">
        <is>
          <t>Deal 1782</t>
        </is>
      </c>
      <c r="HM1" s="1" t="inlineStr">
        <is>
          <t>Deal 1783</t>
        </is>
      </c>
      <c r="HW1" s="1" t="inlineStr">
        <is>
          <t>Deal 1784</t>
        </is>
      </c>
      <c r="IG1" s="1" t="inlineStr">
        <is>
          <t>Deal 1785</t>
        </is>
      </c>
      <c r="IQ1" s="1" t="inlineStr">
        <is>
          <t>Deal 1786</t>
        </is>
      </c>
      <c r="JA1" s="1" t="inlineStr">
        <is>
          <t>Deal 1787</t>
        </is>
      </c>
      <c r="JK1" s="1" t="inlineStr">
        <is>
          <t>Deal 1788</t>
        </is>
      </c>
      <c r="JU1" s="1" t="inlineStr">
        <is>
          <t>Deal 1789</t>
        </is>
      </c>
      <c r="KE1" s="1" t="inlineStr">
        <is>
          <t>Deal 1790</t>
        </is>
      </c>
      <c r="KO1" s="1" t="inlineStr">
        <is>
          <t>Deal 1791</t>
        </is>
      </c>
      <c r="KY1" s="1" t="inlineStr">
        <is>
          <t>Deal 1792</t>
        </is>
      </c>
      <c r="LI1" s="1" t="inlineStr">
        <is>
          <t>Deal 1793</t>
        </is>
      </c>
      <c r="LS1" s="1" t="inlineStr">
        <is>
          <t>Deal 1794</t>
        </is>
      </c>
      <c r="MC1" s="1" t="inlineStr">
        <is>
          <t>Deal 1795</t>
        </is>
      </c>
      <c r="MM1" s="1" t="inlineStr">
        <is>
          <t>Deal 1796</t>
        </is>
      </c>
      <c r="MW1" s="1" t="inlineStr">
        <is>
          <t>Deal 1797</t>
        </is>
      </c>
      <c r="NG1" s="1" t="inlineStr">
        <is>
          <t>Deal 1798</t>
        </is>
      </c>
      <c r="NQ1" s="1" t="inlineStr">
        <is>
          <t>Deal 1799</t>
        </is>
      </c>
      <c r="OA1" s="1" t="inlineStr">
        <is>
          <t>Deal 1800</t>
        </is>
      </c>
    </row>
    <row r="2">
      <c r="A2" s="2" t="inlineStr">
        <is>
          <t>WFC US Equity</t>
        </is>
      </c>
      <c r="K2" s="2" t="inlineStr">
        <is>
          <t>OHI US Equity</t>
        </is>
      </c>
      <c r="U2" s="2" t="inlineStr">
        <is>
          <t>STCN US Equity</t>
        </is>
      </c>
      <c r="AE2" s="2" t="inlineStr">
        <is>
          <t>FDC US Equity</t>
        </is>
      </c>
      <c r="AO2" s="2" t="inlineStr">
        <is>
          <t>NES US Equity</t>
        </is>
      </c>
      <c r="AY2" s="2" t="inlineStr">
        <is>
          <t>COHU US Equity</t>
        </is>
      </c>
      <c r="BI2" s="2" t="inlineStr">
        <is>
          <t>DHR US Equity</t>
        </is>
      </c>
      <c r="BS2" s="2" t="inlineStr">
        <is>
          <t>MATW US Equity</t>
        </is>
      </c>
      <c r="CC2" s="2" t="inlineStr">
        <is>
          <t>WINMQ US Equity</t>
        </is>
      </c>
      <c r="CM2" s="2" t="inlineStr">
        <is>
          <t>RAMP US Equity</t>
        </is>
      </c>
      <c r="CW2" s="2" t="inlineStr">
        <is>
          <t>NFX US Equity</t>
        </is>
      </c>
      <c r="DG2" s="2" t="inlineStr">
        <is>
          <t>AROC US Equity</t>
        </is>
      </c>
      <c r="DQ2" s="2" t="inlineStr">
        <is>
          <t>AGR US Equity</t>
        </is>
      </c>
      <c r="EA2" s="2" t="inlineStr">
        <is>
          <t>SHEN US Equity</t>
        </is>
      </c>
      <c r="EK2" s="2" t="inlineStr">
        <is>
          <t>NAL US Equity</t>
        </is>
      </c>
      <c r="EU2" s="2" t="inlineStr">
        <is>
          <t>FNFG US Equity</t>
        </is>
      </c>
      <c r="FE2" s="2" t="inlineStr">
        <is>
          <t>PSA US Equity</t>
        </is>
      </c>
      <c r="FO2" s="2" t="inlineStr">
        <is>
          <t>IPG US Equity</t>
        </is>
      </c>
      <c r="FY2" s="2" t="inlineStr">
        <is>
          <t>710946Q US Equity</t>
        </is>
      </c>
      <c r="GI2" s="2" t="inlineStr">
        <is>
          <t>TFCFA US Equity</t>
        </is>
      </c>
      <c r="GS2" s="2" t="inlineStr">
        <is>
          <t>BRK/A US Equity</t>
        </is>
      </c>
      <c r="HC2" s="2" t="inlineStr">
        <is>
          <t>SGID US Equity</t>
        </is>
      </c>
      <c r="HM2" s="2" t="inlineStr">
        <is>
          <t>LNG US Equity</t>
        </is>
      </c>
      <c r="HW2" s="2" t="inlineStr">
        <is>
          <t>CRS US Equity</t>
        </is>
      </c>
      <c r="IG2" s="2" t="inlineStr">
        <is>
          <t>AGR US Equity</t>
        </is>
      </c>
      <c r="IQ2" s="2" t="inlineStr">
        <is>
          <t>HBI US Equity</t>
        </is>
      </c>
      <c r="JA2" s="2" t="inlineStr">
        <is>
          <t>NSIT US Equity</t>
        </is>
      </c>
      <c r="JK2" s="2" t="inlineStr">
        <is>
          <t>RDN US Equity</t>
        </is>
      </c>
      <c r="JU2" s="2" t="inlineStr">
        <is>
          <t>MTSI US Equity</t>
        </is>
      </c>
      <c r="KE2" s="2" t="inlineStr">
        <is>
          <t>769050Q US Equity</t>
        </is>
      </c>
      <c r="KO2" s="2" t="inlineStr">
        <is>
          <t>CNSL US Equity</t>
        </is>
      </c>
      <c r="KY2" s="2" t="inlineStr">
        <is>
          <t>nan Equity</t>
        </is>
      </c>
      <c r="LI2" s="2" t="inlineStr">
        <is>
          <t>MS US Equity</t>
        </is>
      </c>
      <c r="LS2" s="2" t="inlineStr">
        <is>
          <t>KEY US Equity</t>
        </is>
      </c>
      <c r="MC2" s="2" t="inlineStr">
        <is>
          <t>EHC US Equity</t>
        </is>
      </c>
      <c r="MM2" s="2" t="inlineStr">
        <is>
          <t>GENZ US Equity</t>
        </is>
      </c>
      <c r="MW2" s="2" t="inlineStr">
        <is>
          <t>RAZF US Equity</t>
        </is>
      </c>
      <c r="NG2" s="2" t="inlineStr">
        <is>
          <t>BGRP US Equity</t>
        </is>
      </c>
      <c r="NQ2" s="2" t="inlineStr">
        <is>
          <t>MAN US Equity</t>
        </is>
      </c>
      <c r="OA2" s="2" t="inlineStr">
        <is>
          <t>CBST US Equity</t>
        </is>
      </c>
    </row>
    <row r="3">
      <c r="A3" t="inlineStr">
        <is>
          <t>Ann: 2003-05-19</t>
        </is>
      </c>
      <c r="K3" t="inlineStr">
        <is>
          <t>Ann: 2019-01-02</t>
        </is>
      </c>
      <c r="U3" t="inlineStr">
        <is>
          <t>Ann: 1999-09-30</t>
        </is>
      </c>
      <c r="AE3" t="inlineStr">
        <is>
          <t>Ann: 2017-05-29</t>
        </is>
      </c>
      <c r="AO3" t="inlineStr">
        <is>
          <t>Ann: 2008-05-20</t>
        </is>
      </c>
      <c r="AY3" t="inlineStr">
        <is>
          <t>Ann: 2018-05-08</t>
        </is>
      </c>
      <c r="BI3" t="inlineStr">
        <is>
          <t>Ann: 1998-04-27</t>
        </is>
      </c>
      <c r="BS3" t="inlineStr">
        <is>
          <t>Ann: 2014-03-17</t>
        </is>
      </c>
      <c r="CC3" t="inlineStr">
        <is>
          <t>Ann: 2007-05-29</t>
        </is>
      </c>
      <c r="CM3" t="inlineStr">
        <is>
          <t>Ann: 1998-05-27</t>
        </is>
      </c>
      <c r="CW3" t="inlineStr">
        <is>
          <t>Ann: 2002-05-29</t>
        </is>
      </c>
      <c r="DG3" t="inlineStr">
        <is>
          <t>Ann: 2018-01-02</t>
        </is>
      </c>
      <c r="DQ3" t="inlineStr">
        <is>
          <t>Ann: 1999-04-23</t>
        </is>
      </c>
      <c r="EA3" t="inlineStr">
        <is>
          <t>Ann: 2015-08-10</t>
        </is>
      </c>
      <c r="EK3" t="inlineStr">
        <is>
          <t>Ann: 2003-07-16</t>
        </is>
      </c>
      <c r="EU3" t="inlineStr">
        <is>
          <t>Ann: 2004-04-02</t>
        </is>
      </c>
      <c r="FE3" t="inlineStr">
        <is>
          <t>Ann: 1998-11-12</t>
        </is>
      </c>
      <c r="FO3" t="inlineStr">
        <is>
          <t>Ann: 1999-12-20</t>
        </is>
      </c>
      <c r="FY3" t="inlineStr">
        <is>
          <t>Ann: 2001-12-18</t>
        </is>
      </c>
      <c r="GI3" t="inlineStr">
        <is>
          <t>Ann: 2005-07-18</t>
        </is>
      </c>
      <c r="GS3" t="inlineStr">
        <is>
          <t>Ann: 2001-07-31</t>
        </is>
      </c>
      <c r="HC3" t="inlineStr">
        <is>
          <t>Ann: 1996-02-26</t>
        </is>
      </c>
      <c r="HM3" t="inlineStr">
        <is>
          <t>Ann: 2018-06-19</t>
        </is>
      </c>
      <c r="HW3" t="inlineStr">
        <is>
          <t>Ann: 2011-06-20</t>
        </is>
      </c>
      <c r="IG3" t="inlineStr">
        <is>
          <t>Ann: 1999-06-30</t>
        </is>
      </c>
      <c r="IQ3" t="inlineStr">
        <is>
          <t>Ann: 2013-07-24</t>
        </is>
      </c>
      <c r="JA3" t="inlineStr">
        <is>
          <t>Ann: 2019-06-24</t>
        </is>
      </c>
      <c r="JK3" t="inlineStr">
        <is>
          <t>Ann: 1998-11-23</t>
        </is>
      </c>
      <c r="JU3" t="inlineStr">
        <is>
          <t>Ann: 2016-11-21</t>
        </is>
      </c>
      <c r="KE3" t="inlineStr">
        <is>
          <t>Ann: 1998-03-09</t>
        </is>
      </c>
      <c r="KO3" t="inlineStr">
        <is>
          <t>Ann: 2012-02-06</t>
        </is>
      </c>
      <c r="KY3" t="inlineStr">
        <is>
          <t>Ann: 2000-07-19</t>
        </is>
      </c>
      <c r="LI3" t="inlineStr">
        <is>
          <t>Ann: 2004-04-06</t>
        </is>
      </c>
      <c r="LS3" t="inlineStr">
        <is>
          <t>Ann: 1998-06-15</t>
        </is>
      </c>
      <c r="MC3" t="inlineStr">
        <is>
          <t>Ann: 1998-05-06</t>
        </is>
      </c>
      <c r="MM3" t="inlineStr">
        <is>
          <t>Ann: 2005-05-04</t>
        </is>
      </c>
      <c r="MW3" t="inlineStr">
        <is>
          <t>Ann: 1999-08-10</t>
        </is>
      </c>
      <c r="NG3" t="inlineStr">
        <is>
          <t>Ann: 2014-09-29</t>
        </is>
      </c>
      <c r="NQ3" t="inlineStr">
        <is>
          <t>Ann: 2003-12-10</t>
        </is>
      </c>
      <c r="OA3" t="inlineStr">
        <is>
          <t>Ann: 2013-07-30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BDS("WFC US Equity","SUPPLY_CHAIN_SUPPLIERS","RELATIONSHIP_AS_OF_DATE","20030519")</f>
        <v/>
      </c>
      <c r="F5">
        <f>BDS("WFC US Equity","SUPPLY_CHAIN_CUSTOMERS","RELATIONSHIP_AS_OF_DATE","20030519")</f>
        <v/>
      </c>
      <c r="K5">
        <f>BDS("OHI US Equity","SUPPLY_CHAIN_SUPPLIERS","RELATIONSHIP_AS_OF_DATE","20190102")</f>
        <v/>
      </c>
      <c r="P5">
        <f>BDS("OHI US Equity","SUPPLY_CHAIN_CUSTOMERS","RELATIONSHIP_AS_OF_DATE","20190102")</f>
        <v/>
      </c>
      <c r="U5">
        <f>BDS("STCN US Equity","SUPPLY_CHAIN_SUPPLIERS","RELATIONSHIP_AS_OF_DATE","19990930")</f>
        <v/>
      </c>
      <c r="Z5">
        <f>BDS("STCN US Equity","SUPPLY_CHAIN_CUSTOMERS","RELATIONSHIP_AS_OF_DATE","19990930")</f>
        <v/>
      </c>
      <c r="AE5">
        <f>BDS("FDC US Equity","SUPPLY_CHAIN_SUPPLIERS","RELATIONSHIP_AS_OF_DATE","20170529")</f>
        <v/>
      </c>
      <c r="AJ5">
        <f>BDS("FDC US Equity","SUPPLY_CHAIN_CUSTOMERS","RELATIONSHIP_AS_OF_DATE","20170529")</f>
        <v/>
      </c>
      <c r="AO5">
        <f>BDS("NES US Equity","SUPPLY_CHAIN_SUPPLIERS","RELATIONSHIP_AS_OF_DATE","20080520")</f>
        <v/>
      </c>
      <c r="AT5">
        <f>BDS("NES US Equity","SUPPLY_CHAIN_CUSTOMERS","RELATIONSHIP_AS_OF_DATE","20080520")</f>
        <v/>
      </c>
      <c r="AY5">
        <f>BDS("COHU US Equity","SUPPLY_CHAIN_SUPPLIERS","RELATIONSHIP_AS_OF_DATE","20180508")</f>
        <v/>
      </c>
      <c r="BD5">
        <f>BDS("COHU US Equity","SUPPLY_CHAIN_CUSTOMERS","RELATIONSHIP_AS_OF_DATE","20180508")</f>
        <v/>
      </c>
      <c r="BI5">
        <f>BDS("DHR US Equity","SUPPLY_CHAIN_SUPPLIERS","RELATIONSHIP_AS_OF_DATE","19980427")</f>
        <v/>
      </c>
      <c r="BN5">
        <f>BDS("DHR US Equity","SUPPLY_CHAIN_CUSTOMERS","RELATIONSHIP_AS_OF_DATE","19980427")</f>
        <v/>
      </c>
      <c r="BS5">
        <f>BDS("MATW US Equity","SUPPLY_CHAIN_SUPPLIERS","RELATIONSHIP_AS_OF_DATE","20140317")</f>
        <v/>
      </c>
      <c r="BX5">
        <f>BDS("MATW US Equity","SUPPLY_CHAIN_CUSTOMERS","RELATIONSHIP_AS_OF_DATE","20140317")</f>
        <v/>
      </c>
      <c r="CC5">
        <f>BDS("WINMQ US Equity","SUPPLY_CHAIN_SUPPLIERS","RELATIONSHIP_AS_OF_DATE","20070529")</f>
        <v/>
      </c>
      <c r="CH5">
        <f>BDS("WINMQ US Equity","SUPPLY_CHAIN_CUSTOMERS","RELATIONSHIP_AS_OF_DATE","20070529")</f>
        <v/>
      </c>
      <c r="CM5">
        <f>BDS("RAMP US Equity","SUPPLY_CHAIN_SUPPLIERS","RELATIONSHIP_AS_OF_DATE","19980527")</f>
        <v/>
      </c>
      <c r="CR5">
        <f>BDS("RAMP US Equity","SUPPLY_CHAIN_CUSTOMERS","RELATIONSHIP_AS_OF_DATE","19980527")</f>
        <v/>
      </c>
      <c r="CW5">
        <f>BDS("NFX US Equity","SUPPLY_CHAIN_SUPPLIERS","RELATIONSHIP_AS_OF_DATE","20020529")</f>
        <v/>
      </c>
      <c r="DB5">
        <f>BDS("NFX US Equity","SUPPLY_CHAIN_CUSTOMERS","RELATIONSHIP_AS_OF_DATE","20020529")</f>
        <v/>
      </c>
      <c r="DG5">
        <f>BDS("AROC US Equity","SUPPLY_CHAIN_SUPPLIERS","RELATIONSHIP_AS_OF_DATE","20180102")</f>
        <v/>
      </c>
      <c r="DL5">
        <f>BDS("AROC US Equity","SUPPLY_CHAIN_CUSTOMERS","RELATIONSHIP_AS_OF_DATE","20180102")</f>
        <v/>
      </c>
      <c r="DQ5">
        <f>BDS("AGR US Equity","SUPPLY_CHAIN_SUPPLIERS","RELATIONSHIP_AS_OF_DATE","19990423")</f>
        <v/>
      </c>
      <c r="DV5">
        <f>BDS("AGR US Equity","SUPPLY_CHAIN_CUSTOMERS","RELATIONSHIP_AS_OF_DATE","19990423")</f>
        <v/>
      </c>
      <c r="EA5">
        <f>BDS("SHEN US Equity","SUPPLY_CHAIN_SUPPLIERS","RELATIONSHIP_AS_OF_DATE","20150810")</f>
        <v/>
      </c>
      <c r="EF5">
        <f>BDS("SHEN US Equity","SUPPLY_CHAIN_CUSTOMERS","RELATIONSHIP_AS_OF_DATE","20150810")</f>
        <v/>
      </c>
      <c r="EK5">
        <f>BDS("NAL US Equity","SUPPLY_CHAIN_SUPPLIERS","RELATIONSHIP_AS_OF_DATE","20030716")</f>
        <v/>
      </c>
      <c r="EP5">
        <f>BDS("NAL US Equity","SUPPLY_CHAIN_CUSTOMERS","RELATIONSHIP_AS_OF_DATE","20030716")</f>
        <v/>
      </c>
      <c r="EU5">
        <f>BDS("FNFG US Equity","SUPPLY_CHAIN_SUPPLIERS","RELATIONSHIP_AS_OF_DATE","20040402")</f>
        <v/>
      </c>
      <c r="EZ5">
        <f>BDS("FNFG US Equity","SUPPLY_CHAIN_CUSTOMERS","RELATIONSHIP_AS_OF_DATE","20040402")</f>
        <v/>
      </c>
      <c r="FE5">
        <f>BDS("PSA US Equity","SUPPLY_CHAIN_SUPPLIERS","RELATIONSHIP_AS_OF_DATE","19981112")</f>
        <v/>
      </c>
      <c r="FJ5">
        <f>BDS("PSA US Equity","SUPPLY_CHAIN_CUSTOMERS","RELATIONSHIP_AS_OF_DATE","19981112")</f>
        <v/>
      </c>
      <c r="FO5">
        <f>BDS("IPG US Equity","SUPPLY_CHAIN_SUPPLIERS","RELATIONSHIP_AS_OF_DATE","19991220")</f>
        <v/>
      </c>
      <c r="FT5">
        <f>BDS("IPG US Equity","SUPPLY_CHAIN_CUSTOMERS","RELATIONSHIP_AS_OF_DATE","19991220")</f>
        <v/>
      </c>
      <c r="FY5">
        <f>BDS("710946Q US Equity","SUPPLY_CHAIN_SUPPLIERS","RELATIONSHIP_AS_OF_DATE","20011218")</f>
        <v/>
      </c>
      <c r="GD5">
        <f>BDS("710946Q US Equity","SUPPLY_CHAIN_CUSTOMERS","RELATIONSHIP_AS_OF_DATE","20011218")</f>
        <v/>
      </c>
      <c r="GI5">
        <f>BDS("TFCFA US Equity","SUPPLY_CHAIN_SUPPLIERS","RELATIONSHIP_AS_OF_DATE","20050718")</f>
        <v/>
      </c>
      <c r="GN5">
        <f>BDS("TFCFA US Equity","SUPPLY_CHAIN_CUSTOMERS","RELATIONSHIP_AS_OF_DATE","20050718")</f>
        <v/>
      </c>
      <c r="GS5">
        <f>BDS("BRK/A US Equity","SUPPLY_CHAIN_SUPPLIERS","RELATIONSHIP_AS_OF_DATE","20010731")</f>
        <v/>
      </c>
      <c r="GX5">
        <f>BDS("BRK/A US Equity","SUPPLY_CHAIN_CUSTOMERS","RELATIONSHIP_AS_OF_DATE","20010731")</f>
        <v/>
      </c>
      <c r="HC5">
        <f>BDS("SGID US Equity","SUPPLY_CHAIN_SUPPLIERS","RELATIONSHIP_AS_OF_DATE","19960226")</f>
        <v/>
      </c>
      <c r="HH5">
        <f>BDS("SGID US Equity","SUPPLY_CHAIN_CUSTOMERS","RELATIONSHIP_AS_OF_DATE","19960226")</f>
        <v/>
      </c>
      <c r="HM5">
        <f>BDS("LNG US Equity","SUPPLY_CHAIN_SUPPLIERS","RELATIONSHIP_AS_OF_DATE","20180619")</f>
        <v/>
      </c>
      <c r="HR5">
        <f>BDS("LNG US Equity","SUPPLY_CHAIN_CUSTOMERS","RELATIONSHIP_AS_OF_DATE","20180619")</f>
        <v/>
      </c>
      <c r="HW5">
        <f>BDS("CRS US Equity","SUPPLY_CHAIN_SUPPLIERS","RELATIONSHIP_AS_OF_DATE","20110620")</f>
        <v/>
      </c>
      <c r="IB5">
        <f>BDS("CRS US Equity","SUPPLY_CHAIN_CUSTOMERS","RELATIONSHIP_AS_OF_DATE","20110620")</f>
        <v/>
      </c>
      <c r="IG5">
        <f>BDS("AGR US Equity","SUPPLY_CHAIN_SUPPLIERS","RELATIONSHIP_AS_OF_DATE","19990630")</f>
        <v/>
      </c>
      <c r="IL5">
        <f>BDS("AGR US Equity","SUPPLY_CHAIN_CUSTOMERS","RELATIONSHIP_AS_OF_DATE","19990630")</f>
        <v/>
      </c>
      <c r="IQ5">
        <f>BDS("HBI US Equity","SUPPLY_CHAIN_SUPPLIERS","RELATIONSHIP_AS_OF_DATE","20130724")</f>
        <v/>
      </c>
      <c r="IV5">
        <f>BDS("HBI US Equity","SUPPLY_CHAIN_CUSTOMERS","RELATIONSHIP_AS_OF_DATE","20130724")</f>
        <v/>
      </c>
      <c r="JA5">
        <f>BDS("NSIT US Equity","SUPPLY_CHAIN_SUPPLIERS","RELATIONSHIP_AS_OF_DATE","20190624")</f>
        <v/>
      </c>
      <c r="JF5">
        <f>BDS("NSIT US Equity","SUPPLY_CHAIN_CUSTOMERS","RELATIONSHIP_AS_OF_DATE","20190624")</f>
        <v/>
      </c>
      <c r="JK5">
        <f>BDS("RDN US Equity","SUPPLY_CHAIN_SUPPLIERS","RELATIONSHIP_AS_OF_DATE","19981123")</f>
        <v/>
      </c>
      <c r="JP5">
        <f>BDS("RDN US Equity","SUPPLY_CHAIN_CUSTOMERS","RELATIONSHIP_AS_OF_DATE","19981123")</f>
        <v/>
      </c>
      <c r="JU5">
        <f>BDS("MTSI US Equity","SUPPLY_CHAIN_SUPPLIERS","RELATIONSHIP_AS_OF_DATE","20161121")</f>
        <v/>
      </c>
      <c r="JZ5">
        <f>BDS("MTSI US Equity","SUPPLY_CHAIN_CUSTOMERS","RELATIONSHIP_AS_OF_DATE","20161121")</f>
        <v/>
      </c>
      <c r="KE5">
        <f>BDS("769050Q US Equity","SUPPLY_CHAIN_SUPPLIERS","RELATIONSHIP_AS_OF_DATE","19980309")</f>
        <v/>
      </c>
      <c r="KJ5">
        <f>BDS("769050Q US Equity","SUPPLY_CHAIN_CUSTOMERS","RELATIONSHIP_AS_OF_DATE","19980309")</f>
        <v/>
      </c>
      <c r="KO5">
        <f>BDS("CNSL US Equity","SUPPLY_CHAIN_SUPPLIERS","RELATIONSHIP_AS_OF_DATE","20120206")</f>
        <v/>
      </c>
      <c r="KT5">
        <f>BDS("CNSL US Equity","SUPPLY_CHAIN_CUSTOMERS","RELATIONSHIP_AS_OF_DATE","20120206")</f>
        <v/>
      </c>
      <c r="KY5">
        <f>BDS("nan Equity","SUPPLY_CHAIN_SUPPLIERS","RELATIONSHIP_AS_OF_DATE","20000719")</f>
        <v/>
      </c>
      <c r="LD5">
        <f>BDS("nan Equity","SUPPLY_CHAIN_CUSTOMERS","RELATIONSHIP_AS_OF_DATE","20000719")</f>
        <v/>
      </c>
      <c r="LI5">
        <f>BDS("MS US Equity","SUPPLY_CHAIN_SUPPLIERS","RELATIONSHIP_AS_OF_DATE","20040406")</f>
        <v/>
      </c>
      <c r="LN5">
        <f>BDS("MS US Equity","SUPPLY_CHAIN_CUSTOMERS","RELATIONSHIP_AS_OF_DATE","20040406")</f>
        <v/>
      </c>
      <c r="LS5">
        <f>BDS("KEY US Equity","SUPPLY_CHAIN_SUPPLIERS","RELATIONSHIP_AS_OF_DATE","19980615")</f>
        <v/>
      </c>
      <c r="LX5">
        <f>BDS("KEY US Equity","SUPPLY_CHAIN_CUSTOMERS","RELATIONSHIP_AS_OF_DATE","19980615")</f>
        <v/>
      </c>
      <c r="MC5">
        <f>BDS("EHC US Equity","SUPPLY_CHAIN_SUPPLIERS","RELATIONSHIP_AS_OF_DATE","19980506")</f>
        <v/>
      </c>
      <c r="MH5">
        <f>BDS("EHC US Equity","SUPPLY_CHAIN_CUSTOMERS","RELATIONSHIP_AS_OF_DATE","19980506")</f>
        <v/>
      </c>
      <c r="MM5">
        <f>BDS("GENZ US Equity","SUPPLY_CHAIN_SUPPLIERS","RELATIONSHIP_AS_OF_DATE","20050504")</f>
        <v/>
      </c>
      <c r="MR5">
        <f>BDS("GENZ US Equity","SUPPLY_CHAIN_CUSTOMERS","RELATIONSHIP_AS_OF_DATE","20050504")</f>
        <v/>
      </c>
      <c r="MW5">
        <f>BDS("RAZF US Equity","SUPPLY_CHAIN_SUPPLIERS","RELATIONSHIP_AS_OF_DATE","19990810")</f>
        <v/>
      </c>
      <c r="NB5">
        <f>BDS("RAZF US Equity","SUPPLY_CHAIN_CUSTOMERS","RELATIONSHIP_AS_OF_DATE","19990810")</f>
        <v/>
      </c>
      <c r="NG5">
        <f>BDS("BGRP US Equity","SUPPLY_CHAIN_SUPPLIERS","RELATIONSHIP_AS_OF_DATE","20140929")</f>
        <v/>
      </c>
      <c r="NL5">
        <f>BDS("BGRP US Equity","SUPPLY_CHAIN_CUSTOMERS","RELATIONSHIP_AS_OF_DATE","20140929")</f>
        <v/>
      </c>
      <c r="NQ5">
        <f>BDS("MAN US Equity","SUPPLY_CHAIN_SUPPLIERS","RELATIONSHIP_AS_OF_DATE","20031210")</f>
        <v/>
      </c>
      <c r="NV5">
        <f>BDS("MAN US Equity","SUPPLY_CHAIN_CUSTOMERS","RELATIONSHIP_AS_OF_DATE","20031210")</f>
        <v/>
      </c>
      <c r="OA5">
        <f>BDS("CBST US Equity","SUPPLY_CHAIN_SUPPLIERS","RELATIONSHIP_AS_OF_DATE","20130730")</f>
        <v/>
      </c>
      <c r="OF5">
        <f>BDS("CBST US Equity","SUPPLY_CHAIN_CUSTOMERS","RELATIONSHIP_AS_OF_DATE","20130730")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1801</t>
        </is>
      </c>
      <c r="K1" s="1" t="inlineStr">
        <is>
          <t>Deal 1802</t>
        </is>
      </c>
      <c r="U1" s="1" t="inlineStr">
        <is>
          <t>Deal 1803</t>
        </is>
      </c>
      <c r="AE1" s="1" t="inlineStr">
        <is>
          <t>Deal 1804</t>
        </is>
      </c>
      <c r="AO1" s="1" t="inlineStr">
        <is>
          <t>Deal 1805</t>
        </is>
      </c>
      <c r="AY1" s="1" t="inlineStr">
        <is>
          <t>Deal 1806</t>
        </is>
      </c>
      <c r="BI1" s="1" t="inlineStr">
        <is>
          <t>Deal 1807</t>
        </is>
      </c>
      <c r="BS1" s="1" t="inlineStr">
        <is>
          <t>Deal 1808</t>
        </is>
      </c>
      <c r="CC1" s="1" t="inlineStr">
        <is>
          <t>Deal 1809</t>
        </is>
      </c>
      <c r="CM1" s="1" t="inlineStr">
        <is>
          <t>Deal 1810</t>
        </is>
      </c>
      <c r="CW1" s="1" t="inlineStr">
        <is>
          <t>Deal 1811</t>
        </is>
      </c>
      <c r="DG1" s="1" t="inlineStr">
        <is>
          <t>Deal 1812</t>
        </is>
      </c>
      <c r="DQ1" s="1" t="inlineStr">
        <is>
          <t>Deal 1813</t>
        </is>
      </c>
      <c r="EA1" s="1" t="inlineStr">
        <is>
          <t>Deal 1814</t>
        </is>
      </c>
      <c r="EK1" s="1" t="inlineStr">
        <is>
          <t>Deal 1815</t>
        </is>
      </c>
      <c r="EU1" s="1" t="inlineStr">
        <is>
          <t>Deal 1816</t>
        </is>
      </c>
      <c r="FE1" s="1" t="inlineStr">
        <is>
          <t>Deal 1817</t>
        </is>
      </c>
      <c r="FO1" s="1" t="inlineStr">
        <is>
          <t>Deal 1818</t>
        </is>
      </c>
      <c r="FY1" s="1" t="inlineStr">
        <is>
          <t>Deal 1819</t>
        </is>
      </c>
      <c r="GI1" s="1" t="inlineStr">
        <is>
          <t>Deal 1820</t>
        </is>
      </c>
      <c r="GS1" s="1" t="inlineStr">
        <is>
          <t>Deal 1821</t>
        </is>
      </c>
      <c r="HC1" s="1" t="inlineStr">
        <is>
          <t>Deal 1822</t>
        </is>
      </c>
      <c r="HM1" s="1" t="inlineStr">
        <is>
          <t>Deal 1823</t>
        </is>
      </c>
      <c r="HW1" s="1" t="inlineStr">
        <is>
          <t>Deal 1824</t>
        </is>
      </c>
      <c r="IG1" s="1" t="inlineStr">
        <is>
          <t>Deal 1825</t>
        </is>
      </c>
      <c r="IQ1" s="1" t="inlineStr">
        <is>
          <t>Deal 1826</t>
        </is>
      </c>
      <c r="JA1" s="1" t="inlineStr">
        <is>
          <t>Deal 1827</t>
        </is>
      </c>
      <c r="JK1" s="1" t="inlineStr">
        <is>
          <t>Deal 1828</t>
        </is>
      </c>
      <c r="JU1" s="1" t="inlineStr">
        <is>
          <t>Deal 1829</t>
        </is>
      </c>
      <c r="KE1" s="1" t="inlineStr">
        <is>
          <t>Deal 1830</t>
        </is>
      </c>
      <c r="KO1" s="1" t="inlineStr">
        <is>
          <t>Deal 1831</t>
        </is>
      </c>
      <c r="KY1" s="1" t="inlineStr">
        <is>
          <t>Deal 1832</t>
        </is>
      </c>
      <c r="LI1" s="1" t="inlineStr">
        <is>
          <t>Deal 1833</t>
        </is>
      </c>
      <c r="LS1" s="1" t="inlineStr">
        <is>
          <t>Deal 1834</t>
        </is>
      </c>
      <c r="MC1" s="1" t="inlineStr">
        <is>
          <t>Deal 1835</t>
        </is>
      </c>
      <c r="MM1" s="1" t="inlineStr">
        <is>
          <t>Deal 1836</t>
        </is>
      </c>
      <c r="MW1" s="1" t="inlineStr">
        <is>
          <t>Deal 1837</t>
        </is>
      </c>
      <c r="NG1" s="1" t="inlineStr">
        <is>
          <t>Deal 1838</t>
        </is>
      </c>
      <c r="NQ1" s="1" t="inlineStr">
        <is>
          <t>Deal 1839</t>
        </is>
      </c>
      <c r="OA1" s="1" t="inlineStr">
        <is>
          <t>Deal 1840</t>
        </is>
      </c>
    </row>
    <row r="2">
      <c r="A2" s="2" t="inlineStr">
        <is>
          <t>HBAN US Equity</t>
        </is>
      </c>
      <c r="K2" s="2" t="inlineStr">
        <is>
          <t>ROCC US Equity</t>
        </is>
      </c>
      <c r="U2" s="2" t="inlineStr">
        <is>
          <t>RDN US Equity</t>
        </is>
      </c>
      <c r="AE2" s="2" t="inlineStr">
        <is>
          <t>3539245Q US Equity</t>
        </is>
      </c>
      <c r="AO2" s="2" t="inlineStr">
        <is>
          <t>NOC US Equity</t>
        </is>
      </c>
      <c r="AY2" s="2" t="inlineStr">
        <is>
          <t>RVTY US Equity</t>
        </is>
      </c>
      <c r="BI2" s="2" t="inlineStr">
        <is>
          <t>MATX US Equity</t>
        </is>
      </c>
      <c r="BS2" s="2" t="inlineStr">
        <is>
          <t>PAET US Equity</t>
        </is>
      </c>
      <c r="CC2" s="2" t="inlineStr">
        <is>
          <t>285939Q US Equity</t>
        </is>
      </c>
      <c r="CM2" s="2" t="inlineStr">
        <is>
          <t>AVT US Equity</t>
        </is>
      </c>
      <c r="CW2" s="2" t="inlineStr">
        <is>
          <t>KEY US Equity</t>
        </is>
      </c>
      <c r="DG2" s="2" t="inlineStr">
        <is>
          <t>PNC US Equity</t>
        </is>
      </c>
      <c r="DQ2" s="2" t="inlineStr">
        <is>
          <t>MTB US Equity</t>
        </is>
      </c>
      <c r="EA2" s="2" t="inlineStr">
        <is>
          <t>JNJ US Equity</t>
        </is>
      </c>
      <c r="EK2" s="2" t="inlineStr">
        <is>
          <t>CSGP US Equity</t>
        </is>
      </c>
      <c r="EU2" s="2" t="inlineStr">
        <is>
          <t>1552309D US Equity</t>
        </is>
      </c>
      <c r="FE2" s="2" t="inlineStr">
        <is>
          <t>BBDC US Equity</t>
        </is>
      </c>
      <c r="FO2" s="2" t="inlineStr">
        <is>
          <t>BRK/A US Equity</t>
        </is>
      </c>
      <c r="FY2" s="2" t="inlineStr">
        <is>
          <t>ANDW US Equity</t>
        </is>
      </c>
      <c r="GI2" s="2" t="inlineStr">
        <is>
          <t>BRL US Equity</t>
        </is>
      </c>
      <c r="GS2" s="2" t="inlineStr">
        <is>
          <t>SFNC US Equity</t>
        </is>
      </c>
      <c r="HC2" s="2" t="inlineStr">
        <is>
          <t>2987536Q US Equity</t>
        </is>
      </c>
      <c r="HM2" s="2" t="inlineStr">
        <is>
          <t>PBCT US Equity</t>
        </is>
      </c>
      <c r="HW2" s="2" t="inlineStr">
        <is>
          <t>HOLX US Equity</t>
        </is>
      </c>
      <c r="IG2" s="2" t="inlineStr">
        <is>
          <t>2213185D US Equity</t>
        </is>
      </c>
      <c r="IQ2" s="2" t="inlineStr">
        <is>
          <t>AKBA US Equity</t>
        </is>
      </c>
      <c r="JA2" s="2" t="inlineStr">
        <is>
          <t>WACGQ US Equity</t>
        </is>
      </c>
      <c r="JK2" s="2" t="inlineStr">
        <is>
          <t>FBIN US Equity</t>
        </is>
      </c>
      <c r="JU2" s="2" t="inlineStr">
        <is>
          <t>MTCH US Equity</t>
        </is>
      </c>
      <c r="KE2" s="2" t="inlineStr">
        <is>
          <t>AGN US Equity</t>
        </is>
      </c>
      <c r="KO2" s="2" t="inlineStr">
        <is>
          <t>HUM US Equity</t>
        </is>
      </c>
      <c r="KY2" s="2" t="inlineStr">
        <is>
          <t>764144Q US Equity</t>
        </is>
      </c>
      <c r="LI2" s="2" t="inlineStr">
        <is>
          <t>ETRN US Equity</t>
        </is>
      </c>
      <c r="LS2" s="2" t="inlineStr">
        <is>
          <t>HYSL US Equity</t>
        </is>
      </c>
      <c r="MC2" s="2" t="inlineStr">
        <is>
          <t>0167866D US Equity</t>
        </is>
      </c>
      <c r="MM2" s="2" t="inlineStr">
        <is>
          <t>1938073D US Equity</t>
        </is>
      </c>
      <c r="MW2" s="2" t="inlineStr">
        <is>
          <t>AGN US Equity</t>
        </is>
      </c>
      <c r="NG2" s="2" t="inlineStr">
        <is>
          <t>SFNC US Equity</t>
        </is>
      </c>
      <c r="NQ2" s="2" t="inlineStr">
        <is>
          <t>KYPH US Equity</t>
        </is>
      </c>
      <c r="OA2" s="2" t="inlineStr">
        <is>
          <t>3691661Q US Equity</t>
        </is>
      </c>
    </row>
    <row r="3">
      <c r="A3" t="inlineStr">
        <is>
          <t>Ann: 2004-01-27</t>
        </is>
      </c>
      <c r="K3" t="inlineStr">
        <is>
          <t>Ann: 2021-07-12</t>
        </is>
      </c>
      <c r="U3" t="inlineStr">
        <is>
          <t>Ann: 2000-11-14</t>
        </is>
      </c>
      <c r="AE3" t="inlineStr">
        <is>
          <t>Ann: 2004-11-22</t>
        </is>
      </c>
      <c r="AO3" t="inlineStr">
        <is>
          <t>Ann: 2006-11-08</t>
        </is>
      </c>
      <c r="AY3" t="inlineStr">
        <is>
          <t>Ann: 2011-09-08</t>
        </is>
      </c>
      <c r="BI3" t="inlineStr">
        <is>
          <t>Ann: 2014-11-11</t>
        </is>
      </c>
      <c r="BS3" t="inlineStr">
        <is>
          <t>Ann: 2007-09-17</t>
        </is>
      </c>
      <c r="CC3" t="inlineStr">
        <is>
          <t>Ann: 1999-06-15</t>
        </is>
      </c>
      <c r="CM3" t="inlineStr">
        <is>
          <t>Ann: 2010-03-29</t>
        </is>
      </c>
      <c r="CW3" t="inlineStr">
        <is>
          <t>Ann: 2007-07-27</t>
        </is>
      </c>
      <c r="DG3" t="inlineStr">
        <is>
          <t>Ann: 2007-07-19</t>
        </is>
      </c>
      <c r="DQ3" t="inlineStr">
        <is>
          <t>Ann: 2007-07-19</t>
        </is>
      </c>
      <c r="EA3" t="inlineStr">
        <is>
          <t>Ann: 1998-07-21</t>
        </is>
      </c>
      <c r="EK3" t="inlineStr">
        <is>
          <t>Ann: 2011-04-27</t>
        </is>
      </c>
      <c r="EU3" t="inlineStr">
        <is>
          <t>Ann: 2003-03-13</t>
        </is>
      </c>
      <c r="FE3" t="inlineStr">
        <is>
          <t>Ann: 2021-09-21</t>
        </is>
      </c>
      <c r="FO3" t="inlineStr">
        <is>
          <t>Ann: 2010-08-26</t>
        </is>
      </c>
      <c r="FY3" t="inlineStr">
        <is>
          <t>Ann: 2003-02-18</t>
        </is>
      </c>
      <c r="GI3" t="inlineStr">
        <is>
          <t>Ann: 2001-06-29</t>
        </is>
      </c>
      <c r="GS3" t="inlineStr">
        <is>
          <t>Ann: 2016-12-14</t>
        </is>
      </c>
      <c r="HC3" t="inlineStr">
        <is>
          <t>Ann: 2000-07-26</t>
        </is>
      </c>
      <c r="HM3" t="inlineStr">
        <is>
          <t>Ann: 2018-06-19</t>
        </is>
      </c>
      <c r="HW3" t="inlineStr">
        <is>
          <t>Ann: 2008-06-09</t>
        </is>
      </c>
      <c r="IG3" t="inlineStr">
        <is>
          <t>Ann: 2007-07-09</t>
        </is>
      </c>
      <c r="IQ3" t="inlineStr">
        <is>
          <t>Ann: 2018-06-28</t>
        </is>
      </c>
      <c r="JA3" t="inlineStr">
        <is>
          <t>Ann: 1999-10-11</t>
        </is>
      </c>
      <c r="JK3" t="inlineStr">
        <is>
          <t>Ann: 2015-03-30</t>
        </is>
      </c>
      <c r="JU3" t="inlineStr">
        <is>
          <t>Ann: 2003-05-05</t>
        </is>
      </c>
      <c r="KE3" t="inlineStr">
        <is>
          <t>Ann: 2016-09-20</t>
        </is>
      </c>
      <c r="KO3" t="inlineStr">
        <is>
          <t>Ann: 2012-11-05</t>
        </is>
      </c>
      <c r="KY3" t="inlineStr">
        <is>
          <t>Ann: 2003-12-10</t>
        </is>
      </c>
      <c r="LI3" t="inlineStr">
        <is>
          <t>Ann: 2018-11-30</t>
        </is>
      </c>
      <c r="LS3" t="inlineStr">
        <is>
          <t>Ann: 1998-05-26</t>
        </is>
      </c>
      <c r="MC3" t="inlineStr">
        <is>
          <t>Ann: 2005-04-04</t>
        </is>
      </c>
      <c r="MM3" t="inlineStr">
        <is>
          <t>Ann: 2000-10-30</t>
        </is>
      </c>
      <c r="MW3" t="inlineStr">
        <is>
          <t>Ann: 2016-09-14</t>
        </is>
      </c>
      <c r="NG3" t="inlineStr">
        <is>
          <t>Ann: 2021-11-19</t>
        </is>
      </c>
      <c r="NQ3" t="inlineStr">
        <is>
          <t>Ann: 2006-12-04</t>
        </is>
      </c>
      <c r="OA3" t="inlineStr">
        <is>
          <t>Ann: 1999-05-06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BDS("HBAN US Equity","SUPPLY_CHAIN_SUPPLIERS","RELATIONSHIP_AS_OF_DATE","20040127")</f>
        <v/>
      </c>
      <c r="F5">
        <f>BDS("HBAN US Equity","SUPPLY_CHAIN_CUSTOMERS","RELATIONSHIP_AS_OF_DATE","20040127")</f>
        <v/>
      </c>
      <c r="K5">
        <f>BDS("ROCC US Equity","SUPPLY_CHAIN_SUPPLIERS","RELATIONSHIP_AS_OF_DATE","20210712")</f>
        <v/>
      </c>
      <c r="P5">
        <f>BDS("ROCC US Equity","SUPPLY_CHAIN_CUSTOMERS","RELATIONSHIP_AS_OF_DATE","20210712")</f>
        <v/>
      </c>
      <c r="U5">
        <f>BDS("RDN US Equity","SUPPLY_CHAIN_SUPPLIERS","RELATIONSHIP_AS_OF_DATE","20001114")</f>
        <v/>
      </c>
      <c r="Z5">
        <f>BDS("RDN US Equity","SUPPLY_CHAIN_CUSTOMERS","RELATIONSHIP_AS_OF_DATE","20001114")</f>
        <v/>
      </c>
      <c r="AE5">
        <f>BDS("3539245Q US Equity","SUPPLY_CHAIN_SUPPLIERS","RELATIONSHIP_AS_OF_DATE","20041122")</f>
        <v/>
      </c>
      <c r="AJ5">
        <f>BDS("3539245Q US Equity","SUPPLY_CHAIN_CUSTOMERS","RELATIONSHIP_AS_OF_DATE","20041122")</f>
        <v/>
      </c>
      <c r="AO5">
        <f>BDS("NOC US Equity","SUPPLY_CHAIN_SUPPLIERS","RELATIONSHIP_AS_OF_DATE","20061108")</f>
        <v/>
      </c>
      <c r="AT5">
        <f>BDS("NOC US Equity","SUPPLY_CHAIN_CUSTOMERS","RELATIONSHIP_AS_OF_DATE","20061108")</f>
        <v/>
      </c>
      <c r="AY5">
        <f>BDS("RVTY US Equity","SUPPLY_CHAIN_SUPPLIERS","RELATIONSHIP_AS_OF_DATE","20110908")</f>
        <v/>
      </c>
      <c r="BD5">
        <f>BDS("RVTY US Equity","SUPPLY_CHAIN_CUSTOMERS","RELATIONSHIP_AS_OF_DATE","20110908")</f>
        <v/>
      </c>
      <c r="BI5">
        <f>BDS("MATX US Equity","SUPPLY_CHAIN_SUPPLIERS","RELATIONSHIP_AS_OF_DATE","20141111")</f>
        <v/>
      </c>
      <c r="BN5">
        <f>BDS("MATX US Equity","SUPPLY_CHAIN_CUSTOMERS","RELATIONSHIP_AS_OF_DATE","20141111")</f>
        <v/>
      </c>
      <c r="BS5">
        <f>BDS("PAET US Equity","SUPPLY_CHAIN_SUPPLIERS","RELATIONSHIP_AS_OF_DATE","20070917")</f>
        <v/>
      </c>
      <c r="BX5">
        <f>BDS("PAET US Equity","SUPPLY_CHAIN_CUSTOMERS","RELATIONSHIP_AS_OF_DATE","20070917")</f>
        <v/>
      </c>
      <c r="CC5">
        <f>BDS("285939Q US Equity","SUPPLY_CHAIN_SUPPLIERS","RELATIONSHIP_AS_OF_DATE","19990615")</f>
        <v/>
      </c>
      <c r="CH5">
        <f>BDS("285939Q US Equity","SUPPLY_CHAIN_CUSTOMERS","RELATIONSHIP_AS_OF_DATE","19990615")</f>
        <v/>
      </c>
      <c r="CM5">
        <f>BDS("AVT US Equity","SUPPLY_CHAIN_SUPPLIERS","RELATIONSHIP_AS_OF_DATE","20100329")</f>
        <v/>
      </c>
      <c r="CR5">
        <f>BDS("AVT US Equity","SUPPLY_CHAIN_CUSTOMERS","RELATIONSHIP_AS_OF_DATE","20100329")</f>
        <v/>
      </c>
      <c r="CW5">
        <f>BDS("KEY US Equity","SUPPLY_CHAIN_SUPPLIERS","RELATIONSHIP_AS_OF_DATE","20070727")</f>
        <v/>
      </c>
      <c r="DB5">
        <f>BDS("KEY US Equity","SUPPLY_CHAIN_CUSTOMERS","RELATIONSHIP_AS_OF_DATE","20070727")</f>
        <v/>
      </c>
      <c r="DG5">
        <f>BDS("PNC US Equity","SUPPLY_CHAIN_SUPPLIERS","RELATIONSHIP_AS_OF_DATE","20070719")</f>
        <v/>
      </c>
      <c r="DL5">
        <f>BDS("PNC US Equity","SUPPLY_CHAIN_CUSTOMERS","RELATIONSHIP_AS_OF_DATE","20070719")</f>
        <v/>
      </c>
      <c r="DQ5">
        <f>BDS("MTB US Equity","SUPPLY_CHAIN_SUPPLIERS","RELATIONSHIP_AS_OF_DATE","20070719")</f>
        <v/>
      </c>
      <c r="DV5">
        <f>BDS("MTB US Equity","SUPPLY_CHAIN_CUSTOMERS","RELATIONSHIP_AS_OF_DATE","20070719")</f>
        <v/>
      </c>
      <c r="EA5">
        <f>BDS("JNJ US Equity","SUPPLY_CHAIN_SUPPLIERS","RELATIONSHIP_AS_OF_DATE","19980721")</f>
        <v/>
      </c>
      <c r="EF5">
        <f>BDS("JNJ US Equity","SUPPLY_CHAIN_CUSTOMERS","RELATIONSHIP_AS_OF_DATE","19980721")</f>
        <v/>
      </c>
      <c r="EK5">
        <f>BDS("CSGP US Equity","SUPPLY_CHAIN_SUPPLIERS","RELATIONSHIP_AS_OF_DATE","20110427")</f>
        <v/>
      </c>
      <c r="EP5">
        <f>BDS("CSGP US Equity","SUPPLY_CHAIN_CUSTOMERS","RELATIONSHIP_AS_OF_DATE","20110427")</f>
        <v/>
      </c>
      <c r="EU5">
        <f>BDS("1552309D US Equity","SUPPLY_CHAIN_SUPPLIERS","RELATIONSHIP_AS_OF_DATE","20030313")</f>
        <v/>
      </c>
      <c r="EZ5">
        <f>BDS("1552309D US Equity","SUPPLY_CHAIN_CUSTOMERS","RELATIONSHIP_AS_OF_DATE","20030313")</f>
        <v/>
      </c>
      <c r="FE5">
        <f>BDS("BBDC US Equity","SUPPLY_CHAIN_SUPPLIERS","RELATIONSHIP_AS_OF_DATE","20210921")</f>
        <v/>
      </c>
      <c r="FJ5">
        <f>BDS("BBDC US Equity","SUPPLY_CHAIN_CUSTOMERS","RELATIONSHIP_AS_OF_DATE","20210921")</f>
        <v/>
      </c>
      <c r="FO5">
        <f>BDS("BRK/A US Equity","SUPPLY_CHAIN_SUPPLIERS","RELATIONSHIP_AS_OF_DATE","20100826")</f>
        <v/>
      </c>
      <c r="FT5">
        <f>BDS("BRK/A US Equity","SUPPLY_CHAIN_CUSTOMERS","RELATIONSHIP_AS_OF_DATE","20100826")</f>
        <v/>
      </c>
      <c r="FY5">
        <f>BDS("ANDW US Equity","SUPPLY_CHAIN_SUPPLIERS","RELATIONSHIP_AS_OF_DATE","20030218")</f>
        <v/>
      </c>
      <c r="GD5">
        <f>BDS("ANDW US Equity","SUPPLY_CHAIN_CUSTOMERS","RELATIONSHIP_AS_OF_DATE","20030218")</f>
        <v/>
      </c>
      <c r="GI5">
        <f>BDS("BRL US Equity","SUPPLY_CHAIN_SUPPLIERS","RELATIONSHIP_AS_OF_DATE","20010629")</f>
        <v/>
      </c>
      <c r="GN5">
        <f>BDS("BRL US Equity","SUPPLY_CHAIN_CUSTOMERS","RELATIONSHIP_AS_OF_DATE","20010629")</f>
        <v/>
      </c>
      <c r="GS5">
        <f>BDS("SFNC US Equity","SUPPLY_CHAIN_SUPPLIERS","RELATIONSHIP_AS_OF_DATE","20161214")</f>
        <v/>
      </c>
      <c r="GX5">
        <f>BDS("SFNC US Equity","SUPPLY_CHAIN_CUSTOMERS","RELATIONSHIP_AS_OF_DATE","20161214")</f>
        <v/>
      </c>
      <c r="HC5">
        <f>BDS("2987536Q US Equity","SUPPLY_CHAIN_SUPPLIERS","RELATIONSHIP_AS_OF_DATE","20000726")</f>
        <v/>
      </c>
      <c r="HH5">
        <f>BDS("2987536Q US Equity","SUPPLY_CHAIN_CUSTOMERS","RELATIONSHIP_AS_OF_DATE","20000726")</f>
        <v/>
      </c>
      <c r="HM5">
        <f>BDS("PBCT US Equity","SUPPLY_CHAIN_SUPPLIERS","RELATIONSHIP_AS_OF_DATE","20180619")</f>
        <v/>
      </c>
      <c r="HR5">
        <f>BDS("PBCT US Equity","SUPPLY_CHAIN_CUSTOMERS","RELATIONSHIP_AS_OF_DATE","20180619")</f>
        <v/>
      </c>
      <c r="HW5">
        <f>BDS("HOLX US Equity","SUPPLY_CHAIN_SUPPLIERS","RELATIONSHIP_AS_OF_DATE","20080609")</f>
        <v/>
      </c>
      <c r="IB5">
        <f>BDS("HOLX US Equity","SUPPLY_CHAIN_CUSTOMERS","RELATIONSHIP_AS_OF_DATE","20080609")</f>
        <v/>
      </c>
      <c r="IG5">
        <f>BDS("2213185D US Equity","SUPPLY_CHAIN_SUPPLIERS","RELATIONSHIP_AS_OF_DATE","20070709")</f>
        <v/>
      </c>
      <c r="IL5">
        <f>BDS("2213185D US Equity","SUPPLY_CHAIN_CUSTOMERS","RELATIONSHIP_AS_OF_DATE","20070709")</f>
        <v/>
      </c>
      <c r="IQ5">
        <f>BDS("AKBA US Equity","SUPPLY_CHAIN_SUPPLIERS","RELATIONSHIP_AS_OF_DATE","20180628")</f>
        <v/>
      </c>
      <c r="IV5">
        <f>BDS("AKBA US Equity","SUPPLY_CHAIN_CUSTOMERS","RELATIONSHIP_AS_OF_DATE","20180628")</f>
        <v/>
      </c>
      <c r="JA5">
        <f>BDS("WACGQ US Equity","SUPPLY_CHAIN_SUPPLIERS","RELATIONSHIP_AS_OF_DATE","19991011")</f>
        <v/>
      </c>
      <c r="JF5">
        <f>BDS("WACGQ US Equity","SUPPLY_CHAIN_CUSTOMERS","RELATIONSHIP_AS_OF_DATE","19991011")</f>
        <v/>
      </c>
      <c r="JK5">
        <f>BDS("FBIN US Equity","SUPPLY_CHAIN_SUPPLIERS","RELATIONSHIP_AS_OF_DATE","20150330")</f>
        <v/>
      </c>
      <c r="JP5">
        <f>BDS("FBIN US Equity","SUPPLY_CHAIN_CUSTOMERS","RELATIONSHIP_AS_OF_DATE","20150330")</f>
        <v/>
      </c>
      <c r="JU5">
        <f>BDS("MTCH US Equity","SUPPLY_CHAIN_SUPPLIERS","RELATIONSHIP_AS_OF_DATE","20030505")</f>
        <v/>
      </c>
      <c r="JZ5">
        <f>BDS("MTCH US Equity","SUPPLY_CHAIN_CUSTOMERS","RELATIONSHIP_AS_OF_DATE","20030505")</f>
        <v/>
      </c>
      <c r="KE5">
        <f>BDS("AGN US Equity","SUPPLY_CHAIN_SUPPLIERS","RELATIONSHIP_AS_OF_DATE","20160920")</f>
        <v/>
      </c>
      <c r="KJ5">
        <f>BDS("AGN US Equity","SUPPLY_CHAIN_CUSTOMERS","RELATIONSHIP_AS_OF_DATE","20160920")</f>
        <v/>
      </c>
      <c r="KO5">
        <f>BDS("HUM US Equity","SUPPLY_CHAIN_SUPPLIERS","RELATIONSHIP_AS_OF_DATE","20121105")</f>
        <v/>
      </c>
      <c r="KT5">
        <f>BDS("HUM US Equity","SUPPLY_CHAIN_CUSTOMERS","RELATIONSHIP_AS_OF_DATE","20121105")</f>
        <v/>
      </c>
      <c r="KY5">
        <f>BDS("764144Q US Equity","SUPPLY_CHAIN_SUPPLIERS","RELATIONSHIP_AS_OF_DATE","20031210")</f>
        <v/>
      </c>
      <c r="LD5">
        <f>BDS("764144Q US Equity","SUPPLY_CHAIN_CUSTOMERS","RELATIONSHIP_AS_OF_DATE","20031210")</f>
        <v/>
      </c>
      <c r="LI5">
        <f>BDS("ETRN US Equity","SUPPLY_CHAIN_SUPPLIERS","RELATIONSHIP_AS_OF_DATE","20181130")</f>
        <v/>
      </c>
      <c r="LN5">
        <f>BDS("ETRN US Equity","SUPPLY_CHAIN_CUSTOMERS","RELATIONSHIP_AS_OF_DATE","20181130")</f>
        <v/>
      </c>
      <c r="LS5">
        <f>BDS("HYSL US Equity","SUPPLY_CHAIN_SUPPLIERS","RELATIONSHIP_AS_OF_DATE","19980526")</f>
        <v/>
      </c>
      <c r="LX5">
        <f>BDS("HYSL US Equity","SUPPLY_CHAIN_CUSTOMERS","RELATIONSHIP_AS_OF_DATE","19980526")</f>
        <v/>
      </c>
      <c r="MC5">
        <f>BDS("0167866D US Equity","SUPPLY_CHAIN_SUPPLIERS","RELATIONSHIP_AS_OF_DATE","20050404")</f>
        <v/>
      </c>
      <c r="MH5">
        <f>BDS("0167866D US Equity","SUPPLY_CHAIN_CUSTOMERS","RELATIONSHIP_AS_OF_DATE","20050404")</f>
        <v/>
      </c>
      <c r="MM5">
        <f>BDS("1938073D US Equity","SUPPLY_CHAIN_SUPPLIERS","RELATIONSHIP_AS_OF_DATE","20001030")</f>
        <v/>
      </c>
      <c r="MR5">
        <f>BDS("1938073D US Equity","SUPPLY_CHAIN_CUSTOMERS","RELATIONSHIP_AS_OF_DATE","20001030")</f>
        <v/>
      </c>
      <c r="MW5">
        <f>BDS("AGN US Equity","SUPPLY_CHAIN_SUPPLIERS","RELATIONSHIP_AS_OF_DATE","20160914")</f>
        <v/>
      </c>
      <c r="NB5">
        <f>BDS("AGN US Equity","SUPPLY_CHAIN_CUSTOMERS","RELATIONSHIP_AS_OF_DATE","20160914")</f>
        <v/>
      </c>
      <c r="NG5">
        <f>BDS("SFNC US Equity","SUPPLY_CHAIN_SUPPLIERS","RELATIONSHIP_AS_OF_DATE","20211119")</f>
        <v/>
      </c>
      <c r="NL5">
        <f>BDS("SFNC US Equity","SUPPLY_CHAIN_CUSTOMERS","RELATIONSHIP_AS_OF_DATE","20211119")</f>
        <v/>
      </c>
      <c r="NQ5">
        <f>BDS("KYPH US Equity","SUPPLY_CHAIN_SUPPLIERS","RELATIONSHIP_AS_OF_DATE","20061204")</f>
        <v/>
      </c>
      <c r="NV5">
        <f>BDS("KYPH US Equity","SUPPLY_CHAIN_CUSTOMERS","RELATIONSHIP_AS_OF_DATE","20061204")</f>
        <v/>
      </c>
      <c r="OA5">
        <f>BDS("3691661Q US Equity","SUPPLY_CHAIN_SUPPLIERS","RELATIONSHIP_AS_OF_DATE","19990506")</f>
        <v/>
      </c>
      <c r="OF5">
        <f>BDS("3691661Q US Equity","SUPPLY_CHAIN_CUSTOMERS","RELATIONSHIP_AS_OF_DATE","19990506")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1841</t>
        </is>
      </c>
      <c r="K1" s="1" t="inlineStr">
        <is>
          <t>Deal 1842</t>
        </is>
      </c>
      <c r="U1" s="1" t="inlineStr">
        <is>
          <t>Deal 1843</t>
        </is>
      </c>
      <c r="AE1" s="1" t="inlineStr">
        <is>
          <t>Deal 1844</t>
        </is>
      </c>
      <c r="AO1" s="1" t="inlineStr">
        <is>
          <t>Deal 1845</t>
        </is>
      </c>
      <c r="AY1" s="1" t="inlineStr">
        <is>
          <t>Deal 1846</t>
        </is>
      </c>
      <c r="BI1" s="1" t="inlineStr">
        <is>
          <t>Deal 1847</t>
        </is>
      </c>
      <c r="BS1" s="1" t="inlineStr">
        <is>
          <t>Deal 1848</t>
        </is>
      </c>
      <c r="CC1" s="1" t="inlineStr">
        <is>
          <t>Deal 1849</t>
        </is>
      </c>
      <c r="CM1" s="1" t="inlineStr">
        <is>
          <t>Deal 1850</t>
        </is>
      </c>
      <c r="CW1" s="1" t="inlineStr">
        <is>
          <t>Deal 1851</t>
        </is>
      </c>
      <c r="DG1" s="1" t="inlineStr">
        <is>
          <t>Deal 1852</t>
        </is>
      </c>
      <c r="DQ1" s="1" t="inlineStr">
        <is>
          <t>Deal 1853</t>
        </is>
      </c>
      <c r="EA1" s="1" t="inlineStr">
        <is>
          <t>Deal 1854</t>
        </is>
      </c>
      <c r="EK1" s="1" t="inlineStr">
        <is>
          <t>Deal 1855</t>
        </is>
      </c>
      <c r="EU1" s="1" t="inlineStr">
        <is>
          <t>Deal 1856</t>
        </is>
      </c>
      <c r="FE1" s="1" t="inlineStr">
        <is>
          <t>Deal 1857</t>
        </is>
      </c>
      <c r="FO1" s="1" t="inlineStr">
        <is>
          <t>Deal 1858</t>
        </is>
      </c>
      <c r="FY1" s="1" t="inlineStr">
        <is>
          <t>Deal 1859</t>
        </is>
      </c>
      <c r="GI1" s="1" t="inlineStr">
        <is>
          <t>Deal 1860</t>
        </is>
      </c>
      <c r="GS1" s="1" t="inlineStr">
        <is>
          <t>Deal 1861</t>
        </is>
      </c>
      <c r="HC1" s="1" t="inlineStr">
        <is>
          <t>Deal 1862</t>
        </is>
      </c>
      <c r="HM1" s="1" t="inlineStr">
        <is>
          <t>Deal 1863</t>
        </is>
      </c>
      <c r="HW1" s="1" t="inlineStr">
        <is>
          <t>Deal 1864</t>
        </is>
      </c>
      <c r="IG1" s="1" t="inlineStr">
        <is>
          <t>Deal 1865</t>
        </is>
      </c>
      <c r="IQ1" s="1" t="inlineStr">
        <is>
          <t>Deal 1866</t>
        </is>
      </c>
      <c r="JA1" s="1" t="inlineStr">
        <is>
          <t>Deal 1867</t>
        </is>
      </c>
      <c r="JK1" s="1" t="inlineStr">
        <is>
          <t>Deal 1868</t>
        </is>
      </c>
      <c r="JU1" s="1" t="inlineStr">
        <is>
          <t>Deal 1869</t>
        </is>
      </c>
      <c r="KE1" s="1" t="inlineStr">
        <is>
          <t>Deal 1870</t>
        </is>
      </c>
      <c r="KO1" s="1" t="inlineStr">
        <is>
          <t>Deal 1871</t>
        </is>
      </c>
      <c r="KY1" s="1" t="inlineStr">
        <is>
          <t>Deal 1872</t>
        </is>
      </c>
      <c r="LI1" s="1" t="inlineStr">
        <is>
          <t>Deal 1873</t>
        </is>
      </c>
      <c r="LS1" s="1" t="inlineStr">
        <is>
          <t>Deal 1874</t>
        </is>
      </c>
      <c r="MC1" s="1" t="inlineStr">
        <is>
          <t>Deal 1875</t>
        </is>
      </c>
      <c r="MM1" s="1" t="inlineStr">
        <is>
          <t>Deal 1876</t>
        </is>
      </c>
      <c r="MW1" s="1" t="inlineStr">
        <is>
          <t>Deal 1877</t>
        </is>
      </c>
      <c r="NG1" s="1" t="inlineStr">
        <is>
          <t>Deal 1878</t>
        </is>
      </c>
      <c r="NQ1" s="1" t="inlineStr">
        <is>
          <t>Deal 1879</t>
        </is>
      </c>
      <c r="OA1" s="1" t="inlineStr">
        <is>
          <t>Deal 1880</t>
        </is>
      </c>
    </row>
    <row r="2">
      <c r="A2" s="2" t="inlineStr">
        <is>
          <t>FIBK US Equity</t>
        </is>
      </c>
      <c r="K2" s="2" t="inlineStr">
        <is>
          <t>MGM US Equity</t>
        </is>
      </c>
      <c r="U2" s="2" t="inlineStr">
        <is>
          <t>SF US Equity</t>
        </is>
      </c>
      <c r="AE2" s="2" t="inlineStr">
        <is>
          <t>1811934D US Equity</t>
        </is>
      </c>
      <c r="AO2" s="2" t="inlineStr">
        <is>
          <t>9980328D US Equity</t>
        </is>
      </c>
      <c r="AY2" s="2" t="inlineStr">
        <is>
          <t>GENZ US Equity</t>
        </is>
      </c>
      <c r="BI2" s="2" t="inlineStr">
        <is>
          <t>UCB US Equity</t>
        </is>
      </c>
      <c r="BS2" s="2" t="inlineStr">
        <is>
          <t>MXO US Equity</t>
        </is>
      </c>
      <c r="CC2" s="2" t="inlineStr">
        <is>
          <t>VECO US Equity</t>
        </is>
      </c>
      <c r="CM2" s="2" t="inlineStr">
        <is>
          <t>VNRSQ US Equity</t>
        </is>
      </c>
      <c r="CW2" s="2" t="inlineStr">
        <is>
          <t>MDRIQ US Equity</t>
        </is>
      </c>
      <c r="DG2" s="2" t="inlineStr">
        <is>
          <t>ACORQ US Equity</t>
        </is>
      </c>
      <c r="DQ2" s="2" t="inlineStr">
        <is>
          <t>2924917Q US Equity</t>
        </is>
      </c>
      <c r="EA2" s="2" t="inlineStr">
        <is>
          <t>VFC US Equity</t>
        </is>
      </c>
      <c r="EK2" s="2" t="inlineStr">
        <is>
          <t>JNJ US Equity</t>
        </is>
      </c>
      <c r="EU2" s="2" t="inlineStr">
        <is>
          <t>MTCH US Equity</t>
        </is>
      </c>
      <c r="FE2" s="2" t="inlineStr">
        <is>
          <t>1608941D US Equity</t>
        </is>
      </c>
      <c r="FO2" s="2" t="inlineStr">
        <is>
          <t>1528159D US Equity</t>
        </is>
      </c>
      <c r="FY2" s="2" t="inlineStr">
        <is>
          <t>QMCO US Equity</t>
        </is>
      </c>
      <c r="GI2" s="2" t="inlineStr">
        <is>
          <t>ACIW US Equity</t>
        </is>
      </c>
      <c r="GS2" s="2" t="inlineStr">
        <is>
          <t>8285461Q US Equity</t>
        </is>
      </c>
      <c r="HC2" s="2" t="inlineStr">
        <is>
          <t>AZA US Equity</t>
        </is>
      </c>
      <c r="HM2" s="2" t="inlineStr">
        <is>
          <t>STL US Equity</t>
        </is>
      </c>
      <c r="HW2" s="2" t="inlineStr">
        <is>
          <t>0700161D US Equity</t>
        </is>
      </c>
      <c r="IG2" s="2" t="inlineStr">
        <is>
          <t>1350017D US Equity</t>
        </is>
      </c>
      <c r="IQ2" s="2" t="inlineStr">
        <is>
          <t>CAR US Equity</t>
        </is>
      </c>
      <c r="JA2" s="2" t="inlineStr">
        <is>
          <t>GMRRQ US Equity</t>
        </is>
      </c>
      <c r="JK2" s="2" t="inlineStr">
        <is>
          <t>ORCL US Equity</t>
        </is>
      </c>
      <c r="JU2" s="2" t="inlineStr">
        <is>
          <t>MDT US Equity</t>
        </is>
      </c>
      <c r="KE2" s="2" t="inlineStr">
        <is>
          <t>EMN US Equity</t>
        </is>
      </c>
      <c r="KO2" s="2" t="inlineStr">
        <is>
          <t>2213185D US Equity</t>
        </is>
      </c>
      <c r="KY2" s="2" t="inlineStr">
        <is>
          <t>GTN US Equity</t>
        </is>
      </c>
      <c r="LI2" s="2" t="inlineStr">
        <is>
          <t>MCLDQ US Equity</t>
        </is>
      </c>
      <c r="LS2" s="2" t="inlineStr">
        <is>
          <t>1004Q US Equity</t>
        </is>
      </c>
      <c r="MC2" s="2" t="inlineStr">
        <is>
          <t>MSFT US Equity</t>
        </is>
      </c>
      <c r="MM2" s="2" t="inlineStr">
        <is>
          <t>WSBC US Equity</t>
        </is>
      </c>
      <c r="MW2" s="2" t="inlineStr">
        <is>
          <t>UPS US Equity</t>
        </is>
      </c>
      <c r="NG2" s="2" t="inlineStr">
        <is>
          <t>IBM US Equity</t>
        </is>
      </c>
      <c r="NQ2" s="2" t="inlineStr">
        <is>
          <t>COLL US Equity</t>
        </is>
      </c>
      <c r="OA2" s="2" t="inlineStr">
        <is>
          <t>ARCH US Equity</t>
        </is>
      </c>
    </row>
    <row r="3">
      <c r="A3" t="inlineStr">
        <is>
          <t>Ann: 2016-11-17</t>
        </is>
      </c>
      <c r="K3" t="inlineStr">
        <is>
          <t>Ann: 1998-11-09</t>
        </is>
      </c>
      <c r="U3" t="inlineStr">
        <is>
          <t>Ann: 2012-11-05</t>
        </is>
      </c>
      <c r="AE3" t="inlineStr">
        <is>
          <t>Ann: 2013-06-06</t>
        </is>
      </c>
      <c r="AO3" t="inlineStr">
        <is>
          <t>Ann: 2002-11-11</t>
        </is>
      </c>
      <c r="AY3" t="inlineStr">
        <is>
          <t>Ann: 2003-08-04</t>
        </is>
      </c>
      <c r="BI3" t="inlineStr">
        <is>
          <t>Ann: 2021-07-14</t>
        </is>
      </c>
      <c r="BS3" t="inlineStr">
        <is>
          <t>Ann: 2000-10-04</t>
        </is>
      </c>
      <c r="CC3" t="inlineStr">
        <is>
          <t>Ann: 2017-02-02</t>
        </is>
      </c>
      <c r="CM3" t="inlineStr">
        <is>
          <t>Ann: 2015-04-20</t>
        </is>
      </c>
      <c r="CW3" t="inlineStr">
        <is>
          <t>Ann: 1999-05-07</t>
        </is>
      </c>
      <c r="DG3" t="inlineStr">
        <is>
          <t>Ann: 2014-09-24</t>
        </is>
      </c>
      <c r="DQ3" t="inlineStr">
        <is>
          <t>Ann: 2000-05-15</t>
        </is>
      </c>
      <c r="EA3" t="inlineStr">
        <is>
          <t>Ann: 2003-07-07</t>
        </is>
      </c>
      <c r="EK3" t="inlineStr">
        <is>
          <t>Ann: 2005-12-16</t>
        </is>
      </c>
      <c r="EU3" t="inlineStr">
        <is>
          <t>Ann: 2017-05-01</t>
        </is>
      </c>
      <c r="FE3" t="inlineStr">
        <is>
          <t>Ann: 2001-08-22</t>
        </is>
      </c>
      <c r="FO3" t="inlineStr">
        <is>
          <t>Ann: 2000-08-28</t>
        </is>
      </c>
      <c r="FY3" t="inlineStr">
        <is>
          <t>Ann: 2006-05-02</t>
        </is>
      </c>
      <c r="GI3" t="inlineStr">
        <is>
          <t>Ann: 2011-07-26</t>
        </is>
      </c>
      <c r="GS3" t="inlineStr">
        <is>
          <t>Ann: 2000-07-03</t>
        </is>
      </c>
      <c r="HC3" t="inlineStr">
        <is>
          <t>Ann: 1998-10-05</t>
        </is>
      </c>
      <c r="HM3" t="inlineStr">
        <is>
          <t>Ann: 2014-11-05</t>
        </is>
      </c>
      <c r="HW3" t="inlineStr">
        <is>
          <t>Ann: 1999-03-25</t>
        </is>
      </c>
      <c r="IG3" t="inlineStr">
        <is>
          <t>Ann: 2015-06-22</t>
        </is>
      </c>
      <c r="IQ3" t="inlineStr">
        <is>
          <t>Ann: 2013-01-02</t>
        </is>
      </c>
      <c r="JA3" t="inlineStr">
        <is>
          <t>Ann: 2008-08-06</t>
        </is>
      </c>
      <c r="JK3" t="inlineStr">
        <is>
          <t>Ann: 2016-05-02</t>
        </is>
      </c>
      <c r="JU3" t="inlineStr">
        <is>
          <t>Ann: 1998-06-29</t>
        </is>
      </c>
      <c r="KE3" t="inlineStr">
        <is>
          <t>Ann: 1999-04-28</t>
        </is>
      </c>
      <c r="KO3" t="inlineStr">
        <is>
          <t>Ann: 2002-06-17</t>
        </is>
      </c>
      <c r="KY3" t="inlineStr">
        <is>
          <t>Ann: 2002-06-10</t>
        </is>
      </c>
      <c r="LI3" t="inlineStr">
        <is>
          <t>Ann: 2000-10-03</t>
        </is>
      </c>
      <c r="LS3" t="inlineStr">
        <is>
          <t>Ann: 1998-03-26</t>
        </is>
      </c>
      <c r="MC3" t="inlineStr">
        <is>
          <t>Ann: 2008-02-11</t>
        </is>
      </c>
      <c r="MM3" t="inlineStr">
        <is>
          <t>Ann: 2019-07-23</t>
        </is>
      </c>
      <c r="MW3" t="inlineStr">
        <is>
          <t>Ann: 2001-01-10</t>
        </is>
      </c>
      <c r="NG3" t="inlineStr">
        <is>
          <t>Ann: 2011-12-08</t>
        </is>
      </c>
      <c r="NQ3" t="inlineStr">
        <is>
          <t>Ann: 2022-02-14</t>
        </is>
      </c>
      <c r="OA3" t="inlineStr">
        <is>
          <t>Ann: 1997-01-27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BDS("FIBK US Equity","SUPPLY_CHAIN_SUPPLIERS","RELATIONSHIP_AS_OF_DATE","20161117")</f>
        <v/>
      </c>
      <c r="F5">
        <f>BDS("FIBK US Equity","SUPPLY_CHAIN_CUSTOMERS","RELATIONSHIP_AS_OF_DATE","20161117")</f>
        <v/>
      </c>
      <c r="K5">
        <f>BDS("MGM US Equity","SUPPLY_CHAIN_SUPPLIERS","RELATIONSHIP_AS_OF_DATE","19981109")</f>
        <v/>
      </c>
      <c r="P5">
        <f>BDS("MGM US Equity","SUPPLY_CHAIN_CUSTOMERS","RELATIONSHIP_AS_OF_DATE","19981109")</f>
        <v/>
      </c>
      <c r="U5">
        <f>BDS("SF US Equity","SUPPLY_CHAIN_SUPPLIERS","RELATIONSHIP_AS_OF_DATE","20121105")</f>
        <v/>
      </c>
      <c r="Z5">
        <f>BDS("SF US Equity","SUPPLY_CHAIN_CUSTOMERS","RELATIONSHIP_AS_OF_DATE","20121105")</f>
        <v/>
      </c>
      <c r="AE5">
        <f>BDS("1811934D US Equity","SUPPLY_CHAIN_SUPPLIERS","RELATIONSHIP_AS_OF_DATE","20130606")</f>
        <v/>
      </c>
      <c r="AJ5">
        <f>BDS("1811934D US Equity","SUPPLY_CHAIN_CUSTOMERS","RELATIONSHIP_AS_OF_DATE","20130606")</f>
        <v/>
      </c>
      <c r="AO5">
        <f>BDS("9980328D US Equity","SUPPLY_CHAIN_SUPPLIERS","RELATIONSHIP_AS_OF_DATE","20021111")</f>
        <v/>
      </c>
      <c r="AT5">
        <f>BDS("9980328D US Equity","SUPPLY_CHAIN_CUSTOMERS","RELATIONSHIP_AS_OF_DATE","20021111")</f>
        <v/>
      </c>
      <c r="AY5">
        <f>BDS("GENZ US Equity","SUPPLY_CHAIN_SUPPLIERS","RELATIONSHIP_AS_OF_DATE","20030804")</f>
        <v/>
      </c>
      <c r="BD5">
        <f>BDS("GENZ US Equity","SUPPLY_CHAIN_CUSTOMERS","RELATIONSHIP_AS_OF_DATE","20030804")</f>
        <v/>
      </c>
      <c r="BI5">
        <f>BDS("UCB US Equity","SUPPLY_CHAIN_SUPPLIERS","RELATIONSHIP_AS_OF_DATE","20210714")</f>
        <v/>
      </c>
      <c r="BN5">
        <f>BDS("UCB US Equity","SUPPLY_CHAIN_CUSTOMERS","RELATIONSHIP_AS_OF_DATE","20210714")</f>
        <v/>
      </c>
      <c r="BS5">
        <f>BDS("MXO US Equity","SUPPLY_CHAIN_SUPPLIERS","RELATIONSHIP_AS_OF_DATE","20001004")</f>
        <v/>
      </c>
      <c r="BX5">
        <f>BDS("MXO US Equity","SUPPLY_CHAIN_CUSTOMERS","RELATIONSHIP_AS_OF_DATE","20001004")</f>
        <v/>
      </c>
      <c r="CC5">
        <f>BDS("VECO US Equity","SUPPLY_CHAIN_SUPPLIERS","RELATIONSHIP_AS_OF_DATE","20170202")</f>
        <v/>
      </c>
      <c r="CH5">
        <f>BDS("VECO US Equity","SUPPLY_CHAIN_CUSTOMERS","RELATIONSHIP_AS_OF_DATE","20170202")</f>
        <v/>
      </c>
      <c r="CM5">
        <f>BDS("VNRSQ US Equity","SUPPLY_CHAIN_SUPPLIERS","RELATIONSHIP_AS_OF_DATE","20150420")</f>
        <v/>
      </c>
      <c r="CR5">
        <f>BDS("VNRSQ US Equity","SUPPLY_CHAIN_CUSTOMERS","RELATIONSHIP_AS_OF_DATE","20150420")</f>
        <v/>
      </c>
      <c r="CW5">
        <f>BDS("MDRIQ US Equity","SUPPLY_CHAIN_SUPPLIERS","RELATIONSHIP_AS_OF_DATE","19990507")</f>
        <v/>
      </c>
      <c r="DB5">
        <f>BDS("MDRIQ US Equity","SUPPLY_CHAIN_CUSTOMERS","RELATIONSHIP_AS_OF_DATE","19990507")</f>
        <v/>
      </c>
      <c r="DG5">
        <f>BDS("ACORQ US Equity","SUPPLY_CHAIN_SUPPLIERS","RELATIONSHIP_AS_OF_DATE","20140924")</f>
        <v/>
      </c>
      <c r="DL5">
        <f>BDS("ACORQ US Equity","SUPPLY_CHAIN_CUSTOMERS","RELATIONSHIP_AS_OF_DATE","20140924")</f>
        <v/>
      </c>
      <c r="DQ5">
        <f>BDS("2924917Q US Equity","SUPPLY_CHAIN_SUPPLIERS","RELATIONSHIP_AS_OF_DATE","20000515")</f>
        <v/>
      </c>
      <c r="DV5">
        <f>BDS("2924917Q US Equity","SUPPLY_CHAIN_CUSTOMERS","RELATIONSHIP_AS_OF_DATE","20000515")</f>
        <v/>
      </c>
      <c r="EA5">
        <f>BDS("VFC US Equity","SUPPLY_CHAIN_SUPPLIERS","RELATIONSHIP_AS_OF_DATE","20030707")</f>
        <v/>
      </c>
      <c r="EF5">
        <f>BDS("VFC US Equity","SUPPLY_CHAIN_CUSTOMERS","RELATIONSHIP_AS_OF_DATE","20030707")</f>
        <v/>
      </c>
      <c r="EK5">
        <f>BDS("JNJ US Equity","SUPPLY_CHAIN_SUPPLIERS","RELATIONSHIP_AS_OF_DATE","20051216")</f>
        <v/>
      </c>
      <c r="EP5">
        <f>BDS("JNJ US Equity","SUPPLY_CHAIN_CUSTOMERS","RELATIONSHIP_AS_OF_DATE","20051216")</f>
        <v/>
      </c>
      <c r="EU5">
        <f>BDS("MTCH US Equity","SUPPLY_CHAIN_SUPPLIERS","RELATIONSHIP_AS_OF_DATE","20170501")</f>
        <v/>
      </c>
      <c r="EZ5">
        <f>BDS("MTCH US Equity","SUPPLY_CHAIN_CUSTOMERS","RELATIONSHIP_AS_OF_DATE","20170501")</f>
        <v/>
      </c>
      <c r="FE5">
        <f>BDS("1608941D US Equity","SUPPLY_CHAIN_SUPPLIERS","RELATIONSHIP_AS_OF_DATE","20010822")</f>
        <v/>
      </c>
      <c r="FJ5">
        <f>BDS("1608941D US Equity","SUPPLY_CHAIN_CUSTOMERS","RELATIONSHIP_AS_OF_DATE","20010822")</f>
        <v/>
      </c>
      <c r="FO5">
        <f>BDS("1528159D US Equity","SUPPLY_CHAIN_SUPPLIERS","RELATIONSHIP_AS_OF_DATE","20000828")</f>
        <v/>
      </c>
      <c r="FT5">
        <f>BDS("1528159D US Equity","SUPPLY_CHAIN_CUSTOMERS","RELATIONSHIP_AS_OF_DATE","20000828")</f>
        <v/>
      </c>
      <c r="FY5">
        <f>BDS("QMCO US Equity","SUPPLY_CHAIN_SUPPLIERS","RELATIONSHIP_AS_OF_DATE","20060502")</f>
        <v/>
      </c>
      <c r="GD5">
        <f>BDS("QMCO US Equity","SUPPLY_CHAIN_CUSTOMERS","RELATIONSHIP_AS_OF_DATE","20060502")</f>
        <v/>
      </c>
      <c r="GI5">
        <f>BDS("ACIW US Equity","SUPPLY_CHAIN_SUPPLIERS","RELATIONSHIP_AS_OF_DATE","20110726")</f>
        <v/>
      </c>
      <c r="GN5">
        <f>BDS("ACIW US Equity","SUPPLY_CHAIN_CUSTOMERS","RELATIONSHIP_AS_OF_DATE","20110726")</f>
        <v/>
      </c>
      <c r="GS5">
        <f>BDS("8285461Q US Equity","SUPPLY_CHAIN_SUPPLIERS","RELATIONSHIP_AS_OF_DATE","20000703")</f>
        <v/>
      </c>
      <c r="GX5">
        <f>BDS("8285461Q US Equity","SUPPLY_CHAIN_CUSTOMERS","RELATIONSHIP_AS_OF_DATE","20000703")</f>
        <v/>
      </c>
      <c r="HC5">
        <f>BDS("AZA US Equity","SUPPLY_CHAIN_SUPPLIERS","RELATIONSHIP_AS_OF_DATE","19981005")</f>
        <v/>
      </c>
      <c r="HH5">
        <f>BDS("AZA US Equity","SUPPLY_CHAIN_CUSTOMERS","RELATIONSHIP_AS_OF_DATE","19981005")</f>
        <v/>
      </c>
      <c r="HM5">
        <f>BDS("STL US Equity","SUPPLY_CHAIN_SUPPLIERS","RELATIONSHIP_AS_OF_DATE","20141105")</f>
        <v/>
      </c>
      <c r="HR5">
        <f>BDS("STL US Equity","SUPPLY_CHAIN_CUSTOMERS","RELATIONSHIP_AS_OF_DATE","20141105")</f>
        <v/>
      </c>
      <c r="HW5">
        <f>BDS("0700161D US Equity","SUPPLY_CHAIN_SUPPLIERS","RELATIONSHIP_AS_OF_DATE","19990325")</f>
        <v/>
      </c>
      <c r="IB5">
        <f>BDS("0700161D US Equity","SUPPLY_CHAIN_CUSTOMERS","RELATIONSHIP_AS_OF_DATE","19990325")</f>
        <v/>
      </c>
      <c r="IG5">
        <f>BDS("1350017D US Equity","SUPPLY_CHAIN_SUPPLIERS","RELATIONSHIP_AS_OF_DATE","20150622")</f>
        <v/>
      </c>
      <c r="IL5">
        <f>BDS("1350017D US Equity","SUPPLY_CHAIN_CUSTOMERS","RELATIONSHIP_AS_OF_DATE","20150622")</f>
        <v/>
      </c>
      <c r="IQ5">
        <f>BDS("CAR US Equity","SUPPLY_CHAIN_SUPPLIERS","RELATIONSHIP_AS_OF_DATE","20130102")</f>
        <v/>
      </c>
      <c r="IV5">
        <f>BDS("CAR US Equity","SUPPLY_CHAIN_CUSTOMERS","RELATIONSHIP_AS_OF_DATE","20130102")</f>
        <v/>
      </c>
      <c r="JA5">
        <f>BDS("GMRRQ US Equity","SUPPLY_CHAIN_SUPPLIERS","RELATIONSHIP_AS_OF_DATE","20080806")</f>
        <v/>
      </c>
      <c r="JF5">
        <f>BDS("GMRRQ US Equity","SUPPLY_CHAIN_CUSTOMERS","RELATIONSHIP_AS_OF_DATE","20080806")</f>
        <v/>
      </c>
      <c r="JK5">
        <f>BDS("ORCL US Equity","SUPPLY_CHAIN_SUPPLIERS","RELATIONSHIP_AS_OF_DATE","20160502")</f>
        <v/>
      </c>
      <c r="JP5">
        <f>BDS("ORCL US Equity","SUPPLY_CHAIN_CUSTOMERS","RELATIONSHIP_AS_OF_DATE","20160502")</f>
        <v/>
      </c>
      <c r="JU5">
        <f>BDS("MDT US Equity","SUPPLY_CHAIN_SUPPLIERS","RELATIONSHIP_AS_OF_DATE","19980629")</f>
        <v/>
      </c>
      <c r="JZ5">
        <f>BDS("MDT US Equity","SUPPLY_CHAIN_CUSTOMERS","RELATIONSHIP_AS_OF_DATE","19980629")</f>
        <v/>
      </c>
      <c r="KE5">
        <f>BDS("EMN US Equity","SUPPLY_CHAIN_SUPPLIERS","RELATIONSHIP_AS_OF_DATE","19990428")</f>
        <v/>
      </c>
      <c r="KJ5">
        <f>BDS("EMN US Equity","SUPPLY_CHAIN_CUSTOMERS","RELATIONSHIP_AS_OF_DATE","19990428")</f>
        <v/>
      </c>
      <c r="KO5">
        <f>BDS("2213185D US Equity","SUPPLY_CHAIN_SUPPLIERS","RELATIONSHIP_AS_OF_DATE","20020617")</f>
        <v/>
      </c>
      <c r="KT5">
        <f>BDS("2213185D US Equity","SUPPLY_CHAIN_CUSTOMERS","RELATIONSHIP_AS_OF_DATE","20020617")</f>
        <v/>
      </c>
      <c r="KY5">
        <f>BDS("GTN US Equity","SUPPLY_CHAIN_SUPPLIERS","RELATIONSHIP_AS_OF_DATE","20020610")</f>
        <v/>
      </c>
      <c r="LD5">
        <f>BDS("GTN US Equity","SUPPLY_CHAIN_CUSTOMERS","RELATIONSHIP_AS_OF_DATE","20020610")</f>
        <v/>
      </c>
      <c r="LI5">
        <f>BDS("MCLDQ US Equity","SUPPLY_CHAIN_SUPPLIERS","RELATIONSHIP_AS_OF_DATE","20001003")</f>
        <v/>
      </c>
      <c r="LN5">
        <f>BDS("MCLDQ US Equity","SUPPLY_CHAIN_CUSTOMERS","RELATIONSHIP_AS_OF_DATE","20001003")</f>
        <v/>
      </c>
      <c r="LS5">
        <f>BDS("1004Q US Equity","SUPPLY_CHAIN_SUPPLIERS","RELATIONSHIP_AS_OF_DATE","19980326")</f>
        <v/>
      </c>
      <c r="LX5">
        <f>BDS("1004Q US Equity","SUPPLY_CHAIN_CUSTOMERS","RELATIONSHIP_AS_OF_DATE","19980326")</f>
        <v/>
      </c>
      <c r="MC5">
        <f>BDS("MSFT US Equity","SUPPLY_CHAIN_SUPPLIERS","RELATIONSHIP_AS_OF_DATE","20080211")</f>
        <v/>
      </c>
      <c r="MH5">
        <f>BDS("MSFT US Equity","SUPPLY_CHAIN_CUSTOMERS","RELATIONSHIP_AS_OF_DATE","20080211")</f>
        <v/>
      </c>
      <c r="MM5">
        <f>BDS("WSBC US Equity","SUPPLY_CHAIN_SUPPLIERS","RELATIONSHIP_AS_OF_DATE","20190723")</f>
        <v/>
      </c>
      <c r="MR5">
        <f>BDS("WSBC US Equity","SUPPLY_CHAIN_CUSTOMERS","RELATIONSHIP_AS_OF_DATE","20190723")</f>
        <v/>
      </c>
      <c r="MW5">
        <f>BDS("UPS US Equity","SUPPLY_CHAIN_SUPPLIERS","RELATIONSHIP_AS_OF_DATE","20010110")</f>
        <v/>
      </c>
      <c r="NB5">
        <f>BDS("UPS US Equity","SUPPLY_CHAIN_CUSTOMERS","RELATIONSHIP_AS_OF_DATE","20010110")</f>
        <v/>
      </c>
      <c r="NG5">
        <f>BDS("IBM US Equity","SUPPLY_CHAIN_SUPPLIERS","RELATIONSHIP_AS_OF_DATE","20111208")</f>
        <v/>
      </c>
      <c r="NL5">
        <f>BDS("IBM US Equity","SUPPLY_CHAIN_CUSTOMERS","RELATIONSHIP_AS_OF_DATE","20111208")</f>
        <v/>
      </c>
      <c r="NQ5">
        <f>BDS("COLL US Equity","SUPPLY_CHAIN_SUPPLIERS","RELATIONSHIP_AS_OF_DATE","20220214")</f>
        <v/>
      </c>
      <c r="NV5">
        <f>BDS("COLL US Equity","SUPPLY_CHAIN_CUSTOMERS","RELATIONSHIP_AS_OF_DATE","20220214")</f>
        <v/>
      </c>
      <c r="OA5">
        <f>BDS("ARCH US Equity","SUPPLY_CHAIN_SUPPLIERS","RELATIONSHIP_AS_OF_DATE","19970127")</f>
        <v/>
      </c>
      <c r="OF5">
        <f>BDS("ARCH US Equity","SUPPLY_CHAIN_CUSTOMERS","RELATIONSHIP_AS_OF_DATE","19970127")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1881</t>
        </is>
      </c>
      <c r="K1" s="1" t="inlineStr">
        <is>
          <t>Deal 1882</t>
        </is>
      </c>
      <c r="U1" s="1" t="inlineStr">
        <is>
          <t>Deal 1883</t>
        </is>
      </c>
      <c r="AE1" s="1" t="inlineStr">
        <is>
          <t>Deal 1884</t>
        </is>
      </c>
      <c r="AO1" s="1" t="inlineStr">
        <is>
          <t>Deal 1885</t>
        </is>
      </c>
      <c r="AY1" s="1" t="inlineStr">
        <is>
          <t>Deal 1886</t>
        </is>
      </c>
      <c r="BI1" s="1" t="inlineStr">
        <is>
          <t>Deal 1887</t>
        </is>
      </c>
      <c r="BS1" s="1" t="inlineStr">
        <is>
          <t>Deal 1888</t>
        </is>
      </c>
      <c r="CC1" s="1" t="inlineStr">
        <is>
          <t>Deal 1889</t>
        </is>
      </c>
      <c r="CM1" s="1" t="inlineStr">
        <is>
          <t>Deal 1890</t>
        </is>
      </c>
      <c r="CW1" s="1" t="inlineStr">
        <is>
          <t>Deal 1891</t>
        </is>
      </c>
      <c r="DG1" s="1" t="inlineStr">
        <is>
          <t>Deal 1892</t>
        </is>
      </c>
      <c r="DQ1" s="1" t="inlineStr">
        <is>
          <t>Deal 1893</t>
        </is>
      </c>
      <c r="EA1" s="1" t="inlineStr">
        <is>
          <t>Deal 1894</t>
        </is>
      </c>
      <c r="EK1" s="1" t="inlineStr">
        <is>
          <t>Deal 1895</t>
        </is>
      </c>
      <c r="EU1" s="1" t="inlineStr">
        <is>
          <t>Deal 1896</t>
        </is>
      </c>
      <c r="FE1" s="1" t="inlineStr">
        <is>
          <t>Deal 1897</t>
        </is>
      </c>
      <c r="FO1" s="1" t="inlineStr">
        <is>
          <t>Deal 1898</t>
        </is>
      </c>
      <c r="FY1" s="1" t="inlineStr">
        <is>
          <t>Deal 1899</t>
        </is>
      </c>
      <c r="GI1" s="1" t="inlineStr">
        <is>
          <t>Deal 1900</t>
        </is>
      </c>
      <c r="GS1" s="1" t="inlineStr">
        <is>
          <t>Deal 1901</t>
        </is>
      </c>
      <c r="HC1" s="1" t="inlineStr">
        <is>
          <t>Deal 1902</t>
        </is>
      </c>
      <c r="HM1" s="1" t="inlineStr">
        <is>
          <t>Deal 1903</t>
        </is>
      </c>
      <c r="HW1" s="1" t="inlineStr">
        <is>
          <t>Deal 1904</t>
        </is>
      </c>
      <c r="IG1" s="1" t="inlineStr">
        <is>
          <t>Deal 1905</t>
        </is>
      </c>
      <c r="IQ1" s="1" t="inlineStr">
        <is>
          <t>Deal 1906</t>
        </is>
      </c>
      <c r="JA1" s="1" t="inlineStr">
        <is>
          <t>Deal 1907</t>
        </is>
      </c>
      <c r="JK1" s="1" t="inlineStr">
        <is>
          <t>Deal 1908</t>
        </is>
      </c>
      <c r="JU1" s="1" t="inlineStr">
        <is>
          <t>Deal 1909</t>
        </is>
      </c>
      <c r="KE1" s="1" t="inlineStr">
        <is>
          <t>Deal 1910</t>
        </is>
      </c>
      <c r="KO1" s="1" t="inlineStr">
        <is>
          <t>Deal 1911</t>
        </is>
      </c>
      <c r="KY1" s="1" t="inlineStr">
        <is>
          <t>Deal 1912</t>
        </is>
      </c>
      <c r="LI1" s="1" t="inlineStr">
        <is>
          <t>Deal 1913</t>
        </is>
      </c>
      <c r="LS1" s="1" t="inlineStr">
        <is>
          <t>Deal 1914</t>
        </is>
      </c>
      <c r="MC1" s="1" t="inlineStr">
        <is>
          <t>Deal 1915</t>
        </is>
      </c>
      <c r="MM1" s="1" t="inlineStr">
        <is>
          <t>Deal 1916</t>
        </is>
      </c>
      <c r="MW1" s="1" t="inlineStr">
        <is>
          <t>Deal 1917</t>
        </is>
      </c>
      <c r="NG1" s="1" t="inlineStr">
        <is>
          <t>Deal 1918</t>
        </is>
      </c>
      <c r="NQ1" s="1" t="inlineStr">
        <is>
          <t>Deal 1919</t>
        </is>
      </c>
      <c r="OA1" s="1" t="inlineStr">
        <is>
          <t>Deal 1920</t>
        </is>
      </c>
    </row>
    <row r="2">
      <c r="A2" s="2" t="inlineStr">
        <is>
          <t>PH US Equity</t>
        </is>
      </c>
      <c r="K2" s="2" t="inlineStr">
        <is>
          <t>MTOR US Equity</t>
        </is>
      </c>
      <c r="U2" s="2" t="inlineStr">
        <is>
          <t>TFC US Equity</t>
        </is>
      </c>
      <c r="AE2" s="2" t="inlineStr">
        <is>
          <t>OZK US Equity</t>
        </is>
      </c>
      <c r="AO2" s="2" t="inlineStr">
        <is>
          <t>ELNK US Equity</t>
        </is>
      </c>
      <c r="AY2" s="2" t="inlineStr">
        <is>
          <t>FMER US Equity</t>
        </is>
      </c>
      <c r="BI2" s="2" t="inlineStr">
        <is>
          <t>CLW US Equity</t>
        </is>
      </c>
      <c r="BS2" s="2" t="inlineStr">
        <is>
          <t>2269312Q US Equity</t>
        </is>
      </c>
      <c r="CC2" s="2" t="inlineStr">
        <is>
          <t>AKRXQ US Equity</t>
        </is>
      </c>
      <c r="CM2" s="2" t="inlineStr">
        <is>
          <t>nan Equity</t>
        </is>
      </c>
      <c r="CW2" s="2" t="inlineStr">
        <is>
          <t>TLB US Equity</t>
        </is>
      </c>
      <c r="DG2" s="2" t="inlineStr">
        <is>
          <t>RTN US Equity</t>
        </is>
      </c>
      <c r="DQ2" s="2" t="inlineStr">
        <is>
          <t>WAB US Equity</t>
        </is>
      </c>
      <c r="EA2" s="2" t="inlineStr">
        <is>
          <t>BVS US Equity</t>
        </is>
      </c>
      <c r="EK2" s="2" t="inlineStr">
        <is>
          <t>2207158D US Equity</t>
        </is>
      </c>
      <c r="EU2" s="2" t="inlineStr">
        <is>
          <t>GE US Equity</t>
        </is>
      </c>
      <c r="FE2" s="2" t="inlineStr">
        <is>
          <t>GD US Equity</t>
        </is>
      </c>
      <c r="FO2" s="2" t="inlineStr">
        <is>
          <t>NCC US Equity</t>
        </is>
      </c>
      <c r="FY2" s="2" t="inlineStr">
        <is>
          <t>GVA US Equity</t>
        </is>
      </c>
      <c r="GI2" s="2" t="inlineStr">
        <is>
          <t>KPSQ US Equity</t>
        </is>
      </c>
      <c r="GS2" s="2" t="inlineStr">
        <is>
          <t>HON US Equity</t>
        </is>
      </c>
      <c r="HC2" s="2" t="inlineStr">
        <is>
          <t>AMPY US Equity</t>
        </is>
      </c>
      <c r="HM2" s="2" t="inlineStr">
        <is>
          <t>USWB US Equity</t>
        </is>
      </c>
      <c r="HW2" s="2" t="inlineStr">
        <is>
          <t>SUG US Equity</t>
        </is>
      </c>
      <c r="IG2" s="2" t="inlineStr">
        <is>
          <t>ILMN US Equity</t>
        </is>
      </c>
      <c r="IQ2" s="2" t="inlineStr">
        <is>
          <t>DCOM US Equity</t>
        </is>
      </c>
      <c r="JA2" s="2" t="inlineStr">
        <is>
          <t>DGIT US Equity</t>
        </is>
      </c>
      <c r="JK2" s="2" t="inlineStr">
        <is>
          <t>PBCT US Equity</t>
        </is>
      </c>
      <c r="JU2" s="2" t="inlineStr">
        <is>
          <t>JMXIE US Equity</t>
        </is>
      </c>
      <c r="KE2" s="2" t="inlineStr">
        <is>
          <t>SNPS US Equity</t>
        </is>
      </c>
      <c r="KO2" s="2" t="inlineStr">
        <is>
          <t>ASB US Equity</t>
        </is>
      </c>
      <c r="KY2" s="2" t="inlineStr">
        <is>
          <t>ORCL US Equity</t>
        </is>
      </c>
      <c r="LI2" s="2" t="inlineStr">
        <is>
          <t>FNB US Equity</t>
        </is>
      </c>
      <c r="LS2" s="2" t="inlineStr">
        <is>
          <t>1528159D US Equity</t>
        </is>
      </c>
      <c r="MC2" s="2" t="inlineStr">
        <is>
          <t>OCFC US Equity</t>
        </is>
      </c>
      <c r="MM2" s="2" t="inlineStr">
        <is>
          <t>ISIL US Equity</t>
        </is>
      </c>
      <c r="MW2" s="2" t="inlineStr">
        <is>
          <t>838852Q US Equity</t>
        </is>
      </c>
      <c r="NG2" s="2" t="inlineStr">
        <is>
          <t>MCK US Equity</t>
        </is>
      </c>
      <c r="NQ2" s="2" t="inlineStr">
        <is>
          <t>GILD US Equity</t>
        </is>
      </c>
      <c r="OA2" s="2" t="inlineStr">
        <is>
          <t>PFC US Equity</t>
        </is>
      </c>
    </row>
    <row r="3">
      <c r="A3" t="inlineStr">
        <is>
          <t>Ann: 2000-06-13</t>
        </is>
      </c>
      <c r="K3" t="inlineStr">
        <is>
          <t>Ann: 2000-04-06</t>
        </is>
      </c>
      <c r="U3" t="inlineStr">
        <is>
          <t>Ann: 1999-07-28</t>
        </is>
      </c>
      <c r="AE3" t="inlineStr">
        <is>
          <t>Ann: 2015-11-09</t>
        </is>
      </c>
      <c r="AO3" t="inlineStr">
        <is>
          <t>Ann: 2010-10-01</t>
        </is>
      </c>
      <c r="AY3" t="inlineStr">
        <is>
          <t>Ann: 1998-08-11</t>
        </is>
      </c>
      <c r="BI3" t="inlineStr">
        <is>
          <t>Ann: 2010-09-16</t>
        </is>
      </c>
      <c r="BS3" t="inlineStr">
        <is>
          <t>Ann: 1998-10-19</t>
        </is>
      </c>
      <c r="CC3" t="inlineStr">
        <is>
          <t>Ann: 2013-08-27</t>
        </is>
      </c>
      <c r="CM3" t="inlineStr">
        <is>
          <t>Ann: 2011-11-07</t>
        </is>
      </c>
      <c r="CW3" t="inlineStr">
        <is>
          <t>Ann: 2009-12-09</t>
        </is>
      </c>
      <c r="DG3" t="inlineStr">
        <is>
          <t>Ann: 2010-12-20</t>
        </is>
      </c>
      <c r="DQ3" t="inlineStr">
        <is>
          <t>Ann: 1999-09-27</t>
        </is>
      </c>
      <c r="EA3" t="inlineStr">
        <is>
          <t>Ann: 2021-07-29</t>
        </is>
      </c>
      <c r="EK3" t="inlineStr">
        <is>
          <t>Ann: 1999-09-22</t>
        </is>
      </c>
      <c r="EU3" t="inlineStr">
        <is>
          <t>Ann: 1999-08-09</t>
        </is>
      </c>
      <c r="FE3" t="inlineStr">
        <is>
          <t>Ann: 2000-11-09</t>
        </is>
      </c>
      <c r="FO3" t="inlineStr">
        <is>
          <t>Ann: 2003-11-20</t>
        </is>
      </c>
      <c r="FY3" t="inlineStr">
        <is>
          <t>Ann: 2018-02-14</t>
        </is>
      </c>
      <c r="GI3" t="inlineStr">
        <is>
          <t>Ann: 1998-04-20</t>
        </is>
      </c>
      <c r="GS3" t="inlineStr">
        <is>
          <t>Ann: 2011-06-13</t>
        </is>
      </c>
      <c r="HC3" t="inlineStr">
        <is>
          <t>Ann: 2019-05-06</t>
        </is>
      </c>
      <c r="HM3" t="inlineStr">
        <is>
          <t>Ann: 1998-09-02</t>
        </is>
      </c>
      <c r="HW3" t="inlineStr">
        <is>
          <t>Ann: 1999-06-07</t>
        </is>
      </c>
      <c r="IG3" t="inlineStr">
        <is>
          <t>Ann: 2006-11-13</t>
        </is>
      </c>
      <c r="IQ3" t="inlineStr">
        <is>
          <t>Ann: 2020-07-01</t>
        </is>
      </c>
      <c r="JA3" t="inlineStr">
        <is>
          <t>Ann: 2011-06-16</t>
        </is>
      </c>
      <c r="JK3" t="inlineStr">
        <is>
          <t>Ann: 2011-01-20</t>
        </is>
      </c>
      <c r="JU3" t="inlineStr">
        <is>
          <t>Ann: 2000-06-27</t>
        </is>
      </c>
      <c r="KE3" t="inlineStr">
        <is>
          <t>Ann: 2011-11-30</t>
        </is>
      </c>
      <c r="KO3" t="inlineStr">
        <is>
          <t>Ann: 2017-07-20</t>
        </is>
      </c>
      <c r="KY3" t="inlineStr">
        <is>
          <t>Ann: 2005-03-08</t>
        </is>
      </c>
      <c r="LI3" t="inlineStr">
        <is>
          <t>Ann: 2015-08-04</t>
        </is>
      </c>
      <c r="LS3" t="inlineStr">
        <is>
          <t>Ann: 2002-02-19</t>
        </is>
      </c>
      <c r="MC3" t="inlineStr">
        <is>
          <t>Ann: 2017-06-30</t>
        </is>
      </c>
      <c r="MM3" t="inlineStr">
        <is>
          <t>Ann: 2004-03-14</t>
        </is>
      </c>
      <c r="MW3" t="inlineStr">
        <is>
          <t>Ann: 1999-04-19</t>
        </is>
      </c>
      <c r="NG3" t="inlineStr">
        <is>
          <t>Ann: 2005-07-11</t>
        </is>
      </c>
      <c r="NQ3" t="inlineStr">
        <is>
          <t>Ann: 1999-03-01</t>
        </is>
      </c>
      <c r="OA3" t="inlineStr">
        <is>
          <t>Ann: 2019-09-09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BDS("PH US Equity","SUPPLY_CHAIN_SUPPLIERS","RELATIONSHIP_AS_OF_DATE","20000613")</f>
        <v/>
      </c>
      <c r="F5">
        <f>BDS("PH US Equity","SUPPLY_CHAIN_CUSTOMERS","RELATIONSHIP_AS_OF_DATE","20000613")</f>
        <v/>
      </c>
      <c r="K5">
        <f>BDS("MTOR US Equity","SUPPLY_CHAIN_SUPPLIERS","RELATIONSHIP_AS_OF_DATE","20000406")</f>
        <v/>
      </c>
      <c r="P5">
        <f>BDS("MTOR US Equity","SUPPLY_CHAIN_CUSTOMERS","RELATIONSHIP_AS_OF_DATE","20000406")</f>
        <v/>
      </c>
      <c r="U5">
        <f>BDS("TFC US Equity","SUPPLY_CHAIN_SUPPLIERS","RELATIONSHIP_AS_OF_DATE","19990728")</f>
        <v/>
      </c>
      <c r="Z5">
        <f>BDS("TFC US Equity","SUPPLY_CHAIN_CUSTOMERS","RELATIONSHIP_AS_OF_DATE","19990728")</f>
        <v/>
      </c>
      <c r="AE5">
        <f>BDS("OZK US Equity","SUPPLY_CHAIN_SUPPLIERS","RELATIONSHIP_AS_OF_DATE","20151109")</f>
        <v/>
      </c>
      <c r="AJ5">
        <f>BDS("OZK US Equity","SUPPLY_CHAIN_CUSTOMERS","RELATIONSHIP_AS_OF_DATE","20151109")</f>
        <v/>
      </c>
      <c r="AO5">
        <f>BDS("ELNK US Equity","SUPPLY_CHAIN_SUPPLIERS","RELATIONSHIP_AS_OF_DATE","20101001")</f>
        <v/>
      </c>
      <c r="AT5">
        <f>BDS("ELNK US Equity","SUPPLY_CHAIN_CUSTOMERS","RELATIONSHIP_AS_OF_DATE","20101001")</f>
        <v/>
      </c>
      <c r="AY5">
        <f>BDS("FMER US Equity","SUPPLY_CHAIN_SUPPLIERS","RELATIONSHIP_AS_OF_DATE","19980811")</f>
        <v/>
      </c>
      <c r="BD5">
        <f>BDS("FMER US Equity","SUPPLY_CHAIN_CUSTOMERS","RELATIONSHIP_AS_OF_DATE","19980811")</f>
        <v/>
      </c>
      <c r="BI5">
        <f>BDS("CLW US Equity","SUPPLY_CHAIN_SUPPLIERS","RELATIONSHIP_AS_OF_DATE","20100916")</f>
        <v/>
      </c>
      <c r="BN5">
        <f>BDS("CLW US Equity","SUPPLY_CHAIN_CUSTOMERS","RELATIONSHIP_AS_OF_DATE","20100916")</f>
        <v/>
      </c>
      <c r="BS5">
        <f>BDS("2269312Q US Equity","SUPPLY_CHAIN_SUPPLIERS","RELATIONSHIP_AS_OF_DATE","19981019")</f>
        <v/>
      </c>
      <c r="BX5">
        <f>BDS("2269312Q US Equity","SUPPLY_CHAIN_CUSTOMERS","RELATIONSHIP_AS_OF_DATE","19981019")</f>
        <v/>
      </c>
      <c r="CC5">
        <f>BDS("AKRXQ US Equity","SUPPLY_CHAIN_SUPPLIERS","RELATIONSHIP_AS_OF_DATE","20130827")</f>
        <v/>
      </c>
      <c r="CH5">
        <f>BDS("AKRXQ US Equity","SUPPLY_CHAIN_CUSTOMERS","RELATIONSHIP_AS_OF_DATE","20130827")</f>
        <v/>
      </c>
      <c r="CM5">
        <f>BDS("nan Equity","SUPPLY_CHAIN_SUPPLIERS","RELATIONSHIP_AS_OF_DATE","20111107")</f>
        <v/>
      </c>
      <c r="CR5">
        <f>BDS("nan Equity","SUPPLY_CHAIN_CUSTOMERS","RELATIONSHIP_AS_OF_DATE","20111107")</f>
        <v/>
      </c>
      <c r="CW5">
        <f>BDS("TLB US Equity","SUPPLY_CHAIN_SUPPLIERS","RELATIONSHIP_AS_OF_DATE","20091209")</f>
        <v/>
      </c>
      <c r="DB5">
        <f>BDS("TLB US Equity","SUPPLY_CHAIN_CUSTOMERS","RELATIONSHIP_AS_OF_DATE","20091209")</f>
        <v/>
      </c>
      <c r="DG5">
        <f>BDS("RTN US Equity","SUPPLY_CHAIN_SUPPLIERS","RELATIONSHIP_AS_OF_DATE","20101220")</f>
        <v/>
      </c>
      <c r="DL5">
        <f>BDS("RTN US Equity","SUPPLY_CHAIN_CUSTOMERS","RELATIONSHIP_AS_OF_DATE","20101220")</f>
        <v/>
      </c>
      <c r="DQ5">
        <f>BDS("WAB US Equity","SUPPLY_CHAIN_SUPPLIERS","RELATIONSHIP_AS_OF_DATE","19990927")</f>
        <v/>
      </c>
      <c r="DV5">
        <f>BDS("WAB US Equity","SUPPLY_CHAIN_CUSTOMERS","RELATIONSHIP_AS_OF_DATE","19990927")</f>
        <v/>
      </c>
      <c r="EA5">
        <f>BDS("BVS US Equity","SUPPLY_CHAIN_SUPPLIERS","RELATIONSHIP_AS_OF_DATE","20210729")</f>
        <v/>
      </c>
      <c r="EF5">
        <f>BDS("BVS US Equity","SUPPLY_CHAIN_CUSTOMERS","RELATIONSHIP_AS_OF_DATE","20210729")</f>
        <v/>
      </c>
      <c r="EK5">
        <f>BDS("2207158D US Equity","SUPPLY_CHAIN_SUPPLIERS","RELATIONSHIP_AS_OF_DATE","19990922")</f>
        <v/>
      </c>
      <c r="EP5">
        <f>BDS("2207158D US Equity","SUPPLY_CHAIN_CUSTOMERS","RELATIONSHIP_AS_OF_DATE","19990922")</f>
        <v/>
      </c>
      <c r="EU5">
        <f>BDS("GE US Equity","SUPPLY_CHAIN_SUPPLIERS","RELATIONSHIP_AS_OF_DATE","19990809")</f>
        <v/>
      </c>
      <c r="EZ5">
        <f>BDS("GE US Equity","SUPPLY_CHAIN_CUSTOMERS","RELATIONSHIP_AS_OF_DATE","19990809")</f>
        <v/>
      </c>
      <c r="FE5">
        <f>BDS("GD US Equity","SUPPLY_CHAIN_SUPPLIERS","RELATIONSHIP_AS_OF_DATE","20001109")</f>
        <v/>
      </c>
      <c r="FJ5">
        <f>BDS("GD US Equity","SUPPLY_CHAIN_CUSTOMERS","RELATIONSHIP_AS_OF_DATE","20001109")</f>
        <v/>
      </c>
      <c r="FO5">
        <f>BDS("NCC US Equity","SUPPLY_CHAIN_SUPPLIERS","RELATIONSHIP_AS_OF_DATE","20031120")</f>
        <v/>
      </c>
      <c r="FT5">
        <f>BDS("NCC US Equity","SUPPLY_CHAIN_CUSTOMERS","RELATIONSHIP_AS_OF_DATE","20031120")</f>
        <v/>
      </c>
      <c r="FY5">
        <f>BDS("GVA US Equity","SUPPLY_CHAIN_SUPPLIERS","RELATIONSHIP_AS_OF_DATE","20180214")</f>
        <v/>
      </c>
      <c r="GD5">
        <f>BDS("GVA US Equity","SUPPLY_CHAIN_CUSTOMERS","RELATIONSHIP_AS_OF_DATE","20180214")</f>
        <v/>
      </c>
      <c r="GI5">
        <f>BDS("KPSQ US Equity","SUPPLY_CHAIN_SUPPLIERS","RELATIONSHIP_AS_OF_DATE","19980420")</f>
        <v/>
      </c>
      <c r="GN5">
        <f>BDS("KPSQ US Equity","SUPPLY_CHAIN_CUSTOMERS","RELATIONSHIP_AS_OF_DATE","19980420")</f>
        <v/>
      </c>
      <c r="GS5">
        <f>BDS("HON US Equity","SUPPLY_CHAIN_SUPPLIERS","RELATIONSHIP_AS_OF_DATE","20110613")</f>
        <v/>
      </c>
      <c r="GX5">
        <f>BDS("HON US Equity","SUPPLY_CHAIN_CUSTOMERS","RELATIONSHIP_AS_OF_DATE","20110613")</f>
        <v/>
      </c>
      <c r="HC5">
        <f>BDS("AMPY US Equity","SUPPLY_CHAIN_SUPPLIERS","RELATIONSHIP_AS_OF_DATE","20190506")</f>
        <v/>
      </c>
      <c r="HH5">
        <f>BDS("AMPY US Equity","SUPPLY_CHAIN_CUSTOMERS","RELATIONSHIP_AS_OF_DATE","20190506")</f>
        <v/>
      </c>
      <c r="HM5">
        <f>BDS("USWB US Equity","SUPPLY_CHAIN_SUPPLIERS","RELATIONSHIP_AS_OF_DATE","19980902")</f>
        <v/>
      </c>
      <c r="HR5">
        <f>BDS("USWB US Equity","SUPPLY_CHAIN_CUSTOMERS","RELATIONSHIP_AS_OF_DATE","19980902")</f>
        <v/>
      </c>
      <c r="HW5">
        <f>BDS("SUG US Equity","SUPPLY_CHAIN_SUPPLIERS","RELATIONSHIP_AS_OF_DATE","19990607")</f>
        <v/>
      </c>
      <c r="IB5">
        <f>BDS("SUG US Equity","SUPPLY_CHAIN_CUSTOMERS","RELATIONSHIP_AS_OF_DATE","19990607")</f>
        <v/>
      </c>
      <c r="IG5">
        <f>BDS("ILMN US Equity","SUPPLY_CHAIN_SUPPLIERS","RELATIONSHIP_AS_OF_DATE","20061113")</f>
        <v/>
      </c>
      <c r="IL5">
        <f>BDS("ILMN US Equity","SUPPLY_CHAIN_CUSTOMERS","RELATIONSHIP_AS_OF_DATE","20061113")</f>
        <v/>
      </c>
      <c r="IQ5">
        <f>BDS("DCOM US Equity","SUPPLY_CHAIN_SUPPLIERS","RELATIONSHIP_AS_OF_DATE","20200701")</f>
        <v/>
      </c>
      <c r="IV5">
        <f>BDS("DCOM US Equity","SUPPLY_CHAIN_CUSTOMERS","RELATIONSHIP_AS_OF_DATE","20200701")</f>
        <v/>
      </c>
      <c r="JA5">
        <f>BDS("DGIT US Equity","SUPPLY_CHAIN_SUPPLIERS","RELATIONSHIP_AS_OF_DATE","20110616")</f>
        <v/>
      </c>
      <c r="JF5">
        <f>BDS("DGIT US Equity","SUPPLY_CHAIN_CUSTOMERS","RELATIONSHIP_AS_OF_DATE","20110616")</f>
        <v/>
      </c>
      <c r="JK5">
        <f>BDS("PBCT US Equity","SUPPLY_CHAIN_SUPPLIERS","RELATIONSHIP_AS_OF_DATE","20110120")</f>
        <v/>
      </c>
      <c r="JP5">
        <f>BDS("PBCT US Equity","SUPPLY_CHAIN_CUSTOMERS","RELATIONSHIP_AS_OF_DATE","20110120")</f>
        <v/>
      </c>
      <c r="JU5">
        <f>BDS("JMXIE US Equity","SUPPLY_CHAIN_SUPPLIERS","RELATIONSHIP_AS_OF_DATE","20000627")</f>
        <v/>
      </c>
      <c r="JZ5">
        <f>BDS("JMXIE US Equity","SUPPLY_CHAIN_CUSTOMERS","RELATIONSHIP_AS_OF_DATE","20000627")</f>
        <v/>
      </c>
      <c r="KE5">
        <f>BDS("SNPS US Equity","SUPPLY_CHAIN_SUPPLIERS","RELATIONSHIP_AS_OF_DATE","20111130")</f>
        <v/>
      </c>
      <c r="KJ5">
        <f>BDS("SNPS US Equity","SUPPLY_CHAIN_CUSTOMERS","RELATIONSHIP_AS_OF_DATE","20111130")</f>
        <v/>
      </c>
      <c r="KO5">
        <f>BDS("ASB US Equity","SUPPLY_CHAIN_SUPPLIERS","RELATIONSHIP_AS_OF_DATE","20170720")</f>
        <v/>
      </c>
      <c r="KT5">
        <f>BDS("ASB US Equity","SUPPLY_CHAIN_CUSTOMERS","RELATIONSHIP_AS_OF_DATE","20170720")</f>
        <v/>
      </c>
      <c r="KY5">
        <f>BDS("ORCL US Equity","SUPPLY_CHAIN_SUPPLIERS","RELATIONSHIP_AS_OF_DATE","20050308")</f>
        <v/>
      </c>
      <c r="LD5">
        <f>BDS("ORCL US Equity","SUPPLY_CHAIN_CUSTOMERS","RELATIONSHIP_AS_OF_DATE","20050308")</f>
        <v/>
      </c>
      <c r="LI5">
        <f>BDS("FNB US Equity","SUPPLY_CHAIN_SUPPLIERS","RELATIONSHIP_AS_OF_DATE","20150804")</f>
        <v/>
      </c>
      <c r="LN5">
        <f>BDS("FNB US Equity","SUPPLY_CHAIN_CUSTOMERS","RELATIONSHIP_AS_OF_DATE","20150804")</f>
        <v/>
      </c>
      <c r="LS5">
        <f>BDS("1528159D US Equity","SUPPLY_CHAIN_SUPPLIERS","RELATIONSHIP_AS_OF_DATE","20020219")</f>
        <v/>
      </c>
      <c r="LX5">
        <f>BDS("1528159D US Equity","SUPPLY_CHAIN_CUSTOMERS","RELATIONSHIP_AS_OF_DATE","20020219")</f>
        <v/>
      </c>
      <c r="MC5">
        <f>BDS("OCFC US Equity","SUPPLY_CHAIN_SUPPLIERS","RELATIONSHIP_AS_OF_DATE","20170630")</f>
        <v/>
      </c>
      <c r="MH5">
        <f>BDS("OCFC US Equity","SUPPLY_CHAIN_CUSTOMERS","RELATIONSHIP_AS_OF_DATE","20170630")</f>
        <v/>
      </c>
      <c r="MM5">
        <f>BDS("ISIL US Equity","SUPPLY_CHAIN_SUPPLIERS","RELATIONSHIP_AS_OF_DATE","20040314")</f>
        <v/>
      </c>
      <c r="MR5">
        <f>BDS("ISIL US Equity","SUPPLY_CHAIN_CUSTOMERS","RELATIONSHIP_AS_OF_DATE","20040314")</f>
        <v/>
      </c>
      <c r="MW5">
        <f>BDS("838852Q US Equity","SUPPLY_CHAIN_SUPPLIERS","RELATIONSHIP_AS_OF_DATE","19990419")</f>
        <v/>
      </c>
      <c r="NB5">
        <f>BDS("838852Q US Equity","SUPPLY_CHAIN_CUSTOMERS","RELATIONSHIP_AS_OF_DATE","19990419")</f>
        <v/>
      </c>
      <c r="NG5">
        <f>BDS("MCK US Equity","SUPPLY_CHAIN_SUPPLIERS","RELATIONSHIP_AS_OF_DATE","20050711")</f>
        <v/>
      </c>
      <c r="NL5">
        <f>BDS("MCK US Equity","SUPPLY_CHAIN_CUSTOMERS","RELATIONSHIP_AS_OF_DATE","20050711")</f>
        <v/>
      </c>
      <c r="NQ5">
        <f>BDS("GILD US Equity","SUPPLY_CHAIN_SUPPLIERS","RELATIONSHIP_AS_OF_DATE","19990301")</f>
        <v/>
      </c>
      <c r="NV5">
        <f>BDS("GILD US Equity","SUPPLY_CHAIN_CUSTOMERS","RELATIONSHIP_AS_OF_DATE","19990301")</f>
        <v/>
      </c>
      <c r="OA5">
        <f>BDS("PFC US Equity","SUPPLY_CHAIN_SUPPLIERS","RELATIONSHIP_AS_OF_DATE","20190909")</f>
        <v/>
      </c>
      <c r="OF5">
        <f>BDS("PFC US Equity","SUPPLY_CHAIN_CUSTOMERS","RELATIONSHIP_AS_OF_DATE","20190909")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1921</t>
        </is>
      </c>
      <c r="K1" s="1" t="inlineStr">
        <is>
          <t>Deal 1922</t>
        </is>
      </c>
      <c r="U1" s="1" t="inlineStr">
        <is>
          <t>Deal 1923</t>
        </is>
      </c>
      <c r="AE1" s="1" t="inlineStr">
        <is>
          <t>Deal 1924</t>
        </is>
      </c>
      <c r="AO1" s="1" t="inlineStr">
        <is>
          <t>Deal 1925</t>
        </is>
      </c>
      <c r="AY1" s="1" t="inlineStr">
        <is>
          <t>Deal 1926</t>
        </is>
      </c>
      <c r="BI1" s="1" t="inlineStr">
        <is>
          <t>Deal 1927</t>
        </is>
      </c>
      <c r="BS1" s="1" t="inlineStr">
        <is>
          <t>Deal 1928</t>
        </is>
      </c>
      <c r="CC1" s="1" t="inlineStr">
        <is>
          <t>Deal 1929</t>
        </is>
      </c>
      <c r="CM1" s="1" t="inlineStr">
        <is>
          <t>Deal 1930</t>
        </is>
      </c>
      <c r="CW1" s="1" t="inlineStr">
        <is>
          <t>Deal 1931</t>
        </is>
      </c>
      <c r="DG1" s="1" t="inlineStr">
        <is>
          <t>Deal 1932</t>
        </is>
      </c>
      <c r="DQ1" s="1" t="inlineStr">
        <is>
          <t>Deal 1933</t>
        </is>
      </c>
      <c r="EA1" s="1" t="inlineStr">
        <is>
          <t>Deal 1934</t>
        </is>
      </c>
      <c r="EK1" s="1" t="inlineStr">
        <is>
          <t>Deal 1935</t>
        </is>
      </c>
      <c r="EU1" s="1" t="inlineStr">
        <is>
          <t>Deal 1936</t>
        </is>
      </c>
      <c r="FE1" s="1" t="inlineStr">
        <is>
          <t>Deal 1937</t>
        </is>
      </c>
      <c r="FO1" s="1" t="inlineStr">
        <is>
          <t>Deal 1938</t>
        </is>
      </c>
      <c r="FY1" s="1" t="inlineStr">
        <is>
          <t>Deal 1939</t>
        </is>
      </c>
      <c r="GI1" s="1" t="inlineStr">
        <is>
          <t>Deal 1940</t>
        </is>
      </c>
      <c r="GS1" s="1" t="inlineStr">
        <is>
          <t>Deal 1941</t>
        </is>
      </c>
      <c r="HC1" s="1" t="inlineStr">
        <is>
          <t>Deal 1942</t>
        </is>
      </c>
      <c r="HM1" s="1" t="inlineStr">
        <is>
          <t>Deal 1943</t>
        </is>
      </c>
      <c r="HW1" s="1" t="inlineStr">
        <is>
          <t>Deal 1944</t>
        </is>
      </c>
      <c r="IG1" s="1" t="inlineStr">
        <is>
          <t>Deal 1945</t>
        </is>
      </c>
      <c r="IQ1" s="1" t="inlineStr">
        <is>
          <t>Deal 1946</t>
        </is>
      </c>
      <c r="JA1" s="1" t="inlineStr">
        <is>
          <t>Deal 1947</t>
        </is>
      </c>
      <c r="JK1" s="1" t="inlineStr">
        <is>
          <t>Deal 1948</t>
        </is>
      </c>
      <c r="JU1" s="1" t="inlineStr">
        <is>
          <t>Deal 1949</t>
        </is>
      </c>
      <c r="KE1" s="1" t="inlineStr">
        <is>
          <t>Deal 1950</t>
        </is>
      </c>
      <c r="KO1" s="1" t="inlineStr">
        <is>
          <t>Deal 1951</t>
        </is>
      </c>
      <c r="KY1" s="1" t="inlineStr">
        <is>
          <t>Deal 1952</t>
        </is>
      </c>
      <c r="LI1" s="1" t="inlineStr">
        <is>
          <t>Deal 1953</t>
        </is>
      </c>
      <c r="LS1" s="1" t="inlineStr">
        <is>
          <t>Deal 1954</t>
        </is>
      </c>
      <c r="MC1" s="1" t="inlineStr">
        <is>
          <t>Deal 1955</t>
        </is>
      </c>
      <c r="MM1" s="1" t="inlineStr">
        <is>
          <t>Deal 1956</t>
        </is>
      </c>
      <c r="MW1" s="1" t="inlineStr">
        <is>
          <t>Deal 1957</t>
        </is>
      </c>
      <c r="NG1" s="1" t="inlineStr">
        <is>
          <t>Deal 1958</t>
        </is>
      </c>
      <c r="NQ1" s="1" t="inlineStr">
        <is>
          <t>Deal 1959</t>
        </is>
      </c>
      <c r="OA1" s="1" t="inlineStr">
        <is>
          <t>Deal 1960</t>
        </is>
      </c>
    </row>
    <row r="2">
      <c r="A2" s="2" t="inlineStr">
        <is>
          <t>MDU US Equity</t>
        </is>
      </c>
      <c r="K2" s="2" t="inlineStr">
        <is>
          <t>CTAS US Equity</t>
        </is>
      </c>
      <c r="U2" s="2" t="inlineStr">
        <is>
          <t>TXT US Equity</t>
        </is>
      </c>
      <c r="AE2" s="2" t="inlineStr">
        <is>
          <t>DRRAQ US Equity</t>
        </is>
      </c>
      <c r="AO2" s="2" t="inlineStr">
        <is>
          <t>HPQ US Equity</t>
        </is>
      </c>
      <c r="AY2" s="2" t="inlineStr">
        <is>
          <t>9990822D US Equity</t>
        </is>
      </c>
      <c r="BI2" s="2" t="inlineStr">
        <is>
          <t>3437127Q US Equity</t>
        </is>
      </c>
      <c r="BS2" s="2" t="inlineStr">
        <is>
          <t>GKOS US Equity</t>
        </is>
      </c>
      <c r="CC2" s="2" t="inlineStr">
        <is>
          <t>SEBL US Equity</t>
        </is>
      </c>
      <c r="CM2" s="2" t="inlineStr">
        <is>
          <t>DRS US Equity</t>
        </is>
      </c>
      <c r="CW2" s="2" t="inlineStr">
        <is>
          <t>1041267D US Equity</t>
        </is>
      </c>
      <c r="DG2" s="2" t="inlineStr">
        <is>
          <t>NPBC US Equity</t>
        </is>
      </c>
      <c r="DQ2" s="2" t="inlineStr">
        <is>
          <t>1556464D US Equity</t>
        </is>
      </c>
      <c r="EA2" s="2" t="inlineStr">
        <is>
          <t>ONB US Equity</t>
        </is>
      </c>
      <c r="EK2" s="2" t="inlineStr">
        <is>
          <t>1255459D US Equity</t>
        </is>
      </c>
      <c r="EU2" s="2" t="inlineStr">
        <is>
          <t>JNY US Equity</t>
        </is>
      </c>
      <c r="FE2" s="2" t="inlineStr">
        <is>
          <t>COLB US Equity</t>
        </is>
      </c>
      <c r="FO2" s="2" t="inlineStr">
        <is>
          <t>OCSL US Equity</t>
        </is>
      </c>
      <c r="FY2" s="2" t="inlineStr">
        <is>
          <t>1920486D US Equity</t>
        </is>
      </c>
      <c r="GI2" s="2" t="inlineStr">
        <is>
          <t>SCHW US Equity</t>
        </is>
      </c>
      <c r="GS2" s="2" t="inlineStr">
        <is>
          <t>TNB US Equity</t>
        </is>
      </c>
      <c r="HC2" s="2" t="inlineStr">
        <is>
          <t>nan Equity</t>
        </is>
      </c>
      <c r="HM2" s="2" t="inlineStr">
        <is>
          <t>nan Equity</t>
        </is>
      </c>
      <c r="HW2" s="2" t="inlineStr">
        <is>
          <t>CADE US Equity</t>
        </is>
      </c>
      <c r="IG2" s="2" t="inlineStr">
        <is>
          <t>TLB US Equity</t>
        </is>
      </c>
      <c r="IQ2" s="2" t="inlineStr">
        <is>
          <t>SO US Equity</t>
        </is>
      </c>
      <c r="JA2" s="2" t="inlineStr">
        <is>
          <t>DHR US Equity</t>
        </is>
      </c>
      <c r="JK2" s="2" t="inlineStr">
        <is>
          <t>CYBS US Equity</t>
        </is>
      </c>
      <c r="JU2" s="2" t="inlineStr">
        <is>
          <t>PHS US Equity</t>
        </is>
      </c>
      <c r="KE2" s="2" t="inlineStr">
        <is>
          <t>GZBX US Equity</t>
        </is>
      </c>
      <c r="KO2" s="2" t="inlineStr">
        <is>
          <t>SASR US Equity</t>
        </is>
      </c>
      <c r="KY2" s="2" t="inlineStr">
        <is>
          <t>OSGIQ US Equity</t>
        </is>
      </c>
      <c r="LI2" s="2" t="inlineStr">
        <is>
          <t>WTRG US Equity</t>
        </is>
      </c>
      <c r="LS2" s="2" t="inlineStr">
        <is>
          <t>CVX US Equity</t>
        </is>
      </c>
      <c r="MC2" s="2" t="inlineStr">
        <is>
          <t>RRC US Equity</t>
        </is>
      </c>
      <c r="MM2" s="2" t="inlineStr">
        <is>
          <t>1519128D US Equity</t>
        </is>
      </c>
      <c r="MW2" s="2" t="inlineStr">
        <is>
          <t>TALO US Equity</t>
        </is>
      </c>
      <c r="NG2" s="2" t="inlineStr">
        <is>
          <t>GE US Equity</t>
        </is>
      </c>
      <c r="NQ2" s="2" t="inlineStr">
        <is>
          <t>TEX US Equity</t>
        </is>
      </c>
      <c r="OA2" s="2" t="inlineStr">
        <is>
          <t>WTTR US Equity</t>
        </is>
      </c>
    </row>
    <row r="3">
      <c r="A3" t="inlineStr">
        <is>
          <t>Ann: 2006-07-09</t>
        </is>
      </c>
      <c r="K3" t="inlineStr">
        <is>
          <t>Ann: 1999-01-11</t>
        </is>
      </c>
      <c r="U3" t="inlineStr">
        <is>
          <t>Ann: 1999-08-23</t>
        </is>
      </c>
      <c r="AE3" t="inlineStr">
        <is>
          <t>Ann: 1999-01-19</t>
        </is>
      </c>
      <c r="AO3" t="inlineStr">
        <is>
          <t>Ann: 2000-10-24</t>
        </is>
      </c>
      <c r="AY3" t="inlineStr">
        <is>
          <t>Ann: 2009-09-15</t>
        </is>
      </c>
      <c r="BI3" t="inlineStr">
        <is>
          <t>Ann: 1999-10-14</t>
        </is>
      </c>
      <c r="BS3" t="inlineStr">
        <is>
          <t>Ann: 2019-08-07</t>
        </is>
      </c>
      <c r="CC3" t="inlineStr">
        <is>
          <t>Ann: 2000-04-18</t>
        </is>
      </c>
      <c r="CM3" t="inlineStr">
        <is>
          <t>Ann: 2003-08-18</t>
        </is>
      </c>
      <c r="CW3" t="inlineStr">
        <is>
          <t>Ann: 2006-04-13</t>
        </is>
      </c>
      <c r="DG3" t="inlineStr">
        <is>
          <t>Ann: 2007-09-07</t>
        </is>
      </c>
      <c r="DQ3" t="inlineStr">
        <is>
          <t>Ann: 2000-01-14</t>
        </is>
      </c>
      <c r="EA3" t="inlineStr">
        <is>
          <t>Ann: 2016-01-12</t>
        </is>
      </c>
      <c r="EK3" t="inlineStr">
        <is>
          <t>Ann: 2003-12-24</t>
        </is>
      </c>
      <c r="EU3" t="inlineStr">
        <is>
          <t>Ann: 2001-04-16</t>
        </is>
      </c>
      <c r="FE3" t="inlineStr">
        <is>
          <t>Ann: 2012-09-26</t>
        </is>
      </c>
      <c r="FO3" t="inlineStr">
        <is>
          <t>Ann: 2020-10-29</t>
        </is>
      </c>
      <c r="FY3" t="inlineStr">
        <is>
          <t>Ann: 1999-08-23</t>
        </is>
      </c>
      <c r="GI3" t="inlineStr">
        <is>
          <t>Ann: 2003-11-19</t>
        </is>
      </c>
      <c r="GS3" t="inlineStr">
        <is>
          <t>Ann: 2007-08-16</t>
        </is>
      </c>
      <c r="HC3" t="inlineStr">
        <is>
          <t>Ann: 2006-09-25</t>
        </is>
      </c>
      <c r="HM3" t="inlineStr">
        <is>
          <t>Ann: 2020-03-05</t>
        </is>
      </c>
      <c r="HW3" t="inlineStr">
        <is>
          <t>Ann: 2000-04-17</t>
        </is>
      </c>
      <c r="IG3" t="inlineStr">
        <is>
          <t>Ann: 2009-12-08</t>
        </is>
      </c>
      <c r="IQ3" t="inlineStr">
        <is>
          <t>Ann: 2016-02-24</t>
        </is>
      </c>
      <c r="JA3" t="inlineStr">
        <is>
          <t>Ann: 1998-02-02</t>
        </is>
      </c>
      <c r="JK3" t="inlineStr">
        <is>
          <t>Ann: 2007-06-18</t>
        </is>
      </c>
      <c r="JU3" t="inlineStr">
        <is>
          <t>Ann: 2004-09-15</t>
        </is>
      </c>
      <c r="KE3" t="inlineStr">
        <is>
          <t>Ann: 2000-03-06</t>
        </is>
      </c>
      <c r="KO3" t="inlineStr">
        <is>
          <t>Ann: 2017-05-16</t>
        </is>
      </c>
      <c r="KY3" t="inlineStr">
        <is>
          <t>Ann: 2006-09-25</t>
        </is>
      </c>
      <c r="LI3" t="inlineStr">
        <is>
          <t>Ann: 1998-06-29</t>
        </is>
      </c>
      <c r="LS3" t="inlineStr">
        <is>
          <t>Ann: 2021-03-05</t>
        </is>
      </c>
      <c r="MC3" t="inlineStr">
        <is>
          <t>Ann: 2006-05-11</t>
        </is>
      </c>
      <c r="MM3" t="inlineStr">
        <is>
          <t>Ann: 1999-06-24</t>
        </is>
      </c>
      <c r="MW3" t="inlineStr">
        <is>
          <t>Ann: 2000-10-30</t>
        </is>
      </c>
      <c r="NG3" t="inlineStr">
        <is>
          <t>Ann: 2010-10-22</t>
        </is>
      </c>
      <c r="NQ3" t="inlineStr">
        <is>
          <t>Ann: 2008-01-14</t>
        </is>
      </c>
      <c r="OA3" t="inlineStr">
        <is>
          <t>Ann: 2017-07-18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BDS("MDU US Equity","SUPPLY_CHAIN_SUPPLIERS","RELATIONSHIP_AS_OF_DATE","20060709")</f>
        <v/>
      </c>
      <c r="F5">
        <f>BDS("MDU US Equity","SUPPLY_CHAIN_CUSTOMERS","RELATIONSHIP_AS_OF_DATE","20060709")</f>
        <v/>
      </c>
      <c r="K5">
        <f>BDS("CTAS US Equity","SUPPLY_CHAIN_SUPPLIERS","RELATIONSHIP_AS_OF_DATE","19990111")</f>
        <v/>
      </c>
      <c r="P5">
        <f>BDS("CTAS US Equity","SUPPLY_CHAIN_CUSTOMERS","RELATIONSHIP_AS_OF_DATE","19990111")</f>
        <v/>
      </c>
      <c r="U5">
        <f>BDS("TXT US Equity","SUPPLY_CHAIN_SUPPLIERS","RELATIONSHIP_AS_OF_DATE","19990823")</f>
        <v/>
      </c>
      <c r="Z5">
        <f>BDS("TXT US Equity","SUPPLY_CHAIN_CUSTOMERS","RELATIONSHIP_AS_OF_DATE","19990823")</f>
        <v/>
      </c>
      <c r="AE5">
        <f>BDS("DRRAQ US Equity","SUPPLY_CHAIN_SUPPLIERS","RELATIONSHIP_AS_OF_DATE","19990119")</f>
        <v/>
      </c>
      <c r="AJ5">
        <f>BDS("DRRAQ US Equity","SUPPLY_CHAIN_CUSTOMERS","RELATIONSHIP_AS_OF_DATE","19990119")</f>
        <v/>
      </c>
      <c r="AO5">
        <f>BDS("HPQ US Equity","SUPPLY_CHAIN_SUPPLIERS","RELATIONSHIP_AS_OF_DATE","20001024")</f>
        <v/>
      </c>
      <c r="AT5">
        <f>BDS("HPQ US Equity","SUPPLY_CHAIN_CUSTOMERS","RELATIONSHIP_AS_OF_DATE","20001024")</f>
        <v/>
      </c>
      <c r="AY5">
        <f>BDS("9990822D US Equity","SUPPLY_CHAIN_SUPPLIERS","RELATIONSHIP_AS_OF_DATE","20090915")</f>
        <v/>
      </c>
      <c r="BD5">
        <f>BDS("9990822D US Equity","SUPPLY_CHAIN_CUSTOMERS","RELATIONSHIP_AS_OF_DATE","20090915")</f>
        <v/>
      </c>
      <c r="BI5">
        <f>BDS("3437127Q US Equity","SUPPLY_CHAIN_SUPPLIERS","RELATIONSHIP_AS_OF_DATE","19991014")</f>
        <v/>
      </c>
      <c r="BN5">
        <f>BDS("3437127Q US Equity","SUPPLY_CHAIN_CUSTOMERS","RELATIONSHIP_AS_OF_DATE","19991014")</f>
        <v/>
      </c>
      <c r="BS5">
        <f>BDS("GKOS US Equity","SUPPLY_CHAIN_SUPPLIERS","RELATIONSHIP_AS_OF_DATE","20190807")</f>
        <v/>
      </c>
      <c r="BX5">
        <f>BDS("GKOS US Equity","SUPPLY_CHAIN_CUSTOMERS","RELATIONSHIP_AS_OF_DATE","20190807")</f>
        <v/>
      </c>
      <c r="CC5">
        <f>BDS("SEBL US Equity","SUPPLY_CHAIN_SUPPLIERS","RELATIONSHIP_AS_OF_DATE","20000418")</f>
        <v/>
      </c>
      <c r="CH5">
        <f>BDS("SEBL US Equity","SUPPLY_CHAIN_CUSTOMERS","RELATIONSHIP_AS_OF_DATE","20000418")</f>
        <v/>
      </c>
      <c r="CM5">
        <f>BDS("DRS US Equity","SUPPLY_CHAIN_SUPPLIERS","RELATIONSHIP_AS_OF_DATE","20030818")</f>
        <v/>
      </c>
      <c r="CR5">
        <f>BDS("DRS US Equity","SUPPLY_CHAIN_CUSTOMERS","RELATIONSHIP_AS_OF_DATE","20030818")</f>
        <v/>
      </c>
      <c r="CW5">
        <f>BDS("1041267D US Equity","SUPPLY_CHAIN_SUPPLIERS","RELATIONSHIP_AS_OF_DATE","20060413")</f>
        <v/>
      </c>
      <c r="DB5">
        <f>BDS("1041267D US Equity","SUPPLY_CHAIN_CUSTOMERS","RELATIONSHIP_AS_OF_DATE","20060413")</f>
        <v/>
      </c>
      <c r="DG5">
        <f>BDS("NPBC US Equity","SUPPLY_CHAIN_SUPPLIERS","RELATIONSHIP_AS_OF_DATE","20070907")</f>
        <v/>
      </c>
      <c r="DL5">
        <f>BDS("NPBC US Equity","SUPPLY_CHAIN_CUSTOMERS","RELATIONSHIP_AS_OF_DATE","20070907")</f>
        <v/>
      </c>
      <c r="DQ5">
        <f>BDS("1556464D US Equity","SUPPLY_CHAIN_SUPPLIERS","RELATIONSHIP_AS_OF_DATE","20000114")</f>
        <v/>
      </c>
      <c r="DV5">
        <f>BDS("1556464D US Equity","SUPPLY_CHAIN_CUSTOMERS","RELATIONSHIP_AS_OF_DATE","20000114")</f>
        <v/>
      </c>
      <c r="EA5">
        <f>BDS("ONB US Equity","SUPPLY_CHAIN_SUPPLIERS","RELATIONSHIP_AS_OF_DATE","20160112")</f>
        <v/>
      </c>
      <c r="EF5">
        <f>BDS("ONB US Equity","SUPPLY_CHAIN_CUSTOMERS","RELATIONSHIP_AS_OF_DATE","20160112")</f>
        <v/>
      </c>
      <c r="EK5">
        <f>BDS("1255459D US Equity","SUPPLY_CHAIN_SUPPLIERS","RELATIONSHIP_AS_OF_DATE","20031224")</f>
        <v/>
      </c>
      <c r="EP5">
        <f>BDS("1255459D US Equity","SUPPLY_CHAIN_CUSTOMERS","RELATIONSHIP_AS_OF_DATE","20031224")</f>
        <v/>
      </c>
      <c r="EU5">
        <f>BDS("JNY US Equity","SUPPLY_CHAIN_SUPPLIERS","RELATIONSHIP_AS_OF_DATE","20010416")</f>
        <v/>
      </c>
      <c r="EZ5">
        <f>BDS("JNY US Equity","SUPPLY_CHAIN_CUSTOMERS","RELATIONSHIP_AS_OF_DATE","20010416")</f>
        <v/>
      </c>
      <c r="FE5">
        <f>BDS("COLB US Equity","SUPPLY_CHAIN_SUPPLIERS","RELATIONSHIP_AS_OF_DATE","20120926")</f>
        <v/>
      </c>
      <c r="FJ5">
        <f>BDS("COLB US Equity","SUPPLY_CHAIN_CUSTOMERS","RELATIONSHIP_AS_OF_DATE","20120926")</f>
        <v/>
      </c>
      <c r="FO5">
        <f>BDS("OCSL US Equity","SUPPLY_CHAIN_SUPPLIERS","RELATIONSHIP_AS_OF_DATE","20201029")</f>
        <v/>
      </c>
      <c r="FT5">
        <f>BDS("OCSL US Equity","SUPPLY_CHAIN_CUSTOMERS","RELATIONSHIP_AS_OF_DATE","20201029")</f>
        <v/>
      </c>
      <c r="FY5">
        <f>BDS("1920486D US Equity","SUPPLY_CHAIN_SUPPLIERS","RELATIONSHIP_AS_OF_DATE","19990823")</f>
        <v/>
      </c>
      <c r="GD5">
        <f>BDS("1920486D US Equity","SUPPLY_CHAIN_CUSTOMERS","RELATIONSHIP_AS_OF_DATE","19990823")</f>
        <v/>
      </c>
      <c r="GI5">
        <f>BDS("SCHW US Equity","SUPPLY_CHAIN_SUPPLIERS","RELATIONSHIP_AS_OF_DATE","20031119")</f>
        <v/>
      </c>
      <c r="GN5">
        <f>BDS("SCHW US Equity","SUPPLY_CHAIN_CUSTOMERS","RELATIONSHIP_AS_OF_DATE","20031119")</f>
        <v/>
      </c>
      <c r="GS5">
        <f>BDS("TNB US Equity","SUPPLY_CHAIN_SUPPLIERS","RELATIONSHIP_AS_OF_DATE","20070816")</f>
        <v/>
      </c>
      <c r="GX5">
        <f>BDS("TNB US Equity","SUPPLY_CHAIN_CUSTOMERS","RELATIONSHIP_AS_OF_DATE","20070816")</f>
        <v/>
      </c>
      <c r="HC5">
        <f>BDS("nan Equity","SUPPLY_CHAIN_SUPPLIERS","RELATIONSHIP_AS_OF_DATE","20060925")</f>
        <v/>
      </c>
      <c r="HH5">
        <f>BDS("nan Equity","SUPPLY_CHAIN_CUSTOMERS","RELATIONSHIP_AS_OF_DATE","20060925")</f>
        <v/>
      </c>
      <c r="HM5">
        <f>BDS("nan Equity","SUPPLY_CHAIN_SUPPLIERS","RELATIONSHIP_AS_OF_DATE","20200305")</f>
        <v/>
      </c>
      <c r="HR5">
        <f>BDS("nan Equity","SUPPLY_CHAIN_CUSTOMERS","RELATIONSHIP_AS_OF_DATE","20200305")</f>
        <v/>
      </c>
      <c r="HW5">
        <f>BDS("CADE US Equity","SUPPLY_CHAIN_SUPPLIERS","RELATIONSHIP_AS_OF_DATE","20000417")</f>
        <v/>
      </c>
      <c r="IB5">
        <f>BDS("CADE US Equity","SUPPLY_CHAIN_CUSTOMERS","RELATIONSHIP_AS_OF_DATE","20000417")</f>
        <v/>
      </c>
      <c r="IG5">
        <f>BDS("TLB US Equity","SUPPLY_CHAIN_SUPPLIERS","RELATIONSHIP_AS_OF_DATE","20091208")</f>
        <v/>
      </c>
      <c r="IL5">
        <f>BDS("TLB US Equity","SUPPLY_CHAIN_CUSTOMERS","RELATIONSHIP_AS_OF_DATE","20091208")</f>
        <v/>
      </c>
      <c r="IQ5">
        <f>BDS("SO US Equity","SUPPLY_CHAIN_SUPPLIERS","RELATIONSHIP_AS_OF_DATE","20160224")</f>
        <v/>
      </c>
      <c r="IV5">
        <f>BDS("SO US Equity","SUPPLY_CHAIN_CUSTOMERS","RELATIONSHIP_AS_OF_DATE","20160224")</f>
        <v/>
      </c>
      <c r="JA5">
        <f>BDS("DHR US Equity","SUPPLY_CHAIN_SUPPLIERS","RELATIONSHIP_AS_OF_DATE","19980202")</f>
        <v/>
      </c>
      <c r="JF5">
        <f>BDS("DHR US Equity","SUPPLY_CHAIN_CUSTOMERS","RELATIONSHIP_AS_OF_DATE","19980202")</f>
        <v/>
      </c>
      <c r="JK5">
        <f>BDS("CYBS US Equity","SUPPLY_CHAIN_SUPPLIERS","RELATIONSHIP_AS_OF_DATE","20070618")</f>
        <v/>
      </c>
      <c r="JP5">
        <f>BDS("CYBS US Equity","SUPPLY_CHAIN_CUSTOMERS","RELATIONSHIP_AS_OF_DATE","20070618")</f>
        <v/>
      </c>
      <c r="JU5">
        <f>BDS("PHS US Equity","SUPPLY_CHAIN_SUPPLIERS","RELATIONSHIP_AS_OF_DATE","20040915")</f>
        <v/>
      </c>
      <c r="JZ5">
        <f>BDS("PHS US Equity","SUPPLY_CHAIN_CUSTOMERS","RELATIONSHIP_AS_OF_DATE","20040915")</f>
        <v/>
      </c>
      <c r="KE5">
        <f>BDS("GZBX US Equity","SUPPLY_CHAIN_SUPPLIERS","RELATIONSHIP_AS_OF_DATE","20000306")</f>
        <v/>
      </c>
      <c r="KJ5">
        <f>BDS("GZBX US Equity","SUPPLY_CHAIN_CUSTOMERS","RELATIONSHIP_AS_OF_DATE","20000306")</f>
        <v/>
      </c>
      <c r="KO5">
        <f>BDS("SASR US Equity","SUPPLY_CHAIN_SUPPLIERS","RELATIONSHIP_AS_OF_DATE","20170516")</f>
        <v/>
      </c>
      <c r="KT5">
        <f>BDS("SASR US Equity","SUPPLY_CHAIN_CUSTOMERS","RELATIONSHIP_AS_OF_DATE","20170516")</f>
        <v/>
      </c>
      <c r="KY5">
        <f>BDS("OSGIQ US Equity","SUPPLY_CHAIN_SUPPLIERS","RELATIONSHIP_AS_OF_DATE","20060925")</f>
        <v/>
      </c>
      <c r="LD5">
        <f>BDS("OSGIQ US Equity","SUPPLY_CHAIN_CUSTOMERS","RELATIONSHIP_AS_OF_DATE","20060925")</f>
        <v/>
      </c>
      <c r="LI5">
        <f>BDS("WTRG US Equity","SUPPLY_CHAIN_SUPPLIERS","RELATIONSHIP_AS_OF_DATE","19980629")</f>
        <v/>
      </c>
      <c r="LN5">
        <f>BDS("WTRG US Equity","SUPPLY_CHAIN_CUSTOMERS","RELATIONSHIP_AS_OF_DATE","19980629")</f>
        <v/>
      </c>
      <c r="LS5">
        <f>BDS("CVX US Equity","SUPPLY_CHAIN_SUPPLIERS","RELATIONSHIP_AS_OF_DATE","20210305")</f>
        <v/>
      </c>
      <c r="LX5">
        <f>BDS("CVX US Equity","SUPPLY_CHAIN_CUSTOMERS","RELATIONSHIP_AS_OF_DATE","20210305")</f>
        <v/>
      </c>
      <c r="MC5">
        <f>BDS("RRC US Equity","SUPPLY_CHAIN_SUPPLIERS","RELATIONSHIP_AS_OF_DATE","20060511")</f>
        <v/>
      </c>
      <c r="MH5">
        <f>BDS("RRC US Equity","SUPPLY_CHAIN_CUSTOMERS","RELATIONSHIP_AS_OF_DATE","20060511")</f>
        <v/>
      </c>
      <c r="MM5">
        <f>BDS("1519128D US Equity","SUPPLY_CHAIN_SUPPLIERS","RELATIONSHIP_AS_OF_DATE","19990624")</f>
        <v/>
      </c>
      <c r="MR5">
        <f>BDS("1519128D US Equity","SUPPLY_CHAIN_CUSTOMERS","RELATIONSHIP_AS_OF_DATE","19990624")</f>
        <v/>
      </c>
      <c r="MW5">
        <f>BDS("TALO US Equity","SUPPLY_CHAIN_SUPPLIERS","RELATIONSHIP_AS_OF_DATE","20001030")</f>
        <v/>
      </c>
      <c r="NB5">
        <f>BDS("TALO US Equity","SUPPLY_CHAIN_CUSTOMERS","RELATIONSHIP_AS_OF_DATE","20001030")</f>
        <v/>
      </c>
      <c r="NG5">
        <f>BDS("GE US Equity","SUPPLY_CHAIN_SUPPLIERS","RELATIONSHIP_AS_OF_DATE","20101022")</f>
        <v/>
      </c>
      <c r="NL5">
        <f>BDS("GE US Equity","SUPPLY_CHAIN_CUSTOMERS","RELATIONSHIP_AS_OF_DATE","20101022")</f>
        <v/>
      </c>
      <c r="NQ5">
        <f>BDS("TEX US Equity","SUPPLY_CHAIN_SUPPLIERS","RELATIONSHIP_AS_OF_DATE","20080114")</f>
        <v/>
      </c>
      <c r="NV5">
        <f>BDS("TEX US Equity","SUPPLY_CHAIN_CUSTOMERS","RELATIONSHIP_AS_OF_DATE","20080114")</f>
        <v/>
      </c>
      <c r="OA5">
        <f>BDS("WTTR US Equity","SUPPLY_CHAIN_SUPPLIERS","RELATIONSHIP_AS_OF_DATE","20170718")</f>
        <v/>
      </c>
      <c r="OF5">
        <f>BDS("WTTR US Equity","SUPPLY_CHAIN_CUSTOMERS","RELATIONSHIP_AS_OF_DATE","20170718")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1961</t>
        </is>
      </c>
      <c r="K1" s="1" t="inlineStr">
        <is>
          <t>Deal 1962</t>
        </is>
      </c>
      <c r="U1" s="1" t="inlineStr">
        <is>
          <t>Deal 1963</t>
        </is>
      </c>
      <c r="AE1" s="1" t="inlineStr">
        <is>
          <t>Deal 1964</t>
        </is>
      </c>
      <c r="AO1" s="1" t="inlineStr">
        <is>
          <t>Deal 1965</t>
        </is>
      </c>
      <c r="AY1" s="1" t="inlineStr">
        <is>
          <t>Deal 1966</t>
        </is>
      </c>
      <c r="BI1" s="1" t="inlineStr">
        <is>
          <t>Deal 1967</t>
        </is>
      </c>
      <c r="BS1" s="1" t="inlineStr">
        <is>
          <t>Deal 1968</t>
        </is>
      </c>
      <c r="CC1" s="1" t="inlineStr">
        <is>
          <t>Deal 1969</t>
        </is>
      </c>
      <c r="CM1" s="1" t="inlineStr">
        <is>
          <t>Deal 1970</t>
        </is>
      </c>
      <c r="CW1" s="1" t="inlineStr">
        <is>
          <t>Deal 1971</t>
        </is>
      </c>
      <c r="DG1" s="1" t="inlineStr">
        <is>
          <t>Deal 1972</t>
        </is>
      </c>
      <c r="DQ1" s="1" t="inlineStr">
        <is>
          <t>Deal 1973</t>
        </is>
      </c>
      <c r="EA1" s="1" t="inlineStr">
        <is>
          <t>Deal 1974</t>
        </is>
      </c>
      <c r="EK1" s="1" t="inlineStr">
        <is>
          <t>Deal 1975</t>
        </is>
      </c>
      <c r="EU1" s="1" t="inlineStr">
        <is>
          <t>Deal 1976</t>
        </is>
      </c>
      <c r="FE1" s="1" t="inlineStr">
        <is>
          <t>Deal 1977</t>
        </is>
      </c>
      <c r="FO1" s="1" t="inlineStr">
        <is>
          <t>Deal 1978</t>
        </is>
      </c>
      <c r="FY1" s="1" t="inlineStr">
        <is>
          <t>Deal 1979</t>
        </is>
      </c>
      <c r="GI1" s="1" t="inlineStr">
        <is>
          <t>Deal 1980</t>
        </is>
      </c>
      <c r="GS1" s="1" t="inlineStr">
        <is>
          <t>Deal 1981</t>
        </is>
      </c>
      <c r="HC1" s="1" t="inlineStr">
        <is>
          <t>Deal 1982</t>
        </is>
      </c>
      <c r="HM1" s="1" t="inlineStr">
        <is>
          <t>Deal 1983</t>
        </is>
      </c>
      <c r="HW1" s="1" t="inlineStr">
        <is>
          <t>Deal 1984</t>
        </is>
      </c>
      <c r="IG1" s="1" t="inlineStr">
        <is>
          <t>Deal 1985</t>
        </is>
      </c>
      <c r="IQ1" s="1" t="inlineStr">
        <is>
          <t>Deal 1986</t>
        </is>
      </c>
      <c r="JA1" s="1" t="inlineStr">
        <is>
          <t>Deal 1987</t>
        </is>
      </c>
      <c r="JK1" s="1" t="inlineStr">
        <is>
          <t>Deal 1988</t>
        </is>
      </c>
      <c r="JU1" s="1" t="inlineStr">
        <is>
          <t>Deal 1989</t>
        </is>
      </c>
      <c r="KE1" s="1" t="inlineStr">
        <is>
          <t>Deal 1990</t>
        </is>
      </c>
      <c r="KO1" s="1" t="inlineStr">
        <is>
          <t>Deal 1991</t>
        </is>
      </c>
      <c r="KY1" s="1" t="inlineStr">
        <is>
          <t>Deal 1992</t>
        </is>
      </c>
      <c r="LI1" s="1" t="inlineStr">
        <is>
          <t>Deal 1993</t>
        </is>
      </c>
      <c r="LS1" s="1" t="inlineStr">
        <is>
          <t>Deal 1994</t>
        </is>
      </c>
      <c r="MC1" s="1" t="inlineStr">
        <is>
          <t>Deal 1995</t>
        </is>
      </c>
      <c r="MM1" s="1" t="inlineStr">
        <is>
          <t>Deal 1996</t>
        </is>
      </c>
      <c r="MW1" s="1" t="inlineStr">
        <is>
          <t>Deal 1997</t>
        </is>
      </c>
      <c r="NG1" s="1" t="inlineStr">
        <is>
          <t>Deal 1998</t>
        </is>
      </c>
      <c r="NQ1" s="1" t="inlineStr">
        <is>
          <t>Deal 1999</t>
        </is>
      </c>
      <c r="OA1" s="1" t="inlineStr">
        <is>
          <t>Deal 2000</t>
        </is>
      </c>
    </row>
    <row r="2">
      <c r="A2" s="2" t="inlineStr">
        <is>
          <t>TFC US Equity</t>
        </is>
      </c>
      <c r="K2" s="2" t="inlineStr">
        <is>
          <t>ZION US Equity</t>
        </is>
      </c>
      <c r="U2" s="2" t="inlineStr">
        <is>
          <t>RRD US Equity</t>
        </is>
      </c>
      <c r="AE2" s="2" t="inlineStr">
        <is>
          <t>ABBV US Equity</t>
        </is>
      </c>
      <c r="AO2" s="2" t="inlineStr">
        <is>
          <t>0848680D US Equity</t>
        </is>
      </c>
      <c r="AY2" s="2" t="inlineStr">
        <is>
          <t>3493202Q US Equity</t>
        </is>
      </c>
      <c r="BI2" s="2" t="inlineStr">
        <is>
          <t>NIC US Equity</t>
        </is>
      </c>
      <c r="BS2" s="2" t="inlineStr">
        <is>
          <t>FBRT US Equity</t>
        </is>
      </c>
      <c r="CC2" s="2" t="inlineStr">
        <is>
          <t>FGHLQ US Equity</t>
        </is>
      </c>
      <c r="CM2" s="2" t="inlineStr">
        <is>
          <t>UBSI US Equity</t>
        </is>
      </c>
      <c r="CW2" s="2" t="inlineStr">
        <is>
          <t>CHZ US Equity</t>
        </is>
      </c>
      <c r="DG2" s="2" t="inlineStr">
        <is>
          <t>2326248D US Equity</t>
        </is>
      </c>
      <c r="DQ2" s="2" t="inlineStr">
        <is>
          <t>YUM US Equity</t>
        </is>
      </c>
      <c r="EA2" s="2" t="inlineStr">
        <is>
          <t>9990822D US Equity</t>
        </is>
      </c>
      <c r="EK2" s="2" t="inlineStr">
        <is>
          <t>LNWO US Equity</t>
        </is>
      </c>
      <c r="EU2" s="2" t="inlineStr">
        <is>
          <t>1504558D US Equity</t>
        </is>
      </c>
      <c r="FE2" s="2" t="inlineStr">
        <is>
          <t>MRO US Equity</t>
        </is>
      </c>
      <c r="FO2" s="2" t="inlineStr">
        <is>
          <t>CATY US Equity</t>
        </is>
      </c>
      <c r="FY2" s="2" t="inlineStr">
        <is>
          <t>MXL US Equity</t>
        </is>
      </c>
      <c r="GI2" s="2" t="inlineStr">
        <is>
          <t>WBA US Equity</t>
        </is>
      </c>
      <c r="GS2" s="2" t="inlineStr">
        <is>
          <t>INTC US Equity</t>
        </is>
      </c>
      <c r="HC2" s="2" t="inlineStr">
        <is>
          <t>CBST US Equity</t>
        </is>
      </c>
      <c r="HM2" s="2" t="inlineStr">
        <is>
          <t>ISBC US Equity</t>
        </is>
      </c>
      <c r="HW2" s="2" t="inlineStr">
        <is>
          <t>HPQ US Equity</t>
        </is>
      </c>
      <c r="IG2" s="2" t="inlineStr">
        <is>
          <t>CNA US Equity</t>
        </is>
      </c>
      <c r="IQ2" s="2" t="inlineStr">
        <is>
          <t>1885525D US Equity</t>
        </is>
      </c>
      <c r="JA2" s="2" t="inlineStr">
        <is>
          <t>AUB US Equity</t>
        </is>
      </c>
      <c r="JK2" s="2" t="inlineStr">
        <is>
          <t>ADBE US Equity</t>
        </is>
      </c>
      <c r="JU2" s="2" t="inlineStr">
        <is>
          <t>ENV US Equity</t>
        </is>
      </c>
      <c r="KE2" s="2" t="inlineStr">
        <is>
          <t>ENTG US Equity</t>
        </is>
      </c>
      <c r="KO2" s="2" t="inlineStr">
        <is>
          <t>IONS US Equity</t>
        </is>
      </c>
      <c r="KY2" s="2" t="inlineStr">
        <is>
          <t>DBI US Equity</t>
        </is>
      </c>
      <c r="LI2" s="2" t="inlineStr">
        <is>
          <t>LNTH US Equity</t>
        </is>
      </c>
      <c r="LS2" s="2" t="inlineStr">
        <is>
          <t>1448021D US Equity</t>
        </is>
      </c>
      <c r="MC2" s="2" t="inlineStr">
        <is>
          <t>nan Equity</t>
        </is>
      </c>
      <c r="MM2" s="2" t="inlineStr">
        <is>
          <t>ATHMQ US Equity</t>
        </is>
      </c>
      <c r="MW2" s="2" t="inlineStr">
        <is>
          <t>DCLK US Equity</t>
        </is>
      </c>
      <c r="NG2" s="2" t="inlineStr">
        <is>
          <t>ADP US Equity</t>
        </is>
      </c>
      <c r="NQ2" s="2" t="inlineStr">
        <is>
          <t>GRBEQ US Equity</t>
        </is>
      </c>
      <c r="OA2" s="2" t="inlineStr">
        <is>
          <t>TFC US Equity</t>
        </is>
      </c>
    </row>
    <row r="3">
      <c r="A3" t="inlineStr">
        <is>
          <t>Ann: 1999-04-28</t>
        </is>
      </c>
      <c r="K3" t="inlineStr">
        <is>
          <t>Ann: 1998-03-26</t>
        </is>
      </c>
      <c r="U3" t="inlineStr">
        <is>
          <t>Ann: 2010-02-23</t>
        </is>
      </c>
      <c r="AE3" t="inlineStr">
        <is>
          <t>Ann: 2021-05-10</t>
        </is>
      </c>
      <c r="AO3" t="inlineStr">
        <is>
          <t>Ann: 1999-04-27</t>
        </is>
      </c>
      <c r="AY3" t="inlineStr">
        <is>
          <t>Ann: 2006-01-30</t>
        </is>
      </c>
      <c r="BI3" t="inlineStr">
        <is>
          <t>Ann: 2021-06-22</t>
        </is>
      </c>
      <c r="BS3" t="inlineStr">
        <is>
          <t>Ann: 2021-07-26</t>
        </is>
      </c>
      <c r="CC3" t="inlineStr">
        <is>
          <t>Ann: 1999-06-02</t>
        </is>
      </c>
      <c r="CM3" t="inlineStr">
        <is>
          <t>Ann: 2013-01-30</t>
        </is>
      </c>
      <c r="CW3" t="inlineStr">
        <is>
          <t>Ann: 1998-12-16</t>
        </is>
      </c>
      <c r="DG3" t="inlineStr">
        <is>
          <t>Ann: 2015-05-27</t>
        </is>
      </c>
      <c r="DQ3" t="inlineStr">
        <is>
          <t>Ann: 2020-01-06</t>
        </is>
      </c>
      <c r="EA3" t="inlineStr">
        <is>
          <t>Ann: 2006-03-08</t>
        </is>
      </c>
      <c r="EK3" t="inlineStr">
        <is>
          <t>Ann: 2017-09-20</t>
        </is>
      </c>
      <c r="EU3" t="inlineStr">
        <is>
          <t>Ann: 2005-03-09</t>
        </is>
      </c>
      <c r="FE3" t="inlineStr">
        <is>
          <t>Ann: 2000-12-22</t>
        </is>
      </c>
      <c r="FO3" t="inlineStr">
        <is>
          <t>Ann: 2003-05-07</t>
        </is>
      </c>
      <c r="FY3" t="inlineStr">
        <is>
          <t>Ann: 2017-03-29</t>
        </is>
      </c>
      <c r="GI3" t="inlineStr">
        <is>
          <t>Ann: 2011-03-24</t>
        </is>
      </c>
      <c r="GS3" t="inlineStr">
        <is>
          <t>Ann: 2001-01-15</t>
        </is>
      </c>
      <c r="HC3" t="inlineStr">
        <is>
          <t>Ann: 2013-07-30</t>
        </is>
      </c>
      <c r="HM3" t="inlineStr">
        <is>
          <t>Ann: 2012-12-20</t>
        </is>
      </c>
      <c r="HW3" t="inlineStr">
        <is>
          <t>Ann: 2005-09-19</t>
        </is>
      </c>
      <c r="IG3" t="inlineStr">
        <is>
          <t>Ann: 2010-11-01</t>
        </is>
      </c>
      <c r="IQ3" t="inlineStr">
        <is>
          <t>Ann: 2010-09-29</t>
        </is>
      </c>
      <c r="JA3" t="inlineStr">
        <is>
          <t>Ann: 2013-06-10</t>
        </is>
      </c>
      <c r="JK3" t="inlineStr">
        <is>
          <t>Ann: 2016-11-10</t>
        </is>
      </c>
      <c r="JU3" t="inlineStr">
        <is>
          <t>Ann: 2015-08-10</t>
        </is>
      </c>
      <c r="KE3" t="inlineStr">
        <is>
          <t>Ann: 2005-03-21</t>
        </is>
      </c>
      <c r="KO3" t="inlineStr">
        <is>
          <t>Ann: 2020-08-31</t>
        </is>
      </c>
      <c r="KY3" t="inlineStr">
        <is>
          <t>Ann: 2011-02-08</t>
        </is>
      </c>
      <c r="LI3" t="inlineStr">
        <is>
          <t>Ann: 2019-10-02</t>
        </is>
      </c>
      <c r="LS3" t="inlineStr">
        <is>
          <t>Ann: 2013-09-05</t>
        </is>
      </c>
      <c r="MC3" t="inlineStr">
        <is>
          <t>Ann: 2007-08-12</t>
        </is>
      </c>
      <c r="MM3" t="inlineStr">
        <is>
          <t>Ann: 1999-07-13</t>
        </is>
      </c>
      <c r="MW3" t="inlineStr">
        <is>
          <t>Ann: 1999-07-13</t>
        </is>
      </c>
      <c r="NG3" t="inlineStr">
        <is>
          <t>Ann: 2003-01-06</t>
        </is>
      </c>
      <c r="NQ3" t="inlineStr">
        <is>
          <t>Ann: 2007-05-22</t>
        </is>
      </c>
      <c r="OA3" t="inlineStr">
        <is>
          <t>Ann: 2001-11-08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BDS("TFC US Equity","SUPPLY_CHAIN_SUPPLIERS","RELATIONSHIP_AS_OF_DATE","19990428")</f>
        <v/>
      </c>
      <c r="F5">
        <f>BDS("TFC US Equity","SUPPLY_CHAIN_CUSTOMERS","RELATIONSHIP_AS_OF_DATE","19990428")</f>
        <v/>
      </c>
      <c r="K5">
        <f>BDS("ZION US Equity","SUPPLY_CHAIN_SUPPLIERS","RELATIONSHIP_AS_OF_DATE","19980326")</f>
        <v/>
      </c>
      <c r="P5">
        <f>BDS("ZION US Equity","SUPPLY_CHAIN_CUSTOMERS","RELATIONSHIP_AS_OF_DATE","19980326")</f>
        <v/>
      </c>
      <c r="U5">
        <f>BDS("RRD US Equity","SUPPLY_CHAIN_SUPPLIERS","RELATIONSHIP_AS_OF_DATE","20100223")</f>
        <v/>
      </c>
      <c r="Z5">
        <f>BDS("RRD US Equity","SUPPLY_CHAIN_CUSTOMERS","RELATIONSHIP_AS_OF_DATE","20100223")</f>
        <v/>
      </c>
      <c r="AE5">
        <f>BDS("ABBV US Equity","SUPPLY_CHAIN_SUPPLIERS","RELATIONSHIP_AS_OF_DATE","20210510")</f>
        <v/>
      </c>
      <c r="AJ5">
        <f>BDS("ABBV US Equity","SUPPLY_CHAIN_CUSTOMERS","RELATIONSHIP_AS_OF_DATE","20210510")</f>
        <v/>
      </c>
      <c r="AO5">
        <f>BDS("0848680D US Equity","SUPPLY_CHAIN_SUPPLIERS","RELATIONSHIP_AS_OF_DATE","19990427")</f>
        <v/>
      </c>
      <c r="AT5">
        <f>BDS("0848680D US Equity","SUPPLY_CHAIN_CUSTOMERS","RELATIONSHIP_AS_OF_DATE","19990427")</f>
        <v/>
      </c>
      <c r="AY5">
        <f>BDS("3493202Q US Equity","SUPPLY_CHAIN_SUPPLIERS","RELATIONSHIP_AS_OF_DATE","20060130")</f>
        <v/>
      </c>
      <c r="BD5">
        <f>BDS("3493202Q US Equity","SUPPLY_CHAIN_CUSTOMERS","RELATIONSHIP_AS_OF_DATE","20060130")</f>
        <v/>
      </c>
      <c r="BI5">
        <f>BDS("NIC US Equity","SUPPLY_CHAIN_SUPPLIERS","RELATIONSHIP_AS_OF_DATE","20210622")</f>
        <v/>
      </c>
      <c r="BN5">
        <f>BDS("NIC US Equity","SUPPLY_CHAIN_CUSTOMERS","RELATIONSHIP_AS_OF_DATE","20210622")</f>
        <v/>
      </c>
      <c r="BS5">
        <f>BDS("FBRT US Equity","SUPPLY_CHAIN_SUPPLIERS","RELATIONSHIP_AS_OF_DATE","20210726")</f>
        <v/>
      </c>
      <c r="BX5">
        <f>BDS("FBRT US Equity","SUPPLY_CHAIN_CUSTOMERS","RELATIONSHIP_AS_OF_DATE","20210726")</f>
        <v/>
      </c>
      <c r="CC5">
        <f>BDS("FGHLQ US Equity","SUPPLY_CHAIN_SUPPLIERS","RELATIONSHIP_AS_OF_DATE","19990602")</f>
        <v/>
      </c>
      <c r="CH5">
        <f>BDS("FGHLQ US Equity","SUPPLY_CHAIN_CUSTOMERS","RELATIONSHIP_AS_OF_DATE","19990602")</f>
        <v/>
      </c>
      <c r="CM5">
        <f>BDS("UBSI US Equity","SUPPLY_CHAIN_SUPPLIERS","RELATIONSHIP_AS_OF_DATE","20130130")</f>
        <v/>
      </c>
      <c r="CR5">
        <f>BDS("UBSI US Equity","SUPPLY_CHAIN_CUSTOMERS","RELATIONSHIP_AS_OF_DATE","20130130")</f>
        <v/>
      </c>
      <c r="CW5">
        <f>BDS("CHZ US Equity","SUPPLY_CHAIN_SUPPLIERS","RELATIONSHIP_AS_OF_DATE","19981216")</f>
        <v/>
      </c>
      <c r="DB5">
        <f>BDS("CHZ US Equity","SUPPLY_CHAIN_CUSTOMERS","RELATIONSHIP_AS_OF_DATE","19981216")</f>
        <v/>
      </c>
      <c r="DG5">
        <f>BDS("2326248D US Equity","SUPPLY_CHAIN_SUPPLIERS","RELATIONSHIP_AS_OF_DATE","20150527")</f>
        <v/>
      </c>
      <c r="DL5">
        <f>BDS("2326248D US Equity","SUPPLY_CHAIN_CUSTOMERS","RELATIONSHIP_AS_OF_DATE","20150527")</f>
        <v/>
      </c>
      <c r="DQ5">
        <f>BDS("YUM US Equity","SUPPLY_CHAIN_SUPPLIERS","RELATIONSHIP_AS_OF_DATE","20200106")</f>
        <v/>
      </c>
      <c r="DV5">
        <f>BDS("YUM US Equity","SUPPLY_CHAIN_CUSTOMERS","RELATIONSHIP_AS_OF_DATE","20200106")</f>
        <v/>
      </c>
      <c r="EA5">
        <f>BDS("9990822D US Equity","SUPPLY_CHAIN_SUPPLIERS","RELATIONSHIP_AS_OF_DATE","20060308")</f>
        <v/>
      </c>
      <c r="EF5">
        <f>BDS("9990822D US Equity","SUPPLY_CHAIN_CUSTOMERS","RELATIONSHIP_AS_OF_DATE","20060308")</f>
        <v/>
      </c>
      <c r="EK5">
        <f>BDS("LNWO US Equity","SUPPLY_CHAIN_SUPPLIERS","RELATIONSHIP_AS_OF_DATE","20170920")</f>
        <v/>
      </c>
      <c r="EP5">
        <f>BDS("LNWO US Equity","SUPPLY_CHAIN_CUSTOMERS","RELATIONSHIP_AS_OF_DATE","20170920")</f>
        <v/>
      </c>
      <c r="EU5">
        <f>BDS("1504558D US Equity","SUPPLY_CHAIN_SUPPLIERS","RELATIONSHIP_AS_OF_DATE","20050309")</f>
        <v/>
      </c>
      <c r="EZ5">
        <f>BDS("1504558D US Equity","SUPPLY_CHAIN_CUSTOMERS","RELATIONSHIP_AS_OF_DATE","20050309")</f>
        <v/>
      </c>
      <c r="FE5">
        <f>BDS("MRO US Equity","SUPPLY_CHAIN_SUPPLIERS","RELATIONSHIP_AS_OF_DATE","20001222")</f>
        <v/>
      </c>
      <c r="FJ5">
        <f>BDS("MRO US Equity","SUPPLY_CHAIN_CUSTOMERS","RELATIONSHIP_AS_OF_DATE","20001222")</f>
        <v/>
      </c>
      <c r="FO5">
        <f>BDS("CATY US Equity","SUPPLY_CHAIN_SUPPLIERS","RELATIONSHIP_AS_OF_DATE","20030507")</f>
        <v/>
      </c>
      <c r="FT5">
        <f>BDS("CATY US Equity","SUPPLY_CHAIN_CUSTOMERS","RELATIONSHIP_AS_OF_DATE","20030507")</f>
        <v/>
      </c>
      <c r="FY5">
        <f>BDS("MXL US Equity","SUPPLY_CHAIN_SUPPLIERS","RELATIONSHIP_AS_OF_DATE","20170329")</f>
        <v/>
      </c>
      <c r="GD5">
        <f>BDS("MXL US Equity","SUPPLY_CHAIN_CUSTOMERS","RELATIONSHIP_AS_OF_DATE","20170329")</f>
        <v/>
      </c>
      <c r="GI5">
        <f>BDS("WBA US Equity","SUPPLY_CHAIN_SUPPLIERS","RELATIONSHIP_AS_OF_DATE","20110324")</f>
        <v/>
      </c>
      <c r="GN5">
        <f>BDS("WBA US Equity","SUPPLY_CHAIN_CUSTOMERS","RELATIONSHIP_AS_OF_DATE","20110324")</f>
        <v/>
      </c>
      <c r="GS5">
        <f>BDS("INTC US Equity","SUPPLY_CHAIN_SUPPLIERS","RELATIONSHIP_AS_OF_DATE","20010115")</f>
        <v/>
      </c>
      <c r="GX5">
        <f>BDS("INTC US Equity","SUPPLY_CHAIN_CUSTOMERS","RELATIONSHIP_AS_OF_DATE","20010115")</f>
        <v/>
      </c>
      <c r="HC5">
        <f>BDS("CBST US Equity","SUPPLY_CHAIN_SUPPLIERS","RELATIONSHIP_AS_OF_DATE","20130730")</f>
        <v/>
      </c>
      <c r="HH5">
        <f>BDS("CBST US Equity","SUPPLY_CHAIN_CUSTOMERS","RELATIONSHIP_AS_OF_DATE","20130730")</f>
        <v/>
      </c>
      <c r="HM5">
        <f>BDS("ISBC US Equity","SUPPLY_CHAIN_SUPPLIERS","RELATIONSHIP_AS_OF_DATE","20121220")</f>
        <v/>
      </c>
      <c r="HR5">
        <f>BDS("ISBC US Equity","SUPPLY_CHAIN_CUSTOMERS","RELATIONSHIP_AS_OF_DATE","20121220")</f>
        <v/>
      </c>
      <c r="HW5">
        <f>BDS("HPQ US Equity","SUPPLY_CHAIN_SUPPLIERS","RELATIONSHIP_AS_OF_DATE","20050919")</f>
        <v/>
      </c>
      <c r="IB5">
        <f>BDS("HPQ US Equity","SUPPLY_CHAIN_CUSTOMERS","RELATIONSHIP_AS_OF_DATE","20050919")</f>
        <v/>
      </c>
      <c r="IG5">
        <f>BDS("CNA US Equity","SUPPLY_CHAIN_SUPPLIERS","RELATIONSHIP_AS_OF_DATE","20101101")</f>
        <v/>
      </c>
      <c r="IL5">
        <f>BDS("CNA US Equity","SUPPLY_CHAIN_CUSTOMERS","RELATIONSHIP_AS_OF_DATE","20101101")</f>
        <v/>
      </c>
      <c r="IQ5">
        <f>BDS("1885525D US Equity","SUPPLY_CHAIN_SUPPLIERS","RELATIONSHIP_AS_OF_DATE","20100929")</f>
        <v/>
      </c>
      <c r="IV5">
        <f>BDS("1885525D US Equity","SUPPLY_CHAIN_CUSTOMERS","RELATIONSHIP_AS_OF_DATE","20100929")</f>
        <v/>
      </c>
      <c r="JA5">
        <f>BDS("AUB US Equity","SUPPLY_CHAIN_SUPPLIERS","RELATIONSHIP_AS_OF_DATE","20130610")</f>
        <v/>
      </c>
      <c r="JF5">
        <f>BDS("AUB US Equity","SUPPLY_CHAIN_CUSTOMERS","RELATIONSHIP_AS_OF_DATE","20130610")</f>
        <v/>
      </c>
      <c r="JK5">
        <f>BDS("ADBE US Equity","SUPPLY_CHAIN_SUPPLIERS","RELATIONSHIP_AS_OF_DATE","20161110")</f>
        <v/>
      </c>
      <c r="JP5">
        <f>BDS("ADBE US Equity","SUPPLY_CHAIN_CUSTOMERS","RELATIONSHIP_AS_OF_DATE","20161110")</f>
        <v/>
      </c>
      <c r="JU5">
        <f>BDS("ENV US Equity","SUPPLY_CHAIN_SUPPLIERS","RELATIONSHIP_AS_OF_DATE","20150810")</f>
        <v/>
      </c>
      <c r="JZ5">
        <f>BDS("ENV US Equity","SUPPLY_CHAIN_CUSTOMERS","RELATIONSHIP_AS_OF_DATE","20150810")</f>
        <v/>
      </c>
      <c r="KE5">
        <f>BDS("ENTG US Equity","SUPPLY_CHAIN_SUPPLIERS","RELATIONSHIP_AS_OF_DATE","20050321")</f>
        <v/>
      </c>
      <c r="KJ5">
        <f>BDS("ENTG US Equity","SUPPLY_CHAIN_CUSTOMERS","RELATIONSHIP_AS_OF_DATE","20050321")</f>
        <v/>
      </c>
      <c r="KO5">
        <f>BDS("IONS US Equity","SUPPLY_CHAIN_SUPPLIERS","RELATIONSHIP_AS_OF_DATE","20200831")</f>
        <v/>
      </c>
      <c r="KT5">
        <f>BDS("IONS US Equity","SUPPLY_CHAIN_CUSTOMERS","RELATIONSHIP_AS_OF_DATE","20200831")</f>
        <v/>
      </c>
      <c r="KY5">
        <f>BDS("DBI US Equity","SUPPLY_CHAIN_SUPPLIERS","RELATIONSHIP_AS_OF_DATE","20110208")</f>
        <v/>
      </c>
      <c r="LD5">
        <f>BDS("DBI US Equity","SUPPLY_CHAIN_CUSTOMERS","RELATIONSHIP_AS_OF_DATE","20110208")</f>
        <v/>
      </c>
      <c r="LI5">
        <f>BDS("LNTH US Equity","SUPPLY_CHAIN_SUPPLIERS","RELATIONSHIP_AS_OF_DATE","20191002")</f>
        <v/>
      </c>
      <c r="LN5">
        <f>BDS("LNTH US Equity","SUPPLY_CHAIN_CUSTOMERS","RELATIONSHIP_AS_OF_DATE","20191002")</f>
        <v/>
      </c>
      <c r="LS5">
        <f>BDS("1448021D US Equity","SUPPLY_CHAIN_SUPPLIERS","RELATIONSHIP_AS_OF_DATE","20130905")</f>
        <v/>
      </c>
      <c r="LX5">
        <f>BDS("1448021D US Equity","SUPPLY_CHAIN_CUSTOMERS","RELATIONSHIP_AS_OF_DATE","20130905")</f>
        <v/>
      </c>
      <c r="MC5">
        <f>BDS("nan Equity","SUPPLY_CHAIN_SUPPLIERS","RELATIONSHIP_AS_OF_DATE","20070812")</f>
        <v/>
      </c>
      <c r="MH5">
        <f>BDS("nan Equity","SUPPLY_CHAIN_CUSTOMERS","RELATIONSHIP_AS_OF_DATE","20070812")</f>
        <v/>
      </c>
      <c r="MM5">
        <f>BDS("ATHMQ US Equity","SUPPLY_CHAIN_SUPPLIERS","RELATIONSHIP_AS_OF_DATE","19990713")</f>
        <v/>
      </c>
      <c r="MR5">
        <f>BDS("ATHMQ US Equity","SUPPLY_CHAIN_CUSTOMERS","RELATIONSHIP_AS_OF_DATE","19990713")</f>
        <v/>
      </c>
      <c r="MW5">
        <f>BDS("DCLK US Equity","SUPPLY_CHAIN_SUPPLIERS","RELATIONSHIP_AS_OF_DATE","19990713")</f>
        <v/>
      </c>
      <c r="NB5">
        <f>BDS("DCLK US Equity","SUPPLY_CHAIN_CUSTOMERS","RELATIONSHIP_AS_OF_DATE","19990713")</f>
        <v/>
      </c>
      <c r="NG5">
        <f>BDS("ADP US Equity","SUPPLY_CHAIN_SUPPLIERS","RELATIONSHIP_AS_OF_DATE","20030106")</f>
        <v/>
      </c>
      <c r="NL5">
        <f>BDS("ADP US Equity","SUPPLY_CHAIN_CUSTOMERS","RELATIONSHIP_AS_OF_DATE","20030106")</f>
        <v/>
      </c>
      <c r="NQ5">
        <f>BDS("GRBEQ US Equity","SUPPLY_CHAIN_SUPPLIERS","RELATIONSHIP_AS_OF_DATE","20070522")</f>
        <v/>
      </c>
      <c r="NV5">
        <f>BDS("GRBEQ US Equity","SUPPLY_CHAIN_CUSTOMERS","RELATIONSHIP_AS_OF_DATE","20070522")</f>
        <v/>
      </c>
      <c r="OA5">
        <f>BDS("TFC US Equity","SUPPLY_CHAIN_SUPPLIERS","RELATIONSHIP_AS_OF_DATE","20011108")</f>
        <v/>
      </c>
      <c r="OF5">
        <f>BDS("TFC US Equity","SUPPLY_CHAIN_CUSTOMERS","RELATIONSHIP_AS_OF_DATE","20011108")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2001</t>
        </is>
      </c>
      <c r="K1" s="1" t="inlineStr">
        <is>
          <t>Deal 2002</t>
        </is>
      </c>
      <c r="U1" s="1" t="inlineStr">
        <is>
          <t>Deal 2003</t>
        </is>
      </c>
      <c r="AE1" s="1" t="inlineStr">
        <is>
          <t>Deal 2004</t>
        </is>
      </c>
      <c r="AO1" s="1" t="inlineStr">
        <is>
          <t>Deal 2005</t>
        </is>
      </c>
      <c r="AY1" s="1" t="inlineStr">
        <is>
          <t>Deal 2006</t>
        </is>
      </c>
      <c r="BI1" s="1" t="inlineStr">
        <is>
          <t>Deal 2007</t>
        </is>
      </c>
      <c r="BS1" s="1" t="inlineStr">
        <is>
          <t>Deal 2008</t>
        </is>
      </c>
      <c r="CC1" s="1" t="inlineStr">
        <is>
          <t>Deal 2009</t>
        </is>
      </c>
      <c r="CM1" s="1" t="inlineStr">
        <is>
          <t>Deal 2010</t>
        </is>
      </c>
      <c r="CW1" s="1" t="inlineStr">
        <is>
          <t>Deal 2011</t>
        </is>
      </c>
      <c r="DG1" s="1" t="inlineStr">
        <is>
          <t>Deal 2012</t>
        </is>
      </c>
      <c r="DQ1" s="1" t="inlineStr">
        <is>
          <t>Deal 2013</t>
        </is>
      </c>
      <c r="EA1" s="1" t="inlineStr">
        <is>
          <t>Deal 2014</t>
        </is>
      </c>
      <c r="EK1" s="1" t="inlineStr">
        <is>
          <t>Deal 2015</t>
        </is>
      </c>
      <c r="EU1" s="1" t="inlineStr">
        <is>
          <t>Deal 2016</t>
        </is>
      </c>
      <c r="FE1" s="1" t="inlineStr">
        <is>
          <t>Deal 2017</t>
        </is>
      </c>
      <c r="FO1" s="1" t="inlineStr">
        <is>
          <t>Deal 2018</t>
        </is>
      </c>
      <c r="FY1" s="1" t="inlineStr">
        <is>
          <t>Deal 2019</t>
        </is>
      </c>
      <c r="GI1" s="1" t="inlineStr">
        <is>
          <t>Deal 2020</t>
        </is>
      </c>
      <c r="GS1" s="1" t="inlineStr">
        <is>
          <t>Deal 2021</t>
        </is>
      </c>
      <c r="HC1" s="1" t="inlineStr">
        <is>
          <t>Deal 2022</t>
        </is>
      </c>
      <c r="HM1" s="1" t="inlineStr">
        <is>
          <t>Deal 2023</t>
        </is>
      </c>
      <c r="HW1" s="1" t="inlineStr">
        <is>
          <t>Deal 2024</t>
        </is>
      </c>
      <c r="IG1" s="1" t="inlineStr">
        <is>
          <t>Deal 2025</t>
        </is>
      </c>
      <c r="IQ1" s="1" t="inlineStr">
        <is>
          <t>Deal 2026</t>
        </is>
      </c>
      <c r="JA1" s="1" t="inlineStr">
        <is>
          <t>Deal 2027</t>
        </is>
      </c>
      <c r="JK1" s="1" t="inlineStr">
        <is>
          <t>Deal 2028</t>
        </is>
      </c>
      <c r="JU1" s="1" t="inlineStr">
        <is>
          <t>Deal 2029</t>
        </is>
      </c>
      <c r="KE1" s="1" t="inlineStr">
        <is>
          <t>Deal 2030</t>
        </is>
      </c>
      <c r="KO1" s="1" t="inlineStr">
        <is>
          <t>Deal 2031</t>
        </is>
      </c>
      <c r="KY1" s="1" t="inlineStr">
        <is>
          <t>Deal 2032</t>
        </is>
      </c>
      <c r="LI1" s="1" t="inlineStr">
        <is>
          <t>Deal 2033</t>
        </is>
      </c>
      <c r="LS1" s="1" t="inlineStr">
        <is>
          <t>Deal 2034</t>
        </is>
      </c>
      <c r="MC1" s="1" t="inlineStr">
        <is>
          <t>Deal 2035</t>
        </is>
      </c>
      <c r="MM1" s="1" t="inlineStr">
        <is>
          <t>Deal 2036</t>
        </is>
      </c>
      <c r="MW1" s="1" t="inlineStr">
        <is>
          <t>Deal 2037</t>
        </is>
      </c>
      <c r="NG1" s="1" t="inlineStr">
        <is>
          <t>Deal 2038</t>
        </is>
      </c>
      <c r="NQ1" s="1" t="inlineStr">
        <is>
          <t>Deal 2039</t>
        </is>
      </c>
      <c r="OA1" s="1" t="inlineStr">
        <is>
          <t>Deal 2040</t>
        </is>
      </c>
    </row>
    <row r="2">
      <c r="A2" s="2" t="inlineStr">
        <is>
          <t>STCN US Equity</t>
        </is>
      </c>
      <c r="K2" s="2" t="inlineStr">
        <is>
          <t>LMND US Equity</t>
        </is>
      </c>
      <c r="U2" s="2" t="inlineStr">
        <is>
          <t>2725934Q US Equity</t>
        </is>
      </c>
      <c r="AE2" s="2" t="inlineStr">
        <is>
          <t>KODK US Equity</t>
        </is>
      </c>
      <c r="AO2" s="2" t="inlineStr">
        <is>
          <t>EMR US Equity</t>
        </is>
      </c>
      <c r="AY2" s="2" t="inlineStr">
        <is>
          <t>DJ US Equity</t>
        </is>
      </c>
      <c r="BI2" s="2" t="inlineStr">
        <is>
          <t>ZD US Equity</t>
        </is>
      </c>
      <c r="BS2" s="2" t="inlineStr">
        <is>
          <t>CEPH US Equity</t>
        </is>
      </c>
      <c r="CC2" s="2" t="inlineStr">
        <is>
          <t>AMT US Equity</t>
        </is>
      </c>
      <c r="CM2" s="2" t="inlineStr">
        <is>
          <t>749001Q US Equity</t>
        </is>
      </c>
      <c r="CW2" s="2" t="inlineStr">
        <is>
          <t>ESMK US Equity</t>
        </is>
      </c>
      <c r="DG2" s="2" t="inlineStr">
        <is>
          <t>1702253D US Equity</t>
        </is>
      </c>
      <c r="DQ2" s="2" t="inlineStr">
        <is>
          <t>PNC US Equity</t>
        </is>
      </c>
      <c r="EA2" s="2" t="inlineStr">
        <is>
          <t>OPK US Equity</t>
        </is>
      </c>
      <c r="EK2" s="2" t="inlineStr">
        <is>
          <t>CVOVQ US Equity</t>
        </is>
      </c>
      <c r="EU2" s="2" t="inlineStr">
        <is>
          <t>ROH US Equity</t>
        </is>
      </c>
      <c r="FE2" s="2" t="inlineStr">
        <is>
          <t>WBS US Equity</t>
        </is>
      </c>
      <c r="FO2" s="2" t="inlineStr">
        <is>
          <t>nan Equity</t>
        </is>
      </c>
      <c r="FY2" s="2" t="inlineStr">
        <is>
          <t>CPF US Equity</t>
        </is>
      </c>
      <c r="GI2" s="2" t="inlineStr">
        <is>
          <t>EMR US Equity</t>
        </is>
      </c>
      <c r="GS2" s="2" t="inlineStr">
        <is>
          <t>3499164Q US Equity</t>
        </is>
      </c>
      <c r="HC2" s="2" t="inlineStr">
        <is>
          <t>ETP US Equity</t>
        </is>
      </c>
      <c r="HM2" s="2" t="inlineStr">
        <is>
          <t>1524867D US Equity</t>
        </is>
      </c>
      <c r="HW2" s="2" t="inlineStr">
        <is>
          <t>329556Q US Equity</t>
        </is>
      </c>
      <c r="IG2" s="2" t="inlineStr">
        <is>
          <t>IBM US Equity</t>
        </is>
      </c>
      <c r="IQ2" s="2" t="inlineStr">
        <is>
          <t>FMBI US Equity</t>
        </is>
      </c>
      <c r="JA2" s="2" t="inlineStr">
        <is>
          <t>HET US Equity</t>
        </is>
      </c>
      <c r="JK2" s="2" t="inlineStr">
        <is>
          <t>2326248D US Equity</t>
        </is>
      </c>
      <c r="JU2" s="2" t="inlineStr">
        <is>
          <t>ON US Equity</t>
        </is>
      </c>
      <c r="KE2" s="2" t="inlineStr">
        <is>
          <t>MAN US Equity</t>
        </is>
      </c>
      <c r="KO2" s="2" t="inlineStr">
        <is>
          <t>AZTA US Equity</t>
        </is>
      </c>
      <c r="KY2" s="2" t="inlineStr">
        <is>
          <t>1255459D US Equity</t>
        </is>
      </c>
      <c r="LI2" s="2" t="inlineStr">
        <is>
          <t>MXIM US Equity</t>
        </is>
      </c>
      <c r="LS2" s="2" t="inlineStr">
        <is>
          <t>TFC US Equity</t>
        </is>
      </c>
      <c r="MC2" s="2" t="inlineStr">
        <is>
          <t>nan Equity</t>
        </is>
      </c>
      <c r="MM2" s="2" t="inlineStr">
        <is>
          <t>CEPH US Equity</t>
        </is>
      </c>
      <c r="MW2" s="2" t="inlineStr">
        <is>
          <t>PNP US Equity</t>
        </is>
      </c>
      <c r="NG2" s="2" t="inlineStr">
        <is>
          <t>OK US Equity</t>
        </is>
      </c>
      <c r="NQ2" s="2" t="inlineStr">
        <is>
          <t>0848680D US Equity</t>
        </is>
      </c>
      <c r="OA2" s="2" t="inlineStr">
        <is>
          <t>RVTY US Equity</t>
        </is>
      </c>
    </row>
    <row r="3">
      <c r="A3" t="inlineStr">
        <is>
          <t>Ann: 1999-09-20</t>
        </is>
      </c>
      <c r="K3" t="inlineStr">
        <is>
          <t>Ann: 2021-11-08</t>
        </is>
      </c>
      <c r="U3" t="inlineStr">
        <is>
          <t>Ann: 2001-10-01</t>
        </is>
      </c>
      <c r="AE3" t="inlineStr">
        <is>
          <t>Ann: 2003-07-21</t>
        </is>
      </c>
      <c r="AO3" t="inlineStr">
        <is>
          <t>Ann: 2006-02-02</t>
        </is>
      </c>
      <c r="AY3" t="inlineStr">
        <is>
          <t>Ann: 2004-11-14</t>
        </is>
      </c>
      <c r="BI3" t="inlineStr">
        <is>
          <t>Ann: 2016-10-21</t>
        </is>
      </c>
      <c r="BS3" t="inlineStr">
        <is>
          <t>Ann: 2003-08-21</t>
        </is>
      </c>
      <c r="CC3" t="inlineStr">
        <is>
          <t>Ann: 1998-11-16</t>
        </is>
      </c>
      <c r="CM3" t="inlineStr">
        <is>
          <t>Ann: 1998-02-17</t>
        </is>
      </c>
      <c r="CW3" t="inlineStr">
        <is>
          <t>Ann: 2007-03-16</t>
        </is>
      </c>
      <c r="DG3" t="inlineStr">
        <is>
          <t>Ann: 2012-05-13</t>
        </is>
      </c>
      <c r="DQ3" t="inlineStr">
        <is>
          <t>Ann: 2007-06-07</t>
        </is>
      </c>
      <c r="EA3" t="inlineStr">
        <is>
          <t>Ann: 2013-04-24</t>
        </is>
      </c>
      <c r="EK3" t="inlineStr">
        <is>
          <t>Ann: 2006-12-27</t>
        </is>
      </c>
      <c r="EU3" t="inlineStr">
        <is>
          <t>Ann: 1998-12-21</t>
        </is>
      </c>
      <c r="FE3" t="inlineStr">
        <is>
          <t>Ann: 2003-10-07</t>
        </is>
      </c>
      <c r="FO3" t="inlineStr">
        <is>
          <t>Ann: 2014-02-17</t>
        </is>
      </c>
      <c r="FY3" t="inlineStr">
        <is>
          <t>Ann: 2003-04-16</t>
        </is>
      </c>
      <c r="GI3" t="inlineStr">
        <is>
          <t>Ann: 1999-05-13</t>
        </is>
      </c>
      <c r="GS3" t="inlineStr">
        <is>
          <t>Ann: 1999-10-21</t>
        </is>
      </c>
      <c r="HC3" t="inlineStr">
        <is>
          <t>Ann: 2017-05-18</t>
        </is>
      </c>
      <c r="HM3" t="inlineStr">
        <is>
          <t>Ann: 2002-02-20</t>
        </is>
      </c>
      <c r="HW3" t="inlineStr">
        <is>
          <t>Ann: 1999-06-21</t>
        </is>
      </c>
      <c r="IG3" t="inlineStr">
        <is>
          <t>Ann: 2010-08-13</t>
        </is>
      </c>
      <c r="IQ3" t="inlineStr">
        <is>
          <t>Ann: 1998-01-15</t>
        </is>
      </c>
      <c r="JA3" t="inlineStr">
        <is>
          <t>Ann: 1999-08-16</t>
        </is>
      </c>
      <c r="JK3" t="inlineStr">
        <is>
          <t>Ann: 1999-02-08</t>
        </is>
      </c>
      <c r="JU3" t="inlineStr">
        <is>
          <t>Ann: 2021-08-25</t>
        </is>
      </c>
      <c r="KE3" t="inlineStr">
        <is>
          <t>Ann: 2010-02-02</t>
        </is>
      </c>
      <c r="KO3" t="inlineStr">
        <is>
          <t>Ann: 2005-07-11</t>
        </is>
      </c>
      <c r="KY3" t="inlineStr">
        <is>
          <t>Ann: 2000-07-09</t>
        </is>
      </c>
      <c r="LI3" t="inlineStr">
        <is>
          <t>Ann: 2013-08-15</t>
        </is>
      </c>
      <c r="LS3" t="inlineStr">
        <is>
          <t>Ann: 2003-12-02</t>
        </is>
      </c>
      <c r="MC3" t="inlineStr">
        <is>
          <t>Ann: 2005-04-15</t>
        </is>
      </c>
      <c r="MM3" t="inlineStr">
        <is>
          <t>Ann: 2000-07-17</t>
        </is>
      </c>
      <c r="MW3" t="inlineStr">
        <is>
          <t>Ann: 2000-08-22</t>
        </is>
      </c>
      <c r="NG3" t="inlineStr">
        <is>
          <t>Ann: 1998-04-22</t>
        </is>
      </c>
      <c r="NQ3" t="inlineStr">
        <is>
          <t>Ann: 2005-08-30</t>
        </is>
      </c>
      <c r="OA3" t="inlineStr">
        <is>
          <t>Ann: 2021-01-07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BDS("STCN US Equity","SUPPLY_CHAIN_SUPPLIERS","RELATIONSHIP_AS_OF_DATE","19990920")</f>
        <v/>
      </c>
      <c r="F5">
        <f>BDS("STCN US Equity","SUPPLY_CHAIN_CUSTOMERS","RELATIONSHIP_AS_OF_DATE","19990920")</f>
        <v/>
      </c>
      <c r="K5">
        <f>BDS("LMND US Equity","SUPPLY_CHAIN_SUPPLIERS","RELATIONSHIP_AS_OF_DATE","20211108")</f>
        <v/>
      </c>
      <c r="P5">
        <f>BDS("LMND US Equity","SUPPLY_CHAIN_CUSTOMERS","RELATIONSHIP_AS_OF_DATE","20211108")</f>
        <v/>
      </c>
      <c r="U5">
        <f>BDS("2725934Q US Equity","SUPPLY_CHAIN_SUPPLIERS","RELATIONSHIP_AS_OF_DATE","20011001")</f>
        <v/>
      </c>
      <c r="Z5">
        <f>BDS("2725934Q US Equity","SUPPLY_CHAIN_CUSTOMERS","RELATIONSHIP_AS_OF_DATE","20011001")</f>
        <v/>
      </c>
      <c r="AE5">
        <f>BDS("KODK US Equity","SUPPLY_CHAIN_SUPPLIERS","RELATIONSHIP_AS_OF_DATE","20030721")</f>
        <v/>
      </c>
      <c r="AJ5">
        <f>BDS("KODK US Equity","SUPPLY_CHAIN_CUSTOMERS","RELATIONSHIP_AS_OF_DATE","20030721")</f>
        <v/>
      </c>
      <c r="AO5">
        <f>BDS("EMR US Equity","SUPPLY_CHAIN_SUPPLIERS","RELATIONSHIP_AS_OF_DATE","20060202")</f>
        <v/>
      </c>
      <c r="AT5">
        <f>BDS("EMR US Equity","SUPPLY_CHAIN_CUSTOMERS","RELATIONSHIP_AS_OF_DATE","20060202")</f>
        <v/>
      </c>
      <c r="AY5">
        <f>BDS("DJ US Equity","SUPPLY_CHAIN_SUPPLIERS","RELATIONSHIP_AS_OF_DATE","20041114")</f>
        <v/>
      </c>
      <c r="BD5">
        <f>BDS("DJ US Equity","SUPPLY_CHAIN_CUSTOMERS","RELATIONSHIP_AS_OF_DATE","20041114")</f>
        <v/>
      </c>
      <c r="BI5">
        <f>BDS("ZD US Equity","SUPPLY_CHAIN_SUPPLIERS","RELATIONSHIP_AS_OF_DATE","20161021")</f>
        <v/>
      </c>
      <c r="BN5">
        <f>BDS("ZD US Equity","SUPPLY_CHAIN_CUSTOMERS","RELATIONSHIP_AS_OF_DATE","20161021")</f>
        <v/>
      </c>
      <c r="BS5">
        <f>BDS("CEPH US Equity","SUPPLY_CHAIN_SUPPLIERS","RELATIONSHIP_AS_OF_DATE","20030821")</f>
        <v/>
      </c>
      <c r="BX5">
        <f>BDS("CEPH US Equity","SUPPLY_CHAIN_CUSTOMERS","RELATIONSHIP_AS_OF_DATE","20030821")</f>
        <v/>
      </c>
      <c r="CC5">
        <f>BDS("AMT US Equity","SUPPLY_CHAIN_SUPPLIERS","RELATIONSHIP_AS_OF_DATE","19981116")</f>
        <v/>
      </c>
      <c r="CH5">
        <f>BDS("AMT US Equity","SUPPLY_CHAIN_CUSTOMERS","RELATIONSHIP_AS_OF_DATE","19981116")</f>
        <v/>
      </c>
      <c r="CM5">
        <f>BDS("749001Q US Equity","SUPPLY_CHAIN_SUPPLIERS","RELATIONSHIP_AS_OF_DATE","19980217")</f>
        <v/>
      </c>
      <c r="CR5">
        <f>BDS("749001Q US Equity","SUPPLY_CHAIN_CUSTOMERS","RELATIONSHIP_AS_OF_DATE","19980217")</f>
        <v/>
      </c>
      <c r="CW5">
        <f>BDS("ESMK US Equity","SUPPLY_CHAIN_SUPPLIERS","RELATIONSHIP_AS_OF_DATE","20070316")</f>
        <v/>
      </c>
      <c r="DB5">
        <f>BDS("ESMK US Equity","SUPPLY_CHAIN_CUSTOMERS","RELATIONSHIP_AS_OF_DATE","20070316")</f>
        <v/>
      </c>
      <c r="DG5">
        <f>BDS("1702253D US Equity","SUPPLY_CHAIN_SUPPLIERS","RELATIONSHIP_AS_OF_DATE","20120513")</f>
        <v/>
      </c>
      <c r="DL5">
        <f>BDS("1702253D US Equity","SUPPLY_CHAIN_CUSTOMERS","RELATIONSHIP_AS_OF_DATE","20120513")</f>
        <v/>
      </c>
      <c r="DQ5">
        <f>BDS("PNC US Equity","SUPPLY_CHAIN_SUPPLIERS","RELATIONSHIP_AS_OF_DATE","20070607")</f>
        <v/>
      </c>
      <c r="DV5">
        <f>BDS("PNC US Equity","SUPPLY_CHAIN_CUSTOMERS","RELATIONSHIP_AS_OF_DATE","20070607")</f>
        <v/>
      </c>
      <c r="EA5">
        <f>BDS("OPK US Equity","SUPPLY_CHAIN_SUPPLIERS","RELATIONSHIP_AS_OF_DATE","20130424")</f>
        <v/>
      </c>
      <c r="EF5">
        <f>BDS("OPK US Equity","SUPPLY_CHAIN_CUSTOMERS","RELATIONSHIP_AS_OF_DATE","20130424")</f>
        <v/>
      </c>
      <c r="EK5">
        <f>BDS("CVOVQ US Equity","SUPPLY_CHAIN_SUPPLIERS","RELATIONSHIP_AS_OF_DATE","20061227")</f>
        <v/>
      </c>
      <c r="EP5">
        <f>BDS("CVOVQ US Equity","SUPPLY_CHAIN_CUSTOMERS","RELATIONSHIP_AS_OF_DATE","20061227")</f>
        <v/>
      </c>
      <c r="EU5">
        <f>BDS("ROH US Equity","SUPPLY_CHAIN_SUPPLIERS","RELATIONSHIP_AS_OF_DATE","19981221")</f>
        <v/>
      </c>
      <c r="EZ5">
        <f>BDS("ROH US Equity","SUPPLY_CHAIN_CUSTOMERS","RELATIONSHIP_AS_OF_DATE","19981221")</f>
        <v/>
      </c>
      <c r="FE5">
        <f>BDS("WBS US Equity","SUPPLY_CHAIN_SUPPLIERS","RELATIONSHIP_AS_OF_DATE","20031007")</f>
        <v/>
      </c>
      <c r="FJ5">
        <f>BDS("WBS US Equity","SUPPLY_CHAIN_CUSTOMERS","RELATIONSHIP_AS_OF_DATE","20031007")</f>
        <v/>
      </c>
      <c r="FO5">
        <f>BDS("nan Equity","SUPPLY_CHAIN_SUPPLIERS","RELATIONSHIP_AS_OF_DATE","20140217")</f>
        <v/>
      </c>
      <c r="FT5">
        <f>BDS("nan Equity","SUPPLY_CHAIN_CUSTOMERS","RELATIONSHIP_AS_OF_DATE","20140217")</f>
        <v/>
      </c>
      <c r="FY5">
        <f>BDS("CPF US Equity","SUPPLY_CHAIN_SUPPLIERS","RELATIONSHIP_AS_OF_DATE","20030416")</f>
        <v/>
      </c>
      <c r="GD5">
        <f>BDS("CPF US Equity","SUPPLY_CHAIN_CUSTOMERS","RELATIONSHIP_AS_OF_DATE","20030416")</f>
        <v/>
      </c>
      <c r="GI5">
        <f>BDS("EMR US Equity","SUPPLY_CHAIN_SUPPLIERS","RELATIONSHIP_AS_OF_DATE","19990513")</f>
        <v/>
      </c>
      <c r="GN5">
        <f>BDS("EMR US Equity","SUPPLY_CHAIN_CUSTOMERS","RELATIONSHIP_AS_OF_DATE","19990513")</f>
        <v/>
      </c>
      <c r="GS5">
        <f>BDS("3499164Q US Equity","SUPPLY_CHAIN_SUPPLIERS","RELATIONSHIP_AS_OF_DATE","19991021")</f>
        <v/>
      </c>
      <c r="GX5">
        <f>BDS("3499164Q US Equity","SUPPLY_CHAIN_CUSTOMERS","RELATIONSHIP_AS_OF_DATE","19991021")</f>
        <v/>
      </c>
      <c r="HC5">
        <f>BDS("ETP US Equity","SUPPLY_CHAIN_SUPPLIERS","RELATIONSHIP_AS_OF_DATE","20170518")</f>
        <v/>
      </c>
      <c r="HH5">
        <f>BDS("ETP US Equity","SUPPLY_CHAIN_CUSTOMERS","RELATIONSHIP_AS_OF_DATE","20170518")</f>
        <v/>
      </c>
      <c r="HM5">
        <f>BDS("1524867D US Equity","SUPPLY_CHAIN_SUPPLIERS","RELATIONSHIP_AS_OF_DATE","20020220")</f>
        <v/>
      </c>
      <c r="HR5">
        <f>BDS("1524867D US Equity","SUPPLY_CHAIN_CUSTOMERS","RELATIONSHIP_AS_OF_DATE","20020220")</f>
        <v/>
      </c>
      <c r="HW5">
        <f>BDS("329556Q US Equity","SUPPLY_CHAIN_SUPPLIERS","RELATIONSHIP_AS_OF_DATE","19990621")</f>
        <v/>
      </c>
      <c r="IB5">
        <f>BDS("329556Q US Equity","SUPPLY_CHAIN_CUSTOMERS","RELATIONSHIP_AS_OF_DATE","19990621")</f>
        <v/>
      </c>
      <c r="IG5">
        <f>BDS("IBM US Equity","SUPPLY_CHAIN_SUPPLIERS","RELATIONSHIP_AS_OF_DATE","20100813")</f>
        <v/>
      </c>
      <c r="IL5">
        <f>BDS("IBM US Equity","SUPPLY_CHAIN_CUSTOMERS","RELATIONSHIP_AS_OF_DATE","20100813")</f>
        <v/>
      </c>
      <c r="IQ5">
        <f>BDS("FMBI US Equity","SUPPLY_CHAIN_SUPPLIERS","RELATIONSHIP_AS_OF_DATE","19980115")</f>
        <v/>
      </c>
      <c r="IV5">
        <f>BDS("FMBI US Equity","SUPPLY_CHAIN_CUSTOMERS","RELATIONSHIP_AS_OF_DATE","19980115")</f>
        <v/>
      </c>
      <c r="JA5">
        <f>BDS("HET US Equity","SUPPLY_CHAIN_SUPPLIERS","RELATIONSHIP_AS_OF_DATE","19990816")</f>
        <v/>
      </c>
      <c r="JF5">
        <f>BDS("HET US Equity","SUPPLY_CHAIN_CUSTOMERS","RELATIONSHIP_AS_OF_DATE","19990816")</f>
        <v/>
      </c>
      <c r="JK5">
        <f>BDS("2326248D US Equity","SUPPLY_CHAIN_SUPPLIERS","RELATIONSHIP_AS_OF_DATE","19990208")</f>
        <v/>
      </c>
      <c r="JP5">
        <f>BDS("2326248D US Equity","SUPPLY_CHAIN_CUSTOMERS","RELATIONSHIP_AS_OF_DATE","19990208")</f>
        <v/>
      </c>
      <c r="JU5">
        <f>BDS("ON US Equity","SUPPLY_CHAIN_SUPPLIERS","RELATIONSHIP_AS_OF_DATE","20210825")</f>
        <v/>
      </c>
      <c r="JZ5">
        <f>BDS("ON US Equity","SUPPLY_CHAIN_CUSTOMERS","RELATIONSHIP_AS_OF_DATE","20210825")</f>
        <v/>
      </c>
      <c r="KE5">
        <f>BDS("MAN US Equity","SUPPLY_CHAIN_SUPPLIERS","RELATIONSHIP_AS_OF_DATE","20100202")</f>
        <v/>
      </c>
      <c r="KJ5">
        <f>BDS("MAN US Equity","SUPPLY_CHAIN_CUSTOMERS","RELATIONSHIP_AS_OF_DATE","20100202")</f>
        <v/>
      </c>
      <c r="KO5">
        <f>BDS("AZTA US Equity","SUPPLY_CHAIN_SUPPLIERS","RELATIONSHIP_AS_OF_DATE","20050711")</f>
        <v/>
      </c>
      <c r="KT5">
        <f>BDS("AZTA US Equity","SUPPLY_CHAIN_CUSTOMERS","RELATIONSHIP_AS_OF_DATE","20050711")</f>
        <v/>
      </c>
      <c r="KY5">
        <f>BDS("1255459D US Equity","SUPPLY_CHAIN_SUPPLIERS","RELATIONSHIP_AS_OF_DATE","20000709")</f>
        <v/>
      </c>
      <c r="LD5">
        <f>BDS("1255459D US Equity","SUPPLY_CHAIN_CUSTOMERS","RELATIONSHIP_AS_OF_DATE","20000709")</f>
        <v/>
      </c>
      <c r="LI5">
        <f>BDS("MXIM US Equity","SUPPLY_CHAIN_SUPPLIERS","RELATIONSHIP_AS_OF_DATE","20130815")</f>
        <v/>
      </c>
      <c r="LN5">
        <f>BDS("MXIM US Equity","SUPPLY_CHAIN_CUSTOMERS","RELATIONSHIP_AS_OF_DATE","20130815")</f>
        <v/>
      </c>
      <c r="LS5">
        <f>BDS("TFC US Equity","SUPPLY_CHAIN_SUPPLIERS","RELATIONSHIP_AS_OF_DATE","20031202")</f>
        <v/>
      </c>
      <c r="LX5">
        <f>BDS("TFC US Equity","SUPPLY_CHAIN_CUSTOMERS","RELATIONSHIP_AS_OF_DATE","20031202")</f>
        <v/>
      </c>
      <c r="MC5">
        <f>BDS("nan Equity","SUPPLY_CHAIN_SUPPLIERS","RELATIONSHIP_AS_OF_DATE","20050415")</f>
        <v/>
      </c>
      <c r="MH5">
        <f>BDS("nan Equity","SUPPLY_CHAIN_CUSTOMERS","RELATIONSHIP_AS_OF_DATE","20050415")</f>
        <v/>
      </c>
      <c r="MM5">
        <f>BDS("CEPH US Equity","SUPPLY_CHAIN_SUPPLIERS","RELATIONSHIP_AS_OF_DATE","20000717")</f>
        <v/>
      </c>
      <c r="MR5">
        <f>BDS("CEPH US Equity","SUPPLY_CHAIN_CUSTOMERS","RELATIONSHIP_AS_OF_DATE","20000717")</f>
        <v/>
      </c>
      <c r="MW5">
        <f>BDS("PNP US Equity","SUPPLY_CHAIN_SUPPLIERS","RELATIONSHIP_AS_OF_DATE","20000822")</f>
        <v/>
      </c>
      <c r="NB5">
        <f>BDS("PNP US Equity","SUPPLY_CHAIN_CUSTOMERS","RELATIONSHIP_AS_OF_DATE","20000822")</f>
        <v/>
      </c>
      <c r="NG5">
        <f>BDS("OK US Equity","SUPPLY_CHAIN_SUPPLIERS","RELATIONSHIP_AS_OF_DATE","19980422")</f>
        <v/>
      </c>
      <c r="NL5">
        <f>BDS("OK US Equity","SUPPLY_CHAIN_CUSTOMERS","RELATIONSHIP_AS_OF_DATE","19980422")</f>
        <v/>
      </c>
      <c r="NQ5">
        <f>BDS("0848680D US Equity","SUPPLY_CHAIN_SUPPLIERS","RELATIONSHIP_AS_OF_DATE","20050830")</f>
        <v/>
      </c>
      <c r="NV5">
        <f>BDS("0848680D US Equity","SUPPLY_CHAIN_CUSTOMERS","RELATIONSHIP_AS_OF_DATE","20050830")</f>
        <v/>
      </c>
      <c r="OA5">
        <f>BDS("RVTY US Equity","SUPPLY_CHAIN_SUPPLIERS","RELATIONSHIP_AS_OF_DATE","20210107")</f>
        <v/>
      </c>
      <c r="OF5">
        <f>BDS("RVTY US Equity","SUPPLY_CHAIN_CUSTOMERS","RELATIONSHIP_AS_OF_DATE","20210107")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2041</t>
        </is>
      </c>
      <c r="K1" s="1" t="inlineStr">
        <is>
          <t>Deal 2042</t>
        </is>
      </c>
      <c r="U1" s="1" t="inlineStr">
        <is>
          <t>Deal 2043</t>
        </is>
      </c>
      <c r="AE1" s="1" t="inlineStr">
        <is>
          <t>Deal 2044</t>
        </is>
      </c>
      <c r="AO1" s="1" t="inlineStr">
        <is>
          <t>Deal 2045</t>
        </is>
      </c>
      <c r="AY1" s="1" t="inlineStr">
        <is>
          <t>Deal 2046</t>
        </is>
      </c>
      <c r="BI1" s="1" t="inlineStr">
        <is>
          <t>Deal 2047</t>
        </is>
      </c>
      <c r="BS1" s="1" t="inlineStr">
        <is>
          <t>Deal 2048</t>
        </is>
      </c>
      <c r="CC1" s="1" t="inlineStr">
        <is>
          <t>Deal 2049</t>
        </is>
      </c>
      <c r="CM1" s="1" t="inlineStr">
        <is>
          <t>Deal 2050</t>
        </is>
      </c>
      <c r="CW1" s="1" t="inlineStr">
        <is>
          <t>Deal 2051</t>
        </is>
      </c>
      <c r="DG1" s="1" t="inlineStr">
        <is>
          <t>Deal 2052</t>
        </is>
      </c>
      <c r="DQ1" s="1" t="inlineStr">
        <is>
          <t>Deal 2053</t>
        </is>
      </c>
      <c r="EA1" s="1" t="inlineStr">
        <is>
          <t>Deal 2054</t>
        </is>
      </c>
      <c r="EK1" s="1" t="inlineStr">
        <is>
          <t>Deal 2055</t>
        </is>
      </c>
      <c r="EU1" s="1" t="inlineStr">
        <is>
          <t>Deal 2056</t>
        </is>
      </c>
      <c r="FE1" s="1" t="inlineStr">
        <is>
          <t>Deal 2057</t>
        </is>
      </c>
      <c r="FO1" s="1" t="inlineStr">
        <is>
          <t>Deal 2058</t>
        </is>
      </c>
      <c r="FY1" s="1" t="inlineStr">
        <is>
          <t>Deal 2059</t>
        </is>
      </c>
      <c r="GI1" s="1" t="inlineStr">
        <is>
          <t>Deal 2060</t>
        </is>
      </c>
      <c r="GS1" s="1" t="inlineStr">
        <is>
          <t>Deal 2061</t>
        </is>
      </c>
      <c r="HC1" s="1" t="inlineStr">
        <is>
          <t>Deal 2062</t>
        </is>
      </c>
      <c r="HM1" s="1" t="inlineStr">
        <is>
          <t>Deal 2063</t>
        </is>
      </c>
      <c r="HW1" s="1" t="inlineStr">
        <is>
          <t>Deal 2064</t>
        </is>
      </c>
      <c r="IG1" s="1" t="inlineStr">
        <is>
          <t>Deal 2065</t>
        </is>
      </c>
      <c r="IQ1" s="1" t="inlineStr">
        <is>
          <t>Deal 2066</t>
        </is>
      </c>
      <c r="JA1" s="1" t="inlineStr">
        <is>
          <t>Deal 2067</t>
        </is>
      </c>
      <c r="JK1" s="1" t="inlineStr">
        <is>
          <t>Deal 2068</t>
        </is>
      </c>
      <c r="JU1" s="1" t="inlineStr">
        <is>
          <t>Deal 2069</t>
        </is>
      </c>
      <c r="KE1" s="1" t="inlineStr">
        <is>
          <t>Deal 2070</t>
        </is>
      </c>
      <c r="KO1" s="1" t="inlineStr">
        <is>
          <t>Deal 2071</t>
        </is>
      </c>
      <c r="KY1" s="1" t="inlineStr">
        <is>
          <t>Deal 2072</t>
        </is>
      </c>
      <c r="LI1" s="1" t="inlineStr">
        <is>
          <t>Deal 2073</t>
        </is>
      </c>
      <c r="LS1" s="1" t="inlineStr">
        <is>
          <t>Deal 2074</t>
        </is>
      </c>
      <c r="MC1" s="1" t="inlineStr">
        <is>
          <t>Deal 2075</t>
        </is>
      </c>
      <c r="MM1" s="1" t="inlineStr">
        <is>
          <t>Deal 2076</t>
        </is>
      </c>
      <c r="MW1" s="1" t="inlineStr">
        <is>
          <t>Deal 2077</t>
        </is>
      </c>
      <c r="NG1" s="1" t="inlineStr">
        <is>
          <t>Deal 2078</t>
        </is>
      </c>
      <c r="NQ1" s="1" t="inlineStr">
        <is>
          <t>Deal 2079</t>
        </is>
      </c>
      <c r="OA1" s="1" t="inlineStr">
        <is>
          <t>Deal 2080</t>
        </is>
      </c>
    </row>
    <row r="2">
      <c r="A2" s="2" t="inlineStr">
        <is>
          <t>NBR US Equity</t>
        </is>
      </c>
      <c r="K2" s="2" t="inlineStr">
        <is>
          <t>UDI US Equity</t>
        </is>
      </c>
      <c r="U2" s="2" t="inlineStr">
        <is>
          <t>LSCC US Equity</t>
        </is>
      </c>
      <c r="AE2" s="2" t="inlineStr">
        <is>
          <t>JEF US Equity</t>
        </is>
      </c>
      <c r="AO2" s="2" t="inlineStr">
        <is>
          <t>KSPN US Equity</t>
        </is>
      </c>
      <c r="AY2" s="2" t="inlineStr">
        <is>
          <t>FDC US Equity</t>
        </is>
      </c>
      <c r="BI2" s="2" t="inlineStr">
        <is>
          <t>FNB US Equity</t>
        </is>
      </c>
      <c r="BS2" s="2" t="inlineStr">
        <is>
          <t>nan Equity</t>
        </is>
      </c>
      <c r="CC2" s="2" t="inlineStr">
        <is>
          <t>ILA US Equity</t>
        </is>
      </c>
      <c r="CM2" s="2" t="inlineStr">
        <is>
          <t>838969Q US Equity</t>
        </is>
      </c>
      <c r="CW2" s="2" t="inlineStr">
        <is>
          <t>SEBL US Equity</t>
        </is>
      </c>
      <c r="DG2" s="2" t="inlineStr">
        <is>
          <t>0848680D US Equity</t>
        </is>
      </c>
      <c r="DQ2" s="2" t="inlineStr">
        <is>
          <t>KEX US Equity</t>
        </is>
      </c>
      <c r="EA2" s="2" t="inlineStr">
        <is>
          <t>SYNA US Equity</t>
        </is>
      </c>
      <c r="EK2" s="2" t="inlineStr">
        <is>
          <t>PBCT US Equity</t>
        </is>
      </c>
      <c r="EU2" s="2" t="inlineStr">
        <is>
          <t>SUPN US Equity</t>
        </is>
      </c>
      <c r="FE2" s="2" t="inlineStr">
        <is>
          <t>SOV US Equity</t>
        </is>
      </c>
      <c r="FO2" s="2" t="inlineStr">
        <is>
          <t>WFC US Equity</t>
        </is>
      </c>
      <c r="FY2" s="2" t="inlineStr">
        <is>
          <t>8397627Q US Equity</t>
        </is>
      </c>
      <c r="GI2" s="2" t="inlineStr">
        <is>
          <t>1799685D US Equity</t>
        </is>
      </c>
      <c r="GS2" s="2" t="inlineStr">
        <is>
          <t>MITL US Equity</t>
        </is>
      </c>
      <c r="HC2" s="2" t="inlineStr">
        <is>
          <t>PNR US Equity</t>
        </is>
      </c>
      <c r="HM2" s="2" t="inlineStr">
        <is>
          <t>MFE US Equity</t>
        </is>
      </c>
      <c r="HW2" s="2" t="inlineStr">
        <is>
          <t>PRK US Equity</t>
        </is>
      </c>
      <c r="IG2" s="2" t="inlineStr">
        <is>
          <t>FNB US Equity</t>
        </is>
      </c>
      <c r="IQ2" s="2" t="inlineStr">
        <is>
          <t>KFRC US Equity</t>
        </is>
      </c>
      <c r="JA2" s="2" t="inlineStr">
        <is>
          <t>KRNY US Equity</t>
        </is>
      </c>
      <c r="JK2" s="2" t="inlineStr">
        <is>
          <t>TFC US Equity</t>
        </is>
      </c>
      <c r="JU2" s="2" t="inlineStr">
        <is>
          <t>WFC US Equity</t>
        </is>
      </c>
      <c r="KE2" s="2" t="inlineStr">
        <is>
          <t>COV US Equity</t>
        </is>
      </c>
      <c r="KO2" s="2" t="inlineStr">
        <is>
          <t>2674129Q US Equity</t>
        </is>
      </c>
      <c r="KY2" s="2" t="inlineStr">
        <is>
          <t>WAL US Equity</t>
        </is>
      </c>
      <c r="LI2" s="2" t="inlineStr">
        <is>
          <t>612939Q US Equity</t>
        </is>
      </c>
      <c r="LS2" s="2" t="inlineStr">
        <is>
          <t>nan Equity</t>
        </is>
      </c>
      <c r="MC2" s="2" t="inlineStr">
        <is>
          <t>OLN US Equity</t>
        </is>
      </c>
      <c r="MM2" s="2" t="inlineStr">
        <is>
          <t>1822785D US Equity</t>
        </is>
      </c>
      <c r="MW2" s="2" t="inlineStr">
        <is>
          <t>MSCC US Equity</t>
        </is>
      </c>
      <c r="NG2" s="2" t="inlineStr">
        <is>
          <t>RBN US Equity</t>
        </is>
      </c>
      <c r="NQ2" s="2" t="inlineStr">
        <is>
          <t>PH US Equity</t>
        </is>
      </c>
      <c r="OA2" s="2" t="inlineStr">
        <is>
          <t>CSL US Equity</t>
        </is>
      </c>
    </row>
    <row r="3">
      <c r="A3" t="inlineStr">
        <is>
          <t>Ann: 1998-10-30</t>
        </is>
      </c>
      <c r="K3" t="inlineStr">
        <is>
          <t>Ann: 2002-05-28</t>
        </is>
      </c>
      <c r="U3" t="inlineStr">
        <is>
          <t>Ann: 2015-01-27</t>
        </is>
      </c>
      <c r="AE3" t="inlineStr">
        <is>
          <t>Ann: 2003-08-07</t>
        </is>
      </c>
      <c r="AO3" t="inlineStr">
        <is>
          <t>Ann: 1998-10-26</t>
        </is>
      </c>
      <c r="AY3" t="inlineStr">
        <is>
          <t>Ann: 1999-03-22</t>
        </is>
      </c>
      <c r="BI3" t="inlineStr">
        <is>
          <t>Ann: 2021-07-13</t>
        </is>
      </c>
      <c r="BS3" t="inlineStr">
        <is>
          <t>Ann: 1998-07-24</t>
        </is>
      </c>
      <c r="CC3" t="inlineStr">
        <is>
          <t>Ann: 2001-11-07</t>
        </is>
      </c>
      <c r="CM3" t="inlineStr">
        <is>
          <t>Ann: 2004-09-09</t>
        </is>
      </c>
      <c r="CW3" t="inlineStr">
        <is>
          <t>Ann: 1998-03-02</t>
        </is>
      </c>
      <c r="DG3" t="inlineStr">
        <is>
          <t>Ann: 2009-07-28</t>
        </is>
      </c>
      <c r="DQ3" t="inlineStr">
        <is>
          <t>Ann: 2011-03-13</t>
        </is>
      </c>
      <c r="EA3" t="inlineStr">
        <is>
          <t>Ann: 2021-08-30</t>
        </is>
      </c>
      <c r="EK3" t="inlineStr">
        <is>
          <t>Ann: 2016-06-27</t>
        </is>
      </c>
      <c r="EU3" t="inlineStr">
        <is>
          <t>Ann: 2021-10-11</t>
        </is>
      </c>
      <c r="FE3" t="inlineStr">
        <is>
          <t>Ann: 1998-09-08</t>
        </is>
      </c>
      <c r="FO3" t="inlineStr">
        <is>
          <t>Ann: 2000-02-02</t>
        </is>
      </c>
      <c r="FY3" t="inlineStr">
        <is>
          <t>Ann: 2006-12-21</t>
        </is>
      </c>
      <c r="GI3" t="inlineStr">
        <is>
          <t>Ann: 2002-08-20</t>
        </is>
      </c>
      <c r="GS3" t="inlineStr">
        <is>
          <t>Ann: 2017-07-27</t>
        </is>
      </c>
      <c r="HC3" t="inlineStr">
        <is>
          <t>Ann: 1999-04-30</t>
        </is>
      </c>
      <c r="HM3" t="inlineStr">
        <is>
          <t>Ann: 2008-09-22</t>
        </is>
      </c>
      <c r="HW3" t="inlineStr">
        <is>
          <t>Ann: 2000-11-21</t>
        </is>
      </c>
      <c r="IG3" t="inlineStr">
        <is>
          <t>Ann: 2007-11-09</t>
        </is>
      </c>
      <c r="IQ3" t="inlineStr">
        <is>
          <t>Ann: 1998-02-02</t>
        </is>
      </c>
      <c r="JA3" t="inlineStr">
        <is>
          <t>Ann: 2017-11-01</t>
        </is>
      </c>
      <c r="JK3" t="inlineStr">
        <is>
          <t>Ann: 2000-12-05</t>
        </is>
      </c>
      <c r="JU3" t="inlineStr">
        <is>
          <t>Ann: 1995-05-15</t>
        </is>
      </c>
      <c r="KE3" t="inlineStr">
        <is>
          <t>Ann: 2009-05-08</t>
        </is>
      </c>
      <c r="KO3" t="inlineStr">
        <is>
          <t>Ann: 1998-12-14</t>
        </is>
      </c>
      <c r="KY3" t="inlineStr">
        <is>
          <t>Ann: 2015-03-09</t>
        </is>
      </c>
      <c r="LI3" t="inlineStr">
        <is>
          <t>Ann: 1998-12-08</t>
        </is>
      </c>
      <c r="LS3" t="inlineStr">
        <is>
          <t>Ann: 2001-05-08</t>
        </is>
      </c>
      <c r="MC3" t="inlineStr">
        <is>
          <t>Ann: 2007-05-21</t>
        </is>
      </c>
      <c r="MM3" t="inlineStr">
        <is>
          <t>Ann: 1999-02-23</t>
        </is>
      </c>
      <c r="MW3" t="inlineStr">
        <is>
          <t>Ann: 2010-10-04</t>
        </is>
      </c>
      <c r="NG3" t="inlineStr">
        <is>
          <t>Ann: 2010-10-06</t>
        </is>
      </c>
      <c r="NQ3" t="inlineStr">
        <is>
          <t>Ann: 2000-01-17</t>
        </is>
      </c>
      <c r="OA3" t="inlineStr">
        <is>
          <t>Ann: 2010-10-15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BDS("NBR US Equity","SUPPLY_CHAIN_SUPPLIERS","RELATIONSHIP_AS_OF_DATE","19981030")</f>
        <v/>
      </c>
      <c r="F5">
        <f>BDS("NBR US Equity","SUPPLY_CHAIN_CUSTOMERS","RELATIONSHIP_AS_OF_DATE","19981030")</f>
        <v/>
      </c>
      <c r="K5">
        <f>BDS("UDI US Equity","SUPPLY_CHAIN_SUPPLIERS","RELATIONSHIP_AS_OF_DATE","20020528")</f>
        <v/>
      </c>
      <c r="P5">
        <f>BDS("UDI US Equity","SUPPLY_CHAIN_CUSTOMERS","RELATIONSHIP_AS_OF_DATE","20020528")</f>
        <v/>
      </c>
      <c r="U5">
        <f>BDS("LSCC US Equity","SUPPLY_CHAIN_SUPPLIERS","RELATIONSHIP_AS_OF_DATE","20150127")</f>
        <v/>
      </c>
      <c r="Z5">
        <f>BDS("LSCC US Equity","SUPPLY_CHAIN_CUSTOMERS","RELATIONSHIP_AS_OF_DATE","20150127")</f>
        <v/>
      </c>
      <c r="AE5">
        <f>BDS("JEF US Equity","SUPPLY_CHAIN_SUPPLIERS","RELATIONSHIP_AS_OF_DATE","20030807")</f>
        <v/>
      </c>
      <c r="AJ5">
        <f>BDS("JEF US Equity","SUPPLY_CHAIN_CUSTOMERS","RELATIONSHIP_AS_OF_DATE","20030807")</f>
        <v/>
      </c>
      <c r="AO5">
        <f>BDS("KSPN US Equity","SUPPLY_CHAIN_SUPPLIERS","RELATIONSHIP_AS_OF_DATE","19981026")</f>
        <v/>
      </c>
      <c r="AT5">
        <f>BDS("KSPN US Equity","SUPPLY_CHAIN_CUSTOMERS","RELATIONSHIP_AS_OF_DATE","19981026")</f>
        <v/>
      </c>
      <c r="AY5">
        <f>BDS("FDC US Equity","SUPPLY_CHAIN_SUPPLIERS","RELATIONSHIP_AS_OF_DATE","19990322")</f>
        <v/>
      </c>
      <c r="BD5">
        <f>BDS("FDC US Equity","SUPPLY_CHAIN_CUSTOMERS","RELATIONSHIP_AS_OF_DATE","19990322")</f>
        <v/>
      </c>
      <c r="BI5">
        <f>BDS("FNB US Equity","SUPPLY_CHAIN_SUPPLIERS","RELATIONSHIP_AS_OF_DATE","20210713")</f>
        <v/>
      </c>
      <c r="BN5">
        <f>BDS("FNB US Equity","SUPPLY_CHAIN_CUSTOMERS","RELATIONSHIP_AS_OF_DATE","20210713")</f>
        <v/>
      </c>
      <c r="BS5">
        <f>BDS("nan Equity","SUPPLY_CHAIN_SUPPLIERS","RELATIONSHIP_AS_OF_DATE","19980724")</f>
        <v/>
      </c>
      <c r="BX5">
        <f>BDS("nan Equity","SUPPLY_CHAIN_CUSTOMERS","RELATIONSHIP_AS_OF_DATE","19980724")</f>
        <v/>
      </c>
      <c r="CC5">
        <f>BDS("ILA US Equity","SUPPLY_CHAIN_SUPPLIERS","RELATIONSHIP_AS_OF_DATE","20011107")</f>
        <v/>
      </c>
      <c r="CH5">
        <f>BDS("ILA US Equity","SUPPLY_CHAIN_CUSTOMERS","RELATIONSHIP_AS_OF_DATE","20011107")</f>
        <v/>
      </c>
      <c r="CM5">
        <f>BDS("838969Q US Equity","SUPPLY_CHAIN_SUPPLIERS","RELATIONSHIP_AS_OF_DATE","20040909")</f>
        <v/>
      </c>
      <c r="CR5">
        <f>BDS("838969Q US Equity","SUPPLY_CHAIN_CUSTOMERS","RELATIONSHIP_AS_OF_DATE","20040909")</f>
        <v/>
      </c>
      <c r="CW5">
        <f>BDS("SEBL US Equity","SUPPLY_CHAIN_SUPPLIERS","RELATIONSHIP_AS_OF_DATE","19980302")</f>
        <v/>
      </c>
      <c r="DB5">
        <f>BDS("SEBL US Equity","SUPPLY_CHAIN_CUSTOMERS","RELATIONSHIP_AS_OF_DATE","19980302")</f>
        <v/>
      </c>
      <c r="DG5">
        <f>BDS("0848680D US Equity","SUPPLY_CHAIN_SUPPLIERS","RELATIONSHIP_AS_OF_DATE","20090728")</f>
        <v/>
      </c>
      <c r="DL5">
        <f>BDS("0848680D US Equity","SUPPLY_CHAIN_CUSTOMERS","RELATIONSHIP_AS_OF_DATE","20090728")</f>
        <v/>
      </c>
      <c r="DQ5">
        <f>BDS("KEX US Equity","SUPPLY_CHAIN_SUPPLIERS","RELATIONSHIP_AS_OF_DATE","20110313")</f>
        <v/>
      </c>
      <c r="DV5">
        <f>BDS("KEX US Equity","SUPPLY_CHAIN_CUSTOMERS","RELATIONSHIP_AS_OF_DATE","20110313")</f>
        <v/>
      </c>
      <c r="EA5">
        <f>BDS("SYNA US Equity","SUPPLY_CHAIN_SUPPLIERS","RELATIONSHIP_AS_OF_DATE","20210830")</f>
        <v/>
      </c>
      <c r="EF5">
        <f>BDS("SYNA US Equity","SUPPLY_CHAIN_CUSTOMERS","RELATIONSHIP_AS_OF_DATE","20210830")</f>
        <v/>
      </c>
      <c r="EK5">
        <f>BDS("PBCT US Equity","SUPPLY_CHAIN_SUPPLIERS","RELATIONSHIP_AS_OF_DATE","20160627")</f>
        <v/>
      </c>
      <c r="EP5">
        <f>BDS("PBCT US Equity","SUPPLY_CHAIN_CUSTOMERS","RELATIONSHIP_AS_OF_DATE","20160627")</f>
        <v/>
      </c>
      <c r="EU5">
        <f>BDS("SUPN US Equity","SUPPLY_CHAIN_SUPPLIERS","RELATIONSHIP_AS_OF_DATE","20211011")</f>
        <v/>
      </c>
      <c r="EZ5">
        <f>BDS("SUPN US Equity","SUPPLY_CHAIN_CUSTOMERS","RELATIONSHIP_AS_OF_DATE","20211011")</f>
        <v/>
      </c>
      <c r="FE5">
        <f>BDS("SOV US Equity","SUPPLY_CHAIN_SUPPLIERS","RELATIONSHIP_AS_OF_DATE","19980908")</f>
        <v/>
      </c>
      <c r="FJ5">
        <f>BDS("SOV US Equity","SUPPLY_CHAIN_CUSTOMERS","RELATIONSHIP_AS_OF_DATE","19980908")</f>
        <v/>
      </c>
      <c r="FO5">
        <f>BDS("WFC US Equity","SUPPLY_CHAIN_SUPPLIERS","RELATIONSHIP_AS_OF_DATE","20000202")</f>
        <v/>
      </c>
      <c r="FT5">
        <f>BDS("WFC US Equity","SUPPLY_CHAIN_CUSTOMERS","RELATIONSHIP_AS_OF_DATE","20000202")</f>
        <v/>
      </c>
      <c r="FY5">
        <f>BDS("8397627Q US Equity","SUPPLY_CHAIN_SUPPLIERS","RELATIONSHIP_AS_OF_DATE","20061221")</f>
        <v/>
      </c>
      <c r="GD5">
        <f>BDS("8397627Q US Equity","SUPPLY_CHAIN_CUSTOMERS","RELATIONSHIP_AS_OF_DATE","20061221")</f>
        <v/>
      </c>
      <c r="GI5">
        <f>BDS("1799685D US Equity","SUPPLY_CHAIN_SUPPLIERS","RELATIONSHIP_AS_OF_DATE","20020820")</f>
        <v/>
      </c>
      <c r="GN5">
        <f>BDS("1799685D US Equity","SUPPLY_CHAIN_CUSTOMERS","RELATIONSHIP_AS_OF_DATE","20020820")</f>
        <v/>
      </c>
      <c r="GS5">
        <f>BDS("MITL US Equity","SUPPLY_CHAIN_SUPPLIERS","RELATIONSHIP_AS_OF_DATE","20170727")</f>
        <v/>
      </c>
      <c r="GX5">
        <f>BDS("MITL US Equity","SUPPLY_CHAIN_CUSTOMERS","RELATIONSHIP_AS_OF_DATE","20170727")</f>
        <v/>
      </c>
      <c r="HC5">
        <f>BDS("PNR US Equity","SUPPLY_CHAIN_SUPPLIERS","RELATIONSHIP_AS_OF_DATE","19990430")</f>
        <v/>
      </c>
      <c r="HH5">
        <f>BDS("PNR US Equity","SUPPLY_CHAIN_CUSTOMERS","RELATIONSHIP_AS_OF_DATE","19990430")</f>
        <v/>
      </c>
      <c r="HM5">
        <f>BDS("MFE US Equity","SUPPLY_CHAIN_SUPPLIERS","RELATIONSHIP_AS_OF_DATE","20080922")</f>
        <v/>
      </c>
      <c r="HR5">
        <f>BDS("MFE US Equity","SUPPLY_CHAIN_CUSTOMERS","RELATIONSHIP_AS_OF_DATE","20080922")</f>
        <v/>
      </c>
      <c r="HW5">
        <f>BDS("PRK US Equity","SUPPLY_CHAIN_SUPPLIERS","RELATIONSHIP_AS_OF_DATE","20001121")</f>
        <v/>
      </c>
      <c r="IB5">
        <f>BDS("PRK US Equity","SUPPLY_CHAIN_CUSTOMERS","RELATIONSHIP_AS_OF_DATE","20001121")</f>
        <v/>
      </c>
      <c r="IG5">
        <f>BDS("FNB US Equity","SUPPLY_CHAIN_SUPPLIERS","RELATIONSHIP_AS_OF_DATE","20071109")</f>
        <v/>
      </c>
      <c r="IL5">
        <f>BDS("FNB US Equity","SUPPLY_CHAIN_CUSTOMERS","RELATIONSHIP_AS_OF_DATE","20071109")</f>
        <v/>
      </c>
      <c r="IQ5">
        <f>BDS("KFRC US Equity","SUPPLY_CHAIN_SUPPLIERS","RELATIONSHIP_AS_OF_DATE","19980202")</f>
        <v/>
      </c>
      <c r="IV5">
        <f>BDS("KFRC US Equity","SUPPLY_CHAIN_CUSTOMERS","RELATIONSHIP_AS_OF_DATE","19980202")</f>
        <v/>
      </c>
      <c r="JA5">
        <f>BDS("KRNY US Equity","SUPPLY_CHAIN_SUPPLIERS","RELATIONSHIP_AS_OF_DATE","20171101")</f>
        <v/>
      </c>
      <c r="JF5">
        <f>BDS("KRNY US Equity","SUPPLY_CHAIN_CUSTOMERS","RELATIONSHIP_AS_OF_DATE","20171101")</f>
        <v/>
      </c>
      <c r="JK5">
        <f>BDS("TFC US Equity","SUPPLY_CHAIN_SUPPLIERS","RELATIONSHIP_AS_OF_DATE","20001205")</f>
        <v/>
      </c>
      <c r="JP5">
        <f>BDS("TFC US Equity","SUPPLY_CHAIN_CUSTOMERS","RELATIONSHIP_AS_OF_DATE","20001205")</f>
        <v/>
      </c>
      <c r="JU5">
        <f>BDS("WFC US Equity","SUPPLY_CHAIN_SUPPLIERS","RELATIONSHIP_AS_OF_DATE","19950515")</f>
        <v/>
      </c>
      <c r="JZ5">
        <f>BDS("WFC US Equity","SUPPLY_CHAIN_CUSTOMERS","RELATIONSHIP_AS_OF_DATE","19950515")</f>
        <v/>
      </c>
      <c r="KE5">
        <f>BDS("COV US Equity","SUPPLY_CHAIN_SUPPLIERS","RELATIONSHIP_AS_OF_DATE","20090508")</f>
        <v/>
      </c>
      <c r="KJ5">
        <f>BDS("COV US Equity","SUPPLY_CHAIN_CUSTOMERS","RELATIONSHIP_AS_OF_DATE","20090508")</f>
        <v/>
      </c>
      <c r="KO5">
        <f>BDS("2674129Q US Equity","SUPPLY_CHAIN_SUPPLIERS","RELATIONSHIP_AS_OF_DATE","19981214")</f>
        <v/>
      </c>
      <c r="KT5">
        <f>BDS("2674129Q US Equity","SUPPLY_CHAIN_CUSTOMERS","RELATIONSHIP_AS_OF_DATE","19981214")</f>
        <v/>
      </c>
      <c r="KY5">
        <f>BDS("WAL US Equity","SUPPLY_CHAIN_SUPPLIERS","RELATIONSHIP_AS_OF_DATE","20150309")</f>
        <v/>
      </c>
      <c r="LD5">
        <f>BDS("WAL US Equity","SUPPLY_CHAIN_CUSTOMERS","RELATIONSHIP_AS_OF_DATE","20150309")</f>
        <v/>
      </c>
      <c r="LI5">
        <f>BDS("612939Q US Equity","SUPPLY_CHAIN_SUPPLIERS","RELATIONSHIP_AS_OF_DATE","19981208")</f>
        <v/>
      </c>
      <c r="LN5">
        <f>BDS("612939Q US Equity","SUPPLY_CHAIN_CUSTOMERS","RELATIONSHIP_AS_OF_DATE","19981208")</f>
        <v/>
      </c>
      <c r="LS5">
        <f>BDS("nan Equity","SUPPLY_CHAIN_SUPPLIERS","RELATIONSHIP_AS_OF_DATE","20010508")</f>
        <v/>
      </c>
      <c r="LX5">
        <f>BDS("nan Equity","SUPPLY_CHAIN_CUSTOMERS","RELATIONSHIP_AS_OF_DATE","20010508")</f>
        <v/>
      </c>
      <c r="MC5">
        <f>BDS("OLN US Equity","SUPPLY_CHAIN_SUPPLIERS","RELATIONSHIP_AS_OF_DATE","20070521")</f>
        <v/>
      </c>
      <c r="MH5">
        <f>BDS("OLN US Equity","SUPPLY_CHAIN_CUSTOMERS","RELATIONSHIP_AS_OF_DATE","20070521")</f>
        <v/>
      </c>
      <c r="MM5">
        <f>BDS("1822785D US Equity","SUPPLY_CHAIN_SUPPLIERS","RELATIONSHIP_AS_OF_DATE","19990223")</f>
        <v/>
      </c>
      <c r="MR5">
        <f>BDS("1822785D US Equity","SUPPLY_CHAIN_CUSTOMERS","RELATIONSHIP_AS_OF_DATE","19990223")</f>
        <v/>
      </c>
      <c r="MW5">
        <f>BDS("MSCC US Equity","SUPPLY_CHAIN_SUPPLIERS","RELATIONSHIP_AS_OF_DATE","20101004")</f>
        <v/>
      </c>
      <c r="NB5">
        <f>BDS("MSCC US Equity","SUPPLY_CHAIN_CUSTOMERS","RELATIONSHIP_AS_OF_DATE","20101004")</f>
        <v/>
      </c>
      <c r="NG5">
        <f>BDS("RBN US Equity","SUPPLY_CHAIN_SUPPLIERS","RELATIONSHIP_AS_OF_DATE","20101006")</f>
        <v/>
      </c>
      <c r="NL5">
        <f>BDS("RBN US Equity","SUPPLY_CHAIN_CUSTOMERS","RELATIONSHIP_AS_OF_DATE","20101006")</f>
        <v/>
      </c>
      <c r="NQ5">
        <f>BDS("PH US Equity","SUPPLY_CHAIN_SUPPLIERS","RELATIONSHIP_AS_OF_DATE","20000117")</f>
        <v/>
      </c>
      <c r="NV5">
        <f>BDS("PH US Equity","SUPPLY_CHAIN_CUSTOMERS","RELATIONSHIP_AS_OF_DATE","20000117")</f>
        <v/>
      </c>
      <c r="OA5">
        <f>BDS("CSL US Equity","SUPPLY_CHAIN_SUPPLIERS","RELATIONSHIP_AS_OF_DATE","20101015")</f>
        <v/>
      </c>
      <c r="OF5">
        <f>BDS("CSL US Equity","SUPPLY_CHAIN_CUSTOMERS","RELATIONSHIP_AS_OF_DATE","20101015")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2081</t>
        </is>
      </c>
      <c r="K1" s="1" t="inlineStr">
        <is>
          <t>Deal 2082</t>
        </is>
      </c>
      <c r="U1" s="1" t="inlineStr">
        <is>
          <t>Deal 2083</t>
        </is>
      </c>
      <c r="AE1" s="1" t="inlineStr">
        <is>
          <t>Deal 2084</t>
        </is>
      </c>
      <c r="AO1" s="1" t="inlineStr">
        <is>
          <t>Deal 2085</t>
        </is>
      </c>
      <c r="AY1" s="1" t="inlineStr">
        <is>
          <t>Deal 2086</t>
        </is>
      </c>
      <c r="BI1" s="1" t="inlineStr">
        <is>
          <t>Deal 2087</t>
        </is>
      </c>
      <c r="BS1" s="1" t="inlineStr">
        <is>
          <t>Deal 2088</t>
        </is>
      </c>
      <c r="CC1" s="1" t="inlineStr">
        <is>
          <t>Deal 2089</t>
        </is>
      </c>
      <c r="CM1" s="1" t="inlineStr">
        <is>
          <t>Deal 2090</t>
        </is>
      </c>
      <c r="CW1" s="1" t="inlineStr">
        <is>
          <t>Deal 2091</t>
        </is>
      </c>
      <c r="DG1" s="1" t="inlineStr">
        <is>
          <t>Deal 2092</t>
        </is>
      </c>
      <c r="DQ1" s="1" t="inlineStr">
        <is>
          <t>Deal 2093</t>
        </is>
      </c>
      <c r="EA1" s="1" t="inlineStr">
        <is>
          <t>Deal 2094</t>
        </is>
      </c>
      <c r="EK1" s="1" t="inlineStr">
        <is>
          <t>Deal 2095</t>
        </is>
      </c>
      <c r="EU1" s="1" t="inlineStr">
        <is>
          <t>Deal 2096</t>
        </is>
      </c>
      <c r="FE1" s="1" t="inlineStr">
        <is>
          <t>Deal 2097</t>
        </is>
      </c>
      <c r="FO1" s="1" t="inlineStr">
        <is>
          <t>Deal 2098</t>
        </is>
      </c>
      <c r="FY1" s="1" t="inlineStr">
        <is>
          <t>Deal 2099</t>
        </is>
      </c>
      <c r="GI1" s="1" t="inlineStr">
        <is>
          <t>Deal 2100</t>
        </is>
      </c>
      <c r="GS1" s="1" t="inlineStr">
        <is>
          <t>Deal 2101</t>
        </is>
      </c>
      <c r="HC1" s="1" t="inlineStr">
        <is>
          <t>Deal 2102</t>
        </is>
      </c>
      <c r="HM1" s="1" t="inlineStr">
        <is>
          <t>Deal 2103</t>
        </is>
      </c>
      <c r="HW1" s="1" t="inlineStr">
        <is>
          <t>Deal 2104</t>
        </is>
      </c>
      <c r="IG1" s="1" t="inlineStr">
        <is>
          <t>Deal 2105</t>
        </is>
      </c>
      <c r="IQ1" s="1" t="inlineStr">
        <is>
          <t>Deal 2106</t>
        </is>
      </c>
      <c r="JA1" s="1" t="inlineStr">
        <is>
          <t>Deal 2107</t>
        </is>
      </c>
      <c r="JK1" s="1" t="inlineStr">
        <is>
          <t>Deal 2108</t>
        </is>
      </c>
      <c r="JU1" s="1" t="inlineStr">
        <is>
          <t>Deal 2109</t>
        </is>
      </c>
      <c r="KE1" s="1" t="inlineStr">
        <is>
          <t>Deal 2110</t>
        </is>
      </c>
      <c r="KO1" s="1" t="inlineStr">
        <is>
          <t>Deal 2111</t>
        </is>
      </c>
      <c r="KY1" s="1" t="inlineStr">
        <is>
          <t>Deal 2112</t>
        </is>
      </c>
      <c r="LI1" s="1" t="inlineStr">
        <is>
          <t>Deal 2113</t>
        </is>
      </c>
      <c r="LS1" s="1" t="inlineStr">
        <is>
          <t>Deal 2114</t>
        </is>
      </c>
      <c r="MC1" s="1" t="inlineStr">
        <is>
          <t>Deal 2115</t>
        </is>
      </c>
      <c r="MM1" s="1" t="inlineStr">
        <is>
          <t>Deal 2116</t>
        </is>
      </c>
      <c r="MW1" s="1" t="inlineStr">
        <is>
          <t>Deal 2117</t>
        </is>
      </c>
      <c r="NG1" s="1" t="inlineStr">
        <is>
          <t>Deal 2118</t>
        </is>
      </c>
      <c r="NQ1" s="1" t="inlineStr">
        <is>
          <t>Deal 2119</t>
        </is>
      </c>
      <c r="OA1" s="1" t="inlineStr">
        <is>
          <t>Deal 2120</t>
        </is>
      </c>
    </row>
    <row r="2">
      <c r="A2" s="2" t="inlineStr">
        <is>
          <t>nan Equity</t>
        </is>
      </c>
      <c r="K2" s="2" t="inlineStr">
        <is>
          <t>KLAC US Equity</t>
        </is>
      </c>
      <c r="U2" s="2" t="inlineStr">
        <is>
          <t>ENDPQ US Equity</t>
        </is>
      </c>
      <c r="AE2" s="2" t="inlineStr">
        <is>
          <t>SGEN US Equity</t>
        </is>
      </c>
      <c r="AO2" s="2" t="inlineStr">
        <is>
          <t>9995577D US Equity</t>
        </is>
      </c>
      <c r="AY2" s="2" t="inlineStr">
        <is>
          <t>0882814D US Equity</t>
        </is>
      </c>
      <c r="BI2" s="2" t="inlineStr">
        <is>
          <t>GILD US Equity</t>
        </is>
      </c>
      <c r="BS2" s="2" t="inlineStr">
        <is>
          <t>STCN US Equity</t>
        </is>
      </c>
      <c r="CC2" s="2" t="inlineStr">
        <is>
          <t>ABT US Equity</t>
        </is>
      </c>
      <c r="CM2" s="2" t="inlineStr">
        <is>
          <t>987200Q US Equity</t>
        </is>
      </c>
      <c r="CW2" s="2" t="inlineStr">
        <is>
          <t>IBEMQ US Equity</t>
        </is>
      </c>
      <c r="DG2" s="2" t="inlineStr">
        <is>
          <t>RBPAA US Equity</t>
        </is>
      </c>
      <c r="DQ2" s="2" t="inlineStr">
        <is>
          <t>VIAV US Equity</t>
        </is>
      </c>
      <c r="EA2" s="2" t="inlineStr">
        <is>
          <t>BKB US Equity</t>
        </is>
      </c>
      <c r="EK2" s="2" t="inlineStr">
        <is>
          <t>nan Equity</t>
        </is>
      </c>
      <c r="EU2" s="2" t="inlineStr">
        <is>
          <t>SCHL US Equity</t>
        </is>
      </c>
      <c r="FE2" s="2" t="inlineStr">
        <is>
          <t>IPIXQ US Equity</t>
        </is>
      </c>
      <c r="FO2" s="2" t="inlineStr">
        <is>
          <t>CCBI US Equity</t>
        </is>
      </c>
      <c r="FY2" s="2" t="inlineStr">
        <is>
          <t>1920486D US Equity</t>
        </is>
      </c>
      <c r="GI2" s="2" t="inlineStr">
        <is>
          <t>CMTL US Equity</t>
        </is>
      </c>
      <c r="GS2" s="2" t="inlineStr">
        <is>
          <t>VPHM US Equity</t>
        </is>
      </c>
      <c r="HC2" s="2" t="inlineStr">
        <is>
          <t>MTCH US Equity</t>
        </is>
      </c>
      <c r="HM2" s="2" t="inlineStr">
        <is>
          <t>HI US Equity</t>
        </is>
      </c>
      <c r="HW2" s="2" t="inlineStr">
        <is>
          <t>2596516D US Equity</t>
        </is>
      </c>
      <c r="IG2" s="2" t="inlineStr">
        <is>
          <t>MSFT US Equity</t>
        </is>
      </c>
      <c r="IQ2" s="2" t="inlineStr">
        <is>
          <t>SUG US Equity</t>
        </is>
      </c>
      <c r="JA2" s="2" t="inlineStr">
        <is>
          <t>1715651D US Equity</t>
        </is>
      </c>
      <c r="JK2" s="2" t="inlineStr">
        <is>
          <t>T US Equity</t>
        </is>
      </c>
      <c r="JU2" s="2" t="inlineStr">
        <is>
          <t>LQI US Equity</t>
        </is>
      </c>
      <c r="KE2" s="2" t="inlineStr">
        <is>
          <t>EXPE US Equity</t>
        </is>
      </c>
      <c r="KO2" s="2" t="inlineStr">
        <is>
          <t>SOV US Equity</t>
        </is>
      </c>
      <c r="KY2" s="2" t="inlineStr">
        <is>
          <t>SGU US Equity</t>
        </is>
      </c>
      <c r="LI2" s="2" t="inlineStr">
        <is>
          <t>3029830Q US Equity</t>
        </is>
      </c>
      <c r="LS2" s="2" t="inlineStr">
        <is>
          <t>OCR US Equity</t>
        </is>
      </c>
      <c r="MC2" s="2" t="inlineStr">
        <is>
          <t>2860436Q US Equity</t>
        </is>
      </c>
      <c r="MM2" s="2" t="inlineStr">
        <is>
          <t>ABCB US Equity</t>
        </is>
      </c>
      <c r="MW2" s="2" t="inlineStr">
        <is>
          <t>GEO US Equity</t>
        </is>
      </c>
      <c r="NG2" s="2" t="inlineStr">
        <is>
          <t>OMTR US Equity</t>
        </is>
      </c>
      <c r="NQ2" s="2" t="inlineStr">
        <is>
          <t>T US Equity</t>
        </is>
      </c>
      <c r="OA2" s="2" t="inlineStr">
        <is>
          <t>MCF US Equity</t>
        </is>
      </c>
    </row>
    <row r="3">
      <c r="A3" t="inlineStr">
        <is>
          <t>Ann: 2021-01-04</t>
        </is>
      </c>
      <c r="K3" t="inlineStr">
        <is>
          <t>Ann: 2006-02-23</t>
        </is>
      </c>
      <c r="U3" t="inlineStr">
        <is>
          <t>Ann: 2009-01-05</t>
        </is>
      </c>
      <c r="AE3" t="inlineStr">
        <is>
          <t>Ann: 2018-01-31</t>
        </is>
      </c>
      <c r="AO3" t="inlineStr">
        <is>
          <t>Ann: 2019-05-06</t>
        </is>
      </c>
      <c r="AY3" t="inlineStr">
        <is>
          <t>Ann: 2000-02-14</t>
        </is>
      </c>
      <c r="BI3" t="inlineStr">
        <is>
          <t>Ann: 2002-12-04</t>
        </is>
      </c>
      <c r="BS3" t="inlineStr">
        <is>
          <t>Ann: 1999-12-15</t>
        </is>
      </c>
      <c r="CC3" t="inlineStr">
        <is>
          <t>Ann: 2010-03-09</t>
        </is>
      </c>
      <c r="CM3" t="inlineStr">
        <is>
          <t>Ann: 2000-07-03</t>
        </is>
      </c>
      <c r="CW3" t="inlineStr">
        <is>
          <t>Ann: 2000-07-25</t>
        </is>
      </c>
      <c r="DG3" t="inlineStr">
        <is>
          <t>Ann: 2001-03-13</t>
        </is>
      </c>
      <c r="DQ3" t="inlineStr">
        <is>
          <t>Ann: 1999-10-04</t>
        </is>
      </c>
      <c r="EA3" t="inlineStr">
        <is>
          <t>Ann: 1998-05-29</t>
        </is>
      </c>
      <c r="EK3" t="inlineStr">
        <is>
          <t>Ann: 2012-08-06</t>
        </is>
      </c>
      <c r="EU3" t="inlineStr">
        <is>
          <t>Ann: 2000-04-13</t>
        </is>
      </c>
      <c r="FE3" t="inlineStr">
        <is>
          <t>Ann: 1999-10-26</t>
        </is>
      </c>
      <c r="FO3" t="inlineStr">
        <is>
          <t>Ann: 2004-01-27</t>
        </is>
      </c>
      <c r="FY3" t="inlineStr">
        <is>
          <t>Ann: 2000-09-19</t>
        </is>
      </c>
      <c r="GI3" t="inlineStr">
        <is>
          <t>Ann: 2015-11-23</t>
        </is>
      </c>
      <c r="GS3" t="inlineStr">
        <is>
          <t>Ann: 2008-07-15</t>
        </is>
      </c>
      <c r="HC3" t="inlineStr">
        <is>
          <t>Ann: 2019-12-20</t>
        </is>
      </c>
      <c r="HM3" t="inlineStr">
        <is>
          <t>Ann: 2010-01-11</t>
        </is>
      </c>
      <c r="HW3" t="inlineStr">
        <is>
          <t>Ann: 1999-09-20</t>
        </is>
      </c>
      <c r="IG3" t="inlineStr">
        <is>
          <t>Ann: 2008-08-29</t>
        </is>
      </c>
      <c r="IQ3" t="inlineStr">
        <is>
          <t>Ann: 1999-11-15</t>
        </is>
      </c>
      <c r="JA3" t="inlineStr">
        <is>
          <t>Ann: 2002-07-23</t>
        </is>
      </c>
      <c r="JK3" t="inlineStr">
        <is>
          <t>Ann: 1999-11-03</t>
        </is>
      </c>
      <c r="JU3" t="inlineStr">
        <is>
          <t>Ann: 1998-01-12</t>
        </is>
      </c>
      <c r="KE3" t="inlineStr">
        <is>
          <t>Ann: 2015-11-04</t>
        </is>
      </c>
      <c r="KO3" t="inlineStr">
        <is>
          <t>Ann: 2003-06-13</t>
        </is>
      </c>
      <c r="KY3" t="inlineStr">
        <is>
          <t>Ann: 1998-08-14</t>
        </is>
      </c>
      <c r="LI3" t="inlineStr">
        <is>
          <t>Ann: 1999-10-11</t>
        </is>
      </c>
      <c r="LS3" t="inlineStr">
        <is>
          <t>Ann: 2002-07-29</t>
        </is>
      </c>
      <c r="MC3" t="inlineStr">
        <is>
          <t>Ann: 2005-12-05</t>
        </is>
      </c>
      <c r="MM3" t="inlineStr">
        <is>
          <t>Ann: 2018-01-26</t>
        </is>
      </c>
      <c r="MW3" t="inlineStr">
        <is>
          <t>Ann: 2006-09-20</t>
        </is>
      </c>
      <c r="NG3" t="inlineStr">
        <is>
          <t>Ann: 2007-10-25</t>
        </is>
      </c>
      <c r="NQ3" t="inlineStr">
        <is>
          <t>Ann: 2001-09-21</t>
        </is>
      </c>
      <c r="OA3" t="inlineStr">
        <is>
          <t>Ann: 2013-04-30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BDS("nan Equity","SUPPLY_CHAIN_SUPPLIERS","RELATIONSHIP_AS_OF_DATE","20210104")</f>
        <v/>
      </c>
      <c r="F5">
        <f>BDS("nan Equity","SUPPLY_CHAIN_CUSTOMERS","RELATIONSHIP_AS_OF_DATE","20210104")</f>
        <v/>
      </c>
      <c r="K5">
        <f>BDS("KLAC US Equity","SUPPLY_CHAIN_SUPPLIERS","RELATIONSHIP_AS_OF_DATE","20060223")</f>
        <v/>
      </c>
      <c r="P5">
        <f>BDS("KLAC US Equity","SUPPLY_CHAIN_CUSTOMERS","RELATIONSHIP_AS_OF_DATE","20060223")</f>
        <v/>
      </c>
      <c r="U5">
        <f>BDS("ENDPQ US Equity","SUPPLY_CHAIN_SUPPLIERS","RELATIONSHIP_AS_OF_DATE","20090105")</f>
        <v/>
      </c>
      <c r="Z5">
        <f>BDS("ENDPQ US Equity","SUPPLY_CHAIN_CUSTOMERS","RELATIONSHIP_AS_OF_DATE","20090105")</f>
        <v/>
      </c>
      <c r="AE5">
        <f>BDS("SGEN US Equity","SUPPLY_CHAIN_SUPPLIERS","RELATIONSHIP_AS_OF_DATE","20180131")</f>
        <v/>
      </c>
      <c r="AJ5">
        <f>BDS("SGEN US Equity","SUPPLY_CHAIN_CUSTOMERS","RELATIONSHIP_AS_OF_DATE","20180131")</f>
        <v/>
      </c>
      <c r="AO5">
        <f>BDS("9995577D US Equity","SUPPLY_CHAIN_SUPPLIERS","RELATIONSHIP_AS_OF_DATE","20190506")</f>
        <v/>
      </c>
      <c r="AT5">
        <f>BDS("9995577D US Equity","SUPPLY_CHAIN_CUSTOMERS","RELATIONSHIP_AS_OF_DATE","20190506")</f>
        <v/>
      </c>
      <c r="AY5">
        <f>BDS("0882814D US Equity","SUPPLY_CHAIN_SUPPLIERS","RELATIONSHIP_AS_OF_DATE","20000214")</f>
        <v/>
      </c>
      <c r="BD5">
        <f>BDS("0882814D US Equity","SUPPLY_CHAIN_CUSTOMERS","RELATIONSHIP_AS_OF_DATE","20000214")</f>
        <v/>
      </c>
      <c r="BI5">
        <f>BDS("GILD US Equity","SUPPLY_CHAIN_SUPPLIERS","RELATIONSHIP_AS_OF_DATE","20021204")</f>
        <v/>
      </c>
      <c r="BN5">
        <f>BDS("GILD US Equity","SUPPLY_CHAIN_CUSTOMERS","RELATIONSHIP_AS_OF_DATE","20021204")</f>
        <v/>
      </c>
      <c r="BS5">
        <f>BDS("STCN US Equity","SUPPLY_CHAIN_SUPPLIERS","RELATIONSHIP_AS_OF_DATE","19991215")</f>
        <v/>
      </c>
      <c r="BX5">
        <f>BDS("STCN US Equity","SUPPLY_CHAIN_CUSTOMERS","RELATIONSHIP_AS_OF_DATE","19991215")</f>
        <v/>
      </c>
      <c r="CC5">
        <f>BDS("ABT US Equity","SUPPLY_CHAIN_SUPPLIERS","RELATIONSHIP_AS_OF_DATE","20100309")</f>
        <v/>
      </c>
      <c r="CH5">
        <f>BDS("ABT US Equity","SUPPLY_CHAIN_CUSTOMERS","RELATIONSHIP_AS_OF_DATE","20100309")</f>
        <v/>
      </c>
      <c r="CM5">
        <f>BDS("987200Q US Equity","SUPPLY_CHAIN_SUPPLIERS","RELATIONSHIP_AS_OF_DATE","20000703")</f>
        <v/>
      </c>
      <c r="CR5">
        <f>BDS("987200Q US Equity","SUPPLY_CHAIN_CUSTOMERS","RELATIONSHIP_AS_OF_DATE","20000703")</f>
        <v/>
      </c>
      <c r="CW5">
        <f>BDS("IBEMQ US Equity","SUPPLY_CHAIN_SUPPLIERS","RELATIONSHIP_AS_OF_DATE","20000725")</f>
        <v/>
      </c>
      <c r="DB5">
        <f>BDS("IBEMQ US Equity","SUPPLY_CHAIN_CUSTOMERS","RELATIONSHIP_AS_OF_DATE","20000725")</f>
        <v/>
      </c>
      <c r="DG5">
        <f>BDS("RBPAA US Equity","SUPPLY_CHAIN_SUPPLIERS","RELATIONSHIP_AS_OF_DATE","20010313")</f>
        <v/>
      </c>
      <c r="DL5">
        <f>BDS("RBPAA US Equity","SUPPLY_CHAIN_CUSTOMERS","RELATIONSHIP_AS_OF_DATE","20010313")</f>
        <v/>
      </c>
      <c r="DQ5">
        <f>BDS("VIAV US Equity","SUPPLY_CHAIN_SUPPLIERS","RELATIONSHIP_AS_OF_DATE","19991004")</f>
        <v/>
      </c>
      <c r="DV5">
        <f>BDS("VIAV US Equity","SUPPLY_CHAIN_CUSTOMERS","RELATIONSHIP_AS_OF_DATE","19991004")</f>
        <v/>
      </c>
      <c r="EA5">
        <f>BDS("BKB US Equity","SUPPLY_CHAIN_SUPPLIERS","RELATIONSHIP_AS_OF_DATE","19980529")</f>
        <v/>
      </c>
      <c r="EF5">
        <f>BDS("BKB US Equity","SUPPLY_CHAIN_CUSTOMERS","RELATIONSHIP_AS_OF_DATE","19980529")</f>
        <v/>
      </c>
      <c r="EK5">
        <f>BDS("nan Equity","SUPPLY_CHAIN_SUPPLIERS","RELATIONSHIP_AS_OF_DATE","20120806")</f>
        <v/>
      </c>
      <c r="EP5">
        <f>BDS("nan Equity","SUPPLY_CHAIN_CUSTOMERS","RELATIONSHIP_AS_OF_DATE","20120806")</f>
        <v/>
      </c>
      <c r="EU5">
        <f>BDS("SCHL US Equity","SUPPLY_CHAIN_SUPPLIERS","RELATIONSHIP_AS_OF_DATE","20000413")</f>
        <v/>
      </c>
      <c r="EZ5">
        <f>BDS("SCHL US Equity","SUPPLY_CHAIN_CUSTOMERS","RELATIONSHIP_AS_OF_DATE","20000413")</f>
        <v/>
      </c>
      <c r="FE5">
        <f>BDS("IPIXQ US Equity","SUPPLY_CHAIN_SUPPLIERS","RELATIONSHIP_AS_OF_DATE","19991026")</f>
        <v/>
      </c>
      <c r="FJ5">
        <f>BDS("IPIXQ US Equity","SUPPLY_CHAIN_CUSTOMERS","RELATIONSHIP_AS_OF_DATE","19991026")</f>
        <v/>
      </c>
      <c r="FO5">
        <f>BDS("CCBI US Equity","SUPPLY_CHAIN_SUPPLIERS","RELATIONSHIP_AS_OF_DATE","20040127")</f>
        <v/>
      </c>
      <c r="FT5">
        <f>BDS("CCBI US Equity","SUPPLY_CHAIN_CUSTOMERS","RELATIONSHIP_AS_OF_DATE","20040127")</f>
        <v/>
      </c>
      <c r="FY5">
        <f>BDS("1920486D US Equity","SUPPLY_CHAIN_SUPPLIERS","RELATIONSHIP_AS_OF_DATE","20000919")</f>
        <v/>
      </c>
      <c r="GD5">
        <f>BDS("1920486D US Equity","SUPPLY_CHAIN_CUSTOMERS","RELATIONSHIP_AS_OF_DATE","20000919")</f>
        <v/>
      </c>
      <c r="GI5">
        <f>BDS("CMTL US Equity","SUPPLY_CHAIN_SUPPLIERS","RELATIONSHIP_AS_OF_DATE","20151123")</f>
        <v/>
      </c>
      <c r="GN5">
        <f>BDS("CMTL US Equity","SUPPLY_CHAIN_CUSTOMERS","RELATIONSHIP_AS_OF_DATE","20151123")</f>
        <v/>
      </c>
      <c r="GS5">
        <f>BDS("VPHM US Equity","SUPPLY_CHAIN_SUPPLIERS","RELATIONSHIP_AS_OF_DATE","20080715")</f>
        <v/>
      </c>
      <c r="GX5">
        <f>BDS("VPHM US Equity","SUPPLY_CHAIN_CUSTOMERS","RELATIONSHIP_AS_OF_DATE","20080715")</f>
        <v/>
      </c>
      <c r="HC5">
        <f>BDS("MTCH US Equity","SUPPLY_CHAIN_SUPPLIERS","RELATIONSHIP_AS_OF_DATE","20191220")</f>
        <v/>
      </c>
      <c r="HH5">
        <f>BDS("MTCH US Equity","SUPPLY_CHAIN_CUSTOMERS","RELATIONSHIP_AS_OF_DATE","20191220")</f>
        <v/>
      </c>
      <c r="HM5">
        <f>BDS("HI US Equity","SUPPLY_CHAIN_SUPPLIERS","RELATIONSHIP_AS_OF_DATE","20100111")</f>
        <v/>
      </c>
      <c r="HR5">
        <f>BDS("HI US Equity","SUPPLY_CHAIN_CUSTOMERS","RELATIONSHIP_AS_OF_DATE","20100111")</f>
        <v/>
      </c>
      <c r="HW5">
        <f>BDS("2596516D US Equity","SUPPLY_CHAIN_SUPPLIERS","RELATIONSHIP_AS_OF_DATE","19990920")</f>
        <v/>
      </c>
      <c r="IB5">
        <f>BDS("2596516D US Equity","SUPPLY_CHAIN_CUSTOMERS","RELATIONSHIP_AS_OF_DATE","19990920")</f>
        <v/>
      </c>
      <c r="IG5">
        <f>BDS("MSFT US Equity","SUPPLY_CHAIN_SUPPLIERS","RELATIONSHIP_AS_OF_DATE","20080829")</f>
        <v/>
      </c>
      <c r="IL5">
        <f>BDS("MSFT US Equity","SUPPLY_CHAIN_CUSTOMERS","RELATIONSHIP_AS_OF_DATE","20080829")</f>
        <v/>
      </c>
      <c r="IQ5">
        <f>BDS("SUG US Equity","SUPPLY_CHAIN_SUPPLIERS","RELATIONSHIP_AS_OF_DATE","19991115")</f>
        <v/>
      </c>
      <c r="IV5">
        <f>BDS("SUG US Equity","SUPPLY_CHAIN_CUSTOMERS","RELATIONSHIP_AS_OF_DATE","19991115")</f>
        <v/>
      </c>
      <c r="JA5">
        <f>BDS("1715651D US Equity","SUPPLY_CHAIN_SUPPLIERS","RELATIONSHIP_AS_OF_DATE","20020723")</f>
        <v/>
      </c>
      <c r="JF5">
        <f>BDS("1715651D US Equity","SUPPLY_CHAIN_CUSTOMERS","RELATIONSHIP_AS_OF_DATE","20020723")</f>
        <v/>
      </c>
      <c r="JK5">
        <f>BDS("T US Equity","SUPPLY_CHAIN_SUPPLIERS","RELATIONSHIP_AS_OF_DATE","19991103")</f>
        <v/>
      </c>
      <c r="JP5">
        <f>BDS("T US Equity","SUPPLY_CHAIN_CUSTOMERS","RELATIONSHIP_AS_OF_DATE","19991103")</f>
        <v/>
      </c>
      <c r="JU5">
        <f>BDS("LQI US Equity","SUPPLY_CHAIN_SUPPLIERS","RELATIONSHIP_AS_OF_DATE","19980112")</f>
        <v/>
      </c>
      <c r="JZ5">
        <f>BDS("LQI US Equity","SUPPLY_CHAIN_CUSTOMERS","RELATIONSHIP_AS_OF_DATE","19980112")</f>
        <v/>
      </c>
      <c r="KE5">
        <f>BDS("EXPE US Equity","SUPPLY_CHAIN_SUPPLIERS","RELATIONSHIP_AS_OF_DATE","20151104")</f>
        <v/>
      </c>
      <c r="KJ5">
        <f>BDS("EXPE US Equity","SUPPLY_CHAIN_CUSTOMERS","RELATIONSHIP_AS_OF_DATE","20151104")</f>
        <v/>
      </c>
      <c r="KO5">
        <f>BDS("SOV US Equity","SUPPLY_CHAIN_SUPPLIERS","RELATIONSHIP_AS_OF_DATE","20030613")</f>
        <v/>
      </c>
      <c r="KT5">
        <f>BDS("SOV US Equity","SUPPLY_CHAIN_CUSTOMERS","RELATIONSHIP_AS_OF_DATE","20030613")</f>
        <v/>
      </c>
      <c r="KY5">
        <f>BDS("SGU US Equity","SUPPLY_CHAIN_SUPPLIERS","RELATIONSHIP_AS_OF_DATE","19980814")</f>
        <v/>
      </c>
      <c r="LD5">
        <f>BDS("SGU US Equity","SUPPLY_CHAIN_CUSTOMERS","RELATIONSHIP_AS_OF_DATE","19980814")</f>
        <v/>
      </c>
      <c r="LI5">
        <f>BDS("3029830Q US Equity","SUPPLY_CHAIN_SUPPLIERS","RELATIONSHIP_AS_OF_DATE","19991011")</f>
        <v/>
      </c>
      <c r="LN5">
        <f>BDS("3029830Q US Equity","SUPPLY_CHAIN_CUSTOMERS","RELATIONSHIP_AS_OF_DATE","19991011")</f>
        <v/>
      </c>
      <c r="LS5">
        <f>BDS("OCR US Equity","SUPPLY_CHAIN_SUPPLIERS","RELATIONSHIP_AS_OF_DATE","20020729")</f>
        <v/>
      </c>
      <c r="LX5">
        <f>BDS("OCR US Equity","SUPPLY_CHAIN_CUSTOMERS","RELATIONSHIP_AS_OF_DATE","20020729")</f>
        <v/>
      </c>
      <c r="MC5">
        <f>BDS("2860436Q US Equity","SUPPLY_CHAIN_SUPPLIERS","RELATIONSHIP_AS_OF_DATE","20051205")</f>
        <v/>
      </c>
      <c r="MH5">
        <f>BDS("2860436Q US Equity","SUPPLY_CHAIN_CUSTOMERS","RELATIONSHIP_AS_OF_DATE","20051205")</f>
        <v/>
      </c>
      <c r="MM5">
        <f>BDS("ABCB US Equity","SUPPLY_CHAIN_SUPPLIERS","RELATIONSHIP_AS_OF_DATE","20180126")</f>
        <v/>
      </c>
      <c r="MR5">
        <f>BDS("ABCB US Equity","SUPPLY_CHAIN_CUSTOMERS","RELATIONSHIP_AS_OF_DATE","20180126")</f>
        <v/>
      </c>
      <c r="MW5">
        <f>BDS("GEO US Equity","SUPPLY_CHAIN_SUPPLIERS","RELATIONSHIP_AS_OF_DATE","20060920")</f>
        <v/>
      </c>
      <c r="NB5">
        <f>BDS("GEO US Equity","SUPPLY_CHAIN_CUSTOMERS","RELATIONSHIP_AS_OF_DATE","20060920")</f>
        <v/>
      </c>
      <c r="NG5">
        <f>BDS("OMTR US Equity","SUPPLY_CHAIN_SUPPLIERS","RELATIONSHIP_AS_OF_DATE","20071025")</f>
        <v/>
      </c>
      <c r="NL5">
        <f>BDS("OMTR US Equity","SUPPLY_CHAIN_CUSTOMERS","RELATIONSHIP_AS_OF_DATE","20071025")</f>
        <v/>
      </c>
      <c r="NQ5">
        <f>BDS("T US Equity","SUPPLY_CHAIN_SUPPLIERS","RELATIONSHIP_AS_OF_DATE","20010921")</f>
        <v/>
      </c>
      <c r="NV5">
        <f>BDS("T US Equity","SUPPLY_CHAIN_CUSTOMERS","RELATIONSHIP_AS_OF_DATE","20010921")</f>
        <v/>
      </c>
      <c r="OA5">
        <f>BDS("MCF US Equity","SUPPLY_CHAIN_SUPPLIERS","RELATIONSHIP_AS_OF_DATE","20130430")</f>
        <v/>
      </c>
      <c r="OF5">
        <f>BDS("MCF US Equity","SUPPLY_CHAIN_CUSTOMERS","RELATIONSHIP_AS_OF_DATE","20130430")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2121</t>
        </is>
      </c>
      <c r="K1" s="1" t="inlineStr">
        <is>
          <t>Deal 2122</t>
        </is>
      </c>
      <c r="U1" s="1" t="inlineStr">
        <is>
          <t>Deal 2123</t>
        </is>
      </c>
      <c r="AE1" s="1" t="inlineStr">
        <is>
          <t>Deal 2124</t>
        </is>
      </c>
      <c r="AO1" s="1" t="inlineStr">
        <is>
          <t>Deal 2125</t>
        </is>
      </c>
      <c r="AY1" s="1" t="inlineStr">
        <is>
          <t>Deal 2126</t>
        </is>
      </c>
      <c r="BI1" s="1" t="inlineStr">
        <is>
          <t>Deal 2127</t>
        </is>
      </c>
      <c r="BS1" s="1" t="inlineStr">
        <is>
          <t>Deal 2128</t>
        </is>
      </c>
      <c r="CC1" s="1" t="inlineStr">
        <is>
          <t>Deal 2129</t>
        </is>
      </c>
      <c r="CM1" s="1" t="inlineStr">
        <is>
          <t>Deal 2130</t>
        </is>
      </c>
      <c r="CW1" s="1" t="inlineStr">
        <is>
          <t>Deal 2131</t>
        </is>
      </c>
      <c r="DG1" s="1" t="inlineStr">
        <is>
          <t>Deal 2132</t>
        </is>
      </c>
      <c r="DQ1" s="1" t="inlineStr">
        <is>
          <t>Deal 2133</t>
        </is>
      </c>
      <c r="EA1" s="1" t="inlineStr">
        <is>
          <t>Deal 2134</t>
        </is>
      </c>
      <c r="EK1" s="1" t="inlineStr">
        <is>
          <t>Deal 2135</t>
        </is>
      </c>
      <c r="EU1" s="1" t="inlineStr">
        <is>
          <t>Deal 2136</t>
        </is>
      </c>
      <c r="FE1" s="1" t="inlineStr">
        <is>
          <t>Deal 2137</t>
        </is>
      </c>
      <c r="FO1" s="1" t="inlineStr">
        <is>
          <t>Deal 2138</t>
        </is>
      </c>
      <c r="FY1" s="1" t="inlineStr">
        <is>
          <t>Deal 2139</t>
        </is>
      </c>
      <c r="GI1" s="1" t="inlineStr">
        <is>
          <t>Deal 2140</t>
        </is>
      </c>
      <c r="GS1" s="1" t="inlineStr">
        <is>
          <t>Deal 2141</t>
        </is>
      </c>
      <c r="HC1" s="1" t="inlineStr">
        <is>
          <t>Deal 2142</t>
        </is>
      </c>
      <c r="HM1" s="1" t="inlineStr">
        <is>
          <t>Deal 2143</t>
        </is>
      </c>
      <c r="HW1" s="1" t="inlineStr">
        <is>
          <t>Deal 2144</t>
        </is>
      </c>
      <c r="IG1" s="1" t="inlineStr">
        <is>
          <t>Deal 2145</t>
        </is>
      </c>
      <c r="IQ1" s="1" t="inlineStr">
        <is>
          <t>Deal 2146</t>
        </is>
      </c>
      <c r="JA1" s="1" t="inlineStr">
        <is>
          <t>Deal 2147</t>
        </is>
      </c>
      <c r="JK1" s="1" t="inlineStr">
        <is>
          <t>Deal 2148</t>
        </is>
      </c>
      <c r="JU1" s="1" t="inlineStr">
        <is>
          <t>Deal 2149</t>
        </is>
      </c>
      <c r="KE1" s="1" t="inlineStr">
        <is>
          <t>Deal 2150</t>
        </is>
      </c>
      <c r="KO1" s="1" t="inlineStr">
        <is>
          <t>Deal 2151</t>
        </is>
      </c>
      <c r="KY1" s="1" t="inlineStr">
        <is>
          <t>Deal 2152</t>
        </is>
      </c>
      <c r="LI1" s="1" t="inlineStr">
        <is>
          <t>Deal 2153</t>
        </is>
      </c>
      <c r="LS1" s="1" t="inlineStr">
        <is>
          <t>Deal 2154</t>
        </is>
      </c>
      <c r="MC1" s="1" t="inlineStr">
        <is>
          <t>Deal 2155</t>
        </is>
      </c>
      <c r="MM1" s="1" t="inlineStr">
        <is>
          <t>Deal 2156</t>
        </is>
      </c>
      <c r="MW1" s="1" t="inlineStr">
        <is>
          <t>Deal 2157</t>
        </is>
      </c>
      <c r="NG1" s="1" t="inlineStr">
        <is>
          <t>Deal 2158</t>
        </is>
      </c>
      <c r="NQ1" s="1" t="inlineStr">
        <is>
          <t>Deal 2159</t>
        </is>
      </c>
      <c r="OA1" s="1" t="inlineStr">
        <is>
          <t>Deal 2160</t>
        </is>
      </c>
    </row>
    <row r="2">
      <c r="A2" s="2" t="inlineStr">
        <is>
          <t>GE US Equity</t>
        </is>
      </c>
      <c r="K2" s="2" t="inlineStr">
        <is>
          <t>TWX US Equity</t>
        </is>
      </c>
      <c r="U2" s="2" t="inlineStr">
        <is>
          <t>EFSC US Equity</t>
        </is>
      </c>
      <c r="AE2" s="2" t="inlineStr">
        <is>
          <t>YDKN US Equity</t>
        </is>
      </c>
      <c r="AO2" s="2" t="inlineStr">
        <is>
          <t>CF US Equity</t>
        </is>
      </c>
      <c r="AY2" s="2" t="inlineStr">
        <is>
          <t>JNJ US Equity</t>
        </is>
      </c>
      <c r="BI2" s="2" t="inlineStr">
        <is>
          <t>PPBI US Equity</t>
        </is>
      </c>
      <c r="BS2" s="2" t="inlineStr">
        <is>
          <t>EPAC US Equity</t>
        </is>
      </c>
      <c r="CC2" s="2" t="inlineStr">
        <is>
          <t>1280712D US Equity</t>
        </is>
      </c>
      <c r="CM2" s="2" t="inlineStr">
        <is>
          <t>EQC US Equity</t>
        </is>
      </c>
      <c r="CW2" s="2" t="inlineStr">
        <is>
          <t>AVNT US Equity</t>
        </is>
      </c>
      <c r="DG2" s="2" t="inlineStr">
        <is>
          <t>TFSM US Equity</t>
        </is>
      </c>
      <c r="DQ2" s="2" t="inlineStr">
        <is>
          <t>PXP US Equity</t>
        </is>
      </c>
      <c r="EA2" s="2" t="inlineStr">
        <is>
          <t>EQR US Equity</t>
        </is>
      </c>
      <c r="EK2" s="2" t="inlineStr">
        <is>
          <t>OK US Equity</t>
        </is>
      </c>
      <c r="EU2" s="2" t="inlineStr">
        <is>
          <t>CITGQ US Equity</t>
        </is>
      </c>
      <c r="FE2" s="2" t="inlineStr">
        <is>
          <t>NUVA US Equity</t>
        </is>
      </c>
      <c r="FO2" s="2" t="inlineStr">
        <is>
          <t>ELME US Equity</t>
        </is>
      </c>
      <c r="FY2" s="2" t="inlineStr">
        <is>
          <t>ELAN US Equity</t>
        </is>
      </c>
      <c r="GI2" s="2" t="inlineStr">
        <is>
          <t>AVID US Equity</t>
        </is>
      </c>
      <c r="GS2" s="2" t="inlineStr">
        <is>
          <t>2568368D US Equity</t>
        </is>
      </c>
      <c r="HC2" s="2" t="inlineStr">
        <is>
          <t>PBI US Equity</t>
        </is>
      </c>
      <c r="HM2" s="2" t="inlineStr">
        <is>
          <t>VLY US Equity</t>
        </is>
      </c>
      <c r="HW2" s="2" t="inlineStr">
        <is>
          <t>WSBC US Equity</t>
        </is>
      </c>
      <c r="IG2" s="2" t="inlineStr">
        <is>
          <t>NOV US Equity</t>
        </is>
      </c>
      <c r="IQ2" s="2" t="inlineStr">
        <is>
          <t>VECO US Equity</t>
        </is>
      </c>
      <c r="JA2" s="2" t="inlineStr">
        <is>
          <t>MBFI US Equity</t>
        </is>
      </c>
      <c r="JK2" s="2" t="inlineStr">
        <is>
          <t>NWACQ US Equity</t>
        </is>
      </c>
      <c r="JU2" s="2" t="inlineStr">
        <is>
          <t>ZION US Equity</t>
        </is>
      </c>
      <c r="KE2" s="2" t="inlineStr">
        <is>
          <t>JNJ US Equity</t>
        </is>
      </c>
      <c r="KO2" s="2" t="inlineStr">
        <is>
          <t>INTU US Equity</t>
        </is>
      </c>
      <c r="KY2" s="2" t="inlineStr">
        <is>
          <t>LLY US Equity</t>
        </is>
      </c>
      <c r="LI2" s="2" t="inlineStr">
        <is>
          <t>MR US Equity</t>
        </is>
      </c>
      <c r="LS2" s="2" t="inlineStr">
        <is>
          <t>HES US Equity</t>
        </is>
      </c>
      <c r="MC2" s="2" t="inlineStr">
        <is>
          <t>UMPQ US Equity</t>
        </is>
      </c>
      <c r="MM2" s="2" t="inlineStr">
        <is>
          <t>TRMB US Equity</t>
        </is>
      </c>
      <c r="MW2" s="2" t="inlineStr">
        <is>
          <t>MTN US Equity</t>
        </is>
      </c>
      <c r="NG2" s="2" t="inlineStr">
        <is>
          <t>NDSN US Equity</t>
        </is>
      </c>
      <c r="NQ2" s="2" t="inlineStr">
        <is>
          <t>ISIL US Equity</t>
        </is>
      </c>
      <c r="OA2" s="2" t="inlineStr">
        <is>
          <t>TFC US Equity</t>
        </is>
      </c>
    </row>
    <row r="3">
      <c r="A3" t="inlineStr">
        <is>
          <t>Ann: 2000-07-17</t>
        </is>
      </c>
      <c r="K3" t="inlineStr">
        <is>
          <t>Ann: 1999-02-01</t>
        </is>
      </c>
      <c r="U3" t="inlineStr">
        <is>
          <t>Ann: 2021-04-26</t>
        </is>
      </c>
      <c r="AE3" t="inlineStr">
        <is>
          <t>Ann: 2015-10-13</t>
        </is>
      </c>
      <c r="AO3" t="inlineStr">
        <is>
          <t>Ann: 2018-02-07</t>
        </is>
      </c>
      <c r="AY3" t="inlineStr">
        <is>
          <t>Ann: 2010-07-12</t>
        </is>
      </c>
      <c r="BI3" t="inlineStr">
        <is>
          <t>Ann: 2016-12-13</t>
        </is>
      </c>
      <c r="BS3" t="inlineStr">
        <is>
          <t>Ann: 1998-04-06</t>
        </is>
      </c>
      <c r="CC3" t="inlineStr">
        <is>
          <t>Ann: 2000-10-25</t>
        </is>
      </c>
      <c r="CM3" t="inlineStr">
        <is>
          <t>Ann: 2004-04-16</t>
        </is>
      </c>
      <c r="CW3" t="inlineStr">
        <is>
          <t>Ann: 2012-10-24</t>
        </is>
      </c>
      <c r="DG3" t="inlineStr">
        <is>
          <t>Ann: 2000-02-29</t>
        </is>
      </c>
      <c r="DQ3" t="inlineStr">
        <is>
          <t>Ann: 2003-02-03</t>
        </is>
      </c>
      <c r="EA3" t="inlineStr">
        <is>
          <t>Ann: 2000-07-17</t>
        </is>
      </c>
      <c r="EK3" t="inlineStr">
        <is>
          <t>Ann: 1999-09-10</t>
        </is>
      </c>
      <c r="EU3" t="inlineStr">
        <is>
          <t>Ann: 2005-01-04</t>
        </is>
      </c>
      <c r="FE3" t="inlineStr">
        <is>
          <t>Ann: 2016-01-06</t>
        </is>
      </c>
      <c r="FO3" t="inlineStr">
        <is>
          <t>Ann: 2019-05-01</t>
        </is>
      </c>
      <c r="FY3" t="inlineStr">
        <is>
          <t>Ann: 2021-06-16</t>
        </is>
      </c>
      <c r="GI3" t="inlineStr">
        <is>
          <t>Ann: 2005-03-21</t>
        </is>
      </c>
      <c r="GS3" t="inlineStr">
        <is>
          <t>Ann: 2016-05-31</t>
        </is>
      </c>
      <c r="HC3" t="inlineStr">
        <is>
          <t>Ann: 2007-03-15</t>
        </is>
      </c>
      <c r="HM3" t="inlineStr">
        <is>
          <t>Ann: 2000-09-06</t>
        </is>
      </c>
      <c r="HW3" t="inlineStr">
        <is>
          <t>Ann: 2018-04-19</t>
        </is>
      </c>
      <c r="IG3" t="inlineStr">
        <is>
          <t>Ann: 2004-08-12</t>
        </is>
      </c>
      <c r="IQ3" t="inlineStr">
        <is>
          <t>Ann: 2000-02-29</t>
        </is>
      </c>
      <c r="JA3" t="inlineStr">
        <is>
          <t>Ann: 2006-05-02</t>
        </is>
      </c>
      <c r="JK3" t="inlineStr">
        <is>
          <t>Ann: 1998-11-20</t>
        </is>
      </c>
      <c r="JU3" t="inlineStr">
        <is>
          <t>Ann: 1999-05-07</t>
        </is>
      </c>
      <c r="KE3" t="inlineStr">
        <is>
          <t>Ann: 2005-03-04</t>
        </is>
      </c>
      <c r="KO3" t="inlineStr">
        <is>
          <t>Ann: 1999-10-07</t>
        </is>
      </c>
      <c r="KY3" t="inlineStr">
        <is>
          <t>Ann: 2003-11-21</t>
        </is>
      </c>
      <c r="LI3" t="inlineStr">
        <is>
          <t>Ann: 2018-08-27</t>
        </is>
      </c>
      <c r="LS3" t="inlineStr">
        <is>
          <t>Ann: 2010-07-28</t>
        </is>
      </c>
      <c r="MC3" t="inlineStr">
        <is>
          <t>Ann: 2006-02-08</t>
        </is>
      </c>
      <c r="MM3" t="inlineStr">
        <is>
          <t>Ann: 2006-12-11</t>
        </is>
      </c>
      <c r="MW3" t="inlineStr">
        <is>
          <t>Ann: 2019-07-22</t>
        </is>
      </c>
      <c r="NG3" t="inlineStr">
        <is>
          <t>Ann: 2022-08-08</t>
        </is>
      </c>
      <c r="NQ3" t="inlineStr">
        <is>
          <t>Ann: 2010-03-22</t>
        </is>
      </c>
      <c r="OA3" t="inlineStr">
        <is>
          <t>Ann: 2006-12-21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BDS("GE US Equity","SUPPLY_CHAIN_SUPPLIERS","RELATIONSHIP_AS_OF_DATE","20000717")</f>
        <v/>
      </c>
      <c r="F5">
        <f>BDS("GE US Equity","SUPPLY_CHAIN_CUSTOMERS","RELATIONSHIP_AS_OF_DATE","20000717")</f>
        <v/>
      </c>
      <c r="K5">
        <f>BDS("TWX US Equity","SUPPLY_CHAIN_SUPPLIERS","RELATIONSHIP_AS_OF_DATE","19990201")</f>
        <v/>
      </c>
      <c r="P5">
        <f>BDS("TWX US Equity","SUPPLY_CHAIN_CUSTOMERS","RELATIONSHIP_AS_OF_DATE","19990201")</f>
        <v/>
      </c>
      <c r="U5">
        <f>BDS("EFSC US Equity","SUPPLY_CHAIN_SUPPLIERS","RELATIONSHIP_AS_OF_DATE","20210426")</f>
        <v/>
      </c>
      <c r="Z5">
        <f>BDS("EFSC US Equity","SUPPLY_CHAIN_CUSTOMERS","RELATIONSHIP_AS_OF_DATE","20210426")</f>
        <v/>
      </c>
      <c r="AE5">
        <f>BDS("YDKN US Equity","SUPPLY_CHAIN_SUPPLIERS","RELATIONSHIP_AS_OF_DATE","20151013")</f>
        <v/>
      </c>
      <c r="AJ5">
        <f>BDS("YDKN US Equity","SUPPLY_CHAIN_CUSTOMERS","RELATIONSHIP_AS_OF_DATE","20151013")</f>
        <v/>
      </c>
      <c r="AO5">
        <f>BDS("CF US Equity","SUPPLY_CHAIN_SUPPLIERS","RELATIONSHIP_AS_OF_DATE","20180207")</f>
        <v/>
      </c>
      <c r="AT5">
        <f>BDS("CF US Equity","SUPPLY_CHAIN_CUSTOMERS","RELATIONSHIP_AS_OF_DATE","20180207")</f>
        <v/>
      </c>
      <c r="AY5">
        <f>BDS("JNJ US Equity","SUPPLY_CHAIN_SUPPLIERS","RELATIONSHIP_AS_OF_DATE","20100712")</f>
        <v/>
      </c>
      <c r="BD5">
        <f>BDS("JNJ US Equity","SUPPLY_CHAIN_CUSTOMERS","RELATIONSHIP_AS_OF_DATE","20100712")</f>
        <v/>
      </c>
      <c r="BI5">
        <f>BDS("PPBI US Equity","SUPPLY_CHAIN_SUPPLIERS","RELATIONSHIP_AS_OF_DATE","20161213")</f>
        <v/>
      </c>
      <c r="BN5">
        <f>BDS("PPBI US Equity","SUPPLY_CHAIN_CUSTOMERS","RELATIONSHIP_AS_OF_DATE","20161213")</f>
        <v/>
      </c>
      <c r="BS5">
        <f>BDS("EPAC US Equity","SUPPLY_CHAIN_SUPPLIERS","RELATIONSHIP_AS_OF_DATE","19980406")</f>
        <v/>
      </c>
      <c r="BX5">
        <f>BDS("EPAC US Equity","SUPPLY_CHAIN_CUSTOMERS","RELATIONSHIP_AS_OF_DATE","19980406")</f>
        <v/>
      </c>
      <c r="CC5">
        <f>BDS("1280712D US Equity","SUPPLY_CHAIN_SUPPLIERS","RELATIONSHIP_AS_OF_DATE","20001025")</f>
        <v/>
      </c>
      <c r="CH5">
        <f>BDS("1280712D US Equity","SUPPLY_CHAIN_CUSTOMERS","RELATIONSHIP_AS_OF_DATE","20001025")</f>
        <v/>
      </c>
      <c r="CM5">
        <f>BDS("EQC US Equity","SUPPLY_CHAIN_SUPPLIERS","RELATIONSHIP_AS_OF_DATE","20040416")</f>
        <v/>
      </c>
      <c r="CR5">
        <f>BDS("EQC US Equity","SUPPLY_CHAIN_CUSTOMERS","RELATIONSHIP_AS_OF_DATE","20040416")</f>
        <v/>
      </c>
      <c r="CW5">
        <f>BDS("AVNT US Equity","SUPPLY_CHAIN_SUPPLIERS","RELATIONSHIP_AS_OF_DATE","20121024")</f>
        <v/>
      </c>
      <c r="DB5">
        <f>BDS("AVNT US Equity","SUPPLY_CHAIN_CUSTOMERS","RELATIONSHIP_AS_OF_DATE","20121024")</f>
        <v/>
      </c>
      <c r="DG5">
        <f>BDS("TFSM US Equity","SUPPLY_CHAIN_SUPPLIERS","RELATIONSHIP_AS_OF_DATE","20000229")</f>
        <v/>
      </c>
      <c r="DL5">
        <f>BDS("TFSM US Equity","SUPPLY_CHAIN_CUSTOMERS","RELATIONSHIP_AS_OF_DATE","20000229")</f>
        <v/>
      </c>
      <c r="DQ5">
        <f>BDS("PXP US Equity","SUPPLY_CHAIN_SUPPLIERS","RELATIONSHIP_AS_OF_DATE","20030203")</f>
        <v/>
      </c>
      <c r="DV5">
        <f>BDS("PXP US Equity","SUPPLY_CHAIN_CUSTOMERS","RELATIONSHIP_AS_OF_DATE","20030203")</f>
        <v/>
      </c>
      <c r="EA5">
        <f>BDS("EQR US Equity","SUPPLY_CHAIN_SUPPLIERS","RELATIONSHIP_AS_OF_DATE","20000717")</f>
        <v/>
      </c>
      <c r="EF5">
        <f>BDS("EQR US Equity","SUPPLY_CHAIN_CUSTOMERS","RELATIONSHIP_AS_OF_DATE","20000717")</f>
        <v/>
      </c>
      <c r="EK5">
        <f>BDS("OK US Equity","SUPPLY_CHAIN_SUPPLIERS","RELATIONSHIP_AS_OF_DATE","19990910")</f>
        <v/>
      </c>
      <c r="EP5">
        <f>BDS("OK US Equity","SUPPLY_CHAIN_CUSTOMERS","RELATIONSHIP_AS_OF_DATE","19990910")</f>
        <v/>
      </c>
      <c r="EU5">
        <f>BDS("CITGQ US Equity","SUPPLY_CHAIN_SUPPLIERS","RELATIONSHIP_AS_OF_DATE","20050104")</f>
        <v/>
      </c>
      <c r="EZ5">
        <f>BDS("CITGQ US Equity","SUPPLY_CHAIN_CUSTOMERS","RELATIONSHIP_AS_OF_DATE","20050104")</f>
        <v/>
      </c>
      <c r="FE5">
        <f>BDS("NUVA US Equity","SUPPLY_CHAIN_SUPPLIERS","RELATIONSHIP_AS_OF_DATE","20160106")</f>
        <v/>
      </c>
      <c r="FJ5">
        <f>BDS("NUVA US Equity","SUPPLY_CHAIN_CUSTOMERS","RELATIONSHIP_AS_OF_DATE","20160106")</f>
        <v/>
      </c>
      <c r="FO5">
        <f>BDS("ELME US Equity","SUPPLY_CHAIN_SUPPLIERS","RELATIONSHIP_AS_OF_DATE","20190501")</f>
        <v/>
      </c>
      <c r="FT5">
        <f>BDS("ELME US Equity","SUPPLY_CHAIN_CUSTOMERS","RELATIONSHIP_AS_OF_DATE","20190501")</f>
        <v/>
      </c>
      <c r="FY5">
        <f>BDS("ELAN US Equity","SUPPLY_CHAIN_SUPPLIERS","RELATIONSHIP_AS_OF_DATE","20210616")</f>
        <v/>
      </c>
      <c r="GD5">
        <f>BDS("ELAN US Equity","SUPPLY_CHAIN_CUSTOMERS","RELATIONSHIP_AS_OF_DATE","20210616")</f>
        <v/>
      </c>
      <c r="GI5">
        <f>BDS("AVID US Equity","SUPPLY_CHAIN_SUPPLIERS","RELATIONSHIP_AS_OF_DATE","20050321")</f>
        <v/>
      </c>
      <c r="GN5">
        <f>BDS("AVID US Equity","SUPPLY_CHAIN_CUSTOMERS","RELATIONSHIP_AS_OF_DATE","20050321")</f>
        <v/>
      </c>
      <c r="GS5">
        <f>BDS("2568368D US Equity","SUPPLY_CHAIN_SUPPLIERS","RELATIONSHIP_AS_OF_DATE","20160531")</f>
        <v/>
      </c>
      <c r="GX5">
        <f>BDS("2568368D US Equity","SUPPLY_CHAIN_CUSTOMERS","RELATIONSHIP_AS_OF_DATE","20160531")</f>
        <v/>
      </c>
      <c r="HC5">
        <f>BDS("PBI US Equity","SUPPLY_CHAIN_SUPPLIERS","RELATIONSHIP_AS_OF_DATE","20070315")</f>
        <v/>
      </c>
      <c r="HH5">
        <f>BDS("PBI US Equity","SUPPLY_CHAIN_CUSTOMERS","RELATIONSHIP_AS_OF_DATE","20070315")</f>
        <v/>
      </c>
      <c r="HM5">
        <f>BDS("VLY US Equity","SUPPLY_CHAIN_SUPPLIERS","RELATIONSHIP_AS_OF_DATE","20000906")</f>
        <v/>
      </c>
      <c r="HR5">
        <f>BDS("VLY US Equity","SUPPLY_CHAIN_CUSTOMERS","RELATIONSHIP_AS_OF_DATE","20000906")</f>
        <v/>
      </c>
      <c r="HW5">
        <f>BDS("WSBC US Equity","SUPPLY_CHAIN_SUPPLIERS","RELATIONSHIP_AS_OF_DATE","20180419")</f>
        <v/>
      </c>
      <c r="IB5">
        <f>BDS("WSBC US Equity","SUPPLY_CHAIN_CUSTOMERS","RELATIONSHIP_AS_OF_DATE","20180419")</f>
        <v/>
      </c>
      <c r="IG5">
        <f>BDS("NOV US Equity","SUPPLY_CHAIN_SUPPLIERS","RELATIONSHIP_AS_OF_DATE","20040812")</f>
        <v/>
      </c>
      <c r="IL5">
        <f>BDS("NOV US Equity","SUPPLY_CHAIN_CUSTOMERS","RELATIONSHIP_AS_OF_DATE","20040812")</f>
        <v/>
      </c>
      <c r="IQ5">
        <f>BDS("VECO US Equity","SUPPLY_CHAIN_SUPPLIERS","RELATIONSHIP_AS_OF_DATE","20000229")</f>
        <v/>
      </c>
      <c r="IV5">
        <f>BDS("VECO US Equity","SUPPLY_CHAIN_CUSTOMERS","RELATIONSHIP_AS_OF_DATE","20000229")</f>
        <v/>
      </c>
      <c r="JA5">
        <f>BDS("MBFI US Equity","SUPPLY_CHAIN_SUPPLIERS","RELATIONSHIP_AS_OF_DATE","20060502")</f>
        <v/>
      </c>
      <c r="JF5">
        <f>BDS("MBFI US Equity","SUPPLY_CHAIN_CUSTOMERS","RELATIONSHIP_AS_OF_DATE","20060502")</f>
        <v/>
      </c>
      <c r="JK5">
        <f>BDS("NWACQ US Equity","SUPPLY_CHAIN_SUPPLIERS","RELATIONSHIP_AS_OF_DATE","19981120")</f>
        <v/>
      </c>
      <c r="JP5">
        <f>BDS("NWACQ US Equity","SUPPLY_CHAIN_CUSTOMERS","RELATIONSHIP_AS_OF_DATE","19981120")</f>
        <v/>
      </c>
      <c r="JU5">
        <f>BDS("ZION US Equity","SUPPLY_CHAIN_SUPPLIERS","RELATIONSHIP_AS_OF_DATE","19990507")</f>
        <v/>
      </c>
      <c r="JZ5">
        <f>BDS("ZION US Equity","SUPPLY_CHAIN_CUSTOMERS","RELATIONSHIP_AS_OF_DATE","19990507")</f>
        <v/>
      </c>
      <c r="KE5">
        <f>BDS("JNJ US Equity","SUPPLY_CHAIN_SUPPLIERS","RELATIONSHIP_AS_OF_DATE","20050304")</f>
        <v/>
      </c>
      <c r="KJ5">
        <f>BDS("JNJ US Equity","SUPPLY_CHAIN_CUSTOMERS","RELATIONSHIP_AS_OF_DATE","20050304")</f>
        <v/>
      </c>
      <c r="KO5">
        <f>BDS("INTU US Equity","SUPPLY_CHAIN_SUPPLIERS","RELATIONSHIP_AS_OF_DATE","19991007")</f>
        <v/>
      </c>
      <c r="KT5">
        <f>BDS("INTU US Equity","SUPPLY_CHAIN_CUSTOMERS","RELATIONSHIP_AS_OF_DATE","19991007")</f>
        <v/>
      </c>
      <c r="KY5">
        <f>BDS("LLY US Equity","SUPPLY_CHAIN_SUPPLIERS","RELATIONSHIP_AS_OF_DATE","20031121")</f>
        <v/>
      </c>
      <c r="LD5">
        <f>BDS("LLY US Equity","SUPPLY_CHAIN_CUSTOMERS","RELATIONSHIP_AS_OF_DATE","20031121")</f>
        <v/>
      </c>
      <c r="LI5">
        <f>BDS("MR US Equity","SUPPLY_CHAIN_SUPPLIERS","RELATIONSHIP_AS_OF_DATE","20180827")</f>
        <v/>
      </c>
      <c r="LN5">
        <f>BDS("MR US Equity","SUPPLY_CHAIN_CUSTOMERS","RELATIONSHIP_AS_OF_DATE","20180827")</f>
        <v/>
      </c>
      <c r="LS5">
        <f>BDS("HES US Equity","SUPPLY_CHAIN_SUPPLIERS","RELATIONSHIP_AS_OF_DATE","20100728")</f>
        <v/>
      </c>
      <c r="LX5">
        <f>BDS("HES US Equity","SUPPLY_CHAIN_CUSTOMERS","RELATIONSHIP_AS_OF_DATE","20100728")</f>
        <v/>
      </c>
      <c r="MC5">
        <f>BDS("UMPQ US Equity","SUPPLY_CHAIN_SUPPLIERS","RELATIONSHIP_AS_OF_DATE","20060208")</f>
        <v/>
      </c>
      <c r="MH5">
        <f>BDS("UMPQ US Equity","SUPPLY_CHAIN_CUSTOMERS","RELATIONSHIP_AS_OF_DATE","20060208")</f>
        <v/>
      </c>
      <c r="MM5">
        <f>BDS("TRMB US Equity","SUPPLY_CHAIN_SUPPLIERS","RELATIONSHIP_AS_OF_DATE","20061211")</f>
        <v/>
      </c>
      <c r="MR5">
        <f>BDS("TRMB US Equity","SUPPLY_CHAIN_CUSTOMERS","RELATIONSHIP_AS_OF_DATE","20061211")</f>
        <v/>
      </c>
      <c r="MW5">
        <f>BDS("MTN US Equity","SUPPLY_CHAIN_SUPPLIERS","RELATIONSHIP_AS_OF_DATE","20190722")</f>
        <v/>
      </c>
      <c r="NB5">
        <f>BDS("MTN US Equity","SUPPLY_CHAIN_CUSTOMERS","RELATIONSHIP_AS_OF_DATE","20190722")</f>
        <v/>
      </c>
      <c r="NG5">
        <f>BDS("NDSN US Equity","SUPPLY_CHAIN_SUPPLIERS","RELATIONSHIP_AS_OF_DATE","20220808")</f>
        <v/>
      </c>
      <c r="NL5">
        <f>BDS("NDSN US Equity","SUPPLY_CHAIN_CUSTOMERS","RELATIONSHIP_AS_OF_DATE","20220808")</f>
        <v/>
      </c>
      <c r="NQ5">
        <f>BDS("ISIL US Equity","SUPPLY_CHAIN_SUPPLIERS","RELATIONSHIP_AS_OF_DATE","20100322")</f>
        <v/>
      </c>
      <c r="NV5">
        <f>BDS("ISIL US Equity","SUPPLY_CHAIN_CUSTOMERS","RELATIONSHIP_AS_OF_DATE","20100322")</f>
        <v/>
      </c>
      <c r="OA5">
        <f>BDS("TFC US Equity","SUPPLY_CHAIN_SUPPLIERS","RELATIONSHIP_AS_OF_DATE","20061221")</f>
        <v/>
      </c>
      <c r="OF5">
        <f>BDS("TFC US Equity","SUPPLY_CHAIN_CUSTOMERS","RELATIONSHIP_AS_OF_DATE","20061221")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2161</t>
        </is>
      </c>
      <c r="K1" s="1" t="inlineStr">
        <is>
          <t>Deal 2162</t>
        </is>
      </c>
      <c r="U1" s="1" t="inlineStr">
        <is>
          <t>Deal 2163</t>
        </is>
      </c>
      <c r="AE1" s="1" t="inlineStr">
        <is>
          <t>Deal 2164</t>
        </is>
      </c>
      <c r="AO1" s="1" t="inlineStr">
        <is>
          <t>Deal 2165</t>
        </is>
      </c>
      <c r="AY1" s="1" t="inlineStr">
        <is>
          <t>Deal 2166</t>
        </is>
      </c>
      <c r="BI1" s="1" t="inlineStr">
        <is>
          <t>Deal 2167</t>
        </is>
      </c>
      <c r="BS1" s="1" t="inlineStr">
        <is>
          <t>Deal 2168</t>
        </is>
      </c>
      <c r="CC1" s="1" t="inlineStr">
        <is>
          <t>Deal 2169</t>
        </is>
      </c>
      <c r="CM1" s="1" t="inlineStr">
        <is>
          <t>Deal 2170</t>
        </is>
      </c>
      <c r="CW1" s="1" t="inlineStr">
        <is>
          <t>Deal 2171</t>
        </is>
      </c>
      <c r="DG1" s="1" t="inlineStr">
        <is>
          <t>Deal 2172</t>
        </is>
      </c>
      <c r="DQ1" s="1" t="inlineStr">
        <is>
          <t>Deal 2173</t>
        </is>
      </c>
      <c r="EA1" s="1" t="inlineStr">
        <is>
          <t>Deal 2174</t>
        </is>
      </c>
      <c r="EK1" s="1" t="inlineStr">
        <is>
          <t>Deal 2175</t>
        </is>
      </c>
      <c r="EU1" s="1" t="inlineStr">
        <is>
          <t>Deal 2176</t>
        </is>
      </c>
      <c r="FE1" s="1" t="inlineStr">
        <is>
          <t>Deal 2177</t>
        </is>
      </c>
      <c r="FO1" s="1" t="inlineStr">
        <is>
          <t>Deal 2178</t>
        </is>
      </c>
      <c r="FY1" s="1" t="inlineStr">
        <is>
          <t>Deal 2179</t>
        </is>
      </c>
      <c r="GI1" s="1" t="inlineStr">
        <is>
          <t>Deal 2180</t>
        </is>
      </c>
      <c r="GS1" s="1" t="inlineStr">
        <is>
          <t>Deal 2181</t>
        </is>
      </c>
      <c r="HC1" s="1" t="inlineStr">
        <is>
          <t>Deal 2182</t>
        </is>
      </c>
      <c r="HM1" s="1" t="inlineStr">
        <is>
          <t>Deal 2183</t>
        </is>
      </c>
      <c r="HW1" s="1" t="inlineStr">
        <is>
          <t>Deal 2184</t>
        </is>
      </c>
      <c r="IG1" s="1" t="inlineStr">
        <is>
          <t>Deal 2185</t>
        </is>
      </c>
      <c r="IQ1" s="1" t="inlineStr">
        <is>
          <t>Deal 2186</t>
        </is>
      </c>
      <c r="JA1" s="1" t="inlineStr">
        <is>
          <t>Deal 2187</t>
        </is>
      </c>
      <c r="JK1" s="1" t="inlineStr">
        <is>
          <t>Deal 2188</t>
        </is>
      </c>
      <c r="JU1" s="1" t="inlineStr">
        <is>
          <t>Deal 2189</t>
        </is>
      </c>
      <c r="KE1" s="1" t="inlineStr">
        <is>
          <t>Deal 2190</t>
        </is>
      </c>
      <c r="KO1" s="1" t="inlineStr">
        <is>
          <t>Deal 2191</t>
        </is>
      </c>
      <c r="KY1" s="1" t="inlineStr">
        <is>
          <t>Deal 2192</t>
        </is>
      </c>
      <c r="LI1" s="1" t="inlineStr">
        <is>
          <t>Deal 2193</t>
        </is>
      </c>
      <c r="LS1" s="1" t="inlineStr">
        <is>
          <t>Deal 2194</t>
        </is>
      </c>
      <c r="MC1" s="1" t="inlineStr">
        <is>
          <t>Deal 2195</t>
        </is>
      </c>
      <c r="MM1" s="1" t="inlineStr">
        <is>
          <t>Deal 2196</t>
        </is>
      </c>
      <c r="MW1" s="1" t="inlineStr">
        <is>
          <t>Deal 2197</t>
        </is>
      </c>
      <c r="NG1" s="1" t="inlineStr">
        <is>
          <t>Deal 2198</t>
        </is>
      </c>
      <c r="NQ1" s="1" t="inlineStr">
        <is>
          <t>Deal 2199</t>
        </is>
      </c>
      <c r="OA1" s="1" t="inlineStr">
        <is>
          <t>Deal 2200</t>
        </is>
      </c>
    </row>
    <row r="2">
      <c r="A2" s="2" t="inlineStr">
        <is>
          <t>2326248D US Equity</t>
        </is>
      </c>
      <c r="K2" s="2" t="inlineStr">
        <is>
          <t>CFR US Equity</t>
        </is>
      </c>
      <c r="U2" s="2" t="inlineStr">
        <is>
          <t>TPB US Equity</t>
        </is>
      </c>
      <c r="AE2" s="2" t="inlineStr">
        <is>
          <t>TFC US Equity</t>
        </is>
      </c>
      <c r="AO2" s="2" t="inlineStr">
        <is>
          <t>MDF US Equity</t>
        </is>
      </c>
      <c r="AY2" s="2" t="inlineStr">
        <is>
          <t>IBOC US Equity</t>
        </is>
      </c>
      <c r="BI2" s="2" t="inlineStr">
        <is>
          <t>MTB US Equity</t>
        </is>
      </c>
      <c r="BS2" s="2" t="inlineStr">
        <is>
          <t>TRV US Equity</t>
        </is>
      </c>
      <c r="CC2" s="2" t="inlineStr">
        <is>
          <t>WNC US Equity</t>
        </is>
      </c>
      <c r="CM2" s="2" t="inlineStr">
        <is>
          <t>ONIT US Equity</t>
        </is>
      </c>
      <c r="CW2" s="2" t="inlineStr">
        <is>
          <t>CVX US Equity</t>
        </is>
      </c>
      <c r="DG2" s="2" t="inlineStr">
        <is>
          <t>DKS US Equity</t>
        </is>
      </c>
      <c r="DQ2" s="2" t="inlineStr">
        <is>
          <t>STCN US Equity</t>
        </is>
      </c>
      <c r="EA2" s="2" t="inlineStr">
        <is>
          <t>JPM US Equity</t>
        </is>
      </c>
      <c r="EK2" s="2" t="inlineStr">
        <is>
          <t>PB US Equity</t>
        </is>
      </c>
      <c r="EU2" s="2" t="inlineStr">
        <is>
          <t>NUAN US Equity</t>
        </is>
      </c>
      <c r="FE2" s="2" t="inlineStr">
        <is>
          <t>JNY US Equity</t>
        </is>
      </c>
      <c r="FO2" s="2" t="inlineStr">
        <is>
          <t>AZTA US Equity</t>
        </is>
      </c>
      <c r="FY2" s="2" t="inlineStr">
        <is>
          <t>STL US Equity</t>
        </is>
      </c>
      <c r="GI2" s="2" t="inlineStr">
        <is>
          <t>MTB US Equity</t>
        </is>
      </c>
      <c r="GS2" s="2" t="inlineStr">
        <is>
          <t>WAMUQ US Equity</t>
        </is>
      </c>
      <c r="HC2" s="2" t="inlineStr">
        <is>
          <t>RC US Equity</t>
        </is>
      </c>
      <c r="HM2" s="2" t="inlineStr">
        <is>
          <t>27749Z US Equity</t>
        </is>
      </c>
      <c r="HW2" s="2" t="inlineStr">
        <is>
          <t>HAIN US Equity</t>
        </is>
      </c>
      <c r="IG2" s="2" t="inlineStr">
        <is>
          <t>TFC US Equity</t>
        </is>
      </c>
      <c r="IQ2" s="2" t="inlineStr">
        <is>
          <t>LGND US Equity</t>
        </is>
      </c>
      <c r="JA2" s="2" t="inlineStr">
        <is>
          <t>TISI US Equity</t>
        </is>
      </c>
      <c r="JK2" s="2" t="inlineStr">
        <is>
          <t>838969Q US Equity</t>
        </is>
      </c>
      <c r="JU2" s="2" t="inlineStr">
        <is>
          <t>CSCO US Equity</t>
        </is>
      </c>
      <c r="KE2" s="2" t="inlineStr">
        <is>
          <t>JNJ US Equity</t>
        </is>
      </c>
      <c r="KO2" s="2" t="inlineStr">
        <is>
          <t>SFNT US Equity</t>
        </is>
      </c>
      <c r="KY2" s="2" t="inlineStr">
        <is>
          <t>EMN US Equity</t>
        </is>
      </c>
      <c r="LI2" s="2" t="inlineStr">
        <is>
          <t>1260972D US Equity</t>
        </is>
      </c>
      <c r="LS2" s="2" t="inlineStr">
        <is>
          <t>FNB US Equity</t>
        </is>
      </c>
      <c r="MC2" s="2" t="inlineStr">
        <is>
          <t>UBNK US Equity</t>
        </is>
      </c>
      <c r="MM2" s="2" t="inlineStr">
        <is>
          <t>MDAS US Equity</t>
        </is>
      </c>
      <c r="MW2" s="2" t="inlineStr">
        <is>
          <t>1778808D US Equity</t>
        </is>
      </c>
      <c r="NG2" s="2" t="inlineStr">
        <is>
          <t>ORCL US Equity</t>
        </is>
      </c>
      <c r="NQ2" s="2" t="inlineStr">
        <is>
          <t>SSB US Equity</t>
        </is>
      </c>
      <c r="OA2" s="2" t="inlineStr">
        <is>
          <t>FGPRQ US Equity</t>
        </is>
      </c>
    </row>
    <row r="3">
      <c r="A3" t="inlineStr">
        <is>
          <t>Ann: 2004-10-06</t>
        </is>
      </c>
      <c r="K3" t="inlineStr">
        <is>
          <t>Ann: 2006-07-03</t>
        </is>
      </c>
      <c r="U3" t="inlineStr">
        <is>
          <t>Ann: 2020-04-08</t>
        </is>
      </c>
      <c r="AE3" t="inlineStr">
        <is>
          <t>Ann: 2014-09-08</t>
        </is>
      </c>
      <c r="AO3" t="inlineStr">
        <is>
          <t>Ann: 2011-06-27</t>
        </is>
      </c>
      <c r="AY3" t="inlineStr">
        <is>
          <t>Ann: 2004-01-22</t>
        </is>
      </c>
      <c r="BI3" t="inlineStr">
        <is>
          <t>Ann: 2010-11-01</t>
        </is>
      </c>
      <c r="BS3" t="inlineStr">
        <is>
          <t>Ann: 1999-12-20</t>
        </is>
      </c>
      <c r="CC3" t="inlineStr">
        <is>
          <t>Ann: 2017-08-08</t>
        </is>
      </c>
      <c r="CM3" t="inlineStr">
        <is>
          <t>Ann: 2018-02-27</t>
        </is>
      </c>
      <c r="CW3" t="inlineStr">
        <is>
          <t>Ann: 1998-12-23</t>
        </is>
      </c>
      <c r="DG3" t="inlineStr">
        <is>
          <t>Ann: 2004-06-21</t>
        </is>
      </c>
      <c r="DQ3" t="inlineStr">
        <is>
          <t>Ann: 2000-02-10</t>
        </is>
      </c>
      <c r="EA3" t="inlineStr">
        <is>
          <t>Ann: 2006-11-06</t>
        </is>
      </c>
      <c r="EK3" t="inlineStr">
        <is>
          <t>Ann: 2006-07-19</t>
        </is>
      </c>
      <c r="EU3" t="inlineStr">
        <is>
          <t>Ann: 2006-02-08</t>
        </is>
      </c>
      <c r="FE3" t="inlineStr">
        <is>
          <t>Ann: 2004-11-11</t>
        </is>
      </c>
      <c r="FO3" t="inlineStr">
        <is>
          <t>Ann: 2001-10-24</t>
        </is>
      </c>
      <c r="FY3" t="inlineStr">
        <is>
          <t>Ann: 2013-04-04</t>
        </is>
      </c>
      <c r="GI3" t="inlineStr">
        <is>
          <t>Ann: 2008-12-19</t>
        </is>
      </c>
      <c r="GS3" t="inlineStr">
        <is>
          <t>Ann: 1999-05-19</t>
        </is>
      </c>
      <c r="HC3" t="inlineStr">
        <is>
          <t>Ann: 2016-04-07</t>
        </is>
      </c>
      <c r="HM3" t="inlineStr">
        <is>
          <t>Ann: 1998-11-11</t>
        </is>
      </c>
      <c r="HW3" t="inlineStr">
        <is>
          <t>Ann: 2000-03-06</t>
        </is>
      </c>
      <c r="IG3" t="inlineStr">
        <is>
          <t>Ann: 2001-11-08</t>
        </is>
      </c>
      <c r="IQ3" t="inlineStr">
        <is>
          <t>Ann: 2020-08-10</t>
        </is>
      </c>
      <c r="JA3" t="inlineStr">
        <is>
          <t>Ann: 2015-05-04</t>
        </is>
      </c>
      <c r="JK3" t="inlineStr">
        <is>
          <t>Ann: 2003-05-23</t>
        </is>
      </c>
      <c r="JU3" t="inlineStr">
        <is>
          <t>Ann: 2000-11-10</t>
        </is>
      </c>
      <c r="KE3" t="inlineStr">
        <is>
          <t>Ann: 2008-11-24</t>
        </is>
      </c>
      <c r="KO3" t="inlineStr">
        <is>
          <t>Ann: 2003-10-22</t>
        </is>
      </c>
      <c r="KY3" t="inlineStr">
        <is>
          <t>Ann: 2000-05-04</t>
        </is>
      </c>
      <c r="LI3" t="inlineStr">
        <is>
          <t>Ann: 1999-04-21</t>
        </is>
      </c>
      <c r="LS3" t="inlineStr">
        <is>
          <t>Ann: 2001-06-14</t>
        </is>
      </c>
      <c r="MC3" t="inlineStr">
        <is>
          <t>Ann: 2013-11-15</t>
        </is>
      </c>
      <c r="MM3" t="inlineStr">
        <is>
          <t>Ann: 2008-04-30</t>
        </is>
      </c>
      <c r="MW3" t="inlineStr">
        <is>
          <t>Ann: 2004-12-13</t>
        </is>
      </c>
      <c r="NG3" t="inlineStr">
        <is>
          <t>Ann: 2006-11-02</t>
        </is>
      </c>
      <c r="NQ3" t="inlineStr">
        <is>
          <t>Ann: 2016-06-17</t>
        </is>
      </c>
      <c r="OA3" t="inlineStr">
        <is>
          <t>Ann: 2004-02-09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BDS("2326248D US Equity","SUPPLY_CHAIN_SUPPLIERS","RELATIONSHIP_AS_OF_DATE","20041006")</f>
        <v/>
      </c>
      <c r="F5">
        <f>BDS("2326248D US Equity","SUPPLY_CHAIN_CUSTOMERS","RELATIONSHIP_AS_OF_DATE","20041006")</f>
        <v/>
      </c>
      <c r="K5">
        <f>BDS("CFR US Equity","SUPPLY_CHAIN_SUPPLIERS","RELATIONSHIP_AS_OF_DATE","20060703")</f>
        <v/>
      </c>
      <c r="P5">
        <f>BDS("CFR US Equity","SUPPLY_CHAIN_CUSTOMERS","RELATIONSHIP_AS_OF_DATE","20060703")</f>
        <v/>
      </c>
      <c r="U5">
        <f>BDS("TPB US Equity","SUPPLY_CHAIN_SUPPLIERS","RELATIONSHIP_AS_OF_DATE","20200408")</f>
        <v/>
      </c>
      <c r="Z5">
        <f>BDS("TPB US Equity","SUPPLY_CHAIN_CUSTOMERS","RELATIONSHIP_AS_OF_DATE","20200408")</f>
        <v/>
      </c>
      <c r="AE5">
        <f>BDS("TFC US Equity","SUPPLY_CHAIN_SUPPLIERS","RELATIONSHIP_AS_OF_DATE","20140908")</f>
        <v/>
      </c>
      <c r="AJ5">
        <f>BDS("TFC US Equity","SUPPLY_CHAIN_CUSTOMERS","RELATIONSHIP_AS_OF_DATE","20140908")</f>
        <v/>
      </c>
      <c r="AO5">
        <f>BDS("MDF US Equity","SUPPLY_CHAIN_SUPPLIERS","RELATIONSHIP_AS_OF_DATE","20110627")</f>
        <v/>
      </c>
      <c r="AT5">
        <f>BDS("MDF US Equity","SUPPLY_CHAIN_CUSTOMERS","RELATIONSHIP_AS_OF_DATE","20110627")</f>
        <v/>
      </c>
      <c r="AY5">
        <f>BDS("IBOC US Equity","SUPPLY_CHAIN_SUPPLIERS","RELATIONSHIP_AS_OF_DATE","20040122")</f>
        <v/>
      </c>
      <c r="BD5">
        <f>BDS("IBOC US Equity","SUPPLY_CHAIN_CUSTOMERS","RELATIONSHIP_AS_OF_DATE","20040122")</f>
        <v/>
      </c>
      <c r="BI5">
        <f>BDS("MTB US Equity","SUPPLY_CHAIN_SUPPLIERS","RELATIONSHIP_AS_OF_DATE","20101101")</f>
        <v/>
      </c>
      <c r="BN5">
        <f>BDS("MTB US Equity","SUPPLY_CHAIN_CUSTOMERS","RELATIONSHIP_AS_OF_DATE","20101101")</f>
        <v/>
      </c>
      <c r="BS5">
        <f>BDS("TRV US Equity","SUPPLY_CHAIN_SUPPLIERS","RELATIONSHIP_AS_OF_DATE","19991220")</f>
        <v/>
      </c>
      <c r="BX5">
        <f>BDS("TRV US Equity","SUPPLY_CHAIN_CUSTOMERS","RELATIONSHIP_AS_OF_DATE","19991220")</f>
        <v/>
      </c>
      <c r="CC5">
        <f>BDS("WNC US Equity","SUPPLY_CHAIN_SUPPLIERS","RELATIONSHIP_AS_OF_DATE","20170808")</f>
        <v/>
      </c>
      <c r="CH5">
        <f>BDS("WNC US Equity","SUPPLY_CHAIN_CUSTOMERS","RELATIONSHIP_AS_OF_DATE","20170808")</f>
        <v/>
      </c>
      <c r="CM5">
        <f>BDS("ONIT US Equity","SUPPLY_CHAIN_SUPPLIERS","RELATIONSHIP_AS_OF_DATE","20180227")</f>
        <v/>
      </c>
      <c r="CR5">
        <f>BDS("ONIT US Equity","SUPPLY_CHAIN_CUSTOMERS","RELATIONSHIP_AS_OF_DATE","20180227")</f>
        <v/>
      </c>
      <c r="CW5">
        <f>BDS("CVX US Equity","SUPPLY_CHAIN_SUPPLIERS","RELATIONSHIP_AS_OF_DATE","19981223")</f>
        <v/>
      </c>
      <c r="DB5">
        <f>BDS("CVX US Equity","SUPPLY_CHAIN_CUSTOMERS","RELATIONSHIP_AS_OF_DATE","19981223")</f>
        <v/>
      </c>
      <c r="DG5">
        <f>BDS("DKS US Equity","SUPPLY_CHAIN_SUPPLIERS","RELATIONSHIP_AS_OF_DATE","20040621")</f>
        <v/>
      </c>
      <c r="DL5">
        <f>BDS("DKS US Equity","SUPPLY_CHAIN_CUSTOMERS","RELATIONSHIP_AS_OF_DATE","20040621")</f>
        <v/>
      </c>
      <c r="DQ5">
        <f>BDS("STCN US Equity","SUPPLY_CHAIN_SUPPLIERS","RELATIONSHIP_AS_OF_DATE","20000210")</f>
        <v/>
      </c>
      <c r="DV5">
        <f>BDS("STCN US Equity","SUPPLY_CHAIN_CUSTOMERS","RELATIONSHIP_AS_OF_DATE","20000210")</f>
        <v/>
      </c>
      <c r="EA5">
        <f>BDS("JPM US Equity","SUPPLY_CHAIN_SUPPLIERS","RELATIONSHIP_AS_OF_DATE","20061106")</f>
        <v/>
      </c>
      <c r="EF5">
        <f>BDS("JPM US Equity","SUPPLY_CHAIN_CUSTOMERS","RELATIONSHIP_AS_OF_DATE","20061106")</f>
        <v/>
      </c>
      <c r="EK5">
        <f>BDS("PB US Equity","SUPPLY_CHAIN_SUPPLIERS","RELATIONSHIP_AS_OF_DATE","20060719")</f>
        <v/>
      </c>
      <c r="EP5">
        <f>BDS("PB US Equity","SUPPLY_CHAIN_CUSTOMERS","RELATIONSHIP_AS_OF_DATE","20060719")</f>
        <v/>
      </c>
      <c r="EU5">
        <f>BDS("NUAN US Equity","SUPPLY_CHAIN_SUPPLIERS","RELATIONSHIP_AS_OF_DATE","20060208")</f>
        <v/>
      </c>
      <c r="EZ5">
        <f>BDS("NUAN US Equity","SUPPLY_CHAIN_CUSTOMERS","RELATIONSHIP_AS_OF_DATE","20060208")</f>
        <v/>
      </c>
      <c r="FE5">
        <f>BDS("JNY US Equity","SUPPLY_CHAIN_SUPPLIERS","RELATIONSHIP_AS_OF_DATE","20041111")</f>
        <v/>
      </c>
      <c r="FJ5">
        <f>BDS("JNY US Equity","SUPPLY_CHAIN_CUSTOMERS","RELATIONSHIP_AS_OF_DATE","20041111")</f>
        <v/>
      </c>
      <c r="FO5">
        <f>BDS("AZTA US Equity","SUPPLY_CHAIN_SUPPLIERS","RELATIONSHIP_AS_OF_DATE","20011024")</f>
        <v/>
      </c>
      <c r="FT5">
        <f>BDS("AZTA US Equity","SUPPLY_CHAIN_CUSTOMERS","RELATIONSHIP_AS_OF_DATE","20011024")</f>
        <v/>
      </c>
      <c r="FY5">
        <f>BDS("STL US Equity","SUPPLY_CHAIN_SUPPLIERS","RELATIONSHIP_AS_OF_DATE","20130404")</f>
        <v/>
      </c>
      <c r="GD5">
        <f>BDS("STL US Equity","SUPPLY_CHAIN_CUSTOMERS","RELATIONSHIP_AS_OF_DATE","20130404")</f>
        <v/>
      </c>
      <c r="GI5">
        <f>BDS("MTB US Equity","SUPPLY_CHAIN_SUPPLIERS","RELATIONSHIP_AS_OF_DATE","20081219")</f>
        <v/>
      </c>
      <c r="GN5">
        <f>BDS("MTB US Equity","SUPPLY_CHAIN_CUSTOMERS","RELATIONSHIP_AS_OF_DATE","20081219")</f>
        <v/>
      </c>
      <c r="GS5">
        <f>BDS("WAMUQ US Equity","SUPPLY_CHAIN_SUPPLIERS","RELATIONSHIP_AS_OF_DATE","19990519")</f>
        <v/>
      </c>
      <c r="GX5">
        <f>BDS("WAMUQ US Equity","SUPPLY_CHAIN_CUSTOMERS","RELATIONSHIP_AS_OF_DATE","19990519")</f>
        <v/>
      </c>
      <c r="HC5">
        <f>BDS("RC US Equity","SUPPLY_CHAIN_SUPPLIERS","RELATIONSHIP_AS_OF_DATE","20160407")</f>
        <v/>
      </c>
      <c r="HH5">
        <f>BDS("RC US Equity","SUPPLY_CHAIN_CUSTOMERS","RELATIONSHIP_AS_OF_DATE","20160407")</f>
        <v/>
      </c>
      <c r="HM5">
        <f>BDS("27749Z US Equity","SUPPLY_CHAIN_SUPPLIERS","RELATIONSHIP_AS_OF_DATE","19981111")</f>
        <v/>
      </c>
      <c r="HR5">
        <f>BDS("27749Z US Equity","SUPPLY_CHAIN_CUSTOMERS","RELATIONSHIP_AS_OF_DATE","19981111")</f>
        <v/>
      </c>
      <c r="HW5">
        <f>BDS("HAIN US Equity","SUPPLY_CHAIN_SUPPLIERS","RELATIONSHIP_AS_OF_DATE","20000306")</f>
        <v/>
      </c>
      <c r="IB5">
        <f>BDS("HAIN US Equity","SUPPLY_CHAIN_CUSTOMERS","RELATIONSHIP_AS_OF_DATE","20000306")</f>
        <v/>
      </c>
      <c r="IG5">
        <f>BDS("TFC US Equity","SUPPLY_CHAIN_SUPPLIERS","RELATIONSHIP_AS_OF_DATE","20011108")</f>
        <v/>
      </c>
      <c r="IL5">
        <f>BDS("TFC US Equity","SUPPLY_CHAIN_CUSTOMERS","RELATIONSHIP_AS_OF_DATE","20011108")</f>
        <v/>
      </c>
      <c r="IQ5">
        <f>BDS("LGND US Equity","SUPPLY_CHAIN_SUPPLIERS","RELATIONSHIP_AS_OF_DATE","20200810")</f>
        <v/>
      </c>
      <c r="IV5">
        <f>BDS("LGND US Equity","SUPPLY_CHAIN_CUSTOMERS","RELATIONSHIP_AS_OF_DATE","20200810")</f>
        <v/>
      </c>
      <c r="JA5">
        <f>BDS("TISI US Equity","SUPPLY_CHAIN_SUPPLIERS","RELATIONSHIP_AS_OF_DATE","20150504")</f>
        <v/>
      </c>
      <c r="JF5">
        <f>BDS("TISI US Equity","SUPPLY_CHAIN_CUSTOMERS","RELATIONSHIP_AS_OF_DATE","20150504")</f>
        <v/>
      </c>
      <c r="JK5">
        <f>BDS("838969Q US Equity","SUPPLY_CHAIN_SUPPLIERS","RELATIONSHIP_AS_OF_DATE","20030523")</f>
        <v/>
      </c>
      <c r="JP5">
        <f>BDS("838969Q US Equity","SUPPLY_CHAIN_CUSTOMERS","RELATIONSHIP_AS_OF_DATE","20030523")</f>
        <v/>
      </c>
      <c r="JU5">
        <f>BDS("CSCO US Equity","SUPPLY_CHAIN_SUPPLIERS","RELATIONSHIP_AS_OF_DATE","20001110")</f>
        <v/>
      </c>
      <c r="JZ5">
        <f>BDS("CSCO US Equity","SUPPLY_CHAIN_CUSTOMERS","RELATIONSHIP_AS_OF_DATE","20001110")</f>
        <v/>
      </c>
      <c r="KE5">
        <f>BDS("JNJ US Equity","SUPPLY_CHAIN_SUPPLIERS","RELATIONSHIP_AS_OF_DATE","20081124")</f>
        <v/>
      </c>
      <c r="KJ5">
        <f>BDS("JNJ US Equity","SUPPLY_CHAIN_CUSTOMERS","RELATIONSHIP_AS_OF_DATE","20081124")</f>
        <v/>
      </c>
      <c r="KO5">
        <f>BDS("SFNT US Equity","SUPPLY_CHAIN_SUPPLIERS","RELATIONSHIP_AS_OF_DATE","20031022")</f>
        <v/>
      </c>
      <c r="KT5">
        <f>BDS("SFNT US Equity","SUPPLY_CHAIN_CUSTOMERS","RELATIONSHIP_AS_OF_DATE","20031022")</f>
        <v/>
      </c>
      <c r="KY5">
        <f>BDS("EMN US Equity","SUPPLY_CHAIN_SUPPLIERS","RELATIONSHIP_AS_OF_DATE","20000504")</f>
        <v/>
      </c>
      <c r="LD5">
        <f>BDS("EMN US Equity","SUPPLY_CHAIN_CUSTOMERS","RELATIONSHIP_AS_OF_DATE","20000504")</f>
        <v/>
      </c>
      <c r="LI5">
        <f>BDS("1260972D US Equity","SUPPLY_CHAIN_SUPPLIERS","RELATIONSHIP_AS_OF_DATE","19990421")</f>
        <v/>
      </c>
      <c r="LN5">
        <f>BDS("1260972D US Equity","SUPPLY_CHAIN_CUSTOMERS","RELATIONSHIP_AS_OF_DATE","19990421")</f>
        <v/>
      </c>
      <c r="LS5">
        <f>BDS("FNB US Equity","SUPPLY_CHAIN_SUPPLIERS","RELATIONSHIP_AS_OF_DATE","20010614")</f>
        <v/>
      </c>
      <c r="LX5">
        <f>BDS("FNB US Equity","SUPPLY_CHAIN_CUSTOMERS","RELATIONSHIP_AS_OF_DATE","20010614")</f>
        <v/>
      </c>
      <c r="MC5">
        <f>BDS("UBNK US Equity","SUPPLY_CHAIN_SUPPLIERS","RELATIONSHIP_AS_OF_DATE","20131115")</f>
        <v/>
      </c>
      <c r="MH5">
        <f>BDS("UBNK US Equity","SUPPLY_CHAIN_CUSTOMERS","RELATIONSHIP_AS_OF_DATE","20131115")</f>
        <v/>
      </c>
      <c r="MM5">
        <f>BDS("MDAS US Equity","SUPPLY_CHAIN_SUPPLIERS","RELATIONSHIP_AS_OF_DATE","20080430")</f>
        <v/>
      </c>
      <c r="MR5">
        <f>BDS("MDAS US Equity","SUPPLY_CHAIN_CUSTOMERS","RELATIONSHIP_AS_OF_DATE","20080430")</f>
        <v/>
      </c>
      <c r="MW5">
        <f>BDS("1778808D US Equity","SUPPLY_CHAIN_SUPPLIERS","RELATIONSHIP_AS_OF_DATE","20041213")</f>
        <v/>
      </c>
      <c r="NB5">
        <f>BDS("1778808D US Equity","SUPPLY_CHAIN_CUSTOMERS","RELATIONSHIP_AS_OF_DATE","20041213")</f>
        <v/>
      </c>
      <c r="NG5">
        <f>BDS("ORCL US Equity","SUPPLY_CHAIN_SUPPLIERS","RELATIONSHIP_AS_OF_DATE","20061102")</f>
        <v/>
      </c>
      <c r="NL5">
        <f>BDS("ORCL US Equity","SUPPLY_CHAIN_CUSTOMERS","RELATIONSHIP_AS_OF_DATE","20061102")</f>
        <v/>
      </c>
      <c r="NQ5">
        <f>BDS("SSB US Equity","SUPPLY_CHAIN_SUPPLIERS","RELATIONSHIP_AS_OF_DATE","20160617")</f>
        <v/>
      </c>
      <c r="NV5">
        <f>BDS("SSB US Equity","SUPPLY_CHAIN_CUSTOMERS","RELATIONSHIP_AS_OF_DATE","20160617")</f>
        <v/>
      </c>
      <c r="OA5">
        <f>BDS("FGPRQ US Equity","SUPPLY_CHAIN_SUPPLIERS","RELATIONSHIP_AS_OF_DATE","20040209")</f>
        <v/>
      </c>
      <c r="OF5">
        <f>BDS("FGPRQ US Equity","SUPPLY_CHAIN_CUSTOMERS","RELATIONSHIP_AS_OF_DATE","20040209")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2201</t>
        </is>
      </c>
      <c r="K1" s="1" t="inlineStr">
        <is>
          <t>Deal 2202</t>
        </is>
      </c>
      <c r="U1" s="1" t="inlineStr">
        <is>
          <t>Deal 2203</t>
        </is>
      </c>
      <c r="AE1" s="1" t="inlineStr">
        <is>
          <t>Deal 2204</t>
        </is>
      </c>
      <c r="AO1" s="1" t="inlineStr">
        <is>
          <t>Deal 2205</t>
        </is>
      </c>
      <c r="AY1" s="1" t="inlineStr">
        <is>
          <t>Deal 2206</t>
        </is>
      </c>
      <c r="BI1" s="1" t="inlineStr">
        <is>
          <t>Deal 2207</t>
        </is>
      </c>
      <c r="BS1" s="1" t="inlineStr">
        <is>
          <t>Deal 2208</t>
        </is>
      </c>
      <c r="CC1" s="1" t="inlineStr">
        <is>
          <t>Deal 2209</t>
        </is>
      </c>
      <c r="CM1" s="1" t="inlineStr">
        <is>
          <t>Deal 2210</t>
        </is>
      </c>
      <c r="CW1" s="1" t="inlineStr">
        <is>
          <t>Deal 2211</t>
        </is>
      </c>
      <c r="DG1" s="1" t="inlineStr">
        <is>
          <t>Deal 2212</t>
        </is>
      </c>
      <c r="DQ1" s="1" t="inlineStr">
        <is>
          <t>Deal 2213</t>
        </is>
      </c>
      <c r="EA1" s="1" t="inlineStr">
        <is>
          <t>Deal 2214</t>
        </is>
      </c>
      <c r="EK1" s="1" t="inlineStr">
        <is>
          <t>Deal 2215</t>
        </is>
      </c>
      <c r="EU1" s="1" t="inlineStr">
        <is>
          <t>Deal 2216</t>
        </is>
      </c>
      <c r="FE1" s="1" t="inlineStr">
        <is>
          <t>Deal 2217</t>
        </is>
      </c>
      <c r="FO1" s="1" t="inlineStr">
        <is>
          <t>Deal 2218</t>
        </is>
      </c>
      <c r="FY1" s="1" t="inlineStr">
        <is>
          <t>Deal 2219</t>
        </is>
      </c>
      <c r="GI1" s="1" t="inlineStr">
        <is>
          <t>Deal 2220</t>
        </is>
      </c>
      <c r="GS1" s="1" t="inlineStr">
        <is>
          <t>Deal 2221</t>
        </is>
      </c>
      <c r="HC1" s="1" t="inlineStr">
        <is>
          <t>Deal 2222</t>
        </is>
      </c>
      <c r="HM1" s="1" t="inlineStr">
        <is>
          <t>Deal 2223</t>
        </is>
      </c>
      <c r="HW1" s="1" t="inlineStr">
        <is>
          <t>Deal 2224</t>
        </is>
      </c>
      <c r="IG1" s="1" t="inlineStr">
        <is>
          <t>Deal 2225</t>
        </is>
      </c>
      <c r="IQ1" s="1" t="inlineStr">
        <is>
          <t>Deal 2226</t>
        </is>
      </c>
      <c r="JA1" s="1" t="inlineStr">
        <is>
          <t>Deal 2227</t>
        </is>
      </c>
      <c r="JK1" s="1" t="inlineStr">
        <is>
          <t>Deal 2228</t>
        </is>
      </c>
      <c r="JU1" s="1" t="inlineStr">
        <is>
          <t>Deal 2229</t>
        </is>
      </c>
      <c r="KE1" s="1" t="inlineStr">
        <is>
          <t>Deal 2230</t>
        </is>
      </c>
      <c r="KO1" s="1" t="inlineStr">
        <is>
          <t>Deal 2231</t>
        </is>
      </c>
      <c r="KY1" s="1" t="inlineStr">
        <is>
          <t>Deal 2232</t>
        </is>
      </c>
      <c r="LI1" s="1" t="inlineStr">
        <is>
          <t>Deal 2233</t>
        </is>
      </c>
      <c r="LS1" s="1" t="inlineStr">
        <is>
          <t>Deal 2234</t>
        </is>
      </c>
      <c r="MC1" s="1" t="inlineStr">
        <is>
          <t>Deal 2235</t>
        </is>
      </c>
      <c r="MM1" s="1" t="inlineStr">
        <is>
          <t>Deal 2236</t>
        </is>
      </c>
      <c r="MW1" s="1" t="inlineStr">
        <is>
          <t>Deal 2237</t>
        </is>
      </c>
      <c r="NG1" s="1" t="inlineStr">
        <is>
          <t>Deal 2238</t>
        </is>
      </c>
      <c r="NQ1" s="1" t="inlineStr">
        <is>
          <t>Deal 2239</t>
        </is>
      </c>
      <c r="OA1" s="1" t="inlineStr">
        <is>
          <t>Deal 2240</t>
        </is>
      </c>
    </row>
    <row r="2">
      <c r="A2" s="2" t="inlineStr">
        <is>
          <t>3388162Z US Equity</t>
        </is>
      </c>
      <c r="K2" s="2" t="inlineStr">
        <is>
          <t>3461945Q US Equity</t>
        </is>
      </c>
      <c r="U2" s="2" t="inlineStr">
        <is>
          <t>TCR US Equity</t>
        </is>
      </c>
      <c r="AE2" s="2" t="inlineStr">
        <is>
          <t>HPQ US Equity</t>
        </is>
      </c>
      <c r="AO2" s="2" t="inlineStr">
        <is>
          <t>1577770D US Equity</t>
        </is>
      </c>
      <c r="AY2" s="2" t="inlineStr">
        <is>
          <t>ELNK US Equity</t>
        </is>
      </c>
      <c r="BI2" s="2" t="inlineStr">
        <is>
          <t>PRTK US Equity</t>
        </is>
      </c>
      <c r="BS2" s="2" t="inlineStr">
        <is>
          <t>EGHDQ US Equity</t>
        </is>
      </c>
      <c r="CC2" s="2" t="inlineStr">
        <is>
          <t>1715399D US Equity</t>
        </is>
      </c>
      <c r="CM2" s="2" t="inlineStr">
        <is>
          <t>SPNX US Equity</t>
        </is>
      </c>
      <c r="CW2" s="2" t="inlineStr">
        <is>
          <t>CNSL US Equity</t>
        </is>
      </c>
      <c r="DG2" s="2" t="inlineStr">
        <is>
          <t>MSCC US Equity</t>
        </is>
      </c>
      <c r="DQ2" s="2" t="inlineStr">
        <is>
          <t>NFB US Equity</t>
        </is>
      </c>
      <c r="EA2" s="2" t="inlineStr">
        <is>
          <t>BUSE US Equity</t>
        </is>
      </c>
      <c r="EK2" s="2" t="inlineStr">
        <is>
          <t>CBF US Equity</t>
        </is>
      </c>
      <c r="EU2" s="2" t="inlineStr">
        <is>
          <t>IDNX US Equity</t>
        </is>
      </c>
      <c r="FE2" s="2" t="inlineStr">
        <is>
          <t>AMAT US Equity</t>
        </is>
      </c>
      <c r="FO2" s="2" t="inlineStr">
        <is>
          <t>SPOK US Equity</t>
        </is>
      </c>
      <c r="FY2" s="2" t="inlineStr">
        <is>
          <t>BSX US Equity</t>
        </is>
      </c>
      <c r="GI2" s="2" t="inlineStr">
        <is>
          <t>CNSL US Equity</t>
        </is>
      </c>
      <c r="GS2" s="2" t="inlineStr">
        <is>
          <t>nan Equity</t>
        </is>
      </c>
      <c r="HC2" s="2" t="inlineStr">
        <is>
          <t>SWY US Equity</t>
        </is>
      </c>
      <c r="HM2" s="2" t="inlineStr">
        <is>
          <t>41018Q US Equity</t>
        </is>
      </c>
      <c r="HW2" s="2" t="inlineStr">
        <is>
          <t>BGCP US Equity</t>
        </is>
      </c>
      <c r="IG2" s="2" t="inlineStr">
        <is>
          <t>GUIC US Equity</t>
        </is>
      </c>
      <c r="IQ2" s="2" t="inlineStr">
        <is>
          <t>BDX US Equity</t>
        </is>
      </c>
      <c r="JA2" s="2" t="inlineStr">
        <is>
          <t>3122066Q US Equity</t>
        </is>
      </c>
      <c r="JK2" s="2" t="inlineStr">
        <is>
          <t>DHR US Equity</t>
        </is>
      </c>
      <c r="JU2" s="2" t="inlineStr">
        <is>
          <t>594202Q US Equity</t>
        </is>
      </c>
      <c r="KE2" s="2" t="inlineStr">
        <is>
          <t>DGX US Equity</t>
        </is>
      </c>
      <c r="KO2" s="2" t="inlineStr">
        <is>
          <t>NOVT US Equity</t>
        </is>
      </c>
      <c r="KY2" s="2" t="inlineStr">
        <is>
          <t>3097837Q US Equity</t>
        </is>
      </c>
      <c r="LI2" s="2" t="inlineStr">
        <is>
          <t>9994967D US Equity</t>
        </is>
      </c>
      <c r="LS2" s="2" t="inlineStr">
        <is>
          <t>SUSQ US Equity</t>
        </is>
      </c>
      <c r="MC2" s="2" t="inlineStr">
        <is>
          <t>MTB US Equity</t>
        </is>
      </c>
      <c r="MM2" s="2" t="inlineStr">
        <is>
          <t>INGR US Equity</t>
        </is>
      </c>
      <c r="MW2" s="2" t="inlineStr">
        <is>
          <t>NWBI US Equity</t>
        </is>
      </c>
      <c r="NG2" s="2" t="inlineStr">
        <is>
          <t>RWY US Equity</t>
        </is>
      </c>
      <c r="NQ2" s="2" t="inlineStr">
        <is>
          <t>FNFG US Equity</t>
        </is>
      </c>
      <c r="OA2" s="2" t="inlineStr">
        <is>
          <t>ATBA AV Equity</t>
        </is>
      </c>
    </row>
    <row r="3">
      <c r="A3" t="inlineStr">
        <is>
          <t>Ann: 2007-07-25</t>
        </is>
      </c>
      <c r="K3" t="inlineStr">
        <is>
          <t>Ann: 1999-02-01</t>
        </is>
      </c>
      <c r="U3" t="inlineStr">
        <is>
          <t>Ann: 1999-03-31</t>
        </is>
      </c>
      <c r="AE3" t="inlineStr">
        <is>
          <t>Ann: 2001-07-25</t>
        </is>
      </c>
      <c r="AO3" t="inlineStr">
        <is>
          <t>Ann: 1998-06-22</t>
        </is>
      </c>
      <c r="AY3" t="inlineStr">
        <is>
          <t>Ann: 2000-06-08</t>
        </is>
      </c>
      <c r="BI3" t="inlineStr">
        <is>
          <t>Ann: 2014-07-01</t>
        </is>
      </c>
      <c r="BS3" t="inlineStr">
        <is>
          <t>Ann: 1999-07-14</t>
        </is>
      </c>
      <c r="CC3" t="inlineStr">
        <is>
          <t>Ann: 2006-05-25</t>
        </is>
      </c>
      <c r="CM3" t="inlineStr">
        <is>
          <t>Ann: 2006-09-25</t>
        </is>
      </c>
      <c r="CW3" t="inlineStr">
        <is>
          <t>Ann: 2014-06-30</t>
        </is>
      </c>
      <c r="DG3" t="inlineStr">
        <is>
          <t>Ann: 2015-03-18</t>
        </is>
      </c>
      <c r="DQ3" t="inlineStr">
        <is>
          <t>Ann: 1999-08-30</t>
        </is>
      </c>
      <c r="EA3" t="inlineStr">
        <is>
          <t>Ann: 2006-09-21</t>
        </is>
      </c>
      <c r="EK3" t="inlineStr">
        <is>
          <t>Ann: 2015-11-23</t>
        </is>
      </c>
      <c r="EU3" t="inlineStr">
        <is>
          <t>Ann: 2002-02-22</t>
        </is>
      </c>
      <c r="FE3" t="inlineStr">
        <is>
          <t>Ann: 2009-11-17</t>
        </is>
      </c>
      <c r="FO3" t="inlineStr">
        <is>
          <t>Ann: 2004-03-29</t>
        </is>
      </c>
      <c r="FY3" t="inlineStr">
        <is>
          <t>Ann: 2001-02-15</t>
        </is>
      </c>
      <c r="GI3" t="inlineStr">
        <is>
          <t>Ann: 2007-07-02</t>
        </is>
      </c>
      <c r="GS3" t="inlineStr">
        <is>
          <t>Ann: 2009-12-18</t>
        </is>
      </c>
      <c r="HC3" t="inlineStr">
        <is>
          <t>Ann: 1998-08-06</t>
        </is>
      </c>
      <c r="HM3" t="inlineStr">
        <is>
          <t>Ann: 2000-01-30</t>
        </is>
      </c>
      <c r="HW3" t="inlineStr">
        <is>
          <t>Ann: 2015-12-23</t>
        </is>
      </c>
      <c r="IG3" t="inlineStr">
        <is>
          <t>Ann: 2000-02-11</t>
        </is>
      </c>
      <c r="IQ3" t="inlineStr">
        <is>
          <t>Ann: 2006-08-14</t>
        </is>
      </c>
      <c r="JA3" t="inlineStr">
        <is>
          <t>Ann: 2007-02-12</t>
        </is>
      </c>
      <c r="JK3" t="inlineStr">
        <is>
          <t>Ann: 1999-04-22</t>
        </is>
      </c>
      <c r="JU3" t="inlineStr">
        <is>
          <t>Ann: 1998-01-29</t>
        </is>
      </c>
      <c r="KE3" t="inlineStr">
        <is>
          <t>Ann: 2011-03-18</t>
        </is>
      </c>
      <c r="KO3" t="inlineStr">
        <is>
          <t>Ann: 2008-07-10</t>
        </is>
      </c>
      <c r="KY3" t="inlineStr">
        <is>
          <t>Ann: 2003-12-24</t>
        </is>
      </c>
      <c r="LI3" t="inlineStr">
        <is>
          <t>Ann: 2013-04-11</t>
        </is>
      </c>
      <c r="LS3" t="inlineStr">
        <is>
          <t>Ann: 2011-06-20</t>
        </is>
      </c>
      <c r="MC3" t="inlineStr">
        <is>
          <t>Ann: 2000-07-10</t>
        </is>
      </c>
      <c r="MM3" t="inlineStr">
        <is>
          <t>Ann: 2014-10-15</t>
        </is>
      </c>
      <c r="MW3" t="inlineStr">
        <is>
          <t>Ann: 2019-10-29</t>
        </is>
      </c>
      <c r="NG3" t="inlineStr">
        <is>
          <t>Ann: 1998-09-02</t>
        </is>
      </c>
      <c r="NQ3" t="inlineStr">
        <is>
          <t>Ann: 2003-08-11</t>
        </is>
      </c>
      <c r="OA3" t="inlineStr">
        <is>
          <t>Ann: 2001-12-12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BDS("3388162Z US Equity","SUPPLY_CHAIN_SUPPLIERS","RELATIONSHIP_AS_OF_DATE","20070725")</f>
        <v/>
      </c>
      <c r="F5">
        <f>BDS("3388162Z US Equity","SUPPLY_CHAIN_CUSTOMERS","RELATIONSHIP_AS_OF_DATE","20070725")</f>
        <v/>
      </c>
      <c r="K5">
        <f>BDS("3461945Q US Equity","SUPPLY_CHAIN_SUPPLIERS","RELATIONSHIP_AS_OF_DATE","19990201")</f>
        <v/>
      </c>
      <c r="P5">
        <f>BDS("3461945Q US Equity","SUPPLY_CHAIN_CUSTOMERS","RELATIONSHIP_AS_OF_DATE","19990201")</f>
        <v/>
      </c>
      <c r="U5">
        <f>BDS("TCR US Equity","SUPPLY_CHAIN_SUPPLIERS","RELATIONSHIP_AS_OF_DATE","19990331")</f>
        <v/>
      </c>
      <c r="Z5">
        <f>BDS("TCR US Equity","SUPPLY_CHAIN_CUSTOMERS","RELATIONSHIP_AS_OF_DATE","19990331")</f>
        <v/>
      </c>
      <c r="AE5">
        <f>BDS("HPQ US Equity","SUPPLY_CHAIN_SUPPLIERS","RELATIONSHIP_AS_OF_DATE","20010725")</f>
        <v/>
      </c>
      <c r="AJ5">
        <f>BDS("HPQ US Equity","SUPPLY_CHAIN_CUSTOMERS","RELATIONSHIP_AS_OF_DATE","20010725")</f>
        <v/>
      </c>
      <c r="AO5">
        <f>BDS("1577770D US Equity","SUPPLY_CHAIN_SUPPLIERS","RELATIONSHIP_AS_OF_DATE","19980622")</f>
        <v/>
      </c>
      <c r="AT5">
        <f>BDS("1577770D US Equity","SUPPLY_CHAIN_CUSTOMERS","RELATIONSHIP_AS_OF_DATE","19980622")</f>
        <v/>
      </c>
      <c r="AY5">
        <f>BDS("ELNK US Equity","SUPPLY_CHAIN_SUPPLIERS","RELATIONSHIP_AS_OF_DATE","20000608")</f>
        <v/>
      </c>
      <c r="BD5">
        <f>BDS("ELNK US Equity","SUPPLY_CHAIN_CUSTOMERS","RELATIONSHIP_AS_OF_DATE","20000608")</f>
        <v/>
      </c>
      <c r="BI5">
        <f>BDS("PRTK US Equity","SUPPLY_CHAIN_SUPPLIERS","RELATIONSHIP_AS_OF_DATE","20140701")</f>
        <v/>
      </c>
      <c r="BN5">
        <f>BDS("PRTK US Equity","SUPPLY_CHAIN_CUSTOMERS","RELATIONSHIP_AS_OF_DATE","20140701")</f>
        <v/>
      </c>
      <c r="BS5">
        <f>BDS("EGHDQ US Equity","SUPPLY_CHAIN_SUPPLIERS","RELATIONSHIP_AS_OF_DATE","19990714")</f>
        <v/>
      </c>
      <c r="BX5">
        <f>BDS("EGHDQ US Equity","SUPPLY_CHAIN_CUSTOMERS","RELATIONSHIP_AS_OF_DATE","19990714")</f>
        <v/>
      </c>
      <c r="CC5">
        <f>BDS("1715399D US Equity","SUPPLY_CHAIN_SUPPLIERS","RELATIONSHIP_AS_OF_DATE","20060525")</f>
        <v/>
      </c>
      <c r="CH5">
        <f>BDS("1715399D US Equity","SUPPLY_CHAIN_CUSTOMERS","RELATIONSHIP_AS_OF_DATE","20060525")</f>
        <v/>
      </c>
      <c r="CM5">
        <f>BDS("SPNX US Equity","SUPPLY_CHAIN_SUPPLIERS","RELATIONSHIP_AS_OF_DATE","20060925")</f>
        <v/>
      </c>
      <c r="CR5">
        <f>BDS("SPNX US Equity","SUPPLY_CHAIN_CUSTOMERS","RELATIONSHIP_AS_OF_DATE","20060925")</f>
        <v/>
      </c>
      <c r="CW5">
        <f>BDS("CNSL US Equity","SUPPLY_CHAIN_SUPPLIERS","RELATIONSHIP_AS_OF_DATE","20140630")</f>
        <v/>
      </c>
      <c r="DB5">
        <f>BDS("CNSL US Equity","SUPPLY_CHAIN_CUSTOMERS","RELATIONSHIP_AS_OF_DATE","20140630")</f>
        <v/>
      </c>
      <c r="DG5">
        <f>BDS("MSCC US Equity","SUPPLY_CHAIN_SUPPLIERS","RELATIONSHIP_AS_OF_DATE","20150318")</f>
        <v/>
      </c>
      <c r="DL5">
        <f>BDS("MSCC US Equity","SUPPLY_CHAIN_CUSTOMERS","RELATIONSHIP_AS_OF_DATE","20150318")</f>
        <v/>
      </c>
      <c r="DQ5">
        <f>BDS("NFB US Equity","SUPPLY_CHAIN_SUPPLIERS","RELATIONSHIP_AS_OF_DATE","19990830")</f>
        <v/>
      </c>
      <c r="DV5">
        <f>BDS("NFB US Equity","SUPPLY_CHAIN_CUSTOMERS","RELATIONSHIP_AS_OF_DATE","19990830")</f>
        <v/>
      </c>
      <c r="EA5">
        <f>BDS("BUSE US Equity","SUPPLY_CHAIN_SUPPLIERS","RELATIONSHIP_AS_OF_DATE","20060921")</f>
        <v/>
      </c>
      <c r="EF5">
        <f>BDS("BUSE US Equity","SUPPLY_CHAIN_CUSTOMERS","RELATIONSHIP_AS_OF_DATE","20060921")</f>
        <v/>
      </c>
      <c r="EK5">
        <f>BDS("CBF US Equity","SUPPLY_CHAIN_SUPPLIERS","RELATIONSHIP_AS_OF_DATE","20151123")</f>
        <v/>
      </c>
      <c r="EP5">
        <f>BDS("CBF US Equity","SUPPLY_CHAIN_CUSTOMERS","RELATIONSHIP_AS_OF_DATE","20151123")</f>
        <v/>
      </c>
      <c r="EU5">
        <f>BDS("IDNX US Equity","SUPPLY_CHAIN_SUPPLIERS","RELATIONSHIP_AS_OF_DATE","20020222")</f>
        <v/>
      </c>
      <c r="EZ5">
        <f>BDS("IDNX US Equity","SUPPLY_CHAIN_CUSTOMERS","RELATIONSHIP_AS_OF_DATE","20020222")</f>
        <v/>
      </c>
      <c r="FE5">
        <f>BDS("AMAT US Equity","SUPPLY_CHAIN_SUPPLIERS","RELATIONSHIP_AS_OF_DATE","20091117")</f>
        <v/>
      </c>
      <c r="FJ5">
        <f>BDS("AMAT US Equity","SUPPLY_CHAIN_CUSTOMERS","RELATIONSHIP_AS_OF_DATE","20091117")</f>
        <v/>
      </c>
      <c r="FO5">
        <f>BDS("SPOK US Equity","SUPPLY_CHAIN_SUPPLIERS","RELATIONSHIP_AS_OF_DATE","20040329")</f>
        <v/>
      </c>
      <c r="FT5">
        <f>BDS("SPOK US Equity","SUPPLY_CHAIN_CUSTOMERS","RELATIONSHIP_AS_OF_DATE","20040329")</f>
        <v/>
      </c>
      <c r="FY5">
        <f>BDS("BSX US Equity","SUPPLY_CHAIN_SUPPLIERS","RELATIONSHIP_AS_OF_DATE","20010215")</f>
        <v/>
      </c>
      <c r="GD5">
        <f>BDS("BSX US Equity","SUPPLY_CHAIN_CUSTOMERS","RELATIONSHIP_AS_OF_DATE","20010215")</f>
        <v/>
      </c>
      <c r="GI5">
        <f>BDS("CNSL US Equity","SUPPLY_CHAIN_SUPPLIERS","RELATIONSHIP_AS_OF_DATE","20070702")</f>
        <v/>
      </c>
      <c r="GN5">
        <f>BDS("CNSL US Equity","SUPPLY_CHAIN_CUSTOMERS","RELATIONSHIP_AS_OF_DATE","20070702")</f>
        <v/>
      </c>
      <c r="GS5">
        <f>BDS("nan Equity","SUPPLY_CHAIN_SUPPLIERS","RELATIONSHIP_AS_OF_DATE","20091218")</f>
        <v/>
      </c>
      <c r="GX5">
        <f>BDS("nan Equity","SUPPLY_CHAIN_CUSTOMERS","RELATIONSHIP_AS_OF_DATE","20091218")</f>
        <v/>
      </c>
      <c r="HC5">
        <f>BDS("SWY US Equity","SUPPLY_CHAIN_SUPPLIERS","RELATIONSHIP_AS_OF_DATE","19980806")</f>
        <v/>
      </c>
      <c r="HH5">
        <f>BDS("SWY US Equity","SUPPLY_CHAIN_CUSTOMERS","RELATIONSHIP_AS_OF_DATE","19980806")</f>
        <v/>
      </c>
      <c r="HM5">
        <f>BDS("41018Q US Equity","SUPPLY_CHAIN_SUPPLIERS","RELATIONSHIP_AS_OF_DATE","20000130")</f>
        <v/>
      </c>
      <c r="HR5">
        <f>BDS("41018Q US Equity","SUPPLY_CHAIN_CUSTOMERS","RELATIONSHIP_AS_OF_DATE","20000130")</f>
        <v/>
      </c>
      <c r="HW5">
        <f>BDS("BGCP US Equity","SUPPLY_CHAIN_SUPPLIERS","RELATIONSHIP_AS_OF_DATE","20151223")</f>
        <v/>
      </c>
      <c r="IB5">
        <f>BDS("BGCP US Equity","SUPPLY_CHAIN_CUSTOMERS","RELATIONSHIP_AS_OF_DATE","20151223")</f>
        <v/>
      </c>
      <c r="IG5">
        <f>BDS("GUIC US Equity","SUPPLY_CHAIN_SUPPLIERS","RELATIONSHIP_AS_OF_DATE","20000211")</f>
        <v/>
      </c>
      <c r="IL5">
        <f>BDS("GUIC US Equity","SUPPLY_CHAIN_CUSTOMERS","RELATIONSHIP_AS_OF_DATE","20000211")</f>
        <v/>
      </c>
      <c r="IQ5">
        <f>BDS("BDX US Equity","SUPPLY_CHAIN_SUPPLIERS","RELATIONSHIP_AS_OF_DATE","20060814")</f>
        <v/>
      </c>
      <c r="IV5">
        <f>BDS("BDX US Equity","SUPPLY_CHAIN_CUSTOMERS","RELATIONSHIP_AS_OF_DATE","20060814")</f>
        <v/>
      </c>
      <c r="JA5">
        <f>BDS("3122066Q US Equity","SUPPLY_CHAIN_SUPPLIERS","RELATIONSHIP_AS_OF_DATE","20070212")</f>
        <v/>
      </c>
      <c r="JF5">
        <f>BDS("3122066Q US Equity","SUPPLY_CHAIN_CUSTOMERS","RELATIONSHIP_AS_OF_DATE","20070212")</f>
        <v/>
      </c>
      <c r="JK5">
        <f>BDS("DHR US Equity","SUPPLY_CHAIN_SUPPLIERS","RELATIONSHIP_AS_OF_DATE","19990422")</f>
        <v/>
      </c>
      <c r="JP5">
        <f>BDS("DHR US Equity","SUPPLY_CHAIN_CUSTOMERS","RELATIONSHIP_AS_OF_DATE","19990422")</f>
        <v/>
      </c>
      <c r="JU5">
        <f>BDS("594202Q US Equity","SUPPLY_CHAIN_SUPPLIERS","RELATIONSHIP_AS_OF_DATE","19980129")</f>
        <v/>
      </c>
      <c r="JZ5">
        <f>BDS("594202Q US Equity","SUPPLY_CHAIN_CUSTOMERS","RELATIONSHIP_AS_OF_DATE","19980129")</f>
        <v/>
      </c>
      <c r="KE5">
        <f>BDS("DGX US Equity","SUPPLY_CHAIN_SUPPLIERS","RELATIONSHIP_AS_OF_DATE","20110318")</f>
        <v/>
      </c>
      <c r="KJ5">
        <f>BDS("DGX US Equity","SUPPLY_CHAIN_CUSTOMERS","RELATIONSHIP_AS_OF_DATE","20110318")</f>
        <v/>
      </c>
      <c r="KO5">
        <f>BDS("NOVT US Equity","SUPPLY_CHAIN_SUPPLIERS","RELATIONSHIP_AS_OF_DATE","20080710")</f>
        <v/>
      </c>
      <c r="KT5">
        <f>BDS("NOVT US Equity","SUPPLY_CHAIN_CUSTOMERS","RELATIONSHIP_AS_OF_DATE","20080710")</f>
        <v/>
      </c>
      <c r="KY5">
        <f>BDS("3097837Q US Equity","SUPPLY_CHAIN_SUPPLIERS","RELATIONSHIP_AS_OF_DATE","20031224")</f>
        <v/>
      </c>
      <c r="LD5">
        <f>BDS("3097837Q US Equity","SUPPLY_CHAIN_CUSTOMERS","RELATIONSHIP_AS_OF_DATE","20031224")</f>
        <v/>
      </c>
      <c r="LI5">
        <f>BDS("9994967D US Equity","SUPPLY_CHAIN_SUPPLIERS","RELATIONSHIP_AS_OF_DATE","20130411")</f>
        <v/>
      </c>
      <c r="LN5">
        <f>BDS("9994967D US Equity","SUPPLY_CHAIN_CUSTOMERS","RELATIONSHIP_AS_OF_DATE","20130411")</f>
        <v/>
      </c>
      <c r="LS5">
        <f>BDS("SUSQ US Equity","SUPPLY_CHAIN_SUPPLIERS","RELATIONSHIP_AS_OF_DATE","20110620")</f>
        <v/>
      </c>
      <c r="LX5">
        <f>BDS("SUSQ US Equity","SUPPLY_CHAIN_CUSTOMERS","RELATIONSHIP_AS_OF_DATE","20110620")</f>
        <v/>
      </c>
      <c r="MC5">
        <f>BDS("MTB US Equity","SUPPLY_CHAIN_SUPPLIERS","RELATIONSHIP_AS_OF_DATE","20000710")</f>
        <v/>
      </c>
      <c r="MH5">
        <f>BDS("MTB US Equity","SUPPLY_CHAIN_CUSTOMERS","RELATIONSHIP_AS_OF_DATE","20000710")</f>
        <v/>
      </c>
      <c r="MM5">
        <f>BDS("INGR US Equity","SUPPLY_CHAIN_SUPPLIERS","RELATIONSHIP_AS_OF_DATE","20141015")</f>
        <v/>
      </c>
      <c r="MR5">
        <f>BDS("INGR US Equity","SUPPLY_CHAIN_CUSTOMERS","RELATIONSHIP_AS_OF_DATE","20141015")</f>
        <v/>
      </c>
      <c r="MW5">
        <f>BDS("NWBI US Equity","SUPPLY_CHAIN_SUPPLIERS","RELATIONSHIP_AS_OF_DATE","20191029")</f>
        <v/>
      </c>
      <c r="NB5">
        <f>BDS("NWBI US Equity","SUPPLY_CHAIN_CUSTOMERS","RELATIONSHIP_AS_OF_DATE","20191029")</f>
        <v/>
      </c>
      <c r="NG5">
        <f>BDS("RWY US Equity","SUPPLY_CHAIN_SUPPLIERS","RELATIONSHIP_AS_OF_DATE","19980902")</f>
        <v/>
      </c>
      <c r="NL5">
        <f>BDS("RWY US Equity","SUPPLY_CHAIN_CUSTOMERS","RELATIONSHIP_AS_OF_DATE","19980902")</f>
        <v/>
      </c>
      <c r="NQ5">
        <f>BDS("FNFG US Equity","SUPPLY_CHAIN_SUPPLIERS","RELATIONSHIP_AS_OF_DATE","20030811")</f>
        <v/>
      </c>
      <c r="NV5">
        <f>BDS("FNFG US Equity","SUPPLY_CHAIN_CUSTOMERS","RELATIONSHIP_AS_OF_DATE","20030811")</f>
        <v/>
      </c>
      <c r="OA5">
        <f>BDS("ATBA AV Equity","SUPPLY_CHAIN_SUPPLIERS","RELATIONSHIP_AS_OF_DATE","20011212")</f>
        <v/>
      </c>
      <c r="OF5">
        <f>BDS("ATBA AV Equity","SUPPLY_CHAIN_CUSTOMERS","RELATIONSHIP_AS_OF_DATE","20011212")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2241</t>
        </is>
      </c>
      <c r="K1" s="1" t="inlineStr">
        <is>
          <t>Deal 2242</t>
        </is>
      </c>
      <c r="U1" s="1" t="inlineStr">
        <is>
          <t>Deal 2243</t>
        </is>
      </c>
      <c r="AE1" s="1" t="inlineStr">
        <is>
          <t>Deal 2244</t>
        </is>
      </c>
      <c r="AO1" s="1" t="inlineStr">
        <is>
          <t>Deal 2245</t>
        </is>
      </c>
      <c r="AY1" s="1" t="inlineStr">
        <is>
          <t>Deal 2246</t>
        </is>
      </c>
      <c r="BI1" s="1" t="inlineStr">
        <is>
          <t>Deal 2247</t>
        </is>
      </c>
      <c r="BS1" s="1" t="inlineStr">
        <is>
          <t>Deal 2248</t>
        </is>
      </c>
      <c r="CC1" s="1" t="inlineStr">
        <is>
          <t>Deal 2249</t>
        </is>
      </c>
      <c r="CM1" s="1" t="inlineStr">
        <is>
          <t>Deal 2250</t>
        </is>
      </c>
      <c r="CW1" s="1" t="inlineStr">
        <is>
          <t>Deal 2251</t>
        </is>
      </c>
      <c r="DG1" s="1" t="inlineStr">
        <is>
          <t>Deal 2252</t>
        </is>
      </c>
      <c r="DQ1" s="1" t="inlineStr">
        <is>
          <t>Deal 2253</t>
        </is>
      </c>
      <c r="EA1" s="1" t="inlineStr">
        <is>
          <t>Deal 2254</t>
        </is>
      </c>
      <c r="EK1" s="1" t="inlineStr">
        <is>
          <t>Deal 2255</t>
        </is>
      </c>
      <c r="EU1" s="1" t="inlineStr">
        <is>
          <t>Deal 2256</t>
        </is>
      </c>
      <c r="FE1" s="1" t="inlineStr">
        <is>
          <t>Deal 2257</t>
        </is>
      </c>
      <c r="FO1" s="1" t="inlineStr">
        <is>
          <t>Deal 2258</t>
        </is>
      </c>
      <c r="FY1" s="1" t="inlineStr">
        <is>
          <t>Deal 2259</t>
        </is>
      </c>
      <c r="GI1" s="1" t="inlineStr">
        <is>
          <t>Deal 2260</t>
        </is>
      </c>
      <c r="GS1" s="1" t="inlineStr">
        <is>
          <t>Deal 2261</t>
        </is>
      </c>
      <c r="HC1" s="1" t="inlineStr">
        <is>
          <t>Deal 2262</t>
        </is>
      </c>
      <c r="HM1" s="1" t="inlineStr">
        <is>
          <t>Deal 2263</t>
        </is>
      </c>
      <c r="HW1" s="1" t="inlineStr">
        <is>
          <t>Deal 2264</t>
        </is>
      </c>
      <c r="IG1" s="1" t="inlineStr">
        <is>
          <t>Deal 2265</t>
        </is>
      </c>
      <c r="IQ1" s="1" t="inlineStr">
        <is>
          <t>Deal 2266</t>
        </is>
      </c>
      <c r="JA1" s="1" t="inlineStr">
        <is>
          <t>Deal 2267</t>
        </is>
      </c>
      <c r="JK1" s="1" t="inlineStr">
        <is>
          <t>Deal 2268</t>
        </is>
      </c>
      <c r="JU1" s="1" t="inlineStr">
        <is>
          <t>Deal 2269</t>
        </is>
      </c>
      <c r="KE1" s="1" t="inlineStr">
        <is>
          <t>Deal 2270</t>
        </is>
      </c>
      <c r="KO1" s="1" t="inlineStr">
        <is>
          <t>Deal 2271</t>
        </is>
      </c>
      <c r="KY1" s="1" t="inlineStr">
        <is>
          <t>Deal 2272</t>
        </is>
      </c>
      <c r="LI1" s="1" t="inlineStr">
        <is>
          <t>Deal 2273</t>
        </is>
      </c>
      <c r="LS1" s="1" t="inlineStr">
        <is>
          <t>Deal 2274</t>
        </is>
      </c>
      <c r="MC1" s="1" t="inlineStr">
        <is>
          <t>Deal 2275</t>
        </is>
      </c>
      <c r="MM1" s="1" t="inlineStr">
        <is>
          <t>Deal 2276</t>
        </is>
      </c>
      <c r="MW1" s="1" t="inlineStr">
        <is>
          <t>Deal 2277</t>
        </is>
      </c>
      <c r="NG1" s="1" t="inlineStr">
        <is>
          <t>Deal 2278</t>
        </is>
      </c>
      <c r="NQ1" s="1" t="inlineStr">
        <is>
          <t>Deal 2279</t>
        </is>
      </c>
      <c r="OA1" s="1" t="inlineStr">
        <is>
          <t>Deal 2280</t>
        </is>
      </c>
    </row>
    <row r="2">
      <c r="A2" s="2" t="inlineStr">
        <is>
          <t>AAPL US Equity</t>
        </is>
      </c>
      <c r="K2" s="2" t="inlineStr">
        <is>
          <t>DECC US Equity</t>
        </is>
      </c>
      <c r="U2" s="2" t="inlineStr">
        <is>
          <t>3131657Q US Equity</t>
        </is>
      </c>
      <c r="AE2" s="2" t="inlineStr">
        <is>
          <t>CRL US Equity</t>
        </is>
      </c>
      <c r="AO2" s="2" t="inlineStr">
        <is>
          <t>EGAN US Equity</t>
        </is>
      </c>
      <c r="AY2" s="2" t="inlineStr">
        <is>
          <t>CSSE US Equity</t>
        </is>
      </c>
      <c r="BI2" s="2" t="inlineStr">
        <is>
          <t>TSA US Equity</t>
        </is>
      </c>
      <c r="BS2" s="2" t="inlineStr">
        <is>
          <t>SPB US Equity</t>
        </is>
      </c>
      <c r="CC2" s="2" t="inlineStr">
        <is>
          <t>SKO US Equity</t>
        </is>
      </c>
      <c r="CM2" s="2" t="inlineStr">
        <is>
          <t>9123456D US Equity</t>
        </is>
      </c>
      <c r="CW2" s="2" t="inlineStr">
        <is>
          <t>236619Q US Equity</t>
        </is>
      </c>
      <c r="DG2" s="2" t="inlineStr">
        <is>
          <t>1740293D US Equity</t>
        </is>
      </c>
      <c r="DQ2" s="2" t="inlineStr">
        <is>
          <t>BAC US Equity</t>
        </is>
      </c>
      <c r="EA2" s="2" t="inlineStr">
        <is>
          <t>WINMQ US Equity</t>
        </is>
      </c>
      <c r="EK2" s="2" t="inlineStr">
        <is>
          <t>DHR US Equity</t>
        </is>
      </c>
      <c r="EU2" s="2" t="inlineStr">
        <is>
          <t>9980328D US Equity</t>
        </is>
      </c>
      <c r="FE2" s="2" t="inlineStr">
        <is>
          <t>HU US Equity</t>
        </is>
      </c>
      <c r="FO2" s="2" t="inlineStr">
        <is>
          <t>DHI US Equity</t>
        </is>
      </c>
      <c r="FY2" s="2" t="inlineStr">
        <is>
          <t>PBI US Equity</t>
        </is>
      </c>
      <c r="GI2" s="2" t="inlineStr">
        <is>
          <t>4513539Q US Equity</t>
        </is>
      </c>
      <c r="GS2" s="2" t="inlineStr">
        <is>
          <t>NKE US Equity</t>
        </is>
      </c>
      <c r="HC2" s="2" t="inlineStr">
        <is>
          <t>APO US Equity</t>
        </is>
      </c>
      <c r="HM2" s="2" t="inlineStr">
        <is>
          <t>CHCO US Equity</t>
        </is>
      </c>
      <c r="HW2" s="2" t="inlineStr">
        <is>
          <t>BGCP US Equity</t>
        </is>
      </c>
      <c r="IG2" s="2" t="inlineStr">
        <is>
          <t>HRC US Equity</t>
        </is>
      </c>
      <c r="IQ2" s="2" t="inlineStr">
        <is>
          <t>JEF US Equity</t>
        </is>
      </c>
      <c r="JA2" s="2" t="inlineStr">
        <is>
          <t>GKNT US Equity</t>
        </is>
      </c>
      <c r="JK2" s="2" t="inlineStr">
        <is>
          <t>LGTO US Equity</t>
        </is>
      </c>
      <c r="JU2" s="2" t="inlineStr">
        <is>
          <t>CG US Equity</t>
        </is>
      </c>
      <c r="KE2" s="2" t="inlineStr">
        <is>
          <t>1709056D US Equity</t>
        </is>
      </c>
      <c r="KO2" s="2" t="inlineStr">
        <is>
          <t>ACDC US Equity</t>
        </is>
      </c>
      <c r="KY2" s="2" t="inlineStr">
        <is>
          <t>MRK US Equity</t>
        </is>
      </c>
      <c r="LI2" s="2" t="inlineStr">
        <is>
          <t>UMPQ US Equity</t>
        </is>
      </c>
      <c r="LS2" s="2" t="inlineStr">
        <is>
          <t>SANM US Equity</t>
        </is>
      </c>
      <c r="MC2" s="2" t="inlineStr">
        <is>
          <t>MKSI US Equity</t>
        </is>
      </c>
      <c r="MM2" s="2" t="inlineStr">
        <is>
          <t>NOV US Equity</t>
        </is>
      </c>
      <c r="MW2" s="2" t="inlineStr">
        <is>
          <t>PBCT US Equity</t>
        </is>
      </c>
      <c r="NG2" s="2" t="inlineStr">
        <is>
          <t>540513Q US Equity</t>
        </is>
      </c>
      <c r="NQ2" s="2" t="inlineStr">
        <is>
          <t>SONE US Equity</t>
        </is>
      </c>
      <c r="OA2" s="2" t="inlineStr">
        <is>
          <t>CBCGQ US Equity</t>
        </is>
      </c>
    </row>
    <row r="3">
      <c r="A3" t="inlineStr">
        <is>
          <t>Ann: 2012-07-27</t>
        </is>
      </c>
      <c r="K3" t="inlineStr">
        <is>
          <t>Ann: 2001-11-21</t>
        </is>
      </c>
      <c r="U3" t="inlineStr">
        <is>
          <t>Ann: 1999-11-22</t>
        </is>
      </c>
      <c r="AE3" t="inlineStr">
        <is>
          <t>Ann: 2019-12-16</t>
        </is>
      </c>
      <c r="AO3" t="inlineStr">
        <is>
          <t>Ann: 2000-03-16</t>
        </is>
      </c>
      <c r="AY3" t="inlineStr">
        <is>
          <t>Ann: 2022-05-11</t>
        </is>
      </c>
      <c r="BI3" t="inlineStr">
        <is>
          <t>Ann: 2003-02-20</t>
        </is>
      </c>
      <c r="BS3" t="inlineStr">
        <is>
          <t>Ann: 2010-09-13</t>
        </is>
      </c>
      <c r="CC3" t="inlineStr">
        <is>
          <t>Ann: 1999-05-11</t>
        </is>
      </c>
      <c r="CM3" t="inlineStr">
        <is>
          <t>Ann: 2010-05-24</t>
        </is>
      </c>
      <c r="CW3" t="inlineStr">
        <is>
          <t>Ann: 1998-08-11</t>
        </is>
      </c>
      <c r="DG3" t="inlineStr">
        <is>
          <t>Ann: 2006-09-18</t>
        </is>
      </c>
      <c r="DQ3" t="inlineStr">
        <is>
          <t>Ann: 1998-10-22</t>
        </is>
      </c>
      <c r="EA3" t="inlineStr">
        <is>
          <t>Ann: 2009-05-11</t>
        </is>
      </c>
      <c r="EK3" t="inlineStr">
        <is>
          <t>Ann: 2012-09-17</t>
        </is>
      </c>
      <c r="EU3" t="inlineStr">
        <is>
          <t>Ann: 2016-07-27</t>
        </is>
      </c>
      <c r="FE3" t="inlineStr">
        <is>
          <t>Ann: 1999-06-29</t>
        </is>
      </c>
      <c r="FO3" t="inlineStr">
        <is>
          <t>Ann: 2017-06-05</t>
        </is>
      </c>
      <c r="FY3" t="inlineStr">
        <is>
          <t>Ann: 2004-04-13</t>
        </is>
      </c>
      <c r="GI3" t="inlineStr">
        <is>
          <t>Ann: 2000-12-11</t>
        </is>
      </c>
      <c r="GS3" t="inlineStr">
        <is>
          <t>Ann: 2003-07-09</t>
        </is>
      </c>
      <c r="HC3" t="inlineStr">
        <is>
          <t>Ann: 2021-07-23</t>
        </is>
      </c>
      <c r="HM3" t="inlineStr">
        <is>
          <t>Ann: 1998-08-07</t>
        </is>
      </c>
      <c r="HW3" t="inlineStr">
        <is>
          <t>Ann: 2014-09-09</t>
        </is>
      </c>
      <c r="IG3" t="inlineStr">
        <is>
          <t>Ann: 2003-10-30</t>
        </is>
      </c>
      <c r="IQ3" t="inlineStr">
        <is>
          <t>Ann: 2002-07-26</t>
        </is>
      </c>
      <c r="JA3" t="inlineStr">
        <is>
          <t>Ann: 2000-02-03</t>
        </is>
      </c>
      <c r="JK3" t="inlineStr">
        <is>
          <t>Ann: 2002-02-21</t>
        </is>
      </c>
      <c r="JU3" t="inlineStr">
        <is>
          <t>Ann: 2006-01-06</t>
        </is>
      </c>
      <c r="KE3" t="inlineStr">
        <is>
          <t>Ann: 2001-02-20</t>
        </is>
      </c>
      <c r="KO3" t="inlineStr">
        <is>
          <t>Ann: 2022-06-21</t>
        </is>
      </c>
      <c r="KY3" t="inlineStr">
        <is>
          <t>Ann: 2011-04-05</t>
        </is>
      </c>
      <c r="LI3" t="inlineStr">
        <is>
          <t>Ann: 2004-03-15</t>
        </is>
      </c>
      <c r="LS3" t="inlineStr">
        <is>
          <t>Ann: 1998-09-02</t>
        </is>
      </c>
      <c r="MC3" t="inlineStr">
        <is>
          <t>Ann: 2000-10-02</t>
        </is>
      </c>
      <c r="MM3" t="inlineStr">
        <is>
          <t>Ann: 2000-03-16</t>
        </is>
      </c>
      <c r="MW3" t="inlineStr">
        <is>
          <t>Ann: 2018-11-27</t>
        </is>
      </c>
      <c r="NG3" t="inlineStr">
        <is>
          <t>Ann: 2001-06-11</t>
        </is>
      </c>
      <c r="NQ3" t="inlineStr">
        <is>
          <t>Ann: 1999-05-17</t>
        </is>
      </c>
      <c r="OA3" t="inlineStr">
        <is>
          <t>Ann: 2007-01-23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BDS("AAPL US Equity","SUPPLY_CHAIN_SUPPLIERS","RELATIONSHIP_AS_OF_DATE","20120727")</f>
        <v/>
      </c>
      <c r="F5">
        <f>BDS("AAPL US Equity","SUPPLY_CHAIN_CUSTOMERS","RELATIONSHIP_AS_OF_DATE","20120727")</f>
        <v/>
      </c>
      <c r="K5">
        <f>BDS("DECC US Equity","SUPPLY_CHAIN_SUPPLIERS","RELATIONSHIP_AS_OF_DATE","20011121")</f>
        <v/>
      </c>
      <c r="P5">
        <f>BDS("DECC US Equity","SUPPLY_CHAIN_CUSTOMERS","RELATIONSHIP_AS_OF_DATE","20011121")</f>
        <v/>
      </c>
      <c r="U5">
        <f>BDS("3131657Q US Equity","SUPPLY_CHAIN_SUPPLIERS","RELATIONSHIP_AS_OF_DATE","19991122")</f>
        <v/>
      </c>
      <c r="Z5">
        <f>BDS("3131657Q US Equity","SUPPLY_CHAIN_CUSTOMERS","RELATIONSHIP_AS_OF_DATE","19991122")</f>
        <v/>
      </c>
      <c r="AE5">
        <f>BDS("CRL US Equity","SUPPLY_CHAIN_SUPPLIERS","RELATIONSHIP_AS_OF_DATE","20191216")</f>
        <v/>
      </c>
      <c r="AJ5">
        <f>BDS("CRL US Equity","SUPPLY_CHAIN_CUSTOMERS","RELATIONSHIP_AS_OF_DATE","20191216")</f>
        <v/>
      </c>
      <c r="AO5">
        <f>BDS("EGAN US Equity","SUPPLY_CHAIN_SUPPLIERS","RELATIONSHIP_AS_OF_DATE","20000316")</f>
        <v/>
      </c>
      <c r="AT5">
        <f>BDS("EGAN US Equity","SUPPLY_CHAIN_CUSTOMERS","RELATIONSHIP_AS_OF_DATE","20000316")</f>
        <v/>
      </c>
      <c r="AY5">
        <f>BDS("CSSE US Equity","SUPPLY_CHAIN_SUPPLIERS","RELATIONSHIP_AS_OF_DATE","20220511")</f>
        <v/>
      </c>
      <c r="BD5">
        <f>BDS("CSSE US Equity","SUPPLY_CHAIN_CUSTOMERS","RELATIONSHIP_AS_OF_DATE","20220511")</f>
        <v/>
      </c>
      <c r="BI5">
        <f>BDS("TSA US Equity","SUPPLY_CHAIN_SUPPLIERS","RELATIONSHIP_AS_OF_DATE","20030220")</f>
        <v/>
      </c>
      <c r="BN5">
        <f>BDS("TSA US Equity","SUPPLY_CHAIN_CUSTOMERS","RELATIONSHIP_AS_OF_DATE","20030220")</f>
        <v/>
      </c>
      <c r="BS5">
        <f>BDS("SPB US Equity","SUPPLY_CHAIN_SUPPLIERS","RELATIONSHIP_AS_OF_DATE","20100913")</f>
        <v/>
      </c>
      <c r="BX5">
        <f>BDS("SPB US Equity","SUPPLY_CHAIN_CUSTOMERS","RELATIONSHIP_AS_OF_DATE","20100913")</f>
        <v/>
      </c>
      <c r="CC5">
        <f>BDS("SKO US Equity","SUPPLY_CHAIN_SUPPLIERS","RELATIONSHIP_AS_OF_DATE","19990511")</f>
        <v/>
      </c>
      <c r="CH5">
        <f>BDS("SKO US Equity","SUPPLY_CHAIN_CUSTOMERS","RELATIONSHIP_AS_OF_DATE","19990511")</f>
        <v/>
      </c>
      <c r="CM5">
        <f>BDS("9123456D US Equity","SUPPLY_CHAIN_SUPPLIERS","RELATIONSHIP_AS_OF_DATE","20100524")</f>
        <v/>
      </c>
      <c r="CR5">
        <f>BDS("9123456D US Equity","SUPPLY_CHAIN_CUSTOMERS","RELATIONSHIP_AS_OF_DATE","20100524")</f>
        <v/>
      </c>
      <c r="CW5">
        <f>BDS("236619Q US Equity","SUPPLY_CHAIN_SUPPLIERS","RELATIONSHIP_AS_OF_DATE","19980811")</f>
        <v/>
      </c>
      <c r="DB5">
        <f>BDS("236619Q US Equity","SUPPLY_CHAIN_CUSTOMERS","RELATIONSHIP_AS_OF_DATE","19980811")</f>
        <v/>
      </c>
      <c r="DG5">
        <f>BDS("1740293D US Equity","SUPPLY_CHAIN_SUPPLIERS","RELATIONSHIP_AS_OF_DATE","20060918")</f>
        <v/>
      </c>
      <c r="DL5">
        <f>BDS("1740293D US Equity","SUPPLY_CHAIN_CUSTOMERS","RELATIONSHIP_AS_OF_DATE","20060918")</f>
        <v/>
      </c>
      <c r="DQ5">
        <f>BDS("BAC US Equity","SUPPLY_CHAIN_SUPPLIERS","RELATIONSHIP_AS_OF_DATE","19981022")</f>
        <v/>
      </c>
      <c r="DV5">
        <f>BDS("BAC US Equity","SUPPLY_CHAIN_CUSTOMERS","RELATIONSHIP_AS_OF_DATE","19981022")</f>
        <v/>
      </c>
      <c r="EA5">
        <f>BDS("WINMQ US Equity","SUPPLY_CHAIN_SUPPLIERS","RELATIONSHIP_AS_OF_DATE","20090511")</f>
        <v/>
      </c>
      <c r="EF5">
        <f>BDS("WINMQ US Equity","SUPPLY_CHAIN_CUSTOMERS","RELATIONSHIP_AS_OF_DATE","20090511")</f>
        <v/>
      </c>
      <c r="EK5">
        <f>BDS("DHR US Equity","SUPPLY_CHAIN_SUPPLIERS","RELATIONSHIP_AS_OF_DATE","20120917")</f>
        <v/>
      </c>
      <c r="EP5">
        <f>BDS("DHR US Equity","SUPPLY_CHAIN_CUSTOMERS","RELATIONSHIP_AS_OF_DATE","20120917")</f>
        <v/>
      </c>
      <c r="EU5">
        <f>BDS("9980328D US Equity","SUPPLY_CHAIN_SUPPLIERS","RELATIONSHIP_AS_OF_DATE","20160727")</f>
        <v/>
      </c>
      <c r="EZ5">
        <f>BDS("9980328D US Equity","SUPPLY_CHAIN_CUSTOMERS","RELATIONSHIP_AS_OF_DATE","20160727")</f>
        <v/>
      </c>
      <c r="FE5">
        <f>BDS("HU US Equity","SUPPLY_CHAIN_SUPPLIERS","RELATIONSHIP_AS_OF_DATE","19990629")</f>
        <v/>
      </c>
      <c r="FJ5">
        <f>BDS("HU US Equity","SUPPLY_CHAIN_CUSTOMERS","RELATIONSHIP_AS_OF_DATE","19990629")</f>
        <v/>
      </c>
      <c r="FO5">
        <f>BDS("DHI US Equity","SUPPLY_CHAIN_SUPPLIERS","RELATIONSHIP_AS_OF_DATE","20170605")</f>
        <v/>
      </c>
      <c r="FT5">
        <f>BDS("DHI US Equity","SUPPLY_CHAIN_CUSTOMERS","RELATIONSHIP_AS_OF_DATE","20170605")</f>
        <v/>
      </c>
      <c r="FY5">
        <f>BDS("PBI US Equity","SUPPLY_CHAIN_SUPPLIERS","RELATIONSHIP_AS_OF_DATE","20040413")</f>
        <v/>
      </c>
      <c r="GD5">
        <f>BDS("PBI US Equity","SUPPLY_CHAIN_CUSTOMERS","RELATIONSHIP_AS_OF_DATE","20040413")</f>
        <v/>
      </c>
      <c r="GI5">
        <f>BDS("4513539Q US Equity","SUPPLY_CHAIN_SUPPLIERS","RELATIONSHIP_AS_OF_DATE","20001211")</f>
        <v/>
      </c>
      <c r="GN5">
        <f>BDS("4513539Q US Equity","SUPPLY_CHAIN_CUSTOMERS","RELATIONSHIP_AS_OF_DATE","20001211")</f>
        <v/>
      </c>
      <c r="GS5">
        <f>BDS("NKE US Equity","SUPPLY_CHAIN_SUPPLIERS","RELATIONSHIP_AS_OF_DATE","20030709")</f>
        <v/>
      </c>
      <c r="GX5">
        <f>BDS("NKE US Equity","SUPPLY_CHAIN_CUSTOMERS","RELATIONSHIP_AS_OF_DATE","20030709")</f>
        <v/>
      </c>
      <c r="HC5">
        <f>BDS("APO US Equity","SUPPLY_CHAIN_SUPPLIERS","RELATIONSHIP_AS_OF_DATE","20210723")</f>
        <v/>
      </c>
      <c r="HH5">
        <f>BDS("APO US Equity","SUPPLY_CHAIN_CUSTOMERS","RELATIONSHIP_AS_OF_DATE","20210723")</f>
        <v/>
      </c>
      <c r="HM5">
        <f>BDS("CHCO US Equity","SUPPLY_CHAIN_SUPPLIERS","RELATIONSHIP_AS_OF_DATE","19980807")</f>
        <v/>
      </c>
      <c r="HR5">
        <f>BDS("CHCO US Equity","SUPPLY_CHAIN_CUSTOMERS","RELATIONSHIP_AS_OF_DATE","19980807")</f>
        <v/>
      </c>
      <c r="HW5">
        <f>BDS("BGCP US Equity","SUPPLY_CHAIN_SUPPLIERS","RELATIONSHIP_AS_OF_DATE","20140909")</f>
        <v/>
      </c>
      <c r="IB5">
        <f>BDS("BGCP US Equity","SUPPLY_CHAIN_CUSTOMERS","RELATIONSHIP_AS_OF_DATE","20140909")</f>
        <v/>
      </c>
      <c r="IG5">
        <f>BDS("HRC US Equity","SUPPLY_CHAIN_SUPPLIERS","RELATIONSHIP_AS_OF_DATE","20031030")</f>
        <v/>
      </c>
      <c r="IL5">
        <f>BDS("HRC US Equity","SUPPLY_CHAIN_CUSTOMERS","RELATIONSHIP_AS_OF_DATE","20031030")</f>
        <v/>
      </c>
      <c r="IQ5">
        <f>BDS("JEF US Equity","SUPPLY_CHAIN_SUPPLIERS","RELATIONSHIP_AS_OF_DATE","20020726")</f>
        <v/>
      </c>
      <c r="IV5">
        <f>BDS("JEF US Equity","SUPPLY_CHAIN_CUSTOMERS","RELATIONSHIP_AS_OF_DATE","20020726")</f>
        <v/>
      </c>
      <c r="JA5">
        <f>BDS("GKNT US Equity","SUPPLY_CHAIN_SUPPLIERS","RELATIONSHIP_AS_OF_DATE","20000203")</f>
        <v/>
      </c>
      <c r="JF5">
        <f>BDS("GKNT US Equity","SUPPLY_CHAIN_CUSTOMERS","RELATIONSHIP_AS_OF_DATE","20000203")</f>
        <v/>
      </c>
      <c r="JK5">
        <f>BDS("LGTO US Equity","SUPPLY_CHAIN_SUPPLIERS","RELATIONSHIP_AS_OF_DATE","20020221")</f>
        <v/>
      </c>
      <c r="JP5">
        <f>BDS("LGTO US Equity","SUPPLY_CHAIN_CUSTOMERS","RELATIONSHIP_AS_OF_DATE","20020221")</f>
        <v/>
      </c>
      <c r="JU5">
        <f>BDS("CG US Equity","SUPPLY_CHAIN_SUPPLIERS","RELATIONSHIP_AS_OF_DATE","20060106")</f>
        <v/>
      </c>
      <c r="JZ5">
        <f>BDS("CG US Equity","SUPPLY_CHAIN_CUSTOMERS","RELATIONSHIP_AS_OF_DATE","20060106")</f>
        <v/>
      </c>
      <c r="KE5">
        <f>BDS("1709056D US Equity","SUPPLY_CHAIN_SUPPLIERS","RELATIONSHIP_AS_OF_DATE","20010220")</f>
        <v/>
      </c>
      <c r="KJ5">
        <f>BDS("1709056D US Equity","SUPPLY_CHAIN_CUSTOMERS","RELATIONSHIP_AS_OF_DATE","20010220")</f>
        <v/>
      </c>
      <c r="KO5">
        <f>BDS("ACDC US Equity","SUPPLY_CHAIN_SUPPLIERS","RELATIONSHIP_AS_OF_DATE","20220621")</f>
        <v/>
      </c>
      <c r="KT5">
        <f>BDS("ACDC US Equity","SUPPLY_CHAIN_CUSTOMERS","RELATIONSHIP_AS_OF_DATE","20220621")</f>
        <v/>
      </c>
      <c r="KY5">
        <f>BDS("MRK US Equity","SUPPLY_CHAIN_SUPPLIERS","RELATIONSHIP_AS_OF_DATE","20110405")</f>
        <v/>
      </c>
      <c r="LD5">
        <f>BDS("MRK US Equity","SUPPLY_CHAIN_CUSTOMERS","RELATIONSHIP_AS_OF_DATE","20110405")</f>
        <v/>
      </c>
      <c r="LI5">
        <f>BDS("UMPQ US Equity","SUPPLY_CHAIN_SUPPLIERS","RELATIONSHIP_AS_OF_DATE","20040315")</f>
        <v/>
      </c>
      <c r="LN5">
        <f>BDS("UMPQ US Equity","SUPPLY_CHAIN_CUSTOMERS","RELATIONSHIP_AS_OF_DATE","20040315")</f>
        <v/>
      </c>
      <c r="LS5">
        <f>BDS("SANM US Equity","SUPPLY_CHAIN_SUPPLIERS","RELATIONSHIP_AS_OF_DATE","19980902")</f>
        <v/>
      </c>
      <c r="LX5">
        <f>BDS("SANM US Equity","SUPPLY_CHAIN_CUSTOMERS","RELATIONSHIP_AS_OF_DATE","19980902")</f>
        <v/>
      </c>
      <c r="MC5">
        <f>BDS("MKSI US Equity","SUPPLY_CHAIN_SUPPLIERS","RELATIONSHIP_AS_OF_DATE","20001002")</f>
        <v/>
      </c>
      <c r="MH5">
        <f>BDS("MKSI US Equity","SUPPLY_CHAIN_CUSTOMERS","RELATIONSHIP_AS_OF_DATE","20001002")</f>
        <v/>
      </c>
      <c r="MM5">
        <f>BDS("NOV US Equity","SUPPLY_CHAIN_SUPPLIERS","RELATIONSHIP_AS_OF_DATE","20000316")</f>
        <v/>
      </c>
      <c r="MR5">
        <f>BDS("NOV US Equity","SUPPLY_CHAIN_CUSTOMERS","RELATIONSHIP_AS_OF_DATE","20000316")</f>
        <v/>
      </c>
      <c r="MW5">
        <f>BDS("PBCT US Equity","SUPPLY_CHAIN_SUPPLIERS","RELATIONSHIP_AS_OF_DATE","20181127")</f>
        <v/>
      </c>
      <c r="NB5">
        <f>BDS("PBCT US Equity","SUPPLY_CHAIN_CUSTOMERS","RELATIONSHIP_AS_OF_DATE","20181127")</f>
        <v/>
      </c>
      <c r="NG5">
        <f>BDS("540513Q US Equity","SUPPLY_CHAIN_SUPPLIERS","RELATIONSHIP_AS_OF_DATE","20010611")</f>
        <v/>
      </c>
      <c r="NL5">
        <f>BDS("540513Q US Equity","SUPPLY_CHAIN_CUSTOMERS","RELATIONSHIP_AS_OF_DATE","20010611")</f>
        <v/>
      </c>
      <c r="NQ5">
        <f>BDS("SONE US Equity","SUPPLY_CHAIN_SUPPLIERS","RELATIONSHIP_AS_OF_DATE","19990517")</f>
        <v/>
      </c>
      <c r="NV5">
        <f>BDS("SONE US Equity","SUPPLY_CHAIN_CUSTOMERS","RELATIONSHIP_AS_OF_DATE","19990517")</f>
        <v/>
      </c>
      <c r="OA5">
        <f>BDS("CBCGQ US Equity","SUPPLY_CHAIN_SUPPLIERS","RELATIONSHIP_AS_OF_DATE","20070123")</f>
        <v/>
      </c>
      <c r="OF5">
        <f>BDS("CBCGQ US Equity","SUPPLY_CHAIN_CUSTOMERS","RELATIONSHIP_AS_OF_DATE","20070123")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2281</t>
        </is>
      </c>
      <c r="K1" s="1" t="inlineStr">
        <is>
          <t>Deal 2282</t>
        </is>
      </c>
      <c r="U1" s="1" t="inlineStr">
        <is>
          <t>Deal 2283</t>
        </is>
      </c>
      <c r="AE1" s="1" t="inlineStr">
        <is>
          <t>Deal 2284</t>
        </is>
      </c>
      <c r="AO1" s="1" t="inlineStr">
        <is>
          <t>Deal 2285</t>
        </is>
      </c>
      <c r="AY1" s="1" t="inlineStr">
        <is>
          <t>Deal 2286</t>
        </is>
      </c>
      <c r="BI1" s="1" t="inlineStr">
        <is>
          <t>Deal 2287</t>
        </is>
      </c>
      <c r="BS1" s="1" t="inlineStr">
        <is>
          <t>Deal 2288</t>
        </is>
      </c>
      <c r="CC1" s="1" t="inlineStr">
        <is>
          <t>Deal 2289</t>
        </is>
      </c>
      <c r="CM1" s="1" t="inlineStr">
        <is>
          <t>Deal 2290</t>
        </is>
      </c>
      <c r="CW1" s="1" t="inlineStr">
        <is>
          <t>Deal 2291</t>
        </is>
      </c>
      <c r="DG1" s="1" t="inlineStr">
        <is>
          <t>Deal 2292</t>
        </is>
      </c>
      <c r="DQ1" s="1" t="inlineStr">
        <is>
          <t>Deal 2293</t>
        </is>
      </c>
      <c r="EA1" s="1" t="inlineStr">
        <is>
          <t>Deal 2294</t>
        </is>
      </c>
      <c r="EK1" s="1" t="inlineStr">
        <is>
          <t>Deal 2295</t>
        </is>
      </c>
      <c r="EU1" s="1" t="inlineStr">
        <is>
          <t>Deal 2296</t>
        </is>
      </c>
      <c r="FE1" s="1" t="inlineStr">
        <is>
          <t>Deal 2297</t>
        </is>
      </c>
      <c r="FO1" s="1" t="inlineStr">
        <is>
          <t>Deal 2298</t>
        </is>
      </c>
      <c r="FY1" s="1" t="inlineStr">
        <is>
          <t>Deal 2299</t>
        </is>
      </c>
      <c r="GI1" s="1" t="inlineStr">
        <is>
          <t>Deal 2300</t>
        </is>
      </c>
      <c r="GS1" s="1" t="inlineStr">
        <is>
          <t>Deal 2301</t>
        </is>
      </c>
      <c r="HC1" s="1" t="inlineStr">
        <is>
          <t>Deal 2302</t>
        </is>
      </c>
      <c r="HM1" s="1" t="inlineStr">
        <is>
          <t>Deal 2303</t>
        </is>
      </c>
      <c r="HW1" s="1" t="inlineStr">
        <is>
          <t>Deal 2304</t>
        </is>
      </c>
      <c r="IG1" s="1" t="inlineStr">
        <is>
          <t>Deal 2305</t>
        </is>
      </c>
      <c r="IQ1" s="1" t="inlineStr">
        <is>
          <t>Deal 2306</t>
        </is>
      </c>
      <c r="JA1" s="1" t="inlineStr">
        <is>
          <t>Deal 2307</t>
        </is>
      </c>
      <c r="JK1" s="1" t="inlineStr">
        <is>
          <t>Deal 2308</t>
        </is>
      </c>
      <c r="JU1" s="1" t="inlineStr">
        <is>
          <t>Deal 2309</t>
        </is>
      </c>
      <c r="KE1" s="1" t="inlineStr">
        <is>
          <t>Deal 2310</t>
        </is>
      </c>
      <c r="KO1" s="1" t="inlineStr">
        <is>
          <t>Deal 2311</t>
        </is>
      </c>
      <c r="KY1" s="1" t="inlineStr">
        <is>
          <t>Deal 2312</t>
        </is>
      </c>
      <c r="LI1" s="1" t="inlineStr">
        <is>
          <t>Deal 2313</t>
        </is>
      </c>
      <c r="LS1" s="1" t="inlineStr">
        <is>
          <t>Deal 2314</t>
        </is>
      </c>
      <c r="MC1" s="1" t="inlineStr">
        <is>
          <t>Deal 2315</t>
        </is>
      </c>
      <c r="MM1" s="1" t="inlineStr">
        <is>
          <t>Deal 2316</t>
        </is>
      </c>
      <c r="MW1" s="1" t="inlineStr">
        <is>
          <t>Deal 2317</t>
        </is>
      </c>
      <c r="NG1" s="1" t="inlineStr">
        <is>
          <t>Deal 2318</t>
        </is>
      </c>
      <c r="NQ1" s="1" t="inlineStr">
        <is>
          <t>Deal 2319</t>
        </is>
      </c>
      <c r="OA1" s="1" t="inlineStr">
        <is>
          <t>Deal 2320</t>
        </is>
      </c>
    </row>
    <row r="2">
      <c r="A2" s="2" t="inlineStr">
        <is>
          <t>DHR US Equity</t>
        </is>
      </c>
      <c r="K2" s="2" t="inlineStr">
        <is>
          <t>AA US Equity</t>
        </is>
      </c>
      <c r="U2" s="2" t="inlineStr">
        <is>
          <t>BCIC US Equity</t>
        </is>
      </c>
      <c r="AE2" s="2" t="inlineStr">
        <is>
          <t>ENRNQ US Equity</t>
        </is>
      </c>
      <c r="AO2" s="2" t="inlineStr">
        <is>
          <t>PFE US Equity</t>
        </is>
      </c>
      <c r="AY2" s="2" t="inlineStr">
        <is>
          <t>CNX US Equity</t>
        </is>
      </c>
      <c r="BI2" s="2" t="inlineStr">
        <is>
          <t>9876567D US Equity</t>
        </is>
      </c>
      <c r="BS2" s="2" t="inlineStr">
        <is>
          <t>DCO US Equity</t>
        </is>
      </c>
      <c r="CC2" s="2" t="inlineStr">
        <is>
          <t>PBI US Equity</t>
        </is>
      </c>
      <c r="CM2" s="2" t="inlineStr">
        <is>
          <t>ABT US Equity</t>
        </is>
      </c>
      <c r="CW2" s="2" t="inlineStr">
        <is>
          <t>PLRE US Equity</t>
        </is>
      </c>
      <c r="DG2" s="2" t="inlineStr">
        <is>
          <t>FNVG US Equity</t>
        </is>
      </c>
      <c r="DQ2" s="2" t="inlineStr">
        <is>
          <t>OAK US Equity</t>
        </is>
      </c>
      <c r="EA2" s="2" t="inlineStr">
        <is>
          <t>AGN US Equity</t>
        </is>
      </c>
      <c r="EK2" s="2" t="inlineStr">
        <is>
          <t>LII US Equity</t>
        </is>
      </c>
      <c r="EU2" s="2" t="inlineStr">
        <is>
          <t>TSFG US Equity</t>
        </is>
      </c>
      <c r="FE2" s="2" t="inlineStr">
        <is>
          <t>TPP US Equity</t>
        </is>
      </c>
      <c r="FO2" s="2" t="inlineStr">
        <is>
          <t>SOGCQ US Equity</t>
        </is>
      </c>
      <c r="FY2" s="2" t="inlineStr">
        <is>
          <t>NVEE US Equity</t>
        </is>
      </c>
      <c r="GI2" s="2" t="inlineStr">
        <is>
          <t>MDT US Equity</t>
        </is>
      </c>
      <c r="GS2" s="2" t="inlineStr">
        <is>
          <t>CMTY US Equity</t>
        </is>
      </c>
      <c r="HC2" s="2" t="inlineStr">
        <is>
          <t>RRC US Equity</t>
        </is>
      </c>
      <c r="HM2" s="2" t="inlineStr">
        <is>
          <t>VLY US Equity</t>
        </is>
      </c>
      <c r="HW2" s="2" t="inlineStr">
        <is>
          <t>ABT US Equity</t>
        </is>
      </c>
      <c r="IG2" s="2" t="inlineStr">
        <is>
          <t>NUAN US Equity</t>
        </is>
      </c>
      <c r="IQ2" s="2" t="inlineStr">
        <is>
          <t>VFC US Equity</t>
        </is>
      </c>
      <c r="JA2" s="2" t="inlineStr">
        <is>
          <t>SITEQ US Equity</t>
        </is>
      </c>
      <c r="JK2" s="2" t="inlineStr">
        <is>
          <t>MCHP US Equity</t>
        </is>
      </c>
      <c r="JU2" s="2" t="inlineStr">
        <is>
          <t>WSBC US Equity</t>
        </is>
      </c>
      <c r="KE2" s="2" t="inlineStr">
        <is>
          <t>2502261D US Equity</t>
        </is>
      </c>
      <c r="KO2" s="2" t="inlineStr">
        <is>
          <t>AFG US Equity</t>
        </is>
      </c>
      <c r="KY2" s="2" t="inlineStr">
        <is>
          <t>DFODQ US Equity</t>
        </is>
      </c>
      <c r="LI2" s="2" t="inlineStr">
        <is>
          <t>CBU US Equity</t>
        </is>
      </c>
      <c r="LS2" s="2" t="inlineStr">
        <is>
          <t>1849855D US Equity</t>
        </is>
      </c>
      <c r="MC2" s="2" t="inlineStr">
        <is>
          <t>EXE US Equity</t>
        </is>
      </c>
      <c r="MM2" s="2" t="inlineStr">
        <is>
          <t>2674129Q US Equity</t>
        </is>
      </c>
      <c r="MW2" s="2" t="inlineStr">
        <is>
          <t>540513Q US Equity</t>
        </is>
      </c>
      <c r="NG2" s="2" t="inlineStr">
        <is>
          <t>FBNC US Equity</t>
        </is>
      </c>
      <c r="NQ2" s="2" t="inlineStr">
        <is>
          <t>3122066Q US Equity</t>
        </is>
      </c>
      <c r="OA2" s="2" t="inlineStr">
        <is>
          <t>ORCL US Equity</t>
        </is>
      </c>
    </row>
    <row r="3">
      <c r="A3" t="inlineStr">
        <is>
          <t>Ann: 2000-05-04</t>
        </is>
      </c>
      <c r="K3" t="inlineStr">
        <is>
          <t>Ann: 2000-04-13</t>
        </is>
      </c>
      <c r="U3" t="inlineStr">
        <is>
          <t>Ann: 2020-06-24</t>
        </is>
      </c>
      <c r="AE3" t="inlineStr">
        <is>
          <t>Ann: 2000-12-15</t>
        </is>
      </c>
      <c r="AO3" t="inlineStr">
        <is>
          <t>Ann: 2008-02-20</t>
        </is>
      </c>
      <c r="AY3" t="inlineStr">
        <is>
          <t>Ann: 2020-07-27</t>
        </is>
      </c>
      <c r="BI3" t="inlineStr">
        <is>
          <t>Ann: 1998-02-19</t>
        </is>
      </c>
      <c r="BS3" t="inlineStr">
        <is>
          <t>Ann: 2011-04-04</t>
        </is>
      </c>
      <c r="CC3" t="inlineStr">
        <is>
          <t>Ann: 2015-05-05</t>
        </is>
      </c>
      <c r="CM3" t="inlineStr">
        <is>
          <t>Ann: 2003-12-15</t>
        </is>
      </c>
      <c r="CW3" t="inlineStr">
        <is>
          <t>Ann: 2001-03-21</t>
        </is>
      </c>
      <c r="DG3" t="inlineStr">
        <is>
          <t>Ann: 1999-01-07</t>
        </is>
      </c>
      <c r="DQ3" t="inlineStr">
        <is>
          <t>Ann: 2017-07-14</t>
        </is>
      </c>
      <c r="EA3" t="inlineStr">
        <is>
          <t>Ann: 1998-10-25</t>
        </is>
      </c>
      <c r="EK3" t="inlineStr">
        <is>
          <t>Ann: 1999-10-27</t>
        </is>
      </c>
      <c r="EU3" t="inlineStr">
        <is>
          <t>Ann: 2000-01-10</t>
        </is>
      </c>
      <c r="FE3" t="inlineStr">
        <is>
          <t>Ann: 2000-03-16</t>
        </is>
      </c>
      <c r="FO3" t="inlineStr">
        <is>
          <t>Ann: 2004-05-23</t>
        </is>
      </c>
      <c r="FY3" t="inlineStr">
        <is>
          <t>Ann: 2019-11-07</t>
        </is>
      </c>
      <c r="GI3" t="inlineStr">
        <is>
          <t>Ann: 2010-04-29</t>
        </is>
      </c>
      <c r="GS3" t="inlineStr">
        <is>
          <t>Ann: 2004-11-16</t>
        </is>
      </c>
      <c r="HC3" t="inlineStr">
        <is>
          <t>Ann: 1998-05-12</t>
        </is>
      </c>
      <c r="HM3" t="inlineStr">
        <is>
          <t>Ann: 2014-05-08</t>
        </is>
      </c>
      <c r="HW3" t="inlineStr">
        <is>
          <t>Ann: 2001-10-24</t>
        </is>
      </c>
      <c r="IG3" t="inlineStr">
        <is>
          <t>Ann: 2012-03-07</t>
        </is>
      </c>
      <c r="IQ3" t="inlineStr">
        <is>
          <t>Ann: 2004-04-27</t>
        </is>
      </c>
      <c r="JA3" t="inlineStr">
        <is>
          <t>Ann: 1999-05-17</t>
        </is>
      </c>
      <c r="JK3" t="inlineStr">
        <is>
          <t>Ann: 2000-10-27</t>
        </is>
      </c>
      <c r="JU3" t="inlineStr">
        <is>
          <t>Ann: 2014-10-29</t>
        </is>
      </c>
      <c r="KE3" t="inlineStr">
        <is>
          <t>Ann: 2004-06-29</t>
        </is>
      </c>
      <c r="KO3" t="inlineStr">
        <is>
          <t>Ann: 2016-07-08</t>
        </is>
      </c>
      <c r="KY3" t="inlineStr">
        <is>
          <t>Ann: 1998-01-15</t>
        </is>
      </c>
      <c r="LI3" t="inlineStr">
        <is>
          <t>Ann: 2016-10-24</t>
        </is>
      </c>
      <c r="LS3" t="inlineStr">
        <is>
          <t>Ann: 2008-02-20</t>
        </is>
      </c>
      <c r="MC3" t="inlineStr">
        <is>
          <t>Ann: 2011-04-15</t>
        </is>
      </c>
      <c r="MM3" t="inlineStr">
        <is>
          <t>Ann: 2004-01-08</t>
        </is>
      </c>
      <c r="MW3" t="inlineStr">
        <is>
          <t>Ann: 1998-07-20</t>
        </is>
      </c>
      <c r="NG3" t="inlineStr">
        <is>
          <t>Ann: 2021-06-01</t>
        </is>
      </c>
      <c r="NQ3" t="inlineStr">
        <is>
          <t>Ann: 2004-03-01</t>
        </is>
      </c>
      <c r="OA3" t="inlineStr">
        <is>
          <t>Ann: 2007-05-15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BDS("DHR US Equity","SUPPLY_CHAIN_SUPPLIERS","RELATIONSHIP_AS_OF_DATE","20000504")</f>
        <v/>
      </c>
      <c r="F5">
        <f>BDS("DHR US Equity","SUPPLY_CHAIN_CUSTOMERS","RELATIONSHIP_AS_OF_DATE","20000504")</f>
        <v/>
      </c>
      <c r="K5">
        <f>BDS("AA US Equity","SUPPLY_CHAIN_SUPPLIERS","RELATIONSHIP_AS_OF_DATE","20000413")</f>
        <v/>
      </c>
      <c r="P5">
        <f>BDS("AA US Equity","SUPPLY_CHAIN_CUSTOMERS","RELATIONSHIP_AS_OF_DATE","20000413")</f>
        <v/>
      </c>
      <c r="U5">
        <f>BDS("BCIC US Equity","SUPPLY_CHAIN_SUPPLIERS","RELATIONSHIP_AS_OF_DATE","20200624")</f>
        <v/>
      </c>
      <c r="Z5">
        <f>BDS("BCIC US Equity","SUPPLY_CHAIN_CUSTOMERS","RELATIONSHIP_AS_OF_DATE","20200624")</f>
        <v/>
      </c>
      <c r="AE5">
        <f>BDS("ENRNQ US Equity","SUPPLY_CHAIN_SUPPLIERS","RELATIONSHIP_AS_OF_DATE","20001215")</f>
        <v/>
      </c>
      <c r="AJ5">
        <f>BDS("ENRNQ US Equity","SUPPLY_CHAIN_CUSTOMERS","RELATIONSHIP_AS_OF_DATE","20001215")</f>
        <v/>
      </c>
      <c r="AO5">
        <f>BDS("PFE US Equity","SUPPLY_CHAIN_SUPPLIERS","RELATIONSHIP_AS_OF_DATE","20080220")</f>
        <v/>
      </c>
      <c r="AT5">
        <f>BDS("PFE US Equity","SUPPLY_CHAIN_CUSTOMERS","RELATIONSHIP_AS_OF_DATE","20080220")</f>
        <v/>
      </c>
      <c r="AY5">
        <f>BDS("CNX US Equity","SUPPLY_CHAIN_SUPPLIERS","RELATIONSHIP_AS_OF_DATE","20200727")</f>
        <v/>
      </c>
      <c r="BD5">
        <f>BDS("CNX US Equity","SUPPLY_CHAIN_CUSTOMERS","RELATIONSHIP_AS_OF_DATE","20200727")</f>
        <v/>
      </c>
      <c r="BI5">
        <f>BDS("9876567D US Equity","SUPPLY_CHAIN_SUPPLIERS","RELATIONSHIP_AS_OF_DATE","19980219")</f>
        <v/>
      </c>
      <c r="BN5">
        <f>BDS("9876567D US Equity","SUPPLY_CHAIN_CUSTOMERS","RELATIONSHIP_AS_OF_DATE","19980219")</f>
        <v/>
      </c>
      <c r="BS5">
        <f>BDS("DCO US Equity","SUPPLY_CHAIN_SUPPLIERS","RELATIONSHIP_AS_OF_DATE","20110404")</f>
        <v/>
      </c>
      <c r="BX5">
        <f>BDS("DCO US Equity","SUPPLY_CHAIN_CUSTOMERS","RELATIONSHIP_AS_OF_DATE","20110404")</f>
        <v/>
      </c>
      <c r="CC5">
        <f>BDS("PBI US Equity","SUPPLY_CHAIN_SUPPLIERS","RELATIONSHIP_AS_OF_DATE","20150505")</f>
        <v/>
      </c>
      <c r="CH5">
        <f>BDS("PBI US Equity","SUPPLY_CHAIN_CUSTOMERS","RELATIONSHIP_AS_OF_DATE","20150505")</f>
        <v/>
      </c>
      <c r="CM5">
        <f>BDS("ABT US Equity","SUPPLY_CHAIN_SUPPLIERS","RELATIONSHIP_AS_OF_DATE","20031215")</f>
        <v/>
      </c>
      <c r="CR5">
        <f>BDS("ABT US Equity","SUPPLY_CHAIN_CUSTOMERS","RELATIONSHIP_AS_OF_DATE","20031215")</f>
        <v/>
      </c>
      <c r="CW5">
        <f>BDS("PLRE US Equity","SUPPLY_CHAIN_SUPPLIERS","RELATIONSHIP_AS_OF_DATE","20010321")</f>
        <v/>
      </c>
      <c r="DB5">
        <f>BDS("PLRE US Equity","SUPPLY_CHAIN_CUSTOMERS","RELATIONSHIP_AS_OF_DATE","20010321")</f>
        <v/>
      </c>
      <c r="DG5">
        <f>BDS("FNVG US Equity","SUPPLY_CHAIN_SUPPLIERS","RELATIONSHIP_AS_OF_DATE","19990107")</f>
        <v/>
      </c>
      <c r="DL5">
        <f>BDS("FNVG US Equity","SUPPLY_CHAIN_CUSTOMERS","RELATIONSHIP_AS_OF_DATE","19990107")</f>
        <v/>
      </c>
      <c r="DQ5">
        <f>BDS("OAK US Equity","SUPPLY_CHAIN_SUPPLIERS","RELATIONSHIP_AS_OF_DATE","20170714")</f>
        <v/>
      </c>
      <c r="DV5">
        <f>BDS("OAK US Equity","SUPPLY_CHAIN_CUSTOMERS","RELATIONSHIP_AS_OF_DATE","20170714")</f>
        <v/>
      </c>
      <c r="EA5">
        <f>BDS("AGN US Equity","SUPPLY_CHAIN_SUPPLIERS","RELATIONSHIP_AS_OF_DATE","19981025")</f>
        <v/>
      </c>
      <c r="EF5">
        <f>BDS("AGN US Equity","SUPPLY_CHAIN_CUSTOMERS","RELATIONSHIP_AS_OF_DATE","19981025")</f>
        <v/>
      </c>
      <c r="EK5">
        <f>BDS("LII US Equity","SUPPLY_CHAIN_SUPPLIERS","RELATIONSHIP_AS_OF_DATE","19991027")</f>
        <v/>
      </c>
      <c r="EP5">
        <f>BDS("LII US Equity","SUPPLY_CHAIN_CUSTOMERS","RELATIONSHIP_AS_OF_DATE","19991027")</f>
        <v/>
      </c>
      <c r="EU5">
        <f>BDS("TSFG US Equity","SUPPLY_CHAIN_SUPPLIERS","RELATIONSHIP_AS_OF_DATE","20000110")</f>
        <v/>
      </c>
      <c r="EZ5">
        <f>BDS("TSFG US Equity","SUPPLY_CHAIN_CUSTOMERS","RELATIONSHIP_AS_OF_DATE","20000110")</f>
        <v/>
      </c>
      <c r="FE5">
        <f>BDS("TPP US Equity","SUPPLY_CHAIN_SUPPLIERS","RELATIONSHIP_AS_OF_DATE","20000316")</f>
        <v/>
      </c>
      <c r="FJ5">
        <f>BDS("TPP US Equity","SUPPLY_CHAIN_CUSTOMERS","RELATIONSHIP_AS_OF_DATE","20000316")</f>
        <v/>
      </c>
      <c r="FO5">
        <f>BDS("SOGCQ US Equity","SUPPLY_CHAIN_SUPPLIERS","RELATIONSHIP_AS_OF_DATE","20040523")</f>
        <v/>
      </c>
      <c r="FT5">
        <f>BDS("SOGCQ US Equity","SUPPLY_CHAIN_CUSTOMERS","RELATIONSHIP_AS_OF_DATE","20040523")</f>
        <v/>
      </c>
      <c r="FY5">
        <f>BDS("NVEE US Equity","SUPPLY_CHAIN_SUPPLIERS","RELATIONSHIP_AS_OF_DATE","20191107")</f>
        <v/>
      </c>
      <c r="GD5">
        <f>BDS("NVEE US Equity","SUPPLY_CHAIN_CUSTOMERS","RELATIONSHIP_AS_OF_DATE","20191107")</f>
        <v/>
      </c>
      <c r="GI5">
        <f>BDS("MDT US Equity","SUPPLY_CHAIN_SUPPLIERS","RELATIONSHIP_AS_OF_DATE","20100429")</f>
        <v/>
      </c>
      <c r="GN5">
        <f>BDS("MDT US Equity","SUPPLY_CHAIN_CUSTOMERS","RELATIONSHIP_AS_OF_DATE","20100429")</f>
        <v/>
      </c>
      <c r="GS5">
        <f>BDS("CMTY US Equity","SUPPLY_CHAIN_SUPPLIERS","RELATIONSHIP_AS_OF_DATE","20041116")</f>
        <v/>
      </c>
      <c r="GX5">
        <f>BDS("CMTY US Equity","SUPPLY_CHAIN_CUSTOMERS","RELATIONSHIP_AS_OF_DATE","20041116")</f>
        <v/>
      </c>
      <c r="HC5">
        <f>BDS("RRC US Equity","SUPPLY_CHAIN_SUPPLIERS","RELATIONSHIP_AS_OF_DATE","19980512")</f>
        <v/>
      </c>
      <c r="HH5">
        <f>BDS("RRC US Equity","SUPPLY_CHAIN_CUSTOMERS","RELATIONSHIP_AS_OF_DATE","19980512")</f>
        <v/>
      </c>
      <c r="HM5">
        <f>BDS("VLY US Equity","SUPPLY_CHAIN_SUPPLIERS","RELATIONSHIP_AS_OF_DATE","20140508")</f>
        <v/>
      </c>
      <c r="HR5">
        <f>BDS("VLY US Equity","SUPPLY_CHAIN_CUSTOMERS","RELATIONSHIP_AS_OF_DATE","20140508")</f>
        <v/>
      </c>
      <c r="HW5">
        <f>BDS("ABT US Equity","SUPPLY_CHAIN_SUPPLIERS","RELATIONSHIP_AS_OF_DATE","20011024")</f>
        <v/>
      </c>
      <c r="IB5">
        <f>BDS("ABT US Equity","SUPPLY_CHAIN_CUSTOMERS","RELATIONSHIP_AS_OF_DATE","20011024")</f>
        <v/>
      </c>
      <c r="IG5">
        <f>BDS("NUAN US Equity","SUPPLY_CHAIN_SUPPLIERS","RELATIONSHIP_AS_OF_DATE","20120307")</f>
        <v/>
      </c>
      <c r="IL5">
        <f>BDS("NUAN US Equity","SUPPLY_CHAIN_CUSTOMERS","RELATIONSHIP_AS_OF_DATE","20120307")</f>
        <v/>
      </c>
      <c r="IQ5">
        <f>BDS("VFC US Equity","SUPPLY_CHAIN_SUPPLIERS","RELATIONSHIP_AS_OF_DATE","20040427")</f>
        <v/>
      </c>
      <c r="IV5">
        <f>BDS("VFC US Equity","SUPPLY_CHAIN_CUSTOMERS","RELATIONSHIP_AS_OF_DATE","20040427")</f>
        <v/>
      </c>
      <c r="JA5">
        <f>BDS("SITEQ US Equity","SUPPLY_CHAIN_SUPPLIERS","RELATIONSHIP_AS_OF_DATE","19990517")</f>
        <v/>
      </c>
      <c r="JF5">
        <f>BDS("SITEQ US Equity","SUPPLY_CHAIN_CUSTOMERS","RELATIONSHIP_AS_OF_DATE","19990517")</f>
        <v/>
      </c>
      <c r="JK5">
        <f>BDS("MCHP US Equity","SUPPLY_CHAIN_SUPPLIERS","RELATIONSHIP_AS_OF_DATE","20001027")</f>
        <v/>
      </c>
      <c r="JP5">
        <f>BDS("MCHP US Equity","SUPPLY_CHAIN_CUSTOMERS","RELATIONSHIP_AS_OF_DATE","20001027")</f>
        <v/>
      </c>
      <c r="JU5">
        <f>BDS("WSBC US Equity","SUPPLY_CHAIN_SUPPLIERS","RELATIONSHIP_AS_OF_DATE","20141029")</f>
        <v/>
      </c>
      <c r="JZ5">
        <f>BDS("WSBC US Equity","SUPPLY_CHAIN_CUSTOMERS","RELATIONSHIP_AS_OF_DATE","20141029")</f>
        <v/>
      </c>
      <c r="KE5">
        <f>BDS("2502261D US Equity","SUPPLY_CHAIN_SUPPLIERS","RELATIONSHIP_AS_OF_DATE","20040629")</f>
        <v/>
      </c>
      <c r="KJ5">
        <f>BDS("2502261D US Equity","SUPPLY_CHAIN_CUSTOMERS","RELATIONSHIP_AS_OF_DATE","20040629")</f>
        <v/>
      </c>
      <c r="KO5">
        <f>BDS("AFG US Equity","SUPPLY_CHAIN_SUPPLIERS","RELATIONSHIP_AS_OF_DATE","20160708")</f>
        <v/>
      </c>
      <c r="KT5">
        <f>BDS("AFG US Equity","SUPPLY_CHAIN_CUSTOMERS","RELATIONSHIP_AS_OF_DATE","20160708")</f>
        <v/>
      </c>
      <c r="KY5">
        <f>BDS("DFODQ US Equity","SUPPLY_CHAIN_SUPPLIERS","RELATIONSHIP_AS_OF_DATE","19980115")</f>
        <v/>
      </c>
      <c r="LD5">
        <f>BDS("DFODQ US Equity","SUPPLY_CHAIN_CUSTOMERS","RELATIONSHIP_AS_OF_DATE","19980115")</f>
        <v/>
      </c>
      <c r="LI5">
        <f>BDS("CBU US Equity","SUPPLY_CHAIN_SUPPLIERS","RELATIONSHIP_AS_OF_DATE","20161024")</f>
        <v/>
      </c>
      <c r="LN5">
        <f>BDS("CBU US Equity","SUPPLY_CHAIN_CUSTOMERS","RELATIONSHIP_AS_OF_DATE","20161024")</f>
        <v/>
      </c>
      <c r="LS5">
        <f>BDS("1849855D US Equity","SUPPLY_CHAIN_SUPPLIERS","RELATIONSHIP_AS_OF_DATE","20080220")</f>
        <v/>
      </c>
      <c r="LX5">
        <f>BDS("1849855D US Equity","SUPPLY_CHAIN_CUSTOMERS","RELATIONSHIP_AS_OF_DATE","20080220")</f>
        <v/>
      </c>
      <c r="MC5">
        <f>BDS("EXE US Equity","SUPPLY_CHAIN_SUPPLIERS","RELATIONSHIP_AS_OF_DATE","20110415")</f>
        <v/>
      </c>
      <c r="MH5">
        <f>BDS("EXE US Equity","SUPPLY_CHAIN_CUSTOMERS","RELATIONSHIP_AS_OF_DATE","20110415")</f>
        <v/>
      </c>
      <c r="MM5">
        <f>BDS("2674129Q US Equity","SUPPLY_CHAIN_SUPPLIERS","RELATIONSHIP_AS_OF_DATE","20040108")</f>
        <v/>
      </c>
      <c r="MR5">
        <f>BDS("2674129Q US Equity","SUPPLY_CHAIN_CUSTOMERS","RELATIONSHIP_AS_OF_DATE","20040108")</f>
        <v/>
      </c>
      <c r="MW5">
        <f>BDS("540513Q US Equity","SUPPLY_CHAIN_SUPPLIERS","RELATIONSHIP_AS_OF_DATE","19980720")</f>
        <v/>
      </c>
      <c r="NB5">
        <f>BDS("540513Q US Equity","SUPPLY_CHAIN_CUSTOMERS","RELATIONSHIP_AS_OF_DATE","19980720")</f>
        <v/>
      </c>
      <c r="NG5">
        <f>BDS("FBNC US Equity","SUPPLY_CHAIN_SUPPLIERS","RELATIONSHIP_AS_OF_DATE","20210601")</f>
        <v/>
      </c>
      <c r="NL5">
        <f>BDS("FBNC US Equity","SUPPLY_CHAIN_CUSTOMERS","RELATIONSHIP_AS_OF_DATE","20210601")</f>
        <v/>
      </c>
      <c r="NQ5">
        <f>BDS("3122066Q US Equity","SUPPLY_CHAIN_SUPPLIERS","RELATIONSHIP_AS_OF_DATE","20040301")</f>
        <v/>
      </c>
      <c r="NV5">
        <f>BDS("3122066Q US Equity","SUPPLY_CHAIN_CUSTOMERS","RELATIONSHIP_AS_OF_DATE","20040301")</f>
        <v/>
      </c>
      <c r="OA5">
        <f>BDS("ORCL US Equity","SUPPLY_CHAIN_SUPPLIERS","RELATIONSHIP_AS_OF_DATE","20070515")</f>
        <v/>
      </c>
      <c r="OF5">
        <f>BDS("ORCL US Equity","SUPPLY_CHAIN_CUSTOMERS","RELATIONSHIP_AS_OF_DATE","20070515")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2321</t>
        </is>
      </c>
      <c r="K1" s="1" t="inlineStr">
        <is>
          <t>Deal 2322</t>
        </is>
      </c>
      <c r="U1" s="1" t="inlineStr">
        <is>
          <t>Deal 2323</t>
        </is>
      </c>
      <c r="AE1" s="1" t="inlineStr">
        <is>
          <t>Deal 2324</t>
        </is>
      </c>
      <c r="AO1" s="1" t="inlineStr">
        <is>
          <t>Deal 2325</t>
        </is>
      </c>
      <c r="AY1" s="1" t="inlineStr">
        <is>
          <t>Deal 2326</t>
        </is>
      </c>
      <c r="BI1" s="1" t="inlineStr">
        <is>
          <t>Deal 2327</t>
        </is>
      </c>
      <c r="BS1" s="1" t="inlineStr">
        <is>
          <t>Deal 2328</t>
        </is>
      </c>
      <c r="CC1" s="1" t="inlineStr">
        <is>
          <t>Deal 2329</t>
        </is>
      </c>
      <c r="CM1" s="1" t="inlineStr">
        <is>
          <t>Deal 2330</t>
        </is>
      </c>
      <c r="CW1" s="1" t="inlineStr">
        <is>
          <t>Deal 2331</t>
        </is>
      </c>
      <c r="DG1" s="1" t="inlineStr">
        <is>
          <t>Deal 2332</t>
        </is>
      </c>
      <c r="DQ1" s="1" t="inlineStr">
        <is>
          <t>Deal 2333</t>
        </is>
      </c>
      <c r="EA1" s="1" t="inlineStr">
        <is>
          <t>Deal 2334</t>
        </is>
      </c>
      <c r="EK1" s="1" t="inlineStr">
        <is>
          <t>Deal 2335</t>
        </is>
      </c>
      <c r="EU1" s="1" t="inlineStr">
        <is>
          <t>Deal 2336</t>
        </is>
      </c>
      <c r="FE1" s="1" t="inlineStr">
        <is>
          <t>Deal 2337</t>
        </is>
      </c>
      <c r="FO1" s="1" t="inlineStr">
        <is>
          <t>Deal 2338</t>
        </is>
      </c>
      <c r="FY1" s="1" t="inlineStr">
        <is>
          <t>Deal 2339</t>
        </is>
      </c>
      <c r="GI1" s="1" t="inlineStr">
        <is>
          <t>Deal 2340</t>
        </is>
      </c>
      <c r="GS1" s="1" t="inlineStr">
        <is>
          <t>Deal 2341</t>
        </is>
      </c>
      <c r="HC1" s="1" t="inlineStr">
        <is>
          <t>Deal 2342</t>
        </is>
      </c>
      <c r="HM1" s="1" t="inlineStr">
        <is>
          <t>Deal 2343</t>
        </is>
      </c>
      <c r="HW1" s="1" t="inlineStr">
        <is>
          <t>Deal 2344</t>
        </is>
      </c>
      <c r="IG1" s="1" t="inlineStr">
        <is>
          <t>Deal 2345</t>
        </is>
      </c>
      <c r="IQ1" s="1" t="inlineStr">
        <is>
          <t>Deal 2346</t>
        </is>
      </c>
      <c r="JA1" s="1" t="inlineStr">
        <is>
          <t>Deal 2347</t>
        </is>
      </c>
      <c r="JK1" s="1" t="inlineStr">
        <is>
          <t>Deal 2348</t>
        </is>
      </c>
      <c r="JU1" s="1" t="inlineStr">
        <is>
          <t>Deal 2349</t>
        </is>
      </c>
      <c r="KE1" s="1" t="inlineStr">
        <is>
          <t>Deal 2350</t>
        </is>
      </c>
      <c r="KO1" s="1" t="inlineStr">
        <is>
          <t>Deal 2351</t>
        </is>
      </c>
      <c r="KY1" s="1" t="inlineStr">
        <is>
          <t>Deal 2352</t>
        </is>
      </c>
      <c r="LI1" s="1" t="inlineStr">
        <is>
          <t>Deal 2353</t>
        </is>
      </c>
      <c r="LS1" s="1" t="inlineStr">
        <is>
          <t>Deal 2354</t>
        </is>
      </c>
      <c r="MC1" s="1" t="inlineStr">
        <is>
          <t>Deal 2355</t>
        </is>
      </c>
      <c r="MM1" s="1" t="inlineStr">
        <is>
          <t>Deal 2356</t>
        </is>
      </c>
      <c r="MW1" s="1" t="inlineStr">
        <is>
          <t>Deal 2357</t>
        </is>
      </c>
      <c r="NG1" s="1" t="inlineStr">
        <is>
          <t>Deal 2358</t>
        </is>
      </c>
      <c r="NQ1" s="1" t="inlineStr">
        <is>
          <t>Deal 2359</t>
        </is>
      </c>
      <c r="OA1" s="1" t="inlineStr">
        <is>
          <t>Deal 2360</t>
        </is>
      </c>
    </row>
    <row r="2">
      <c r="A2" s="2" t="inlineStr">
        <is>
          <t>SWK US Equity</t>
        </is>
      </c>
      <c r="K2" s="2" t="inlineStr">
        <is>
          <t>LZB US Equity</t>
        </is>
      </c>
      <c r="U2" s="2" t="inlineStr">
        <is>
          <t>SBSI US Equity</t>
        </is>
      </c>
      <c r="AE2" s="2" t="inlineStr">
        <is>
          <t>EXTR US Equity</t>
        </is>
      </c>
      <c r="AO2" s="2" t="inlineStr">
        <is>
          <t>SYK US Equity</t>
        </is>
      </c>
      <c r="AY2" s="2" t="inlineStr">
        <is>
          <t>CPPRQ US Equity</t>
        </is>
      </c>
      <c r="BI2" s="2" t="inlineStr">
        <is>
          <t>TXT US Equity</t>
        </is>
      </c>
      <c r="BS2" s="2" t="inlineStr">
        <is>
          <t>MYPT US Equity</t>
        </is>
      </c>
      <c r="CC2" s="2" t="inlineStr">
        <is>
          <t>FULT US Equity</t>
        </is>
      </c>
      <c r="CM2" s="2" t="inlineStr">
        <is>
          <t>RRA US Equity</t>
        </is>
      </c>
      <c r="CW2" s="2" t="inlineStr">
        <is>
          <t>K US Equity</t>
        </is>
      </c>
      <c r="DG2" s="2" t="inlineStr">
        <is>
          <t>IEP US Equity</t>
        </is>
      </c>
      <c r="DQ2" s="2" t="inlineStr">
        <is>
          <t>2072499D US Equity</t>
        </is>
      </c>
      <c r="EA2" s="2" t="inlineStr">
        <is>
          <t>2674129Q US Equity</t>
        </is>
      </c>
      <c r="EK2" s="2" t="inlineStr">
        <is>
          <t>1288652D US Equity</t>
        </is>
      </c>
      <c r="EU2" s="2" t="inlineStr">
        <is>
          <t>LNWO US Equity</t>
        </is>
      </c>
      <c r="FE2" s="2" t="inlineStr">
        <is>
          <t>KEGX US Equity</t>
        </is>
      </c>
      <c r="FO2" s="2" t="inlineStr">
        <is>
          <t>AOS US Equity</t>
        </is>
      </c>
      <c r="FY2" s="2" t="inlineStr">
        <is>
          <t>LLY US Equity</t>
        </is>
      </c>
      <c r="GI2" s="2" t="inlineStr">
        <is>
          <t>CVI US Equity</t>
        </is>
      </c>
      <c r="GS2" s="2" t="inlineStr">
        <is>
          <t>TCBK US Equity</t>
        </is>
      </c>
      <c r="HC2" s="2" t="inlineStr">
        <is>
          <t>DHR US Equity</t>
        </is>
      </c>
      <c r="HM2" s="2" t="inlineStr">
        <is>
          <t>T US Equity</t>
        </is>
      </c>
      <c r="HW2" s="2" t="inlineStr">
        <is>
          <t>PMCS US Equity</t>
        </is>
      </c>
      <c r="IG2" s="2" t="inlineStr">
        <is>
          <t>ET US Equity</t>
        </is>
      </c>
      <c r="IQ2" s="2" t="inlineStr">
        <is>
          <t>ADP US Equity</t>
        </is>
      </c>
      <c r="JA2" s="2" t="inlineStr">
        <is>
          <t>TER US Equity</t>
        </is>
      </c>
      <c r="JK2" s="2" t="inlineStr">
        <is>
          <t>TOWN US Equity</t>
        </is>
      </c>
      <c r="JU2" s="2" t="inlineStr">
        <is>
          <t>AGCO US Equity</t>
        </is>
      </c>
      <c r="KE2" s="2" t="inlineStr">
        <is>
          <t>540513Q US Equity</t>
        </is>
      </c>
      <c r="KO2" s="2" t="inlineStr">
        <is>
          <t>SSB US Equity</t>
        </is>
      </c>
      <c r="KY2" s="2" t="inlineStr">
        <is>
          <t>nan Equity</t>
        </is>
      </c>
      <c r="LI2" s="2" t="inlineStr">
        <is>
          <t>FORM US Equity</t>
        </is>
      </c>
      <c r="LS2" s="2" t="inlineStr">
        <is>
          <t>CVOVQ US Equity</t>
        </is>
      </c>
      <c r="MC2" s="2" t="inlineStr">
        <is>
          <t>GENZ US Equity</t>
        </is>
      </c>
      <c r="MM2" s="2" t="inlineStr">
        <is>
          <t>VTR US Equity</t>
        </is>
      </c>
      <c r="MW2" s="2" t="inlineStr">
        <is>
          <t>FNIS US Equity</t>
        </is>
      </c>
      <c r="NG2" s="2" t="inlineStr">
        <is>
          <t>8258290Q US Equity</t>
        </is>
      </c>
      <c r="NQ2" s="2" t="inlineStr">
        <is>
          <t>2258717D US Equity</t>
        </is>
      </c>
      <c r="OA2" s="2" t="inlineStr">
        <is>
          <t>RRD US Equity</t>
        </is>
      </c>
    </row>
    <row r="3">
      <c r="A3" t="inlineStr">
        <is>
          <t>Ann: 2002-10-10</t>
        </is>
      </c>
      <c r="K3" t="inlineStr">
        <is>
          <t>Ann: 1999-09-28</t>
        </is>
      </c>
      <c r="U3" t="inlineStr">
        <is>
          <t>Ann: 2014-04-29</t>
        </is>
      </c>
      <c r="AE3" t="inlineStr">
        <is>
          <t>Ann: 2019-06-26</t>
        </is>
      </c>
      <c r="AO3" t="inlineStr">
        <is>
          <t>Ann: 2011-05-16</t>
        </is>
      </c>
      <c r="AY3" t="inlineStr">
        <is>
          <t>Ann: 1998-11-24</t>
        </is>
      </c>
      <c r="BI3" t="inlineStr">
        <is>
          <t>Ann: 2017-01-25</t>
        </is>
      </c>
      <c r="BS3" t="inlineStr">
        <is>
          <t>Ann: 2000-04-17</t>
        </is>
      </c>
      <c r="CC3" t="inlineStr">
        <is>
          <t>Ann: 2005-07-26</t>
        </is>
      </c>
      <c r="CM3" t="inlineStr">
        <is>
          <t>Ann: 1999-10-15</t>
        </is>
      </c>
      <c r="CW3" t="inlineStr">
        <is>
          <t>Ann: 1999-10-01</t>
        </is>
      </c>
      <c r="DG3" t="inlineStr">
        <is>
          <t>Ann: 2016-02-29</t>
        </is>
      </c>
      <c r="DQ3" t="inlineStr">
        <is>
          <t>Ann: 2016-10-24</t>
        </is>
      </c>
      <c r="EA3" t="inlineStr">
        <is>
          <t>Ann: 1999-06-07</t>
        </is>
      </c>
      <c r="EK3" t="inlineStr">
        <is>
          <t>Ann: 1999-09-20</t>
        </is>
      </c>
      <c r="EU3" t="inlineStr">
        <is>
          <t>Ann: 2000-05-19</t>
        </is>
      </c>
      <c r="FE3" t="inlineStr">
        <is>
          <t>Ann: 1998-08-11</t>
        </is>
      </c>
      <c r="FO3" t="inlineStr">
        <is>
          <t>Ann: 2008-12-09</t>
        </is>
      </c>
      <c r="FY3" t="inlineStr">
        <is>
          <t>Ann: 2022-10-18</t>
        </is>
      </c>
      <c r="GI3" t="inlineStr">
        <is>
          <t>Ann: 2019-01-18</t>
        </is>
      </c>
      <c r="GS3" t="inlineStr">
        <is>
          <t>Ann: 2017-12-11</t>
        </is>
      </c>
      <c r="HC3" t="inlineStr">
        <is>
          <t>Ann: 2010-09-29</t>
        </is>
      </c>
      <c r="HM3" t="inlineStr">
        <is>
          <t>Ann: 2006-09-12</t>
        </is>
      </c>
      <c r="HW3" t="inlineStr">
        <is>
          <t>Ann: 2006-04-04</t>
        </is>
      </c>
      <c r="IG3" t="inlineStr">
        <is>
          <t>Ann: 2010-05-11</t>
        </is>
      </c>
      <c r="IQ3" t="inlineStr">
        <is>
          <t>Ann: 1998-12-03</t>
        </is>
      </c>
      <c r="JA3" t="inlineStr">
        <is>
          <t>Ann: 2007-12-12</t>
        </is>
      </c>
      <c r="JK3" t="inlineStr">
        <is>
          <t>Ann: 2017-04-27</t>
        </is>
      </c>
      <c r="JU3" t="inlineStr">
        <is>
          <t>Ann: 2000-11-20</t>
        </is>
      </c>
      <c r="KE3" t="inlineStr">
        <is>
          <t>Ann: 2003-12-09</t>
        </is>
      </c>
      <c r="KO3" t="inlineStr">
        <is>
          <t>Ann: 2013-02-20</t>
        </is>
      </c>
      <c r="KY3" t="inlineStr">
        <is>
          <t>Ann: 2009-12-18</t>
        </is>
      </c>
      <c r="LI3" t="inlineStr">
        <is>
          <t>Ann: 2016-02-04</t>
        </is>
      </c>
      <c r="LS3" t="inlineStr">
        <is>
          <t>Ann: 2000-01-14</t>
        </is>
      </c>
      <c r="MC3" t="inlineStr">
        <is>
          <t>Ann: 2007-05-29</t>
        </is>
      </c>
      <c r="MM3" t="inlineStr">
        <is>
          <t>Ann: 2003-11-20</t>
        </is>
      </c>
      <c r="MW3" t="inlineStr">
        <is>
          <t>Ann: 2002-04-30</t>
        </is>
      </c>
      <c r="NG3" t="inlineStr">
        <is>
          <t>Ann: 2004-06-17</t>
        </is>
      </c>
      <c r="NQ3" t="inlineStr">
        <is>
          <t>Ann: 2005-10-20</t>
        </is>
      </c>
      <c r="OA3" t="inlineStr">
        <is>
          <t>Ann: 2015-01-27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BDS("SWK US Equity","SUPPLY_CHAIN_SUPPLIERS","RELATIONSHIP_AS_OF_DATE","20021010")</f>
        <v/>
      </c>
      <c r="F5">
        <f>BDS("SWK US Equity","SUPPLY_CHAIN_CUSTOMERS","RELATIONSHIP_AS_OF_DATE","20021010")</f>
        <v/>
      </c>
      <c r="K5">
        <f>BDS("LZB US Equity","SUPPLY_CHAIN_SUPPLIERS","RELATIONSHIP_AS_OF_DATE","19990928")</f>
        <v/>
      </c>
      <c r="P5">
        <f>BDS("LZB US Equity","SUPPLY_CHAIN_CUSTOMERS","RELATIONSHIP_AS_OF_DATE","19990928")</f>
        <v/>
      </c>
      <c r="U5">
        <f>BDS("SBSI US Equity","SUPPLY_CHAIN_SUPPLIERS","RELATIONSHIP_AS_OF_DATE","20140429")</f>
        <v/>
      </c>
      <c r="Z5">
        <f>BDS("SBSI US Equity","SUPPLY_CHAIN_CUSTOMERS","RELATIONSHIP_AS_OF_DATE","20140429")</f>
        <v/>
      </c>
      <c r="AE5">
        <f>BDS("EXTR US Equity","SUPPLY_CHAIN_SUPPLIERS","RELATIONSHIP_AS_OF_DATE","20190626")</f>
        <v/>
      </c>
      <c r="AJ5">
        <f>BDS("EXTR US Equity","SUPPLY_CHAIN_CUSTOMERS","RELATIONSHIP_AS_OF_DATE","20190626")</f>
        <v/>
      </c>
      <c r="AO5">
        <f>BDS("SYK US Equity","SUPPLY_CHAIN_SUPPLIERS","RELATIONSHIP_AS_OF_DATE","20110516")</f>
        <v/>
      </c>
      <c r="AT5">
        <f>BDS("SYK US Equity","SUPPLY_CHAIN_CUSTOMERS","RELATIONSHIP_AS_OF_DATE","20110516")</f>
        <v/>
      </c>
      <c r="AY5">
        <f>BDS("CPPRQ US Equity","SUPPLY_CHAIN_SUPPLIERS","RELATIONSHIP_AS_OF_DATE","19981124")</f>
        <v/>
      </c>
      <c r="BD5">
        <f>BDS("CPPRQ US Equity","SUPPLY_CHAIN_CUSTOMERS","RELATIONSHIP_AS_OF_DATE","19981124")</f>
        <v/>
      </c>
      <c r="BI5">
        <f>BDS("TXT US Equity","SUPPLY_CHAIN_SUPPLIERS","RELATIONSHIP_AS_OF_DATE","20170125")</f>
        <v/>
      </c>
      <c r="BN5">
        <f>BDS("TXT US Equity","SUPPLY_CHAIN_CUSTOMERS","RELATIONSHIP_AS_OF_DATE","20170125")</f>
        <v/>
      </c>
      <c r="BS5">
        <f>BDS("MYPT US Equity","SUPPLY_CHAIN_SUPPLIERS","RELATIONSHIP_AS_OF_DATE","20000417")</f>
        <v/>
      </c>
      <c r="BX5">
        <f>BDS("MYPT US Equity","SUPPLY_CHAIN_CUSTOMERS","RELATIONSHIP_AS_OF_DATE","20000417")</f>
        <v/>
      </c>
      <c r="CC5">
        <f>BDS("FULT US Equity","SUPPLY_CHAIN_SUPPLIERS","RELATIONSHIP_AS_OF_DATE","20050726")</f>
        <v/>
      </c>
      <c r="CH5">
        <f>BDS("FULT US Equity","SUPPLY_CHAIN_CUSTOMERS","RELATIONSHIP_AS_OF_DATE","20050726")</f>
        <v/>
      </c>
      <c r="CM5">
        <f>BDS("RRA US Equity","SUPPLY_CHAIN_SUPPLIERS","RELATIONSHIP_AS_OF_DATE","19991015")</f>
        <v/>
      </c>
      <c r="CR5">
        <f>BDS("RRA US Equity","SUPPLY_CHAIN_CUSTOMERS","RELATIONSHIP_AS_OF_DATE","19991015")</f>
        <v/>
      </c>
      <c r="CW5">
        <f>BDS("K US Equity","SUPPLY_CHAIN_SUPPLIERS","RELATIONSHIP_AS_OF_DATE","19991001")</f>
        <v/>
      </c>
      <c r="DB5">
        <f>BDS("K US Equity","SUPPLY_CHAIN_CUSTOMERS","RELATIONSHIP_AS_OF_DATE","19991001")</f>
        <v/>
      </c>
      <c r="DG5">
        <f>BDS("IEP US Equity","SUPPLY_CHAIN_SUPPLIERS","RELATIONSHIP_AS_OF_DATE","20160229")</f>
        <v/>
      </c>
      <c r="DL5">
        <f>BDS("IEP US Equity","SUPPLY_CHAIN_CUSTOMERS","RELATIONSHIP_AS_OF_DATE","20160229")</f>
        <v/>
      </c>
      <c r="DQ5">
        <f>BDS("2072499D US Equity","SUPPLY_CHAIN_SUPPLIERS","RELATIONSHIP_AS_OF_DATE","20161024")</f>
        <v/>
      </c>
      <c r="DV5">
        <f>BDS("2072499D US Equity","SUPPLY_CHAIN_CUSTOMERS","RELATIONSHIP_AS_OF_DATE","20161024")</f>
        <v/>
      </c>
      <c r="EA5">
        <f>BDS("2674129Q US Equity","SUPPLY_CHAIN_SUPPLIERS","RELATIONSHIP_AS_OF_DATE","19990607")</f>
        <v/>
      </c>
      <c r="EF5">
        <f>BDS("2674129Q US Equity","SUPPLY_CHAIN_CUSTOMERS","RELATIONSHIP_AS_OF_DATE","19990607")</f>
        <v/>
      </c>
      <c r="EK5">
        <f>BDS("1288652D US Equity","SUPPLY_CHAIN_SUPPLIERS","RELATIONSHIP_AS_OF_DATE","19990920")</f>
        <v/>
      </c>
      <c r="EP5">
        <f>BDS("1288652D US Equity","SUPPLY_CHAIN_CUSTOMERS","RELATIONSHIP_AS_OF_DATE","19990920")</f>
        <v/>
      </c>
      <c r="EU5">
        <f>BDS("LNWO US Equity","SUPPLY_CHAIN_SUPPLIERS","RELATIONSHIP_AS_OF_DATE","20000519")</f>
        <v/>
      </c>
      <c r="EZ5">
        <f>BDS("LNWO US Equity","SUPPLY_CHAIN_CUSTOMERS","RELATIONSHIP_AS_OF_DATE","20000519")</f>
        <v/>
      </c>
      <c r="FE5">
        <f>BDS("KEGX US Equity","SUPPLY_CHAIN_SUPPLIERS","RELATIONSHIP_AS_OF_DATE","19980811")</f>
        <v/>
      </c>
      <c r="FJ5">
        <f>BDS("KEGX US Equity","SUPPLY_CHAIN_CUSTOMERS","RELATIONSHIP_AS_OF_DATE","19980811")</f>
        <v/>
      </c>
      <c r="FO5">
        <f>BDS("AOS US Equity","SUPPLY_CHAIN_SUPPLIERS","RELATIONSHIP_AS_OF_DATE","20081209")</f>
        <v/>
      </c>
      <c r="FT5">
        <f>BDS("AOS US Equity","SUPPLY_CHAIN_CUSTOMERS","RELATIONSHIP_AS_OF_DATE","20081209")</f>
        <v/>
      </c>
      <c r="FY5">
        <f>BDS("LLY US Equity","SUPPLY_CHAIN_SUPPLIERS","RELATIONSHIP_AS_OF_DATE","20221018")</f>
        <v/>
      </c>
      <c r="GD5">
        <f>BDS("LLY US Equity","SUPPLY_CHAIN_CUSTOMERS","RELATIONSHIP_AS_OF_DATE","20221018")</f>
        <v/>
      </c>
      <c r="GI5">
        <f>BDS("CVI US Equity","SUPPLY_CHAIN_SUPPLIERS","RELATIONSHIP_AS_OF_DATE","20190118")</f>
        <v/>
      </c>
      <c r="GN5">
        <f>BDS("CVI US Equity","SUPPLY_CHAIN_CUSTOMERS","RELATIONSHIP_AS_OF_DATE","20190118")</f>
        <v/>
      </c>
      <c r="GS5">
        <f>BDS("TCBK US Equity","SUPPLY_CHAIN_SUPPLIERS","RELATIONSHIP_AS_OF_DATE","20171211")</f>
        <v/>
      </c>
      <c r="GX5">
        <f>BDS("TCBK US Equity","SUPPLY_CHAIN_CUSTOMERS","RELATIONSHIP_AS_OF_DATE","20171211")</f>
        <v/>
      </c>
      <c r="HC5">
        <f>BDS("DHR US Equity","SUPPLY_CHAIN_SUPPLIERS","RELATIONSHIP_AS_OF_DATE","20100929")</f>
        <v/>
      </c>
      <c r="HH5">
        <f>BDS("DHR US Equity","SUPPLY_CHAIN_CUSTOMERS","RELATIONSHIP_AS_OF_DATE","20100929")</f>
        <v/>
      </c>
      <c r="HM5">
        <f>BDS("T US Equity","SUPPLY_CHAIN_SUPPLIERS","RELATIONSHIP_AS_OF_DATE","20060912")</f>
        <v/>
      </c>
      <c r="HR5">
        <f>BDS("T US Equity","SUPPLY_CHAIN_CUSTOMERS","RELATIONSHIP_AS_OF_DATE","20060912")</f>
        <v/>
      </c>
      <c r="HW5">
        <f>BDS("PMCS US Equity","SUPPLY_CHAIN_SUPPLIERS","RELATIONSHIP_AS_OF_DATE","20060404")</f>
        <v/>
      </c>
      <c r="IB5">
        <f>BDS("PMCS US Equity","SUPPLY_CHAIN_CUSTOMERS","RELATIONSHIP_AS_OF_DATE","20060404")</f>
        <v/>
      </c>
      <c r="IG5">
        <f>BDS("ET US Equity","SUPPLY_CHAIN_SUPPLIERS","RELATIONSHIP_AS_OF_DATE","20100511")</f>
        <v/>
      </c>
      <c r="IL5">
        <f>BDS("ET US Equity","SUPPLY_CHAIN_CUSTOMERS","RELATIONSHIP_AS_OF_DATE","20100511")</f>
        <v/>
      </c>
      <c r="IQ5">
        <f>BDS("ADP US Equity","SUPPLY_CHAIN_SUPPLIERS","RELATIONSHIP_AS_OF_DATE","19981203")</f>
        <v/>
      </c>
      <c r="IV5">
        <f>BDS("ADP US Equity","SUPPLY_CHAIN_CUSTOMERS","RELATIONSHIP_AS_OF_DATE","19981203")</f>
        <v/>
      </c>
      <c r="JA5">
        <f>BDS("TER US Equity","SUPPLY_CHAIN_SUPPLIERS","RELATIONSHIP_AS_OF_DATE","20071212")</f>
        <v/>
      </c>
      <c r="JF5">
        <f>BDS("TER US Equity","SUPPLY_CHAIN_CUSTOMERS","RELATIONSHIP_AS_OF_DATE","20071212")</f>
        <v/>
      </c>
      <c r="JK5">
        <f>BDS("TOWN US Equity","SUPPLY_CHAIN_SUPPLIERS","RELATIONSHIP_AS_OF_DATE","20170427")</f>
        <v/>
      </c>
      <c r="JP5">
        <f>BDS("TOWN US Equity","SUPPLY_CHAIN_CUSTOMERS","RELATIONSHIP_AS_OF_DATE","20170427")</f>
        <v/>
      </c>
      <c r="JU5">
        <f>BDS("AGCO US Equity","SUPPLY_CHAIN_SUPPLIERS","RELATIONSHIP_AS_OF_DATE","20001120")</f>
        <v/>
      </c>
      <c r="JZ5">
        <f>BDS("AGCO US Equity","SUPPLY_CHAIN_CUSTOMERS","RELATIONSHIP_AS_OF_DATE","20001120")</f>
        <v/>
      </c>
      <c r="KE5">
        <f>BDS("540513Q US Equity","SUPPLY_CHAIN_SUPPLIERS","RELATIONSHIP_AS_OF_DATE","20031209")</f>
        <v/>
      </c>
      <c r="KJ5">
        <f>BDS("540513Q US Equity","SUPPLY_CHAIN_CUSTOMERS","RELATIONSHIP_AS_OF_DATE","20031209")</f>
        <v/>
      </c>
      <c r="KO5">
        <f>BDS("SSB US Equity","SUPPLY_CHAIN_SUPPLIERS","RELATIONSHIP_AS_OF_DATE","20130220")</f>
        <v/>
      </c>
      <c r="KT5">
        <f>BDS("SSB US Equity","SUPPLY_CHAIN_CUSTOMERS","RELATIONSHIP_AS_OF_DATE","20130220")</f>
        <v/>
      </c>
      <c r="KY5">
        <f>BDS("nan Equity","SUPPLY_CHAIN_SUPPLIERS","RELATIONSHIP_AS_OF_DATE","20091218")</f>
        <v/>
      </c>
      <c r="LD5">
        <f>BDS("nan Equity","SUPPLY_CHAIN_CUSTOMERS","RELATIONSHIP_AS_OF_DATE","20091218")</f>
        <v/>
      </c>
      <c r="LI5">
        <f>BDS("FORM US Equity","SUPPLY_CHAIN_SUPPLIERS","RELATIONSHIP_AS_OF_DATE","20160204")</f>
        <v/>
      </c>
      <c r="LN5">
        <f>BDS("FORM US Equity","SUPPLY_CHAIN_CUSTOMERS","RELATIONSHIP_AS_OF_DATE","20160204")</f>
        <v/>
      </c>
      <c r="LS5">
        <f>BDS("CVOVQ US Equity","SUPPLY_CHAIN_SUPPLIERS","RELATIONSHIP_AS_OF_DATE","20000114")</f>
        <v/>
      </c>
      <c r="LX5">
        <f>BDS("CVOVQ US Equity","SUPPLY_CHAIN_CUSTOMERS","RELATIONSHIP_AS_OF_DATE","20000114")</f>
        <v/>
      </c>
      <c r="MC5">
        <f>BDS("GENZ US Equity","SUPPLY_CHAIN_SUPPLIERS","RELATIONSHIP_AS_OF_DATE","20070529")</f>
        <v/>
      </c>
      <c r="MH5">
        <f>BDS("GENZ US Equity","SUPPLY_CHAIN_CUSTOMERS","RELATIONSHIP_AS_OF_DATE","20070529")</f>
        <v/>
      </c>
      <c r="MM5">
        <f>BDS("VTR US Equity","SUPPLY_CHAIN_SUPPLIERS","RELATIONSHIP_AS_OF_DATE","20031120")</f>
        <v/>
      </c>
      <c r="MR5">
        <f>BDS("VTR US Equity","SUPPLY_CHAIN_CUSTOMERS","RELATIONSHIP_AS_OF_DATE","20031120")</f>
        <v/>
      </c>
      <c r="MW5">
        <f>BDS("FNIS US Equity","SUPPLY_CHAIN_SUPPLIERS","RELATIONSHIP_AS_OF_DATE","20020430")</f>
        <v/>
      </c>
      <c r="NB5">
        <f>BDS("FNIS US Equity","SUPPLY_CHAIN_CUSTOMERS","RELATIONSHIP_AS_OF_DATE","20020430")</f>
        <v/>
      </c>
      <c r="NG5">
        <f>BDS("8258290Q US Equity","SUPPLY_CHAIN_SUPPLIERS","RELATIONSHIP_AS_OF_DATE","20040617")</f>
        <v/>
      </c>
      <c r="NL5">
        <f>BDS("8258290Q US Equity","SUPPLY_CHAIN_CUSTOMERS","RELATIONSHIP_AS_OF_DATE","20040617")</f>
        <v/>
      </c>
      <c r="NQ5">
        <f>BDS("2258717D US Equity","SUPPLY_CHAIN_SUPPLIERS","RELATIONSHIP_AS_OF_DATE","20051020")</f>
        <v/>
      </c>
      <c r="NV5">
        <f>BDS("2258717D US Equity","SUPPLY_CHAIN_CUSTOMERS","RELATIONSHIP_AS_OF_DATE","20051020")</f>
        <v/>
      </c>
      <c r="OA5">
        <f>BDS("RRD US Equity","SUPPLY_CHAIN_SUPPLIERS","RELATIONSHIP_AS_OF_DATE","20150127")</f>
        <v/>
      </c>
      <c r="OF5">
        <f>BDS("RRD US Equity","SUPPLY_CHAIN_CUSTOMERS","RELATIONSHIP_AS_OF_DATE","20150127")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2361</t>
        </is>
      </c>
      <c r="K1" s="1" t="inlineStr">
        <is>
          <t>Deal 2362</t>
        </is>
      </c>
      <c r="U1" s="1" t="inlineStr">
        <is>
          <t>Deal 2363</t>
        </is>
      </c>
      <c r="AE1" s="1" t="inlineStr">
        <is>
          <t>Deal 2364</t>
        </is>
      </c>
      <c r="AO1" s="1" t="inlineStr">
        <is>
          <t>Deal 2365</t>
        </is>
      </c>
      <c r="AY1" s="1" t="inlineStr">
        <is>
          <t>Deal 2366</t>
        </is>
      </c>
      <c r="BI1" s="1" t="inlineStr">
        <is>
          <t>Deal 2367</t>
        </is>
      </c>
      <c r="BS1" s="1" t="inlineStr">
        <is>
          <t>Deal 2368</t>
        </is>
      </c>
      <c r="CC1" s="1" t="inlineStr">
        <is>
          <t>Deal 2369</t>
        </is>
      </c>
      <c r="CM1" s="1" t="inlineStr">
        <is>
          <t>Deal 2370</t>
        </is>
      </c>
      <c r="CW1" s="1" t="inlineStr">
        <is>
          <t>Deal 2371</t>
        </is>
      </c>
      <c r="DG1" s="1" t="inlineStr">
        <is>
          <t>Deal 2372</t>
        </is>
      </c>
      <c r="DQ1" s="1" t="inlineStr">
        <is>
          <t>Deal 2373</t>
        </is>
      </c>
      <c r="EA1" s="1" t="inlineStr">
        <is>
          <t>Deal 2374</t>
        </is>
      </c>
      <c r="EK1" s="1" t="inlineStr">
        <is>
          <t>Deal 2375</t>
        </is>
      </c>
      <c r="EU1" s="1" t="inlineStr">
        <is>
          <t>Deal 2376</t>
        </is>
      </c>
      <c r="FE1" s="1" t="inlineStr">
        <is>
          <t>Deal 2377</t>
        </is>
      </c>
      <c r="FO1" s="1" t="inlineStr">
        <is>
          <t>Deal 2378</t>
        </is>
      </c>
      <c r="FY1" s="1" t="inlineStr">
        <is>
          <t>Deal 2379</t>
        </is>
      </c>
      <c r="GI1" s="1" t="inlineStr">
        <is>
          <t>Deal 2380</t>
        </is>
      </c>
      <c r="GS1" s="1" t="inlineStr">
        <is>
          <t>Deal 2381</t>
        </is>
      </c>
      <c r="HC1" s="1" t="inlineStr">
        <is>
          <t>Deal 2382</t>
        </is>
      </c>
      <c r="HM1" s="1" t="inlineStr">
        <is>
          <t>Deal 2383</t>
        </is>
      </c>
      <c r="HW1" s="1" t="inlineStr">
        <is>
          <t>Deal 2384</t>
        </is>
      </c>
      <c r="IG1" s="1" t="inlineStr">
        <is>
          <t>Deal 2385</t>
        </is>
      </c>
      <c r="IQ1" s="1" t="inlineStr">
        <is>
          <t>Deal 2386</t>
        </is>
      </c>
      <c r="JA1" s="1" t="inlineStr">
        <is>
          <t>Deal 2387</t>
        </is>
      </c>
      <c r="JK1" s="1" t="inlineStr">
        <is>
          <t>Deal 2388</t>
        </is>
      </c>
      <c r="JU1" s="1" t="inlineStr">
        <is>
          <t>Deal 2389</t>
        </is>
      </c>
      <c r="KE1" s="1" t="inlineStr">
        <is>
          <t>Deal 2390</t>
        </is>
      </c>
      <c r="KO1" s="1" t="inlineStr">
        <is>
          <t>Deal 2391</t>
        </is>
      </c>
      <c r="KY1" s="1" t="inlineStr">
        <is>
          <t>Deal 2392</t>
        </is>
      </c>
      <c r="LI1" s="1" t="inlineStr">
        <is>
          <t>Deal 2393</t>
        </is>
      </c>
      <c r="LS1" s="1" t="inlineStr">
        <is>
          <t>Deal 2394</t>
        </is>
      </c>
      <c r="MC1" s="1" t="inlineStr">
        <is>
          <t>Deal 2395</t>
        </is>
      </c>
      <c r="MM1" s="1" t="inlineStr">
        <is>
          <t>Deal 2396</t>
        </is>
      </c>
      <c r="MW1" s="1" t="inlineStr">
        <is>
          <t>Deal 2397</t>
        </is>
      </c>
      <c r="NG1" s="1" t="inlineStr">
        <is>
          <t>Deal 2398</t>
        </is>
      </c>
      <c r="NQ1" s="1" t="inlineStr">
        <is>
          <t>Deal 2399</t>
        </is>
      </c>
      <c r="OA1" s="1" t="inlineStr">
        <is>
          <t>Deal 2400</t>
        </is>
      </c>
    </row>
    <row r="2">
      <c r="A2" s="2" t="inlineStr">
        <is>
          <t>ICII US Equity</t>
        </is>
      </c>
      <c r="K2" s="2" t="inlineStr">
        <is>
          <t>GDT US Equity</t>
        </is>
      </c>
      <c r="U2" s="2" t="inlineStr">
        <is>
          <t>SNPS US Equity</t>
        </is>
      </c>
      <c r="AE2" s="2" t="inlineStr">
        <is>
          <t>STLD US Equity</t>
        </is>
      </c>
      <c r="AO2" s="2" t="inlineStr">
        <is>
          <t>1996074D US Equity</t>
        </is>
      </c>
      <c r="AY2" s="2" t="inlineStr">
        <is>
          <t>COV US Equity</t>
        </is>
      </c>
      <c r="BI2" s="2" t="inlineStr">
        <is>
          <t>3075558Q US Equity</t>
        </is>
      </c>
      <c r="BS2" s="2" t="inlineStr">
        <is>
          <t>1920486D US Equity</t>
        </is>
      </c>
      <c r="CC2" s="2" t="inlineStr">
        <is>
          <t>nan Equity</t>
        </is>
      </c>
      <c r="CM2" s="2" t="inlineStr">
        <is>
          <t>GNK US Equity</t>
        </is>
      </c>
      <c r="CW2" s="2" t="inlineStr">
        <is>
          <t>HAFC US Equity</t>
        </is>
      </c>
      <c r="DG2" s="2" t="inlineStr">
        <is>
          <t>AMAT US Equity</t>
        </is>
      </c>
      <c r="DQ2" s="2" t="inlineStr">
        <is>
          <t>PPC US Equity</t>
        </is>
      </c>
      <c r="EA2" s="2" t="inlineStr">
        <is>
          <t>PEBO US Equity</t>
        </is>
      </c>
      <c r="EK2" s="2" t="inlineStr">
        <is>
          <t>HON US Equity</t>
        </is>
      </c>
      <c r="EU2" s="2" t="inlineStr">
        <is>
          <t>PRSU US Equity</t>
        </is>
      </c>
      <c r="FE2" s="2" t="inlineStr">
        <is>
          <t>FITB US Equity</t>
        </is>
      </c>
      <c r="FO2" s="2" t="inlineStr">
        <is>
          <t>XRX US Equity</t>
        </is>
      </c>
      <c r="FY2" s="2" t="inlineStr">
        <is>
          <t>2596516D US Equity</t>
        </is>
      </c>
      <c r="GI2" s="2" t="inlineStr">
        <is>
          <t>BMC US Equity</t>
        </is>
      </c>
      <c r="GS2" s="2" t="inlineStr">
        <is>
          <t>FRME US Equity</t>
        </is>
      </c>
      <c r="HC2" s="2" t="inlineStr">
        <is>
          <t>UPBD US Equity</t>
        </is>
      </c>
      <c r="HM2" s="2" t="inlineStr">
        <is>
          <t>PBKS US Equity</t>
        </is>
      </c>
      <c r="HW2" s="2" t="inlineStr">
        <is>
          <t>FSH US Equity</t>
        </is>
      </c>
      <c r="IG2" s="2" t="inlineStr">
        <is>
          <t>ANSS US Equity</t>
        </is>
      </c>
      <c r="IQ2" s="2" t="inlineStr">
        <is>
          <t>ITW US Equity</t>
        </is>
      </c>
      <c r="JA2" s="2" t="inlineStr">
        <is>
          <t>CDNS US Equity</t>
        </is>
      </c>
      <c r="JK2" s="2" t="inlineStr">
        <is>
          <t>1023761D US Equity</t>
        </is>
      </c>
      <c r="JU2" s="2" t="inlineStr">
        <is>
          <t>0941825D US Equity</t>
        </is>
      </c>
      <c r="KE2" s="2" t="inlineStr">
        <is>
          <t>GLK US Equity</t>
        </is>
      </c>
      <c r="KO2" s="2" t="inlineStr">
        <is>
          <t>MCDTA US Equity</t>
        </is>
      </c>
      <c r="KY2" s="2" t="inlineStr">
        <is>
          <t>2313711D US Equity</t>
        </is>
      </c>
      <c r="LI2" s="2" t="inlineStr">
        <is>
          <t>GE US Equity</t>
        </is>
      </c>
      <c r="LS2" s="2" t="inlineStr">
        <is>
          <t>CRI US Equity</t>
        </is>
      </c>
      <c r="MC2" s="2" t="inlineStr">
        <is>
          <t>HAL US Equity</t>
        </is>
      </c>
      <c r="MM2" s="2" t="inlineStr">
        <is>
          <t>ACH US Equity</t>
        </is>
      </c>
      <c r="MW2" s="2" t="inlineStr">
        <is>
          <t>COLB US Equity</t>
        </is>
      </c>
      <c r="NG2" s="2" t="inlineStr">
        <is>
          <t>AME US Equity</t>
        </is>
      </c>
      <c r="NQ2" s="2" t="inlineStr">
        <is>
          <t>9993232D US Equity</t>
        </is>
      </c>
      <c r="OA2" s="2" t="inlineStr">
        <is>
          <t>0687288D US Equity</t>
        </is>
      </c>
    </row>
    <row r="3">
      <c r="A3" t="inlineStr">
        <is>
          <t>Ann: 1999-05-13</t>
        </is>
      </c>
      <c r="K3" t="inlineStr">
        <is>
          <t>Ann: 1999-08-30</t>
        </is>
      </c>
      <c r="U3" t="inlineStr">
        <is>
          <t>Ann: 2010-06-10</t>
        </is>
      </c>
      <c r="AE3" t="inlineStr">
        <is>
          <t>Ann: 2005-10-18</t>
        </is>
      </c>
      <c r="AO3" t="inlineStr">
        <is>
          <t>Ann: 1998-03-02</t>
        </is>
      </c>
      <c r="AY3" t="inlineStr">
        <is>
          <t>Ann: 2010-06-16</t>
        </is>
      </c>
      <c r="BI3" t="inlineStr">
        <is>
          <t>Ann: 1999-02-18</t>
        </is>
      </c>
      <c r="BS3" t="inlineStr">
        <is>
          <t>Ann: 2005-06-28</t>
        </is>
      </c>
      <c r="CC3" t="inlineStr">
        <is>
          <t>Ann: 2018-10-08</t>
        </is>
      </c>
      <c r="CM3" t="inlineStr">
        <is>
          <t>Ann: 2015-04-08</t>
        </is>
      </c>
      <c r="CW3" t="inlineStr">
        <is>
          <t>Ann: 2003-12-22</t>
        </is>
      </c>
      <c r="DG3" t="inlineStr">
        <is>
          <t>Ann: 2006-05-04</t>
        </is>
      </c>
      <c r="DQ3" t="inlineStr">
        <is>
          <t>Ann: 2000-09-27</t>
        </is>
      </c>
      <c r="EA3" t="inlineStr">
        <is>
          <t>Ann: 2021-03-29</t>
        </is>
      </c>
      <c r="EK3" t="inlineStr">
        <is>
          <t>Ann: 1999-11-01</t>
        </is>
      </c>
      <c r="EU3" t="inlineStr">
        <is>
          <t>Ann: 1998-04-06</t>
        </is>
      </c>
      <c r="FE3" t="inlineStr">
        <is>
          <t>Ann: 2002-07-24</t>
        </is>
      </c>
      <c r="FO3" t="inlineStr">
        <is>
          <t>Ann: 1998-03-05</t>
        </is>
      </c>
      <c r="FY3" t="inlineStr">
        <is>
          <t>Ann: 2007-10-31</t>
        </is>
      </c>
      <c r="GI3" t="inlineStr">
        <is>
          <t>Ann: 1998-02-02</t>
        </is>
      </c>
      <c r="GS3" t="inlineStr">
        <is>
          <t>Ann: 2018-10-10</t>
        </is>
      </c>
      <c r="HC3" t="inlineStr">
        <is>
          <t>Ann: 2006-08-08</t>
        </is>
      </c>
      <c r="HM3" t="inlineStr">
        <is>
          <t>Ann: 2003-11-03</t>
        </is>
      </c>
      <c r="HW3" t="inlineStr">
        <is>
          <t>Ann: 2006-03-16</t>
        </is>
      </c>
      <c r="IG3" t="inlineStr">
        <is>
          <t>Ann: 2011-06-30</t>
        </is>
      </c>
      <c r="IQ3" t="inlineStr">
        <is>
          <t>Ann: 2006-09-05</t>
        </is>
      </c>
      <c r="JA3" t="inlineStr">
        <is>
          <t>Ann: 1998-12-09</t>
        </is>
      </c>
      <c r="JK3" t="inlineStr">
        <is>
          <t>Ann: 2012-02-06</t>
        </is>
      </c>
      <c r="JU3" t="inlineStr">
        <is>
          <t>Ann: 2001-01-16</t>
        </is>
      </c>
      <c r="KE3" t="inlineStr">
        <is>
          <t>Ann: 1999-03-11</t>
        </is>
      </c>
      <c r="KO3" t="inlineStr">
        <is>
          <t>Ann: 2005-01-18</t>
        </is>
      </c>
      <c r="KY3" t="inlineStr">
        <is>
          <t>Ann: 2000-08-24</t>
        </is>
      </c>
      <c r="LI3" t="inlineStr">
        <is>
          <t>Ann: 2002-11-04</t>
        </is>
      </c>
      <c r="LS3" t="inlineStr">
        <is>
          <t>Ann: 2005-05-10</t>
        </is>
      </c>
      <c r="MC3" t="inlineStr">
        <is>
          <t>Ann: 2010-04-10</t>
        </is>
      </c>
      <c r="MM3" t="inlineStr">
        <is>
          <t>Ann: 2014-06-25</t>
        </is>
      </c>
      <c r="MW3" t="inlineStr">
        <is>
          <t>Ann: 2021-06-23</t>
        </is>
      </c>
      <c r="NG3" t="inlineStr">
        <is>
          <t>Ann: 2014-04-11</t>
        </is>
      </c>
      <c r="NQ3" t="inlineStr">
        <is>
          <t>Ann: 2013-12-23</t>
        </is>
      </c>
      <c r="OA3" t="inlineStr">
        <is>
          <t>Ann: 1999-03-10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BDS("ICII US Equity","SUPPLY_CHAIN_SUPPLIERS","RELATIONSHIP_AS_OF_DATE","19990513")</f>
        <v/>
      </c>
      <c r="F5">
        <f>BDS("ICII US Equity","SUPPLY_CHAIN_CUSTOMERS","RELATIONSHIP_AS_OF_DATE","19990513")</f>
        <v/>
      </c>
      <c r="K5">
        <f>BDS("GDT US Equity","SUPPLY_CHAIN_SUPPLIERS","RELATIONSHIP_AS_OF_DATE","19990830")</f>
        <v/>
      </c>
      <c r="P5">
        <f>BDS("GDT US Equity","SUPPLY_CHAIN_CUSTOMERS","RELATIONSHIP_AS_OF_DATE","19990830")</f>
        <v/>
      </c>
      <c r="U5">
        <f>BDS("SNPS US Equity","SUPPLY_CHAIN_SUPPLIERS","RELATIONSHIP_AS_OF_DATE","20100610")</f>
        <v/>
      </c>
      <c r="Z5">
        <f>BDS("SNPS US Equity","SUPPLY_CHAIN_CUSTOMERS","RELATIONSHIP_AS_OF_DATE","20100610")</f>
        <v/>
      </c>
      <c r="AE5">
        <f>BDS("STLD US Equity","SUPPLY_CHAIN_SUPPLIERS","RELATIONSHIP_AS_OF_DATE","20051018")</f>
        <v/>
      </c>
      <c r="AJ5">
        <f>BDS("STLD US Equity","SUPPLY_CHAIN_CUSTOMERS","RELATIONSHIP_AS_OF_DATE","20051018")</f>
        <v/>
      </c>
      <c r="AO5">
        <f>BDS("1996074D US Equity","SUPPLY_CHAIN_SUPPLIERS","RELATIONSHIP_AS_OF_DATE","19980302")</f>
        <v/>
      </c>
      <c r="AT5">
        <f>BDS("1996074D US Equity","SUPPLY_CHAIN_CUSTOMERS","RELATIONSHIP_AS_OF_DATE","19980302")</f>
        <v/>
      </c>
      <c r="AY5">
        <f>BDS("COV US Equity","SUPPLY_CHAIN_SUPPLIERS","RELATIONSHIP_AS_OF_DATE","20100616")</f>
        <v/>
      </c>
      <c r="BD5">
        <f>BDS("COV US Equity","SUPPLY_CHAIN_CUSTOMERS","RELATIONSHIP_AS_OF_DATE","20100616")</f>
        <v/>
      </c>
      <c r="BI5">
        <f>BDS("3075558Q US Equity","SUPPLY_CHAIN_SUPPLIERS","RELATIONSHIP_AS_OF_DATE","19990218")</f>
        <v/>
      </c>
      <c r="BN5">
        <f>BDS("3075558Q US Equity","SUPPLY_CHAIN_CUSTOMERS","RELATIONSHIP_AS_OF_DATE","19990218")</f>
        <v/>
      </c>
      <c r="BS5">
        <f>BDS("1920486D US Equity","SUPPLY_CHAIN_SUPPLIERS","RELATIONSHIP_AS_OF_DATE","20050628")</f>
        <v/>
      </c>
      <c r="BX5">
        <f>BDS("1920486D US Equity","SUPPLY_CHAIN_CUSTOMERS","RELATIONSHIP_AS_OF_DATE","20050628")</f>
        <v/>
      </c>
      <c r="CC5">
        <f>BDS("nan Equity","SUPPLY_CHAIN_SUPPLIERS","RELATIONSHIP_AS_OF_DATE","20181008")</f>
        <v/>
      </c>
      <c r="CH5">
        <f>BDS("nan Equity","SUPPLY_CHAIN_CUSTOMERS","RELATIONSHIP_AS_OF_DATE","20181008")</f>
        <v/>
      </c>
      <c r="CM5">
        <f>BDS("GNK US Equity","SUPPLY_CHAIN_SUPPLIERS","RELATIONSHIP_AS_OF_DATE","20150408")</f>
        <v/>
      </c>
      <c r="CR5">
        <f>BDS("GNK US Equity","SUPPLY_CHAIN_CUSTOMERS","RELATIONSHIP_AS_OF_DATE","20150408")</f>
        <v/>
      </c>
      <c r="CW5">
        <f>BDS("HAFC US Equity","SUPPLY_CHAIN_SUPPLIERS","RELATIONSHIP_AS_OF_DATE","20031222")</f>
        <v/>
      </c>
      <c r="DB5">
        <f>BDS("HAFC US Equity","SUPPLY_CHAIN_CUSTOMERS","RELATIONSHIP_AS_OF_DATE","20031222")</f>
        <v/>
      </c>
      <c r="DG5">
        <f>BDS("AMAT US Equity","SUPPLY_CHAIN_SUPPLIERS","RELATIONSHIP_AS_OF_DATE","20060504")</f>
        <v/>
      </c>
      <c r="DL5">
        <f>BDS("AMAT US Equity","SUPPLY_CHAIN_CUSTOMERS","RELATIONSHIP_AS_OF_DATE","20060504")</f>
        <v/>
      </c>
      <c r="DQ5">
        <f>BDS("PPC US Equity","SUPPLY_CHAIN_SUPPLIERS","RELATIONSHIP_AS_OF_DATE","20000927")</f>
        <v/>
      </c>
      <c r="DV5">
        <f>BDS("PPC US Equity","SUPPLY_CHAIN_CUSTOMERS","RELATIONSHIP_AS_OF_DATE","20000927")</f>
        <v/>
      </c>
      <c r="EA5">
        <f>BDS("PEBO US Equity","SUPPLY_CHAIN_SUPPLIERS","RELATIONSHIP_AS_OF_DATE","20210329")</f>
        <v/>
      </c>
      <c r="EF5">
        <f>BDS("PEBO US Equity","SUPPLY_CHAIN_CUSTOMERS","RELATIONSHIP_AS_OF_DATE","20210329")</f>
        <v/>
      </c>
      <c r="EK5">
        <f>BDS("HON US Equity","SUPPLY_CHAIN_SUPPLIERS","RELATIONSHIP_AS_OF_DATE","19991101")</f>
        <v/>
      </c>
      <c r="EP5">
        <f>BDS("HON US Equity","SUPPLY_CHAIN_CUSTOMERS","RELATIONSHIP_AS_OF_DATE","19991101")</f>
        <v/>
      </c>
      <c r="EU5">
        <f>BDS("PRSU US Equity","SUPPLY_CHAIN_SUPPLIERS","RELATIONSHIP_AS_OF_DATE","19980406")</f>
        <v/>
      </c>
      <c r="EZ5">
        <f>BDS("PRSU US Equity","SUPPLY_CHAIN_CUSTOMERS","RELATIONSHIP_AS_OF_DATE","19980406")</f>
        <v/>
      </c>
      <c r="FE5">
        <f>BDS("FITB US Equity","SUPPLY_CHAIN_SUPPLIERS","RELATIONSHIP_AS_OF_DATE","20020724")</f>
        <v/>
      </c>
      <c r="FJ5">
        <f>BDS("FITB US Equity","SUPPLY_CHAIN_CUSTOMERS","RELATIONSHIP_AS_OF_DATE","20020724")</f>
        <v/>
      </c>
      <c r="FO5">
        <f>BDS("XRX US Equity","SUPPLY_CHAIN_SUPPLIERS","RELATIONSHIP_AS_OF_DATE","19980305")</f>
        <v/>
      </c>
      <c r="FT5">
        <f>BDS("XRX US Equity","SUPPLY_CHAIN_CUSTOMERS","RELATIONSHIP_AS_OF_DATE","19980305")</f>
        <v/>
      </c>
      <c r="FY5">
        <f>BDS("2596516D US Equity","SUPPLY_CHAIN_SUPPLIERS","RELATIONSHIP_AS_OF_DATE","20071031")</f>
        <v/>
      </c>
      <c r="GD5">
        <f>BDS("2596516D US Equity","SUPPLY_CHAIN_CUSTOMERS","RELATIONSHIP_AS_OF_DATE","20071031")</f>
        <v/>
      </c>
      <c r="GI5">
        <f>BDS("BMC US Equity","SUPPLY_CHAIN_SUPPLIERS","RELATIONSHIP_AS_OF_DATE","19980202")</f>
        <v/>
      </c>
      <c r="GN5">
        <f>BDS("BMC US Equity","SUPPLY_CHAIN_CUSTOMERS","RELATIONSHIP_AS_OF_DATE","19980202")</f>
        <v/>
      </c>
      <c r="GS5">
        <f>BDS("FRME US Equity","SUPPLY_CHAIN_SUPPLIERS","RELATIONSHIP_AS_OF_DATE","20181010")</f>
        <v/>
      </c>
      <c r="GX5">
        <f>BDS("FRME US Equity","SUPPLY_CHAIN_CUSTOMERS","RELATIONSHIP_AS_OF_DATE","20181010")</f>
        <v/>
      </c>
      <c r="HC5">
        <f>BDS("UPBD US Equity","SUPPLY_CHAIN_SUPPLIERS","RELATIONSHIP_AS_OF_DATE","20060808")</f>
        <v/>
      </c>
      <c r="HH5">
        <f>BDS("UPBD US Equity","SUPPLY_CHAIN_CUSTOMERS","RELATIONSHIP_AS_OF_DATE","20060808")</f>
        <v/>
      </c>
      <c r="HM5">
        <f>BDS("PBKS US Equity","SUPPLY_CHAIN_SUPPLIERS","RELATIONSHIP_AS_OF_DATE","20031103")</f>
        <v/>
      </c>
      <c r="HR5">
        <f>BDS("PBKS US Equity","SUPPLY_CHAIN_CUSTOMERS","RELATIONSHIP_AS_OF_DATE","20031103")</f>
        <v/>
      </c>
      <c r="HW5">
        <f>BDS("FSH US Equity","SUPPLY_CHAIN_SUPPLIERS","RELATIONSHIP_AS_OF_DATE","20060316")</f>
        <v/>
      </c>
      <c r="IB5">
        <f>BDS("FSH US Equity","SUPPLY_CHAIN_CUSTOMERS","RELATIONSHIP_AS_OF_DATE","20060316")</f>
        <v/>
      </c>
      <c r="IG5">
        <f>BDS("ANSS US Equity","SUPPLY_CHAIN_SUPPLIERS","RELATIONSHIP_AS_OF_DATE","20110630")</f>
        <v/>
      </c>
      <c r="IL5">
        <f>BDS("ANSS US Equity","SUPPLY_CHAIN_CUSTOMERS","RELATIONSHIP_AS_OF_DATE","20110630")</f>
        <v/>
      </c>
      <c r="IQ5">
        <f>BDS("ITW US Equity","SUPPLY_CHAIN_SUPPLIERS","RELATIONSHIP_AS_OF_DATE","20060905")</f>
        <v/>
      </c>
      <c r="IV5">
        <f>BDS("ITW US Equity","SUPPLY_CHAIN_CUSTOMERS","RELATIONSHIP_AS_OF_DATE","20060905")</f>
        <v/>
      </c>
      <c r="JA5">
        <f>BDS("CDNS US Equity","SUPPLY_CHAIN_SUPPLIERS","RELATIONSHIP_AS_OF_DATE","19981209")</f>
        <v/>
      </c>
      <c r="JF5">
        <f>BDS("CDNS US Equity","SUPPLY_CHAIN_CUSTOMERS","RELATIONSHIP_AS_OF_DATE","19981209")</f>
        <v/>
      </c>
      <c r="JK5">
        <f>BDS("1023761D US Equity","SUPPLY_CHAIN_SUPPLIERS","RELATIONSHIP_AS_OF_DATE","20120206")</f>
        <v/>
      </c>
      <c r="JP5">
        <f>BDS("1023761D US Equity","SUPPLY_CHAIN_CUSTOMERS","RELATIONSHIP_AS_OF_DATE","20120206")</f>
        <v/>
      </c>
      <c r="JU5">
        <f>BDS("0941825D US Equity","SUPPLY_CHAIN_SUPPLIERS","RELATIONSHIP_AS_OF_DATE","20010116")</f>
        <v/>
      </c>
      <c r="JZ5">
        <f>BDS("0941825D US Equity","SUPPLY_CHAIN_CUSTOMERS","RELATIONSHIP_AS_OF_DATE","20010116")</f>
        <v/>
      </c>
      <c r="KE5">
        <f>BDS("GLK US Equity","SUPPLY_CHAIN_SUPPLIERS","RELATIONSHIP_AS_OF_DATE","19990311")</f>
        <v/>
      </c>
      <c r="KJ5">
        <f>BDS("GLK US Equity","SUPPLY_CHAIN_CUSTOMERS","RELATIONSHIP_AS_OF_DATE","19990311")</f>
        <v/>
      </c>
      <c r="KO5">
        <f>BDS("MCDTA US Equity","SUPPLY_CHAIN_SUPPLIERS","RELATIONSHIP_AS_OF_DATE","20050118")</f>
        <v/>
      </c>
      <c r="KT5">
        <f>BDS("MCDTA US Equity","SUPPLY_CHAIN_CUSTOMERS","RELATIONSHIP_AS_OF_DATE","20050118")</f>
        <v/>
      </c>
      <c r="KY5">
        <f>BDS("2313711D US Equity","SUPPLY_CHAIN_SUPPLIERS","RELATIONSHIP_AS_OF_DATE","20000824")</f>
        <v/>
      </c>
      <c r="LD5">
        <f>BDS("2313711D US Equity","SUPPLY_CHAIN_CUSTOMERS","RELATIONSHIP_AS_OF_DATE","20000824")</f>
        <v/>
      </c>
      <c r="LI5">
        <f>BDS("GE US Equity","SUPPLY_CHAIN_SUPPLIERS","RELATIONSHIP_AS_OF_DATE","20021104")</f>
        <v/>
      </c>
      <c r="LN5">
        <f>BDS("GE US Equity","SUPPLY_CHAIN_CUSTOMERS","RELATIONSHIP_AS_OF_DATE","20021104")</f>
        <v/>
      </c>
      <c r="LS5">
        <f>BDS("CRI US Equity","SUPPLY_CHAIN_SUPPLIERS","RELATIONSHIP_AS_OF_DATE","20050510")</f>
        <v/>
      </c>
      <c r="LX5">
        <f>BDS("CRI US Equity","SUPPLY_CHAIN_CUSTOMERS","RELATIONSHIP_AS_OF_DATE","20050510")</f>
        <v/>
      </c>
      <c r="MC5">
        <f>BDS("HAL US Equity","SUPPLY_CHAIN_SUPPLIERS","RELATIONSHIP_AS_OF_DATE","20100410")</f>
        <v/>
      </c>
      <c r="MH5">
        <f>BDS("HAL US Equity","SUPPLY_CHAIN_CUSTOMERS","RELATIONSHIP_AS_OF_DATE","20100410")</f>
        <v/>
      </c>
      <c r="MM5">
        <f>BDS("ACH US Equity","SUPPLY_CHAIN_SUPPLIERS","RELATIONSHIP_AS_OF_DATE","20140625")</f>
        <v/>
      </c>
      <c r="MR5">
        <f>BDS("ACH US Equity","SUPPLY_CHAIN_CUSTOMERS","RELATIONSHIP_AS_OF_DATE","20140625")</f>
        <v/>
      </c>
      <c r="MW5">
        <f>BDS("COLB US Equity","SUPPLY_CHAIN_SUPPLIERS","RELATIONSHIP_AS_OF_DATE","20210623")</f>
        <v/>
      </c>
      <c r="NB5">
        <f>BDS("COLB US Equity","SUPPLY_CHAIN_CUSTOMERS","RELATIONSHIP_AS_OF_DATE","20210623")</f>
        <v/>
      </c>
      <c r="NG5">
        <f>BDS("AME US Equity","SUPPLY_CHAIN_SUPPLIERS","RELATIONSHIP_AS_OF_DATE","20140411")</f>
        <v/>
      </c>
      <c r="NL5">
        <f>BDS("AME US Equity","SUPPLY_CHAIN_CUSTOMERS","RELATIONSHIP_AS_OF_DATE","20140411")</f>
        <v/>
      </c>
      <c r="NQ5">
        <f>BDS("9993232D US Equity","SUPPLY_CHAIN_SUPPLIERS","RELATIONSHIP_AS_OF_DATE","20131223")</f>
        <v/>
      </c>
      <c r="NV5">
        <f>BDS("9993232D US Equity","SUPPLY_CHAIN_CUSTOMERS","RELATIONSHIP_AS_OF_DATE","20131223")</f>
        <v/>
      </c>
      <c r="OA5">
        <f>BDS("0687288D US Equity","SUPPLY_CHAIN_SUPPLIERS","RELATIONSHIP_AS_OF_DATE","19990310")</f>
        <v/>
      </c>
      <c r="OF5">
        <f>BDS("0687288D US Equity","SUPPLY_CHAIN_CUSTOMERS","RELATIONSHIP_AS_OF_DATE","19990310")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2401</t>
        </is>
      </c>
      <c r="K1" s="1" t="inlineStr">
        <is>
          <t>Deal 2402</t>
        </is>
      </c>
      <c r="U1" s="1" t="inlineStr">
        <is>
          <t>Deal 2403</t>
        </is>
      </c>
      <c r="AE1" s="1" t="inlineStr">
        <is>
          <t>Deal 2404</t>
        </is>
      </c>
      <c r="AO1" s="1" t="inlineStr">
        <is>
          <t>Deal 2405</t>
        </is>
      </c>
      <c r="AY1" s="1" t="inlineStr">
        <is>
          <t>Deal 2406</t>
        </is>
      </c>
      <c r="BI1" s="1" t="inlineStr">
        <is>
          <t>Deal 2407</t>
        </is>
      </c>
      <c r="BS1" s="1" t="inlineStr">
        <is>
          <t>Deal 2408</t>
        </is>
      </c>
      <c r="CC1" s="1" t="inlineStr">
        <is>
          <t>Deal 2409</t>
        </is>
      </c>
      <c r="CM1" s="1" t="inlineStr">
        <is>
          <t>Deal 2410</t>
        </is>
      </c>
      <c r="CW1" s="1" t="inlineStr">
        <is>
          <t>Deal 2411</t>
        </is>
      </c>
      <c r="DG1" s="1" t="inlineStr">
        <is>
          <t>Deal 2412</t>
        </is>
      </c>
      <c r="DQ1" s="1" t="inlineStr">
        <is>
          <t>Deal 2413</t>
        </is>
      </c>
      <c r="EA1" s="1" t="inlineStr">
        <is>
          <t>Deal 2414</t>
        </is>
      </c>
      <c r="EK1" s="1" t="inlineStr">
        <is>
          <t>Deal 2415</t>
        </is>
      </c>
      <c r="EU1" s="1" t="inlineStr">
        <is>
          <t>Deal 2416</t>
        </is>
      </c>
      <c r="FE1" s="1" t="inlineStr">
        <is>
          <t>Deal 2417</t>
        </is>
      </c>
      <c r="FO1" s="1" t="inlineStr">
        <is>
          <t>Deal 2418</t>
        </is>
      </c>
      <c r="FY1" s="1" t="inlineStr">
        <is>
          <t>Deal 2419</t>
        </is>
      </c>
      <c r="GI1" s="1" t="inlineStr">
        <is>
          <t>Deal 2420</t>
        </is>
      </c>
      <c r="GS1" s="1" t="inlineStr">
        <is>
          <t>Deal 2421</t>
        </is>
      </c>
      <c r="HC1" s="1" t="inlineStr">
        <is>
          <t>Deal 2422</t>
        </is>
      </c>
      <c r="HM1" s="1" t="inlineStr">
        <is>
          <t>Deal 2423</t>
        </is>
      </c>
      <c r="HW1" s="1" t="inlineStr">
        <is>
          <t>Deal 2424</t>
        </is>
      </c>
      <c r="IG1" s="1" t="inlineStr">
        <is>
          <t>Deal 2425</t>
        </is>
      </c>
      <c r="IQ1" s="1" t="inlineStr">
        <is>
          <t>Deal 2426</t>
        </is>
      </c>
      <c r="JA1" s="1" t="inlineStr">
        <is>
          <t>Deal 2427</t>
        </is>
      </c>
      <c r="JK1" s="1" t="inlineStr">
        <is>
          <t>Deal 2428</t>
        </is>
      </c>
      <c r="JU1" s="1" t="inlineStr">
        <is>
          <t>Deal 2429</t>
        </is>
      </c>
      <c r="KE1" s="1" t="inlineStr">
        <is>
          <t>Deal 2430</t>
        </is>
      </c>
      <c r="KO1" s="1" t="inlineStr">
        <is>
          <t>Deal 2431</t>
        </is>
      </c>
      <c r="KY1" s="1" t="inlineStr">
        <is>
          <t>Deal 2432</t>
        </is>
      </c>
      <c r="LI1" s="1" t="inlineStr">
        <is>
          <t>Deal 2433</t>
        </is>
      </c>
      <c r="LS1" s="1" t="inlineStr">
        <is>
          <t>Deal 2434</t>
        </is>
      </c>
      <c r="MC1" s="1" t="inlineStr">
        <is>
          <t>Deal 2435</t>
        </is>
      </c>
      <c r="MM1" s="1" t="inlineStr">
        <is>
          <t>Deal 2436</t>
        </is>
      </c>
      <c r="MW1" s="1" t="inlineStr">
        <is>
          <t>Deal 2437</t>
        </is>
      </c>
      <c r="NG1" s="1" t="inlineStr">
        <is>
          <t>Deal 2438</t>
        </is>
      </c>
      <c r="NQ1" s="1" t="inlineStr">
        <is>
          <t>Deal 2439</t>
        </is>
      </c>
      <c r="OA1" s="1" t="inlineStr">
        <is>
          <t>Deal 2440</t>
        </is>
      </c>
    </row>
    <row r="2">
      <c r="A2" s="2" t="inlineStr">
        <is>
          <t>BHE US Equity</t>
        </is>
      </c>
      <c r="K2" s="2" t="inlineStr">
        <is>
          <t>BAX US Equity</t>
        </is>
      </c>
      <c r="U2" s="2" t="inlineStr">
        <is>
          <t>TER US Equity</t>
        </is>
      </c>
      <c r="AE2" s="2" t="inlineStr">
        <is>
          <t>1567696D US Equity</t>
        </is>
      </c>
      <c r="AO2" s="2" t="inlineStr">
        <is>
          <t>ASB US Equity</t>
        </is>
      </c>
      <c r="AY2" s="2" t="inlineStr">
        <is>
          <t>FRME US Equity</t>
        </is>
      </c>
      <c r="BI2" s="2" t="inlineStr">
        <is>
          <t>3346Q US Equity</t>
        </is>
      </c>
      <c r="BS2" s="2" t="inlineStr">
        <is>
          <t>DLTR US Equity</t>
        </is>
      </c>
      <c r="CC2" s="2" t="inlineStr">
        <is>
          <t>GNLN US Equity</t>
        </is>
      </c>
      <c r="CM2" s="2" t="inlineStr">
        <is>
          <t>1537336D US Equity</t>
        </is>
      </c>
      <c r="CW2" s="2" t="inlineStr">
        <is>
          <t>PACW US Equity</t>
        </is>
      </c>
      <c r="DG2" s="2" t="inlineStr">
        <is>
          <t>SCUR US Equity</t>
        </is>
      </c>
      <c r="DQ2" s="2" t="inlineStr">
        <is>
          <t>TWC US Equity</t>
        </is>
      </c>
      <c r="EA2" s="2" t="inlineStr">
        <is>
          <t>TDW US Equity</t>
        </is>
      </c>
      <c r="EK2" s="2" t="inlineStr">
        <is>
          <t>FCHDQ US Equity</t>
        </is>
      </c>
      <c r="EU2" s="2" t="inlineStr">
        <is>
          <t>BLKB US Equity</t>
        </is>
      </c>
      <c r="FE2" s="2" t="inlineStr">
        <is>
          <t>2217881D US Equity</t>
        </is>
      </c>
      <c r="FO2" s="2" t="inlineStr">
        <is>
          <t>1847569D US Equity</t>
        </is>
      </c>
      <c r="FY2" s="2" t="inlineStr">
        <is>
          <t>3017264Q US Equity</t>
        </is>
      </c>
      <c r="GI2" s="2" t="inlineStr">
        <is>
          <t>UBSI US Equity</t>
        </is>
      </c>
      <c r="GS2" s="2" t="inlineStr">
        <is>
          <t>2326248D US Equity</t>
        </is>
      </c>
      <c r="HC2" s="2" t="inlineStr">
        <is>
          <t>BGGSQ US Equity</t>
        </is>
      </c>
      <c r="HM2" s="2" t="inlineStr">
        <is>
          <t>CVG US Equity</t>
        </is>
      </c>
      <c r="HW2" s="2" t="inlineStr">
        <is>
          <t>DIS US Equity</t>
        </is>
      </c>
      <c r="IG2" s="2" t="inlineStr">
        <is>
          <t>FLG US Equity</t>
        </is>
      </c>
      <c r="IQ2" s="2" t="inlineStr">
        <is>
          <t>BHC CN Equity</t>
        </is>
      </c>
      <c r="JA2" s="2" t="inlineStr">
        <is>
          <t>KTOS US Equity</t>
        </is>
      </c>
      <c r="JK2" s="2" t="inlineStr">
        <is>
          <t>SYBT US Equity</t>
        </is>
      </c>
      <c r="JU2" s="2" t="inlineStr">
        <is>
          <t>PFS US Equity</t>
        </is>
      </c>
      <c r="KE2" s="2" t="inlineStr">
        <is>
          <t>ZLC US Equity</t>
        </is>
      </c>
      <c r="KO2" s="2" t="inlineStr">
        <is>
          <t>APC US Equity</t>
        </is>
      </c>
      <c r="KY2" s="2" t="inlineStr">
        <is>
          <t>KG US Equity</t>
        </is>
      </c>
      <c r="LI2" s="2" t="inlineStr">
        <is>
          <t>GLW US Equity</t>
        </is>
      </c>
      <c r="LS2" s="2" t="inlineStr">
        <is>
          <t>TRA US Equity</t>
        </is>
      </c>
      <c r="MC2" s="2" t="inlineStr">
        <is>
          <t>TOWN US Equity</t>
        </is>
      </c>
      <c r="MM2" s="2" t="inlineStr">
        <is>
          <t>CLM US Equity</t>
        </is>
      </c>
      <c r="MW2" s="2" t="inlineStr">
        <is>
          <t>CAR US Equity</t>
        </is>
      </c>
      <c r="NG2" s="2" t="inlineStr">
        <is>
          <t>MFE US Equity</t>
        </is>
      </c>
      <c r="NQ2" s="2" t="inlineStr">
        <is>
          <t>DIOD US Equity</t>
        </is>
      </c>
      <c r="OA2" s="2" t="inlineStr">
        <is>
          <t>3024Q US Equity</t>
        </is>
      </c>
    </row>
    <row r="3">
      <c r="A3" t="inlineStr">
        <is>
          <t>Ann: 2006-10-17</t>
        </is>
      </c>
      <c r="K3" t="inlineStr">
        <is>
          <t>Ann: 2011-12-13</t>
        </is>
      </c>
      <c r="U3" t="inlineStr">
        <is>
          <t>Ann: 2008-09-02</t>
        </is>
      </c>
      <c r="AE3" t="inlineStr">
        <is>
          <t>Ann: 1998-12-01</t>
        </is>
      </c>
      <c r="AO3" t="inlineStr">
        <is>
          <t>Ann: 2005-03-21</t>
        </is>
      </c>
      <c r="AY3" t="inlineStr">
        <is>
          <t>Ann: 2021-11-04</t>
        </is>
      </c>
      <c r="BI3" t="inlineStr">
        <is>
          <t>Ann: 1999-02-19</t>
        </is>
      </c>
      <c r="BS3" t="inlineStr">
        <is>
          <t>Ann: 2000-04-05</t>
        </is>
      </c>
      <c r="CC3" t="inlineStr">
        <is>
          <t>Ann: 2021-03-31</t>
        </is>
      </c>
      <c r="CM3" t="inlineStr">
        <is>
          <t>Ann: 2013-05-08</t>
        </is>
      </c>
      <c r="CW3" t="inlineStr">
        <is>
          <t>Ann: 2006-05-16</t>
        </is>
      </c>
      <c r="DG3" t="inlineStr">
        <is>
          <t>Ann: 2005-08-18</t>
        </is>
      </c>
      <c r="DQ3" t="inlineStr">
        <is>
          <t>Ann: 2011-02-01</t>
        </is>
      </c>
      <c r="EA3" t="inlineStr">
        <is>
          <t>Ann: 2018-07-16</t>
        </is>
      </c>
      <c r="EK3" t="inlineStr">
        <is>
          <t>Ann: 1998-12-27</t>
        </is>
      </c>
      <c r="EU3" t="inlineStr">
        <is>
          <t>Ann: 2012-01-17</t>
        </is>
      </c>
      <c r="FE3" t="inlineStr">
        <is>
          <t>Ann: 1998-10-29</t>
        </is>
      </c>
      <c r="FO3" t="inlineStr">
        <is>
          <t>Ann: 2008-03-24</t>
        </is>
      </c>
      <c r="FY3" t="inlineStr">
        <is>
          <t>Ann: 1999-03-23</t>
        </is>
      </c>
      <c r="GI3" t="inlineStr">
        <is>
          <t>Ann: 2021-06-03</t>
        </is>
      </c>
      <c r="GS3" t="inlineStr">
        <is>
          <t>Ann: 2005-06-09</t>
        </is>
      </c>
      <c r="HC3" t="inlineStr">
        <is>
          <t>Ann: 2001-03-01</t>
        </is>
      </c>
      <c r="HM3" t="inlineStr">
        <is>
          <t>Ann: 2008-07-16</t>
        </is>
      </c>
      <c r="HW3" t="inlineStr">
        <is>
          <t>Ann: 2001-01-29</t>
        </is>
      </c>
      <c r="IG3" t="inlineStr">
        <is>
          <t>Ann: 2006-11-02</t>
        </is>
      </c>
      <c r="IQ3" t="inlineStr">
        <is>
          <t>Ann: 2018-12-12</t>
        </is>
      </c>
      <c r="JA3" t="inlineStr">
        <is>
          <t>Ann: 2011-02-07</t>
        </is>
      </c>
      <c r="JK3" t="inlineStr">
        <is>
          <t>Ann: 2021-01-27</t>
        </is>
      </c>
      <c r="JU3" t="inlineStr">
        <is>
          <t>Ann: 2020-03-12</t>
        </is>
      </c>
      <c r="KE3" t="inlineStr">
        <is>
          <t>Ann: 2000-08-11</t>
        </is>
      </c>
      <c r="KO3" t="inlineStr">
        <is>
          <t>Ann: 2002-09-30</t>
        </is>
      </c>
      <c r="KY3" t="inlineStr">
        <is>
          <t>Ann: 1999-12-01</t>
        </is>
      </c>
      <c r="LI3" t="inlineStr">
        <is>
          <t>Ann: 2016-04-07</t>
        </is>
      </c>
      <c r="LS3" t="inlineStr">
        <is>
          <t>Ann: 2004-08-09</t>
        </is>
      </c>
      <c r="MC3" t="inlineStr">
        <is>
          <t>Ann: 2014-07-15</t>
        </is>
      </c>
      <c r="MM3" t="inlineStr">
        <is>
          <t>Ann: 2015-02-27</t>
        </is>
      </c>
      <c r="MW3" t="inlineStr">
        <is>
          <t>Ann: 2001-08-13</t>
        </is>
      </c>
      <c r="NG3" t="inlineStr">
        <is>
          <t>Ann: 1998-02-23</t>
        </is>
      </c>
      <c r="NQ3" t="inlineStr">
        <is>
          <t>Ann: 2015-09-03</t>
        </is>
      </c>
      <c r="OA3" t="inlineStr">
        <is>
          <t>Ann: 1998-07-31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BDS("BHE US Equity","SUPPLY_CHAIN_SUPPLIERS","RELATIONSHIP_AS_OF_DATE","20061017")</f>
        <v/>
      </c>
      <c r="F5">
        <f>BDS("BHE US Equity","SUPPLY_CHAIN_CUSTOMERS","RELATIONSHIP_AS_OF_DATE","20061017")</f>
        <v/>
      </c>
      <c r="K5">
        <f>BDS("BAX US Equity","SUPPLY_CHAIN_SUPPLIERS","RELATIONSHIP_AS_OF_DATE","20111213")</f>
        <v/>
      </c>
      <c r="P5">
        <f>BDS("BAX US Equity","SUPPLY_CHAIN_CUSTOMERS","RELATIONSHIP_AS_OF_DATE","20111213")</f>
        <v/>
      </c>
      <c r="U5">
        <f>BDS("TER US Equity","SUPPLY_CHAIN_SUPPLIERS","RELATIONSHIP_AS_OF_DATE","20080902")</f>
        <v/>
      </c>
      <c r="Z5">
        <f>BDS("TER US Equity","SUPPLY_CHAIN_CUSTOMERS","RELATIONSHIP_AS_OF_DATE","20080902")</f>
        <v/>
      </c>
      <c r="AE5">
        <f>BDS("1567696D US Equity","SUPPLY_CHAIN_SUPPLIERS","RELATIONSHIP_AS_OF_DATE","19981201")</f>
        <v/>
      </c>
      <c r="AJ5">
        <f>BDS("1567696D US Equity","SUPPLY_CHAIN_CUSTOMERS","RELATIONSHIP_AS_OF_DATE","19981201")</f>
        <v/>
      </c>
      <c r="AO5">
        <f>BDS("ASB US Equity","SUPPLY_CHAIN_SUPPLIERS","RELATIONSHIP_AS_OF_DATE","20050321")</f>
        <v/>
      </c>
      <c r="AT5">
        <f>BDS("ASB US Equity","SUPPLY_CHAIN_CUSTOMERS","RELATIONSHIP_AS_OF_DATE","20050321")</f>
        <v/>
      </c>
      <c r="AY5">
        <f>BDS("FRME US Equity","SUPPLY_CHAIN_SUPPLIERS","RELATIONSHIP_AS_OF_DATE","20211104")</f>
        <v/>
      </c>
      <c r="BD5">
        <f>BDS("FRME US Equity","SUPPLY_CHAIN_CUSTOMERS","RELATIONSHIP_AS_OF_DATE","20211104")</f>
        <v/>
      </c>
      <c r="BI5">
        <f>BDS("3346Q US Equity","SUPPLY_CHAIN_SUPPLIERS","RELATIONSHIP_AS_OF_DATE","19990219")</f>
        <v/>
      </c>
      <c r="BN5">
        <f>BDS("3346Q US Equity","SUPPLY_CHAIN_CUSTOMERS","RELATIONSHIP_AS_OF_DATE","19990219")</f>
        <v/>
      </c>
      <c r="BS5">
        <f>BDS("DLTR US Equity","SUPPLY_CHAIN_SUPPLIERS","RELATIONSHIP_AS_OF_DATE","20000405")</f>
        <v/>
      </c>
      <c r="BX5">
        <f>BDS("DLTR US Equity","SUPPLY_CHAIN_CUSTOMERS","RELATIONSHIP_AS_OF_DATE","20000405")</f>
        <v/>
      </c>
      <c r="CC5">
        <f>BDS("GNLN US Equity","SUPPLY_CHAIN_SUPPLIERS","RELATIONSHIP_AS_OF_DATE","20210331")</f>
        <v/>
      </c>
      <c r="CH5">
        <f>BDS("GNLN US Equity","SUPPLY_CHAIN_CUSTOMERS","RELATIONSHIP_AS_OF_DATE","20210331")</f>
        <v/>
      </c>
      <c r="CM5">
        <f>BDS("1537336D US Equity","SUPPLY_CHAIN_SUPPLIERS","RELATIONSHIP_AS_OF_DATE","20130508")</f>
        <v/>
      </c>
      <c r="CR5">
        <f>BDS("1537336D US Equity","SUPPLY_CHAIN_CUSTOMERS","RELATIONSHIP_AS_OF_DATE","20130508")</f>
        <v/>
      </c>
      <c r="CW5">
        <f>BDS("PACW US Equity","SUPPLY_CHAIN_SUPPLIERS","RELATIONSHIP_AS_OF_DATE","20060516")</f>
        <v/>
      </c>
      <c r="DB5">
        <f>BDS("PACW US Equity","SUPPLY_CHAIN_CUSTOMERS","RELATIONSHIP_AS_OF_DATE","20060516")</f>
        <v/>
      </c>
      <c r="DG5">
        <f>BDS("SCUR US Equity","SUPPLY_CHAIN_SUPPLIERS","RELATIONSHIP_AS_OF_DATE","20050818")</f>
        <v/>
      </c>
      <c r="DL5">
        <f>BDS("SCUR US Equity","SUPPLY_CHAIN_CUSTOMERS","RELATIONSHIP_AS_OF_DATE","20050818")</f>
        <v/>
      </c>
      <c r="DQ5">
        <f>BDS("TWC US Equity","SUPPLY_CHAIN_SUPPLIERS","RELATIONSHIP_AS_OF_DATE","20110201")</f>
        <v/>
      </c>
      <c r="DV5">
        <f>BDS("TWC US Equity","SUPPLY_CHAIN_CUSTOMERS","RELATIONSHIP_AS_OF_DATE","20110201")</f>
        <v/>
      </c>
      <c r="EA5">
        <f>BDS("TDW US Equity","SUPPLY_CHAIN_SUPPLIERS","RELATIONSHIP_AS_OF_DATE","20180716")</f>
        <v/>
      </c>
      <c r="EF5">
        <f>BDS("TDW US Equity","SUPPLY_CHAIN_CUSTOMERS","RELATIONSHIP_AS_OF_DATE","20180716")</f>
        <v/>
      </c>
      <c r="EK5">
        <f>BDS("FCHDQ US Equity","SUPPLY_CHAIN_SUPPLIERS","RELATIONSHIP_AS_OF_DATE","19981227")</f>
        <v/>
      </c>
      <c r="EP5">
        <f>BDS("FCHDQ US Equity","SUPPLY_CHAIN_CUSTOMERS","RELATIONSHIP_AS_OF_DATE","19981227")</f>
        <v/>
      </c>
      <c r="EU5">
        <f>BDS("BLKB US Equity","SUPPLY_CHAIN_SUPPLIERS","RELATIONSHIP_AS_OF_DATE","20120117")</f>
        <v/>
      </c>
      <c r="EZ5">
        <f>BDS("BLKB US Equity","SUPPLY_CHAIN_CUSTOMERS","RELATIONSHIP_AS_OF_DATE","20120117")</f>
        <v/>
      </c>
      <c r="FE5">
        <f>BDS("2217881D US Equity","SUPPLY_CHAIN_SUPPLIERS","RELATIONSHIP_AS_OF_DATE","19981029")</f>
        <v/>
      </c>
      <c r="FJ5">
        <f>BDS("2217881D US Equity","SUPPLY_CHAIN_CUSTOMERS","RELATIONSHIP_AS_OF_DATE","19981029")</f>
        <v/>
      </c>
      <c r="FO5">
        <f>BDS("1847569D US Equity","SUPPLY_CHAIN_SUPPLIERS","RELATIONSHIP_AS_OF_DATE","20080324")</f>
        <v/>
      </c>
      <c r="FT5">
        <f>BDS("1847569D US Equity","SUPPLY_CHAIN_CUSTOMERS","RELATIONSHIP_AS_OF_DATE","20080324")</f>
        <v/>
      </c>
      <c r="FY5">
        <f>BDS("3017264Q US Equity","SUPPLY_CHAIN_SUPPLIERS","RELATIONSHIP_AS_OF_DATE","19990323")</f>
        <v/>
      </c>
      <c r="GD5">
        <f>BDS("3017264Q US Equity","SUPPLY_CHAIN_CUSTOMERS","RELATIONSHIP_AS_OF_DATE","19990323")</f>
        <v/>
      </c>
      <c r="GI5">
        <f>BDS("UBSI US Equity","SUPPLY_CHAIN_SUPPLIERS","RELATIONSHIP_AS_OF_DATE","20210603")</f>
        <v/>
      </c>
      <c r="GN5">
        <f>BDS("UBSI US Equity","SUPPLY_CHAIN_CUSTOMERS","RELATIONSHIP_AS_OF_DATE","20210603")</f>
        <v/>
      </c>
      <c r="GS5">
        <f>BDS("2326248D US Equity","SUPPLY_CHAIN_SUPPLIERS","RELATIONSHIP_AS_OF_DATE","20050609")</f>
        <v/>
      </c>
      <c r="GX5">
        <f>BDS("2326248D US Equity","SUPPLY_CHAIN_CUSTOMERS","RELATIONSHIP_AS_OF_DATE","20050609")</f>
        <v/>
      </c>
      <c r="HC5">
        <f>BDS("BGGSQ US Equity","SUPPLY_CHAIN_SUPPLIERS","RELATIONSHIP_AS_OF_DATE","20010301")</f>
        <v/>
      </c>
      <c r="HH5">
        <f>BDS("BGGSQ US Equity","SUPPLY_CHAIN_CUSTOMERS","RELATIONSHIP_AS_OF_DATE","20010301")</f>
        <v/>
      </c>
      <c r="HM5">
        <f>BDS("CVG US Equity","SUPPLY_CHAIN_SUPPLIERS","RELATIONSHIP_AS_OF_DATE","20080716")</f>
        <v/>
      </c>
      <c r="HR5">
        <f>BDS("CVG US Equity","SUPPLY_CHAIN_CUSTOMERS","RELATIONSHIP_AS_OF_DATE","20080716")</f>
        <v/>
      </c>
      <c r="HW5">
        <f>BDS("DIS US Equity","SUPPLY_CHAIN_SUPPLIERS","RELATIONSHIP_AS_OF_DATE","20010129")</f>
        <v/>
      </c>
      <c r="IB5">
        <f>BDS("DIS US Equity","SUPPLY_CHAIN_CUSTOMERS","RELATIONSHIP_AS_OF_DATE","20010129")</f>
        <v/>
      </c>
      <c r="IG5">
        <f>BDS("FLG US Equity","SUPPLY_CHAIN_SUPPLIERS","RELATIONSHIP_AS_OF_DATE","20061102")</f>
        <v/>
      </c>
      <c r="IL5">
        <f>BDS("FLG US Equity","SUPPLY_CHAIN_CUSTOMERS","RELATIONSHIP_AS_OF_DATE","20061102")</f>
        <v/>
      </c>
      <c r="IQ5">
        <f>BDS("BHC CN Equity","SUPPLY_CHAIN_SUPPLIERS","RELATIONSHIP_AS_OF_DATE","20181212")</f>
        <v/>
      </c>
      <c r="IV5">
        <f>BDS("BHC CN Equity","SUPPLY_CHAIN_CUSTOMERS","RELATIONSHIP_AS_OF_DATE","20181212")</f>
        <v/>
      </c>
      <c r="JA5">
        <f>BDS("KTOS US Equity","SUPPLY_CHAIN_SUPPLIERS","RELATIONSHIP_AS_OF_DATE","20110207")</f>
        <v/>
      </c>
      <c r="JF5">
        <f>BDS("KTOS US Equity","SUPPLY_CHAIN_CUSTOMERS","RELATIONSHIP_AS_OF_DATE","20110207")</f>
        <v/>
      </c>
      <c r="JK5">
        <f>BDS("SYBT US Equity","SUPPLY_CHAIN_SUPPLIERS","RELATIONSHIP_AS_OF_DATE","20210127")</f>
        <v/>
      </c>
      <c r="JP5">
        <f>BDS("SYBT US Equity","SUPPLY_CHAIN_CUSTOMERS","RELATIONSHIP_AS_OF_DATE","20210127")</f>
        <v/>
      </c>
      <c r="JU5">
        <f>BDS("PFS US Equity","SUPPLY_CHAIN_SUPPLIERS","RELATIONSHIP_AS_OF_DATE","20200312")</f>
        <v/>
      </c>
      <c r="JZ5">
        <f>BDS("PFS US Equity","SUPPLY_CHAIN_CUSTOMERS","RELATIONSHIP_AS_OF_DATE","20200312")</f>
        <v/>
      </c>
      <c r="KE5">
        <f>BDS("ZLC US Equity","SUPPLY_CHAIN_SUPPLIERS","RELATIONSHIP_AS_OF_DATE","20000811")</f>
        <v/>
      </c>
      <c r="KJ5">
        <f>BDS("ZLC US Equity","SUPPLY_CHAIN_CUSTOMERS","RELATIONSHIP_AS_OF_DATE","20000811")</f>
        <v/>
      </c>
      <c r="KO5">
        <f>BDS("APC US Equity","SUPPLY_CHAIN_SUPPLIERS","RELATIONSHIP_AS_OF_DATE","20020930")</f>
        <v/>
      </c>
      <c r="KT5">
        <f>BDS("APC US Equity","SUPPLY_CHAIN_CUSTOMERS","RELATIONSHIP_AS_OF_DATE","20020930")</f>
        <v/>
      </c>
      <c r="KY5">
        <f>BDS("KG US Equity","SUPPLY_CHAIN_SUPPLIERS","RELATIONSHIP_AS_OF_DATE","19991201")</f>
        <v/>
      </c>
      <c r="LD5">
        <f>BDS("KG US Equity","SUPPLY_CHAIN_CUSTOMERS","RELATIONSHIP_AS_OF_DATE","19991201")</f>
        <v/>
      </c>
      <c r="LI5">
        <f>BDS("GLW US Equity","SUPPLY_CHAIN_SUPPLIERS","RELATIONSHIP_AS_OF_DATE","20160407")</f>
        <v/>
      </c>
      <c r="LN5">
        <f>BDS("GLW US Equity","SUPPLY_CHAIN_CUSTOMERS","RELATIONSHIP_AS_OF_DATE","20160407")</f>
        <v/>
      </c>
      <c r="LS5">
        <f>BDS("TRA US Equity","SUPPLY_CHAIN_SUPPLIERS","RELATIONSHIP_AS_OF_DATE","20040809")</f>
        <v/>
      </c>
      <c r="LX5">
        <f>BDS("TRA US Equity","SUPPLY_CHAIN_CUSTOMERS","RELATIONSHIP_AS_OF_DATE","20040809")</f>
        <v/>
      </c>
      <c r="MC5">
        <f>BDS("TOWN US Equity","SUPPLY_CHAIN_SUPPLIERS","RELATIONSHIP_AS_OF_DATE","20140715")</f>
        <v/>
      </c>
      <c r="MH5">
        <f>BDS("TOWN US Equity","SUPPLY_CHAIN_CUSTOMERS","RELATIONSHIP_AS_OF_DATE","20140715")</f>
        <v/>
      </c>
      <c r="MM5">
        <f>BDS("CLM US Equity","SUPPLY_CHAIN_SUPPLIERS","RELATIONSHIP_AS_OF_DATE","20150227")</f>
        <v/>
      </c>
      <c r="MR5">
        <f>BDS("CLM US Equity","SUPPLY_CHAIN_CUSTOMERS","RELATIONSHIP_AS_OF_DATE","20150227")</f>
        <v/>
      </c>
      <c r="MW5">
        <f>BDS("CAR US Equity","SUPPLY_CHAIN_SUPPLIERS","RELATIONSHIP_AS_OF_DATE","20010813")</f>
        <v/>
      </c>
      <c r="NB5">
        <f>BDS("CAR US Equity","SUPPLY_CHAIN_CUSTOMERS","RELATIONSHIP_AS_OF_DATE","20010813")</f>
        <v/>
      </c>
      <c r="NG5">
        <f>BDS("MFE US Equity","SUPPLY_CHAIN_SUPPLIERS","RELATIONSHIP_AS_OF_DATE","19980223")</f>
        <v/>
      </c>
      <c r="NL5">
        <f>BDS("MFE US Equity","SUPPLY_CHAIN_CUSTOMERS","RELATIONSHIP_AS_OF_DATE","19980223")</f>
        <v/>
      </c>
      <c r="NQ5">
        <f>BDS("DIOD US Equity","SUPPLY_CHAIN_SUPPLIERS","RELATIONSHIP_AS_OF_DATE","20150903")</f>
        <v/>
      </c>
      <c r="NV5">
        <f>BDS("DIOD US Equity","SUPPLY_CHAIN_CUSTOMERS","RELATIONSHIP_AS_OF_DATE","20150903")</f>
        <v/>
      </c>
      <c r="OA5">
        <f>BDS("3024Q US Equity","SUPPLY_CHAIN_SUPPLIERS","RELATIONSHIP_AS_OF_DATE","19980731")</f>
        <v/>
      </c>
      <c r="OF5">
        <f>BDS("3024Q US Equity","SUPPLY_CHAIN_CUSTOMERS","RELATIONSHIP_AS_OF_DATE","19980731")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2441</t>
        </is>
      </c>
      <c r="K1" s="1" t="inlineStr">
        <is>
          <t>Deal 2442</t>
        </is>
      </c>
      <c r="U1" s="1" t="inlineStr">
        <is>
          <t>Deal 2443</t>
        </is>
      </c>
      <c r="AE1" s="1" t="inlineStr">
        <is>
          <t>Deal 2444</t>
        </is>
      </c>
      <c r="AO1" s="1" t="inlineStr">
        <is>
          <t>Deal 2445</t>
        </is>
      </c>
      <c r="AY1" s="1" t="inlineStr">
        <is>
          <t>Deal 2446</t>
        </is>
      </c>
      <c r="BI1" s="1" t="inlineStr">
        <is>
          <t>Deal 2447</t>
        </is>
      </c>
      <c r="BS1" s="1" t="inlineStr">
        <is>
          <t>Deal 2448</t>
        </is>
      </c>
      <c r="CC1" s="1" t="inlineStr">
        <is>
          <t>Deal 2449</t>
        </is>
      </c>
      <c r="CM1" s="1" t="inlineStr">
        <is>
          <t>Deal 2450</t>
        </is>
      </c>
      <c r="CW1" s="1" t="inlineStr">
        <is>
          <t>Deal 2451</t>
        </is>
      </c>
      <c r="DG1" s="1" t="inlineStr">
        <is>
          <t>Deal 2452</t>
        </is>
      </c>
      <c r="DQ1" s="1" t="inlineStr">
        <is>
          <t>Deal 2453</t>
        </is>
      </c>
      <c r="EA1" s="1" t="inlineStr">
        <is>
          <t>Deal 2454</t>
        </is>
      </c>
      <c r="EK1" s="1" t="inlineStr">
        <is>
          <t>Deal 2455</t>
        </is>
      </c>
      <c r="EU1" s="1" t="inlineStr">
        <is>
          <t>Deal 2456</t>
        </is>
      </c>
      <c r="FE1" s="1" t="inlineStr">
        <is>
          <t>Deal 2457</t>
        </is>
      </c>
      <c r="FO1" s="1" t="inlineStr">
        <is>
          <t>Deal 2458</t>
        </is>
      </c>
      <c r="FY1" s="1" t="inlineStr">
        <is>
          <t>Deal 2459</t>
        </is>
      </c>
      <c r="GI1" s="1" t="inlineStr">
        <is>
          <t>Deal 2460</t>
        </is>
      </c>
      <c r="GS1" s="1" t="inlineStr">
        <is>
          <t>Deal 2461</t>
        </is>
      </c>
      <c r="HC1" s="1" t="inlineStr">
        <is>
          <t>Deal 2462</t>
        </is>
      </c>
      <c r="HM1" s="1" t="inlineStr">
        <is>
          <t>Deal 2463</t>
        </is>
      </c>
      <c r="HW1" s="1" t="inlineStr">
        <is>
          <t>Deal 2464</t>
        </is>
      </c>
      <c r="IG1" s="1" t="inlineStr">
        <is>
          <t>Deal 2465</t>
        </is>
      </c>
      <c r="IQ1" s="1" t="inlineStr">
        <is>
          <t>Deal 2466</t>
        </is>
      </c>
      <c r="JA1" s="1" t="inlineStr">
        <is>
          <t>Deal 2467</t>
        </is>
      </c>
      <c r="JK1" s="1" t="inlineStr">
        <is>
          <t>Deal 2468</t>
        </is>
      </c>
      <c r="JU1" s="1" t="inlineStr">
        <is>
          <t>Deal 2469</t>
        </is>
      </c>
      <c r="KE1" s="1" t="inlineStr">
        <is>
          <t>Deal 2470</t>
        </is>
      </c>
      <c r="KO1" s="1" t="inlineStr">
        <is>
          <t>Deal 2471</t>
        </is>
      </c>
      <c r="KY1" s="1" t="inlineStr">
        <is>
          <t>Deal 2472</t>
        </is>
      </c>
      <c r="LI1" s="1" t="inlineStr">
        <is>
          <t>Deal 2473</t>
        </is>
      </c>
      <c r="LS1" s="1" t="inlineStr">
        <is>
          <t>Deal 2474</t>
        </is>
      </c>
      <c r="MC1" s="1" t="inlineStr">
        <is>
          <t>Deal 2475</t>
        </is>
      </c>
      <c r="MM1" s="1" t="inlineStr">
        <is>
          <t>Deal 2476</t>
        </is>
      </c>
      <c r="MW1" s="1" t="inlineStr">
        <is>
          <t>Deal 2477</t>
        </is>
      </c>
      <c r="NG1" s="1" t="inlineStr">
        <is>
          <t>Deal 2478</t>
        </is>
      </c>
      <c r="NQ1" s="1" t="inlineStr">
        <is>
          <t>Deal 2479</t>
        </is>
      </c>
      <c r="OA1" s="1" t="inlineStr">
        <is>
          <t>Deal 2480</t>
        </is>
      </c>
    </row>
    <row r="2">
      <c r="A2" s="2" t="inlineStr">
        <is>
          <t>390297Q US Equity</t>
        </is>
      </c>
      <c r="K2" s="2" t="inlineStr">
        <is>
          <t>ANAT US Equity</t>
        </is>
      </c>
      <c r="U2" s="2" t="inlineStr">
        <is>
          <t>STJ US Equity</t>
        </is>
      </c>
      <c r="AE2" s="2" t="inlineStr">
        <is>
          <t>WFC US Equity</t>
        </is>
      </c>
      <c r="AO2" s="2" t="inlineStr">
        <is>
          <t>HTRN US Equity</t>
        </is>
      </c>
      <c r="AY2" s="2" t="inlineStr">
        <is>
          <t>HCBK US Equity</t>
        </is>
      </c>
      <c r="BI2" s="2" t="inlineStr">
        <is>
          <t>MAFB US Equity</t>
        </is>
      </c>
      <c r="BS2" s="2" t="inlineStr">
        <is>
          <t>JNY US Equity</t>
        </is>
      </c>
      <c r="CC2" s="2" t="inlineStr">
        <is>
          <t>KMB US Equity</t>
        </is>
      </c>
      <c r="CM2" s="2" t="inlineStr">
        <is>
          <t>SUSQ US Equity</t>
        </is>
      </c>
      <c r="CW2" s="2" t="inlineStr">
        <is>
          <t>nan Equity</t>
        </is>
      </c>
      <c r="DG2" s="2" t="inlineStr">
        <is>
          <t>JDAS US Equity</t>
        </is>
      </c>
      <c r="DQ2" s="2" t="inlineStr">
        <is>
          <t>BHC CN Equity</t>
        </is>
      </c>
      <c r="EA2" s="2" t="inlineStr">
        <is>
          <t>MEDQ US Equity</t>
        </is>
      </c>
      <c r="EK2" s="2" t="inlineStr">
        <is>
          <t>XPO US Equity</t>
        </is>
      </c>
      <c r="EU2" s="2" t="inlineStr">
        <is>
          <t>PGR US Equity</t>
        </is>
      </c>
      <c r="FE2" s="2" t="inlineStr">
        <is>
          <t>ATNY US Equity</t>
        </is>
      </c>
      <c r="FO2" s="2" t="inlineStr">
        <is>
          <t>HOPE US Equity</t>
        </is>
      </c>
      <c r="FY2" s="2" t="inlineStr">
        <is>
          <t>SRGAQ US Equity</t>
        </is>
      </c>
      <c r="GI2" s="2" t="inlineStr">
        <is>
          <t>ECL US Equity</t>
        </is>
      </c>
      <c r="GS2" s="2" t="inlineStr">
        <is>
          <t>KTOS US Equity</t>
        </is>
      </c>
      <c r="HC2" s="2" t="inlineStr">
        <is>
          <t>ENDPQ US Equity</t>
        </is>
      </c>
      <c r="HM2" s="2" t="inlineStr">
        <is>
          <t>DHI US Equity</t>
        </is>
      </c>
      <c r="HW2" s="2" t="inlineStr">
        <is>
          <t>MO US Equity</t>
        </is>
      </c>
      <c r="IG2" s="2" t="inlineStr">
        <is>
          <t>FFWM US Equity</t>
        </is>
      </c>
      <c r="IQ2" s="2" t="inlineStr">
        <is>
          <t>CMLS US Equity</t>
        </is>
      </c>
      <c r="JA2" s="2" t="inlineStr">
        <is>
          <t>GHC US Equity</t>
        </is>
      </c>
      <c r="JK2" s="2" t="inlineStr">
        <is>
          <t>496112Q US Equity</t>
        </is>
      </c>
      <c r="JU2" s="2" t="inlineStr">
        <is>
          <t>0964591D US Equity</t>
        </is>
      </c>
      <c r="KE2" s="2" t="inlineStr">
        <is>
          <t>1642488D US Equity</t>
        </is>
      </c>
      <c r="KO2" s="2" t="inlineStr">
        <is>
          <t>2860436Q US Equity</t>
        </is>
      </c>
      <c r="KY2" s="2" t="inlineStr">
        <is>
          <t>EXE US Equity</t>
        </is>
      </c>
      <c r="LI2" s="2" t="inlineStr">
        <is>
          <t>HFWA US Equity</t>
        </is>
      </c>
      <c r="LS2" s="2" t="inlineStr">
        <is>
          <t>RFH US Equity</t>
        </is>
      </c>
      <c r="MC2" s="2" t="inlineStr">
        <is>
          <t>TFC US Equity</t>
        </is>
      </c>
      <c r="MM2" s="2" t="inlineStr">
        <is>
          <t>2993Q US Equity</t>
        </is>
      </c>
      <c r="MW2" s="2" t="inlineStr">
        <is>
          <t>ATBA AV Equity</t>
        </is>
      </c>
      <c r="NG2" s="2" t="inlineStr">
        <is>
          <t>EWBC US Equity</t>
        </is>
      </c>
      <c r="NQ2" s="2" t="inlineStr">
        <is>
          <t>ASNAQ US Equity</t>
        </is>
      </c>
      <c r="OA2" s="2" t="inlineStr">
        <is>
          <t>SXC US Equity</t>
        </is>
      </c>
    </row>
    <row r="3">
      <c r="A3" t="inlineStr">
        <is>
          <t>Ann: 1998-01-12</t>
        </is>
      </c>
      <c r="K3" t="inlineStr">
        <is>
          <t>Ann: 2000-10-31</t>
        </is>
      </c>
      <c r="U3" t="inlineStr">
        <is>
          <t>Ann: 2004-09-23</t>
        </is>
      </c>
      <c r="AE3" t="inlineStr">
        <is>
          <t>Ann: 1999-07-30</t>
        </is>
      </c>
      <c r="AO3" t="inlineStr">
        <is>
          <t>Ann: 2004-06-14</t>
        </is>
      </c>
      <c r="AY3" t="inlineStr">
        <is>
          <t>Ann: 2006-02-09</t>
        </is>
      </c>
      <c r="BI3" t="inlineStr">
        <is>
          <t>Ann: 2003-05-21</t>
        </is>
      </c>
      <c r="BS3" t="inlineStr">
        <is>
          <t>Ann: 2004-02-25</t>
        </is>
      </c>
      <c r="CC3" t="inlineStr">
        <is>
          <t>Ann: 2009-10-09</t>
        </is>
      </c>
      <c r="CM3" t="inlineStr">
        <is>
          <t>Ann: 2011-01-26</t>
        </is>
      </c>
      <c r="CW3" t="inlineStr">
        <is>
          <t>Ann: 2007-10-23</t>
        </is>
      </c>
      <c r="DG3" t="inlineStr">
        <is>
          <t>Ann: 2006-04-24</t>
        </is>
      </c>
      <c r="DQ3" t="inlineStr">
        <is>
          <t>Ann: 2013-12-16</t>
        </is>
      </c>
      <c r="EA3" t="inlineStr">
        <is>
          <t>Ann: 1998-09-18</t>
        </is>
      </c>
      <c r="EK3" t="inlineStr">
        <is>
          <t>Ann: 2014-01-06</t>
        </is>
      </c>
      <c r="EU3" t="inlineStr">
        <is>
          <t>Ann: 2021-02-16</t>
        </is>
      </c>
      <c r="FE3" t="inlineStr">
        <is>
          <t>Ann: 2011-03-28</t>
        </is>
      </c>
      <c r="FO3" t="inlineStr">
        <is>
          <t>Ann: 2010-12-09</t>
        </is>
      </c>
      <c r="FY3" t="inlineStr">
        <is>
          <t>Ann: 2007-11-13</t>
        </is>
      </c>
      <c r="GI3" t="inlineStr">
        <is>
          <t>Ann: 2007-08-07</t>
        </is>
      </c>
      <c r="GS3" t="inlineStr">
        <is>
          <t>Ann: 2011-05-16</t>
        </is>
      </c>
      <c r="HC3" t="inlineStr">
        <is>
          <t>Ann: 2010-05-06</t>
        </is>
      </c>
      <c r="HM3" t="inlineStr">
        <is>
          <t>Ann: 2022-04-14</t>
        </is>
      </c>
      <c r="HW3" t="inlineStr">
        <is>
          <t>Ann: 2000-01-21</t>
        </is>
      </c>
      <c r="IG3" t="inlineStr">
        <is>
          <t>Ann: 2021-06-03</t>
        </is>
      </c>
      <c r="IQ3" t="inlineStr">
        <is>
          <t>Ann: 2013-08-30</t>
        </is>
      </c>
      <c r="JA3" t="inlineStr">
        <is>
          <t>Ann: 2021-04-05</t>
        </is>
      </c>
      <c r="JK3" t="inlineStr">
        <is>
          <t>Ann: 1998-05-29</t>
        </is>
      </c>
      <c r="JU3" t="inlineStr">
        <is>
          <t>Ann: 2004-03-08</t>
        </is>
      </c>
      <c r="KE3" t="inlineStr">
        <is>
          <t>Ann: 1999-11-08</t>
        </is>
      </c>
      <c r="KO3" t="inlineStr">
        <is>
          <t>Ann: 1999-11-01</t>
        </is>
      </c>
      <c r="KY3" t="inlineStr">
        <is>
          <t>Ann: 2000-06-30</t>
        </is>
      </c>
      <c r="LI3" t="inlineStr">
        <is>
          <t>Ann: 2013-10-23</t>
        </is>
      </c>
      <c r="LS3" t="inlineStr">
        <is>
          <t>Ann: 1998-04-09</t>
        </is>
      </c>
      <c r="MC3" t="inlineStr">
        <is>
          <t>Ann: 1999-01-28</t>
        </is>
      </c>
      <c r="MM3" t="inlineStr">
        <is>
          <t>Ann: 1998-06-24</t>
        </is>
      </c>
      <c r="MW3" t="inlineStr">
        <is>
          <t>Ann: 2002-12-23</t>
        </is>
      </c>
      <c r="NG3" t="inlineStr">
        <is>
          <t>Ann: 2013-09-18</t>
        </is>
      </c>
      <c r="NQ3" t="inlineStr">
        <is>
          <t>Ann: 2009-06-25</t>
        </is>
      </c>
      <c r="OA3" t="inlineStr">
        <is>
          <t>Ann: 2019-02-05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BDS("390297Q US Equity","SUPPLY_CHAIN_SUPPLIERS","RELATIONSHIP_AS_OF_DATE","19980112")</f>
        <v/>
      </c>
      <c r="F5">
        <f>BDS("390297Q US Equity","SUPPLY_CHAIN_CUSTOMERS","RELATIONSHIP_AS_OF_DATE","19980112")</f>
        <v/>
      </c>
      <c r="K5">
        <f>BDS("ANAT US Equity","SUPPLY_CHAIN_SUPPLIERS","RELATIONSHIP_AS_OF_DATE","20001031")</f>
        <v/>
      </c>
      <c r="P5">
        <f>BDS("ANAT US Equity","SUPPLY_CHAIN_CUSTOMERS","RELATIONSHIP_AS_OF_DATE","20001031")</f>
        <v/>
      </c>
      <c r="U5">
        <f>BDS("STJ US Equity","SUPPLY_CHAIN_SUPPLIERS","RELATIONSHIP_AS_OF_DATE","20040923")</f>
        <v/>
      </c>
      <c r="Z5">
        <f>BDS("STJ US Equity","SUPPLY_CHAIN_CUSTOMERS","RELATIONSHIP_AS_OF_DATE","20040923")</f>
        <v/>
      </c>
      <c r="AE5">
        <f>BDS("WFC US Equity","SUPPLY_CHAIN_SUPPLIERS","RELATIONSHIP_AS_OF_DATE","19990730")</f>
        <v/>
      </c>
      <c r="AJ5">
        <f>BDS("WFC US Equity","SUPPLY_CHAIN_CUSTOMERS","RELATIONSHIP_AS_OF_DATE","19990730")</f>
        <v/>
      </c>
      <c r="AO5">
        <f>BDS("HTRN US Equity","SUPPLY_CHAIN_SUPPLIERS","RELATIONSHIP_AS_OF_DATE","20040614")</f>
        <v/>
      </c>
      <c r="AT5">
        <f>BDS("HTRN US Equity","SUPPLY_CHAIN_CUSTOMERS","RELATIONSHIP_AS_OF_DATE","20040614")</f>
        <v/>
      </c>
      <c r="AY5">
        <f>BDS("HCBK US Equity","SUPPLY_CHAIN_SUPPLIERS","RELATIONSHIP_AS_OF_DATE","20060209")</f>
        <v/>
      </c>
      <c r="BD5">
        <f>BDS("HCBK US Equity","SUPPLY_CHAIN_CUSTOMERS","RELATIONSHIP_AS_OF_DATE","20060209")</f>
        <v/>
      </c>
      <c r="BI5">
        <f>BDS("MAFB US Equity","SUPPLY_CHAIN_SUPPLIERS","RELATIONSHIP_AS_OF_DATE","20030521")</f>
        <v/>
      </c>
      <c r="BN5">
        <f>BDS("MAFB US Equity","SUPPLY_CHAIN_CUSTOMERS","RELATIONSHIP_AS_OF_DATE","20030521")</f>
        <v/>
      </c>
      <c r="BS5">
        <f>BDS("JNY US Equity","SUPPLY_CHAIN_SUPPLIERS","RELATIONSHIP_AS_OF_DATE","20040225")</f>
        <v/>
      </c>
      <c r="BX5">
        <f>BDS("JNY US Equity","SUPPLY_CHAIN_CUSTOMERS","RELATIONSHIP_AS_OF_DATE","20040225")</f>
        <v/>
      </c>
      <c r="CC5">
        <f>BDS("KMB US Equity","SUPPLY_CHAIN_SUPPLIERS","RELATIONSHIP_AS_OF_DATE","20091009")</f>
        <v/>
      </c>
      <c r="CH5">
        <f>BDS("KMB US Equity","SUPPLY_CHAIN_CUSTOMERS","RELATIONSHIP_AS_OF_DATE","20091009")</f>
        <v/>
      </c>
      <c r="CM5">
        <f>BDS("SUSQ US Equity","SUPPLY_CHAIN_SUPPLIERS","RELATIONSHIP_AS_OF_DATE","20110126")</f>
        <v/>
      </c>
      <c r="CR5">
        <f>BDS("SUSQ US Equity","SUPPLY_CHAIN_CUSTOMERS","RELATIONSHIP_AS_OF_DATE","20110126")</f>
        <v/>
      </c>
      <c r="CW5">
        <f>BDS("nan Equity","SUPPLY_CHAIN_SUPPLIERS","RELATIONSHIP_AS_OF_DATE","20071023")</f>
        <v/>
      </c>
      <c r="DB5">
        <f>BDS("nan Equity","SUPPLY_CHAIN_CUSTOMERS","RELATIONSHIP_AS_OF_DATE","20071023")</f>
        <v/>
      </c>
      <c r="DG5">
        <f>BDS("JDAS US Equity","SUPPLY_CHAIN_SUPPLIERS","RELATIONSHIP_AS_OF_DATE","20060424")</f>
        <v/>
      </c>
      <c r="DL5">
        <f>BDS("JDAS US Equity","SUPPLY_CHAIN_CUSTOMERS","RELATIONSHIP_AS_OF_DATE","20060424")</f>
        <v/>
      </c>
      <c r="DQ5">
        <f>BDS("BHC CN Equity","SUPPLY_CHAIN_SUPPLIERS","RELATIONSHIP_AS_OF_DATE","20131216")</f>
        <v/>
      </c>
      <c r="DV5">
        <f>BDS("BHC CN Equity","SUPPLY_CHAIN_CUSTOMERS","RELATIONSHIP_AS_OF_DATE","20131216")</f>
        <v/>
      </c>
      <c r="EA5">
        <f>BDS("MEDQ US Equity","SUPPLY_CHAIN_SUPPLIERS","RELATIONSHIP_AS_OF_DATE","19980918")</f>
        <v/>
      </c>
      <c r="EF5">
        <f>BDS("MEDQ US Equity","SUPPLY_CHAIN_CUSTOMERS","RELATIONSHIP_AS_OF_DATE","19980918")</f>
        <v/>
      </c>
      <c r="EK5">
        <f>BDS("XPO US Equity","SUPPLY_CHAIN_SUPPLIERS","RELATIONSHIP_AS_OF_DATE","20140106")</f>
        <v/>
      </c>
      <c r="EP5">
        <f>BDS("XPO US Equity","SUPPLY_CHAIN_CUSTOMERS","RELATIONSHIP_AS_OF_DATE","20140106")</f>
        <v/>
      </c>
      <c r="EU5">
        <f>BDS("PGR US Equity","SUPPLY_CHAIN_SUPPLIERS","RELATIONSHIP_AS_OF_DATE","20210216")</f>
        <v/>
      </c>
      <c r="EZ5">
        <f>BDS("PGR US Equity","SUPPLY_CHAIN_CUSTOMERS","RELATIONSHIP_AS_OF_DATE","20210216")</f>
        <v/>
      </c>
      <c r="FE5">
        <f>BDS("ATNY US Equity","SUPPLY_CHAIN_SUPPLIERS","RELATIONSHIP_AS_OF_DATE","20110328")</f>
        <v/>
      </c>
      <c r="FJ5">
        <f>BDS("ATNY US Equity","SUPPLY_CHAIN_CUSTOMERS","RELATIONSHIP_AS_OF_DATE","20110328")</f>
        <v/>
      </c>
      <c r="FO5">
        <f>BDS("HOPE US Equity","SUPPLY_CHAIN_SUPPLIERS","RELATIONSHIP_AS_OF_DATE","20101209")</f>
        <v/>
      </c>
      <c r="FT5">
        <f>BDS("HOPE US Equity","SUPPLY_CHAIN_CUSTOMERS","RELATIONSHIP_AS_OF_DATE","20101209")</f>
        <v/>
      </c>
      <c r="FY5">
        <f>BDS("SRGAQ US Equity","SUPPLY_CHAIN_SUPPLIERS","RELATIONSHIP_AS_OF_DATE","20071113")</f>
        <v/>
      </c>
      <c r="GD5">
        <f>BDS("SRGAQ US Equity","SUPPLY_CHAIN_CUSTOMERS","RELATIONSHIP_AS_OF_DATE","20071113")</f>
        <v/>
      </c>
      <c r="GI5">
        <f>BDS("ECL US Equity","SUPPLY_CHAIN_SUPPLIERS","RELATIONSHIP_AS_OF_DATE","20070807")</f>
        <v/>
      </c>
      <c r="GN5">
        <f>BDS("ECL US Equity","SUPPLY_CHAIN_CUSTOMERS","RELATIONSHIP_AS_OF_DATE","20070807")</f>
        <v/>
      </c>
      <c r="GS5">
        <f>BDS("KTOS US Equity","SUPPLY_CHAIN_SUPPLIERS","RELATIONSHIP_AS_OF_DATE","20110516")</f>
        <v/>
      </c>
      <c r="GX5">
        <f>BDS("KTOS US Equity","SUPPLY_CHAIN_CUSTOMERS","RELATIONSHIP_AS_OF_DATE","20110516")</f>
        <v/>
      </c>
      <c r="HC5">
        <f>BDS("ENDPQ US Equity","SUPPLY_CHAIN_SUPPLIERS","RELATIONSHIP_AS_OF_DATE","20100506")</f>
        <v/>
      </c>
      <c r="HH5">
        <f>BDS("ENDPQ US Equity","SUPPLY_CHAIN_CUSTOMERS","RELATIONSHIP_AS_OF_DATE","20100506")</f>
        <v/>
      </c>
      <c r="HM5">
        <f>BDS("DHI US Equity","SUPPLY_CHAIN_SUPPLIERS","RELATIONSHIP_AS_OF_DATE","20220414")</f>
        <v/>
      </c>
      <c r="HR5">
        <f>BDS("DHI US Equity","SUPPLY_CHAIN_CUSTOMERS","RELATIONSHIP_AS_OF_DATE","20220414")</f>
        <v/>
      </c>
      <c r="HW5">
        <f>BDS("MO US Equity","SUPPLY_CHAIN_SUPPLIERS","RELATIONSHIP_AS_OF_DATE","20000121")</f>
        <v/>
      </c>
      <c r="IB5">
        <f>BDS("MO US Equity","SUPPLY_CHAIN_CUSTOMERS","RELATIONSHIP_AS_OF_DATE","20000121")</f>
        <v/>
      </c>
      <c r="IG5">
        <f>BDS("FFWM US Equity","SUPPLY_CHAIN_SUPPLIERS","RELATIONSHIP_AS_OF_DATE","20210603")</f>
        <v/>
      </c>
      <c r="IL5">
        <f>BDS("FFWM US Equity","SUPPLY_CHAIN_CUSTOMERS","RELATIONSHIP_AS_OF_DATE","20210603")</f>
        <v/>
      </c>
      <c r="IQ5">
        <f>BDS("CMLS US Equity","SUPPLY_CHAIN_SUPPLIERS","RELATIONSHIP_AS_OF_DATE","20130830")</f>
        <v/>
      </c>
      <c r="IV5">
        <f>BDS("CMLS US Equity","SUPPLY_CHAIN_CUSTOMERS","RELATIONSHIP_AS_OF_DATE","20130830")</f>
        <v/>
      </c>
      <c r="JA5">
        <f>BDS("GHC US Equity","SUPPLY_CHAIN_SUPPLIERS","RELATIONSHIP_AS_OF_DATE","20210405")</f>
        <v/>
      </c>
      <c r="JF5">
        <f>BDS("GHC US Equity","SUPPLY_CHAIN_CUSTOMERS","RELATIONSHIP_AS_OF_DATE","20210405")</f>
        <v/>
      </c>
      <c r="JK5">
        <f>BDS("496112Q US Equity","SUPPLY_CHAIN_SUPPLIERS","RELATIONSHIP_AS_OF_DATE","19980529")</f>
        <v/>
      </c>
      <c r="JP5">
        <f>BDS("496112Q US Equity","SUPPLY_CHAIN_CUSTOMERS","RELATIONSHIP_AS_OF_DATE","19980529")</f>
        <v/>
      </c>
      <c r="JU5">
        <f>BDS("0964591D US Equity","SUPPLY_CHAIN_SUPPLIERS","RELATIONSHIP_AS_OF_DATE","20040308")</f>
        <v/>
      </c>
      <c r="JZ5">
        <f>BDS("0964591D US Equity","SUPPLY_CHAIN_CUSTOMERS","RELATIONSHIP_AS_OF_DATE","20040308")</f>
        <v/>
      </c>
      <c r="KE5">
        <f>BDS("1642488D US Equity","SUPPLY_CHAIN_SUPPLIERS","RELATIONSHIP_AS_OF_DATE","19991108")</f>
        <v/>
      </c>
      <c r="KJ5">
        <f>BDS("1642488D US Equity","SUPPLY_CHAIN_CUSTOMERS","RELATIONSHIP_AS_OF_DATE","19991108")</f>
        <v/>
      </c>
      <c r="KO5">
        <f>BDS("2860436Q US Equity","SUPPLY_CHAIN_SUPPLIERS","RELATIONSHIP_AS_OF_DATE","19991101")</f>
        <v/>
      </c>
      <c r="KT5">
        <f>BDS("2860436Q US Equity","SUPPLY_CHAIN_CUSTOMERS","RELATIONSHIP_AS_OF_DATE","19991101")</f>
        <v/>
      </c>
      <c r="KY5">
        <f>BDS("EXE US Equity","SUPPLY_CHAIN_SUPPLIERS","RELATIONSHIP_AS_OF_DATE","20000630")</f>
        <v/>
      </c>
      <c r="LD5">
        <f>BDS("EXE US Equity","SUPPLY_CHAIN_CUSTOMERS","RELATIONSHIP_AS_OF_DATE","20000630")</f>
        <v/>
      </c>
      <c r="LI5">
        <f>BDS("HFWA US Equity","SUPPLY_CHAIN_SUPPLIERS","RELATIONSHIP_AS_OF_DATE","20131023")</f>
        <v/>
      </c>
      <c r="LN5">
        <f>BDS("HFWA US Equity","SUPPLY_CHAIN_CUSTOMERS","RELATIONSHIP_AS_OF_DATE","20131023")</f>
        <v/>
      </c>
      <c r="LS5">
        <f>BDS("RFH US Equity","SUPPLY_CHAIN_SUPPLIERS","RELATIONSHIP_AS_OF_DATE","19980409")</f>
        <v/>
      </c>
      <c r="LX5">
        <f>BDS("RFH US Equity","SUPPLY_CHAIN_CUSTOMERS","RELATIONSHIP_AS_OF_DATE","19980409")</f>
        <v/>
      </c>
      <c r="MC5">
        <f>BDS("TFC US Equity","SUPPLY_CHAIN_SUPPLIERS","RELATIONSHIP_AS_OF_DATE","19990128")</f>
        <v/>
      </c>
      <c r="MH5">
        <f>BDS("TFC US Equity","SUPPLY_CHAIN_CUSTOMERS","RELATIONSHIP_AS_OF_DATE","19990128")</f>
        <v/>
      </c>
      <c r="MM5">
        <f>BDS("2993Q US Equity","SUPPLY_CHAIN_SUPPLIERS","RELATIONSHIP_AS_OF_DATE","19980624")</f>
        <v/>
      </c>
      <c r="MR5">
        <f>BDS("2993Q US Equity","SUPPLY_CHAIN_CUSTOMERS","RELATIONSHIP_AS_OF_DATE","19980624")</f>
        <v/>
      </c>
      <c r="MW5">
        <f>BDS("ATBA AV Equity","SUPPLY_CHAIN_SUPPLIERS","RELATIONSHIP_AS_OF_DATE","20021223")</f>
        <v/>
      </c>
      <c r="NB5">
        <f>BDS("ATBA AV Equity","SUPPLY_CHAIN_CUSTOMERS","RELATIONSHIP_AS_OF_DATE","20021223")</f>
        <v/>
      </c>
      <c r="NG5">
        <f>BDS("EWBC US Equity","SUPPLY_CHAIN_SUPPLIERS","RELATIONSHIP_AS_OF_DATE","20130918")</f>
        <v/>
      </c>
      <c r="NL5">
        <f>BDS("EWBC US Equity","SUPPLY_CHAIN_CUSTOMERS","RELATIONSHIP_AS_OF_DATE","20130918")</f>
        <v/>
      </c>
      <c r="NQ5">
        <f>BDS("ASNAQ US Equity","SUPPLY_CHAIN_SUPPLIERS","RELATIONSHIP_AS_OF_DATE","20090625")</f>
        <v/>
      </c>
      <c r="NV5">
        <f>BDS("ASNAQ US Equity","SUPPLY_CHAIN_CUSTOMERS","RELATIONSHIP_AS_OF_DATE","20090625")</f>
        <v/>
      </c>
      <c r="OA5">
        <f>BDS("SXC US Equity","SUPPLY_CHAIN_SUPPLIERS","RELATIONSHIP_AS_OF_DATE","20190205")</f>
        <v/>
      </c>
      <c r="OF5">
        <f>BDS("SXC US Equity","SUPPLY_CHAIN_CUSTOMERS","RELATIONSHIP_AS_OF_DATE","20190205")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2481</t>
        </is>
      </c>
      <c r="K1" s="1" t="inlineStr">
        <is>
          <t>Deal 2482</t>
        </is>
      </c>
      <c r="U1" s="1" t="inlineStr">
        <is>
          <t>Deal 2483</t>
        </is>
      </c>
      <c r="AE1" s="1" t="inlineStr">
        <is>
          <t>Deal 2484</t>
        </is>
      </c>
      <c r="AO1" s="1" t="inlineStr">
        <is>
          <t>Deal 2485</t>
        </is>
      </c>
      <c r="AY1" s="1" t="inlineStr">
        <is>
          <t>Deal 2486</t>
        </is>
      </c>
      <c r="BI1" s="1" t="inlineStr">
        <is>
          <t>Deal 2487</t>
        </is>
      </c>
      <c r="BS1" s="1" t="inlineStr">
        <is>
          <t>Deal 2488</t>
        </is>
      </c>
      <c r="CC1" s="1" t="inlineStr">
        <is>
          <t>Deal 2489</t>
        </is>
      </c>
      <c r="CM1" s="1" t="inlineStr">
        <is>
          <t>Deal 2490</t>
        </is>
      </c>
      <c r="CW1" s="1" t="inlineStr">
        <is>
          <t>Deal 2491</t>
        </is>
      </c>
      <c r="DG1" s="1" t="inlineStr">
        <is>
          <t>Deal 2492</t>
        </is>
      </c>
      <c r="DQ1" s="1" t="inlineStr">
        <is>
          <t>Deal 2493</t>
        </is>
      </c>
      <c r="EA1" s="1" t="inlineStr">
        <is>
          <t>Deal 2494</t>
        </is>
      </c>
      <c r="EK1" s="1" t="inlineStr">
        <is>
          <t>Deal 2495</t>
        </is>
      </c>
      <c r="EU1" s="1" t="inlineStr">
        <is>
          <t>Deal 2496</t>
        </is>
      </c>
      <c r="FE1" s="1" t="inlineStr">
        <is>
          <t>Deal 2497</t>
        </is>
      </c>
      <c r="FO1" s="1" t="inlineStr">
        <is>
          <t>Deal 2498</t>
        </is>
      </c>
      <c r="FY1" s="1" t="inlineStr">
        <is>
          <t>Deal 2499</t>
        </is>
      </c>
      <c r="GI1" s="1" t="inlineStr">
        <is>
          <t>Deal 2500</t>
        </is>
      </c>
      <c r="GS1" s="1" t="inlineStr">
        <is>
          <t>Deal 2501</t>
        </is>
      </c>
      <c r="HC1" s="1" t="inlineStr">
        <is>
          <t>Deal 2502</t>
        </is>
      </c>
      <c r="HM1" s="1" t="inlineStr">
        <is>
          <t>Deal 2503</t>
        </is>
      </c>
      <c r="HW1" s="1" t="inlineStr">
        <is>
          <t>Deal 2504</t>
        </is>
      </c>
      <c r="IG1" s="1" t="inlineStr">
        <is>
          <t>Deal 2505</t>
        </is>
      </c>
      <c r="IQ1" s="1" t="inlineStr">
        <is>
          <t>Deal 2506</t>
        </is>
      </c>
      <c r="JA1" s="1" t="inlineStr">
        <is>
          <t>Deal 2507</t>
        </is>
      </c>
      <c r="JK1" s="1" t="inlineStr">
        <is>
          <t>Deal 2508</t>
        </is>
      </c>
      <c r="JU1" s="1" t="inlineStr">
        <is>
          <t>Deal 2509</t>
        </is>
      </c>
      <c r="KE1" s="1" t="inlineStr">
        <is>
          <t>Deal 2510</t>
        </is>
      </c>
      <c r="KO1" s="1" t="inlineStr">
        <is>
          <t>Deal 2511</t>
        </is>
      </c>
      <c r="KY1" s="1" t="inlineStr">
        <is>
          <t>Deal 2512</t>
        </is>
      </c>
      <c r="LI1" s="1" t="inlineStr">
        <is>
          <t>Deal 2513</t>
        </is>
      </c>
      <c r="LS1" s="1" t="inlineStr">
        <is>
          <t>Deal 2514</t>
        </is>
      </c>
      <c r="MC1" s="1" t="inlineStr">
        <is>
          <t>Deal 2515</t>
        </is>
      </c>
      <c r="MM1" s="1" t="inlineStr">
        <is>
          <t>Deal 2516</t>
        </is>
      </c>
      <c r="MW1" s="1" t="inlineStr">
        <is>
          <t>Deal 2517</t>
        </is>
      </c>
      <c r="NG1" s="1" t="inlineStr">
        <is>
          <t>Deal 2518</t>
        </is>
      </c>
      <c r="NQ1" s="1" t="inlineStr">
        <is>
          <t>Deal 2519</t>
        </is>
      </c>
      <c r="OA1" s="1" t="inlineStr">
        <is>
          <t>Deal 2520</t>
        </is>
      </c>
    </row>
    <row r="2">
      <c r="A2" s="2" t="inlineStr">
        <is>
          <t>AIV US Equity</t>
        </is>
      </c>
      <c r="K2" s="2" t="inlineStr">
        <is>
          <t>FSCO US Equity</t>
        </is>
      </c>
      <c r="U2" s="2" t="inlineStr">
        <is>
          <t>2319518D US Equity</t>
        </is>
      </c>
      <c r="AE2" s="2" t="inlineStr">
        <is>
          <t>RVTY US Equity</t>
        </is>
      </c>
      <c r="AO2" s="2" t="inlineStr">
        <is>
          <t>YDKN US Equity</t>
        </is>
      </c>
      <c r="AY2" s="2" t="inlineStr">
        <is>
          <t>DFODQ US Equity</t>
        </is>
      </c>
      <c r="BI2" s="2" t="inlineStr">
        <is>
          <t>MCO US Equity</t>
        </is>
      </c>
      <c r="BS2" s="2" t="inlineStr">
        <is>
          <t>CDNS US Equity</t>
        </is>
      </c>
      <c r="CC2" s="2" t="inlineStr">
        <is>
          <t>1742858D US Equity</t>
        </is>
      </c>
      <c r="CM2" s="2" t="inlineStr">
        <is>
          <t>STEL US Equity</t>
        </is>
      </c>
      <c r="CW2" s="2" t="inlineStr">
        <is>
          <t>TFC US Equity</t>
        </is>
      </c>
      <c r="DG2" s="2" t="inlineStr">
        <is>
          <t>NEM US Equity</t>
        </is>
      </c>
      <c r="DQ2" s="2" t="inlineStr">
        <is>
          <t>9749933D US Equity</t>
        </is>
      </c>
      <c r="EA2" s="2" t="inlineStr">
        <is>
          <t>9994967D US Equity</t>
        </is>
      </c>
      <c r="EK2" s="2" t="inlineStr">
        <is>
          <t>ESGR US Equity</t>
        </is>
      </c>
      <c r="EU2" s="2" t="inlineStr">
        <is>
          <t>1260972D US Equity</t>
        </is>
      </c>
      <c r="FE2" s="2" t="inlineStr">
        <is>
          <t>2326248D US Equity</t>
        </is>
      </c>
      <c r="FO2" s="2" t="inlineStr">
        <is>
          <t>HPE US Equity</t>
        </is>
      </c>
      <c r="FY2" s="2" t="inlineStr">
        <is>
          <t>2269312Q US Equity</t>
        </is>
      </c>
      <c r="GI2" s="2" t="inlineStr">
        <is>
          <t>AXNT US Equity</t>
        </is>
      </c>
      <c r="GS2" s="2" t="inlineStr">
        <is>
          <t>2213185D US Equity</t>
        </is>
      </c>
      <c r="HC2" s="2" t="inlineStr">
        <is>
          <t>3499164Q US Equity</t>
        </is>
      </c>
      <c r="HM2" s="2" t="inlineStr">
        <is>
          <t>MTSI US Equity</t>
        </is>
      </c>
      <c r="HW2" s="2" t="inlineStr">
        <is>
          <t>FPI US Equity</t>
        </is>
      </c>
      <c r="IG2" s="2" t="inlineStr">
        <is>
          <t>RVTY US Equity</t>
        </is>
      </c>
      <c r="IQ2" s="2" t="inlineStr">
        <is>
          <t>TTEC US Equity</t>
        </is>
      </c>
      <c r="JA2" s="2" t="inlineStr">
        <is>
          <t>UCB US Equity</t>
        </is>
      </c>
      <c r="JK2" s="2" t="inlineStr">
        <is>
          <t>RNST US Equity</t>
        </is>
      </c>
      <c r="JU2" s="2" t="inlineStr">
        <is>
          <t>MOLX US Equity</t>
        </is>
      </c>
      <c r="KE2" s="2" t="inlineStr">
        <is>
          <t>TER US Equity</t>
        </is>
      </c>
      <c r="KO2" s="2" t="inlineStr">
        <is>
          <t>244630Q US Equity</t>
        </is>
      </c>
      <c r="KY2" s="2" t="inlineStr">
        <is>
          <t>ELX US Equity</t>
        </is>
      </c>
      <c r="LI2" s="2" t="inlineStr">
        <is>
          <t>CHZ US Equity</t>
        </is>
      </c>
      <c r="LS2" s="2" t="inlineStr">
        <is>
          <t>SKS US Equity</t>
        </is>
      </c>
      <c r="MC2" s="2" t="inlineStr">
        <is>
          <t>1986522D US Equity</t>
        </is>
      </c>
      <c r="MM2" s="2" t="inlineStr">
        <is>
          <t>STFC US Equity</t>
        </is>
      </c>
      <c r="MW2" s="2" t="inlineStr">
        <is>
          <t>NHC US Equity</t>
        </is>
      </c>
      <c r="NG2" s="2" t="inlineStr">
        <is>
          <t>605018Q US Equity</t>
        </is>
      </c>
      <c r="NQ2" s="2" t="inlineStr">
        <is>
          <t>CNOB US Equity</t>
        </is>
      </c>
      <c r="OA2" s="2" t="inlineStr">
        <is>
          <t>PRA US Equity</t>
        </is>
      </c>
    </row>
    <row r="3">
      <c r="A3" t="inlineStr">
        <is>
          <t>Ann: 2000-11-30</t>
        </is>
      </c>
      <c r="K3" t="inlineStr">
        <is>
          <t>Ann: 1998-02-19</t>
        </is>
      </c>
      <c r="U3" t="inlineStr">
        <is>
          <t>Ann: 1998-07-01</t>
        </is>
      </c>
      <c r="AE3" t="inlineStr">
        <is>
          <t>Ann: 1998-10-22</t>
        </is>
      </c>
      <c r="AO3" t="inlineStr">
        <is>
          <t>Ann: 2014-01-27</t>
        </is>
      </c>
      <c r="AY3" t="inlineStr">
        <is>
          <t>Ann: 2003-06-30</t>
        </is>
      </c>
      <c r="BI3" t="inlineStr">
        <is>
          <t>Ann: 2018-08-30</t>
        </is>
      </c>
      <c r="BS3" t="inlineStr">
        <is>
          <t>Ann: 2002-04-24</t>
        </is>
      </c>
      <c r="CC3" t="inlineStr">
        <is>
          <t>Ann: 1998-10-08</t>
        </is>
      </c>
      <c r="CM3" t="inlineStr">
        <is>
          <t>Ann: 2007-07-26</t>
        </is>
      </c>
      <c r="CW3" t="inlineStr">
        <is>
          <t>Ann: 1998-02-25</t>
        </is>
      </c>
      <c r="DG3" t="inlineStr">
        <is>
          <t>Ann: 1998-09-29</t>
        </is>
      </c>
      <c r="DQ3" t="inlineStr">
        <is>
          <t>Ann: 2015-10-07</t>
        </is>
      </c>
      <c r="EA3" t="inlineStr">
        <is>
          <t>Ann: 2002-11-27</t>
        </is>
      </c>
      <c r="EK3" t="inlineStr">
        <is>
          <t>Ann: 2012-08-27</t>
        </is>
      </c>
      <c r="EU3" t="inlineStr">
        <is>
          <t>Ann: 2000-02-16</t>
        </is>
      </c>
      <c r="FE3" t="inlineStr">
        <is>
          <t>Ann: 2005-04-07</t>
        </is>
      </c>
      <c r="FO3" t="inlineStr">
        <is>
          <t>Ann: 2016-08-11</t>
        </is>
      </c>
      <c r="FY3" t="inlineStr">
        <is>
          <t>Ann: 1999-07-15</t>
        </is>
      </c>
      <c r="GI3" t="inlineStr">
        <is>
          <t>Ann: 1997-12-01</t>
        </is>
      </c>
      <c r="GS3" t="inlineStr">
        <is>
          <t>Ann: 2001-04-30</t>
        </is>
      </c>
      <c r="HC3" t="inlineStr">
        <is>
          <t>Ann: 2000-02-28</t>
        </is>
      </c>
      <c r="HM3" t="inlineStr">
        <is>
          <t>Ann: 2013-11-05</t>
        </is>
      </c>
      <c r="HW3" t="inlineStr">
        <is>
          <t>Ann: 2016-09-12</t>
        </is>
      </c>
      <c r="IG3" t="inlineStr">
        <is>
          <t>Ann: 2007-10-01</t>
        </is>
      </c>
      <c r="IQ3" t="inlineStr">
        <is>
          <t>Ann: 2000-08-22</t>
        </is>
      </c>
      <c r="JA3" t="inlineStr">
        <is>
          <t>Ann: 2015-04-22</t>
        </is>
      </c>
      <c r="JK3" t="inlineStr">
        <is>
          <t>Ann: 2014-12-10</t>
        </is>
      </c>
      <c r="JU3" t="inlineStr">
        <is>
          <t>Ann: 2006-06-30</t>
        </is>
      </c>
      <c r="KE3" t="inlineStr">
        <is>
          <t>Ann: 2001-08-02</t>
        </is>
      </c>
      <c r="KO3" t="inlineStr">
        <is>
          <t>Ann: 1998-07-23</t>
        </is>
      </c>
      <c r="KY3" t="inlineStr">
        <is>
          <t>Ann: 2003-10-08</t>
        </is>
      </c>
      <c r="LI3" t="inlineStr">
        <is>
          <t>Ann: 2002-11-07</t>
        </is>
      </c>
      <c r="LS3" t="inlineStr">
        <is>
          <t>Ann: 1995-10-23</t>
        </is>
      </c>
      <c r="MC3" t="inlineStr">
        <is>
          <t>Ann: 2007-06-04</t>
        </is>
      </c>
      <c r="MM3" t="inlineStr">
        <is>
          <t>Ann: 2000-10-25</t>
        </is>
      </c>
      <c r="MW3" t="inlineStr">
        <is>
          <t>Ann: 2006-12-21</t>
        </is>
      </c>
      <c r="NG3" t="inlineStr">
        <is>
          <t>Ann: 2001-01-23</t>
        </is>
      </c>
      <c r="NQ3" t="inlineStr">
        <is>
          <t>Ann: 2014-01-21</t>
        </is>
      </c>
      <c r="OA3" t="inlineStr">
        <is>
          <t>Ann: 2000-06-23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BDS("AIV US Equity","SUPPLY_CHAIN_SUPPLIERS","RELATIONSHIP_AS_OF_DATE","20001130")</f>
        <v/>
      </c>
      <c r="F5">
        <f>BDS("AIV US Equity","SUPPLY_CHAIN_CUSTOMERS","RELATIONSHIP_AS_OF_DATE","20001130")</f>
        <v/>
      </c>
      <c r="K5">
        <f>BDS("FSCO US Equity","SUPPLY_CHAIN_SUPPLIERS","RELATIONSHIP_AS_OF_DATE","19980219")</f>
        <v/>
      </c>
      <c r="P5">
        <f>BDS("FSCO US Equity","SUPPLY_CHAIN_CUSTOMERS","RELATIONSHIP_AS_OF_DATE","19980219")</f>
        <v/>
      </c>
      <c r="U5">
        <f>BDS("2319518D US Equity","SUPPLY_CHAIN_SUPPLIERS","RELATIONSHIP_AS_OF_DATE","19980701")</f>
        <v/>
      </c>
      <c r="Z5">
        <f>BDS("2319518D US Equity","SUPPLY_CHAIN_CUSTOMERS","RELATIONSHIP_AS_OF_DATE","19980701")</f>
        <v/>
      </c>
      <c r="AE5">
        <f>BDS("RVTY US Equity","SUPPLY_CHAIN_SUPPLIERS","RELATIONSHIP_AS_OF_DATE","19981022")</f>
        <v/>
      </c>
      <c r="AJ5">
        <f>BDS("RVTY US Equity","SUPPLY_CHAIN_CUSTOMERS","RELATIONSHIP_AS_OF_DATE","19981022")</f>
        <v/>
      </c>
      <c r="AO5">
        <f>BDS("YDKN US Equity","SUPPLY_CHAIN_SUPPLIERS","RELATIONSHIP_AS_OF_DATE","20140127")</f>
        <v/>
      </c>
      <c r="AT5">
        <f>BDS("YDKN US Equity","SUPPLY_CHAIN_CUSTOMERS","RELATIONSHIP_AS_OF_DATE","20140127")</f>
        <v/>
      </c>
      <c r="AY5">
        <f>BDS("DFODQ US Equity","SUPPLY_CHAIN_SUPPLIERS","RELATIONSHIP_AS_OF_DATE","20030630")</f>
        <v/>
      </c>
      <c r="BD5">
        <f>BDS("DFODQ US Equity","SUPPLY_CHAIN_CUSTOMERS","RELATIONSHIP_AS_OF_DATE","20030630")</f>
        <v/>
      </c>
      <c r="BI5">
        <f>BDS("MCO US Equity","SUPPLY_CHAIN_SUPPLIERS","RELATIONSHIP_AS_OF_DATE","20180830")</f>
        <v/>
      </c>
      <c r="BN5">
        <f>BDS("MCO US Equity","SUPPLY_CHAIN_CUSTOMERS","RELATIONSHIP_AS_OF_DATE","20180830")</f>
        <v/>
      </c>
      <c r="BS5">
        <f>BDS("CDNS US Equity","SUPPLY_CHAIN_SUPPLIERS","RELATIONSHIP_AS_OF_DATE","20020424")</f>
        <v/>
      </c>
      <c r="BX5">
        <f>BDS("CDNS US Equity","SUPPLY_CHAIN_CUSTOMERS","RELATIONSHIP_AS_OF_DATE","20020424")</f>
        <v/>
      </c>
      <c r="CC5">
        <f>BDS("1742858D US Equity","SUPPLY_CHAIN_SUPPLIERS","RELATIONSHIP_AS_OF_DATE","19981008")</f>
        <v/>
      </c>
      <c r="CH5">
        <f>BDS("1742858D US Equity","SUPPLY_CHAIN_CUSTOMERS","RELATIONSHIP_AS_OF_DATE","19981008")</f>
        <v/>
      </c>
      <c r="CM5">
        <f>BDS("STEL US Equity","SUPPLY_CHAIN_SUPPLIERS","RELATIONSHIP_AS_OF_DATE","20070726")</f>
        <v/>
      </c>
      <c r="CR5">
        <f>BDS("STEL US Equity","SUPPLY_CHAIN_CUSTOMERS","RELATIONSHIP_AS_OF_DATE","20070726")</f>
        <v/>
      </c>
      <c r="CW5">
        <f>BDS("TFC US Equity","SUPPLY_CHAIN_SUPPLIERS","RELATIONSHIP_AS_OF_DATE","19980225")</f>
        <v/>
      </c>
      <c r="DB5">
        <f>BDS("TFC US Equity","SUPPLY_CHAIN_CUSTOMERS","RELATIONSHIP_AS_OF_DATE","19980225")</f>
        <v/>
      </c>
      <c r="DG5">
        <f>BDS("NEM US Equity","SUPPLY_CHAIN_SUPPLIERS","RELATIONSHIP_AS_OF_DATE","19980929")</f>
        <v/>
      </c>
      <c r="DL5">
        <f>BDS("NEM US Equity","SUPPLY_CHAIN_CUSTOMERS","RELATIONSHIP_AS_OF_DATE","19980929")</f>
        <v/>
      </c>
      <c r="DQ5">
        <f>BDS("9749933D US Equity","SUPPLY_CHAIN_SUPPLIERS","RELATIONSHIP_AS_OF_DATE","20151007")</f>
        <v/>
      </c>
      <c r="DV5">
        <f>BDS("9749933D US Equity","SUPPLY_CHAIN_CUSTOMERS","RELATIONSHIP_AS_OF_DATE","20151007")</f>
        <v/>
      </c>
      <c r="EA5">
        <f>BDS("9994967D US Equity","SUPPLY_CHAIN_SUPPLIERS","RELATIONSHIP_AS_OF_DATE","20021127")</f>
        <v/>
      </c>
      <c r="EF5">
        <f>BDS("9994967D US Equity","SUPPLY_CHAIN_CUSTOMERS","RELATIONSHIP_AS_OF_DATE","20021127")</f>
        <v/>
      </c>
      <c r="EK5">
        <f>BDS("ESGR US Equity","SUPPLY_CHAIN_SUPPLIERS","RELATIONSHIP_AS_OF_DATE","20120827")</f>
        <v/>
      </c>
      <c r="EP5">
        <f>BDS("ESGR US Equity","SUPPLY_CHAIN_CUSTOMERS","RELATIONSHIP_AS_OF_DATE","20120827")</f>
        <v/>
      </c>
      <c r="EU5">
        <f>BDS("1260972D US Equity","SUPPLY_CHAIN_SUPPLIERS","RELATIONSHIP_AS_OF_DATE","20000216")</f>
        <v/>
      </c>
      <c r="EZ5">
        <f>BDS("1260972D US Equity","SUPPLY_CHAIN_CUSTOMERS","RELATIONSHIP_AS_OF_DATE","20000216")</f>
        <v/>
      </c>
      <c r="FE5">
        <f>BDS("2326248D US Equity","SUPPLY_CHAIN_SUPPLIERS","RELATIONSHIP_AS_OF_DATE","20050407")</f>
        <v/>
      </c>
      <c r="FJ5">
        <f>BDS("2326248D US Equity","SUPPLY_CHAIN_CUSTOMERS","RELATIONSHIP_AS_OF_DATE","20050407")</f>
        <v/>
      </c>
      <c r="FO5">
        <f>BDS("HPE US Equity","SUPPLY_CHAIN_SUPPLIERS","RELATIONSHIP_AS_OF_DATE","20160811")</f>
        <v/>
      </c>
      <c r="FT5">
        <f>BDS("HPE US Equity","SUPPLY_CHAIN_CUSTOMERS","RELATIONSHIP_AS_OF_DATE","20160811")</f>
        <v/>
      </c>
      <c r="FY5">
        <f>BDS("2269312Q US Equity","SUPPLY_CHAIN_SUPPLIERS","RELATIONSHIP_AS_OF_DATE","19990715")</f>
        <v/>
      </c>
      <c r="GD5">
        <f>BDS("2269312Q US Equity","SUPPLY_CHAIN_CUSTOMERS","RELATIONSHIP_AS_OF_DATE","19990715")</f>
        <v/>
      </c>
      <c r="GI5">
        <f>BDS("AXNT US Equity","SUPPLY_CHAIN_SUPPLIERS","RELATIONSHIP_AS_OF_DATE","19971201")</f>
        <v/>
      </c>
      <c r="GN5">
        <f>BDS("AXNT US Equity","SUPPLY_CHAIN_CUSTOMERS","RELATIONSHIP_AS_OF_DATE","19971201")</f>
        <v/>
      </c>
      <c r="GS5">
        <f>BDS("2213185D US Equity","SUPPLY_CHAIN_SUPPLIERS","RELATIONSHIP_AS_OF_DATE","20010430")</f>
        <v/>
      </c>
      <c r="GX5">
        <f>BDS("2213185D US Equity","SUPPLY_CHAIN_CUSTOMERS","RELATIONSHIP_AS_OF_DATE","20010430")</f>
        <v/>
      </c>
      <c r="HC5">
        <f>BDS("3499164Q US Equity","SUPPLY_CHAIN_SUPPLIERS","RELATIONSHIP_AS_OF_DATE","20000228")</f>
        <v/>
      </c>
      <c r="HH5">
        <f>BDS("3499164Q US Equity","SUPPLY_CHAIN_CUSTOMERS","RELATIONSHIP_AS_OF_DATE","20000228")</f>
        <v/>
      </c>
      <c r="HM5">
        <f>BDS("MTSI US Equity","SUPPLY_CHAIN_SUPPLIERS","RELATIONSHIP_AS_OF_DATE","20131105")</f>
        <v/>
      </c>
      <c r="HR5">
        <f>BDS("MTSI US Equity","SUPPLY_CHAIN_CUSTOMERS","RELATIONSHIP_AS_OF_DATE","20131105")</f>
        <v/>
      </c>
      <c r="HW5">
        <f>BDS("FPI US Equity","SUPPLY_CHAIN_SUPPLIERS","RELATIONSHIP_AS_OF_DATE","20160912")</f>
        <v/>
      </c>
      <c r="IB5">
        <f>BDS("FPI US Equity","SUPPLY_CHAIN_CUSTOMERS","RELATIONSHIP_AS_OF_DATE","20160912")</f>
        <v/>
      </c>
      <c r="IG5">
        <f>BDS("RVTY US Equity","SUPPLY_CHAIN_SUPPLIERS","RELATIONSHIP_AS_OF_DATE","20071001")</f>
        <v/>
      </c>
      <c r="IL5">
        <f>BDS("RVTY US Equity","SUPPLY_CHAIN_CUSTOMERS","RELATIONSHIP_AS_OF_DATE","20071001")</f>
        <v/>
      </c>
      <c r="IQ5">
        <f>BDS("TTEC US Equity","SUPPLY_CHAIN_SUPPLIERS","RELATIONSHIP_AS_OF_DATE","20000822")</f>
        <v/>
      </c>
      <c r="IV5">
        <f>BDS("TTEC US Equity","SUPPLY_CHAIN_CUSTOMERS","RELATIONSHIP_AS_OF_DATE","20000822")</f>
        <v/>
      </c>
      <c r="JA5">
        <f>BDS("UCB US Equity","SUPPLY_CHAIN_SUPPLIERS","RELATIONSHIP_AS_OF_DATE","20150422")</f>
        <v/>
      </c>
      <c r="JF5">
        <f>BDS("UCB US Equity","SUPPLY_CHAIN_CUSTOMERS","RELATIONSHIP_AS_OF_DATE","20150422")</f>
        <v/>
      </c>
      <c r="JK5">
        <f>BDS("RNST US Equity","SUPPLY_CHAIN_SUPPLIERS","RELATIONSHIP_AS_OF_DATE","20141210")</f>
        <v/>
      </c>
      <c r="JP5">
        <f>BDS("RNST US Equity","SUPPLY_CHAIN_CUSTOMERS","RELATIONSHIP_AS_OF_DATE","20141210")</f>
        <v/>
      </c>
      <c r="JU5">
        <f>BDS("MOLX US Equity","SUPPLY_CHAIN_SUPPLIERS","RELATIONSHIP_AS_OF_DATE","20060630")</f>
        <v/>
      </c>
      <c r="JZ5">
        <f>BDS("MOLX US Equity","SUPPLY_CHAIN_CUSTOMERS","RELATIONSHIP_AS_OF_DATE","20060630")</f>
        <v/>
      </c>
      <c r="KE5">
        <f>BDS("TER US Equity","SUPPLY_CHAIN_SUPPLIERS","RELATIONSHIP_AS_OF_DATE","20010802")</f>
        <v/>
      </c>
      <c r="KJ5">
        <f>BDS("TER US Equity","SUPPLY_CHAIN_CUSTOMERS","RELATIONSHIP_AS_OF_DATE","20010802")</f>
        <v/>
      </c>
      <c r="KO5">
        <f>BDS("244630Q US Equity","SUPPLY_CHAIN_SUPPLIERS","RELATIONSHIP_AS_OF_DATE","19980723")</f>
        <v/>
      </c>
      <c r="KT5">
        <f>BDS("244630Q US Equity","SUPPLY_CHAIN_CUSTOMERS","RELATIONSHIP_AS_OF_DATE","19980723")</f>
        <v/>
      </c>
      <c r="KY5">
        <f>BDS("ELX US Equity","SUPPLY_CHAIN_SUPPLIERS","RELATIONSHIP_AS_OF_DATE","20031008")</f>
        <v/>
      </c>
      <c r="LD5">
        <f>BDS("ELX US Equity","SUPPLY_CHAIN_CUSTOMERS","RELATIONSHIP_AS_OF_DATE","20031008")</f>
        <v/>
      </c>
      <c r="LI5">
        <f>BDS("CHZ US Equity","SUPPLY_CHAIN_SUPPLIERS","RELATIONSHIP_AS_OF_DATE","20021107")</f>
        <v/>
      </c>
      <c r="LN5">
        <f>BDS("CHZ US Equity","SUPPLY_CHAIN_CUSTOMERS","RELATIONSHIP_AS_OF_DATE","20021107")</f>
        <v/>
      </c>
      <c r="LS5">
        <f>BDS("SKS US Equity","SUPPLY_CHAIN_SUPPLIERS","RELATIONSHIP_AS_OF_DATE","19951023")</f>
        <v/>
      </c>
      <c r="LX5">
        <f>BDS("SKS US Equity","SUPPLY_CHAIN_CUSTOMERS","RELATIONSHIP_AS_OF_DATE","19951023")</f>
        <v/>
      </c>
      <c r="MC5">
        <f>BDS("1986522D US Equity","SUPPLY_CHAIN_SUPPLIERS","RELATIONSHIP_AS_OF_DATE","20070604")</f>
        <v/>
      </c>
      <c r="MH5">
        <f>BDS("1986522D US Equity","SUPPLY_CHAIN_CUSTOMERS","RELATIONSHIP_AS_OF_DATE","20070604")</f>
        <v/>
      </c>
      <c r="MM5">
        <f>BDS("STFC US Equity","SUPPLY_CHAIN_SUPPLIERS","RELATIONSHIP_AS_OF_DATE","20001025")</f>
        <v/>
      </c>
      <c r="MR5">
        <f>BDS("STFC US Equity","SUPPLY_CHAIN_CUSTOMERS","RELATIONSHIP_AS_OF_DATE","20001025")</f>
        <v/>
      </c>
      <c r="MW5">
        <f>BDS("NHC US Equity","SUPPLY_CHAIN_SUPPLIERS","RELATIONSHIP_AS_OF_DATE","20061221")</f>
        <v/>
      </c>
      <c r="NB5">
        <f>BDS("NHC US Equity","SUPPLY_CHAIN_CUSTOMERS","RELATIONSHIP_AS_OF_DATE","20061221")</f>
        <v/>
      </c>
      <c r="NG5">
        <f>BDS("605018Q US Equity","SUPPLY_CHAIN_SUPPLIERS","RELATIONSHIP_AS_OF_DATE","20010123")</f>
        <v/>
      </c>
      <c r="NL5">
        <f>BDS("605018Q US Equity","SUPPLY_CHAIN_CUSTOMERS","RELATIONSHIP_AS_OF_DATE","20010123")</f>
        <v/>
      </c>
      <c r="NQ5">
        <f>BDS("CNOB US Equity","SUPPLY_CHAIN_SUPPLIERS","RELATIONSHIP_AS_OF_DATE","20140121")</f>
        <v/>
      </c>
      <c r="NV5">
        <f>BDS("CNOB US Equity","SUPPLY_CHAIN_CUSTOMERS","RELATIONSHIP_AS_OF_DATE","20140121")</f>
        <v/>
      </c>
      <c r="OA5">
        <f>BDS("PRA US Equity","SUPPLY_CHAIN_SUPPLIERS","RELATIONSHIP_AS_OF_DATE","20000623")</f>
        <v/>
      </c>
      <c r="OF5">
        <f>BDS("PRA US Equity","SUPPLY_CHAIN_CUSTOMERS","RELATIONSHIP_AS_OF_DATE","20000623")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2521</t>
        </is>
      </c>
      <c r="K1" s="1" t="inlineStr">
        <is>
          <t>Deal 2522</t>
        </is>
      </c>
      <c r="U1" s="1" t="inlineStr">
        <is>
          <t>Deal 2523</t>
        </is>
      </c>
      <c r="AE1" s="1" t="inlineStr">
        <is>
          <t>Deal 2524</t>
        </is>
      </c>
      <c r="AO1" s="1" t="inlineStr">
        <is>
          <t>Deal 2525</t>
        </is>
      </c>
      <c r="AY1" s="1" t="inlineStr">
        <is>
          <t>Deal 2526</t>
        </is>
      </c>
      <c r="BI1" s="1" t="inlineStr">
        <is>
          <t>Deal 2527</t>
        </is>
      </c>
      <c r="BS1" s="1" t="inlineStr">
        <is>
          <t>Deal 2528</t>
        </is>
      </c>
      <c r="CC1" s="1" t="inlineStr">
        <is>
          <t>Deal 2529</t>
        </is>
      </c>
      <c r="CM1" s="1" t="inlineStr">
        <is>
          <t>Deal 2530</t>
        </is>
      </c>
      <c r="CW1" s="1" t="inlineStr">
        <is>
          <t>Deal 2531</t>
        </is>
      </c>
      <c r="DG1" s="1" t="inlineStr">
        <is>
          <t>Deal 2532</t>
        </is>
      </c>
      <c r="DQ1" s="1" t="inlineStr">
        <is>
          <t>Deal 2533</t>
        </is>
      </c>
      <c r="EA1" s="1" t="inlineStr">
        <is>
          <t>Deal 2534</t>
        </is>
      </c>
      <c r="EK1" s="1" t="inlineStr">
        <is>
          <t>Deal 2535</t>
        </is>
      </c>
      <c r="EU1" s="1" t="inlineStr">
        <is>
          <t>Deal 2536</t>
        </is>
      </c>
      <c r="FE1" s="1" t="inlineStr">
        <is>
          <t>Deal 2537</t>
        </is>
      </c>
      <c r="FO1" s="1" t="inlineStr">
        <is>
          <t>Deal 2538</t>
        </is>
      </c>
      <c r="FY1" s="1" t="inlineStr">
        <is>
          <t>Deal 2539</t>
        </is>
      </c>
      <c r="GI1" s="1" t="inlineStr">
        <is>
          <t>Deal 2540</t>
        </is>
      </c>
      <c r="GS1" s="1" t="inlineStr">
        <is>
          <t>Deal 2541</t>
        </is>
      </c>
      <c r="HC1" s="1" t="inlineStr">
        <is>
          <t>Deal 2542</t>
        </is>
      </c>
      <c r="HM1" s="1" t="inlineStr">
        <is>
          <t>Deal 2543</t>
        </is>
      </c>
      <c r="HW1" s="1" t="inlineStr">
        <is>
          <t>Deal 2544</t>
        </is>
      </c>
      <c r="IG1" s="1" t="inlineStr">
        <is>
          <t>Deal 2545</t>
        </is>
      </c>
      <c r="IQ1" s="1" t="inlineStr">
        <is>
          <t>Deal 2546</t>
        </is>
      </c>
      <c r="JA1" s="1" t="inlineStr">
        <is>
          <t>Deal 2547</t>
        </is>
      </c>
      <c r="JK1" s="1" t="inlineStr">
        <is>
          <t>Deal 2548</t>
        </is>
      </c>
      <c r="JU1" s="1" t="inlineStr">
        <is>
          <t>Deal 2549</t>
        </is>
      </c>
      <c r="KE1" s="1" t="inlineStr">
        <is>
          <t>Deal 2550</t>
        </is>
      </c>
      <c r="KO1" s="1" t="inlineStr">
        <is>
          <t>Deal 2551</t>
        </is>
      </c>
      <c r="KY1" s="1" t="inlineStr">
        <is>
          <t>Deal 2552</t>
        </is>
      </c>
      <c r="LI1" s="1" t="inlineStr">
        <is>
          <t>Deal 2553</t>
        </is>
      </c>
      <c r="LS1" s="1" t="inlineStr">
        <is>
          <t>Deal 2554</t>
        </is>
      </c>
      <c r="MC1" s="1" t="inlineStr">
        <is>
          <t>Deal 2555</t>
        </is>
      </c>
      <c r="MM1" s="1" t="inlineStr">
        <is>
          <t>Deal 2556</t>
        </is>
      </c>
      <c r="MW1" s="1" t="inlineStr">
        <is>
          <t>Deal 2557</t>
        </is>
      </c>
      <c r="NG1" s="1" t="inlineStr">
        <is>
          <t>Deal 2558</t>
        </is>
      </c>
      <c r="NQ1" s="1" t="inlineStr">
        <is>
          <t>Deal 2559</t>
        </is>
      </c>
      <c r="OA1" s="1" t="inlineStr">
        <is>
          <t>Deal 2560</t>
        </is>
      </c>
    </row>
    <row r="2">
      <c r="A2" s="2" t="inlineStr">
        <is>
          <t>CTITQ US Equity</t>
        </is>
      </c>
      <c r="K2" s="2" t="inlineStr">
        <is>
          <t>PB US Equity</t>
        </is>
      </c>
      <c r="U2" s="2" t="inlineStr">
        <is>
          <t>VIAS US Equity</t>
        </is>
      </c>
      <c r="AE2" s="2" t="inlineStr">
        <is>
          <t>LFGRQ US Equity</t>
        </is>
      </c>
      <c r="AO2" s="2" t="inlineStr">
        <is>
          <t>NIC US Equity</t>
        </is>
      </c>
      <c r="AY2" s="2" t="inlineStr">
        <is>
          <t>CFR US Equity</t>
        </is>
      </c>
      <c r="BI2" s="2" t="inlineStr">
        <is>
          <t>GE US Equity</t>
        </is>
      </c>
      <c r="BS2" s="2" t="inlineStr">
        <is>
          <t>IBM US Equity</t>
        </is>
      </c>
      <c r="CC2" s="2" t="inlineStr">
        <is>
          <t>345605Q US Equity</t>
        </is>
      </c>
      <c r="CM2" s="2" t="inlineStr">
        <is>
          <t>UVSP US Equity</t>
        </is>
      </c>
      <c r="CW2" s="2" t="inlineStr">
        <is>
          <t>A US Equity</t>
        </is>
      </c>
      <c r="DG2" s="2" t="inlineStr">
        <is>
          <t>KR US Equity</t>
        </is>
      </c>
      <c r="DQ2" s="2" t="inlineStr">
        <is>
          <t>9980328D US Equity</t>
        </is>
      </c>
      <c r="EA2" s="2" t="inlineStr">
        <is>
          <t>FITB US Equity</t>
        </is>
      </c>
      <c r="EK2" s="2" t="inlineStr">
        <is>
          <t>TDY US Equity</t>
        </is>
      </c>
      <c r="EU2" s="2" t="inlineStr">
        <is>
          <t>RIG US Equity</t>
        </is>
      </c>
      <c r="FE2" s="2" t="inlineStr">
        <is>
          <t>SAH US Equity</t>
        </is>
      </c>
      <c r="FO2" s="2" t="inlineStr">
        <is>
          <t>SF US Equity</t>
        </is>
      </c>
      <c r="FY2" s="2" t="inlineStr">
        <is>
          <t>SOCNQ US Equity</t>
        </is>
      </c>
      <c r="GI2" s="2" t="inlineStr">
        <is>
          <t>201998Q US Equity</t>
        </is>
      </c>
      <c r="GS2" s="2" t="inlineStr">
        <is>
          <t>RCNI US Equity</t>
        </is>
      </c>
      <c r="HC2" s="2" t="inlineStr">
        <is>
          <t>GD US Equity</t>
        </is>
      </c>
      <c r="HM2" s="2" t="inlineStr">
        <is>
          <t>ORI US Equity</t>
        </is>
      </c>
      <c r="HW2" s="2" t="inlineStr">
        <is>
          <t>OK US Equity</t>
        </is>
      </c>
      <c r="IG2" s="2" t="inlineStr">
        <is>
          <t>GD US Equity</t>
        </is>
      </c>
      <c r="IQ2" s="2" t="inlineStr">
        <is>
          <t>UMPQ US Equity</t>
        </is>
      </c>
      <c r="JA2" s="2" t="inlineStr">
        <is>
          <t>PLCM US Equity</t>
        </is>
      </c>
      <c r="JK2" s="2" t="inlineStr">
        <is>
          <t>TSLA US Equity</t>
        </is>
      </c>
      <c r="JU2" s="2" t="inlineStr">
        <is>
          <t>WCG US Equity</t>
        </is>
      </c>
      <c r="KE2" s="2" t="inlineStr">
        <is>
          <t>INAPQ US Equity</t>
        </is>
      </c>
      <c r="KO2" s="2" t="inlineStr">
        <is>
          <t>ISLE US Equity</t>
        </is>
      </c>
      <c r="KY2" s="2" t="inlineStr">
        <is>
          <t>VSH US Equity</t>
        </is>
      </c>
      <c r="LI2" s="2" t="inlineStr">
        <is>
          <t>FULT US Equity</t>
        </is>
      </c>
      <c r="LS2" s="2" t="inlineStr">
        <is>
          <t>nan Equity</t>
        </is>
      </c>
      <c r="MC2" s="2" t="inlineStr">
        <is>
          <t>SLB US Equity</t>
        </is>
      </c>
      <c r="MM2" s="2" t="inlineStr">
        <is>
          <t>RC US Equity</t>
        </is>
      </c>
      <c r="MW2" s="2" t="inlineStr">
        <is>
          <t>RLR US Equity</t>
        </is>
      </c>
      <c r="NG2" s="2" t="inlineStr">
        <is>
          <t>PRDO US Equity</t>
        </is>
      </c>
      <c r="NQ2" s="2" t="inlineStr">
        <is>
          <t>AVX US Equity</t>
        </is>
      </c>
      <c r="OA2" s="2" t="inlineStr">
        <is>
          <t>BCR US Equity</t>
        </is>
      </c>
    </row>
    <row r="3">
      <c r="A3" t="inlineStr">
        <is>
          <t>Ann: 1999-02-16</t>
        </is>
      </c>
      <c r="K3" t="inlineStr">
        <is>
          <t>Ann: 2013-08-29</t>
        </is>
      </c>
      <c r="U3" t="inlineStr">
        <is>
          <t>Ann: 2012-04-04</t>
        </is>
      </c>
      <c r="AE3" t="inlineStr">
        <is>
          <t>Ann: 2006-03-29</t>
        </is>
      </c>
      <c r="AO3" t="inlineStr">
        <is>
          <t>Ann: 2021-04-12</t>
        </is>
      </c>
      <c r="AY3" t="inlineStr">
        <is>
          <t>Ann: 1998-02-17</t>
        </is>
      </c>
      <c r="BI3" t="inlineStr">
        <is>
          <t>Ann: 2004-06-01</t>
        </is>
      </c>
      <c r="BS3" t="inlineStr">
        <is>
          <t>Ann: 1999-07-27</t>
        </is>
      </c>
      <c r="CC3" t="inlineStr">
        <is>
          <t>Ann: 1999-12-14</t>
        </is>
      </c>
      <c r="CM3" t="inlineStr">
        <is>
          <t>Ann: 2015-12-08</t>
        </is>
      </c>
      <c r="CW3" t="inlineStr">
        <is>
          <t>Ann: 2007-04-06</t>
        </is>
      </c>
      <c r="DG3" t="inlineStr">
        <is>
          <t>Ann: 2014-07-02</t>
        </is>
      </c>
      <c r="DQ3" t="inlineStr">
        <is>
          <t>Ann: 2012-06-04</t>
        </is>
      </c>
      <c r="EA3" t="inlineStr">
        <is>
          <t>Ann: 2000-10-25</t>
        </is>
      </c>
      <c r="EK3" t="inlineStr">
        <is>
          <t>Ann: 2012-05-29</t>
        </is>
      </c>
      <c r="EU3" t="inlineStr">
        <is>
          <t>Ann: 2016-08-01</t>
        </is>
      </c>
      <c r="FE3" t="inlineStr">
        <is>
          <t>Ann: 1999-08-25</t>
        </is>
      </c>
      <c r="FO3" t="inlineStr">
        <is>
          <t>Ann: 2010-04-26</t>
        </is>
      </c>
      <c r="FY3" t="inlineStr">
        <is>
          <t>Ann: 1998-03-02</t>
        </is>
      </c>
      <c r="GI3" t="inlineStr">
        <is>
          <t>Ann: 1998-11-21</t>
        </is>
      </c>
      <c r="GS3" t="inlineStr">
        <is>
          <t>Ann: 2007-06-25</t>
        </is>
      </c>
      <c r="HC3" t="inlineStr">
        <is>
          <t>Ann: 2002-05-02</t>
        </is>
      </c>
      <c r="HM3" t="inlineStr">
        <is>
          <t>Ann: 2010-06-10</t>
        </is>
      </c>
      <c r="HW3" t="inlineStr">
        <is>
          <t>Ann: 1999-03-19</t>
        </is>
      </c>
      <c r="IG3" t="inlineStr">
        <is>
          <t>Ann: 2011-11-07</t>
        </is>
      </c>
      <c r="IQ3" t="inlineStr">
        <is>
          <t>Ann: 2002-07-23</t>
        </is>
      </c>
      <c r="JA3" t="inlineStr">
        <is>
          <t>Ann: 2001-05-24</t>
        </is>
      </c>
      <c r="JK3" t="inlineStr">
        <is>
          <t>Ann: 2019-02-04</t>
        </is>
      </c>
      <c r="JU3" t="inlineStr">
        <is>
          <t>Ann: 2016-11-17</t>
        </is>
      </c>
      <c r="KE3" t="inlineStr">
        <is>
          <t>Ann: 2000-05-30</t>
        </is>
      </c>
      <c r="KO3" t="inlineStr">
        <is>
          <t>Ann: 1999-10-06</t>
        </is>
      </c>
      <c r="KY3" t="inlineStr">
        <is>
          <t>Ann: 2005-03-03</t>
        </is>
      </c>
      <c r="LI3" t="inlineStr">
        <is>
          <t>Ann: 2022-03-02</t>
        </is>
      </c>
      <c r="LS3" t="inlineStr">
        <is>
          <t>Ann: 1998-03-13</t>
        </is>
      </c>
      <c r="MC3" t="inlineStr">
        <is>
          <t>Ann: 2000-02-01</t>
        </is>
      </c>
      <c r="MM3" t="inlineStr">
        <is>
          <t>Ann: 2018-11-07</t>
        </is>
      </c>
      <c r="MW3" t="inlineStr">
        <is>
          <t>Ann: 1999-07-22</t>
        </is>
      </c>
      <c r="NG3" t="inlineStr">
        <is>
          <t>Ann: 2003-03-26</t>
        </is>
      </c>
      <c r="NQ3" t="inlineStr">
        <is>
          <t>Ann: 2007-06-18</t>
        </is>
      </c>
      <c r="OA3" t="inlineStr">
        <is>
          <t>Ann: 2013-09-04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BDS("CTITQ US Equity","SUPPLY_CHAIN_SUPPLIERS","RELATIONSHIP_AS_OF_DATE","19990216")</f>
        <v/>
      </c>
      <c r="F5">
        <f>BDS("CTITQ US Equity","SUPPLY_CHAIN_CUSTOMERS","RELATIONSHIP_AS_OF_DATE","19990216")</f>
        <v/>
      </c>
      <c r="K5">
        <f>BDS("PB US Equity","SUPPLY_CHAIN_SUPPLIERS","RELATIONSHIP_AS_OF_DATE","20130829")</f>
        <v/>
      </c>
      <c r="P5">
        <f>BDS("PB US Equity","SUPPLY_CHAIN_CUSTOMERS","RELATIONSHIP_AS_OF_DATE","20130829")</f>
        <v/>
      </c>
      <c r="U5">
        <f>BDS("VIAS US Equity","SUPPLY_CHAIN_SUPPLIERS","RELATIONSHIP_AS_OF_DATE","20120404")</f>
        <v/>
      </c>
      <c r="Z5">
        <f>BDS("VIAS US Equity","SUPPLY_CHAIN_CUSTOMERS","RELATIONSHIP_AS_OF_DATE","20120404")</f>
        <v/>
      </c>
      <c r="AE5">
        <f>BDS("LFGRQ US Equity","SUPPLY_CHAIN_SUPPLIERS","RELATIONSHIP_AS_OF_DATE","20060329")</f>
        <v/>
      </c>
      <c r="AJ5">
        <f>BDS("LFGRQ US Equity","SUPPLY_CHAIN_CUSTOMERS","RELATIONSHIP_AS_OF_DATE","20060329")</f>
        <v/>
      </c>
      <c r="AO5">
        <f>BDS("NIC US Equity","SUPPLY_CHAIN_SUPPLIERS","RELATIONSHIP_AS_OF_DATE","20210412")</f>
        <v/>
      </c>
      <c r="AT5">
        <f>BDS("NIC US Equity","SUPPLY_CHAIN_CUSTOMERS","RELATIONSHIP_AS_OF_DATE","20210412")</f>
        <v/>
      </c>
      <c r="AY5">
        <f>BDS("CFR US Equity","SUPPLY_CHAIN_SUPPLIERS","RELATIONSHIP_AS_OF_DATE","19980217")</f>
        <v/>
      </c>
      <c r="BD5">
        <f>BDS("CFR US Equity","SUPPLY_CHAIN_CUSTOMERS","RELATIONSHIP_AS_OF_DATE","19980217")</f>
        <v/>
      </c>
      <c r="BI5">
        <f>BDS("GE US Equity","SUPPLY_CHAIN_SUPPLIERS","RELATIONSHIP_AS_OF_DATE","20040601")</f>
        <v/>
      </c>
      <c r="BN5">
        <f>BDS("GE US Equity","SUPPLY_CHAIN_CUSTOMERS","RELATIONSHIP_AS_OF_DATE","20040601")</f>
        <v/>
      </c>
      <c r="BS5">
        <f>BDS("IBM US Equity","SUPPLY_CHAIN_SUPPLIERS","RELATIONSHIP_AS_OF_DATE","19990727")</f>
        <v/>
      </c>
      <c r="BX5">
        <f>BDS("IBM US Equity","SUPPLY_CHAIN_CUSTOMERS","RELATIONSHIP_AS_OF_DATE","19990727")</f>
        <v/>
      </c>
      <c r="CC5">
        <f>BDS("345605Q US Equity","SUPPLY_CHAIN_SUPPLIERS","RELATIONSHIP_AS_OF_DATE","19991214")</f>
        <v/>
      </c>
      <c r="CH5">
        <f>BDS("345605Q US Equity","SUPPLY_CHAIN_CUSTOMERS","RELATIONSHIP_AS_OF_DATE","19991214")</f>
        <v/>
      </c>
      <c r="CM5">
        <f>BDS("UVSP US Equity","SUPPLY_CHAIN_SUPPLIERS","RELATIONSHIP_AS_OF_DATE","20151208")</f>
        <v/>
      </c>
      <c r="CR5">
        <f>BDS("UVSP US Equity","SUPPLY_CHAIN_CUSTOMERS","RELATIONSHIP_AS_OF_DATE","20151208")</f>
        <v/>
      </c>
      <c r="CW5">
        <f>BDS("A US Equity","SUPPLY_CHAIN_SUPPLIERS","RELATIONSHIP_AS_OF_DATE","20070406")</f>
        <v/>
      </c>
      <c r="DB5">
        <f>BDS("A US Equity","SUPPLY_CHAIN_CUSTOMERS","RELATIONSHIP_AS_OF_DATE","20070406")</f>
        <v/>
      </c>
      <c r="DG5">
        <f>BDS("KR US Equity","SUPPLY_CHAIN_SUPPLIERS","RELATIONSHIP_AS_OF_DATE","20140702")</f>
        <v/>
      </c>
      <c r="DL5">
        <f>BDS("KR US Equity","SUPPLY_CHAIN_CUSTOMERS","RELATIONSHIP_AS_OF_DATE","20140702")</f>
        <v/>
      </c>
      <c r="DQ5">
        <f>BDS("9980328D US Equity","SUPPLY_CHAIN_SUPPLIERS","RELATIONSHIP_AS_OF_DATE","20120604")</f>
        <v/>
      </c>
      <c r="DV5">
        <f>BDS("9980328D US Equity","SUPPLY_CHAIN_CUSTOMERS","RELATIONSHIP_AS_OF_DATE","20120604")</f>
        <v/>
      </c>
      <c r="EA5">
        <f>BDS("FITB US Equity","SUPPLY_CHAIN_SUPPLIERS","RELATIONSHIP_AS_OF_DATE","20001025")</f>
        <v/>
      </c>
      <c r="EF5">
        <f>BDS("FITB US Equity","SUPPLY_CHAIN_CUSTOMERS","RELATIONSHIP_AS_OF_DATE","20001025")</f>
        <v/>
      </c>
      <c r="EK5">
        <f>BDS("TDY US Equity","SUPPLY_CHAIN_SUPPLIERS","RELATIONSHIP_AS_OF_DATE","20120529")</f>
        <v/>
      </c>
      <c r="EP5">
        <f>BDS("TDY US Equity","SUPPLY_CHAIN_CUSTOMERS","RELATIONSHIP_AS_OF_DATE","20120529")</f>
        <v/>
      </c>
      <c r="EU5">
        <f>BDS("RIG US Equity","SUPPLY_CHAIN_SUPPLIERS","RELATIONSHIP_AS_OF_DATE","20160801")</f>
        <v/>
      </c>
      <c r="EZ5">
        <f>BDS("RIG US Equity","SUPPLY_CHAIN_CUSTOMERS","RELATIONSHIP_AS_OF_DATE","20160801")</f>
        <v/>
      </c>
      <c r="FE5">
        <f>BDS("SAH US Equity","SUPPLY_CHAIN_SUPPLIERS","RELATIONSHIP_AS_OF_DATE","19990825")</f>
        <v/>
      </c>
      <c r="FJ5">
        <f>BDS("SAH US Equity","SUPPLY_CHAIN_CUSTOMERS","RELATIONSHIP_AS_OF_DATE","19990825")</f>
        <v/>
      </c>
      <c r="FO5">
        <f>BDS("SF US Equity","SUPPLY_CHAIN_SUPPLIERS","RELATIONSHIP_AS_OF_DATE","20100426")</f>
        <v/>
      </c>
      <c r="FT5">
        <f>BDS("SF US Equity","SUPPLY_CHAIN_CUSTOMERS","RELATIONSHIP_AS_OF_DATE","20100426")</f>
        <v/>
      </c>
      <c r="FY5">
        <f>BDS("SOCNQ US Equity","SUPPLY_CHAIN_SUPPLIERS","RELATIONSHIP_AS_OF_DATE","19980302")</f>
        <v/>
      </c>
      <c r="GD5">
        <f>BDS("SOCNQ US Equity","SUPPLY_CHAIN_CUSTOMERS","RELATIONSHIP_AS_OF_DATE","19980302")</f>
        <v/>
      </c>
      <c r="GI5">
        <f>BDS("201998Q US Equity","SUPPLY_CHAIN_SUPPLIERS","RELATIONSHIP_AS_OF_DATE","19981121")</f>
        <v/>
      </c>
      <c r="GN5">
        <f>BDS("201998Q US Equity","SUPPLY_CHAIN_CUSTOMERS","RELATIONSHIP_AS_OF_DATE","19981121")</f>
        <v/>
      </c>
      <c r="GS5">
        <f>BDS("RCNI US Equity","SUPPLY_CHAIN_SUPPLIERS","RELATIONSHIP_AS_OF_DATE","20070625")</f>
        <v/>
      </c>
      <c r="GX5">
        <f>BDS("RCNI US Equity","SUPPLY_CHAIN_CUSTOMERS","RELATIONSHIP_AS_OF_DATE","20070625")</f>
        <v/>
      </c>
      <c r="HC5">
        <f>BDS("GD US Equity","SUPPLY_CHAIN_SUPPLIERS","RELATIONSHIP_AS_OF_DATE","20020502")</f>
        <v/>
      </c>
      <c r="HH5">
        <f>BDS("GD US Equity","SUPPLY_CHAIN_CUSTOMERS","RELATIONSHIP_AS_OF_DATE","20020502")</f>
        <v/>
      </c>
      <c r="HM5">
        <f>BDS("ORI US Equity","SUPPLY_CHAIN_SUPPLIERS","RELATIONSHIP_AS_OF_DATE","20100610")</f>
        <v/>
      </c>
      <c r="HR5">
        <f>BDS("ORI US Equity","SUPPLY_CHAIN_CUSTOMERS","RELATIONSHIP_AS_OF_DATE","20100610")</f>
        <v/>
      </c>
      <c r="HW5">
        <f>BDS("OK US Equity","SUPPLY_CHAIN_SUPPLIERS","RELATIONSHIP_AS_OF_DATE","19990319")</f>
        <v/>
      </c>
      <c r="IB5">
        <f>BDS("OK US Equity","SUPPLY_CHAIN_CUSTOMERS","RELATIONSHIP_AS_OF_DATE","19990319")</f>
        <v/>
      </c>
      <c r="IG5">
        <f>BDS("GD US Equity","SUPPLY_CHAIN_SUPPLIERS","RELATIONSHIP_AS_OF_DATE","20111107")</f>
        <v/>
      </c>
      <c r="IL5">
        <f>BDS("GD US Equity","SUPPLY_CHAIN_CUSTOMERS","RELATIONSHIP_AS_OF_DATE","20111107")</f>
        <v/>
      </c>
      <c r="IQ5">
        <f>BDS("UMPQ US Equity","SUPPLY_CHAIN_SUPPLIERS","RELATIONSHIP_AS_OF_DATE","20020723")</f>
        <v/>
      </c>
      <c r="IV5">
        <f>BDS("UMPQ US Equity","SUPPLY_CHAIN_CUSTOMERS","RELATIONSHIP_AS_OF_DATE","20020723")</f>
        <v/>
      </c>
      <c r="JA5">
        <f>BDS("PLCM US Equity","SUPPLY_CHAIN_SUPPLIERS","RELATIONSHIP_AS_OF_DATE","20010524")</f>
        <v/>
      </c>
      <c r="JF5">
        <f>BDS("PLCM US Equity","SUPPLY_CHAIN_CUSTOMERS","RELATIONSHIP_AS_OF_DATE","20010524")</f>
        <v/>
      </c>
      <c r="JK5">
        <f>BDS("TSLA US Equity","SUPPLY_CHAIN_SUPPLIERS","RELATIONSHIP_AS_OF_DATE","20190204")</f>
        <v/>
      </c>
      <c r="JP5">
        <f>BDS("TSLA US Equity","SUPPLY_CHAIN_CUSTOMERS","RELATIONSHIP_AS_OF_DATE","20190204")</f>
        <v/>
      </c>
      <c r="JU5">
        <f>BDS("WCG US Equity","SUPPLY_CHAIN_SUPPLIERS","RELATIONSHIP_AS_OF_DATE","20161117")</f>
        <v/>
      </c>
      <c r="JZ5">
        <f>BDS("WCG US Equity","SUPPLY_CHAIN_CUSTOMERS","RELATIONSHIP_AS_OF_DATE","20161117")</f>
        <v/>
      </c>
      <c r="KE5">
        <f>BDS("INAPQ US Equity","SUPPLY_CHAIN_SUPPLIERS","RELATIONSHIP_AS_OF_DATE","20000530")</f>
        <v/>
      </c>
      <c r="KJ5">
        <f>BDS("INAPQ US Equity","SUPPLY_CHAIN_CUSTOMERS","RELATIONSHIP_AS_OF_DATE","20000530")</f>
        <v/>
      </c>
      <c r="KO5">
        <f>BDS("ISLE US Equity","SUPPLY_CHAIN_SUPPLIERS","RELATIONSHIP_AS_OF_DATE","19991006")</f>
        <v/>
      </c>
      <c r="KT5">
        <f>BDS("ISLE US Equity","SUPPLY_CHAIN_CUSTOMERS","RELATIONSHIP_AS_OF_DATE","19991006")</f>
        <v/>
      </c>
      <c r="KY5">
        <f>BDS("VSH US Equity","SUPPLY_CHAIN_SUPPLIERS","RELATIONSHIP_AS_OF_DATE","20050303")</f>
        <v/>
      </c>
      <c r="LD5">
        <f>BDS("VSH US Equity","SUPPLY_CHAIN_CUSTOMERS","RELATIONSHIP_AS_OF_DATE","20050303")</f>
        <v/>
      </c>
      <c r="LI5">
        <f>BDS("FULT US Equity","SUPPLY_CHAIN_SUPPLIERS","RELATIONSHIP_AS_OF_DATE","20220302")</f>
        <v/>
      </c>
      <c r="LN5">
        <f>BDS("FULT US Equity","SUPPLY_CHAIN_CUSTOMERS","RELATIONSHIP_AS_OF_DATE","20220302")</f>
        <v/>
      </c>
      <c r="LS5">
        <f>BDS("nan Equity","SUPPLY_CHAIN_SUPPLIERS","RELATIONSHIP_AS_OF_DATE","19980313")</f>
        <v/>
      </c>
      <c r="LX5">
        <f>BDS("nan Equity","SUPPLY_CHAIN_CUSTOMERS","RELATIONSHIP_AS_OF_DATE","19980313")</f>
        <v/>
      </c>
      <c r="MC5">
        <f>BDS("SLB US Equity","SUPPLY_CHAIN_SUPPLIERS","RELATIONSHIP_AS_OF_DATE","20000201")</f>
        <v/>
      </c>
      <c r="MH5">
        <f>BDS("SLB US Equity","SUPPLY_CHAIN_CUSTOMERS","RELATIONSHIP_AS_OF_DATE","20000201")</f>
        <v/>
      </c>
      <c r="MM5">
        <f>BDS("RC US Equity","SUPPLY_CHAIN_SUPPLIERS","RELATIONSHIP_AS_OF_DATE","20181107")</f>
        <v/>
      </c>
      <c r="MR5">
        <f>BDS("RC US Equity","SUPPLY_CHAIN_CUSTOMERS","RELATIONSHIP_AS_OF_DATE","20181107")</f>
        <v/>
      </c>
      <c r="MW5">
        <f>BDS("RLR US Equity","SUPPLY_CHAIN_SUPPLIERS","RELATIONSHIP_AS_OF_DATE","19990722")</f>
        <v/>
      </c>
      <c r="NB5">
        <f>BDS("RLR US Equity","SUPPLY_CHAIN_CUSTOMERS","RELATIONSHIP_AS_OF_DATE","19990722")</f>
        <v/>
      </c>
      <c r="NG5">
        <f>BDS("PRDO US Equity","SUPPLY_CHAIN_SUPPLIERS","RELATIONSHIP_AS_OF_DATE","20030326")</f>
        <v/>
      </c>
      <c r="NL5">
        <f>BDS("PRDO US Equity","SUPPLY_CHAIN_CUSTOMERS","RELATIONSHIP_AS_OF_DATE","20030326")</f>
        <v/>
      </c>
      <c r="NQ5">
        <f>BDS("AVX US Equity","SUPPLY_CHAIN_SUPPLIERS","RELATIONSHIP_AS_OF_DATE","20070618")</f>
        <v/>
      </c>
      <c r="NV5">
        <f>BDS("AVX US Equity","SUPPLY_CHAIN_CUSTOMERS","RELATIONSHIP_AS_OF_DATE","20070618")</f>
        <v/>
      </c>
      <c r="OA5">
        <f>BDS("BCR US Equity","SUPPLY_CHAIN_SUPPLIERS","RELATIONSHIP_AS_OF_DATE","20130904")</f>
        <v/>
      </c>
      <c r="OF5">
        <f>BDS("BCR US Equity","SUPPLY_CHAIN_CUSTOMERS","RELATIONSHIP_AS_OF_DATE","20130904")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2561</t>
        </is>
      </c>
      <c r="K1" s="1" t="inlineStr">
        <is>
          <t>Deal 2562</t>
        </is>
      </c>
      <c r="U1" s="1" t="inlineStr">
        <is>
          <t>Deal 2563</t>
        </is>
      </c>
      <c r="AE1" s="1" t="inlineStr">
        <is>
          <t>Deal 2564</t>
        </is>
      </c>
      <c r="AO1" s="1" t="inlineStr">
        <is>
          <t>Deal 2565</t>
        </is>
      </c>
      <c r="AY1" s="1" t="inlineStr">
        <is>
          <t>Deal 2566</t>
        </is>
      </c>
      <c r="BI1" s="1" t="inlineStr">
        <is>
          <t>Deal 2567</t>
        </is>
      </c>
      <c r="BS1" s="1" t="inlineStr">
        <is>
          <t>Deal 2568</t>
        </is>
      </c>
      <c r="CC1" s="1" t="inlineStr">
        <is>
          <t>Deal 2569</t>
        </is>
      </c>
      <c r="CM1" s="1" t="inlineStr">
        <is>
          <t>Deal 2570</t>
        </is>
      </c>
      <c r="CW1" s="1" t="inlineStr">
        <is>
          <t>Deal 2571</t>
        </is>
      </c>
      <c r="DG1" s="1" t="inlineStr">
        <is>
          <t>Deal 2572</t>
        </is>
      </c>
      <c r="DQ1" s="1" t="inlineStr">
        <is>
          <t>Deal 2573</t>
        </is>
      </c>
      <c r="EA1" s="1" t="inlineStr">
        <is>
          <t>Deal 2574</t>
        </is>
      </c>
      <c r="EK1" s="1" t="inlineStr">
        <is>
          <t>Deal 2575</t>
        </is>
      </c>
      <c r="EU1" s="1" t="inlineStr">
        <is>
          <t>Deal 2576</t>
        </is>
      </c>
      <c r="FE1" s="1" t="inlineStr">
        <is>
          <t>Deal 2577</t>
        </is>
      </c>
      <c r="FO1" s="1" t="inlineStr">
        <is>
          <t>Deal 2578</t>
        </is>
      </c>
      <c r="FY1" s="1" t="inlineStr">
        <is>
          <t>Deal 2579</t>
        </is>
      </c>
      <c r="GI1" s="1" t="inlineStr">
        <is>
          <t>Deal 2580</t>
        </is>
      </c>
      <c r="GS1" s="1" t="inlineStr">
        <is>
          <t>Deal 2581</t>
        </is>
      </c>
      <c r="HC1" s="1" t="inlineStr">
        <is>
          <t>Deal 2582</t>
        </is>
      </c>
      <c r="HM1" s="1" t="inlineStr">
        <is>
          <t>Deal 2583</t>
        </is>
      </c>
      <c r="HW1" s="1" t="inlineStr">
        <is>
          <t>Deal 2584</t>
        </is>
      </c>
      <c r="IG1" s="1" t="inlineStr">
        <is>
          <t>Deal 2585</t>
        </is>
      </c>
      <c r="IQ1" s="1" t="inlineStr">
        <is>
          <t>Deal 2586</t>
        </is>
      </c>
      <c r="JA1" s="1" t="inlineStr">
        <is>
          <t>Deal 2587</t>
        </is>
      </c>
      <c r="JK1" s="1" t="inlineStr">
        <is>
          <t>Deal 2588</t>
        </is>
      </c>
      <c r="JU1" s="1" t="inlineStr">
        <is>
          <t>Deal 2589</t>
        </is>
      </c>
      <c r="KE1" s="1" t="inlineStr">
        <is>
          <t>Deal 2590</t>
        </is>
      </c>
      <c r="KO1" s="1" t="inlineStr">
        <is>
          <t>Deal 2591</t>
        </is>
      </c>
      <c r="KY1" s="1" t="inlineStr">
        <is>
          <t>Deal 2592</t>
        </is>
      </c>
      <c r="LI1" s="1" t="inlineStr">
        <is>
          <t>Deal 2593</t>
        </is>
      </c>
      <c r="LS1" s="1" t="inlineStr">
        <is>
          <t>Deal 2594</t>
        </is>
      </c>
      <c r="MC1" s="1" t="inlineStr">
        <is>
          <t>Deal 2595</t>
        </is>
      </c>
      <c r="MM1" s="1" t="inlineStr">
        <is>
          <t>Deal 2596</t>
        </is>
      </c>
      <c r="MW1" s="1" t="inlineStr">
        <is>
          <t>Deal 2597</t>
        </is>
      </c>
      <c r="NG1" s="1" t="inlineStr">
        <is>
          <t>Deal 2598</t>
        </is>
      </c>
      <c r="NQ1" s="1" t="inlineStr">
        <is>
          <t>Deal 2599</t>
        </is>
      </c>
      <c r="OA1" s="1" t="inlineStr">
        <is>
          <t>Deal 2600</t>
        </is>
      </c>
    </row>
    <row r="2">
      <c r="A2" s="2" t="inlineStr">
        <is>
          <t>ATBA AV Equity</t>
        </is>
      </c>
      <c r="K2" s="2" t="inlineStr">
        <is>
          <t>MDT US Equity</t>
        </is>
      </c>
      <c r="U2" s="2" t="inlineStr">
        <is>
          <t>MSCC US Equity</t>
        </is>
      </c>
      <c r="AE2" s="2" t="inlineStr">
        <is>
          <t>OCR US Equity</t>
        </is>
      </c>
      <c r="AO2" s="2" t="inlineStr">
        <is>
          <t>ENDPQ US Equity</t>
        </is>
      </c>
      <c r="AY2" s="2" t="inlineStr">
        <is>
          <t>1280712D US Equity</t>
        </is>
      </c>
      <c r="BI2" s="2" t="inlineStr">
        <is>
          <t>FNFG US Equity</t>
        </is>
      </c>
      <c r="BS2" s="2" t="inlineStr">
        <is>
          <t>JNY US Equity</t>
        </is>
      </c>
      <c r="CC2" s="2" t="inlineStr">
        <is>
          <t>BAX US Equity</t>
        </is>
      </c>
      <c r="CM2" s="2" t="inlineStr">
        <is>
          <t>MDCC US Equity</t>
        </is>
      </c>
      <c r="CW2" s="2" t="inlineStr">
        <is>
          <t>QTRN US Equity</t>
        </is>
      </c>
      <c r="DG2" s="2" t="inlineStr">
        <is>
          <t>PB US Equity</t>
        </is>
      </c>
      <c r="DQ2" s="2" t="inlineStr">
        <is>
          <t>ILA US Equity</t>
        </is>
      </c>
      <c r="EA2" s="2" t="inlineStr">
        <is>
          <t>2983744Q US Equity</t>
        </is>
      </c>
      <c r="EK2" s="2" t="inlineStr">
        <is>
          <t>JAH US Equity</t>
        </is>
      </c>
      <c r="EU2" s="2" t="inlineStr">
        <is>
          <t>MHK US Equity</t>
        </is>
      </c>
      <c r="FE2" s="2" t="inlineStr">
        <is>
          <t>HIB US Equity</t>
        </is>
      </c>
      <c r="FO2" s="2" t="inlineStr">
        <is>
          <t>FRME US Equity</t>
        </is>
      </c>
      <c r="FY2" s="2" t="inlineStr">
        <is>
          <t>WFC US Equity</t>
        </is>
      </c>
      <c r="GI2" s="2" t="inlineStr">
        <is>
          <t>BRKL US Equity</t>
        </is>
      </c>
      <c r="GS2" s="2" t="inlineStr">
        <is>
          <t>AMZN US Equity</t>
        </is>
      </c>
      <c r="HC2" s="2" t="inlineStr">
        <is>
          <t>NBTB US Equity</t>
        </is>
      </c>
      <c r="HM2" s="2" t="inlineStr">
        <is>
          <t>ANCX US Equity</t>
        </is>
      </c>
      <c r="HW2" s="2" t="inlineStr">
        <is>
          <t>PLCM US Equity</t>
        </is>
      </c>
      <c r="IG2" s="2" t="inlineStr">
        <is>
          <t>PRA US Equity</t>
        </is>
      </c>
      <c r="IQ2" s="2" t="inlineStr">
        <is>
          <t>CSFL US Equity</t>
        </is>
      </c>
      <c r="JA2" s="2" t="inlineStr">
        <is>
          <t>BUSE US Equity</t>
        </is>
      </c>
      <c r="JK2" s="2" t="inlineStr">
        <is>
          <t>9876544D US Equity</t>
        </is>
      </c>
      <c r="JU2" s="2" t="inlineStr">
        <is>
          <t>VSAT US Equity</t>
        </is>
      </c>
      <c r="KE2" s="2" t="inlineStr">
        <is>
          <t>FLIR US Equity</t>
        </is>
      </c>
      <c r="KO2" s="2" t="inlineStr">
        <is>
          <t>0772031D US Equity</t>
        </is>
      </c>
      <c r="KY2" s="2" t="inlineStr">
        <is>
          <t>OK US Equity</t>
        </is>
      </c>
      <c r="LI2" s="2" t="inlineStr">
        <is>
          <t>SSP US Equity</t>
        </is>
      </c>
      <c r="LS2" s="2" t="inlineStr">
        <is>
          <t>CBCGQ US Equity</t>
        </is>
      </c>
      <c r="MC2" s="2" t="inlineStr">
        <is>
          <t>NBR US Equity</t>
        </is>
      </c>
      <c r="MM2" s="2" t="inlineStr">
        <is>
          <t>TDS US Equity</t>
        </is>
      </c>
      <c r="MW2" s="2" t="inlineStr">
        <is>
          <t>JDAS US Equity</t>
        </is>
      </c>
      <c r="NG2" s="2" t="inlineStr">
        <is>
          <t>SNEX US Equity</t>
        </is>
      </c>
      <c r="NQ2" s="2" t="inlineStr">
        <is>
          <t>TFC US Equity</t>
        </is>
      </c>
      <c r="OA2" s="2" t="inlineStr">
        <is>
          <t>MCHP US Equity</t>
        </is>
      </c>
    </row>
    <row r="3">
      <c r="A3" t="inlineStr">
        <is>
          <t>Ann: 2011-11-01</t>
        </is>
      </c>
      <c r="K3" t="inlineStr">
        <is>
          <t>Ann: 2001-12-06</t>
        </is>
      </c>
      <c r="U3" t="inlineStr">
        <is>
          <t>Ann: 2013-10-21</t>
        </is>
      </c>
      <c r="AE3" t="inlineStr">
        <is>
          <t>Ann: 1997-08-08</t>
        </is>
      </c>
      <c r="AO3" t="inlineStr">
        <is>
          <t>Ann: 1999-11-29</t>
        </is>
      </c>
      <c r="AY3" t="inlineStr">
        <is>
          <t>Ann: 2002-08-12</t>
        </is>
      </c>
      <c r="BI3" t="inlineStr">
        <is>
          <t>Ann: 2009-07-27</t>
        </is>
      </c>
      <c r="BS3" t="inlineStr">
        <is>
          <t>Ann: 2003-08-05</t>
        </is>
      </c>
      <c r="CC3" t="inlineStr">
        <is>
          <t>Ann: 1999-11-18</t>
        </is>
      </c>
      <c r="CM3" t="inlineStr">
        <is>
          <t>Ann: 2000-06-08</t>
        </is>
      </c>
      <c r="CW3" t="inlineStr">
        <is>
          <t>Ann: 1998-12-15</t>
        </is>
      </c>
      <c r="DG3" t="inlineStr">
        <is>
          <t>Ann: 2005-11-16</t>
        </is>
      </c>
      <c r="DQ3" t="inlineStr">
        <is>
          <t>Ann: 1999-03-05</t>
        </is>
      </c>
      <c r="EA3" t="inlineStr">
        <is>
          <t>Ann: 1998-04-09</t>
        </is>
      </c>
      <c r="EK3" t="inlineStr">
        <is>
          <t>Ann: 2004-02-26</t>
        </is>
      </c>
      <c r="EU3" t="inlineStr">
        <is>
          <t>Ann: 1998-11-12</t>
        </is>
      </c>
      <c r="FE3" t="inlineStr">
        <is>
          <t>Ann: 2003-12-02</t>
        </is>
      </c>
      <c r="FO3" t="inlineStr">
        <is>
          <t>Ann: 2017-02-17</t>
        </is>
      </c>
      <c r="FY3" t="inlineStr">
        <is>
          <t>Ann: 2000-07-07</t>
        </is>
      </c>
      <c r="GI3" t="inlineStr">
        <is>
          <t>Ann: 2011-04-20</t>
        </is>
      </c>
      <c r="GS3" t="inlineStr">
        <is>
          <t>Ann: 2008-01-31</t>
        </is>
      </c>
      <c r="HC3" t="inlineStr">
        <is>
          <t>Ann: 2012-10-08</t>
        </is>
      </c>
      <c r="HM3" t="inlineStr">
        <is>
          <t>Ann: 2016-10-24</t>
        </is>
      </c>
      <c r="HW3" t="inlineStr">
        <is>
          <t>Ann: 2007-02-07</t>
        </is>
      </c>
      <c r="IG3" t="inlineStr">
        <is>
          <t>Ann: 2010-09-01</t>
        </is>
      </c>
      <c r="IQ3" t="inlineStr">
        <is>
          <t>Ann: 2018-04-24</t>
        </is>
      </c>
      <c r="JA3" t="inlineStr">
        <is>
          <t>Ann: 2017-02-06</t>
        </is>
      </c>
      <c r="JK3" t="inlineStr">
        <is>
          <t>Ann: 1999-03-11</t>
        </is>
      </c>
      <c r="JU3" t="inlineStr">
        <is>
          <t>Ann: 2020-12-21</t>
        </is>
      </c>
      <c r="KE3" t="inlineStr">
        <is>
          <t>Ann: 2010-08-16</t>
        </is>
      </c>
      <c r="KO3" t="inlineStr">
        <is>
          <t>Ann: 1998-09-14</t>
        </is>
      </c>
      <c r="KY3" t="inlineStr">
        <is>
          <t>Ann: 1999-02-24</t>
        </is>
      </c>
      <c r="LI3" t="inlineStr">
        <is>
          <t>Ann: 2003-12-19</t>
        </is>
      </c>
      <c r="LS3" t="inlineStr">
        <is>
          <t>Ann: 2005-01-18</t>
        </is>
      </c>
      <c r="MC3" t="inlineStr">
        <is>
          <t>Ann: 1998-10-19</t>
        </is>
      </c>
      <c r="MM3" t="inlineStr">
        <is>
          <t>Ann: 2000-11-27</t>
        </is>
      </c>
      <c r="MW3" t="inlineStr">
        <is>
          <t>Ann: 2009-11-05</t>
        </is>
      </c>
      <c r="NG3" t="inlineStr">
        <is>
          <t>Ann: 2020-02-27</t>
        </is>
      </c>
      <c r="NQ3" t="inlineStr">
        <is>
          <t>Ann: 2000-07-27</t>
        </is>
      </c>
      <c r="OA3" t="inlineStr">
        <is>
          <t>Ann: 2014-02-10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BDS("ATBA AV Equity","SUPPLY_CHAIN_SUPPLIERS","RELATIONSHIP_AS_OF_DATE","20111101")</f>
        <v/>
      </c>
      <c r="F5">
        <f>BDS("ATBA AV Equity","SUPPLY_CHAIN_CUSTOMERS","RELATIONSHIP_AS_OF_DATE","20111101")</f>
        <v/>
      </c>
      <c r="K5">
        <f>BDS("MDT US Equity","SUPPLY_CHAIN_SUPPLIERS","RELATIONSHIP_AS_OF_DATE","20011206")</f>
        <v/>
      </c>
      <c r="P5">
        <f>BDS("MDT US Equity","SUPPLY_CHAIN_CUSTOMERS","RELATIONSHIP_AS_OF_DATE","20011206")</f>
        <v/>
      </c>
      <c r="U5">
        <f>BDS("MSCC US Equity","SUPPLY_CHAIN_SUPPLIERS","RELATIONSHIP_AS_OF_DATE","20131021")</f>
        <v/>
      </c>
      <c r="Z5">
        <f>BDS("MSCC US Equity","SUPPLY_CHAIN_CUSTOMERS","RELATIONSHIP_AS_OF_DATE","20131021")</f>
        <v/>
      </c>
      <c r="AE5">
        <f>BDS("OCR US Equity","SUPPLY_CHAIN_SUPPLIERS","RELATIONSHIP_AS_OF_DATE","19970808")</f>
        <v/>
      </c>
      <c r="AJ5">
        <f>BDS("OCR US Equity","SUPPLY_CHAIN_CUSTOMERS","RELATIONSHIP_AS_OF_DATE","19970808")</f>
        <v/>
      </c>
      <c r="AO5">
        <f>BDS("ENDPQ US Equity","SUPPLY_CHAIN_SUPPLIERS","RELATIONSHIP_AS_OF_DATE","19991129")</f>
        <v/>
      </c>
      <c r="AT5">
        <f>BDS("ENDPQ US Equity","SUPPLY_CHAIN_CUSTOMERS","RELATIONSHIP_AS_OF_DATE","19991129")</f>
        <v/>
      </c>
      <c r="AY5">
        <f>BDS("1280712D US Equity","SUPPLY_CHAIN_SUPPLIERS","RELATIONSHIP_AS_OF_DATE","20020812")</f>
        <v/>
      </c>
      <c r="BD5">
        <f>BDS("1280712D US Equity","SUPPLY_CHAIN_CUSTOMERS","RELATIONSHIP_AS_OF_DATE","20020812")</f>
        <v/>
      </c>
      <c r="BI5">
        <f>BDS("FNFG US Equity","SUPPLY_CHAIN_SUPPLIERS","RELATIONSHIP_AS_OF_DATE","20090727")</f>
        <v/>
      </c>
      <c r="BN5">
        <f>BDS("FNFG US Equity","SUPPLY_CHAIN_CUSTOMERS","RELATIONSHIP_AS_OF_DATE","20090727")</f>
        <v/>
      </c>
      <c r="BS5">
        <f>BDS("JNY US Equity","SUPPLY_CHAIN_SUPPLIERS","RELATIONSHIP_AS_OF_DATE","20030805")</f>
        <v/>
      </c>
      <c r="BX5">
        <f>BDS("JNY US Equity","SUPPLY_CHAIN_CUSTOMERS","RELATIONSHIP_AS_OF_DATE","20030805")</f>
        <v/>
      </c>
      <c r="CC5">
        <f>BDS("BAX US Equity","SUPPLY_CHAIN_SUPPLIERS","RELATIONSHIP_AS_OF_DATE","19991118")</f>
        <v/>
      </c>
      <c r="CH5">
        <f>BDS("BAX US Equity","SUPPLY_CHAIN_CUSTOMERS","RELATIONSHIP_AS_OF_DATE","19991118")</f>
        <v/>
      </c>
      <c r="CM5">
        <f>BDS("MDCC US Equity","SUPPLY_CHAIN_SUPPLIERS","RELATIONSHIP_AS_OF_DATE","20000608")</f>
        <v/>
      </c>
      <c r="CR5">
        <f>BDS("MDCC US Equity","SUPPLY_CHAIN_CUSTOMERS","RELATIONSHIP_AS_OF_DATE","20000608")</f>
        <v/>
      </c>
      <c r="CW5">
        <f>BDS("QTRN US Equity","SUPPLY_CHAIN_SUPPLIERS","RELATIONSHIP_AS_OF_DATE","19981215")</f>
        <v/>
      </c>
      <c r="DB5">
        <f>BDS("QTRN US Equity","SUPPLY_CHAIN_CUSTOMERS","RELATIONSHIP_AS_OF_DATE","19981215")</f>
        <v/>
      </c>
      <c r="DG5">
        <f>BDS("PB US Equity","SUPPLY_CHAIN_SUPPLIERS","RELATIONSHIP_AS_OF_DATE","20051116")</f>
        <v/>
      </c>
      <c r="DL5">
        <f>BDS("PB US Equity","SUPPLY_CHAIN_CUSTOMERS","RELATIONSHIP_AS_OF_DATE","20051116")</f>
        <v/>
      </c>
      <c r="DQ5">
        <f>BDS("ILA US Equity","SUPPLY_CHAIN_SUPPLIERS","RELATIONSHIP_AS_OF_DATE","19990305")</f>
        <v/>
      </c>
      <c r="DV5">
        <f>BDS("ILA US Equity","SUPPLY_CHAIN_CUSTOMERS","RELATIONSHIP_AS_OF_DATE","19990305")</f>
        <v/>
      </c>
      <c r="EA5">
        <f>BDS("2983744Q US Equity","SUPPLY_CHAIN_SUPPLIERS","RELATIONSHIP_AS_OF_DATE","19980409")</f>
        <v/>
      </c>
      <c r="EF5">
        <f>BDS("2983744Q US Equity","SUPPLY_CHAIN_CUSTOMERS","RELATIONSHIP_AS_OF_DATE","19980409")</f>
        <v/>
      </c>
      <c r="EK5">
        <f>BDS("JAH US Equity","SUPPLY_CHAIN_SUPPLIERS","RELATIONSHIP_AS_OF_DATE","20040226")</f>
        <v/>
      </c>
      <c r="EP5">
        <f>BDS("JAH US Equity","SUPPLY_CHAIN_CUSTOMERS","RELATIONSHIP_AS_OF_DATE","20040226")</f>
        <v/>
      </c>
      <c r="EU5">
        <f>BDS("MHK US Equity","SUPPLY_CHAIN_SUPPLIERS","RELATIONSHIP_AS_OF_DATE","19981112")</f>
        <v/>
      </c>
      <c r="EZ5">
        <f>BDS("MHK US Equity","SUPPLY_CHAIN_CUSTOMERS","RELATIONSHIP_AS_OF_DATE","19981112")</f>
        <v/>
      </c>
      <c r="FE5">
        <f>BDS("HIB US Equity","SUPPLY_CHAIN_SUPPLIERS","RELATIONSHIP_AS_OF_DATE","20031202")</f>
        <v/>
      </c>
      <c r="FJ5">
        <f>BDS("HIB US Equity","SUPPLY_CHAIN_CUSTOMERS","RELATIONSHIP_AS_OF_DATE","20031202")</f>
        <v/>
      </c>
      <c r="FO5">
        <f>BDS("FRME US Equity","SUPPLY_CHAIN_SUPPLIERS","RELATIONSHIP_AS_OF_DATE","20170217")</f>
        <v/>
      </c>
      <c r="FT5">
        <f>BDS("FRME US Equity","SUPPLY_CHAIN_CUSTOMERS","RELATIONSHIP_AS_OF_DATE","20170217")</f>
        <v/>
      </c>
      <c r="FY5">
        <f>BDS("WFC US Equity","SUPPLY_CHAIN_SUPPLIERS","RELATIONSHIP_AS_OF_DATE","20000707")</f>
        <v/>
      </c>
      <c r="GD5">
        <f>BDS("WFC US Equity","SUPPLY_CHAIN_CUSTOMERS","RELATIONSHIP_AS_OF_DATE","20000707")</f>
        <v/>
      </c>
      <c r="GI5">
        <f>BDS("BRKL US Equity","SUPPLY_CHAIN_SUPPLIERS","RELATIONSHIP_AS_OF_DATE","20110420")</f>
        <v/>
      </c>
      <c r="GN5">
        <f>BDS("BRKL US Equity","SUPPLY_CHAIN_CUSTOMERS","RELATIONSHIP_AS_OF_DATE","20110420")</f>
        <v/>
      </c>
      <c r="GS5">
        <f>BDS("AMZN US Equity","SUPPLY_CHAIN_SUPPLIERS","RELATIONSHIP_AS_OF_DATE","20080131")</f>
        <v/>
      </c>
      <c r="GX5">
        <f>BDS("AMZN US Equity","SUPPLY_CHAIN_CUSTOMERS","RELATIONSHIP_AS_OF_DATE","20080131")</f>
        <v/>
      </c>
      <c r="HC5">
        <f>BDS("NBTB US Equity","SUPPLY_CHAIN_SUPPLIERS","RELATIONSHIP_AS_OF_DATE","20121008")</f>
        <v/>
      </c>
      <c r="HH5">
        <f>BDS("NBTB US Equity","SUPPLY_CHAIN_CUSTOMERS","RELATIONSHIP_AS_OF_DATE","20121008")</f>
        <v/>
      </c>
      <c r="HM5">
        <f>BDS("ANCX US Equity","SUPPLY_CHAIN_SUPPLIERS","RELATIONSHIP_AS_OF_DATE","20161024")</f>
        <v/>
      </c>
      <c r="HR5">
        <f>BDS("ANCX US Equity","SUPPLY_CHAIN_CUSTOMERS","RELATIONSHIP_AS_OF_DATE","20161024")</f>
        <v/>
      </c>
      <c r="HW5">
        <f>BDS("PLCM US Equity","SUPPLY_CHAIN_SUPPLIERS","RELATIONSHIP_AS_OF_DATE","20070207")</f>
        <v/>
      </c>
      <c r="IB5">
        <f>BDS("PLCM US Equity","SUPPLY_CHAIN_CUSTOMERS","RELATIONSHIP_AS_OF_DATE","20070207")</f>
        <v/>
      </c>
      <c r="IG5">
        <f>BDS("PRA US Equity","SUPPLY_CHAIN_SUPPLIERS","RELATIONSHIP_AS_OF_DATE","20100901")</f>
        <v/>
      </c>
      <c r="IL5">
        <f>BDS("PRA US Equity","SUPPLY_CHAIN_CUSTOMERS","RELATIONSHIP_AS_OF_DATE","20100901")</f>
        <v/>
      </c>
      <c r="IQ5">
        <f>BDS("CSFL US Equity","SUPPLY_CHAIN_SUPPLIERS","RELATIONSHIP_AS_OF_DATE","20180424")</f>
        <v/>
      </c>
      <c r="IV5">
        <f>BDS("CSFL US Equity","SUPPLY_CHAIN_CUSTOMERS","RELATIONSHIP_AS_OF_DATE","20180424")</f>
        <v/>
      </c>
      <c r="JA5">
        <f>BDS("BUSE US Equity","SUPPLY_CHAIN_SUPPLIERS","RELATIONSHIP_AS_OF_DATE","20170206")</f>
        <v/>
      </c>
      <c r="JF5">
        <f>BDS("BUSE US Equity","SUPPLY_CHAIN_CUSTOMERS","RELATIONSHIP_AS_OF_DATE","20170206")</f>
        <v/>
      </c>
      <c r="JK5">
        <f>BDS("9876544D US Equity","SUPPLY_CHAIN_SUPPLIERS","RELATIONSHIP_AS_OF_DATE","19990311")</f>
        <v/>
      </c>
      <c r="JP5">
        <f>BDS("9876544D US Equity","SUPPLY_CHAIN_CUSTOMERS","RELATIONSHIP_AS_OF_DATE","19990311")</f>
        <v/>
      </c>
      <c r="JU5">
        <f>BDS("VSAT US Equity","SUPPLY_CHAIN_SUPPLIERS","RELATIONSHIP_AS_OF_DATE","20201221")</f>
        <v/>
      </c>
      <c r="JZ5">
        <f>BDS("VSAT US Equity","SUPPLY_CHAIN_CUSTOMERS","RELATIONSHIP_AS_OF_DATE","20201221")</f>
        <v/>
      </c>
      <c r="KE5">
        <f>BDS("FLIR US Equity","SUPPLY_CHAIN_SUPPLIERS","RELATIONSHIP_AS_OF_DATE","20100816")</f>
        <v/>
      </c>
      <c r="KJ5">
        <f>BDS("FLIR US Equity","SUPPLY_CHAIN_CUSTOMERS","RELATIONSHIP_AS_OF_DATE","20100816")</f>
        <v/>
      </c>
      <c r="KO5">
        <f>BDS("0772031D US Equity","SUPPLY_CHAIN_SUPPLIERS","RELATIONSHIP_AS_OF_DATE","19980914")</f>
        <v/>
      </c>
      <c r="KT5">
        <f>BDS("0772031D US Equity","SUPPLY_CHAIN_CUSTOMERS","RELATIONSHIP_AS_OF_DATE","19980914")</f>
        <v/>
      </c>
      <c r="KY5">
        <f>BDS("OK US Equity","SUPPLY_CHAIN_SUPPLIERS","RELATIONSHIP_AS_OF_DATE","19990224")</f>
        <v/>
      </c>
      <c r="LD5">
        <f>BDS("OK US Equity","SUPPLY_CHAIN_CUSTOMERS","RELATIONSHIP_AS_OF_DATE","19990224")</f>
        <v/>
      </c>
      <c r="LI5">
        <f>BDS("SSP US Equity","SUPPLY_CHAIN_SUPPLIERS","RELATIONSHIP_AS_OF_DATE","20031219")</f>
        <v/>
      </c>
      <c r="LN5">
        <f>BDS("SSP US Equity","SUPPLY_CHAIN_CUSTOMERS","RELATIONSHIP_AS_OF_DATE","20031219")</f>
        <v/>
      </c>
      <c r="LS5">
        <f>BDS("CBCGQ US Equity","SUPPLY_CHAIN_SUPPLIERS","RELATIONSHIP_AS_OF_DATE","20050118")</f>
        <v/>
      </c>
      <c r="LX5">
        <f>BDS("CBCGQ US Equity","SUPPLY_CHAIN_CUSTOMERS","RELATIONSHIP_AS_OF_DATE","20050118")</f>
        <v/>
      </c>
      <c r="MC5">
        <f>BDS("NBR US Equity","SUPPLY_CHAIN_SUPPLIERS","RELATIONSHIP_AS_OF_DATE","19981019")</f>
        <v/>
      </c>
      <c r="MH5">
        <f>BDS("NBR US Equity","SUPPLY_CHAIN_CUSTOMERS","RELATIONSHIP_AS_OF_DATE","19981019")</f>
        <v/>
      </c>
      <c r="MM5">
        <f>BDS("TDS US Equity","SUPPLY_CHAIN_SUPPLIERS","RELATIONSHIP_AS_OF_DATE","20001127")</f>
        <v/>
      </c>
      <c r="MR5">
        <f>BDS("TDS US Equity","SUPPLY_CHAIN_CUSTOMERS","RELATIONSHIP_AS_OF_DATE","20001127")</f>
        <v/>
      </c>
      <c r="MW5">
        <f>BDS("JDAS US Equity","SUPPLY_CHAIN_SUPPLIERS","RELATIONSHIP_AS_OF_DATE","20091105")</f>
        <v/>
      </c>
      <c r="NB5">
        <f>BDS("JDAS US Equity","SUPPLY_CHAIN_CUSTOMERS","RELATIONSHIP_AS_OF_DATE","20091105")</f>
        <v/>
      </c>
      <c r="NG5">
        <f>BDS("SNEX US Equity","SUPPLY_CHAIN_SUPPLIERS","RELATIONSHIP_AS_OF_DATE","20200227")</f>
        <v/>
      </c>
      <c r="NL5">
        <f>BDS("SNEX US Equity","SUPPLY_CHAIN_CUSTOMERS","RELATIONSHIP_AS_OF_DATE","20200227")</f>
        <v/>
      </c>
      <c r="NQ5">
        <f>BDS("TFC US Equity","SUPPLY_CHAIN_SUPPLIERS","RELATIONSHIP_AS_OF_DATE","20000727")</f>
        <v/>
      </c>
      <c r="NV5">
        <f>BDS("TFC US Equity","SUPPLY_CHAIN_CUSTOMERS","RELATIONSHIP_AS_OF_DATE","20000727")</f>
        <v/>
      </c>
      <c r="OA5">
        <f>BDS("MCHP US Equity","SUPPLY_CHAIN_SUPPLIERS","RELATIONSHIP_AS_OF_DATE","20140210")</f>
        <v/>
      </c>
      <c r="OF5">
        <f>BDS("MCHP US Equity","SUPPLY_CHAIN_CUSTOMERS","RELATIONSHIP_AS_OF_DATE","20140210")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2601</t>
        </is>
      </c>
      <c r="K1" s="1" t="inlineStr">
        <is>
          <t>Deal 2602</t>
        </is>
      </c>
      <c r="U1" s="1" t="inlineStr">
        <is>
          <t>Deal 2603</t>
        </is>
      </c>
      <c r="AE1" s="1" t="inlineStr">
        <is>
          <t>Deal 2604</t>
        </is>
      </c>
      <c r="AO1" s="1" t="inlineStr">
        <is>
          <t>Deal 2605</t>
        </is>
      </c>
      <c r="AY1" s="1" t="inlineStr">
        <is>
          <t>Deal 2606</t>
        </is>
      </c>
      <c r="BI1" s="1" t="inlineStr">
        <is>
          <t>Deal 2607</t>
        </is>
      </c>
      <c r="BS1" s="1" t="inlineStr">
        <is>
          <t>Deal 2608</t>
        </is>
      </c>
      <c r="CC1" s="1" t="inlineStr">
        <is>
          <t>Deal 2609</t>
        </is>
      </c>
      <c r="CM1" s="1" t="inlineStr">
        <is>
          <t>Deal 2610</t>
        </is>
      </c>
      <c r="CW1" s="1" t="inlineStr">
        <is>
          <t>Deal 2611</t>
        </is>
      </c>
      <c r="DG1" s="1" t="inlineStr">
        <is>
          <t>Deal 2612</t>
        </is>
      </c>
      <c r="DQ1" s="1" t="inlineStr">
        <is>
          <t>Deal 2613</t>
        </is>
      </c>
      <c r="EA1" s="1" t="inlineStr">
        <is>
          <t>Deal 2614</t>
        </is>
      </c>
      <c r="EK1" s="1" t="inlineStr">
        <is>
          <t>Deal 2615</t>
        </is>
      </c>
      <c r="EU1" s="1" t="inlineStr">
        <is>
          <t>Deal 2616</t>
        </is>
      </c>
      <c r="FE1" s="1" t="inlineStr">
        <is>
          <t>Deal 2617</t>
        </is>
      </c>
      <c r="FO1" s="1" t="inlineStr">
        <is>
          <t>Deal 2618</t>
        </is>
      </c>
      <c r="FY1" s="1" t="inlineStr">
        <is>
          <t>Deal 2619</t>
        </is>
      </c>
      <c r="GI1" s="1" t="inlineStr">
        <is>
          <t>Deal 2620</t>
        </is>
      </c>
      <c r="GS1" s="1" t="inlineStr">
        <is>
          <t>Deal 2621</t>
        </is>
      </c>
      <c r="HC1" s="1" t="inlineStr">
        <is>
          <t>Deal 2622</t>
        </is>
      </c>
      <c r="HM1" s="1" t="inlineStr">
        <is>
          <t>Deal 2623</t>
        </is>
      </c>
      <c r="HW1" s="1" t="inlineStr">
        <is>
          <t>Deal 2624</t>
        </is>
      </c>
      <c r="IG1" s="1" t="inlineStr">
        <is>
          <t>Deal 2625</t>
        </is>
      </c>
      <c r="IQ1" s="1" t="inlineStr">
        <is>
          <t>Deal 2626</t>
        </is>
      </c>
      <c r="JA1" s="1" t="inlineStr">
        <is>
          <t>Deal 2627</t>
        </is>
      </c>
      <c r="JK1" s="1" t="inlineStr">
        <is>
          <t>Deal 2628</t>
        </is>
      </c>
      <c r="JU1" s="1" t="inlineStr">
        <is>
          <t>Deal 2629</t>
        </is>
      </c>
      <c r="KE1" s="1" t="inlineStr">
        <is>
          <t>Deal 2630</t>
        </is>
      </c>
      <c r="KO1" s="1" t="inlineStr">
        <is>
          <t>Deal 2631</t>
        </is>
      </c>
      <c r="KY1" s="1" t="inlineStr">
        <is>
          <t>Deal 2632</t>
        </is>
      </c>
      <c r="LI1" s="1" t="inlineStr">
        <is>
          <t>Deal 2633</t>
        </is>
      </c>
      <c r="LS1" s="1" t="inlineStr">
        <is>
          <t>Deal 2634</t>
        </is>
      </c>
      <c r="MC1" s="1" t="inlineStr">
        <is>
          <t>Deal 2635</t>
        </is>
      </c>
      <c r="MM1" s="1" t="inlineStr">
        <is>
          <t>Deal 2636</t>
        </is>
      </c>
      <c r="MW1" s="1" t="inlineStr">
        <is>
          <t>Deal 2637</t>
        </is>
      </c>
      <c r="NG1" s="1" t="inlineStr">
        <is>
          <t>Deal 2638</t>
        </is>
      </c>
      <c r="NQ1" s="1" t="inlineStr">
        <is>
          <t>Deal 2639</t>
        </is>
      </c>
      <c r="OA1" s="1" t="inlineStr">
        <is>
          <t>Deal 2640</t>
        </is>
      </c>
    </row>
    <row r="2">
      <c r="A2" s="2" t="inlineStr">
        <is>
          <t>VYX US Equity</t>
        </is>
      </c>
      <c r="K2" s="2" t="inlineStr">
        <is>
          <t>SYY US Equity</t>
        </is>
      </c>
      <c r="U2" s="2" t="inlineStr">
        <is>
          <t>nan Equity</t>
        </is>
      </c>
      <c r="AE2" s="2" t="inlineStr">
        <is>
          <t>FOXA US Equity</t>
        </is>
      </c>
      <c r="AO2" s="2" t="inlineStr">
        <is>
          <t>41018Q US Equity</t>
        </is>
      </c>
      <c r="AY2" s="2" t="inlineStr">
        <is>
          <t>PACW US Equity</t>
        </is>
      </c>
      <c r="BI2" s="2" t="inlineStr">
        <is>
          <t>MRK US Equity</t>
        </is>
      </c>
      <c r="BS2" s="2" t="inlineStr">
        <is>
          <t>345605Q US Equity</t>
        </is>
      </c>
      <c r="CC2" s="2" t="inlineStr">
        <is>
          <t>PG US Equity</t>
        </is>
      </c>
      <c r="CM2" s="2" t="inlineStr">
        <is>
          <t>BANC US Equity</t>
        </is>
      </c>
      <c r="CW2" s="2" t="inlineStr">
        <is>
          <t>UNIZ US Equity</t>
        </is>
      </c>
      <c r="DG2" s="2" t="inlineStr">
        <is>
          <t>9998522D US Equity</t>
        </is>
      </c>
      <c r="DQ2" s="2" t="inlineStr">
        <is>
          <t>68335Q US Equity</t>
        </is>
      </c>
      <c r="EA2" s="2" t="inlineStr">
        <is>
          <t>HAS US Equity</t>
        </is>
      </c>
      <c r="EK2" s="2" t="inlineStr">
        <is>
          <t>2598Q US Equity</t>
        </is>
      </c>
      <c r="EU2" s="2" t="inlineStr">
        <is>
          <t>AFG US Equity</t>
        </is>
      </c>
      <c r="FE2" s="2" t="inlineStr">
        <is>
          <t>ZRAN US Equity</t>
        </is>
      </c>
      <c r="FO2" s="2" t="inlineStr">
        <is>
          <t>PPBI US Equity</t>
        </is>
      </c>
      <c r="FY2" s="2" t="inlineStr">
        <is>
          <t>WBA US Equity</t>
        </is>
      </c>
      <c r="GI2" s="2" t="inlineStr">
        <is>
          <t>MSSN US Equity</t>
        </is>
      </c>
      <c r="GS2" s="2" t="inlineStr">
        <is>
          <t>EIG US Equity</t>
        </is>
      </c>
      <c r="HC2" s="2" t="inlineStr">
        <is>
          <t>VZ US Equity</t>
        </is>
      </c>
      <c r="HM2" s="2" t="inlineStr">
        <is>
          <t>VLY US Equity</t>
        </is>
      </c>
      <c r="HW2" s="2" t="inlineStr">
        <is>
          <t>DRYS US Equity</t>
        </is>
      </c>
      <c r="IG2" s="2" t="inlineStr">
        <is>
          <t>HU US Equity</t>
        </is>
      </c>
      <c r="IQ2" s="2" t="inlineStr">
        <is>
          <t>ANGO US Equity</t>
        </is>
      </c>
      <c r="JA2" s="2" t="inlineStr">
        <is>
          <t>KEA US Equity</t>
        </is>
      </c>
      <c r="JK2" s="2" t="inlineStr">
        <is>
          <t>CKFR US Equity</t>
        </is>
      </c>
      <c r="JU2" s="2" t="inlineStr">
        <is>
          <t>CPTH US Equity</t>
        </is>
      </c>
      <c r="KE2" s="2" t="inlineStr">
        <is>
          <t>1339658D US Equity</t>
        </is>
      </c>
      <c r="KO2" s="2" t="inlineStr">
        <is>
          <t>CPNLQ US Equity</t>
        </is>
      </c>
      <c r="KY2" s="2" t="inlineStr">
        <is>
          <t>SVU US Equity</t>
        </is>
      </c>
      <c r="LI2" s="2" t="inlineStr">
        <is>
          <t>1581410D US Equity</t>
        </is>
      </c>
      <c r="LS2" s="2" t="inlineStr">
        <is>
          <t>GE US Equity</t>
        </is>
      </c>
      <c r="MC2" s="2" t="inlineStr">
        <is>
          <t>nan Equity</t>
        </is>
      </c>
      <c r="MM2" s="2" t="inlineStr">
        <is>
          <t>EBAY US Equity</t>
        </is>
      </c>
      <c r="MW2" s="2" t="inlineStr">
        <is>
          <t>OZK US Equity</t>
        </is>
      </c>
      <c r="NG2" s="2" t="inlineStr">
        <is>
          <t>KG US Equity</t>
        </is>
      </c>
      <c r="NQ2" s="2" t="inlineStr">
        <is>
          <t>BPFH US Equity</t>
        </is>
      </c>
      <c r="OA2" s="2" t="inlineStr">
        <is>
          <t>WLMR US Equity</t>
        </is>
      </c>
    </row>
    <row r="3">
      <c r="A3" t="inlineStr">
        <is>
          <t>Ann: 2000-08-03</t>
        </is>
      </c>
      <c r="K3" t="inlineStr">
        <is>
          <t>Ann: 2001-01-22</t>
        </is>
      </c>
      <c r="U3" t="inlineStr">
        <is>
          <t>Ann: 2001-06-13</t>
        </is>
      </c>
      <c r="AE3" t="inlineStr">
        <is>
          <t>Ann: 2019-08-05</t>
        </is>
      </c>
      <c r="AO3" t="inlineStr">
        <is>
          <t>Ann: 1998-10-28</t>
        </is>
      </c>
      <c r="AY3" t="inlineStr">
        <is>
          <t>Ann: 2005-12-15</t>
        </is>
      </c>
      <c r="BI3" t="inlineStr">
        <is>
          <t>Ann: 2000-05-04</t>
        </is>
      </c>
      <c r="BS3" t="inlineStr">
        <is>
          <t>Ann: 2001-03-30</t>
        </is>
      </c>
      <c r="CC3" t="inlineStr">
        <is>
          <t>Ann: 1999-08-26</t>
        </is>
      </c>
      <c r="CM3" t="inlineStr">
        <is>
          <t>Ann: 2021-03-22</t>
        </is>
      </c>
      <c r="CW3" t="inlineStr">
        <is>
          <t>Ann: 2001-09-06</t>
        </is>
      </c>
      <c r="DG3" t="inlineStr">
        <is>
          <t>Ann: 2016-10-10</t>
        </is>
      </c>
      <c r="DQ3" t="inlineStr">
        <is>
          <t>Ann: 1999-04-06</t>
        </is>
      </c>
      <c r="EA3" t="inlineStr">
        <is>
          <t>Ann: 1998-09-28</t>
        </is>
      </c>
      <c r="EK3" t="inlineStr">
        <is>
          <t>Ann: 1998-01-05</t>
        </is>
      </c>
      <c r="EU3" t="inlineStr">
        <is>
          <t>Ann: 2007-02-22</t>
        </is>
      </c>
      <c r="FE3" t="inlineStr">
        <is>
          <t>Ann: 2003-05-05</t>
        </is>
      </c>
      <c r="FO3" t="inlineStr">
        <is>
          <t>Ann: 2017-08-09</t>
        </is>
      </c>
      <c r="FY3" t="inlineStr">
        <is>
          <t>Ann: 2007-05-16</t>
        </is>
      </c>
      <c r="GI3" t="inlineStr">
        <is>
          <t>Ann: 2001-01-25</t>
        </is>
      </c>
      <c r="GS3" t="inlineStr">
        <is>
          <t>Ann: 2008-01-10</t>
        </is>
      </c>
      <c r="HC3" t="inlineStr">
        <is>
          <t>Ann: 2015-09-03</t>
        </is>
      </c>
      <c r="HM3" t="inlineStr">
        <is>
          <t>Ann: 2011-04-28</t>
        </is>
      </c>
      <c r="HW3" t="inlineStr">
        <is>
          <t>Ann: 2011-07-26</t>
        </is>
      </c>
      <c r="IG3" t="inlineStr">
        <is>
          <t>Ann: 1998-03-31</t>
        </is>
      </c>
      <c r="IQ3" t="inlineStr">
        <is>
          <t>Ann: 2006-11-28</t>
        </is>
      </c>
      <c r="JA3" t="inlineStr">
        <is>
          <t>Ann: 2001-08-21</t>
        </is>
      </c>
      <c r="JK3" t="inlineStr">
        <is>
          <t>Ann: 2007-02-14</t>
        </is>
      </c>
      <c r="JU3" t="inlineStr">
        <is>
          <t>Ann: 1999-10-21</t>
        </is>
      </c>
      <c r="KE3" t="inlineStr">
        <is>
          <t>Ann: 1998-07-20</t>
        </is>
      </c>
      <c r="KO3" t="inlineStr">
        <is>
          <t>Ann: 1999-08-27</t>
        </is>
      </c>
      <c r="KY3" t="inlineStr">
        <is>
          <t>Ann: 2005-01-04</t>
        </is>
      </c>
      <c r="LI3" t="inlineStr">
        <is>
          <t>Ann: 1998-07-29</t>
        </is>
      </c>
      <c r="LS3" t="inlineStr">
        <is>
          <t>Ann: 2006-03-20</t>
        </is>
      </c>
      <c r="MC3" t="inlineStr">
        <is>
          <t>Ann: 2021-01-07</t>
        </is>
      </c>
      <c r="MM3" t="inlineStr">
        <is>
          <t>Ann: 1999-04-26</t>
        </is>
      </c>
      <c r="MW3" t="inlineStr">
        <is>
          <t>Ann: 2014-07-31</t>
        </is>
      </c>
      <c r="NG3" t="inlineStr">
        <is>
          <t>Ann: 2002-10-21</t>
        </is>
      </c>
      <c r="NQ3" t="inlineStr">
        <is>
          <t>Ann: 2005-04-19</t>
        </is>
      </c>
      <c r="OA3" t="inlineStr">
        <is>
          <t>Ann: 2000-07-10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BDS("VYX US Equity","SUPPLY_CHAIN_SUPPLIERS","RELATIONSHIP_AS_OF_DATE","20000803")</f>
        <v/>
      </c>
      <c r="F5">
        <f>BDS("VYX US Equity","SUPPLY_CHAIN_CUSTOMERS","RELATIONSHIP_AS_OF_DATE","20000803")</f>
        <v/>
      </c>
      <c r="K5">
        <f>BDS("SYY US Equity","SUPPLY_CHAIN_SUPPLIERS","RELATIONSHIP_AS_OF_DATE","20010122")</f>
        <v/>
      </c>
      <c r="P5">
        <f>BDS("SYY US Equity","SUPPLY_CHAIN_CUSTOMERS","RELATIONSHIP_AS_OF_DATE","20010122")</f>
        <v/>
      </c>
      <c r="U5">
        <f>BDS("nan Equity","SUPPLY_CHAIN_SUPPLIERS","RELATIONSHIP_AS_OF_DATE","20010613")</f>
        <v/>
      </c>
      <c r="Z5">
        <f>BDS("nan Equity","SUPPLY_CHAIN_CUSTOMERS","RELATIONSHIP_AS_OF_DATE","20010613")</f>
        <v/>
      </c>
      <c r="AE5">
        <f>BDS("FOXA US Equity","SUPPLY_CHAIN_SUPPLIERS","RELATIONSHIP_AS_OF_DATE","20190805")</f>
        <v/>
      </c>
      <c r="AJ5">
        <f>BDS("FOXA US Equity","SUPPLY_CHAIN_CUSTOMERS","RELATIONSHIP_AS_OF_DATE","20190805")</f>
        <v/>
      </c>
      <c r="AO5">
        <f>BDS("41018Q US Equity","SUPPLY_CHAIN_SUPPLIERS","RELATIONSHIP_AS_OF_DATE","19981028")</f>
        <v/>
      </c>
      <c r="AT5">
        <f>BDS("41018Q US Equity","SUPPLY_CHAIN_CUSTOMERS","RELATIONSHIP_AS_OF_DATE","19981028")</f>
        <v/>
      </c>
      <c r="AY5">
        <f>BDS("PACW US Equity","SUPPLY_CHAIN_SUPPLIERS","RELATIONSHIP_AS_OF_DATE","20051215")</f>
        <v/>
      </c>
      <c r="BD5">
        <f>BDS("PACW US Equity","SUPPLY_CHAIN_CUSTOMERS","RELATIONSHIP_AS_OF_DATE","20051215")</f>
        <v/>
      </c>
      <c r="BI5">
        <f>BDS("MRK US Equity","SUPPLY_CHAIN_SUPPLIERS","RELATIONSHIP_AS_OF_DATE","20000504")</f>
        <v/>
      </c>
      <c r="BN5">
        <f>BDS("MRK US Equity","SUPPLY_CHAIN_CUSTOMERS","RELATIONSHIP_AS_OF_DATE","20000504")</f>
        <v/>
      </c>
      <c r="BS5">
        <f>BDS("345605Q US Equity","SUPPLY_CHAIN_SUPPLIERS","RELATIONSHIP_AS_OF_DATE","20010330")</f>
        <v/>
      </c>
      <c r="BX5">
        <f>BDS("345605Q US Equity","SUPPLY_CHAIN_CUSTOMERS","RELATIONSHIP_AS_OF_DATE","20010330")</f>
        <v/>
      </c>
      <c r="CC5">
        <f>BDS("PG US Equity","SUPPLY_CHAIN_SUPPLIERS","RELATIONSHIP_AS_OF_DATE","19990826")</f>
        <v/>
      </c>
      <c r="CH5">
        <f>BDS("PG US Equity","SUPPLY_CHAIN_CUSTOMERS","RELATIONSHIP_AS_OF_DATE","19990826")</f>
        <v/>
      </c>
      <c r="CM5">
        <f>BDS("BANC US Equity","SUPPLY_CHAIN_SUPPLIERS","RELATIONSHIP_AS_OF_DATE","20210322")</f>
        <v/>
      </c>
      <c r="CR5">
        <f>BDS("BANC US Equity","SUPPLY_CHAIN_CUSTOMERS","RELATIONSHIP_AS_OF_DATE","20210322")</f>
        <v/>
      </c>
      <c r="CW5">
        <f>BDS("UNIZ US Equity","SUPPLY_CHAIN_SUPPLIERS","RELATIONSHIP_AS_OF_DATE","20010906")</f>
        <v/>
      </c>
      <c r="DB5">
        <f>BDS("UNIZ US Equity","SUPPLY_CHAIN_CUSTOMERS","RELATIONSHIP_AS_OF_DATE","20010906")</f>
        <v/>
      </c>
      <c r="DG5">
        <f>BDS("9998522D US Equity","SUPPLY_CHAIN_SUPPLIERS","RELATIONSHIP_AS_OF_DATE","20161010")</f>
        <v/>
      </c>
      <c r="DL5">
        <f>BDS("9998522D US Equity","SUPPLY_CHAIN_CUSTOMERS","RELATIONSHIP_AS_OF_DATE","20161010")</f>
        <v/>
      </c>
      <c r="DQ5">
        <f>BDS("68335Q US Equity","SUPPLY_CHAIN_SUPPLIERS","RELATIONSHIP_AS_OF_DATE","19990406")</f>
        <v/>
      </c>
      <c r="DV5">
        <f>BDS("68335Q US Equity","SUPPLY_CHAIN_CUSTOMERS","RELATIONSHIP_AS_OF_DATE","19990406")</f>
        <v/>
      </c>
      <c r="EA5">
        <f>BDS("HAS US Equity","SUPPLY_CHAIN_SUPPLIERS","RELATIONSHIP_AS_OF_DATE","19980928")</f>
        <v/>
      </c>
      <c r="EF5">
        <f>BDS("HAS US Equity","SUPPLY_CHAIN_CUSTOMERS","RELATIONSHIP_AS_OF_DATE","19980928")</f>
        <v/>
      </c>
      <c r="EK5">
        <f>BDS("2598Q US Equity","SUPPLY_CHAIN_SUPPLIERS","RELATIONSHIP_AS_OF_DATE","19980105")</f>
        <v/>
      </c>
      <c r="EP5">
        <f>BDS("2598Q US Equity","SUPPLY_CHAIN_CUSTOMERS","RELATIONSHIP_AS_OF_DATE","19980105")</f>
        <v/>
      </c>
      <c r="EU5">
        <f>BDS("AFG US Equity","SUPPLY_CHAIN_SUPPLIERS","RELATIONSHIP_AS_OF_DATE","20070222")</f>
        <v/>
      </c>
      <c r="EZ5">
        <f>BDS("AFG US Equity","SUPPLY_CHAIN_CUSTOMERS","RELATIONSHIP_AS_OF_DATE","20070222")</f>
        <v/>
      </c>
      <c r="FE5">
        <f>BDS("ZRAN US Equity","SUPPLY_CHAIN_SUPPLIERS","RELATIONSHIP_AS_OF_DATE","20030505")</f>
        <v/>
      </c>
      <c r="FJ5">
        <f>BDS("ZRAN US Equity","SUPPLY_CHAIN_CUSTOMERS","RELATIONSHIP_AS_OF_DATE","20030505")</f>
        <v/>
      </c>
      <c r="FO5">
        <f>BDS("PPBI US Equity","SUPPLY_CHAIN_SUPPLIERS","RELATIONSHIP_AS_OF_DATE","20170809")</f>
        <v/>
      </c>
      <c r="FT5">
        <f>BDS("PPBI US Equity","SUPPLY_CHAIN_CUSTOMERS","RELATIONSHIP_AS_OF_DATE","20170809")</f>
        <v/>
      </c>
      <c r="FY5">
        <f>BDS("WBA US Equity","SUPPLY_CHAIN_SUPPLIERS","RELATIONSHIP_AS_OF_DATE","20070516")</f>
        <v/>
      </c>
      <c r="GD5">
        <f>BDS("WBA US Equity","SUPPLY_CHAIN_CUSTOMERS","RELATIONSHIP_AS_OF_DATE","20070516")</f>
        <v/>
      </c>
      <c r="GI5">
        <f>BDS("MSSN US Equity","SUPPLY_CHAIN_SUPPLIERS","RELATIONSHIP_AS_OF_DATE","20010125")</f>
        <v/>
      </c>
      <c r="GN5">
        <f>BDS("MSSN US Equity","SUPPLY_CHAIN_CUSTOMERS","RELATIONSHIP_AS_OF_DATE","20010125")</f>
        <v/>
      </c>
      <c r="GS5">
        <f>BDS("EIG US Equity","SUPPLY_CHAIN_SUPPLIERS","RELATIONSHIP_AS_OF_DATE","20080110")</f>
        <v/>
      </c>
      <c r="GX5">
        <f>BDS("EIG US Equity","SUPPLY_CHAIN_CUSTOMERS","RELATIONSHIP_AS_OF_DATE","20080110")</f>
        <v/>
      </c>
      <c r="HC5">
        <f>BDS("VZ US Equity","SUPPLY_CHAIN_SUPPLIERS","RELATIONSHIP_AS_OF_DATE","20150903")</f>
        <v/>
      </c>
      <c r="HH5">
        <f>BDS("VZ US Equity","SUPPLY_CHAIN_CUSTOMERS","RELATIONSHIP_AS_OF_DATE","20150903")</f>
        <v/>
      </c>
      <c r="HM5">
        <f>BDS("VLY US Equity","SUPPLY_CHAIN_SUPPLIERS","RELATIONSHIP_AS_OF_DATE","20110428")</f>
        <v/>
      </c>
      <c r="HR5">
        <f>BDS("VLY US Equity","SUPPLY_CHAIN_CUSTOMERS","RELATIONSHIP_AS_OF_DATE","20110428")</f>
        <v/>
      </c>
      <c r="HW5">
        <f>BDS("DRYS US Equity","SUPPLY_CHAIN_SUPPLIERS","RELATIONSHIP_AS_OF_DATE","20110726")</f>
        <v/>
      </c>
      <c r="IB5">
        <f>BDS("DRYS US Equity","SUPPLY_CHAIN_CUSTOMERS","RELATIONSHIP_AS_OF_DATE","20110726")</f>
        <v/>
      </c>
      <c r="IG5">
        <f>BDS("HU US Equity","SUPPLY_CHAIN_SUPPLIERS","RELATIONSHIP_AS_OF_DATE","19980331")</f>
        <v/>
      </c>
      <c r="IL5">
        <f>BDS("HU US Equity","SUPPLY_CHAIN_CUSTOMERS","RELATIONSHIP_AS_OF_DATE","19980331")</f>
        <v/>
      </c>
      <c r="IQ5">
        <f>BDS("ANGO US Equity","SUPPLY_CHAIN_SUPPLIERS","RELATIONSHIP_AS_OF_DATE","20061128")</f>
        <v/>
      </c>
      <c r="IV5">
        <f>BDS("ANGO US Equity","SUPPLY_CHAIN_CUSTOMERS","RELATIONSHIP_AS_OF_DATE","20061128")</f>
        <v/>
      </c>
      <c r="JA5">
        <f>BDS("KEA US Equity","SUPPLY_CHAIN_SUPPLIERS","RELATIONSHIP_AS_OF_DATE","20010821")</f>
        <v/>
      </c>
      <c r="JF5">
        <f>BDS("KEA US Equity","SUPPLY_CHAIN_CUSTOMERS","RELATIONSHIP_AS_OF_DATE","20010821")</f>
        <v/>
      </c>
      <c r="JK5">
        <f>BDS("CKFR US Equity","SUPPLY_CHAIN_SUPPLIERS","RELATIONSHIP_AS_OF_DATE","20070214")</f>
        <v/>
      </c>
      <c r="JP5">
        <f>BDS("CKFR US Equity","SUPPLY_CHAIN_CUSTOMERS","RELATIONSHIP_AS_OF_DATE","20070214")</f>
        <v/>
      </c>
      <c r="JU5">
        <f>BDS("CPTH US Equity","SUPPLY_CHAIN_SUPPLIERS","RELATIONSHIP_AS_OF_DATE","19991021")</f>
        <v/>
      </c>
      <c r="JZ5">
        <f>BDS("CPTH US Equity","SUPPLY_CHAIN_CUSTOMERS","RELATIONSHIP_AS_OF_DATE","19991021")</f>
        <v/>
      </c>
      <c r="KE5">
        <f>BDS("1339658D US Equity","SUPPLY_CHAIN_SUPPLIERS","RELATIONSHIP_AS_OF_DATE","19980720")</f>
        <v/>
      </c>
      <c r="KJ5">
        <f>BDS("1339658D US Equity","SUPPLY_CHAIN_CUSTOMERS","RELATIONSHIP_AS_OF_DATE","19980720")</f>
        <v/>
      </c>
      <c r="KO5">
        <f>BDS("CPNLQ US Equity","SUPPLY_CHAIN_SUPPLIERS","RELATIONSHIP_AS_OF_DATE","19990827")</f>
        <v/>
      </c>
      <c r="KT5">
        <f>BDS("CPNLQ US Equity","SUPPLY_CHAIN_CUSTOMERS","RELATIONSHIP_AS_OF_DATE","19990827")</f>
        <v/>
      </c>
      <c r="KY5">
        <f>BDS("SVU US Equity","SUPPLY_CHAIN_SUPPLIERS","RELATIONSHIP_AS_OF_DATE","20050104")</f>
        <v/>
      </c>
      <c r="LD5">
        <f>BDS("SVU US Equity","SUPPLY_CHAIN_CUSTOMERS","RELATIONSHIP_AS_OF_DATE","20050104")</f>
        <v/>
      </c>
      <c r="LI5">
        <f>BDS("1581410D US Equity","SUPPLY_CHAIN_SUPPLIERS","RELATIONSHIP_AS_OF_DATE","19980729")</f>
        <v/>
      </c>
      <c r="LN5">
        <f>BDS("1581410D US Equity","SUPPLY_CHAIN_CUSTOMERS","RELATIONSHIP_AS_OF_DATE","19980729")</f>
        <v/>
      </c>
      <c r="LS5">
        <f>BDS("GE US Equity","SUPPLY_CHAIN_SUPPLIERS","RELATIONSHIP_AS_OF_DATE","20060320")</f>
        <v/>
      </c>
      <c r="LX5">
        <f>BDS("GE US Equity","SUPPLY_CHAIN_CUSTOMERS","RELATIONSHIP_AS_OF_DATE","20060320")</f>
        <v/>
      </c>
      <c r="MC5">
        <f>BDS("nan Equity","SUPPLY_CHAIN_SUPPLIERS","RELATIONSHIP_AS_OF_DATE","20210107")</f>
        <v/>
      </c>
      <c r="MH5">
        <f>BDS("nan Equity","SUPPLY_CHAIN_CUSTOMERS","RELATIONSHIP_AS_OF_DATE","20210107")</f>
        <v/>
      </c>
      <c r="MM5">
        <f>BDS("EBAY US Equity","SUPPLY_CHAIN_SUPPLIERS","RELATIONSHIP_AS_OF_DATE","19990426")</f>
        <v/>
      </c>
      <c r="MR5">
        <f>BDS("EBAY US Equity","SUPPLY_CHAIN_CUSTOMERS","RELATIONSHIP_AS_OF_DATE","19990426")</f>
        <v/>
      </c>
      <c r="MW5">
        <f>BDS("OZK US Equity","SUPPLY_CHAIN_SUPPLIERS","RELATIONSHIP_AS_OF_DATE","20140731")</f>
        <v/>
      </c>
      <c r="NB5">
        <f>BDS("OZK US Equity","SUPPLY_CHAIN_CUSTOMERS","RELATIONSHIP_AS_OF_DATE","20140731")</f>
        <v/>
      </c>
      <c r="NG5">
        <f>BDS("KG US Equity","SUPPLY_CHAIN_SUPPLIERS","RELATIONSHIP_AS_OF_DATE","20021021")</f>
        <v/>
      </c>
      <c r="NL5">
        <f>BDS("KG US Equity","SUPPLY_CHAIN_CUSTOMERS","RELATIONSHIP_AS_OF_DATE","20021021")</f>
        <v/>
      </c>
      <c r="NQ5">
        <f>BDS("BPFH US Equity","SUPPLY_CHAIN_SUPPLIERS","RELATIONSHIP_AS_OF_DATE","20050419")</f>
        <v/>
      </c>
      <c r="NV5">
        <f>BDS("BPFH US Equity","SUPPLY_CHAIN_CUSTOMERS","RELATIONSHIP_AS_OF_DATE","20050419")</f>
        <v/>
      </c>
      <c r="OA5">
        <f>BDS("WLMR US Equity","SUPPLY_CHAIN_SUPPLIERS","RELATIONSHIP_AS_OF_DATE","20000710")</f>
        <v/>
      </c>
      <c r="OF5">
        <f>BDS("WLMR US Equity","SUPPLY_CHAIN_CUSTOMERS","RELATIONSHIP_AS_OF_DATE","20000710")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2641</t>
        </is>
      </c>
      <c r="K1" s="1" t="inlineStr">
        <is>
          <t>Deal 2642</t>
        </is>
      </c>
      <c r="U1" s="1" t="inlineStr">
        <is>
          <t>Deal 2643</t>
        </is>
      </c>
      <c r="AE1" s="1" t="inlineStr">
        <is>
          <t>Deal 2644</t>
        </is>
      </c>
      <c r="AO1" s="1" t="inlineStr">
        <is>
          <t>Deal 2645</t>
        </is>
      </c>
      <c r="AY1" s="1" t="inlineStr">
        <is>
          <t>Deal 2646</t>
        </is>
      </c>
      <c r="BI1" s="1" t="inlineStr">
        <is>
          <t>Deal 2647</t>
        </is>
      </c>
      <c r="BS1" s="1" t="inlineStr">
        <is>
          <t>Deal 2648</t>
        </is>
      </c>
      <c r="CC1" s="1" t="inlineStr">
        <is>
          <t>Deal 2649</t>
        </is>
      </c>
      <c r="CM1" s="1" t="inlineStr">
        <is>
          <t>Deal 2650</t>
        </is>
      </c>
      <c r="CW1" s="1" t="inlineStr">
        <is>
          <t>Deal 2651</t>
        </is>
      </c>
      <c r="DG1" s="1" t="inlineStr">
        <is>
          <t>Deal 2652</t>
        </is>
      </c>
      <c r="DQ1" s="1" t="inlineStr">
        <is>
          <t>Deal 2653</t>
        </is>
      </c>
      <c r="EA1" s="1" t="inlineStr">
        <is>
          <t>Deal 2654</t>
        </is>
      </c>
      <c r="EK1" s="1" t="inlineStr">
        <is>
          <t>Deal 2655</t>
        </is>
      </c>
      <c r="EU1" s="1" t="inlineStr">
        <is>
          <t>Deal 2656</t>
        </is>
      </c>
      <c r="FE1" s="1" t="inlineStr">
        <is>
          <t>Deal 2657</t>
        </is>
      </c>
      <c r="FO1" s="1" t="inlineStr">
        <is>
          <t>Deal 2658</t>
        </is>
      </c>
      <c r="FY1" s="1" t="inlineStr">
        <is>
          <t>Deal 2659</t>
        </is>
      </c>
      <c r="GI1" s="1" t="inlineStr">
        <is>
          <t>Deal 2660</t>
        </is>
      </c>
      <c r="GS1" s="1" t="inlineStr">
        <is>
          <t>Deal 2661</t>
        </is>
      </c>
      <c r="HC1" s="1" t="inlineStr">
        <is>
          <t>Deal 2662</t>
        </is>
      </c>
      <c r="HM1" s="1" t="inlineStr">
        <is>
          <t>Deal 2663</t>
        </is>
      </c>
      <c r="HW1" s="1" t="inlineStr">
        <is>
          <t>Deal 2664</t>
        </is>
      </c>
      <c r="IG1" s="1" t="inlineStr">
        <is>
          <t>Deal 2665</t>
        </is>
      </c>
      <c r="IQ1" s="1" t="inlineStr">
        <is>
          <t>Deal 2666</t>
        </is>
      </c>
      <c r="JA1" s="1" t="inlineStr">
        <is>
          <t>Deal 2667</t>
        </is>
      </c>
      <c r="JK1" s="1" t="inlineStr">
        <is>
          <t>Deal 2668</t>
        </is>
      </c>
      <c r="JU1" s="1" t="inlineStr">
        <is>
          <t>Deal 2669</t>
        </is>
      </c>
      <c r="KE1" s="1" t="inlineStr">
        <is>
          <t>Deal 2670</t>
        </is>
      </c>
      <c r="KO1" s="1" t="inlineStr">
        <is>
          <t>Deal 2671</t>
        </is>
      </c>
      <c r="KY1" s="1" t="inlineStr">
        <is>
          <t>Deal 2672</t>
        </is>
      </c>
      <c r="LI1" s="1" t="inlineStr">
        <is>
          <t>Deal 2673</t>
        </is>
      </c>
      <c r="LS1" s="1" t="inlineStr">
        <is>
          <t>Deal 2674</t>
        </is>
      </c>
      <c r="MC1" s="1" t="inlineStr">
        <is>
          <t>Deal 2675</t>
        </is>
      </c>
      <c r="MM1" s="1" t="inlineStr">
        <is>
          <t>Deal 2676</t>
        </is>
      </c>
      <c r="MW1" s="1" t="inlineStr">
        <is>
          <t>Deal 2677</t>
        </is>
      </c>
      <c r="NG1" s="1" t="inlineStr">
        <is>
          <t>Deal 2678</t>
        </is>
      </c>
      <c r="NQ1" s="1" t="inlineStr">
        <is>
          <t>Deal 2679</t>
        </is>
      </c>
      <c r="OA1" s="1" t="inlineStr">
        <is>
          <t>Deal 2680</t>
        </is>
      </c>
    </row>
    <row r="2">
      <c r="A2" s="2" t="inlineStr">
        <is>
          <t>WBS US Equity</t>
        </is>
      </c>
      <c r="K2" s="2" t="inlineStr">
        <is>
          <t>ONB US Equity</t>
        </is>
      </c>
      <c r="U2" s="2" t="inlineStr">
        <is>
          <t>FCF US Equity</t>
        </is>
      </c>
      <c r="AE2" s="2" t="inlineStr">
        <is>
          <t>BRK/A US Equity</t>
        </is>
      </c>
      <c r="AO2" s="2" t="inlineStr">
        <is>
          <t>1885807D US Equity</t>
        </is>
      </c>
      <c r="AY2" s="2" t="inlineStr">
        <is>
          <t>DVERQ US Equity</t>
        </is>
      </c>
      <c r="BI2" s="2" t="inlineStr">
        <is>
          <t>GMCR US Equity</t>
        </is>
      </c>
      <c r="BS2" s="2" t="inlineStr">
        <is>
          <t>HWC US Equity</t>
        </is>
      </c>
      <c r="CC2" s="2" t="inlineStr">
        <is>
          <t>KW US Equity</t>
        </is>
      </c>
      <c r="CM2" s="2" t="inlineStr">
        <is>
          <t>TIPT US Equity</t>
        </is>
      </c>
      <c r="CW2" s="2" t="inlineStr">
        <is>
          <t>ITXG US Equity</t>
        </is>
      </c>
      <c r="DG2" s="2" t="inlineStr">
        <is>
          <t>1723125D US Equity</t>
        </is>
      </c>
      <c r="DQ2" s="2" t="inlineStr">
        <is>
          <t>EVRC US Equity</t>
        </is>
      </c>
      <c r="EA2" s="2" t="inlineStr">
        <is>
          <t>LPX US Equity</t>
        </is>
      </c>
      <c r="EK2" s="2" t="inlineStr">
        <is>
          <t>NSIT US Equity</t>
        </is>
      </c>
      <c r="EU2" s="2" t="inlineStr">
        <is>
          <t>LEHMQ US Equity</t>
        </is>
      </c>
      <c r="FE2" s="2" t="inlineStr">
        <is>
          <t>IPCS US Equity</t>
        </is>
      </c>
      <c r="FO2" s="2" t="inlineStr">
        <is>
          <t>CAG US Equity</t>
        </is>
      </c>
      <c r="FY2" s="2" t="inlineStr">
        <is>
          <t>WBS US Equity</t>
        </is>
      </c>
      <c r="GI2" s="2" t="inlineStr">
        <is>
          <t>1552309D US Equity</t>
        </is>
      </c>
      <c r="GS2" s="2" t="inlineStr">
        <is>
          <t>nan Equity</t>
        </is>
      </c>
      <c r="HC2" s="2" t="inlineStr">
        <is>
          <t>FCNCA US Equity</t>
        </is>
      </c>
      <c r="HM2" s="2" t="inlineStr">
        <is>
          <t>CCS US Equity</t>
        </is>
      </c>
      <c r="HW2" s="2" t="inlineStr">
        <is>
          <t>WINMQ US Equity</t>
        </is>
      </c>
      <c r="IG2" s="2" t="inlineStr">
        <is>
          <t>EXCO US Equity</t>
        </is>
      </c>
      <c r="IQ2" s="2" t="inlineStr">
        <is>
          <t>BUSE US Equity</t>
        </is>
      </c>
      <c r="JA2" s="2" t="inlineStr">
        <is>
          <t>DHR US Equity</t>
        </is>
      </c>
      <c r="JK2" s="2" t="inlineStr">
        <is>
          <t>T US Equity</t>
        </is>
      </c>
      <c r="JU2" s="2" t="inlineStr">
        <is>
          <t>HPQ US Equity</t>
        </is>
      </c>
      <c r="KE2" s="2" t="inlineStr">
        <is>
          <t>HDC US Equity</t>
        </is>
      </c>
      <c r="KO2" s="2" t="inlineStr">
        <is>
          <t>WSBC US Equity</t>
        </is>
      </c>
      <c r="KY2" s="2" t="inlineStr">
        <is>
          <t>DKS US Equity</t>
        </is>
      </c>
      <c r="LI2" s="2" t="inlineStr">
        <is>
          <t>SUSQ US Equity</t>
        </is>
      </c>
      <c r="LS2" s="2" t="inlineStr">
        <is>
          <t>DVW US Equity</t>
        </is>
      </c>
      <c r="MC2" s="2" t="inlineStr">
        <is>
          <t>SYKE US Equity</t>
        </is>
      </c>
      <c r="MM2" s="2" t="inlineStr">
        <is>
          <t>GBCI US Equity</t>
        </is>
      </c>
      <c r="MW2" s="2" t="inlineStr">
        <is>
          <t>BONTQ US Equity</t>
        </is>
      </c>
      <c r="NG2" s="2" t="inlineStr">
        <is>
          <t>STBA US Equity</t>
        </is>
      </c>
      <c r="NQ2" s="2" t="inlineStr">
        <is>
          <t>TTN US Equity</t>
        </is>
      </c>
      <c r="OA2" s="2" t="inlineStr">
        <is>
          <t>UBSI US Equity</t>
        </is>
      </c>
    </row>
    <row r="3">
      <c r="A3" t="inlineStr">
        <is>
          <t>Ann: 1999-12-02</t>
        </is>
      </c>
      <c r="K3" t="inlineStr">
        <is>
          <t>Ann: 1999-07-30</t>
        </is>
      </c>
      <c r="U3" t="inlineStr">
        <is>
          <t>Ann: 1998-07-16</t>
        </is>
      </c>
      <c r="AE3" t="inlineStr">
        <is>
          <t>Ann: 2002-07-02</t>
        </is>
      </c>
      <c r="AO3" t="inlineStr">
        <is>
          <t>Ann: 2013-01-07</t>
        </is>
      </c>
      <c r="AY3" t="inlineStr">
        <is>
          <t>Ann: 1998-06-29</t>
        </is>
      </c>
      <c r="BI3" t="inlineStr">
        <is>
          <t>Ann: 2009-11-23</t>
        </is>
      </c>
      <c r="BS3" t="inlineStr">
        <is>
          <t>Ann: 2019-04-30</t>
        </is>
      </c>
      <c r="CC3" t="inlineStr">
        <is>
          <t>Ann: 2009-09-09</t>
        </is>
      </c>
      <c r="CM3" t="inlineStr">
        <is>
          <t>Ann: 2014-08-12</t>
        </is>
      </c>
      <c r="CW3" t="inlineStr">
        <is>
          <t>Ann: 1998-02-24</t>
        </is>
      </c>
      <c r="DG3" t="inlineStr">
        <is>
          <t>Ann: 1998-03-04</t>
        </is>
      </c>
      <c r="DQ3" t="inlineStr">
        <is>
          <t>Ann: 2020-12-14</t>
        </is>
      </c>
      <c r="EA3" t="inlineStr">
        <is>
          <t>Ann: 1999-01-19</t>
        </is>
      </c>
      <c r="EK3" t="inlineStr">
        <is>
          <t>Ann: 2016-11-07</t>
        </is>
      </c>
      <c r="EU3" t="inlineStr">
        <is>
          <t>Ann: 2006-09-19</t>
        </is>
      </c>
      <c r="FE3" t="inlineStr">
        <is>
          <t>Ann: 2005-03-17</t>
        </is>
      </c>
      <c r="FO3" t="inlineStr">
        <is>
          <t>Ann: 1998-06-18</t>
        </is>
      </c>
      <c r="FY3" t="inlineStr">
        <is>
          <t>Ann: 1999-06-30</t>
        </is>
      </c>
      <c r="GI3" t="inlineStr">
        <is>
          <t>Ann: 2005-01-25</t>
        </is>
      </c>
      <c r="GS3" t="inlineStr">
        <is>
          <t>Ann: 2007-01-10</t>
        </is>
      </c>
      <c r="HC3" t="inlineStr">
        <is>
          <t>Ann: 2019-04-24</t>
        </is>
      </c>
      <c r="HM3" t="inlineStr">
        <is>
          <t>Ann: 2017-04-11</t>
        </is>
      </c>
      <c r="HW3" t="inlineStr">
        <is>
          <t>Ann: 2017-04-13</t>
        </is>
      </c>
      <c r="IG3" t="inlineStr">
        <is>
          <t>Ann: 2003-11-26</t>
        </is>
      </c>
      <c r="IQ3" t="inlineStr">
        <is>
          <t>Ann: 2015-12-03</t>
        </is>
      </c>
      <c r="JA3" t="inlineStr">
        <is>
          <t>Ann: 2000-02-16</t>
        </is>
      </c>
      <c r="JK3" t="inlineStr">
        <is>
          <t>Ann: 2018-02-09</t>
        </is>
      </c>
      <c r="JU3" t="inlineStr">
        <is>
          <t>Ann: 2007-07-23</t>
        </is>
      </c>
      <c r="KE3" t="inlineStr">
        <is>
          <t>Ann: 1998-02-17</t>
        </is>
      </c>
      <c r="KO3" t="inlineStr">
        <is>
          <t>Ann: 2016-05-03</t>
        </is>
      </c>
      <c r="KY3" t="inlineStr">
        <is>
          <t>Ann: 2006-11-13</t>
        </is>
      </c>
      <c r="LI3" t="inlineStr">
        <is>
          <t>Ann: 2003-12-11</t>
        </is>
      </c>
      <c r="LS3" t="inlineStr">
        <is>
          <t>Ann: 2000-06-16</t>
        </is>
      </c>
      <c r="MC3" t="inlineStr">
        <is>
          <t>Ann: 2009-10-06</t>
        </is>
      </c>
      <c r="MM3" t="inlineStr">
        <is>
          <t>Ann: 1999-09-10</t>
        </is>
      </c>
      <c r="MW3" t="inlineStr">
        <is>
          <t>Ann: 2003-07-29</t>
        </is>
      </c>
      <c r="NG3" t="inlineStr">
        <is>
          <t>Ann: 2019-06-05</t>
        </is>
      </c>
      <c r="NQ3" t="inlineStr">
        <is>
          <t>Ann: 2000-03-27</t>
        </is>
      </c>
      <c r="OA3" t="inlineStr">
        <is>
          <t>Ann: 2007-01-29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BDS("WBS US Equity","SUPPLY_CHAIN_SUPPLIERS","RELATIONSHIP_AS_OF_DATE","19991202")</f>
        <v/>
      </c>
      <c r="F5">
        <f>BDS("WBS US Equity","SUPPLY_CHAIN_CUSTOMERS","RELATIONSHIP_AS_OF_DATE","19991202")</f>
        <v/>
      </c>
      <c r="K5">
        <f>BDS("ONB US Equity","SUPPLY_CHAIN_SUPPLIERS","RELATIONSHIP_AS_OF_DATE","19990730")</f>
        <v/>
      </c>
      <c r="P5">
        <f>BDS("ONB US Equity","SUPPLY_CHAIN_CUSTOMERS","RELATIONSHIP_AS_OF_DATE","19990730")</f>
        <v/>
      </c>
      <c r="U5">
        <f>BDS("FCF US Equity","SUPPLY_CHAIN_SUPPLIERS","RELATIONSHIP_AS_OF_DATE","19980716")</f>
        <v/>
      </c>
      <c r="Z5">
        <f>BDS("FCF US Equity","SUPPLY_CHAIN_CUSTOMERS","RELATIONSHIP_AS_OF_DATE","19980716")</f>
        <v/>
      </c>
      <c r="AE5">
        <f>BDS("BRK/A US Equity","SUPPLY_CHAIN_SUPPLIERS","RELATIONSHIP_AS_OF_DATE","20020702")</f>
        <v/>
      </c>
      <c r="AJ5">
        <f>BDS("BRK/A US Equity","SUPPLY_CHAIN_CUSTOMERS","RELATIONSHIP_AS_OF_DATE","20020702")</f>
        <v/>
      </c>
      <c r="AO5">
        <f>BDS("1885807D US Equity","SUPPLY_CHAIN_SUPPLIERS","RELATIONSHIP_AS_OF_DATE","20130107")</f>
        <v/>
      </c>
      <c r="AT5">
        <f>BDS("1885807D US Equity","SUPPLY_CHAIN_CUSTOMERS","RELATIONSHIP_AS_OF_DATE","20130107")</f>
        <v/>
      </c>
      <c r="AY5">
        <f>BDS("DVERQ US Equity","SUPPLY_CHAIN_SUPPLIERS","RELATIONSHIP_AS_OF_DATE","19980629")</f>
        <v/>
      </c>
      <c r="BD5">
        <f>BDS("DVERQ US Equity","SUPPLY_CHAIN_CUSTOMERS","RELATIONSHIP_AS_OF_DATE","19980629")</f>
        <v/>
      </c>
      <c r="BI5">
        <f>BDS("GMCR US Equity","SUPPLY_CHAIN_SUPPLIERS","RELATIONSHIP_AS_OF_DATE","20091123")</f>
        <v/>
      </c>
      <c r="BN5">
        <f>BDS("GMCR US Equity","SUPPLY_CHAIN_CUSTOMERS","RELATIONSHIP_AS_OF_DATE","20091123")</f>
        <v/>
      </c>
      <c r="BS5">
        <f>BDS("HWC US Equity","SUPPLY_CHAIN_SUPPLIERS","RELATIONSHIP_AS_OF_DATE","20190430")</f>
        <v/>
      </c>
      <c r="BX5">
        <f>BDS("HWC US Equity","SUPPLY_CHAIN_CUSTOMERS","RELATIONSHIP_AS_OF_DATE","20190430")</f>
        <v/>
      </c>
      <c r="CC5">
        <f>BDS("KW US Equity","SUPPLY_CHAIN_SUPPLIERS","RELATIONSHIP_AS_OF_DATE","20090909")</f>
        <v/>
      </c>
      <c r="CH5">
        <f>BDS("KW US Equity","SUPPLY_CHAIN_CUSTOMERS","RELATIONSHIP_AS_OF_DATE","20090909")</f>
        <v/>
      </c>
      <c r="CM5">
        <f>BDS("TIPT US Equity","SUPPLY_CHAIN_SUPPLIERS","RELATIONSHIP_AS_OF_DATE","20140812")</f>
        <v/>
      </c>
      <c r="CR5">
        <f>BDS("TIPT US Equity","SUPPLY_CHAIN_CUSTOMERS","RELATIONSHIP_AS_OF_DATE","20140812")</f>
        <v/>
      </c>
      <c r="CW5">
        <f>BDS("ITXG US Equity","SUPPLY_CHAIN_SUPPLIERS","RELATIONSHIP_AS_OF_DATE","19980224")</f>
        <v/>
      </c>
      <c r="DB5">
        <f>BDS("ITXG US Equity","SUPPLY_CHAIN_CUSTOMERS","RELATIONSHIP_AS_OF_DATE","19980224")</f>
        <v/>
      </c>
      <c r="DG5">
        <f>BDS("1723125D US Equity","SUPPLY_CHAIN_SUPPLIERS","RELATIONSHIP_AS_OF_DATE","19980304")</f>
        <v/>
      </c>
      <c r="DL5">
        <f>BDS("1723125D US Equity","SUPPLY_CHAIN_CUSTOMERS","RELATIONSHIP_AS_OF_DATE","19980304")</f>
        <v/>
      </c>
      <c r="DQ5">
        <f>BDS("EVRC US Equity","SUPPLY_CHAIN_SUPPLIERS","RELATIONSHIP_AS_OF_DATE","20201214")</f>
        <v/>
      </c>
      <c r="DV5">
        <f>BDS("EVRC US Equity","SUPPLY_CHAIN_CUSTOMERS","RELATIONSHIP_AS_OF_DATE","20201214")</f>
        <v/>
      </c>
      <c r="EA5">
        <f>BDS("LPX US Equity","SUPPLY_CHAIN_SUPPLIERS","RELATIONSHIP_AS_OF_DATE","19990119")</f>
        <v/>
      </c>
      <c r="EF5">
        <f>BDS("LPX US Equity","SUPPLY_CHAIN_CUSTOMERS","RELATIONSHIP_AS_OF_DATE","19990119")</f>
        <v/>
      </c>
      <c r="EK5">
        <f>BDS("NSIT US Equity","SUPPLY_CHAIN_SUPPLIERS","RELATIONSHIP_AS_OF_DATE","20161107")</f>
        <v/>
      </c>
      <c r="EP5">
        <f>BDS("NSIT US Equity","SUPPLY_CHAIN_CUSTOMERS","RELATIONSHIP_AS_OF_DATE","20161107")</f>
        <v/>
      </c>
      <c r="EU5">
        <f>BDS("LEHMQ US Equity","SUPPLY_CHAIN_SUPPLIERS","RELATIONSHIP_AS_OF_DATE","20060919")</f>
        <v/>
      </c>
      <c r="EZ5">
        <f>BDS("LEHMQ US Equity","SUPPLY_CHAIN_CUSTOMERS","RELATIONSHIP_AS_OF_DATE","20060919")</f>
        <v/>
      </c>
      <c r="FE5">
        <f>BDS("IPCS US Equity","SUPPLY_CHAIN_SUPPLIERS","RELATIONSHIP_AS_OF_DATE","20050317")</f>
        <v/>
      </c>
      <c r="FJ5">
        <f>BDS("IPCS US Equity","SUPPLY_CHAIN_CUSTOMERS","RELATIONSHIP_AS_OF_DATE","20050317")</f>
        <v/>
      </c>
      <c r="FO5">
        <f>BDS("CAG US Equity","SUPPLY_CHAIN_SUPPLIERS","RELATIONSHIP_AS_OF_DATE","19980618")</f>
        <v/>
      </c>
      <c r="FT5">
        <f>BDS("CAG US Equity","SUPPLY_CHAIN_CUSTOMERS","RELATIONSHIP_AS_OF_DATE","19980618")</f>
        <v/>
      </c>
      <c r="FY5">
        <f>BDS("WBS US Equity","SUPPLY_CHAIN_SUPPLIERS","RELATIONSHIP_AS_OF_DATE","19990630")</f>
        <v/>
      </c>
      <c r="GD5">
        <f>BDS("WBS US Equity","SUPPLY_CHAIN_CUSTOMERS","RELATIONSHIP_AS_OF_DATE","19990630")</f>
        <v/>
      </c>
      <c r="GI5">
        <f>BDS("1552309D US Equity","SUPPLY_CHAIN_SUPPLIERS","RELATIONSHIP_AS_OF_DATE","20050125")</f>
        <v/>
      </c>
      <c r="GN5">
        <f>BDS("1552309D US Equity","SUPPLY_CHAIN_CUSTOMERS","RELATIONSHIP_AS_OF_DATE","20050125")</f>
        <v/>
      </c>
      <c r="GS5">
        <f>BDS("nan Equity","SUPPLY_CHAIN_SUPPLIERS","RELATIONSHIP_AS_OF_DATE","20070110")</f>
        <v/>
      </c>
      <c r="GX5">
        <f>BDS("nan Equity","SUPPLY_CHAIN_CUSTOMERS","RELATIONSHIP_AS_OF_DATE","20070110")</f>
        <v/>
      </c>
      <c r="HC5">
        <f>BDS("FCNCA US Equity","SUPPLY_CHAIN_SUPPLIERS","RELATIONSHIP_AS_OF_DATE","20190424")</f>
        <v/>
      </c>
      <c r="HH5">
        <f>BDS("FCNCA US Equity","SUPPLY_CHAIN_CUSTOMERS","RELATIONSHIP_AS_OF_DATE","20190424")</f>
        <v/>
      </c>
      <c r="HM5">
        <f>BDS("CCS US Equity","SUPPLY_CHAIN_SUPPLIERS","RELATIONSHIP_AS_OF_DATE","20170411")</f>
        <v/>
      </c>
      <c r="HR5">
        <f>BDS("CCS US Equity","SUPPLY_CHAIN_CUSTOMERS","RELATIONSHIP_AS_OF_DATE","20170411")</f>
        <v/>
      </c>
      <c r="HW5">
        <f>BDS("WINMQ US Equity","SUPPLY_CHAIN_SUPPLIERS","RELATIONSHIP_AS_OF_DATE","20170413")</f>
        <v/>
      </c>
      <c r="IB5">
        <f>BDS("WINMQ US Equity","SUPPLY_CHAIN_CUSTOMERS","RELATIONSHIP_AS_OF_DATE","20170413")</f>
        <v/>
      </c>
      <c r="IG5">
        <f>BDS("EXCO US Equity","SUPPLY_CHAIN_SUPPLIERS","RELATIONSHIP_AS_OF_DATE","20031126")</f>
        <v/>
      </c>
      <c r="IL5">
        <f>BDS("EXCO US Equity","SUPPLY_CHAIN_CUSTOMERS","RELATIONSHIP_AS_OF_DATE","20031126")</f>
        <v/>
      </c>
      <c r="IQ5">
        <f>BDS("BUSE US Equity","SUPPLY_CHAIN_SUPPLIERS","RELATIONSHIP_AS_OF_DATE","20151203")</f>
        <v/>
      </c>
      <c r="IV5">
        <f>BDS("BUSE US Equity","SUPPLY_CHAIN_CUSTOMERS","RELATIONSHIP_AS_OF_DATE","20151203")</f>
        <v/>
      </c>
      <c r="JA5">
        <f>BDS("DHR US Equity","SUPPLY_CHAIN_SUPPLIERS","RELATIONSHIP_AS_OF_DATE","20000216")</f>
        <v/>
      </c>
      <c r="JF5">
        <f>BDS("DHR US Equity","SUPPLY_CHAIN_CUSTOMERS","RELATIONSHIP_AS_OF_DATE","20000216")</f>
        <v/>
      </c>
      <c r="JK5">
        <f>BDS("T US Equity","SUPPLY_CHAIN_SUPPLIERS","RELATIONSHIP_AS_OF_DATE","20180209")</f>
        <v/>
      </c>
      <c r="JP5">
        <f>BDS("T US Equity","SUPPLY_CHAIN_CUSTOMERS","RELATIONSHIP_AS_OF_DATE","20180209")</f>
        <v/>
      </c>
      <c r="JU5">
        <f>BDS("HPQ US Equity","SUPPLY_CHAIN_SUPPLIERS","RELATIONSHIP_AS_OF_DATE","20070723")</f>
        <v/>
      </c>
      <c r="JZ5">
        <f>BDS("HPQ US Equity","SUPPLY_CHAIN_CUSTOMERS","RELATIONSHIP_AS_OF_DATE","20070723")</f>
        <v/>
      </c>
      <c r="KE5">
        <f>BDS("HDC US Equity","SUPPLY_CHAIN_SUPPLIERS","RELATIONSHIP_AS_OF_DATE","19980217")</f>
        <v/>
      </c>
      <c r="KJ5">
        <f>BDS("HDC US Equity","SUPPLY_CHAIN_CUSTOMERS","RELATIONSHIP_AS_OF_DATE","19980217")</f>
        <v/>
      </c>
      <c r="KO5">
        <f>BDS("WSBC US Equity","SUPPLY_CHAIN_SUPPLIERS","RELATIONSHIP_AS_OF_DATE","20160503")</f>
        <v/>
      </c>
      <c r="KT5">
        <f>BDS("WSBC US Equity","SUPPLY_CHAIN_CUSTOMERS","RELATIONSHIP_AS_OF_DATE","20160503")</f>
        <v/>
      </c>
      <c r="KY5">
        <f>BDS("DKS US Equity","SUPPLY_CHAIN_SUPPLIERS","RELATIONSHIP_AS_OF_DATE","20061113")</f>
        <v/>
      </c>
      <c r="LD5">
        <f>BDS("DKS US Equity","SUPPLY_CHAIN_CUSTOMERS","RELATIONSHIP_AS_OF_DATE","20061113")</f>
        <v/>
      </c>
      <c r="LI5">
        <f>BDS("SUSQ US Equity","SUPPLY_CHAIN_SUPPLIERS","RELATIONSHIP_AS_OF_DATE","20031211")</f>
        <v/>
      </c>
      <c r="LN5">
        <f>BDS("SUSQ US Equity","SUPPLY_CHAIN_CUSTOMERS","RELATIONSHIP_AS_OF_DATE","20031211")</f>
        <v/>
      </c>
      <c r="LS5">
        <f>BDS("DVW US Equity","SUPPLY_CHAIN_SUPPLIERS","RELATIONSHIP_AS_OF_DATE","20000616")</f>
        <v/>
      </c>
      <c r="LX5">
        <f>BDS("DVW US Equity","SUPPLY_CHAIN_CUSTOMERS","RELATIONSHIP_AS_OF_DATE","20000616")</f>
        <v/>
      </c>
      <c r="MC5">
        <f>BDS("SYKE US Equity","SUPPLY_CHAIN_SUPPLIERS","RELATIONSHIP_AS_OF_DATE","20091006")</f>
        <v/>
      </c>
      <c r="MH5">
        <f>BDS("SYKE US Equity","SUPPLY_CHAIN_CUSTOMERS","RELATIONSHIP_AS_OF_DATE","20091006")</f>
        <v/>
      </c>
      <c r="MM5">
        <f>BDS("GBCI US Equity","SUPPLY_CHAIN_SUPPLIERS","RELATIONSHIP_AS_OF_DATE","19990910")</f>
        <v/>
      </c>
      <c r="MR5">
        <f>BDS("GBCI US Equity","SUPPLY_CHAIN_CUSTOMERS","RELATIONSHIP_AS_OF_DATE","19990910")</f>
        <v/>
      </c>
      <c r="MW5">
        <f>BDS("BONTQ US Equity","SUPPLY_CHAIN_SUPPLIERS","RELATIONSHIP_AS_OF_DATE","20030729")</f>
        <v/>
      </c>
      <c r="NB5">
        <f>BDS("BONTQ US Equity","SUPPLY_CHAIN_CUSTOMERS","RELATIONSHIP_AS_OF_DATE","20030729")</f>
        <v/>
      </c>
      <c r="NG5">
        <f>BDS("STBA US Equity","SUPPLY_CHAIN_SUPPLIERS","RELATIONSHIP_AS_OF_DATE","20190605")</f>
        <v/>
      </c>
      <c r="NL5">
        <f>BDS("STBA US Equity","SUPPLY_CHAIN_CUSTOMERS","RELATIONSHIP_AS_OF_DATE","20190605")</f>
        <v/>
      </c>
      <c r="NQ5">
        <f>BDS("TTN US Equity","SUPPLY_CHAIN_SUPPLIERS","RELATIONSHIP_AS_OF_DATE","20000327")</f>
        <v/>
      </c>
      <c r="NV5">
        <f>BDS("TTN US Equity","SUPPLY_CHAIN_CUSTOMERS","RELATIONSHIP_AS_OF_DATE","20000327")</f>
        <v/>
      </c>
      <c r="OA5">
        <f>BDS("UBSI US Equity","SUPPLY_CHAIN_SUPPLIERS","RELATIONSHIP_AS_OF_DATE","20070129")</f>
        <v/>
      </c>
      <c r="OF5">
        <f>BDS("UBSI US Equity","SUPPLY_CHAIN_CUSTOMERS","RELATIONSHIP_AS_OF_DATE","20070129")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2681</t>
        </is>
      </c>
      <c r="K1" s="1" t="inlineStr">
        <is>
          <t>Deal 2682</t>
        </is>
      </c>
      <c r="U1" s="1" t="inlineStr">
        <is>
          <t>Deal 2683</t>
        </is>
      </c>
      <c r="AE1" s="1" t="inlineStr">
        <is>
          <t>Deal 2684</t>
        </is>
      </c>
      <c r="AO1" s="1" t="inlineStr">
        <is>
          <t>Deal 2685</t>
        </is>
      </c>
      <c r="AY1" s="1" t="inlineStr">
        <is>
          <t>Deal 2686</t>
        </is>
      </c>
      <c r="BI1" s="1" t="inlineStr">
        <is>
          <t>Deal 2687</t>
        </is>
      </c>
      <c r="BS1" s="1" t="inlineStr">
        <is>
          <t>Deal 2688</t>
        </is>
      </c>
      <c r="CC1" s="1" t="inlineStr">
        <is>
          <t>Deal 2689</t>
        </is>
      </c>
      <c r="CM1" s="1" t="inlineStr">
        <is>
          <t>Deal 2690</t>
        </is>
      </c>
      <c r="CW1" s="1" t="inlineStr">
        <is>
          <t>Deal 2691</t>
        </is>
      </c>
      <c r="DG1" s="1" t="inlineStr">
        <is>
          <t>Deal 2692</t>
        </is>
      </c>
      <c r="DQ1" s="1" t="inlineStr">
        <is>
          <t>Deal 2693</t>
        </is>
      </c>
      <c r="EA1" s="1" t="inlineStr">
        <is>
          <t>Deal 2694</t>
        </is>
      </c>
      <c r="EK1" s="1" t="inlineStr">
        <is>
          <t>Deal 2695</t>
        </is>
      </c>
      <c r="EU1" s="1" t="inlineStr">
        <is>
          <t>Deal 2696</t>
        </is>
      </c>
      <c r="FE1" s="1" t="inlineStr">
        <is>
          <t>Deal 2697</t>
        </is>
      </c>
      <c r="FO1" s="1" t="inlineStr">
        <is>
          <t>Deal 2698</t>
        </is>
      </c>
      <c r="FY1" s="1" t="inlineStr">
        <is>
          <t>Deal 2699</t>
        </is>
      </c>
      <c r="GI1" s="1" t="inlineStr">
        <is>
          <t>Deal 2700</t>
        </is>
      </c>
      <c r="GS1" s="1" t="inlineStr">
        <is>
          <t>Deal 2701</t>
        </is>
      </c>
      <c r="HC1" s="1" t="inlineStr">
        <is>
          <t>Deal 2702</t>
        </is>
      </c>
      <c r="HM1" s="1" t="inlineStr">
        <is>
          <t>Deal 2703</t>
        </is>
      </c>
      <c r="HW1" s="1" t="inlineStr">
        <is>
          <t>Deal 2704</t>
        </is>
      </c>
      <c r="IG1" s="1" t="inlineStr">
        <is>
          <t>Deal 2705</t>
        </is>
      </c>
      <c r="IQ1" s="1" t="inlineStr">
        <is>
          <t>Deal 2706</t>
        </is>
      </c>
      <c r="JA1" s="1" t="inlineStr">
        <is>
          <t>Deal 2707</t>
        </is>
      </c>
      <c r="JK1" s="1" t="inlineStr">
        <is>
          <t>Deal 2708</t>
        </is>
      </c>
      <c r="JU1" s="1" t="inlineStr">
        <is>
          <t>Deal 2709</t>
        </is>
      </c>
      <c r="KE1" s="1" t="inlineStr">
        <is>
          <t>Deal 2710</t>
        </is>
      </c>
      <c r="KO1" s="1" t="inlineStr">
        <is>
          <t>Deal 2711</t>
        </is>
      </c>
      <c r="KY1" s="1" t="inlineStr">
        <is>
          <t>Deal 2712</t>
        </is>
      </c>
      <c r="LI1" s="1" t="inlineStr">
        <is>
          <t>Deal 2713</t>
        </is>
      </c>
      <c r="LS1" s="1" t="inlineStr">
        <is>
          <t>Deal 2714</t>
        </is>
      </c>
      <c r="MC1" s="1" t="inlineStr">
        <is>
          <t>Deal 2715</t>
        </is>
      </c>
      <c r="MM1" s="1" t="inlineStr">
        <is>
          <t>Deal 2716</t>
        </is>
      </c>
      <c r="MW1" s="1" t="inlineStr">
        <is>
          <t>Deal 2717</t>
        </is>
      </c>
      <c r="NG1" s="1" t="inlineStr">
        <is>
          <t>Deal 2718</t>
        </is>
      </c>
      <c r="NQ1" s="1" t="inlineStr">
        <is>
          <t>Deal 2719</t>
        </is>
      </c>
      <c r="OA1" s="1" t="inlineStr">
        <is>
          <t>Deal 2720</t>
        </is>
      </c>
    </row>
    <row r="2">
      <c r="A2" s="2" t="inlineStr">
        <is>
          <t>GFR US Equity</t>
        </is>
      </c>
      <c r="K2" s="2" t="inlineStr">
        <is>
          <t>SPXC US Equity</t>
        </is>
      </c>
      <c r="U2" s="2" t="inlineStr">
        <is>
          <t>QNTSQ US Equity</t>
        </is>
      </c>
      <c r="AE2" s="2" t="inlineStr">
        <is>
          <t>GEO US Equity</t>
        </is>
      </c>
      <c r="AO2" s="2" t="inlineStr">
        <is>
          <t>BCSI US Equity</t>
        </is>
      </c>
      <c r="AY2" s="2" t="inlineStr">
        <is>
          <t>OMX US Equity</t>
        </is>
      </c>
      <c r="BI2" s="2" t="inlineStr">
        <is>
          <t>RDNT US Equity</t>
        </is>
      </c>
      <c r="BS2" s="2" t="inlineStr">
        <is>
          <t>GPUI US Equity</t>
        </is>
      </c>
      <c r="CC2" s="2" t="inlineStr">
        <is>
          <t>FITB US Equity</t>
        </is>
      </c>
      <c r="CM2" s="2" t="inlineStr">
        <is>
          <t>WSBC US Equity</t>
        </is>
      </c>
      <c r="CW2" s="2" t="inlineStr">
        <is>
          <t>EGL US Equity</t>
        </is>
      </c>
      <c r="DG2" s="2" t="inlineStr">
        <is>
          <t>CVBF US Equity</t>
        </is>
      </c>
      <c r="DQ2" s="2" t="inlineStr">
        <is>
          <t>OCFC US Equity</t>
        </is>
      </c>
      <c r="EA2" s="2" t="inlineStr">
        <is>
          <t>CMVT US Equity</t>
        </is>
      </c>
      <c r="EK2" s="2" t="inlineStr">
        <is>
          <t>1718309D US Equity</t>
        </is>
      </c>
      <c r="EU2" s="2" t="inlineStr">
        <is>
          <t>PNFP US Equity</t>
        </is>
      </c>
      <c r="FE2" s="2" t="inlineStr">
        <is>
          <t>FITB US Equity</t>
        </is>
      </c>
      <c r="FO2" s="2" t="inlineStr">
        <is>
          <t>ECPG US Equity</t>
        </is>
      </c>
      <c r="FY2" s="2" t="inlineStr">
        <is>
          <t>nan Equity</t>
        </is>
      </c>
      <c r="GI2" s="2" t="inlineStr">
        <is>
          <t>2860436Q US Equity</t>
        </is>
      </c>
      <c r="GS2" s="2" t="inlineStr">
        <is>
          <t>YELLQ US Equity</t>
        </is>
      </c>
      <c r="HC2" s="2" t="inlineStr">
        <is>
          <t>FLTWQ US Equity</t>
        </is>
      </c>
      <c r="HM2" s="2" t="inlineStr">
        <is>
          <t>GE US Equity</t>
        </is>
      </c>
      <c r="HW2" s="2" t="inlineStr">
        <is>
          <t>EXAR US Equity</t>
        </is>
      </c>
      <c r="IG2" s="2" t="inlineStr">
        <is>
          <t>CMTL US Equity</t>
        </is>
      </c>
      <c r="IQ2" s="2" t="inlineStr">
        <is>
          <t>510639Q US Equity</t>
        </is>
      </c>
      <c r="JA2" s="2" t="inlineStr">
        <is>
          <t>ORA US Equity</t>
        </is>
      </c>
      <c r="JK2" s="2" t="inlineStr">
        <is>
          <t>SHLM US Equity</t>
        </is>
      </c>
      <c r="JU2" s="2" t="inlineStr">
        <is>
          <t>nan Equity</t>
        </is>
      </c>
      <c r="KE2" s="2" t="inlineStr">
        <is>
          <t>1746513D US Equity</t>
        </is>
      </c>
      <c r="KO2" s="2" t="inlineStr">
        <is>
          <t>PONE US Equity</t>
        </is>
      </c>
      <c r="KY2" s="2" t="inlineStr">
        <is>
          <t>THG US Equity</t>
        </is>
      </c>
      <c r="LI2" s="2" t="inlineStr">
        <is>
          <t>SFAM US Equity</t>
        </is>
      </c>
      <c r="LS2" s="2" t="inlineStr">
        <is>
          <t>PACW US Equity</t>
        </is>
      </c>
      <c r="MC2" s="2" t="inlineStr">
        <is>
          <t>AXAS US Equity</t>
        </is>
      </c>
      <c r="MM2" s="2" t="inlineStr">
        <is>
          <t>1996074D US Equity</t>
        </is>
      </c>
      <c r="MW2" s="2" t="inlineStr">
        <is>
          <t>WSTL US Equity</t>
        </is>
      </c>
      <c r="NG2" s="2" t="inlineStr">
        <is>
          <t>HTH US Equity</t>
        </is>
      </c>
      <c r="NQ2" s="2" t="inlineStr">
        <is>
          <t>FLWS US Equity</t>
        </is>
      </c>
      <c r="OA2" s="2" t="inlineStr">
        <is>
          <t>CLRN US Equity</t>
        </is>
      </c>
    </row>
    <row r="3">
      <c r="A3" t="inlineStr">
        <is>
          <t>Ann: 2006-05-01</t>
        </is>
      </c>
      <c r="K3" t="inlineStr">
        <is>
          <t>Ann: 2018-04-23</t>
        </is>
      </c>
      <c r="U3" t="inlineStr">
        <is>
          <t>Ann: 2000-02-28</t>
        </is>
      </c>
      <c r="AE3" t="inlineStr">
        <is>
          <t>Ann: 2005-07-14</t>
        </is>
      </c>
      <c r="AO3" t="inlineStr">
        <is>
          <t>Ann: 2008-04-21</t>
        </is>
      </c>
      <c r="AY3" t="inlineStr">
        <is>
          <t>Ann: 1999-12-01</t>
        </is>
      </c>
      <c r="BI3" t="inlineStr">
        <is>
          <t>Ann: 2006-07-07</t>
        </is>
      </c>
      <c r="BS3" t="inlineStr">
        <is>
          <t>Ann: 1999-12-22</t>
        </is>
      </c>
      <c r="CC3" t="inlineStr">
        <is>
          <t>Ann: 1999-03-01</t>
        </is>
      </c>
      <c r="CM3" t="inlineStr">
        <is>
          <t>Ann: 2007-07-20</t>
        </is>
      </c>
      <c r="CW3" t="inlineStr">
        <is>
          <t>Ann: 2013-12-23</t>
        </is>
      </c>
      <c r="DG3" t="inlineStr">
        <is>
          <t>Ann: 2021-07-27</t>
        </is>
      </c>
      <c r="DQ3" t="inlineStr">
        <is>
          <t>Ann: 2016-01-05</t>
        </is>
      </c>
      <c r="EA3" t="inlineStr">
        <is>
          <t>Ann: 2000-03-06</t>
        </is>
      </c>
      <c r="EK3" t="inlineStr">
        <is>
          <t>Ann: 1998-03-16</t>
        </is>
      </c>
      <c r="EU3" t="inlineStr">
        <is>
          <t>Ann: 2016-01-28</t>
        </is>
      </c>
      <c r="FE3" t="inlineStr">
        <is>
          <t>Ann: 1999-07-12</t>
        </is>
      </c>
      <c r="FO3" t="inlineStr">
        <is>
          <t>Ann: 2013-03-06</t>
        </is>
      </c>
      <c r="FY3" t="inlineStr">
        <is>
          <t>Ann: 2000-06-07</t>
        </is>
      </c>
      <c r="GI3" t="inlineStr">
        <is>
          <t>Ann: 2001-05-29</t>
        </is>
      </c>
      <c r="GS3" t="inlineStr">
        <is>
          <t>Ann: 1999-06-07</t>
        </is>
      </c>
      <c r="HC3" t="inlineStr">
        <is>
          <t>Ann: 1998-02-17</t>
        </is>
      </c>
      <c r="HM3" t="inlineStr">
        <is>
          <t>Ann: 2001-09-24</t>
        </is>
      </c>
      <c r="HW3" t="inlineStr">
        <is>
          <t>Ann: 2007-05-08</t>
        </is>
      </c>
      <c r="IG3" t="inlineStr">
        <is>
          <t>Ann: 2008-05-12</t>
        </is>
      </c>
      <c r="IQ3" t="inlineStr">
        <is>
          <t>Ann: 1999-11-03</t>
        </is>
      </c>
      <c r="JA3" t="inlineStr">
        <is>
          <t>Ann: 2018-01-24</t>
        </is>
      </c>
      <c r="JK3" t="inlineStr">
        <is>
          <t>Ann: 2009-12-03</t>
        </is>
      </c>
      <c r="JU3" t="inlineStr">
        <is>
          <t>Ann: 2013-09-12</t>
        </is>
      </c>
      <c r="KE3" t="inlineStr">
        <is>
          <t>Ann: 2000-06-09</t>
        </is>
      </c>
      <c r="KO3" t="inlineStr">
        <is>
          <t>Ann: 2006-12-20</t>
        </is>
      </c>
      <c r="KY3" t="inlineStr">
        <is>
          <t>Ann: 1998-10-27</t>
        </is>
      </c>
      <c r="LI3" t="inlineStr">
        <is>
          <t>Ann: 1998-11-19</t>
        </is>
      </c>
      <c r="LS3" t="inlineStr">
        <is>
          <t>Ann: 2012-05-08</t>
        </is>
      </c>
      <c r="MC3" t="inlineStr">
        <is>
          <t>Ann: 2009-06-18</t>
        </is>
      </c>
      <c r="MM3" t="inlineStr">
        <is>
          <t>Ann: 1999-10-15</t>
        </is>
      </c>
      <c r="MW3" t="inlineStr">
        <is>
          <t>Ann: 1999-12-13</t>
        </is>
      </c>
      <c r="NG3" t="inlineStr">
        <is>
          <t>Ann: 2014-01-10</t>
        </is>
      </c>
      <c r="NQ3" t="inlineStr">
        <is>
          <t>Ann: 2014-09-02</t>
        </is>
      </c>
      <c r="OA3" t="inlineStr">
        <is>
          <t>Ann: 2000-05-02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BDS("GFR US Equity","SUPPLY_CHAIN_SUPPLIERS","RELATIONSHIP_AS_OF_DATE","20060501")</f>
        <v/>
      </c>
      <c r="F5">
        <f>BDS("GFR US Equity","SUPPLY_CHAIN_CUSTOMERS","RELATIONSHIP_AS_OF_DATE","20060501")</f>
        <v/>
      </c>
      <c r="K5">
        <f>BDS("SPXC US Equity","SUPPLY_CHAIN_SUPPLIERS","RELATIONSHIP_AS_OF_DATE","20180423")</f>
        <v/>
      </c>
      <c r="P5">
        <f>BDS("SPXC US Equity","SUPPLY_CHAIN_CUSTOMERS","RELATIONSHIP_AS_OF_DATE","20180423")</f>
        <v/>
      </c>
      <c r="U5">
        <f>BDS("QNTSQ US Equity","SUPPLY_CHAIN_SUPPLIERS","RELATIONSHIP_AS_OF_DATE","20000228")</f>
        <v/>
      </c>
      <c r="Z5">
        <f>BDS("QNTSQ US Equity","SUPPLY_CHAIN_CUSTOMERS","RELATIONSHIP_AS_OF_DATE","20000228")</f>
        <v/>
      </c>
      <c r="AE5">
        <f>BDS("GEO US Equity","SUPPLY_CHAIN_SUPPLIERS","RELATIONSHIP_AS_OF_DATE","20050714")</f>
        <v/>
      </c>
      <c r="AJ5">
        <f>BDS("GEO US Equity","SUPPLY_CHAIN_CUSTOMERS","RELATIONSHIP_AS_OF_DATE","20050714")</f>
        <v/>
      </c>
      <c r="AO5">
        <f>BDS("BCSI US Equity","SUPPLY_CHAIN_SUPPLIERS","RELATIONSHIP_AS_OF_DATE","20080421")</f>
        <v/>
      </c>
      <c r="AT5">
        <f>BDS("BCSI US Equity","SUPPLY_CHAIN_CUSTOMERS","RELATIONSHIP_AS_OF_DATE","20080421")</f>
        <v/>
      </c>
      <c r="AY5">
        <f>BDS("OMX US Equity","SUPPLY_CHAIN_SUPPLIERS","RELATIONSHIP_AS_OF_DATE","19991201")</f>
        <v/>
      </c>
      <c r="BD5">
        <f>BDS("OMX US Equity","SUPPLY_CHAIN_CUSTOMERS","RELATIONSHIP_AS_OF_DATE","19991201")</f>
        <v/>
      </c>
      <c r="BI5">
        <f>BDS("RDNT US Equity","SUPPLY_CHAIN_SUPPLIERS","RELATIONSHIP_AS_OF_DATE","20060707")</f>
        <v/>
      </c>
      <c r="BN5">
        <f>BDS("RDNT US Equity","SUPPLY_CHAIN_CUSTOMERS","RELATIONSHIP_AS_OF_DATE","20060707")</f>
        <v/>
      </c>
      <c r="BS5">
        <f>BDS("GPUI US Equity","SUPPLY_CHAIN_SUPPLIERS","RELATIONSHIP_AS_OF_DATE","19991222")</f>
        <v/>
      </c>
      <c r="BX5">
        <f>BDS("GPUI US Equity","SUPPLY_CHAIN_CUSTOMERS","RELATIONSHIP_AS_OF_DATE","19991222")</f>
        <v/>
      </c>
      <c r="CC5">
        <f>BDS("FITB US Equity","SUPPLY_CHAIN_SUPPLIERS","RELATIONSHIP_AS_OF_DATE","19990301")</f>
        <v/>
      </c>
      <c r="CH5">
        <f>BDS("FITB US Equity","SUPPLY_CHAIN_CUSTOMERS","RELATIONSHIP_AS_OF_DATE","19990301")</f>
        <v/>
      </c>
      <c r="CM5">
        <f>BDS("WSBC US Equity","SUPPLY_CHAIN_SUPPLIERS","RELATIONSHIP_AS_OF_DATE","20070720")</f>
        <v/>
      </c>
      <c r="CR5">
        <f>BDS("WSBC US Equity","SUPPLY_CHAIN_CUSTOMERS","RELATIONSHIP_AS_OF_DATE","20070720")</f>
        <v/>
      </c>
      <c r="CW5">
        <f>BDS("EGL US Equity","SUPPLY_CHAIN_SUPPLIERS","RELATIONSHIP_AS_OF_DATE","20131223")</f>
        <v/>
      </c>
      <c r="DB5">
        <f>BDS("EGL US Equity","SUPPLY_CHAIN_CUSTOMERS","RELATIONSHIP_AS_OF_DATE","20131223")</f>
        <v/>
      </c>
      <c r="DG5">
        <f>BDS("CVBF US Equity","SUPPLY_CHAIN_SUPPLIERS","RELATIONSHIP_AS_OF_DATE","20210727")</f>
        <v/>
      </c>
      <c r="DL5">
        <f>BDS("CVBF US Equity","SUPPLY_CHAIN_CUSTOMERS","RELATIONSHIP_AS_OF_DATE","20210727")</f>
        <v/>
      </c>
      <c r="DQ5">
        <f>BDS("OCFC US Equity","SUPPLY_CHAIN_SUPPLIERS","RELATIONSHIP_AS_OF_DATE","20160105")</f>
        <v/>
      </c>
      <c r="DV5">
        <f>BDS("OCFC US Equity","SUPPLY_CHAIN_CUSTOMERS","RELATIONSHIP_AS_OF_DATE","20160105")</f>
        <v/>
      </c>
      <c r="EA5">
        <f>BDS("CMVT US Equity","SUPPLY_CHAIN_SUPPLIERS","RELATIONSHIP_AS_OF_DATE","20000306")</f>
        <v/>
      </c>
      <c r="EF5">
        <f>BDS("CMVT US Equity","SUPPLY_CHAIN_CUSTOMERS","RELATIONSHIP_AS_OF_DATE","20000306")</f>
        <v/>
      </c>
      <c r="EK5">
        <f>BDS("1718309D US Equity","SUPPLY_CHAIN_SUPPLIERS","RELATIONSHIP_AS_OF_DATE","19980316")</f>
        <v/>
      </c>
      <c r="EP5">
        <f>BDS("1718309D US Equity","SUPPLY_CHAIN_CUSTOMERS","RELATIONSHIP_AS_OF_DATE","19980316")</f>
        <v/>
      </c>
      <c r="EU5">
        <f>BDS("PNFP US Equity","SUPPLY_CHAIN_SUPPLIERS","RELATIONSHIP_AS_OF_DATE","20160128")</f>
        <v/>
      </c>
      <c r="EZ5">
        <f>BDS("PNFP US Equity","SUPPLY_CHAIN_CUSTOMERS","RELATIONSHIP_AS_OF_DATE","20160128")</f>
        <v/>
      </c>
      <c r="FE5">
        <f>BDS("FITB US Equity","SUPPLY_CHAIN_SUPPLIERS","RELATIONSHIP_AS_OF_DATE","19990712")</f>
        <v/>
      </c>
      <c r="FJ5">
        <f>BDS("FITB US Equity","SUPPLY_CHAIN_CUSTOMERS","RELATIONSHIP_AS_OF_DATE","19990712")</f>
        <v/>
      </c>
      <c r="FO5">
        <f>BDS("ECPG US Equity","SUPPLY_CHAIN_SUPPLIERS","RELATIONSHIP_AS_OF_DATE","20130306")</f>
        <v/>
      </c>
      <c r="FT5">
        <f>BDS("ECPG US Equity","SUPPLY_CHAIN_CUSTOMERS","RELATIONSHIP_AS_OF_DATE","20130306")</f>
        <v/>
      </c>
      <c r="FY5">
        <f>BDS("nan Equity","SUPPLY_CHAIN_SUPPLIERS","RELATIONSHIP_AS_OF_DATE","20000607")</f>
        <v/>
      </c>
      <c r="GD5">
        <f>BDS("nan Equity","SUPPLY_CHAIN_CUSTOMERS","RELATIONSHIP_AS_OF_DATE","20000607")</f>
        <v/>
      </c>
      <c r="GI5">
        <f>BDS("2860436Q US Equity","SUPPLY_CHAIN_SUPPLIERS","RELATIONSHIP_AS_OF_DATE","20010529")</f>
        <v/>
      </c>
      <c r="GN5">
        <f>BDS("2860436Q US Equity","SUPPLY_CHAIN_CUSTOMERS","RELATIONSHIP_AS_OF_DATE","20010529")</f>
        <v/>
      </c>
      <c r="GS5">
        <f>BDS("YELLQ US Equity","SUPPLY_CHAIN_SUPPLIERS","RELATIONSHIP_AS_OF_DATE","19990607")</f>
        <v/>
      </c>
      <c r="GX5">
        <f>BDS("YELLQ US Equity","SUPPLY_CHAIN_CUSTOMERS","RELATIONSHIP_AS_OF_DATE","19990607")</f>
        <v/>
      </c>
      <c r="HC5">
        <f>BDS("FLTWQ US Equity","SUPPLY_CHAIN_SUPPLIERS","RELATIONSHIP_AS_OF_DATE","19980217")</f>
        <v/>
      </c>
      <c r="HH5">
        <f>BDS("FLTWQ US Equity","SUPPLY_CHAIN_CUSTOMERS","RELATIONSHIP_AS_OF_DATE","19980217")</f>
        <v/>
      </c>
      <c r="HM5">
        <f>BDS("GE US Equity","SUPPLY_CHAIN_SUPPLIERS","RELATIONSHIP_AS_OF_DATE","20010924")</f>
        <v/>
      </c>
      <c r="HR5">
        <f>BDS("GE US Equity","SUPPLY_CHAIN_CUSTOMERS","RELATIONSHIP_AS_OF_DATE","20010924")</f>
        <v/>
      </c>
      <c r="HW5">
        <f>BDS("EXAR US Equity","SUPPLY_CHAIN_SUPPLIERS","RELATIONSHIP_AS_OF_DATE","20070508")</f>
        <v/>
      </c>
      <c r="IB5">
        <f>BDS("EXAR US Equity","SUPPLY_CHAIN_CUSTOMERS","RELATIONSHIP_AS_OF_DATE","20070508")</f>
        <v/>
      </c>
      <c r="IG5">
        <f>BDS("CMTL US Equity","SUPPLY_CHAIN_SUPPLIERS","RELATIONSHIP_AS_OF_DATE","20080512")</f>
        <v/>
      </c>
      <c r="IL5">
        <f>BDS("CMTL US Equity","SUPPLY_CHAIN_CUSTOMERS","RELATIONSHIP_AS_OF_DATE","20080512")</f>
        <v/>
      </c>
      <c r="IQ5">
        <f>BDS("510639Q US Equity","SUPPLY_CHAIN_SUPPLIERS","RELATIONSHIP_AS_OF_DATE","19991103")</f>
        <v/>
      </c>
      <c r="IV5">
        <f>BDS("510639Q US Equity","SUPPLY_CHAIN_CUSTOMERS","RELATIONSHIP_AS_OF_DATE","19991103")</f>
        <v/>
      </c>
      <c r="JA5">
        <f>BDS("ORA US Equity","SUPPLY_CHAIN_SUPPLIERS","RELATIONSHIP_AS_OF_DATE","20180124")</f>
        <v/>
      </c>
      <c r="JF5">
        <f>BDS("ORA US Equity","SUPPLY_CHAIN_CUSTOMERS","RELATIONSHIP_AS_OF_DATE","20180124")</f>
        <v/>
      </c>
      <c r="JK5">
        <f>BDS("SHLM US Equity","SUPPLY_CHAIN_SUPPLIERS","RELATIONSHIP_AS_OF_DATE","20091203")</f>
        <v/>
      </c>
      <c r="JP5">
        <f>BDS("SHLM US Equity","SUPPLY_CHAIN_CUSTOMERS","RELATIONSHIP_AS_OF_DATE","20091203")</f>
        <v/>
      </c>
      <c r="JU5">
        <f>BDS("nan Equity","SUPPLY_CHAIN_SUPPLIERS","RELATIONSHIP_AS_OF_DATE","20130912")</f>
        <v/>
      </c>
      <c r="JZ5">
        <f>BDS("nan Equity","SUPPLY_CHAIN_CUSTOMERS","RELATIONSHIP_AS_OF_DATE","20130912")</f>
        <v/>
      </c>
      <c r="KE5">
        <f>BDS("1746513D US Equity","SUPPLY_CHAIN_SUPPLIERS","RELATIONSHIP_AS_OF_DATE","20000609")</f>
        <v/>
      </c>
      <c r="KJ5">
        <f>BDS("1746513D US Equity","SUPPLY_CHAIN_CUSTOMERS","RELATIONSHIP_AS_OF_DATE","20000609")</f>
        <v/>
      </c>
      <c r="KO5">
        <f>BDS("PONE US Equity","SUPPLY_CHAIN_SUPPLIERS","RELATIONSHIP_AS_OF_DATE","20061220")</f>
        <v/>
      </c>
      <c r="KT5">
        <f>BDS("PONE US Equity","SUPPLY_CHAIN_CUSTOMERS","RELATIONSHIP_AS_OF_DATE","20061220")</f>
        <v/>
      </c>
      <c r="KY5">
        <f>BDS("THG US Equity","SUPPLY_CHAIN_SUPPLIERS","RELATIONSHIP_AS_OF_DATE","19981027")</f>
        <v/>
      </c>
      <c r="LD5">
        <f>BDS("THG US Equity","SUPPLY_CHAIN_CUSTOMERS","RELATIONSHIP_AS_OF_DATE","19981027")</f>
        <v/>
      </c>
      <c r="LI5">
        <f>BDS("SFAM US Equity","SUPPLY_CHAIN_SUPPLIERS","RELATIONSHIP_AS_OF_DATE","19981119")</f>
        <v/>
      </c>
      <c r="LN5">
        <f>BDS("SFAM US Equity","SUPPLY_CHAIN_CUSTOMERS","RELATIONSHIP_AS_OF_DATE","19981119")</f>
        <v/>
      </c>
      <c r="LS5">
        <f>BDS("PACW US Equity","SUPPLY_CHAIN_SUPPLIERS","RELATIONSHIP_AS_OF_DATE","20120508")</f>
        <v/>
      </c>
      <c r="LX5">
        <f>BDS("PACW US Equity","SUPPLY_CHAIN_CUSTOMERS","RELATIONSHIP_AS_OF_DATE","20120508")</f>
        <v/>
      </c>
      <c r="MC5">
        <f>BDS("AXAS US Equity","SUPPLY_CHAIN_SUPPLIERS","RELATIONSHIP_AS_OF_DATE","20090618")</f>
        <v/>
      </c>
      <c r="MH5">
        <f>BDS("AXAS US Equity","SUPPLY_CHAIN_CUSTOMERS","RELATIONSHIP_AS_OF_DATE","20090618")</f>
        <v/>
      </c>
      <c r="MM5">
        <f>BDS("1996074D US Equity","SUPPLY_CHAIN_SUPPLIERS","RELATIONSHIP_AS_OF_DATE","19991015")</f>
        <v/>
      </c>
      <c r="MR5">
        <f>BDS("1996074D US Equity","SUPPLY_CHAIN_CUSTOMERS","RELATIONSHIP_AS_OF_DATE","19991015")</f>
        <v/>
      </c>
      <c r="MW5">
        <f>BDS("WSTL US Equity","SUPPLY_CHAIN_SUPPLIERS","RELATIONSHIP_AS_OF_DATE","19991213")</f>
        <v/>
      </c>
      <c r="NB5">
        <f>BDS("WSTL US Equity","SUPPLY_CHAIN_CUSTOMERS","RELATIONSHIP_AS_OF_DATE","19991213")</f>
        <v/>
      </c>
      <c r="NG5">
        <f>BDS("HTH US Equity","SUPPLY_CHAIN_SUPPLIERS","RELATIONSHIP_AS_OF_DATE","20140110")</f>
        <v/>
      </c>
      <c r="NL5">
        <f>BDS("HTH US Equity","SUPPLY_CHAIN_CUSTOMERS","RELATIONSHIP_AS_OF_DATE","20140110")</f>
        <v/>
      </c>
      <c r="NQ5">
        <f>BDS("FLWS US Equity","SUPPLY_CHAIN_SUPPLIERS","RELATIONSHIP_AS_OF_DATE","20140902")</f>
        <v/>
      </c>
      <c r="NV5">
        <f>BDS("FLWS US Equity","SUPPLY_CHAIN_CUSTOMERS","RELATIONSHIP_AS_OF_DATE","20140902")</f>
        <v/>
      </c>
      <c r="OA5">
        <f>BDS("CLRN US Equity","SUPPLY_CHAIN_SUPPLIERS","RELATIONSHIP_AS_OF_DATE","20000502")</f>
        <v/>
      </c>
      <c r="OF5">
        <f>BDS("CLRN US Equity","SUPPLY_CHAIN_CUSTOMERS","RELATIONSHIP_AS_OF_DATE","20000502")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2721</t>
        </is>
      </c>
      <c r="K1" s="1" t="inlineStr">
        <is>
          <t>Deal 2722</t>
        </is>
      </c>
      <c r="U1" s="1" t="inlineStr">
        <is>
          <t>Deal 2723</t>
        </is>
      </c>
      <c r="AE1" s="1" t="inlineStr">
        <is>
          <t>Deal 2724</t>
        </is>
      </c>
      <c r="AO1" s="1" t="inlineStr">
        <is>
          <t>Deal 2725</t>
        </is>
      </c>
      <c r="AY1" s="1" t="inlineStr">
        <is>
          <t>Deal 2726</t>
        </is>
      </c>
      <c r="BI1" s="1" t="inlineStr">
        <is>
          <t>Deal 2727</t>
        </is>
      </c>
      <c r="BS1" s="1" t="inlineStr">
        <is>
          <t>Deal 2728</t>
        </is>
      </c>
      <c r="CC1" s="1" t="inlineStr">
        <is>
          <t>Deal 2729</t>
        </is>
      </c>
      <c r="CM1" s="1" t="inlineStr">
        <is>
          <t>Deal 2730</t>
        </is>
      </c>
      <c r="CW1" s="1" t="inlineStr">
        <is>
          <t>Deal 2731</t>
        </is>
      </c>
      <c r="DG1" s="1" t="inlineStr">
        <is>
          <t>Deal 2732</t>
        </is>
      </c>
      <c r="DQ1" s="1" t="inlineStr">
        <is>
          <t>Deal 2733</t>
        </is>
      </c>
      <c r="EA1" s="1" t="inlineStr">
        <is>
          <t>Deal 2734</t>
        </is>
      </c>
      <c r="EK1" s="1" t="inlineStr">
        <is>
          <t>Deal 2735</t>
        </is>
      </c>
      <c r="EU1" s="1" t="inlineStr">
        <is>
          <t>Deal 2736</t>
        </is>
      </c>
      <c r="FE1" s="1" t="inlineStr">
        <is>
          <t>Deal 2737</t>
        </is>
      </c>
      <c r="FO1" s="1" t="inlineStr">
        <is>
          <t>Deal 2738</t>
        </is>
      </c>
      <c r="FY1" s="1" t="inlineStr">
        <is>
          <t>Deal 2739</t>
        </is>
      </c>
      <c r="GI1" s="1" t="inlineStr">
        <is>
          <t>Deal 2740</t>
        </is>
      </c>
      <c r="GS1" s="1" t="inlineStr">
        <is>
          <t>Deal 2741</t>
        </is>
      </c>
      <c r="HC1" s="1" t="inlineStr">
        <is>
          <t>Deal 2742</t>
        </is>
      </c>
      <c r="HM1" s="1" t="inlineStr">
        <is>
          <t>Deal 2743</t>
        </is>
      </c>
      <c r="HW1" s="1" t="inlineStr">
        <is>
          <t>Deal 2744</t>
        </is>
      </c>
      <c r="IG1" s="1" t="inlineStr">
        <is>
          <t>Deal 2745</t>
        </is>
      </c>
      <c r="IQ1" s="1" t="inlineStr">
        <is>
          <t>Deal 2746</t>
        </is>
      </c>
      <c r="JA1" s="1" t="inlineStr">
        <is>
          <t>Deal 2747</t>
        </is>
      </c>
      <c r="JK1" s="1" t="inlineStr">
        <is>
          <t>Deal 2748</t>
        </is>
      </c>
      <c r="JU1" s="1" t="inlineStr">
        <is>
          <t>Deal 2749</t>
        </is>
      </c>
      <c r="KE1" s="1" t="inlineStr">
        <is>
          <t>Deal 2750</t>
        </is>
      </c>
      <c r="KO1" s="1" t="inlineStr">
        <is>
          <t>Deal 2751</t>
        </is>
      </c>
      <c r="KY1" s="1" t="inlineStr">
        <is>
          <t>Deal 2752</t>
        </is>
      </c>
      <c r="LI1" s="1" t="inlineStr">
        <is>
          <t>Deal 2753</t>
        </is>
      </c>
      <c r="LS1" s="1" t="inlineStr">
        <is>
          <t>Deal 2754</t>
        </is>
      </c>
      <c r="MC1" s="1" t="inlineStr">
        <is>
          <t>Deal 2755</t>
        </is>
      </c>
      <c r="MM1" s="1" t="inlineStr">
        <is>
          <t>Deal 2756</t>
        </is>
      </c>
      <c r="MW1" s="1" t="inlineStr">
        <is>
          <t>Deal 2757</t>
        </is>
      </c>
      <c r="NG1" s="1" t="inlineStr">
        <is>
          <t>Deal 2758</t>
        </is>
      </c>
      <c r="NQ1" s="1" t="inlineStr">
        <is>
          <t>Deal 2759</t>
        </is>
      </c>
      <c r="OA1" s="1" t="inlineStr">
        <is>
          <t>Deal 2760</t>
        </is>
      </c>
    </row>
    <row r="2">
      <c r="A2" s="2" t="inlineStr">
        <is>
          <t>BSX US Equity</t>
        </is>
      </c>
      <c r="K2" s="2" t="inlineStr">
        <is>
          <t>FHB US Equity</t>
        </is>
      </c>
      <c r="U2" s="2" t="inlineStr">
        <is>
          <t>NOVL US Equity</t>
        </is>
      </c>
      <c r="AE2" s="2" t="inlineStr">
        <is>
          <t>WFRD US Equity</t>
        </is>
      </c>
      <c r="AO2" s="2" t="inlineStr">
        <is>
          <t>INAPQ US Equity</t>
        </is>
      </c>
      <c r="AY2" s="2" t="inlineStr">
        <is>
          <t>KLIC US Equity</t>
        </is>
      </c>
      <c r="BI2" s="2" t="inlineStr">
        <is>
          <t>HCKT US Equity</t>
        </is>
      </c>
      <c r="BS2" s="2" t="inlineStr">
        <is>
          <t>540513Q US Equity</t>
        </is>
      </c>
      <c r="CC2" s="2" t="inlineStr">
        <is>
          <t>ANDX US Equity</t>
        </is>
      </c>
      <c r="CM2" s="2" t="inlineStr">
        <is>
          <t>JLG US Equity</t>
        </is>
      </c>
      <c r="CW2" s="2" t="inlineStr">
        <is>
          <t>PRA US Equity</t>
        </is>
      </c>
      <c r="DG2" s="2" t="inlineStr">
        <is>
          <t>9996201D US Equity</t>
        </is>
      </c>
      <c r="DQ2" s="2" t="inlineStr">
        <is>
          <t>ASFZ US Equity</t>
        </is>
      </c>
      <c r="EA2" s="2" t="inlineStr">
        <is>
          <t>0758969D US Equity</t>
        </is>
      </c>
      <c r="EK2" s="2" t="inlineStr">
        <is>
          <t>SRZ US Equity</t>
        </is>
      </c>
      <c r="EU2" s="2" t="inlineStr">
        <is>
          <t>MFE US Equity</t>
        </is>
      </c>
      <c r="FE2" s="2" t="inlineStr">
        <is>
          <t>534689Q US Equity</t>
        </is>
      </c>
      <c r="FO2" s="2" t="inlineStr">
        <is>
          <t>ADSK US Equity</t>
        </is>
      </c>
      <c r="FY2" s="2" t="inlineStr">
        <is>
          <t>DMLP US Equity</t>
        </is>
      </c>
      <c r="GI2" s="2" t="inlineStr">
        <is>
          <t>BCR US Equity</t>
        </is>
      </c>
      <c r="GS2" s="2" t="inlineStr">
        <is>
          <t>CYNO US Equity</t>
        </is>
      </c>
      <c r="HC2" s="2" t="inlineStr">
        <is>
          <t>3546Q US Equity</t>
        </is>
      </c>
      <c r="HM2" s="2" t="inlineStr">
        <is>
          <t>ASB US Equity</t>
        </is>
      </c>
      <c r="HW2" s="2" t="inlineStr">
        <is>
          <t>nan Equity</t>
        </is>
      </c>
      <c r="IG2" s="2" t="inlineStr">
        <is>
          <t>GON US Equity</t>
        </is>
      </c>
      <c r="IQ2" s="2" t="inlineStr">
        <is>
          <t>UFCS US Equity</t>
        </is>
      </c>
      <c r="JA2" s="2" t="inlineStr">
        <is>
          <t>ELAN US Equity</t>
        </is>
      </c>
      <c r="JK2" s="2" t="inlineStr">
        <is>
          <t>1642488D US Equity</t>
        </is>
      </c>
      <c r="JU2" s="2" t="inlineStr">
        <is>
          <t>653707Q US Equity</t>
        </is>
      </c>
      <c r="KE2" s="2" t="inlineStr">
        <is>
          <t>MIMOQ US Equity</t>
        </is>
      </c>
      <c r="KO2" s="2" t="inlineStr">
        <is>
          <t>BBT US Equity</t>
        </is>
      </c>
      <c r="KY2" s="2" t="inlineStr">
        <is>
          <t>WFC US Equity</t>
        </is>
      </c>
      <c r="LI2" s="2" t="inlineStr">
        <is>
          <t>TYG US Equity</t>
        </is>
      </c>
      <c r="LS2" s="2" t="inlineStr">
        <is>
          <t>CAZA US Equity</t>
        </is>
      </c>
      <c r="MC2" s="2" t="inlineStr">
        <is>
          <t>BAGL US Equity</t>
        </is>
      </c>
      <c r="MM2" s="2" t="inlineStr">
        <is>
          <t>FLG US Equity</t>
        </is>
      </c>
      <c r="MW2" s="2" t="inlineStr">
        <is>
          <t>1477687D US Equity</t>
        </is>
      </c>
      <c r="NG2" s="2" t="inlineStr">
        <is>
          <t>PARA US Equity</t>
        </is>
      </c>
      <c r="NQ2" s="2" t="inlineStr">
        <is>
          <t>KEY US Equity</t>
        </is>
      </c>
      <c r="OA2" s="2" t="inlineStr">
        <is>
          <t>IDTI US Equity</t>
        </is>
      </c>
    </row>
    <row r="3">
      <c r="A3" t="inlineStr">
        <is>
          <t>Ann: 2016-09-27</t>
        </is>
      </c>
      <c r="K3" t="inlineStr">
        <is>
          <t>Ann: 1999-02-25</t>
        </is>
      </c>
      <c r="U3" t="inlineStr">
        <is>
          <t>Ann: 2001-03-12</t>
        </is>
      </c>
      <c r="AE3" t="inlineStr">
        <is>
          <t>Ann: 1999-05-21</t>
        </is>
      </c>
      <c r="AO3" t="inlineStr">
        <is>
          <t>Ann: 2006-10-12</t>
        </is>
      </c>
      <c r="AY3" t="inlineStr">
        <is>
          <t>Ann: 2000-10-12</t>
        </is>
      </c>
      <c r="BI3" t="inlineStr">
        <is>
          <t>Ann: 1999-06-25</t>
        </is>
      </c>
      <c r="BS3" t="inlineStr">
        <is>
          <t>Ann: 2004-06-21</t>
        </is>
      </c>
      <c r="CC3" t="inlineStr">
        <is>
          <t>Ann: 2014-12-12</t>
        </is>
      </c>
      <c r="CM3" t="inlineStr">
        <is>
          <t>Ann: 1999-05-11</t>
        </is>
      </c>
      <c r="CW3" t="inlineStr">
        <is>
          <t>Ann: 2013-09-24</t>
        </is>
      </c>
      <c r="DG3" t="inlineStr">
        <is>
          <t>Ann: 2016-04-28</t>
        </is>
      </c>
      <c r="DQ3" t="inlineStr">
        <is>
          <t>Ann: 1999-11-15</t>
        </is>
      </c>
      <c r="EA3" t="inlineStr">
        <is>
          <t>Ann: 1999-09-23</t>
        </is>
      </c>
      <c r="EK3" t="inlineStr">
        <is>
          <t>Ann: 1998-10-19</t>
        </is>
      </c>
      <c r="EU3" t="inlineStr">
        <is>
          <t>Ann: 2002-03-18</t>
        </is>
      </c>
      <c r="FE3" t="inlineStr">
        <is>
          <t>Ann: 1999-08-16</t>
        </is>
      </c>
      <c r="FO3" t="inlineStr">
        <is>
          <t>Ann: 2008-05-01</t>
        </is>
      </c>
      <c r="FY3" t="inlineStr">
        <is>
          <t>Ann: 2001-08-02</t>
        </is>
      </c>
      <c r="GI3" t="inlineStr">
        <is>
          <t>Ann: 2010-05-05</t>
        </is>
      </c>
      <c r="GS3" t="inlineStr">
        <is>
          <t>Ann: 2013-03-18</t>
        </is>
      </c>
      <c r="HC3" t="inlineStr">
        <is>
          <t>Ann: 1998-01-15</t>
        </is>
      </c>
      <c r="HM3" t="inlineStr">
        <is>
          <t>Ann: 2001-09-10</t>
        </is>
      </c>
      <c r="HW3" t="inlineStr">
        <is>
          <t>Ann: 2005-09-01</t>
        </is>
      </c>
      <c r="IG3" t="inlineStr">
        <is>
          <t>Ann: 1999-06-02</t>
        </is>
      </c>
      <c r="IQ3" t="inlineStr">
        <is>
          <t>Ann: 2010-11-30</t>
        </is>
      </c>
      <c r="JA3" t="inlineStr">
        <is>
          <t>Ann: 2019-04-26</t>
        </is>
      </c>
      <c r="JK3" t="inlineStr">
        <is>
          <t>Ann: 1998-05-18</t>
        </is>
      </c>
      <c r="JU3" t="inlineStr">
        <is>
          <t>Ann: 2000-02-14</t>
        </is>
      </c>
      <c r="KE3" t="inlineStr">
        <is>
          <t>Ann: 2021-03-08</t>
        </is>
      </c>
      <c r="KO3" t="inlineStr">
        <is>
          <t>Ann: 2018-12-11</t>
        </is>
      </c>
      <c r="KY3" t="inlineStr">
        <is>
          <t>Ann: 1999-11-03</t>
        </is>
      </c>
      <c r="LI3" t="inlineStr">
        <is>
          <t>Ann: 2014-01-28</t>
        </is>
      </c>
      <c r="LS3" t="inlineStr">
        <is>
          <t>Ann: 2012-06-12</t>
        </is>
      </c>
      <c r="MC3" t="inlineStr">
        <is>
          <t>Ann: 2001-06-04</t>
        </is>
      </c>
      <c r="MM3" t="inlineStr">
        <is>
          <t>Ann: 2000-06-27</t>
        </is>
      </c>
      <c r="MW3" t="inlineStr">
        <is>
          <t>Ann: 2010-02-24</t>
        </is>
      </c>
      <c r="NG3" t="inlineStr">
        <is>
          <t>Ann: 1999-03-19</t>
        </is>
      </c>
      <c r="NQ3" t="inlineStr">
        <is>
          <t>Ann: 2004-06-25</t>
        </is>
      </c>
      <c r="OA3" t="inlineStr">
        <is>
          <t>Ann: 2017-02-13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BDS("BSX US Equity","SUPPLY_CHAIN_SUPPLIERS","RELATIONSHIP_AS_OF_DATE","20160927")</f>
        <v/>
      </c>
      <c r="F5">
        <f>BDS("BSX US Equity","SUPPLY_CHAIN_CUSTOMERS","RELATIONSHIP_AS_OF_DATE","20160927")</f>
        <v/>
      </c>
      <c r="K5">
        <f>BDS("FHB US Equity","SUPPLY_CHAIN_SUPPLIERS","RELATIONSHIP_AS_OF_DATE","19990225")</f>
        <v/>
      </c>
      <c r="P5">
        <f>BDS("FHB US Equity","SUPPLY_CHAIN_CUSTOMERS","RELATIONSHIP_AS_OF_DATE","19990225")</f>
        <v/>
      </c>
      <c r="U5">
        <f>BDS("NOVL US Equity","SUPPLY_CHAIN_SUPPLIERS","RELATIONSHIP_AS_OF_DATE","20010312")</f>
        <v/>
      </c>
      <c r="Z5">
        <f>BDS("NOVL US Equity","SUPPLY_CHAIN_CUSTOMERS","RELATIONSHIP_AS_OF_DATE","20010312")</f>
        <v/>
      </c>
      <c r="AE5">
        <f>BDS("WFRD US Equity","SUPPLY_CHAIN_SUPPLIERS","RELATIONSHIP_AS_OF_DATE","19990521")</f>
        <v/>
      </c>
      <c r="AJ5">
        <f>BDS("WFRD US Equity","SUPPLY_CHAIN_CUSTOMERS","RELATIONSHIP_AS_OF_DATE","19990521")</f>
        <v/>
      </c>
      <c r="AO5">
        <f>BDS("INAPQ US Equity","SUPPLY_CHAIN_SUPPLIERS","RELATIONSHIP_AS_OF_DATE","20061012")</f>
        <v/>
      </c>
      <c r="AT5">
        <f>BDS("INAPQ US Equity","SUPPLY_CHAIN_CUSTOMERS","RELATIONSHIP_AS_OF_DATE","20061012")</f>
        <v/>
      </c>
      <c r="AY5">
        <f>BDS("KLIC US Equity","SUPPLY_CHAIN_SUPPLIERS","RELATIONSHIP_AS_OF_DATE","20001012")</f>
        <v/>
      </c>
      <c r="BD5">
        <f>BDS("KLIC US Equity","SUPPLY_CHAIN_CUSTOMERS","RELATIONSHIP_AS_OF_DATE","20001012")</f>
        <v/>
      </c>
      <c r="BI5">
        <f>BDS("HCKT US Equity","SUPPLY_CHAIN_SUPPLIERS","RELATIONSHIP_AS_OF_DATE","19990625")</f>
        <v/>
      </c>
      <c r="BN5">
        <f>BDS("HCKT US Equity","SUPPLY_CHAIN_CUSTOMERS","RELATIONSHIP_AS_OF_DATE","19990625")</f>
        <v/>
      </c>
      <c r="BS5">
        <f>BDS("540513Q US Equity","SUPPLY_CHAIN_SUPPLIERS","RELATIONSHIP_AS_OF_DATE","20040621")</f>
        <v/>
      </c>
      <c r="BX5">
        <f>BDS("540513Q US Equity","SUPPLY_CHAIN_CUSTOMERS","RELATIONSHIP_AS_OF_DATE","20040621")</f>
        <v/>
      </c>
      <c r="CC5">
        <f>BDS("ANDX US Equity","SUPPLY_CHAIN_SUPPLIERS","RELATIONSHIP_AS_OF_DATE","20141212")</f>
        <v/>
      </c>
      <c r="CH5">
        <f>BDS("ANDX US Equity","SUPPLY_CHAIN_CUSTOMERS","RELATIONSHIP_AS_OF_DATE","20141212")</f>
        <v/>
      </c>
      <c r="CM5">
        <f>BDS("JLG US Equity","SUPPLY_CHAIN_SUPPLIERS","RELATIONSHIP_AS_OF_DATE","19990511")</f>
        <v/>
      </c>
      <c r="CR5">
        <f>BDS("JLG US Equity","SUPPLY_CHAIN_CUSTOMERS","RELATIONSHIP_AS_OF_DATE","19990511")</f>
        <v/>
      </c>
      <c r="CW5">
        <f>BDS("PRA US Equity","SUPPLY_CHAIN_SUPPLIERS","RELATIONSHIP_AS_OF_DATE","20130924")</f>
        <v/>
      </c>
      <c r="DB5">
        <f>BDS("PRA US Equity","SUPPLY_CHAIN_CUSTOMERS","RELATIONSHIP_AS_OF_DATE","20130924")</f>
        <v/>
      </c>
      <c r="DG5">
        <f>BDS("9996201D US Equity","SUPPLY_CHAIN_SUPPLIERS","RELATIONSHIP_AS_OF_DATE","20160428")</f>
        <v/>
      </c>
      <c r="DL5">
        <f>BDS("9996201D US Equity","SUPPLY_CHAIN_CUSTOMERS","RELATIONSHIP_AS_OF_DATE","20160428")</f>
        <v/>
      </c>
      <c r="DQ5">
        <f>BDS("ASFZ US Equity","SUPPLY_CHAIN_SUPPLIERS","RELATIONSHIP_AS_OF_DATE","19991115")</f>
        <v/>
      </c>
      <c r="DV5">
        <f>BDS("ASFZ US Equity","SUPPLY_CHAIN_CUSTOMERS","RELATIONSHIP_AS_OF_DATE","19991115")</f>
        <v/>
      </c>
      <c r="EA5">
        <f>BDS("0758969D US Equity","SUPPLY_CHAIN_SUPPLIERS","RELATIONSHIP_AS_OF_DATE","19990923")</f>
        <v/>
      </c>
      <c r="EF5">
        <f>BDS("0758969D US Equity","SUPPLY_CHAIN_CUSTOMERS","RELATIONSHIP_AS_OF_DATE","19990923")</f>
        <v/>
      </c>
      <c r="EK5">
        <f>BDS("SRZ US Equity","SUPPLY_CHAIN_SUPPLIERS","RELATIONSHIP_AS_OF_DATE","19981019")</f>
        <v/>
      </c>
      <c r="EP5">
        <f>BDS("SRZ US Equity","SUPPLY_CHAIN_CUSTOMERS","RELATIONSHIP_AS_OF_DATE","19981019")</f>
        <v/>
      </c>
      <c r="EU5">
        <f>BDS("MFE US Equity","SUPPLY_CHAIN_SUPPLIERS","RELATIONSHIP_AS_OF_DATE","20020318")</f>
        <v/>
      </c>
      <c r="EZ5">
        <f>BDS("MFE US Equity","SUPPLY_CHAIN_CUSTOMERS","RELATIONSHIP_AS_OF_DATE","20020318")</f>
        <v/>
      </c>
      <c r="FE5">
        <f>BDS("534689Q US Equity","SUPPLY_CHAIN_SUPPLIERS","RELATIONSHIP_AS_OF_DATE","19990816")</f>
        <v/>
      </c>
      <c r="FJ5">
        <f>BDS("534689Q US Equity","SUPPLY_CHAIN_CUSTOMERS","RELATIONSHIP_AS_OF_DATE","19990816")</f>
        <v/>
      </c>
      <c r="FO5">
        <f>BDS("ADSK US Equity","SUPPLY_CHAIN_SUPPLIERS","RELATIONSHIP_AS_OF_DATE","20080501")</f>
        <v/>
      </c>
      <c r="FT5">
        <f>BDS("ADSK US Equity","SUPPLY_CHAIN_CUSTOMERS","RELATIONSHIP_AS_OF_DATE","20080501")</f>
        <v/>
      </c>
      <c r="FY5">
        <f>BDS("DMLP US Equity","SUPPLY_CHAIN_SUPPLIERS","RELATIONSHIP_AS_OF_DATE","20010802")</f>
        <v/>
      </c>
      <c r="GD5">
        <f>BDS("DMLP US Equity","SUPPLY_CHAIN_CUSTOMERS","RELATIONSHIP_AS_OF_DATE","20010802")</f>
        <v/>
      </c>
      <c r="GI5">
        <f>BDS("BCR US Equity","SUPPLY_CHAIN_SUPPLIERS","RELATIONSHIP_AS_OF_DATE","20100505")</f>
        <v/>
      </c>
      <c r="GN5">
        <f>BDS("BCR US Equity","SUPPLY_CHAIN_CUSTOMERS","RELATIONSHIP_AS_OF_DATE","20100505")</f>
        <v/>
      </c>
      <c r="GS5">
        <f>BDS("CYNO US Equity","SUPPLY_CHAIN_SUPPLIERS","RELATIONSHIP_AS_OF_DATE","20130318")</f>
        <v/>
      </c>
      <c r="GX5">
        <f>BDS("CYNO US Equity","SUPPLY_CHAIN_CUSTOMERS","RELATIONSHIP_AS_OF_DATE","20130318")</f>
        <v/>
      </c>
      <c r="HC5">
        <f>BDS("3546Q US Equity","SUPPLY_CHAIN_SUPPLIERS","RELATIONSHIP_AS_OF_DATE","19980115")</f>
        <v/>
      </c>
      <c r="HH5">
        <f>BDS("3546Q US Equity","SUPPLY_CHAIN_CUSTOMERS","RELATIONSHIP_AS_OF_DATE","19980115")</f>
        <v/>
      </c>
      <c r="HM5">
        <f>BDS("ASB US Equity","SUPPLY_CHAIN_SUPPLIERS","RELATIONSHIP_AS_OF_DATE","20010910")</f>
        <v/>
      </c>
      <c r="HR5">
        <f>BDS("ASB US Equity","SUPPLY_CHAIN_CUSTOMERS","RELATIONSHIP_AS_OF_DATE","20010910")</f>
        <v/>
      </c>
      <c r="HW5">
        <f>BDS("nan Equity","SUPPLY_CHAIN_SUPPLIERS","RELATIONSHIP_AS_OF_DATE","20050901")</f>
        <v/>
      </c>
      <c r="IB5">
        <f>BDS("nan Equity","SUPPLY_CHAIN_CUSTOMERS","RELATIONSHIP_AS_OF_DATE","20050901")</f>
        <v/>
      </c>
      <c r="IG5">
        <f>BDS("GON US Equity","SUPPLY_CHAIN_SUPPLIERS","RELATIONSHIP_AS_OF_DATE","19990602")</f>
        <v/>
      </c>
      <c r="IL5">
        <f>BDS("GON US Equity","SUPPLY_CHAIN_CUSTOMERS","RELATIONSHIP_AS_OF_DATE","19990602")</f>
        <v/>
      </c>
      <c r="IQ5">
        <f>BDS("UFCS US Equity","SUPPLY_CHAIN_SUPPLIERS","RELATIONSHIP_AS_OF_DATE","20101130")</f>
        <v/>
      </c>
      <c r="IV5">
        <f>BDS("UFCS US Equity","SUPPLY_CHAIN_CUSTOMERS","RELATIONSHIP_AS_OF_DATE","20101130")</f>
        <v/>
      </c>
      <c r="JA5">
        <f>BDS("ELAN US Equity","SUPPLY_CHAIN_SUPPLIERS","RELATIONSHIP_AS_OF_DATE","20190426")</f>
        <v/>
      </c>
      <c r="JF5">
        <f>BDS("ELAN US Equity","SUPPLY_CHAIN_CUSTOMERS","RELATIONSHIP_AS_OF_DATE","20190426")</f>
        <v/>
      </c>
      <c r="JK5">
        <f>BDS("1642488D US Equity","SUPPLY_CHAIN_SUPPLIERS","RELATIONSHIP_AS_OF_DATE","19980518")</f>
        <v/>
      </c>
      <c r="JP5">
        <f>BDS("1642488D US Equity","SUPPLY_CHAIN_CUSTOMERS","RELATIONSHIP_AS_OF_DATE","19980518")</f>
        <v/>
      </c>
      <c r="JU5">
        <f>BDS("653707Q US Equity","SUPPLY_CHAIN_SUPPLIERS","RELATIONSHIP_AS_OF_DATE","20000214")</f>
        <v/>
      </c>
      <c r="JZ5">
        <f>BDS("653707Q US Equity","SUPPLY_CHAIN_CUSTOMERS","RELATIONSHIP_AS_OF_DATE","20000214")</f>
        <v/>
      </c>
      <c r="KE5">
        <f>BDS("MIMOQ US Equity","SUPPLY_CHAIN_SUPPLIERS","RELATIONSHIP_AS_OF_DATE","20210308")</f>
        <v/>
      </c>
      <c r="KJ5">
        <f>BDS("MIMOQ US Equity","SUPPLY_CHAIN_CUSTOMERS","RELATIONSHIP_AS_OF_DATE","20210308")</f>
        <v/>
      </c>
      <c r="KO5">
        <f>BDS("BBT US Equity","SUPPLY_CHAIN_SUPPLIERS","RELATIONSHIP_AS_OF_DATE","20181211")</f>
        <v/>
      </c>
      <c r="KT5">
        <f>BDS("BBT US Equity","SUPPLY_CHAIN_CUSTOMERS","RELATIONSHIP_AS_OF_DATE","20181211")</f>
        <v/>
      </c>
      <c r="KY5">
        <f>BDS("WFC US Equity","SUPPLY_CHAIN_SUPPLIERS","RELATIONSHIP_AS_OF_DATE","19991103")</f>
        <v/>
      </c>
      <c r="LD5">
        <f>BDS("WFC US Equity","SUPPLY_CHAIN_CUSTOMERS","RELATIONSHIP_AS_OF_DATE","19991103")</f>
        <v/>
      </c>
      <c r="LI5">
        <f>BDS("TYG US Equity","SUPPLY_CHAIN_SUPPLIERS","RELATIONSHIP_AS_OF_DATE","20140128")</f>
        <v/>
      </c>
      <c r="LN5">
        <f>BDS("TYG US Equity","SUPPLY_CHAIN_CUSTOMERS","RELATIONSHIP_AS_OF_DATE","20140128")</f>
        <v/>
      </c>
      <c r="LS5">
        <f>BDS("CAZA US Equity","SUPPLY_CHAIN_SUPPLIERS","RELATIONSHIP_AS_OF_DATE","20120612")</f>
        <v/>
      </c>
      <c r="LX5">
        <f>BDS("CAZA US Equity","SUPPLY_CHAIN_CUSTOMERS","RELATIONSHIP_AS_OF_DATE","20120612")</f>
        <v/>
      </c>
      <c r="MC5">
        <f>BDS("BAGL US Equity","SUPPLY_CHAIN_SUPPLIERS","RELATIONSHIP_AS_OF_DATE","20010604")</f>
        <v/>
      </c>
      <c r="MH5">
        <f>BDS("BAGL US Equity","SUPPLY_CHAIN_CUSTOMERS","RELATIONSHIP_AS_OF_DATE","20010604")</f>
        <v/>
      </c>
      <c r="MM5">
        <f>BDS("FLG US Equity","SUPPLY_CHAIN_SUPPLIERS","RELATIONSHIP_AS_OF_DATE","20000627")</f>
        <v/>
      </c>
      <c r="MR5">
        <f>BDS("FLG US Equity","SUPPLY_CHAIN_CUSTOMERS","RELATIONSHIP_AS_OF_DATE","20000627")</f>
        <v/>
      </c>
      <c r="MW5">
        <f>BDS("1477687D US Equity","SUPPLY_CHAIN_SUPPLIERS","RELATIONSHIP_AS_OF_DATE","20100224")</f>
        <v/>
      </c>
      <c r="NB5">
        <f>BDS("1477687D US Equity","SUPPLY_CHAIN_CUSTOMERS","RELATIONSHIP_AS_OF_DATE","20100224")</f>
        <v/>
      </c>
      <c r="NG5">
        <f>BDS("PARA US Equity","SUPPLY_CHAIN_SUPPLIERS","RELATIONSHIP_AS_OF_DATE","19990319")</f>
        <v/>
      </c>
      <c r="NL5">
        <f>BDS("PARA US Equity","SUPPLY_CHAIN_CUSTOMERS","RELATIONSHIP_AS_OF_DATE","19990319")</f>
        <v/>
      </c>
      <c r="NQ5">
        <f>BDS("KEY US Equity","SUPPLY_CHAIN_SUPPLIERS","RELATIONSHIP_AS_OF_DATE","20040625")</f>
        <v/>
      </c>
      <c r="NV5">
        <f>BDS("KEY US Equity","SUPPLY_CHAIN_CUSTOMERS","RELATIONSHIP_AS_OF_DATE","20040625")</f>
        <v/>
      </c>
      <c r="OA5">
        <f>BDS("IDTI US Equity","SUPPLY_CHAIN_SUPPLIERS","RELATIONSHIP_AS_OF_DATE","20170213")</f>
        <v/>
      </c>
      <c r="OF5">
        <f>BDS("IDTI US Equity","SUPPLY_CHAIN_CUSTOMERS","RELATIONSHIP_AS_OF_DATE","20170213")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2761</t>
        </is>
      </c>
      <c r="K1" s="1" t="inlineStr">
        <is>
          <t>Deal 2762</t>
        </is>
      </c>
      <c r="U1" s="1" t="inlineStr">
        <is>
          <t>Deal 2763</t>
        </is>
      </c>
      <c r="AE1" s="1" t="inlineStr">
        <is>
          <t>Deal 2764</t>
        </is>
      </c>
      <c r="AO1" s="1" t="inlineStr">
        <is>
          <t>Deal 2765</t>
        </is>
      </c>
      <c r="AY1" s="1" t="inlineStr">
        <is>
          <t>Deal 2766</t>
        </is>
      </c>
      <c r="BI1" s="1" t="inlineStr">
        <is>
          <t>Deal 2767</t>
        </is>
      </c>
      <c r="BS1" s="1" t="inlineStr">
        <is>
          <t>Deal 2768</t>
        </is>
      </c>
      <c r="CC1" s="1" t="inlineStr">
        <is>
          <t>Deal 2769</t>
        </is>
      </c>
      <c r="CM1" s="1" t="inlineStr">
        <is>
          <t>Deal 2770</t>
        </is>
      </c>
      <c r="CW1" s="1" t="inlineStr">
        <is>
          <t>Deal 2771</t>
        </is>
      </c>
      <c r="DG1" s="1" t="inlineStr">
        <is>
          <t>Deal 2772</t>
        </is>
      </c>
      <c r="DQ1" s="1" t="inlineStr">
        <is>
          <t>Deal 2773</t>
        </is>
      </c>
      <c r="EA1" s="1" t="inlineStr">
        <is>
          <t>Deal 2774</t>
        </is>
      </c>
      <c r="EK1" s="1" t="inlineStr">
        <is>
          <t>Deal 2775</t>
        </is>
      </c>
      <c r="EU1" s="1" t="inlineStr">
        <is>
          <t>Deal 2776</t>
        </is>
      </c>
      <c r="FE1" s="1" t="inlineStr">
        <is>
          <t>Deal 2777</t>
        </is>
      </c>
      <c r="FO1" s="1" t="inlineStr">
        <is>
          <t>Deal 2778</t>
        </is>
      </c>
      <c r="FY1" s="1" t="inlineStr">
        <is>
          <t>Deal 2779</t>
        </is>
      </c>
      <c r="GI1" s="1" t="inlineStr">
        <is>
          <t>Deal 2780</t>
        </is>
      </c>
      <c r="GS1" s="1" t="inlineStr">
        <is>
          <t>Deal 2781</t>
        </is>
      </c>
      <c r="HC1" s="1" t="inlineStr">
        <is>
          <t>Deal 2782</t>
        </is>
      </c>
      <c r="HM1" s="1" t="inlineStr">
        <is>
          <t>Deal 2783</t>
        </is>
      </c>
      <c r="HW1" s="1" t="inlineStr">
        <is>
          <t>Deal 2784</t>
        </is>
      </c>
      <c r="IG1" s="1" t="inlineStr">
        <is>
          <t>Deal 2785</t>
        </is>
      </c>
      <c r="IQ1" s="1" t="inlineStr">
        <is>
          <t>Deal 2786</t>
        </is>
      </c>
      <c r="JA1" s="1" t="inlineStr">
        <is>
          <t>Deal 2787</t>
        </is>
      </c>
      <c r="JK1" s="1" t="inlineStr">
        <is>
          <t>Deal 2788</t>
        </is>
      </c>
      <c r="JU1" s="1" t="inlineStr">
        <is>
          <t>Deal 2789</t>
        </is>
      </c>
      <c r="KE1" s="1" t="inlineStr">
        <is>
          <t>Deal 2790</t>
        </is>
      </c>
      <c r="KO1" s="1" t="inlineStr">
        <is>
          <t>Deal 2791</t>
        </is>
      </c>
      <c r="KY1" s="1" t="inlineStr">
        <is>
          <t>Deal 2792</t>
        </is>
      </c>
      <c r="LI1" s="1" t="inlineStr">
        <is>
          <t>Deal 2793</t>
        </is>
      </c>
      <c r="LS1" s="1" t="inlineStr">
        <is>
          <t>Deal 2794</t>
        </is>
      </c>
      <c r="MC1" s="1" t="inlineStr">
        <is>
          <t>Deal 2795</t>
        </is>
      </c>
      <c r="MM1" s="1" t="inlineStr">
        <is>
          <t>Deal 2796</t>
        </is>
      </c>
      <c r="MW1" s="1" t="inlineStr">
        <is>
          <t>Deal 2797</t>
        </is>
      </c>
      <c r="NG1" s="1" t="inlineStr">
        <is>
          <t>Deal 2798</t>
        </is>
      </c>
      <c r="NQ1" s="1" t="inlineStr">
        <is>
          <t>Deal 2799</t>
        </is>
      </c>
      <c r="OA1" s="1" t="inlineStr">
        <is>
          <t>Deal 2800</t>
        </is>
      </c>
    </row>
    <row r="2">
      <c r="A2" s="2" t="inlineStr">
        <is>
          <t>COV US Equity</t>
        </is>
      </c>
      <c r="K2" s="2" t="inlineStr">
        <is>
          <t>AN US Equity</t>
        </is>
      </c>
      <c r="U2" s="2" t="inlineStr">
        <is>
          <t>BAX US Equity</t>
        </is>
      </c>
      <c r="AE2" s="2" t="inlineStr">
        <is>
          <t>WAFD US Equity</t>
        </is>
      </c>
      <c r="AO2" s="2" t="inlineStr">
        <is>
          <t>SNIC US Equity</t>
        </is>
      </c>
      <c r="AY2" s="2" t="inlineStr">
        <is>
          <t>SYK US Equity</t>
        </is>
      </c>
      <c r="BI2" s="2" t="inlineStr">
        <is>
          <t>WDC US Equity</t>
        </is>
      </c>
      <c r="BS2" s="2" t="inlineStr">
        <is>
          <t>GBBK US Equity</t>
        </is>
      </c>
      <c r="CC2" s="2" t="inlineStr">
        <is>
          <t>nan Equity</t>
        </is>
      </c>
      <c r="CM2" s="2" t="inlineStr">
        <is>
          <t>WFC US Equity</t>
        </is>
      </c>
      <c r="CW2" s="2" t="inlineStr">
        <is>
          <t>JEF US Equity</t>
        </is>
      </c>
      <c r="DG2" s="2" t="inlineStr">
        <is>
          <t>2898Q US Equity</t>
        </is>
      </c>
      <c r="DQ2" s="2" t="inlineStr">
        <is>
          <t>QTWWQ US Equity</t>
        </is>
      </c>
      <c r="EA2" s="2" t="inlineStr">
        <is>
          <t>4107485Q US Equity</t>
        </is>
      </c>
      <c r="EK2" s="2" t="inlineStr">
        <is>
          <t>RHP US Equity</t>
        </is>
      </c>
      <c r="EU2" s="2" t="inlineStr">
        <is>
          <t>TMO US Equity</t>
        </is>
      </c>
      <c r="FE2" s="2" t="inlineStr">
        <is>
          <t>DFIB US Equity</t>
        </is>
      </c>
      <c r="FO2" s="2" t="inlineStr">
        <is>
          <t>AHMH US Equity</t>
        </is>
      </c>
      <c r="FY2" s="2" t="inlineStr">
        <is>
          <t>HTBK US Equity</t>
        </is>
      </c>
      <c r="GI2" s="2" t="inlineStr">
        <is>
          <t>BATL US Equity</t>
        </is>
      </c>
      <c r="GS2" s="2" t="inlineStr">
        <is>
          <t>3017264Q US Equity</t>
        </is>
      </c>
      <c r="HC2" s="2" t="inlineStr">
        <is>
          <t>COF US Equity</t>
        </is>
      </c>
      <c r="HM2" s="2" t="inlineStr">
        <is>
          <t>OK US Equity</t>
        </is>
      </c>
      <c r="HW2" s="2" t="inlineStr">
        <is>
          <t>FIBK US Equity</t>
        </is>
      </c>
      <c r="IG2" s="2" t="inlineStr">
        <is>
          <t>NWBI US Equity</t>
        </is>
      </c>
      <c r="IQ2" s="2" t="inlineStr">
        <is>
          <t>FCF US Equity</t>
        </is>
      </c>
      <c r="JA2" s="2" t="inlineStr">
        <is>
          <t>nan Equity</t>
        </is>
      </c>
      <c r="JK2" s="2" t="inlineStr">
        <is>
          <t>EGBN US Equity</t>
        </is>
      </c>
      <c r="JU2" s="2" t="inlineStr">
        <is>
          <t>FMER US Equity</t>
        </is>
      </c>
      <c r="KE2" s="2" t="inlineStr">
        <is>
          <t>COWN US Equity</t>
        </is>
      </c>
      <c r="KO2" s="2" t="inlineStr">
        <is>
          <t>HU US Equity</t>
        </is>
      </c>
      <c r="KY2" s="2" t="inlineStr">
        <is>
          <t>OSIS US Equity</t>
        </is>
      </c>
      <c r="LI2" s="2" t="inlineStr">
        <is>
          <t>BOBE US Equity</t>
        </is>
      </c>
      <c r="LS2" s="2" t="inlineStr">
        <is>
          <t>MKL US Equity</t>
        </is>
      </c>
      <c r="MC2" s="2" t="inlineStr">
        <is>
          <t>SSB US Equity</t>
        </is>
      </c>
      <c r="MM2" s="2" t="inlineStr">
        <is>
          <t>STBA US Equity</t>
        </is>
      </c>
      <c r="MW2" s="2" t="inlineStr">
        <is>
          <t>CNVR US Equity</t>
        </is>
      </c>
      <c r="NG2" s="2" t="inlineStr">
        <is>
          <t>NCC US Equity</t>
        </is>
      </c>
      <c r="NQ2" s="2" t="inlineStr">
        <is>
          <t>DNA US Equity</t>
        </is>
      </c>
      <c r="OA2" s="2" t="inlineStr">
        <is>
          <t>TCBK US Equity</t>
        </is>
      </c>
    </row>
    <row r="3">
      <c r="A3" t="inlineStr">
        <is>
          <t>Ann: 2009-09-28</t>
        </is>
      </c>
      <c r="K3" t="inlineStr">
        <is>
          <t>Ann: 1998-09-03</t>
        </is>
      </c>
      <c r="U3" t="inlineStr">
        <is>
          <t>Ann: 1998-02-24</t>
        </is>
      </c>
      <c r="AE3" t="inlineStr">
        <is>
          <t>Ann: 2007-07-02</t>
        </is>
      </c>
      <c r="AO3" t="inlineStr">
        <is>
          <t>Ann: 2010-06-02</t>
        </is>
      </c>
      <c r="AY3" t="inlineStr">
        <is>
          <t>Ann: 2018-09-11</t>
        </is>
      </c>
      <c r="BI3" t="inlineStr">
        <is>
          <t>Ann: 2013-06-24</t>
        </is>
      </c>
      <c r="BS3" t="inlineStr">
        <is>
          <t>Ann: 2001-06-25</t>
        </is>
      </c>
      <c r="CC3" t="inlineStr">
        <is>
          <t>Ann: 2007-02-16</t>
        </is>
      </c>
      <c r="CM3" t="inlineStr">
        <is>
          <t>Ann: 1999-08-04</t>
        </is>
      </c>
      <c r="CW3" t="inlineStr">
        <is>
          <t>Ann: 2019-04-15</t>
        </is>
      </c>
      <c r="DG3" t="inlineStr">
        <is>
          <t>Ann: 1998-07-24</t>
        </is>
      </c>
      <c r="DQ3" t="inlineStr">
        <is>
          <t>Ann: 2004-11-23</t>
        </is>
      </c>
      <c r="EA3" t="inlineStr">
        <is>
          <t>Ann: 2003-06-02</t>
        </is>
      </c>
      <c r="EK3" t="inlineStr">
        <is>
          <t>Ann: 2003-08-05</t>
        </is>
      </c>
      <c r="EU3" t="inlineStr">
        <is>
          <t>Ann: 1999-12-17</t>
        </is>
      </c>
      <c r="FE3" t="inlineStr">
        <is>
          <t>Ann: 2005-02-28</t>
        </is>
      </c>
      <c r="FO3" t="inlineStr">
        <is>
          <t>Ann: 2003-07-14</t>
        </is>
      </c>
      <c r="FY3" t="inlineStr">
        <is>
          <t>Ann: 2019-05-16</t>
        </is>
      </c>
      <c r="GI3" t="inlineStr">
        <is>
          <t>Ann: 2007-10-16</t>
        </is>
      </c>
      <c r="GS3" t="inlineStr">
        <is>
          <t>Ann: 1998-11-02</t>
        </is>
      </c>
      <c r="HC3" t="inlineStr">
        <is>
          <t>Ann: 2004-09-22</t>
        </is>
      </c>
      <c r="HM3" t="inlineStr">
        <is>
          <t>Ann: 1999-07-30</t>
        </is>
      </c>
      <c r="HW3" t="inlineStr">
        <is>
          <t>Ann: 2018-10-11</t>
        </is>
      </c>
      <c r="IG3" t="inlineStr">
        <is>
          <t>Ann: 2014-12-15</t>
        </is>
      </c>
      <c r="IQ3" t="inlineStr">
        <is>
          <t>Ann: 2003-12-12</t>
        </is>
      </c>
      <c r="JA3" t="inlineStr">
        <is>
          <t>Ann: 2006-06-27</t>
        </is>
      </c>
      <c r="JK3" t="inlineStr">
        <is>
          <t>Ann: 2014-06-09</t>
        </is>
      </c>
      <c r="JU3" t="inlineStr">
        <is>
          <t>Ann: 1998-04-06</t>
        </is>
      </c>
      <c r="KE3" t="inlineStr">
        <is>
          <t>Ann: 2011-02-17</t>
        </is>
      </c>
      <c r="KO3" t="inlineStr">
        <is>
          <t>Ann: 1998-03-31</t>
        </is>
      </c>
      <c r="KY3" t="inlineStr">
        <is>
          <t>Ann: 2016-06-21</t>
        </is>
      </c>
      <c r="LI3" t="inlineStr">
        <is>
          <t>Ann: 2004-06-14</t>
        </is>
      </c>
      <c r="LS3" t="inlineStr">
        <is>
          <t>Ann: 1998-09-02</t>
        </is>
      </c>
      <c r="MC3" t="inlineStr">
        <is>
          <t>Ann: 2021-07-23</t>
        </is>
      </c>
      <c r="MM3" t="inlineStr">
        <is>
          <t>Ann: 2007-12-17</t>
        </is>
      </c>
      <c r="MW3" t="inlineStr">
        <is>
          <t>Ann: 2005-08-11</t>
        </is>
      </c>
      <c r="NG3" t="inlineStr">
        <is>
          <t>Ann: 2004-06-04</t>
        </is>
      </c>
      <c r="NQ3" t="inlineStr">
        <is>
          <t>Ann: 2022-07-25</t>
        </is>
      </c>
      <c r="OA3" t="inlineStr">
        <is>
          <t>Ann: 2014-01-21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BDS("COV US Equity","SUPPLY_CHAIN_SUPPLIERS","RELATIONSHIP_AS_OF_DATE","20090928")</f>
        <v/>
      </c>
      <c r="F5">
        <f>BDS("COV US Equity","SUPPLY_CHAIN_CUSTOMERS","RELATIONSHIP_AS_OF_DATE","20090928")</f>
        <v/>
      </c>
      <c r="K5">
        <f>BDS("AN US Equity","SUPPLY_CHAIN_SUPPLIERS","RELATIONSHIP_AS_OF_DATE","19980903")</f>
        <v/>
      </c>
      <c r="P5">
        <f>BDS("AN US Equity","SUPPLY_CHAIN_CUSTOMERS","RELATIONSHIP_AS_OF_DATE","19980903")</f>
        <v/>
      </c>
      <c r="U5">
        <f>BDS("BAX US Equity","SUPPLY_CHAIN_SUPPLIERS","RELATIONSHIP_AS_OF_DATE","19980224")</f>
        <v/>
      </c>
      <c r="Z5">
        <f>BDS("BAX US Equity","SUPPLY_CHAIN_CUSTOMERS","RELATIONSHIP_AS_OF_DATE","19980224")</f>
        <v/>
      </c>
      <c r="AE5">
        <f>BDS("WAFD US Equity","SUPPLY_CHAIN_SUPPLIERS","RELATIONSHIP_AS_OF_DATE","20070702")</f>
        <v/>
      </c>
      <c r="AJ5">
        <f>BDS("WAFD US Equity","SUPPLY_CHAIN_CUSTOMERS","RELATIONSHIP_AS_OF_DATE","20070702")</f>
        <v/>
      </c>
      <c r="AO5">
        <f>BDS("SNIC US Equity","SUPPLY_CHAIN_SUPPLIERS","RELATIONSHIP_AS_OF_DATE","20100602")</f>
        <v/>
      </c>
      <c r="AT5">
        <f>BDS("SNIC US Equity","SUPPLY_CHAIN_CUSTOMERS","RELATIONSHIP_AS_OF_DATE","20100602")</f>
        <v/>
      </c>
      <c r="AY5">
        <f>BDS("SYK US Equity","SUPPLY_CHAIN_SUPPLIERS","RELATIONSHIP_AS_OF_DATE","20180911")</f>
        <v/>
      </c>
      <c r="BD5">
        <f>BDS("SYK US Equity","SUPPLY_CHAIN_CUSTOMERS","RELATIONSHIP_AS_OF_DATE","20180911")</f>
        <v/>
      </c>
      <c r="BI5">
        <f>BDS("WDC US Equity","SUPPLY_CHAIN_SUPPLIERS","RELATIONSHIP_AS_OF_DATE","20130624")</f>
        <v/>
      </c>
      <c r="BN5">
        <f>BDS("WDC US Equity","SUPPLY_CHAIN_CUSTOMERS","RELATIONSHIP_AS_OF_DATE","20130624")</f>
        <v/>
      </c>
      <c r="BS5">
        <f>BDS("GBBK US Equity","SUPPLY_CHAIN_SUPPLIERS","RELATIONSHIP_AS_OF_DATE","20010625")</f>
        <v/>
      </c>
      <c r="BX5">
        <f>BDS("GBBK US Equity","SUPPLY_CHAIN_CUSTOMERS","RELATIONSHIP_AS_OF_DATE","20010625")</f>
        <v/>
      </c>
      <c r="CC5">
        <f>BDS("nan Equity","SUPPLY_CHAIN_SUPPLIERS","RELATIONSHIP_AS_OF_DATE","20070216")</f>
        <v/>
      </c>
      <c r="CH5">
        <f>BDS("nan Equity","SUPPLY_CHAIN_CUSTOMERS","RELATIONSHIP_AS_OF_DATE","20070216")</f>
        <v/>
      </c>
      <c r="CM5">
        <f>BDS("WFC US Equity","SUPPLY_CHAIN_SUPPLIERS","RELATIONSHIP_AS_OF_DATE","19990804")</f>
        <v/>
      </c>
      <c r="CR5">
        <f>BDS("WFC US Equity","SUPPLY_CHAIN_CUSTOMERS","RELATIONSHIP_AS_OF_DATE","19990804")</f>
        <v/>
      </c>
      <c r="CW5">
        <f>BDS("JEF US Equity","SUPPLY_CHAIN_SUPPLIERS","RELATIONSHIP_AS_OF_DATE","20190415")</f>
        <v/>
      </c>
      <c r="DB5">
        <f>BDS("JEF US Equity","SUPPLY_CHAIN_CUSTOMERS","RELATIONSHIP_AS_OF_DATE","20190415")</f>
        <v/>
      </c>
      <c r="DG5">
        <f>BDS("2898Q US Equity","SUPPLY_CHAIN_SUPPLIERS","RELATIONSHIP_AS_OF_DATE","19980724")</f>
        <v/>
      </c>
      <c r="DL5">
        <f>BDS("2898Q US Equity","SUPPLY_CHAIN_CUSTOMERS","RELATIONSHIP_AS_OF_DATE","19980724")</f>
        <v/>
      </c>
      <c r="DQ5">
        <f>BDS("QTWWQ US Equity","SUPPLY_CHAIN_SUPPLIERS","RELATIONSHIP_AS_OF_DATE","20041123")</f>
        <v/>
      </c>
      <c r="DV5">
        <f>BDS("QTWWQ US Equity","SUPPLY_CHAIN_CUSTOMERS","RELATIONSHIP_AS_OF_DATE","20041123")</f>
        <v/>
      </c>
      <c r="EA5">
        <f>BDS("4107485Q US Equity","SUPPLY_CHAIN_SUPPLIERS","RELATIONSHIP_AS_OF_DATE","20030602")</f>
        <v/>
      </c>
      <c r="EF5">
        <f>BDS("4107485Q US Equity","SUPPLY_CHAIN_CUSTOMERS","RELATIONSHIP_AS_OF_DATE","20030602")</f>
        <v/>
      </c>
      <c r="EK5">
        <f>BDS("RHP US Equity","SUPPLY_CHAIN_SUPPLIERS","RELATIONSHIP_AS_OF_DATE","20030805")</f>
        <v/>
      </c>
      <c r="EP5">
        <f>BDS("RHP US Equity","SUPPLY_CHAIN_CUSTOMERS","RELATIONSHIP_AS_OF_DATE","20030805")</f>
        <v/>
      </c>
      <c r="EU5">
        <f>BDS("TMO US Equity","SUPPLY_CHAIN_SUPPLIERS","RELATIONSHIP_AS_OF_DATE","19991217")</f>
        <v/>
      </c>
      <c r="EZ5">
        <f>BDS("TMO US Equity","SUPPLY_CHAIN_CUSTOMERS","RELATIONSHIP_AS_OF_DATE","19991217")</f>
        <v/>
      </c>
      <c r="FE5">
        <f>BDS("DFIB US Equity","SUPPLY_CHAIN_SUPPLIERS","RELATIONSHIP_AS_OF_DATE","20050228")</f>
        <v/>
      </c>
      <c r="FJ5">
        <f>BDS("DFIB US Equity","SUPPLY_CHAIN_CUSTOMERS","RELATIONSHIP_AS_OF_DATE","20050228")</f>
        <v/>
      </c>
      <c r="FO5">
        <f>BDS("AHMH US Equity","SUPPLY_CHAIN_SUPPLIERS","RELATIONSHIP_AS_OF_DATE","20030714")</f>
        <v/>
      </c>
      <c r="FT5">
        <f>BDS("AHMH US Equity","SUPPLY_CHAIN_CUSTOMERS","RELATIONSHIP_AS_OF_DATE","20030714")</f>
        <v/>
      </c>
      <c r="FY5">
        <f>BDS("HTBK US Equity","SUPPLY_CHAIN_SUPPLIERS","RELATIONSHIP_AS_OF_DATE","20190516")</f>
        <v/>
      </c>
      <c r="GD5">
        <f>BDS("HTBK US Equity","SUPPLY_CHAIN_CUSTOMERS","RELATIONSHIP_AS_OF_DATE","20190516")</f>
        <v/>
      </c>
      <c r="GI5">
        <f>BDS("BATL US Equity","SUPPLY_CHAIN_SUPPLIERS","RELATIONSHIP_AS_OF_DATE","20071016")</f>
        <v/>
      </c>
      <c r="GN5">
        <f>BDS("BATL US Equity","SUPPLY_CHAIN_CUSTOMERS","RELATIONSHIP_AS_OF_DATE","20071016")</f>
        <v/>
      </c>
      <c r="GS5">
        <f>BDS("3017264Q US Equity","SUPPLY_CHAIN_SUPPLIERS","RELATIONSHIP_AS_OF_DATE","19981102")</f>
        <v/>
      </c>
      <c r="GX5">
        <f>BDS("3017264Q US Equity","SUPPLY_CHAIN_CUSTOMERS","RELATIONSHIP_AS_OF_DATE","19981102")</f>
        <v/>
      </c>
      <c r="HC5">
        <f>BDS("COF US Equity","SUPPLY_CHAIN_SUPPLIERS","RELATIONSHIP_AS_OF_DATE","20040922")</f>
        <v/>
      </c>
      <c r="HH5">
        <f>BDS("COF US Equity","SUPPLY_CHAIN_CUSTOMERS","RELATIONSHIP_AS_OF_DATE","20040922")</f>
        <v/>
      </c>
      <c r="HM5">
        <f>BDS("OK US Equity","SUPPLY_CHAIN_SUPPLIERS","RELATIONSHIP_AS_OF_DATE","19990730")</f>
        <v/>
      </c>
      <c r="HR5">
        <f>BDS("OK US Equity","SUPPLY_CHAIN_CUSTOMERS","RELATIONSHIP_AS_OF_DATE","19990730")</f>
        <v/>
      </c>
      <c r="HW5">
        <f>BDS("FIBK US Equity","SUPPLY_CHAIN_SUPPLIERS","RELATIONSHIP_AS_OF_DATE","20181011")</f>
        <v/>
      </c>
      <c r="IB5">
        <f>BDS("FIBK US Equity","SUPPLY_CHAIN_CUSTOMERS","RELATIONSHIP_AS_OF_DATE","20181011")</f>
        <v/>
      </c>
      <c r="IG5">
        <f>BDS("NWBI US Equity","SUPPLY_CHAIN_SUPPLIERS","RELATIONSHIP_AS_OF_DATE","20141215")</f>
        <v/>
      </c>
      <c r="IL5">
        <f>BDS("NWBI US Equity","SUPPLY_CHAIN_CUSTOMERS","RELATIONSHIP_AS_OF_DATE","20141215")</f>
        <v/>
      </c>
      <c r="IQ5">
        <f>BDS("FCF US Equity","SUPPLY_CHAIN_SUPPLIERS","RELATIONSHIP_AS_OF_DATE","20031212")</f>
        <v/>
      </c>
      <c r="IV5">
        <f>BDS("FCF US Equity","SUPPLY_CHAIN_CUSTOMERS","RELATIONSHIP_AS_OF_DATE","20031212")</f>
        <v/>
      </c>
      <c r="JA5">
        <f>BDS("nan Equity","SUPPLY_CHAIN_SUPPLIERS","RELATIONSHIP_AS_OF_DATE","20060627")</f>
        <v/>
      </c>
      <c r="JF5">
        <f>BDS("nan Equity","SUPPLY_CHAIN_CUSTOMERS","RELATIONSHIP_AS_OF_DATE","20060627")</f>
        <v/>
      </c>
      <c r="JK5">
        <f>BDS("EGBN US Equity","SUPPLY_CHAIN_SUPPLIERS","RELATIONSHIP_AS_OF_DATE","20140609")</f>
        <v/>
      </c>
      <c r="JP5">
        <f>BDS("EGBN US Equity","SUPPLY_CHAIN_CUSTOMERS","RELATIONSHIP_AS_OF_DATE","20140609")</f>
        <v/>
      </c>
      <c r="JU5">
        <f>BDS("FMER US Equity","SUPPLY_CHAIN_SUPPLIERS","RELATIONSHIP_AS_OF_DATE","19980406")</f>
        <v/>
      </c>
      <c r="JZ5">
        <f>BDS("FMER US Equity","SUPPLY_CHAIN_CUSTOMERS","RELATIONSHIP_AS_OF_DATE","19980406")</f>
        <v/>
      </c>
      <c r="KE5">
        <f>BDS("COWN US Equity","SUPPLY_CHAIN_SUPPLIERS","RELATIONSHIP_AS_OF_DATE","20110217")</f>
        <v/>
      </c>
      <c r="KJ5">
        <f>BDS("COWN US Equity","SUPPLY_CHAIN_CUSTOMERS","RELATIONSHIP_AS_OF_DATE","20110217")</f>
        <v/>
      </c>
      <c r="KO5">
        <f>BDS("HU US Equity","SUPPLY_CHAIN_SUPPLIERS","RELATIONSHIP_AS_OF_DATE","19980331")</f>
        <v/>
      </c>
      <c r="KT5">
        <f>BDS("HU US Equity","SUPPLY_CHAIN_CUSTOMERS","RELATIONSHIP_AS_OF_DATE","19980331")</f>
        <v/>
      </c>
      <c r="KY5">
        <f>BDS("OSIS US Equity","SUPPLY_CHAIN_SUPPLIERS","RELATIONSHIP_AS_OF_DATE","20160621")</f>
        <v/>
      </c>
      <c r="LD5">
        <f>BDS("OSIS US Equity","SUPPLY_CHAIN_CUSTOMERS","RELATIONSHIP_AS_OF_DATE","20160621")</f>
        <v/>
      </c>
      <c r="LI5">
        <f>BDS("BOBE US Equity","SUPPLY_CHAIN_SUPPLIERS","RELATIONSHIP_AS_OF_DATE","20040614")</f>
        <v/>
      </c>
      <c r="LN5">
        <f>BDS("BOBE US Equity","SUPPLY_CHAIN_CUSTOMERS","RELATIONSHIP_AS_OF_DATE","20040614")</f>
        <v/>
      </c>
      <c r="LS5">
        <f>BDS("MKL US Equity","SUPPLY_CHAIN_SUPPLIERS","RELATIONSHIP_AS_OF_DATE","19980902")</f>
        <v/>
      </c>
      <c r="LX5">
        <f>BDS("MKL US Equity","SUPPLY_CHAIN_CUSTOMERS","RELATIONSHIP_AS_OF_DATE","19980902")</f>
        <v/>
      </c>
      <c r="MC5">
        <f>BDS("SSB US Equity","SUPPLY_CHAIN_SUPPLIERS","RELATIONSHIP_AS_OF_DATE","20210723")</f>
        <v/>
      </c>
      <c r="MH5">
        <f>BDS("SSB US Equity","SUPPLY_CHAIN_CUSTOMERS","RELATIONSHIP_AS_OF_DATE","20210723")</f>
        <v/>
      </c>
      <c r="MM5">
        <f>BDS("STBA US Equity","SUPPLY_CHAIN_SUPPLIERS","RELATIONSHIP_AS_OF_DATE","20071217")</f>
        <v/>
      </c>
      <c r="MR5">
        <f>BDS("STBA US Equity","SUPPLY_CHAIN_CUSTOMERS","RELATIONSHIP_AS_OF_DATE","20071217")</f>
        <v/>
      </c>
      <c r="MW5">
        <f>BDS("CNVR US Equity","SUPPLY_CHAIN_SUPPLIERS","RELATIONSHIP_AS_OF_DATE","20050811")</f>
        <v/>
      </c>
      <c r="NB5">
        <f>BDS("CNVR US Equity","SUPPLY_CHAIN_CUSTOMERS","RELATIONSHIP_AS_OF_DATE","20050811")</f>
        <v/>
      </c>
      <c r="NG5">
        <f>BDS("NCC US Equity","SUPPLY_CHAIN_SUPPLIERS","RELATIONSHIP_AS_OF_DATE","20040604")</f>
        <v/>
      </c>
      <c r="NL5">
        <f>BDS("NCC US Equity","SUPPLY_CHAIN_CUSTOMERS","RELATIONSHIP_AS_OF_DATE","20040604")</f>
        <v/>
      </c>
      <c r="NQ5">
        <f>BDS("DNA US Equity","SUPPLY_CHAIN_SUPPLIERS","RELATIONSHIP_AS_OF_DATE","20220725")</f>
        <v/>
      </c>
      <c r="NV5">
        <f>BDS("DNA US Equity","SUPPLY_CHAIN_CUSTOMERS","RELATIONSHIP_AS_OF_DATE","20220725")</f>
        <v/>
      </c>
      <c r="OA5">
        <f>BDS("TCBK US Equity","SUPPLY_CHAIN_SUPPLIERS","RELATIONSHIP_AS_OF_DATE","20140121")</f>
        <v/>
      </c>
      <c r="OF5">
        <f>BDS("TCBK US Equity","SUPPLY_CHAIN_CUSTOMERS","RELATIONSHIP_AS_OF_DATE","20140121")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2801</t>
        </is>
      </c>
      <c r="K1" s="1" t="inlineStr">
        <is>
          <t>Deal 2802</t>
        </is>
      </c>
      <c r="U1" s="1" t="inlineStr">
        <is>
          <t>Deal 2803</t>
        </is>
      </c>
      <c r="AE1" s="1" t="inlineStr">
        <is>
          <t>Deal 2804</t>
        </is>
      </c>
      <c r="AO1" s="1" t="inlineStr">
        <is>
          <t>Deal 2805</t>
        </is>
      </c>
      <c r="AY1" s="1" t="inlineStr">
        <is>
          <t>Deal 2806</t>
        </is>
      </c>
      <c r="BI1" s="1" t="inlineStr">
        <is>
          <t>Deal 2807</t>
        </is>
      </c>
      <c r="BS1" s="1" t="inlineStr">
        <is>
          <t>Deal 2808</t>
        </is>
      </c>
      <c r="CC1" s="1" t="inlineStr">
        <is>
          <t>Deal 2809</t>
        </is>
      </c>
      <c r="CM1" s="1" t="inlineStr">
        <is>
          <t>Deal 2810</t>
        </is>
      </c>
      <c r="CW1" s="1" t="inlineStr">
        <is>
          <t>Deal 2811</t>
        </is>
      </c>
      <c r="DG1" s="1" t="inlineStr">
        <is>
          <t>Deal 2812</t>
        </is>
      </c>
      <c r="DQ1" s="1" t="inlineStr">
        <is>
          <t>Deal 2813</t>
        </is>
      </c>
      <c r="EA1" s="1" t="inlineStr">
        <is>
          <t>Deal 2814</t>
        </is>
      </c>
      <c r="EK1" s="1" t="inlineStr">
        <is>
          <t>Deal 2815</t>
        </is>
      </c>
      <c r="EU1" s="1" t="inlineStr">
        <is>
          <t>Deal 2816</t>
        </is>
      </c>
      <c r="FE1" s="1" t="inlineStr">
        <is>
          <t>Deal 2817</t>
        </is>
      </c>
      <c r="FO1" s="1" t="inlineStr">
        <is>
          <t>Deal 2818</t>
        </is>
      </c>
      <c r="FY1" s="1" t="inlineStr">
        <is>
          <t>Deal 2819</t>
        </is>
      </c>
      <c r="GI1" s="1" t="inlineStr">
        <is>
          <t>Deal 2820</t>
        </is>
      </c>
      <c r="GS1" s="1" t="inlineStr">
        <is>
          <t>Deal 2821</t>
        </is>
      </c>
      <c r="HC1" s="1" t="inlineStr">
        <is>
          <t>Deal 2822</t>
        </is>
      </c>
      <c r="HM1" s="1" t="inlineStr">
        <is>
          <t>Deal 2823</t>
        </is>
      </c>
      <c r="HW1" s="1" t="inlineStr">
        <is>
          <t>Deal 2824</t>
        </is>
      </c>
      <c r="IG1" s="1" t="inlineStr">
        <is>
          <t>Deal 2825</t>
        </is>
      </c>
      <c r="IQ1" s="1" t="inlineStr">
        <is>
          <t>Deal 2826</t>
        </is>
      </c>
      <c r="JA1" s="1" t="inlineStr">
        <is>
          <t>Deal 2827</t>
        </is>
      </c>
      <c r="JK1" s="1" t="inlineStr">
        <is>
          <t>Deal 2828</t>
        </is>
      </c>
      <c r="JU1" s="1" t="inlineStr">
        <is>
          <t>Deal 2829</t>
        </is>
      </c>
      <c r="KE1" s="1" t="inlineStr">
        <is>
          <t>Deal 2830</t>
        </is>
      </c>
      <c r="KO1" s="1" t="inlineStr">
        <is>
          <t>Deal 2831</t>
        </is>
      </c>
      <c r="KY1" s="1" t="inlineStr">
        <is>
          <t>Deal 2832</t>
        </is>
      </c>
      <c r="LI1" s="1" t="inlineStr">
        <is>
          <t>Deal 2833</t>
        </is>
      </c>
      <c r="LS1" s="1" t="inlineStr">
        <is>
          <t>Deal 2834</t>
        </is>
      </c>
      <c r="MC1" s="1" t="inlineStr">
        <is>
          <t>Deal 2835</t>
        </is>
      </c>
      <c r="MM1" s="1" t="inlineStr">
        <is>
          <t>Deal 2836</t>
        </is>
      </c>
      <c r="MW1" s="1" t="inlineStr">
        <is>
          <t>Deal 2837</t>
        </is>
      </c>
      <c r="NG1" s="1" t="inlineStr">
        <is>
          <t>Deal 2838</t>
        </is>
      </c>
      <c r="NQ1" s="1" t="inlineStr">
        <is>
          <t>Deal 2839</t>
        </is>
      </c>
      <c r="OA1" s="1" t="inlineStr">
        <is>
          <t>Deal 2840</t>
        </is>
      </c>
    </row>
    <row r="2">
      <c r="A2" s="2" t="inlineStr">
        <is>
          <t>XRIT US Equity</t>
        </is>
      </c>
      <c r="K2" s="2" t="inlineStr">
        <is>
          <t>NUE US Equity</t>
        </is>
      </c>
      <c r="U2" s="2" t="inlineStr">
        <is>
          <t>UCB US Equity</t>
        </is>
      </c>
      <c r="AE2" s="2" t="inlineStr">
        <is>
          <t>1850242D US Equity</t>
        </is>
      </c>
      <c r="AO2" s="2" t="inlineStr">
        <is>
          <t>UBSN SW Equity</t>
        </is>
      </c>
      <c r="AY2" s="2" t="inlineStr">
        <is>
          <t>ELGXQ US Equity</t>
        </is>
      </c>
      <c r="BI2" s="2" t="inlineStr">
        <is>
          <t>SNPS US Equity</t>
        </is>
      </c>
      <c r="BS2" s="2" t="inlineStr">
        <is>
          <t>PFLT US Equity</t>
        </is>
      </c>
      <c r="CC2" s="2" t="inlineStr">
        <is>
          <t>62553Q US Equity</t>
        </is>
      </c>
      <c r="CM2" s="2" t="inlineStr">
        <is>
          <t>1986522D US Equity</t>
        </is>
      </c>
      <c r="CW2" s="2" t="inlineStr">
        <is>
          <t>2761917Q US Equity</t>
        </is>
      </c>
      <c r="DG2" s="2" t="inlineStr">
        <is>
          <t>OMEF US Equity</t>
        </is>
      </c>
      <c r="DQ2" s="2" t="inlineStr">
        <is>
          <t>BMY US Equity</t>
        </is>
      </c>
      <c r="EA2" s="2" t="inlineStr">
        <is>
          <t>DE US Equity</t>
        </is>
      </c>
      <c r="EK2" s="2" t="inlineStr">
        <is>
          <t>MYL US Equity</t>
        </is>
      </c>
      <c r="EU2" s="2" t="inlineStr">
        <is>
          <t>FULT US Equity</t>
        </is>
      </c>
      <c r="FE2" s="2" t="inlineStr">
        <is>
          <t>WBS US Equity</t>
        </is>
      </c>
      <c r="FO2" s="2" t="inlineStr">
        <is>
          <t>SLRC US Equity</t>
        </is>
      </c>
      <c r="FY2" s="2" t="inlineStr">
        <is>
          <t>BRK/A US Equity</t>
        </is>
      </c>
      <c r="GI2" s="2" t="inlineStr">
        <is>
          <t>CAH US Equity</t>
        </is>
      </c>
      <c r="GS2" s="2" t="inlineStr">
        <is>
          <t>nan Equity</t>
        </is>
      </c>
      <c r="HC2" s="2" t="inlineStr">
        <is>
          <t>WLY US Equity</t>
        </is>
      </c>
      <c r="HM2" s="2" t="inlineStr">
        <is>
          <t>MCHP US Equity</t>
        </is>
      </c>
      <c r="HW2" s="2" t="inlineStr">
        <is>
          <t>BMC US Equity</t>
        </is>
      </c>
      <c r="IG2" s="2" t="inlineStr">
        <is>
          <t>TCF US Equity</t>
        </is>
      </c>
      <c r="IQ2" s="2" t="inlineStr">
        <is>
          <t>UCBHQ US Equity</t>
        </is>
      </c>
      <c r="JA2" s="2" t="inlineStr">
        <is>
          <t>CARO US Equity</t>
        </is>
      </c>
      <c r="JK2" s="2" t="inlineStr">
        <is>
          <t>1947467D US Equity</t>
        </is>
      </c>
      <c r="JU2" s="2" t="inlineStr">
        <is>
          <t>nan Equity</t>
        </is>
      </c>
      <c r="KE2" s="2" t="inlineStr">
        <is>
          <t>TTN US Equity</t>
        </is>
      </c>
      <c r="KO2" s="2" t="inlineStr">
        <is>
          <t>NEQSQ US Equity</t>
        </is>
      </c>
      <c r="KY2" s="2" t="inlineStr">
        <is>
          <t>COEP US Equity</t>
        </is>
      </c>
      <c r="LI2" s="2" t="inlineStr">
        <is>
          <t>STNR US Equity</t>
        </is>
      </c>
      <c r="LS2" s="2" t="inlineStr">
        <is>
          <t>SOCNQ US Equity</t>
        </is>
      </c>
      <c r="MC2" s="2" t="inlineStr">
        <is>
          <t>CBRL US Equity</t>
        </is>
      </c>
      <c r="MM2" s="2" t="inlineStr">
        <is>
          <t>PERFQ US Equity</t>
        </is>
      </c>
      <c r="MW2" s="2" t="inlineStr">
        <is>
          <t>CMCO US Equity</t>
        </is>
      </c>
      <c r="NG2" s="2" t="inlineStr">
        <is>
          <t>597946Q US Equity</t>
        </is>
      </c>
      <c r="NQ2" s="2" t="inlineStr">
        <is>
          <t>MRK US Equity</t>
        </is>
      </c>
      <c r="OA2" s="2" t="inlineStr">
        <is>
          <t>AME US Equity</t>
        </is>
      </c>
    </row>
    <row r="3">
      <c r="A3" t="inlineStr">
        <is>
          <t>Ann: 2007-08-23</t>
        </is>
      </c>
      <c r="K3" t="inlineStr">
        <is>
          <t>Ann: 2006-09-12</t>
        </is>
      </c>
      <c r="U3" t="inlineStr">
        <is>
          <t>Ann: 2020-03-09</t>
        </is>
      </c>
      <c r="AE3" t="inlineStr">
        <is>
          <t>Ann: 2017-08-02</t>
        </is>
      </c>
      <c r="AO3" t="inlineStr">
        <is>
          <t>Ann: 2016-01-12</t>
        </is>
      </c>
      <c r="AY3" t="inlineStr">
        <is>
          <t>Ann: 2015-10-26</t>
        </is>
      </c>
      <c r="BI3" t="inlineStr">
        <is>
          <t>Ann: 2008-03-20</t>
        </is>
      </c>
      <c r="BS3" t="inlineStr">
        <is>
          <t>Ann: 2015-04-29</t>
        </is>
      </c>
      <c r="CC3" t="inlineStr">
        <is>
          <t>Ann: 1998-03-23</t>
        </is>
      </c>
      <c r="CM3" t="inlineStr">
        <is>
          <t>Ann: 2007-08-06</t>
        </is>
      </c>
      <c r="CW3" t="inlineStr">
        <is>
          <t>Ann: 2006-05-22</t>
        </is>
      </c>
      <c r="DG3" t="inlineStr">
        <is>
          <t>Ann: 2004-04-20</t>
        </is>
      </c>
      <c r="DQ3" t="inlineStr">
        <is>
          <t>Ann: 2008-05-29</t>
        </is>
      </c>
      <c r="EA3" t="inlineStr">
        <is>
          <t>Ann: 2001-05-30</t>
        </is>
      </c>
      <c r="EK3" t="inlineStr">
        <is>
          <t>Ann: 1998-06-24</t>
        </is>
      </c>
      <c r="EU3" t="inlineStr">
        <is>
          <t>Ann: 2003-08-25</t>
        </is>
      </c>
      <c r="FE3" t="inlineStr">
        <is>
          <t>Ann: 2006-04-25</t>
        </is>
      </c>
      <c r="FO3" t="inlineStr">
        <is>
          <t>Ann: 2021-12-02</t>
        </is>
      </c>
      <c r="FY3" t="inlineStr">
        <is>
          <t>Ann: 2002-08-19</t>
        </is>
      </c>
      <c r="GI3" t="inlineStr">
        <is>
          <t>Ann: 2002-06-27</t>
        </is>
      </c>
      <c r="GS3" t="inlineStr">
        <is>
          <t>Ann: 2010-11-16</t>
        </is>
      </c>
      <c r="HC3" t="inlineStr">
        <is>
          <t>Ann: 2001-08-13</t>
        </is>
      </c>
      <c r="HM3" t="inlineStr">
        <is>
          <t>Ann: 2010-02-03</t>
        </is>
      </c>
      <c r="HW3" t="inlineStr">
        <is>
          <t>Ann: 2004-04-29</t>
        </is>
      </c>
      <c r="IG3" t="inlineStr">
        <is>
          <t>Ann: 2000-08-22</t>
        </is>
      </c>
      <c r="IQ3" t="inlineStr">
        <is>
          <t>Ann: 2006-09-19</t>
        </is>
      </c>
      <c r="JA3" t="inlineStr">
        <is>
          <t>Ann: 2017-06-12</t>
        </is>
      </c>
      <c r="JK3" t="inlineStr">
        <is>
          <t>Ann: 1998-03-11</t>
        </is>
      </c>
      <c r="JU3" t="inlineStr">
        <is>
          <t>Ann: 2003-06-13</t>
        </is>
      </c>
      <c r="KE3" t="inlineStr">
        <is>
          <t>Ann: 1999-12-09</t>
        </is>
      </c>
      <c r="KO3" t="inlineStr">
        <is>
          <t>Ann: 1998-04-02</t>
        </is>
      </c>
      <c r="KY3" t="inlineStr">
        <is>
          <t>Ann: 2022-04-19</t>
        </is>
      </c>
      <c r="LI3" t="inlineStr">
        <is>
          <t>Ann: 2011-10-17</t>
        </is>
      </c>
      <c r="LS3" t="inlineStr">
        <is>
          <t>Ann: 1998-03-02</t>
        </is>
      </c>
      <c r="MC3" t="inlineStr">
        <is>
          <t>Ann: 1998-12-11</t>
        </is>
      </c>
      <c r="MM3" t="inlineStr">
        <is>
          <t>Ann: 2011-12-23</t>
        </is>
      </c>
      <c r="MW3" t="inlineStr">
        <is>
          <t>Ann: 2015-07-27</t>
        </is>
      </c>
      <c r="NG3" t="inlineStr">
        <is>
          <t>Ann: 1999-07-16</t>
        </is>
      </c>
      <c r="NQ3" t="inlineStr">
        <is>
          <t>Ann: 2019-02-21</t>
        </is>
      </c>
      <c r="OA3" t="inlineStr">
        <is>
          <t>Ann: 2017-04-17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BDS("XRIT US Equity","SUPPLY_CHAIN_SUPPLIERS","RELATIONSHIP_AS_OF_DATE","20070823")</f>
        <v/>
      </c>
      <c r="F5">
        <f>BDS("XRIT US Equity","SUPPLY_CHAIN_CUSTOMERS","RELATIONSHIP_AS_OF_DATE","20070823")</f>
        <v/>
      </c>
      <c r="K5">
        <f>BDS("NUE US Equity","SUPPLY_CHAIN_SUPPLIERS","RELATIONSHIP_AS_OF_DATE","20060912")</f>
        <v/>
      </c>
      <c r="P5">
        <f>BDS("NUE US Equity","SUPPLY_CHAIN_CUSTOMERS","RELATIONSHIP_AS_OF_DATE","20060912")</f>
        <v/>
      </c>
      <c r="U5">
        <f>BDS("UCB US Equity","SUPPLY_CHAIN_SUPPLIERS","RELATIONSHIP_AS_OF_DATE","20200309")</f>
        <v/>
      </c>
      <c r="Z5">
        <f>BDS("UCB US Equity","SUPPLY_CHAIN_CUSTOMERS","RELATIONSHIP_AS_OF_DATE","20200309")</f>
        <v/>
      </c>
      <c r="AE5">
        <f>BDS("1850242D US Equity","SUPPLY_CHAIN_SUPPLIERS","RELATIONSHIP_AS_OF_DATE","20170802")</f>
        <v/>
      </c>
      <c r="AJ5">
        <f>BDS("1850242D US Equity","SUPPLY_CHAIN_CUSTOMERS","RELATIONSHIP_AS_OF_DATE","20170802")</f>
        <v/>
      </c>
      <c r="AO5">
        <f>BDS("UBSN SW Equity","SUPPLY_CHAIN_SUPPLIERS","RELATIONSHIP_AS_OF_DATE","20160112")</f>
        <v/>
      </c>
      <c r="AT5">
        <f>BDS("UBSN SW Equity","SUPPLY_CHAIN_CUSTOMERS","RELATIONSHIP_AS_OF_DATE","20160112")</f>
        <v/>
      </c>
      <c r="AY5">
        <f>BDS("ELGXQ US Equity","SUPPLY_CHAIN_SUPPLIERS","RELATIONSHIP_AS_OF_DATE","20151026")</f>
        <v/>
      </c>
      <c r="BD5">
        <f>BDS("ELGXQ US Equity","SUPPLY_CHAIN_CUSTOMERS","RELATIONSHIP_AS_OF_DATE","20151026")</f>
        <v/>
      </c>
      <c r="BI5">
        <f>BDS("SNPS US Equity","SUPPLY_CHAIN_SUPPLIERS","RELATIONSHIP_AS_OF_DATE","20080320")</f>
        <v/>
      </c>
      <c r="BN5">
        <f>BDS("SNPS US Equity","SUPPLY_CHAIN_CUSTOMERS","RELATIONSHIP_AS_OF_DATE","20080320")</f>
        <v/>
      </c>
      <c r="BS5">
        <f>BDS("PFLT US Equity","SUPPLY_CHAIN_SUPPLIERS","RELATIONSHIP_AS_OF_DATE","20150429")</f>
        <v/>
      </c>
      <c r="BX5">
        <f>BDS("PFLT US Equity","SUPPLY_CHAIN_CUSTOMERS","RELATIONSHIP_AS_OF_DATE","20150429")</f>
        <v/>
      </c>
      <c r="CC5">
        <f>BDS("62553Q US Equity","SUPPLY_CHAIN_SUPPLIERS","RELATIONSHIP_AS_OF_DATE","19980323")</f>
        <v/>
      </c>
      <c r="CH5">
        <f>BDS("62553Q US Equity","SUPPLY_CHAIN_CUSTOMERS","RELATIONSHIP_AS_OF_DATE","19980323")</f>
        <v/>
      </c>
      <c r="CM5">
        <f>BDS("1986522D US Equity","SUPPLY_CHAIN_SUPPLIERS","RELATIONSHIP_AS_OF_DATE","20070806")</f>
        <v/>
      </c>
      <c r="CR5">
        <f>BDS("1986522D US Equity","SUPPLY_CHAIN_CUSTOMERS","RELATIONSHIP_AS_OF_DATE","20070806")</f>
        <v/>
      </c>
      <c r="CW5">
        <f>BDS("2761917Q US Equity","SUPPLY_CHAIN_SUPPLIERS","RELATIONSHIP_AS_OF_DATE","20060522")</f>
        <v/>
      </c>
      <c r="DB5">
        <f>BDS("2761917Q US Equity","SUPPLY_CHAIN_CUSTOMERS","RELATIONSHIP_AS_OF_DATE","20060522")</f>
        <v/>
      </c>
      <c r="DG5">
        <f>BDS("OMEF US Equity","SUPPLY_CHAIN_SUPPLIERS","RELATIONSHIP_AS_OF_DATE","20040420")</f>
        <v/>
      </c>
      <c r="DL5">
        <f>BDS("OMEF US Equity","SUPPLY_CHAIN_CUSTOMERS","RELATIONSHIP_AS_OF_DATE","20040420")</f>
        <v/>
      </c>
      <c r="DQ5">
        <f>BDS("BMY US Equity","SUPPLY_CHAIN_SUPPLIERS","RELATIONSHIP_AS_OF_DATE","20080529")</f>
        <v/>
      </c>
      <c r="DV5">
        <f>BDS("BMY US Equity","SUPPLY_CHAIN_CUSTOMERS","RELATIONSHIP_AS_OF_DATE","20080529")</f>
        <v/>
      </c>
      <c r="EA5">
        <f>BDS("DE US Equity","SUPPLY_CHAIN_SUPPLIERS","RELATIONSHIP_AS_OF_DATE","20010530")</f>
        <v/>
      </c>
      <c r="EF5">
        <f>BDS("DE US Equity","SUPPLY_CHAIN_CUSTOMERS","RELATIONSHIP_AS_OF_DATE","20010530")</f>
        <v/>
      </c>
      <c r="EK5">
        <f>BDS("MYL US Equity","SUPPLY_CHAIN_SUPPLIERS","RELATIONSHIP_AS_OF_DATE","19980624")</f>
        <v/>
      </c>
      <c r="EP5">
        <f>BDS("MYL US Equity","SUPPLY_CHAIN_CUSTOMERS","RELATIONSHIP_AS_OF_DATE","19980624")</f>
        <v/>
      </c>
      <c r="EU5">
        <f>BDS("FULT US Equity","SUPPLY_CHAIN_SUPPLIERS","RELATIONSHIP_AS_OF_DATE","20030825")</f>
        <v/>
      </c>
      <c r="EZ5">
        <f>BDS("FULT US Equity","SUPPLY_CHAIN_CUSTOMERS","RELATIONSHIP_AS_OF_DATE","20030825")</f>
        <v/>
      </c>
      <c r="FE5">
        <f>BDS("WBS US Equity","SUPPLY_CHAIN_SUPPLIERS","RELATIONSHIP_AS_OF_DATE","20060425")</f>
        <v/>
      </c>
      <c r="FJ5">
        <f>BDS("WBS US Equity","SUPPLY_CHAIN_CUSTOMERS","RELATIONSHIP_AS_OF_DATE","20060425")</f>
        <v/>
      </c>
      <c r="FO5">
        <f>BDS("SLRC US Equity","SUPPLY_CHAIN_SUPPLIERS","RELATIONSHIP_AS_OF_DATE","20211202")</f>
        <v/>
      </c>
      <c r="FT5">
        <f>BDS("SLRC US Equity","SUPPLY_CHAIN_CUSTOMERS","RELATIONSHIP_AS_OF_DATE","20211202")</f>
        <v/>
      </c>
      <c r="FY5">
        <f>BDS("BRK/A US Equity","SUPPLY_CHAIN_SUPPLIERS","RELATIONSHIP_AS_OF_DATE","20020819")</f>
        <v/>
      </c>
      <c r="GD5">
        <f>BDS("BRK/A US Equity","SUPPLY_CHAIN_CUSTOMERS","RELATIONSHIP_AS_OF_DATE","20020819")</f>
        <v/>
      </c>
      <c r="GI5">
        <f>BDS("CAH US Equity","SUPPLY_CHAIN_SUPPLIERS","RELATIONSHIP_AS_OF_DATE","20020627")</f>
        <v/>
      </c>
      <c r="GN5">
        <f>BDS("CAH US Equity","SUPPLY_CHAIN_CUSTOMERS","RELATIONSHIP_AS_OF_DATE","20020627")</f>
        <v/>
      </c>
      <c r="GS5">
        <f>BDS("nan Equity","SUPPLY_CHAIN_SUPPLIERS","RELATIONSHIP_AS_OF_DATE","20101116")</f>
        <v/>
      </c>
      <c r="GX5">
        <f>BDS("nan Equity","SUPPLY_CHAIN_CUSTOMERS","RELATIONSHIP_AS_OF_DATE","20101116")</f>
        <v/>
      </c>
      <c r="HC5">
        <f>BDS("WLY US Equity","SUPPLY_CHAIN_SUPPLIERS","RELATIONSHIP_AS_OF_DATE","20010813")</f>
        <v/>
      </c>
      <c r="HH5">
        <f>BDS("WLY US Equity","SUPPLY_CHAIN_CUSTOMERS","RELATIONSHIP_AS_OF_DATE","20010813")</f>
        <v/>
      </c>
      <c r="HM5">
        <f>BDS("MCHP US Equity","SUPPLY_CHAIN_SUPPLIERS","RELATIONSHIP_AS_OF_DATE","20100203")</f>
        <v/>
      </c>
      <c r="HR5">
        <f>BDS("MCHP US Equity","SUPPLY_CHAIN_CUSTOMERS","RELATIONSHIP_AS_OF_DATE","20100203")</f>
        <v/>
      </c>
      <c r="HW5">
        <f>BDS("BMC US Equity","SUPPLY_CHAIN_SUPPLIERS","RELATIONSHIP_AS_OF_DATE","20040429")</f>
        <v/>
      </c>
      <c r="IB5">
        <f>BDS("BMC US Equity","SUPPLY_CHAIN_CUSTOMERS","RELATIONSHIP_AS_OF_DATE","20040429")</f>
        <v/>
      </c>
      <c r="IG5">
        <f>BDS("TCF US Equity","SUPPLY_CHAIN_SUPPLIERS","RELATIONSHIP_AS_OF_DATE","20000822")</f>
        <v/>
      </c>
      <c r="IL5">
        <f>BDS("TCF US Equity","SUPPLY_CHAIN_CUSTOMERS","RELATIONSHIP_AS_OF_DATE","20000822")</f>
        <v/>
      </c>
      <c r="IQ5">
        <f>BDS("UCBHQ US Equity","SUPPLY_CHAIN_SUPPLIERS","RELATIONSHIP_AS_OF_DATE","20060919")</f>
        <v/>
      </c>
      <c r="IV5">
        <f>BDS("UCBHQ US Equity","SUPPLY_CHAIN_CUSTOMERS","RELATIONSHIP_AS_OF_DATE","20060919")</f>
        <v/>
      </c>
      <c r="JA5">
        <f>BDS("CARO US Equity","SUPPLY_CHAIN_SUPPLIERS","RELATIONSHIP_AS_OF_DATE","20170612")</f>
        <v/>
      </c>
      <c r="JF5">
        <f>BDS("CARO US Equity","SUPPLY_CHAIN_CUSTOMERS","RELATIONSHIP_AS_OF_DATE","20170612")</f>
        <v/>
      </c>
      <c r="JK5">
        <f>BDS("1947467D US Equity","SUPPLY_CHAIN_SUPPLIERS","RELATIONSHIP_AS_OF_DATE","19980311")</f>
        <v/>
      </c>
      <c r="JP5">
        <f>BDS("1947467D US Equity","SUPPLY_CHAIN_CUSTOMERS","RELATIONSHIP_AS_OF_DATE","19980311")</f>
        <v/>
      </c>
      <c r="JU5">
        <f>BDS("nan Equity","SUPPLY_CHAIN_SUPPLIERS","RELATIONSHIP_AS_OF_DATE","20030613")</f>
        <v/>
      </c>
      <c r="JZ5">
        <f>BDS("nan Equity","SUPPLY_CHAIN_CUSTOMERS","RELATIONSHIP_AS_OF_DATE","20030613")</f>
        <v/>
      </c>
      <c r="KE5">
        <f>BDS("TTN US Equity","SUPPLY_CHAIN_SUPPLIERS","RELATIONSHIP_AS_OF_DATE","19991209")</f>
        <v/>
      </c>
      <c r="KJ5">
        <f>BDS("TTN US Equity","SUPPLY_CHAIN_CUSTOMERS","RELATIONSHIP_AS_OF_DATE","19991209")</f>
        <v/>
      </c>
      <c r="KO5">
        <f>BDS("NEQSQ US Equity","SUPPLY_CHAIN_SUPPLIERS","RELATIONSHIP_AS_OF_DATE","19980402")</f>
        <v/>
      </c>
      <c r="KT5">
        <f>BDS("NEQSQ US Equity","SUPPLY_CHAIN_CUSTOMERS","RELATIONSHIP_AS_OF_DATE","19980402")</f>
        <v/>
      </c>
      <c r="KY5">
        <f>BDS("COEP US Equity","SUPPLY_CHAIN_SUPPLIERS","RELATIONSHIP_AS_OF_DATE","20220419")</f>
        <v/>
      </c>
      <c r="LD5">
        <f>BDS("COEP US Equity","SUPPLY_CHAIN_CUSTOMERS","RELATIONSHIP_AS_OF_DATE","20220419")</f>
        <v/>
      </c>
      <c r="LI5">
        <f>BDS("STNR US Equity","SUPPLY_CHAIN_SUPPLIERS","RELATIONSHIP_AS_OF_DATE","20111017")</f>
        <v/>
      </c>
      <c r="LN5">
        <f>BDS("STNR US Equity","SUPPLY_CHAIN_CUSTOMERS","RELATIONSHIP_AS_OF_DATE","20111017")</f>
        <v/>
      </c>
      <c r="LS5">
        <f>BDS("SOCNQ US Equity","SUPPLY_CHAIN_SUPPLIERS","RELATIONSHIP_AS_OF_DATE","19980302")</f>
        <v/>
      </c>
      <c r="LX5">
        <f>BDS("SOCNQ US Equity","SUPPLY_CHAIN_CUSTOMERS","RELATIONSHIP_AS_OF_DATE","19980302")</f>
        <v/>
      </c>
      <c r="MC5">
        <f>BDS("CBRL US Equity","SUPPLY_CHAIN_SUPPLIERS","RELATIONSHIP_AS_OF_DATE","19981211")</f>
        <v/>
      </c>
      <c r="MH5">
        <f>BDS("CBRL US Equity","SUPPLY_CHAIN_CUSTOMERS","RELATIONSHIP_AS_OF_DATE","19981211")</f>
        <v/>
      </c>
      <c r="MM5">
        <f>BDS("PERFQ US Equity","SUPPLY_CHAIN_SUPPLIERS","RELATIONSHIP_AS_OF_DATE","20111223")</f>
        <v/>
      </c>
      <c r="MR5">
        <f>BDS("PERFQ US Equity","SUPPLY_CHAIN_CUSTOMERS","RELATIONSHIP_AS_OF_DATE","20111223")</f>
        <v/>
      </c>
      <c r="MW5">
        <f>BDS("CMCO US Equity","SUPPLY_CHAIN_SUPPLIERS","RELATIONSHIP_AS_OF_DATE","20150727")</f>
        <v/>
      </c>
      <c r="NB5">
        <f>BDS("CMCO US Equity","SUPPLY_CHAIN_CUSTOMERS","RELATIONSHIP_AS_OF_DATE","20150727")</f>
        <v/>
      </c>
      <c r="NG5">
        <f>BDS("597946Q US Equity","SUPPLY_CHAIN_SUPPLIERS","RELATIONSHIP_AS_OF_DATE","19990716")</f>
        <v/>
      </c>
      <c r="NL5">
        <f>BDS("597946Q US Equity","SUPPLY_CHAIN_CUSTOMERS","RELATIONSHIP_AS_OF_DATE","19990716")</f>
        <v/>
      </c>
      <c r="NQ5">
        <f>BDS("MRK US Equity","SUPPLY_CHAIN_SUPPLIERS","RELATIONSHIP_AS_OF_DATE","20190221")</f>
        <v/>
      </c>
      <c r="NV5">
        <f>BDS("MRK US Equity","SUPPLY_CHAIN_CUSTOMERS","RELATIONSHIP_AS_OF_DATE","20190221")</f>
        <v/>
      </c>
      <c r="OA5">
        <f>BDS("AME US Equity","SUPPLY_CHAIN_SUPPLIERS","RELATIONSHIP_AS_OF_DATE","20170417")</f>
        <v/>
      </c>
      <c r="OF5">
        <f>BDS("AME US Equity","SUPPLY_CHAIN_CUSTOMERS","RELATIONSHIP_AS_OF_DATE","20170417")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2841</t>
        </is>
      </c>
      <c r="K1" s="1" t="inlineStr">
        <is>
          <t>Deal 2842</t>
        </is>
      </c>
      <c r="U1" s="1" t="inlineStr">
        <is>
          <t>Deal 2843</t>
        </is>
      </c>
      <c r="AE1" s="1" t="inlineStr">
        <is>
          <t>Deal 2844</t>
        </is>
      </c>
      <c r="AO1" s="1" t="inlineStr">
        <is>
          <t>Deal 2845</t>
        </is>
      </c>
      <c r="AY1" s="1" t="inlineStr">
        <is>
          <t>Deal 2846</t>
        </is>
      </c>
      <c r="BI1" s="1" t="inlineStr">
        <is>
          <t>Deal 2847</t>
        </is>
      </c>
      <c r="BS1" s="1" t="inlineStr">
        <is>
          <t>Deal 2848</t>
        </is>
      </c>
      <c r="CC1" s="1" t="inlineStr">
        <is>
          <t>Deal 2849</t>
        </is>
      </c>
      <c r="CM1" s="1" t="inlineStr">
        <is>
          <t>Deal 2850</t>
        </is>
      </c>
      <c r="CW1" s="1" t="inlineStr">
        <is>
          <t>Deal 2851</t>
        </is>
      </c>
      <c r="DG1" s="1" t="inlineStr">
        <is>
          <t>Deal 2852</t>
        </is>
      </c>
      <c r="DQ1" s="1" t="inlineStr">
        <is>
          <t>Deal 2853</t>
        </is>
      </c>
      <c r="EA1" s="1" t="inlineStr">
        <is>
          <t>Deal 2854</t>
        </is>
      </c>
      <c r="EK1" s="1" t="inlineStr">
        <is>
          <t>Deal 2855</t>
        </is>
      </c>
      <c r="EU1" s="1" t="inlineStr">
        <is>
          <t>Deal 2856</t>
        </is>
      </c>
      <c r="FE1" s="1" t="inlineStr">
        <is>
          <t>Deal 2857</t>
        </is>
      </c>
      <c r="FO1" s="1" t="inlineStr">
        <is>
          <t>Deal 2858</t>
        </is>
      </c>
      <c r="FY1" s="1" t="inlineStr">
        <is>
          <t>Deal 2859</t>
        </is>
      </c>
      <c r="GI1" s="1" t="inlineStr">
        <is>
          <t>Deal 2860</t>
        </is>
      </c>
      <c r="GS1" s="1" t="inlineStr">
        <is>
          <t>Deal 2861</t>
        </is>
      </c>
      <c r="HC1" s="1" t="inlineStr">
        <is>
          <t>Deal 2862</t>
        </is>
      </c>
      <c r="HM1" s="1" t="inlineStr">
        <is>
          <t>Deal 2863</t>
        </is>
      </c>
      <c r="HW1" s="1" t="inlineStr">
        <is>
          <t>Deal 2864</t>
        </is>
      </c>
      <c r="IG1" s="1" t="inlineStr">
        <is>
          <t>Deal 2865</t>
        </is>
      </c>
      <c r="IQ1" s="1" t="inlineStr">
        <is>
          <t>Deal 2866</t>
        </is>
      </c>
      <c r="JA1" s="1" t="inlineStr">
        <is>
          <t>Deal 2867</t>
        </is>
      </c>
      <c r="JK1" s="1" t="inlineStr">
        <is>
          <t>Deal 2868</t>
        </is>
      </c>
      <c r="JU1" s="1" t="inlineStr">
        <is>
          <t>Deal 2869</t>
        </is>
      </c>
      <c r="KE1" s="1" t="inlineStr">
        <is>
          <t>Deal 2870</t>
        </is>
      </c>
      <c r="KO1" s="1" t="inlineStr">
        <is>
          <t>Deal 2871</t>
        </is>
      </c>
      <c r="KY1" s="1" t="inlineStr">
        <is>
          <t>Deal 2872</t>
        </is>
      </c>
      <c r="LI1" s="1" t="inlineStr">
        <is>
          <t>Deal 2873</t>
        </is>
      </c>
      <c r="LS1" s="1" t="inlineStr">
        <is>
          <t>Deal 2874</t>
        </is>
      </c>
      <c r="MC1" s="1" t="inlineStr">
        <is>
          <t>Deal 2875</t>
        </is>
      </c>
      <c r="MM1" s="1" t="inlineStr">
        <is>
          <t>Deal 2876</t>
        </is>
      </c>
      <c r="MW1" s="1" t="inlineStr">
        <is>
          <t>Deal 2877</t>
        </is>
      </c>
      <c r="NG1" s="1" t="inlineStr">
        <is>
          <t>Deal 2878</t>
        </is>
      </c>
      <c r="NQ1" s="1" t="inlineStr">
        <is>
          <t>Deal 2879</t>
        </is>
      </c>
      <c r="OA1" s="1" t="inlineStr">
        <is>
          <t>Deal 2880</t>
        </is>
      </c>
    </row>
    <row r="2">
      <c r="A2" s="2" t="inlineStr">
        <is>
          <t>TEX US Equity</t>
        </is>
      </c>
      <c r="K2" s="2" t="inlineStr">
        <is>
          <t>MSBI US Equity</t>
        </is>
      </c>
      <c r="U2" s="2" t="inlineStr">
        <is>
          <t>TOWN US Equity</t>
        </is>
      </c>
      <c r="AE2" s="2" t="inlineStr">
        <is>
          <t>3346Q US Equity</t>
        </is>
      </c>
      <c r="AO2" s="2" t="inlineStr">
        <is>
          <t>1498499D US Equity</t>
        </is>
      </c>
      <c r="AY2" s="2" t="inlineStr">
        <is>
          <t>2258717D US Equity</t>
        </is>
      </c>
      <c r="BI2" s="2" t="inlineStr">
        <is>
          <t>CBST US Equity</t>
        </is>
      </c>
      <c r="BS2" s="2" t="inlineStr">
        <is>
          <t>UGS US Equity</t>
        </is>
      </c>
      <c r="CC2" s="2" t="inlineStr">
        <is>
          <t>3059Q US Equity</t>
        </is>
      </c>
      <c r="CM2" s="2" t="inlineStr">
        <is>
          <t>RSFC US Equity</t>
        </is>
      </c>
      <c r="CW2" s="2" t="inlineStr">
        <is>
          <t>DAVLE US Equity</t>
        </is>
      </c>
      <c r="DG2" s="2" t="inlineStr">
        <is>
          <t>SLXP US Equity</t>
        </is>
      </c>
      <c r="DQ2" s="2" t="inlineStr">
        <is>
          <t>GEN US Equity</t>
        </is>
      </c>
      <c r="EA2" s="2" t="inlineStr">
        <is>
          <t>894800Q US Equity</t>
        </is>
      </c>
      <c r="EK2" s="2" t="inlineStr">
        <is>
          <t>FBNC US Equity</t>
        </is>
      </c>
      <c r="EU2" s="2" t="inlineStr">
        <is>
          <t>TFC US Equity</t>
        </is>
      </c>
      <c r="FE2" s="2" t="inlineStr">
        <is>
          <t>MBFI US Equity</t>
        </is>
      </c>
      <c r="FO2" s="2" t="inlineStr">
        <is>
          <t>TMO US Equity</t>
        </is>
      </c>
      <c r="FY2" s="2" t="inlineStr">
        <is>
          <t>CKFR US Equity</t>
        </is>
      </c>
      <c r="GI2" s="2" t="inlineStr">
        <is>
          <t>BCR US Equity</t>
        </is>
      </c>
      <c r="GS2" s="2" t="inlineStr">
        <is>
          <t>COR US Equity</t>
        </is>
      </c>
      <c r="HC2" s="2" t="inlineStr">
        <is>
          <t>KO US Equity</t>
        </is>
      </c>
      <c r="HM2" s="2" t="inlineStr">
        <is>
          <t>TXT US Equity</t>
        </is>
      </c>
      <c r="HW2" s="2" t="inlineStr">
        <is>
          <t>ARW US Equity</t>
        </is>
      </c>
      <c r="IG2" s="2" t="inlineStr">
        <is>
          <t>TDG US Equity</t>
        </is>
      </c>
      <c r="IQ2" s="2" t="inlineStr">
        <is>
          <t>SOV US Equity</t>
        </is>
      </c>
      <c r="JA2" s="2" t="inlineStr">
        <is>
          <t>1312089D US Equity</t>
        </is>
      </c>
      <c r="JK2" s="2" t="inlineStr">
        <is>
          <t>TSFG US Equity</t>
        </is>
      </c>
      <c r="JU2" s="2" t="inlineStr">
        <is>
          <t>KRNY US Equity</t>
        </is>
      </c>
      <c r="KE2" s="2" t="inlineStr">
        <is>
          <t>CSFL US Equity</t>
        </is>
      </c>
      <c r="KO2" s="2" t="inlineStr">
        <is>
          <t>OCLR US Equity</t>
        </is>
      </c>
      <c r="KY2" s="2" t="inlineStr">
        <is>
          <t>2569244D US Equity</t>
        </is>
      </c>
      <c r="LI2" s="2" t="inlineStr">
        <is>
          <t>DXLG US Equity</t>
        </is>
      </c>
      <c r="LS2" s="2" t="inlineStr">
        <is>
          <t>SGID US Equity</t>
        </is>
      </c>
      <c r="MC2" s="2" t="inlineStr">
        <is>
          <t>NVDA US Equity</t>
        </is>
      </c>
      <c r="MM2" s="2" t="inlineStr">
        <is>
          <t>TDY US Equity</t>
        </is>
      </c>
      <c r="MW2" s="2" t="inlineStr">
        <is>
          <t>1822785D US Equity</t>
        </is>
      </c>
      <c r="NG2" s="2" t="inlineStr">
        <is>
          <t>NFB US Equity</t>
        </is>
      </c>
      <c r="NQ2" s="2" t="inlineStr">
        <is>
          <t>ONB US Equity</t>
        </is>
      </c>
      <c r="OA2" s="2" t="inlineStr">
        <is>
          <t>MIDD US Equity</t>
        </is>
      </c>
    </row>
    <row r="3">
      <c r="A3" t="inlineStr">
        <is>
          <t>Ann: 2001-06-28</t>
        </is>
      </c>
      <c r="K3" t="inlineStr">
        <is>
          <t>Ann: 2017-01-26</t>
        </is>
      </c>
      <c r="U3" t="inlineStr">
        <is>
          <t>Ann: 2015-12-17</t>
        </is>
      </c>
      <c r="AE3" t="inlineStr">
        <is>
          <t>Ann: 2000-06-27</t>
        </is>
      </c>
      <c r="AO3" t="inlineStr">
        <is>
          <t>Ann: 1999-10-12</t>
        </is>
      </c>
      <c r="AY3" t="inlineStr">
        <is>
          <t>Ann: 1999-12-21</t>
        </is>
      </c>
      <c r="BI3" t="inlineStr">
        <is>
          <t>Ann: 2011-10-24</t>
        </is>
      </c>
      <c r="BS3" t="inlineStr">
        <is>
          <t>Ann: 2000-09-05</t>
        </is>
      </c>
      <c r="CC3" t="inlineStr">
        <is>
          <t>Ann: 1998-04-17</t>
        </is>
      </c>
      <c r="CM3" t="inlineStr">
        <is>
          <t>Ann: 1998-05-28</t>
        </is>
      </c>
      <c r="CW3" t="inlineStr">
        <is>
          <t>Ann: 1998-07-06</t>
        </is>
      </c>
      <c r="DG3" t="inlineStr">
        <is>
          <t>Ann: 2005-06-23</t>
        </is>
      </c>
      <c r="DQ3" t="inlineStr">
        <is>
          <t>Ann: 2005-10-03</t>
        </is>
      </c>
      <c r="EA3" t="inlineStr">
        <is>
          <t>Ann: 2003-04-07</t>
        </is>
      </c>
      <c r="EK3" t="inlineStr">
        <is>
          <t>Ann: 2022-06-21</t>
        </is>
      </c>
      <c r="EU3" t="inlineStr">
        <is>
          <t>Ann: 2001-01-24</t>
        </is>
      </c>
      <c r="FE3" t="inlineStr">
        <is>
          <t>Ann: 2001-04-20</t>
        </is>
      </c>
      <c r="FO3" t="inlineStr">
        <is>
          <t>Ann: 2000-01-31</t>
        </is>
      </c>
      <c r="FY3" t="inlineStr">
        <is>
          <t>Ann: 2007-01-02</t>
        </is>
      </c>
      <c r="GI3" t="inlineStr">
        <is>
          <t>Ann: 2015-11-20</t>
        </is>
      </c>
      <c r="GS3" t="inlineStr">
        <is>
          <t>Ann: 1999-04-29</t>
        </is>
      </c>
      <c r="HC3" t="inlineStr">
        <is>
          <t>Ann: 2001-10-30</t>
        </is>
      </c>
      <c r="HM3" t="inlineStr">
        <is>
          <t>Ann: 1999-09-23</t>
        </is>
      </c>
      <c r="HW3" t="inlineStr">
        <is>
          <t>Ann: 2010-09-20</t>
        </is>
      </c>
      <c r="IG3" t="inlineStr">
        <is>
          <t>Ann: 2015-11-19</t>
        </is>
      </c>
      <c r="IQ3" t="inlineStr">
        <is>
          <t>Ann: 2001-07-17</t>
        </is>
      </c>
      <c r="JA3" t="inlineStr">
        <is>
          <t>Ann: 1998-01-20</t>
        </is>
      </c>
      <c r="JK3" t="inlineStr">
        <is>
          <t>Ann: 2004-03-17</t>
        </is>
      </c>
      <c r="JU3" t="inlineStr">
        <is>
          <t>Ann: 2002-09-11</t>
        </is>
      </c>
      <c r="KE3" t="inlineStr">
        <is>
          <t>Ann: 2017-08-14</t>
        </is>
      </c>
      <c r="KO3" t="inlineStr">
        <is>
          <t>Ann: 2012-03-26</t>
        </is>
      </c>
      <c r="KY3" t="inlineStr">
        <is>
          <t>Ann: 2000-07-11</t>
        </is>
      </c>
      <c r="LI3" t="inlineStr">
        <is>
          <t>Ann: 2002-05-02</t>
        </is>
      </c>
      <c r="LS3" t="inlineStr">
        <is>
          <t>Ann: 1995-02-07</t>
        </is>
      </c>
      <c r="MC3" t="inlineStr">
        <is>
          <t>Ann: 2006-11-06</t>
        </is>
      </c>
      <c r="MM3" t="inlineStr">
        <is>
          <t>Ann: 2014-09-03</t>
        </is>
      </c>
      <c r="MW3" t="inlineStr">
        <is>
          <t>Ann: 1998-04-01</t>
        </is>
      </c>
      <c r="NG3" t="inlineStr">
        <is>
          <t>Ann: 2001-02-13</t>
        </is>
      </c>
      <c r="NQ3" t="inlineStr">
        <is>
          <t>Ann: 2014-01-08</t>
        </is>
      </c>
      <c r="OA3" t="inlineStr">
        <is>
          <t>Ann: 2008-08-12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BDS("TEX US Equity","SUPPLY_CHAIN_SUPPLIERS","RELATIONSHIP_AS_OF_DATE","20010628")</f>
        <v/>
      </c>
      <c r="F5">
        <f>BDS("TEX US Equity","SUPPLY_CHAIN_CUSTOMERS","RELATIONSHIP_AS_OF_DATE","20010628")</f>
        <v/>
      </c>
      <c r="K5">
        <f>BDS("MSBI US Equity","SUPPLY_CHAIN_SUPPLIERS","RELATIONSHIP_AS_OF_DATE","20170126")</f>
        <v/>
      </c>
      <c r="P5">
        <f>BDS("MSBI US Equity","SUPPLY_CHAIN_CUSTOMERS","RELATIONSHIP_AS_OF_DATE","20170126")</f>
        <v/>
      </c>
      <c r="U5">
        <f>BDS("TOWN US Equity","SUPPLY_CHAIN_SUPPLIERS","RELATIONSHIP_AS_OF_DATE","20151217")</f>
        <v/>
      </c>
      <c r="Z5">
        <f>BDS("TOWN US Equity","SUPPLY_CHAIN_CUSTOMERS","RELATIONSHIP_AS_OF_DATE","20151217")</f>
        <v/>
      </c>
      <c r="AE5">
        <f>BDS("3346Q US Equity","SUPPLY_CHAIN_SUPPLIERS","RELATIONSHIP_AS_OF_DATE","20000627")</f>
        <v/>
      </c>
      <c r="AJ5">
        <f>BDS("3346Q US Equity","SUPPLY_CHAIN_CUSTOMERS","RELATIONSHIP_AS_OF_DATE","20000627")</f>
        <v/>
      </c>
      <c r="AO5">
        <f>BDS("1498499D US Equity","SUPPLY_CHAIN_SUPPLIERS","RELATIONSHIP_AS_OF_DATE","19991012")</f>
        <v/>
      </c>
      <c r="AT5">
        <f>BDS("1498499D US Equity","SUPPLY_CHAIN_CUSTOMERS","RELATIONSHIP_AS_OF_DATE","19991012")</f>
        <v/>
      </c>
      <c r="AY5">
        <f>BDS("2258717D US Equity","SUPPLY_CHAIN_SUPPLIERS","RELATIONSHIP_AS_OF_DATE","19991221")</f>
        <v/>
      </c>
      <c r="BD5">
        <f>BDS("2258717D US Equity","SUPPLY_CHAIN_CUSTOMERS","RELATIONSHIP_AS_OF_DATE","19991221")</f>
        <v/>
      </c>
      <c r="BI5">
        <f>BDS("CBST US Equity","SUPPLY_CHAIN_SUPPLIERS","RELATIONSHIP_AS_OF_DATE","20111024")</f>
        <v/>
      </c>
      <c r="BN5">
        <f>BDS("CBST US Equity","SUPPLY_CHAIN_CUSTOMERS","RELATIONSHIP_AS_OF_DATE","20111024")</f>
        <v/>
      </c>
      <c r="BS5">
        <f>BDS("UGS US Equity","SUPPLY_CHAIN_SUPPLIERS","RELATIONSHIP_AS_OF_DATE","20000905")</f>
        <v/>
      </c>
      <c r="BX5">
        <f>BDS("UGS US Equity","SUPPLY_CHAIN_CUSTOMERS","RELATIONSHIP_AS_OF_DATE","20000905")</f>
        <v/>
      </c>
      <c r="CC5">
        <f>BDS("3059Q US Equity","SUPPLY_CHAIN_SUPPLIERS","RELATIONSHIP_AS_OF_DATE","19980417")</f>
        <v/>
      </c>
      <c r="CH5">
        <f>BDS("3059Q US Equity","SUPPLY_CHAIN_CUSTOMERS","RELATIONSHIP_AS_OF_DATE","19980417")</f>
        <v/>
      </c>
      <c r="CM5">
        <f>BDS("RSFC US Equity","SUPPLY_CHAIN_SUPPLIERS","RELATIONSHIP_AS_OF_DATE","19980528")</f>
        <v/>
      </c>
      <c r="CR5">
        <f>BDS("RSFC US Equity","SUPPLY_CHAIN_CUSTOMERS","RELATIONSHIP_AS_OF_DATE","19980528")</f>
        <v/>
      </c>
      <c r="CW5">
        <f>BDS("DAVLE US Equity","SUPPLY_CHAIN_SUPPLIERS","RELATIONSHIP_AS_OF_DATE","19980706")</f>
        <v/>
      </c>
      <c r="DB5">
        <f>BDS("DAVLE US Equity","SUPPLY_CHAIN_CUSTOMERS","RELATIONSHIP_AS_OF_DATE","19980706")</f>
        <v/>
      </c>
      <c r="DG5">
        <f>BDS("SLXP US Equity","SUPPLY_CHAIN_SUPPLIERS","RELATIONSHIP_AS_OF_DATE","20050623")</f>
        <v/>
      </c>
      <c r="DL5">
        <f>BDS("SLXP US Equity","SUPPLY_CHAIN_CUSTOMERS","RELATIONSHIP_AS_OF_DATE","20050623")</f>
        <v/>
      </c>
      <c r="DQ5">
        <f>BDS("GEN US Equity","SUPPLY_CHAIN_SUPPLIERS","RELATIONSHIP_AS_OF_DATE","20051003")</f>
        <v/>
      </c>
      <c r="DV5">
        <f>BDS("GEN US Equity","SUPPLY_CHAIN_CUSTOMERS","RELATIONSHIP_AS_OF_DATE","20051003")</f>
        <v/>
      </c>
      <c r="EA5">
        <f>BDS("894800Q US Equity","SUPPLY_CHAIN_SUPPLIERS","RELATIONSHIP_AS_OF_DATE","20030407")</f>
        <v/>
      </c>
      <c r="EF5">
        <f>BDS("894800Q US Equity","SUPPLY_CHAIN_CUSTOMERS","RELATIONSHIP_AS_OF_DATE","20030407")</f>
        <v/>
      </c>
      <c r="EK5">
        <f>BDS("FBNC US Equity","SUPPLY_CHAIN_SUPPLIERS","RELATIONSHIP_AS_OF_DATE","20220621")</f>
        <v/>
      </c>
      <c r="EP5">
        <f>BDS("FBNC US Equity","SUPPLY_CHAIN_CUSTOMERS","RELATIONSHIP_AS_OF_DATE","20220621")</f>
        <v/>
      </c>
      <c r="EU5">
        <f>BDS("TFC US Equity","SUPPLY_CHAIN_SUPPLIERS","RELATIONSHIP_AS_OF_DATE","20010124")</f>
        <v/>
      </c>
      <c r="EZ5">
        <f>BDS("TFC US Equity","SUPPLY_CHAIN_CUSTOMERS","RELATIONSHIP_AS_OF_DATE","20010124")</f>
        <v/>
      </c>
      <c r="FE5">
        <f>BDS("MBFI US Equity","SUPPLY_CHAIN_SUPPLIERS","RELATIONSHIP_AS_OF_DATE","20010420")</f>
        <v/>
      </c>
      <c r="FJ5">
        <f>BDS("MBFI US Equity","SUPPLY_CHAIN_CUSTOMERS","RELATIONSHIP_AS_OF_DATE","20010420")</f>
        <v/>
      </c>
      <c r="FO5">
        <f>BDS("TMO US Equity","SUPPLY_CHAIN_SUPPLIERS","RELATIONSHIP_AS_OF_DATE","20000131")</f>
        <v/>
      </c>
      <c r="FT5">
        <f>BDS("TMO US Equity","SUPPLY_CHAIN_CUSTOMERS","RELATIONSHIP_AS_OF_DATE","20000131")</f>
        <v/>
      </c>
      <c r="FY5">
        <f>BDS("CKFR US Equity","SUPPLY_CHAIN_SUPPLIERS","RELATIONSHIP_AS_OF_DATE","20070102")</f>
        <v/>
      </c>
      <c r="GD5">
        <f>BDS("CKFR US Equity","SUPPLY_CHAIN_CUSTOMERS","RELATIONSHIP_AS_OF_DATE","20070102")</f>
        <v/>
      </c>
      <c r="GI5">
        <f>BDS("BCR US Equity","SUPPLY_CHAIN_SUPPLIERS","RELATIONSHIP_AS_OF_DATE","20151120")</f>
        <v/>
      </c>
      <c r="GN5">
        <f>BDS("BCR US Equity","SUPPLY_CHAIN_CUSTOMERS","RELATIONSHIP_AS_OF_DATE","20151120")</f>
        <v/>
      </c>
      <c r="GS5">
        <f>BDS("COR US Equity","SUPPLY_CHAIN_SUPPLIERS","RELATIONSHIP_AS_OF_DATE","19990429")</f>
        <v/>
      </c>
      <c r="GX5">
        <f>BDS("COR US Equity","SUPPLY_CHAIN_CUSTOMERS","RELATIONSHIP_AS_OF_DATE","19990429")</f>
        <v/>
      </c>
      <c r="HC5">
        <f>BDS("KO US Equity","SUPPLY_CHAIN_SUPPLIERS","RELATIONSHIP_AS_OF_DATE","20011030")</f>
        <v/>
      </c>
      <c r="HH5">
        <f>BDS("KO US Equity","SUPPLY_CHAIN_CUSTOMERS","RELATIONSHIP_AS_OF_DATE","20011030")</f>
        <v/>
      </c>
      <c r="HM5">
        <f>BDS("TXT US Equity","SUPPLY_CHAIN_SUPPLIERS","RELATIONSHIP_AS_OF_DATE","19990923")</f>
        <v/>
      </c>
      <c r="HR5">
        <f>BDS("TXT US Equity","SUPPLY_CHAIN_CUSTOMERS","RELATIONSHIP_AS_OF_DATE","19990923")</f>
        <v/>
      </c>
      <c r="HW5">
        <f>BDS("ARW US Equity","SUPPLY_CHAIN_SUPPLIERS","RELATIONSHIP_AS_OF_DATE","20100920")</f>
        <v/>
      </c>
      <c r="IB5">
        <f>BDS("ARW US Equity","SUPPLY_CHAIN_CUSTOMERS","RELATIONSHIP_AS_OF_DATE","20100920")</f>
        <v/>
      </c>
      <c r="IG5">
        <f>BDS("TDG US Equity","SUPPLY_CHAIN_SUPPLIERS","RELATIONSHIP_AS_OF_DATE","20151119")</f>
        <v/>
      </c>
      <c r="IL5">
        <f>BDS("TDG US Equity","SUPPLY_CHAIN_CUSTOMERS","RELATIONSHIP_AS_OF_DATE","20151119")</f>
        <v/>
      </c>
      <c r="IQ5">
        <f>BDS("SOV US Equity","SUPPLY_CHAIN_SUPPLIERS","RELATIONSHIP_AS_OF_DATE","20010717")</f>
        <v/>
      </c>
      <c r="IV5">
        <f>BDS("SOV US Equity","SUPPLY_CHAIN_CUSTOMERS","RELATIONSHIP_AS_OF_DATE","20010717")</f>
        <v/>
      </c>
      <c r="JA5">
        <f>BDS("1312089D US Equity","SUPPLY_CHAIN_SUPPLIERS","RELATIONSHIP_AS_OF_DATE","19980120")</f>
        <v/>
      </c>
      <c r="JF5">
        <f>BDS("1312089D US Equity","SUPPLY_CHAIN_CUSTOMERS","RELATIONSHIP_AS_OF_DATE","19980120")</f>
        <v/>
      </c>
      <c r="JK5">
        <f>BDS("TSFG US Equity","SUPPLY_CHAIN_SUPPLIERS","RELATIONSHIP_AS_OF_DATE","20040317")</f>
        <v/>
      </c>
      <c r="JP5">
        <f>BDS("TSFG US Equity","SUPPLY_CHAIN_CUSTOMERS","RELATIONSHIP_AS_OF_DATE","20040317")</f>
        <v/>
      </c>
      <c r="JU5">
        <f>BDS("KRNY US Equity","SUPPLY_CHAIN_SUPPLIERS","RELATIONSHIP_AS_OF_DATE","20020911")</f>
        <v/>
      </c>
      <c r="JZ5">
        <f>BDS("KRNY US Equity","SUPPLY_CHAIN_CUSTOMERS","RELATIONSHIP_AS_OF_DATE","20020911")</f>
        <v/>
      </c>
      <c r="KE5">
        <f>BDS("CSFL US Equity","SUPPLY_CHAIN_SUPPLIERS","RELATIONSHIP_AS_OF_DATE","20170814")</f>
        <v/>
      </c>
      <c r="KJ5">
        <f>BDS("CSFL US Equity","SUPPLY_CHAIN_CUSTOMERS","RELATIONSHIP_AS_OF_DATE","20170814")</f>
        <v/>
      </c>
      <c r="KO5">
        <f>BDS("OCLR US Equity","SUPPLY_CHAIN_SUPPLIERS","RELATIONSHIP_AS_OF_DATE","20120326")</f>
        <v/>
      </c>
      <c r="KT5">
        <f>BDS("OCLR US Equity","SUPPLY_CHAIN_CUSTOMERS","RELATIONSHIP_AS_OF_DATE","20120326")</f>
        <v/>
      </c>
      <c r="KY5">
        <f>BDS("2569244D US Equity","SUPPLY_CHAIN_SUPPLIERS","RELATIONSHIP_AS_OF_DATE","20000711")</f>
        <v/>
      </c>
      <c r="LD5">
        <f>BDS("2569244D US Equity","SUPPLY_CHAIN_CUSTOMERS","RELATIONSHIP_AS_OF_DATE","20000711")</f>
        <v/>
      </c>
      <c r="LI5">
        <f>BDS("DXLG US Equity","SUPPLY_CHAIN_SUPPLIERS","RELATIONSHIP_AS_OF_DATE","20020502")</f>
        <v/>
      </c>
      <c r="LN5">
        <f>BDS("DXLG US Equity","SUPPLY_CHAIN_CUSTOMERS","RELATIONSHIP_AS_OF_DATE","20020502")</f>
        <v/>
      </c>
      <c r="LS5">
        <f>BDS("SGID US Equity","SUPPLY_CHAIN_SUPPLIERS","RELATIONSHIP_AS_OF_DATE","19950207")</f>
        <v/>
      </c>
      <c r="LX5">
        <f>BDS("SGID US Equity","SUPPLY_CHAIN_CUSTOMERS","RELATIONSHIP_AS_OF_DATE","19950207")</f>
        <v/>
      </c>
      <c r="MC5">
        <f>BDS("NVDA US Equity","SUPPLY_CHAIN_SUPPLIERS","RELATIONSHIP_AS_OF_DATE","20061106")</f>
        <v/>
      </c>
      <c r="MH5">
        <f>BDS("NVDA US Equity","SUPPLY_CHAIN_CUSTOMERS","RELATIONSHIP_AS_OF_DATE","20061106")</f>
        <v/>
      </c>
      <c r="MM5">
        <f>BDS("TDY US Equity","SUPPLY_CHAIN_SUPPLIERS","RELATIONSHIP_AS_OF_DATE","20140903")</f>
        <v/>
      </c>
      <c r="MR5">
        <f>BDS("TDY US Equity","SUPPLY_CHAIN_CUSTOMERS","RELATIONSHIP_AS_OF_DATE","20140903")</f>
        <v/>
      </c>
      <c r="MW5">
        <f>BDS("1822785D US Equity","SUPPLY_CHAIN_SUPPLIERS","RELATIONSHIP_AS_OF_DATE","19980401")</f>
        <v/>
      </c>
      <c r="NB5">
        <f>BDS("1822785D US Equity","SUPPLY_CHAIN_CUSTOMERS","RELATIONSHIP_AS_OF_DATE","19980401")</f>
        <v/>
      </c>
      <c r="NG5">
        <f>BDS("NFB US Equity","SUPPLY_CHAIN_SUPPLIERS","RELATIONSHIP_AS_OF_DATE","20010213")</f>
        <v/>
      </c>
      <c r="NL5">
        <f>BDS("NFB US Equity","SUPPLY_CHAIN_CUSTOMERS","RELATIONSHIP_AS_OF_DATE","20010213")</f>
        <v/>
      </c>
      <c r="NQ5">
        <f>BDS("ONB US Equity","SUPPLY_CHAIN_SUPPLIERS","RELATIONSHIP_AS_OF_DATE","20140108")</f>
        <v/>
      </c>
      <c r="NV5">
        <f>BDS("ONB US Equity","SUPPLY_CHAIN_CUSTOMERS","RELATIONSHIP_AS_OF_DATE","20140108")</f>
        <v/>
      </c>
      <c r="OA5">
        <f>BDS("MIDD US Equity","SUPPLY_CHAIN_SUPPLIERS","RELATIONSHIP_AS_OF_DATE","20080812")</f>
        <v/>
      </c>
      <c r="OF5">
        <f>BDS("MIDD US Equity","SUPPLY_CHAIN_CUSTOMERS","RELATIONSHIP_AS_OF_DATE","20080812")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2881</t>
        </is>
      </c>
      <c r="K1" s="1" t="inlineStr">
        <is>
          <t>Deal 2882</t>
        </is>
      </c>
      <c r="U1" s="1" t="inlineStr">
        <is>
          <t>Deal 2883</t>
        </is>
      </c>
      <c r="AE1" s="1" t="inlineStr">
        <is>
          <t>Deal 2884</t>
        </is>
      </c>
      <c r="AO1" s="1" t="inlineStr">
        <is>
          <t>Deal 2885</t>
        </is>
      </c>
      <c r="AY1" s="1" t="inlineStr">
        <is>
          <t>Deal 2886</t>
        </is>
      </c>
      <c r="BI1" s="1" t="inlineStr">
        <is>
          <t>Deal 2887</t>
        </is>
      </c>
      <c r="BS1" s="1" t="inlineStr">
        <is>
          <t>Deal 2888</t>
        </is>
      </c>
      <c r="CC1" s="1" t="inlineStr">
        <is>
          <t>Deal 2889</t>
        </is>
      </c>
      <c r="CM1" s="1" t="inlineStr">
        <is>
          <t>Deal 2890</t>
        </is>
      </c>
      <c r="CW1" s="1" t="inlineStr">
        <is>
          <t>Deal 2891</t>
        </is>
      </c>
      <c r="DG1" s="1" t="inlineStr">
        <is>
          <t>Deal 2892</t>
        </is>
      </c>
      <c r="DQ1" s="1" t="inlineStr">
        <is>
          <t>Deal 2893</t>
        </is>
      </c>
      <c r="EA1" s="1" t="inlineStr">
        <is>
          <t>Deal 2894</t>
        </is>
      </c>
      <c r="EK1" s="1" t="inlineStr">
        <is>
          <t>Deal 2895</t>
        </is>
      </c>
      <c r="EU1" s="1" t="inlineStr">
        <is>
          <t>Deal 2896</t>
        </is>
      </c>
      <c r="FE1" s="1" t="inlineStr">
        <is>
          <t>Deal 2897</t>
        </is>
      </c>
      <c r="FO1" s="1" t="inlineStr">
        <is>
          <t>Deal 2898</t>
        </is>
      </c>
      <c r="FY1" s="1" t="inlineStr">
        <is>
          <t>Deal 2899</t>
        </is>
      </c>
      <c r="GI1" s="1" t="inlineStr">
        <is>
          <t>Deal 2900</t>
        </is>
      </c>
      <c r="GS1" s="1" t="inlineStr">
        <is>
          <t>Deal 2901</t>
        </is>
      </c>
      <c r="HC1" s="1" t="inlineStr">
        <is>
          <t>Deal 2902</t>
        </is>
      </c>
      <c r="HM1" s="1" t="inlineStr">
        <is>
          <t>Deal 2903</t>
        </is>
      </c>
      <c r="HW1" s="1" t="inlineStr">
        <is>
          <t>Deal 2904</t>
        </is>
      </c>
      <c r="IG1" s="1" t="inlineStr">
        <is>
          <t>Deal 2905</t>
        </is>
      </c>
      <c r="IQ1" s="1" t="inlineStr">
        <is>
          <t>Deal 2906</t>
        </is>
      </c>
      <c r="JA1" s="1" t="inlineStr">
        <is>
          <t>Deal 2907</t>
        </is>
      </c>
      <c r="JK1" s="1" t="inlineStr">
        <is>
          <t>Deal 2908</t>
        </is>
      </c>
      <c r="JU1" s="1" t="inlineStr">
        <is>
          <t>Deal 2909</t>
        </is>
      </c>
      <c r="KE1" s="1" t="inlineStr">
        <is>
          <t>Deal 2910</t>
        </is>
      </c>
      <c r="KO1" s="1" t="inlineStr">
        <is>
          <t>Deal 2911</t>
        </is>
      </c>
      <c r="KY1" s="1" t="inlineStr">
        <is>
          <t>Deal 2912</t>
        </is>
      </c>
      <c r="LI1" s="1" t="inlineStr">
        <is>
          <t>Deal 2913</t>
        </is>
      </c>
      <c r="LS1" s="1" t="inlineStr">
        <is>
          <t>Deal 2914</t>
        </is>
      </c>
      <c r="MC1" s="1" t="inlineStr">
        <is>
          <t>Deal 2915</t>
        </is>
      </c>
      <c r="MM1" s="1" t="inlineStr">
        <is>
          <t>Deal 2916</t>
        </is>
      </c>
      <c r="MW1" s="1" t="inlineStr">
        <is>
          <t>Deal 2917</t>
        </is>
      </c>
      <c r="NG1" s="1" t="inlineStr">
        <is>
          <t>Deal 2918</t>
        </is>
      </c>
      <c r="NQ1" s="1" t="inlineStr">
        <is>
          <t>Deal 2919</t>
        </is>
      </c>
      <c r="OA1" s="1" t="inlineStr">
        <is>
          <t>Deal 2920</t>
        </is>
      </c>
    </row>
    <row r="2">
      <c r="A2" s="2" t="inlineStr">
        <is>
          <t>FNSR US Equity</t>
        </is>
      </c>
      <c r="K2" s="2" t="inlineStr">
        <is>
          <t>OCR US Equity</t>
        </is>
      </c>
      <c r="U2" s="2" t="inlineStr">
        <is>
          <t>SNEX US Equity</t>
        </is>
      </c>
      <c r="AE2" s="2" t="inlineStr">
        <is>
          <t>SCS US Equity</t>
        </is>
      </c>
      <c r="AO2" s="2" t="inlineStr">
        <is>
          <t>EBAY US Equity</t>
        </is>
      </c>
      <c r="AY2" s="2" t="inlineStr">
        <is>
          <t>IBM US Equity</t>
        </is>
      </c>
      <c r="BI2" s="2" t="inlineStr">
        <is>
          <t>PRK US Equity</t>
        </is>
      </c>
      <c r="BS2" s="2" t="inlineStr">
        <is>
          <t>MAFB US Equity</t>
        </is>
      </c>
      <c r="CC2" s="2" t="inlineStr">
        <is>
          <t>HNBC US Equity</t>
        </is>
      </c>
      <c r="CM2" s="2" t="inlineStr">
        <is>
          <t>FBNC US Equity</t>
        </is>
      </c>
      <c r="CW2" s="2" t="inlineStr">
        <is>
          <t>8184843Q US Equity</t>
        </is>
      </c>
      <c r="DG2" s="2" t="inlineStr">
        <is>
          <t>8206908Q US Equity</t>
        </is>
      </c>
      <c r="DQ2" s="2" t="inlineStr">
        <is>
          <t>1492800D US Equity</t>
        </is>
      </c>
      <c r="EA2" s="2" t="inlineStr">
        <is>
          <t>FBF US Equity</t>
        </is>
      </c>
      <c r="EK2" s="2" t="inlineStr">
        <is>
          <t>1916526D US Equity</t>
        </is>
      </c>
      <c r="EU2" s="2" t="inlineStr">
        <is>
          <t>2370058D US Equity</t>
        </is>
      </c>
      <c r="FE2" s="2" t="inlineStr">
        <is>
          <t>SUSQ US Equity</t>
        </is>
      </c>
      <c r="FO2" s="2" t="inlineStr">
        <is>
          <t>WTNY US Equity</t>
        </is>
      </c>
      <c r="FY2" s="2" t="inlineStr">
        <is>
          <t>GCO US Equity</t>
        </is>
      </c>
      <c r="GI2" s="2" t="inlineStr">
        <is>
          <t>540513Q US Equity</t>
        </is>
      </c>
      <c r="GS2" s="2" t="inlineStr">
        <is>
          <t>1526901D US Equity</t>
        </is>
      </c>
      <c r="HC2" s="2" t="inlineStr">
        <is>
          <t>3423152Q US Equity</t>
        </is>
      </c>
      <c r="HM2" s="2" t="inlineStr">
        <is>
          <t>FITB US Equity</t>
        </is>
      </c>
      <c r="HW2" s="2" t="inlineStr">
        <is>
          <t>CTXS US Equity</t>
        </is>
      </c>
      <c r="IG2" s="2" t="inlineStr">
        <is>
          <t>HOUS US Equity</t>
        </is>
      </c>
      <c r="IQ2" s="2" t="inlineStr">
        <is>
          <t>1523873D US Equity</t>
        </is>
      </c>
      <c r="JA2" s="2" t="inlineStr">
        <is>
          <t>FLG US Equity</t>
        </is>
      </c>
      <c r="JK2" s="2" t="inlineStr">
        <is>
          <t>390297Q US Equity</t>
        </is>
      </c>
      <c r="JU2" s="2" t="inlineStr">
        <is>
          <t>MXL US Equity</t>
        </is>
      </c>
      <c r="KE2" s="2" t="inlineStr">
        <is>
          <t>RYZ US Equity</t>
        </is>
      </c>
      <c r="KO2" s="2" t="inlineStr">
        <is>
          <t>TIPTL US Equity</t>
        </is>
      </c>
      <c r="KY2" s="2" t="inlineStr">
        <is>
          <t>OLN US Equity</t>
        </is>
      </c>
      <c r="LI2" s="2" t="inlineStr">
        <is>
          <t>BBDC US Equity</t>
        </is>
      </c>
      <c r="LS2" s="2" t="inlineStr">
        <is>
          <t>OCFC US Equity</t>
        </is>
      </c>
      <c r="MC2" s="2" t="inlineStr">
        <is>
          <t>BTFG US Equity</t>
        </is>
      </c>
      <c r="MM2" s="2" t="inlineStr">
        <is>
          <t>SWKS US Equity</t>
        </is>
      </c>
      <c r="MW2" s="2" t="inlineStr">
        <is>
          <t>1740293D US Equity</t>
        </is>
      </c>
      <c r="NG2" s="2" t="inlineStr">
        <is>
          <t>ALTR US Equity</t>
        </is>
      </c>
      <c r="NQ2" s="2" t="inlineStr">
        <is>
          <t>0948669D US Equity</t>
        </is>
      </c>
      <c r="OA2" s="2" t="inlineStr">
        <is>
          <t>NBR US Equity</t>
        </is>
      </c>
    </row>
    <row r="3">
      <c r="A3" t="inlineStr">
        <is>
          <t>Ann: 2008-05-16</t>
        </is>
      </c>
      <c r="K3" t="inlineStr">
        <is>
          <t>Ann: 1998-03-31</t>
        </is>
      </c>
      <c r="U3" t="inlineStr">
        <is>
          <t>Ann: 2009-07-02</t>
        </is>
      </c>
      <c r="AE3" t="inlineStr">
        <is>
          <t>Ann: 2001-08-27</t>
        </is>
      </c>
      <c r="AO3" t="inlineStr">
        <is>
          <t>Ann: 2012-04-16</t>
        </is>
      </c>
      <c r="AY3" t="inlineStr">
        <is>
          <t>Ann: 2005-01-25</t>
        </is>
      </c>
      <c r="BI3" t="inlineStr">
        <is>
          <t>Ann: 2006-09-14</t>
        </is>
      </c>
      <c r="BS3" t="inlineStr">
        <is>
          <t>Ann: 2005-06-30</t>
        </is>
      </c>
      <c r="CC3" t="inlineStr">
        <is>
          <t>Ann: 2008-05-21</t>
        </is>
      </c>
      <c r="CM3" t="inlineStr">
        <is>
          <t>Ann: 2017-05-01</t>
        </is>
      </c>
      <c r="CW3" t="inlineStr">
        <is>
          <t>Ann: 2006-02-16</t>
        </is>
      </c>
      <c r="DG3" t="inlineStr">
        <is>
          <t>Ann: 1998-07-06</t>
        </is>
      </c>
      <c r="DQ3" t="inlineStr">
        <is>
          <t>Ann: 2007-01-25</t>
        </is>
      </c>
      <c r="EA3" t="inlineStr">
        <is>
          <t>Ann: 2003-08-28</t>
        </is>
      </c>
      <c r="EK3" t="inlineStr">
        <is>
          <t>Ann: 2006-11-01</t>
        </is>
      </c>
      <c r="EU3" t="inlineStr">
        <is>
          <t>Ann: 2007-11-02</t>
        </is>
      </c>
      <c r="FE3" t="inlineStr">
        <is>
          <t>Ann: 2005-11-14</t>
        </is>
      </c>
      <c r="FO3" t="inlineStr">
        <is>
          <t>Ann: 2008-06-09</t>
        </is>
      </c>
      <c r="FY3" t="inlineStr">
        <is>
          <t>Ann: 2004-02-05</t>
        </is>
      </c>
      <c r="GI3" t="inlineStr">
        <is>
          <t>Ann: 2001-06-11</t>
        </is>
      </c>
      <c r="GS3" t="inlineStr">
        <is>
          <t>Ann: 1999-04-27</t>
        </is>
      </c>
      <c r="HC3" t="inlineStr">
        <is>
          <t>Ann: 2001-05-23</t>
        </is>
      </c>
      <c r="HM3" t="inlineStr">
        <is>
          <t>Ann: 2000-08-31</t>
        </is>
      </c>
      <c r="HW3" t="inlineStr">
        <is>
          <t>Ann: 2001-03-21</t>
        </is>
      </c>
      <c r="IG3" t="inlineStr">
        <is>
          <t>Ann: 2014-07-15</t>
        </is>
      </c>
      <c r="IQ3" t="inlineStr">
        <is>
          <t>Ann: 2001-09-10</t>
        </is>
      </c>
      <c r="JA3" t="inlineStr">
        <is>
          <t>Ann: 2007-05-13</t>
        </is>
      </c>
      <c r="JK3" t="inlineStr">
        <is>
          <t>Ann: 1998-05-08</t>
        </is>
      </c>
      <c r="JU3" t="inlineStr">
        <is>
          <t>Ann: 2015-02-03</t>
        </is>
      </c>
      <c r="KE3" t="inlineStr">
        <is>
          <t>Ann: 2018-06-05</t>
        </is>
      </c>
      <c r="KO3" t="inlineStr">
        <is>
          <t>Ann: 2010-03-16</t>
        </is>
      </c>
      <c r="KY3" t="inlineStr">
        <is>
          <t>Ann: 2002-05-08</t>
        </is>
      </c>
      <c r="LI3" t="inlineStr">
        <is>
          <t>Ann: 2020-08-10</t>
        </is>
      </c>
      <c r="LS3" t="inlineStr">
        <is>
          <t>Ann: 2019-08-09</t>
        </is>
      </c>
      <c r="MC3" t="inlineStr">
        <is>
          <t>Ann: 2007-05-22</t>
        </is>
      </c>
      <c r="MM3" t="inlineStr">
        <is>
          <t>Ann: 2011-01-26</t>
        </is>
      </c>
      <c r="MW3" t="inlineStr">
        <is>
          <t>Ann: 2006-06-05</t>
        </is>
      </c>
      <c r="NG3" t="inlineStr">
        <is>
          <t>Ann: 2018-11-05</t>
        </is>
      </c>
      <c r="NQ3" t="inlineStr">
        <is>
          <t>Ann: 1999-11-03</t>
        </is>
      </c>
      <c r="OA3" t="inlineStr">
        <is>
          <t>Ann: 2017-08-14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BDS("FNSR US Equity","SUPPLY_CHAIN_SUPPLIERS","RELATIONSHIP_AS_OF_DATE","20080516")</f>
        <v/>
      </c>
      <c r="F5">
        <f>BDS("FNSR US Equity","SUPPLY_CHAIN_CUSTOMERS","RELATIONSHIP_AS_OF_DATE","20080516")</f>
        <v/>
      </c>
      <c r="K5">
        <f>BDS("OCR US Equity","SUPPLY_CHAIN_SUPPLIERS","RELATIONSHIP_AS_OF_DATE","19980331")</f>
        <v/>
      </c>
      <c r="P5">
        <f>BDS("OCR US Equity","SUPPLY_CHAIN_CUSTOMERS","RELATIONSHIP_AS_OF_DATE","19980331")</f>
        <v/>
      </c>
      <c r="U5">
        <f>BDS("SNEX US Equity","SUPPLY_CHAIN_SUPPLIERS","RELATIONSHIP_AS_OF_DATE","20090702")</f>
        <v/>
      </c>
      <c r="Z5">
        <f>BDS("SNEX US Equity","SUPPLY_CHAIN_CUSTOMERS","RELATIONSHIP_AS_OF_DATE","20090702")</f>
        <v/>
      </c>
      <c r="AE5">
        <f>BDS("SCS US Equity","SUPPLY_CHAIN_SUPPLIERS","RELATIONSHIP_AS_OF_DATE","20010827")</f>
        <v/>
      </c>
      <c r="AJ5">
        <f>BDS("SCS US Equity","SUPPLY_CHAIN_CUSTOMERS","RELATIONSHIP_AS_OF_DATE","20010827")</f>
        <v/>
      </c>
      <c r="AO5">
        <f>BDS("EBAY US Equity","SUPPLY_CHAIN_SUPPLIERS","RELATIONSHIP_AS_OF_DATE","20120416")</f>
        <v/>
      </c>
      <c r="AT5">
        <f>BDS("EBAY US Equity","SUPPLY_CHAIN_CUSTOMERS","RELATIONSHIP_AS_OF_DATE","20120416")</f>
        <v/>
      </c>
      <c r="AY5">
        <f>BDS("IBM US Equity","SUPPLY_CHAIN_SUPPLIERS","RELATIONSHIP_AS_OF_DATE","20050125")</f>
        <v/>
      </c>
      <c r="BD5">
        <f>BDS("IBM US Equity","SUPPLY_CHAIN_CUSTOMERS","RELATIONSHIP_AS_OF_DATE","20050125")</f>
        <v/>
      </c>
      <c r="BI5">
        <f>BDS("PRK US Equity","SUPPLY_CHAIN_SUPPLIERS","RELATIONSHIP_AS_OF_DATE","20060914")</f>
        <v/>
      </c>
      <c r="BN5">
        <f>BDS("PRK US Equity","SUPPLY_CHAIN_CUSTOMERS","RELATIONSHIP_AS_OF_DATE","20060914")</f>
        <v/>
      </c>
      <c r="BS5">
        <f>BDS("MAFB US Equity","SUPPLY_CHAIN_SUPPLIERS","RELATIONSHIP_AS_OF_DATE","20050630")</f>
        <v/>
      </c>
      <c r="BX5">
        <f>BDS("MAFB US Equity","SUPPLY_CHAIN_CUSTOMERS","RELATIONSHIP_AS_OF_DATE","20050630")</f>
        <v/>
      </c>
      <c r="CC5">
        <f>BDS("HNBC US Equity","SUPPLY_CHAIN_SUPPLIERS","RELATIONSHIP_AS_OF_DATE","20080521")</f>
        <v/>
      </c>
      <c r="CH5">
        <f>BDS("HNBC US Equity","SUPPLY_CHAIN_CUSTOMERS","RELATIONSHIP_AS_OF_DATE","20080521")</f>
        <v/>
      </c>
      <c r="CM5">
        <f>BDS("FBNC US Equity","SUPPLY_CHAIN_SUPPLIERS","RELATIONSHIP_AS_OF_DATE","20170501")</f>
        <v/>
      </c>
      <c r="CR5">
        <f>BDS("FBNC US Equity","SUPPLY_CHAIN_CUSTOMERS","RELATIONSHIP_AS_OF_DATE","20170501")</f>
        <v/>
      </c>
      <c r="CW5">
        <f>BDS("8184843Q US Equity","SUPPLY_CHAIN_SUPPLIERS","RELATIONSHIP_AS_OF_DATE","20060216")</f>
        <v/>
      </c>
      <c r="DB5">
        <f>BDS("8184843Q US Equity","SUPPLY_CHAIN_CUSTOMERS","RELATIONSHIP_AS_OF_DATE","20060216")</f>
        <v/>
      </c>
      <c r="DG5">
        <f>BDS("8206908Q US Equity","SUPPLY_CHAIN_SUPPLIERS","RELATIONSHIP_AS_OF_DATE","19980706")</f>
        <v/>
      </c>
      <c r="DL5">
        <f>BDS("8206908Q US Equity","SUPPLY_CHAIN_CUSTOMERS","RELATIONSHIP_AS_OF_DATE","19980706")</f>
        <v/>
      </c>
      <c r="DQ5">
        <f>BDS("1492800D US Equity","SUPPLY_CHAIN_SUPPLIERS","RELATIONSHIP_AS_OF_DATE","20070125")</f>
        <v/>
      </c>
      <c r="DV5">
        <f>BDS("1492800D US Equity","SUPPLY_CHAIN_CUSTOMERS","RELATIONSHIP_AS_OF_DATE","20070125")</f>
        <v/>
      </c>
      <c r="EA5">
        <f>BDS("FBF US Equity","SUPPLY_CHAIN_SUPPLIERS","RELATIONSHIP_AS_OF_DATE","20030828")</f>
        <v/>
      </c>
      <c r="EF5">
        <f>BDS("FBF US Equity","SUPPLY_CHAIN_CUSTOMERS","RELATIONSHIP_AS_OF_DATE","20030828")</f>
        <v/>
      </c>
      <c r="EK5">
        <f>BDS("1916526D US Equity","SUPPLY_CHAIN_SUPPLIERS","RELATIONSHIP_AS_OF_DATE","20061101")</f>
        <v/>
      </c>
      <c r="EP5">
        <f>BDS("1916526D US Equity","SUPPLY_CHAIN_CUSTOMERS","RELATIONSHIP_AS_OF_DATE","20061101")</f>
        <v/>
      </c>
      <c r="EU5">
        <f>BDS("2370058D US Equity","SUPPLY_CHAIN_SUPPLIERS","RELATIONSHIP_AS_OF_DATE","20071102")</f>
        <v/>
      </c>
      <c r="EZ5">
        <f>BDS("2370058D US Equity","SUPPLY_CHAIN_CUSTOMERS","RELATIONSHIP_AS_OF_DATE","20071102")</f>
        <v/>
      </c>
      <c r="FE5">
        <f>BDS("SUSQ US Equity","SUPPLY_CHAIN_SUPPLIERS","RELATIONSHIP_AS_OF_DATE","20051114")</f>
        <v/>
      </c>
      <c r="FJ5">
        <f>BDS("SUSQ US Equity","SUPPLY_CHAIN_CUSTOMERS","RELATIONSHIP_AS_OF_DATE","20051114")</f>
        <v/>
      </c>
      <c r="FO5">
        <f>BDS("WTNY US Equity","SUPPLY_CHAIN_SUPPLIERS","RELATIONSHIP_AS_OF_DATE","20080609")</f>
        <v/>
      </c>
      <c r="FT5">
        <f>BDS("WTNY US Equity","SUPPLY_CHAIN_CUSTOMERS","RELATIONSHIP_AS_OF_DATE","20080609")</f>
        <v/>
      </c>
      <c r="FY5">
        <f>BDS("GCO US Equity","SUPPLY_CHAIN_SUPPLIERS","RELATIONSHIP_AS_OF_DATE","20040205")</f>
        <v/>
      </c>
      <c r="GD5">
        <f>BDS("GCO US Equity","SUPPLY_CHAIN_CUSTOMERS","RELATIONSHIP_AS_OF_DATE","20040205")</f>
        <v/>
      </c>
      <c r="GI5">
        <f>BDS("540513Q US Equity","SUPPLY_CHAIN_SUPPLIERS","RELATIONSHIP_AS_OF_DATE","20010611")</f>
        <v/>
      </c>
      <c r="GN5">
        <f>BDS("540513Q US Equity","SUPPLY_CHAIN_CUSTOMERS","RELATIONSHIP_AS_OF_DATE","20010611")</f>
        <v/>
      </c>
      <c r="GS5">
        <f>BDS("1526901D US Equity","SUPPLY_CHAIN_SUPPLIERS","RELATIONSHIP_AS_OF_DATE","19990427")</f>
        <v/>
      </c>
      <c r="GX5">
        <f>BDS("1526901D US Equity","SUPPLY_CHAIN_CUSTOMERS","RELATIONSHIP_AS_OF_DATE","19990427")</f>
        <v/>
      </c>
      <c r="HC5">
        <f>BDS("3423152Q US Equity","SUPPLY_CHAIN_SUPPLIERS","RELATIONSHIP_AS_OF_DATE","20010523")</f>
        <v/>
      </c>
      <c r="HH5">
        <f>BDS("3423152Q US Equity","SUPPLY_CHAIN_CUSTOMERS","RELATIONSHIP_AS_OF_DATE","20010523")</f>
        <v/>
      </c>
      <c r="HM5">
        <f>BDS("FITB US Equity","SUPPLY_CHAIN_SUPPLIERS","RELATIONSHIP_AS_OF_DATE","20000831")</f>
        <v/>
      </c>
      <c r="HR5">
        <f>BDS("FITB US Equity","SUPPLY_CHAIN_CUSTOMERS","RELATIONSHIP_AS_OF_DATE","20000831")</f>
        <v/>
      </c>
      <c r="HW5">
        <f>BDS("CTXS US Equity","SUPPLY_CHAIN_SUPPLIERS","RELATIONSHIP_AS_OF_DATE","20010321")</f>
        <v/>
      </c>
      <c r="IB5">
        <f>BDS("CTXS US Equity","SUPPLY_CHAIN_CUSTOMERS","RELATIONSHIP_AS_OF_DATE","20010321")</f>
        <v/>
      </c>
      <c r="IG5">
        <f>BDS("HOUS US Equity","SUPPLY_CHAIN_SUPPLIERS","RELATIONSHIP_AS_OF_DATE","20140715")</f>
        <v/>
      </c>
      <c r="IL5">
        <f>BDS("HOUS US Equity","SUPPLY_CHAIN_CUSTOMERS","RELATIONSHIP_AS_OF_DATE","20140715")</f>
        <v/>
      </c>
      <c r="IQ5">
        <f>BDS("1523873D US Equity","SUPPLY_CHAIN_SUPPLIERS","RELATIONSHIP_AS_OF_DATE","20010910")</f>
        <v/>
      </c>
      <c r="IV5">
        <f>BDS("1523873D US Equity","SUPPLY_CHAIN_CUSTOMERS","RELATIONSHIP_AS_OF_DATE","20010910")</f>
        <v/>
      </c>
      <c r="JA5">
        <f>BDS("FLG US Equity","SUPPLY_CHAIN_SUPPLIERS","RELATIONSHIP_AS_OF_DATE","20070513")</f>
        <v/>
      </c>
      <c r="JF5">
        <f>BDS("FLG US Equity","SUPPLY_CHAIN_CUSTOMERS","RELATIONSHIP_AS_OF_DATE","20070513")</f>
        <v/>
      </c>
      <c r="JK5">
        <f>BDS("390297Q US Equity","SUPPLY_CHAIN_SUPPLIERS","RELATIONSHIP_AS_OF_DATE","19980508")</f>
        <v/>
      </c>
      <c r="JP5">
        <f>BDS("390297Q US Equity","SUPPLY_CHAIN_CUSTOMERS","RELATIONSHIP_AS_OF_DATE","19980508")</f>
        <v/>
      </c>
      <c r="JU5">
        <f>BDS("MXL US Equity","SUPPLY_CHAIN_SUPPLIERS","RELATIONSHIP_AS_OF_DATE","20150203")</f>
        <v/>
      </c>
      <c r="JZ5">
        <f>BDS("MXL US Equity","SUPPLY_CHAIN_CUSTOMERS","RELATIONSHIP_AS_OF_DATE","20150203")</f>
        <v/>
      </c>
      <c r="KE5">
        <f>BDS("RYZ US Equity","SUPPLY_CHAIN_SUPPLIERS","RELATIONSHIP_AS_OF_DATE","20180605")</f>
        <v/>
      </c>
      <c r="KJ5">
        <f>BDS("RYZ US Equity","SUPPLY_CHAIN_CUSTOMERS","RELATIONSHIP_AS_OF_DATE","20180605")</f>
        <v/>
      </c>
      <c r="KO5">
        <f>BDS("TIPTL US Equity","SUPPLY_CHAIN_SUPPLIERS","RELATIONSHIP_AS_OF_DATE","20100316")</f>
        <v/>
      </c>
      <c r="KT5">
        <f>BDS("TIPTL US Equity","SUPPLY_CHAIN_CUSTOMERS","RELATIONSHIP_AS_OF_DATE","20100316")</f>
        <v/>
      </c>
      <c r="KY5">
        <f>BDS("OLN US Equity","SUPPLY_CHAIN_SUPPLIERS","RELATIONSHIP_AS_OF_DATE","20020508")</f>
        <v/>
      </c>
      <c r="LD5">
        <f>BDS("OLN US Equity","SUPPLY_CHAIN_CUSTOMERS","RELATIONSHIP_AS_OF_DATE","20020508")</f>
        <v/>
      </c>
      <c r="LI5">
        <f>BDS("BBDC US Equity","SUPPLY_CHAIN_SUPPLIERS","RELATIONSHIP_AS_OF_DATE","20200810")</f>
        <v/>
      </c>
      <c r="LN5">
        <f>BDS("BBDC US Equity","SUPPLY_CHAIN_CUSTOMERS","RELATIONSHIP_AS_OF_DATE","20200810")</f>
        <v/>
      </c>
      <c r="LS5">
        <f>BDS("OCFC US Equity","SUPPLY_CHAIN_SUPPLIERS","RELATIONSHIP_AS_OF_DATE","20190809")</f>
        <v/>
      </c>
      <c r="LX5">
        <f>BDS("OCFC US Equity","SUPPLY_CHAIN_CUSTOMERS","RELATIONSHIP_AS_OF_DATE","20190809")</f>
        <v/>
      </c>
      <c r="MC5">
        <f>BDS("BTFG US Equity","SUPPLY_CHAIN_SUPPLIERS","RELATIONSHIP_AS_OF_DATE","20070522")</f>
        <v/>
      </c>
      <c r="MH5">
        <f>BDS("BTFG US Equity","SUPPLY_CHAIN_CUSTOMERS","RELATIONSHIP_AS_OF_DATE","20070522")</f>
        <v/>
      </c>
      <c r="MM5">
        <f>BDS("SWKS US Equity","SUPPLY_CHAIN_SUPPLIERS","RELATIONSHIP_AS_OF_DATE","20110126")</f>
        <v/>
      </c>
      <c r="MR5">
        <f>BDS("SWKS US Equity","SUPPLY_CHAIN_CUSTOMERS","RELATIONSHIP_AS_OF_DATE","20110126")</f>
        <v/>
      </c>
      <c r="MW5">
        <f>BDS("1740293D US Equity","SUPPLY_CHAIN_SUPPLIERS","RELATIONSHIP_AS_OF_DATE","20060605")</f>
        <v/>
      </c>
      <c r="NB5">
        <f>BDS("1740293D US Equity","SUPPLY_CHAIN_CUSTOMERS","RELATIONSHIP_AS_OF_DATE","20060605")</f>
        <v/>
      </c>
      <c r="NG5">
        <f>BDS("ALTR US Equity","SUPPLY_CHAIN_SUPPLIERS","RELATIONSHIP_AS_OF_DATE","20181105")</f>
        <v/>
      </c>
      <c r="NL5">
        <f>BDS("ALTR US Equity","SUPPLY_CHAIN_CUSTOMERS","RELATIONSHIP_AS_OF_DATE","20181105")</f>
        <v/>
      </c>
      <c r="NQ5">
        <f>BDS("0948669D US Equity","SUPPLY_CHAIN_SUPPLIERS","RELATIONSHIP_AS_OF_DATE","19991103")</f>
        <v/>
      </c>
      <c r="NV5">
        <f>BDS("0948669D US Equity","SUPPLY_CHAIN_CUSTOMERS","RELATIONSHIP_AS_OF_DATE","19991103")</f>
        <v/>
      </c>
      <c r="OA5">
        <f>BDS("NBR US Equity","SUPPLY_CHAIN_SUPPLIERS","RELATIONSHIP_AS_OF_DATE","20170814")</f>
        <v/>
      </c>
      <c r="OF5">
        <f>BDS("NBR US Equity","SUPPLY_CHAIN_CUSTOMERS","RELATIONSHIP_AS_OF_DATE","20170814")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2921</t>
        </is>
      </c>
      <c r="K1" s="1" t="inlineStr">
        <is>
          <t>Deal 2922</t>
        </is>
      </c>
      <c r="U1" s="1" t="inlineStr">
        <is>
          <t>Deal 2923</t>
        </is>
      </c>
      <c r="AE1" s="1" t="inlineStr">
        <is>
          <t>Deal 2924</t>
        </is>
      </c>
      <c r="AO1" s="1" t="inlineStr">
        <is>
          <t>Deal 2925</t>
        </is>
      </c>
      <c r="AY1" s="1" t="inlineStr">
        <is>
          <t>Deal 2926</t>
        </is>
      </c>
      <c r="BI1" s="1" t="inlineStr">
        <is>
          <t>Deal 2927</t>
        </is>
      </c>
      <c r="BS1" s="1" t="inlineStr">
        <is>
          <t>Deal 2928</t>
        </is>
      </c>
      <c r="CC1" s="1" t="inlineStr">
        <is>
          <t>Deal 2929</t>
        </is>
      </c>
      <c r="CM1" s="1" t="inlineStr">
        <is>
          <t>Deal 2930</t>
        </is>
      </c>
      <c r="CW1" s="1" t="inlineStr">
        <is>
          <t>Deal 2931</t>
        </is>
      </c>
      <c r="DG1" s="1" t="inlineStr">
        <is>
          <t>Deal 2932</t>
        </is>
      </c>
      <c r="DQ1" s="1" t="inlineStr">
        <is>
          <t>Deal 2933</t>
        </is>
      </c>
      <c r="EA1" s="1" t="inlineStr">
        <is>
          <t>Deal 2934</t>
        </is>
      </c>
      <c r="EK1" s="1" t="inlineStr">
        <is>
          <t>Deal 2935</t>
        </is>
      </c>
      <c r="EU1" s="1" t="inlineStr">
        <is>
          <t>Deal 2936</t>
        </is>
      </c>
      <c r="FE1" s="1" t="inlineStr">
        <is>
          <t>Deal 2937</t>
        </is>
      </c>
      <c r="FO1" s="1" t="inlineStr">
        <is>
          <t>Deal 2938</t>
        </is>
      </c>
      <c r="FY1" s="1" t="inlineStr">
        <is>
          <t>Deal 2939</t>
        </is>
      </c>
      <c r="GI1" s="1" t="inlineStr">
        <is>
          <t>Deal 2940</t>
        </is>
      </c>
      <c r="GS1" s="1" t="inlineStr">
        <is>
          <t>Deal 2941</t>
        </is>
      </c>
      <c r="HC1" s="1" t="inlineStr">
        <is>
          <t>Deal 2942</t>
        </is>
      </c>
      <c r="HM1" s="1" t="inlineStr">
        <is>
          <t>Deal 2943</t>
        </is>
      </c>
      <c r="HW1" s="1" t="inlineStr">
        <is>
          <t>Deal 2944</t>
        </is>
      </c>
      <c r="IG1" s="1" t="inlineStr">
        <is>
          <t>Deal 2945</t>
        </is>
      </c>
      <c r="IQ1" s="1" t="inlineStr">
        <is>
          <t>Deal 2946</t>
        </is>
      </c>
      <c r="JA1" s="1" t="inlineStr">
        <is>
          <t>Deal 2947</t>
        </is>
      </c>
      <c r="JK1" s="1" t="inlineStr">
        <is>
          <t>Deal 2948</t>
        </is>
      </c>
      <c r="JU1" s="1" t="inlineStr">
        <is>
          <t>Deal 2949</t>
        </is>
      </c>
      <c r="KE1" s="1" t="inlineStr">
        <is>
          <t>Deal 2950</t>
        </is>
      </c>
      <c r="KO1" s="1" t="inlineStr">
        <is>
          <t>Deal 2951</t>
        </is>
      </c>
      <c r="KY1" s="1" t="inlineStr">
        <is>
          <t>Deal 2952</t>
        </is>
      </c>
      <c r="LI1" s="1" t="inlineStr">
        <is>
          <t>Deal 2953</t>
        </is>
      </c>
      <c r="LS1" s="1" t="inlineStr">
        <is>
          <t>Deal 2954</t>
        </is>
      </c>
      <c r="MC1" s="1" t="inlineStr">
        <is>
          <t>Deal 2955</t>
        </is>
      </c>
      <c r="MM1" s="1" t="inlineStr">
        <is>
          <t>Deal 2956</t>
        </is>
      </c>
      <c r="MW1" s="1" t="inlineStr">
        <is>
          <t>Deal 2957</t>
        </is>
      </c>
      <c r="NG1" s="1" t="inlineStr">
        <is>
          <t>Deal 2958</t>
        </is>
      </c>
      <c r="NQ1" s="1" t="inlineStr">
        <is>
          <t>Deal 2959</t>
        </is>
      </c>
      <c r="OA1" s="1" t="inlineStr">
        <is>
          <t>Deal 2960</t>
        </is>
      </c>
    </row>
    <row r="2">
      <c r="A2" s="2" t="inlineStr">
        <is>
          <t>CG US Equity</t>
        </is>
      </c>
      <c r="K2" s="2" t="inlineStr">
        <is>
          <t>SNPS US Equity</t>
        </is>
      </c>
      <c r="U2" s="2" t="inlineStr">
        <is>
          <t>1718309D US Equity</t>
        </is>
      </c>
      <c r="AE2" s="2" t="inlineStr">
        <is>
          <t>2537769D US Equity</t>
        </is>
      </c>
      <c r="AO2" s="2" t="inlineStr">
        <is>
          <t>F US Equity</t>
        </is>
      </c>
      <c r="AY2" s="2" t="inlineStr">
        <is>
          <t>ITXG US Equity</t>
        </is>
      </c>
      <c r="BI2" s="2" t="inlineStr">
        <is>
          <t>MBWM US Equity</t>
        </is>
      </c>
      <c r="BS2" s="2" t="inlineStr">
        <is>
          <t>BOOT IN Equity</t>
        </is>
      </c>
      <c r="CC2" s="2" t="inlineStr">
        <is>
          <t>PRGO US Equity</t>
        </is>
      </c>
      <c r="CM2" s="2" t="inlineStr">
        <is>
          <t>SUG US Equity</t>
        </is>
      </c>
      <c r="CW2" s="2" t="inlineStr">
        <is>
          <t>PFIS US Equity</t>
        </is>
      </c>
      <c r="DG2" s="2" t="inlineStr">
        <is>
          <t>WYPT US Equity</t>
        </is>
      </c>
      <c r="DQ2" s="2" t="inlineStr">
        <is>
          <t>TTN US Equity</t>
        </is>
      </c>
      <c r="EA2" s="2" t="inlineStr">
        <is>
          <t>2724037Q US Equity</t>
        </is>
      </c>
      <c r="EK2" s="2" t="inlineStr">
        <is>
          <t>BRBS US Equity</t>
        </is>
      </c>
      <c r="EU2" s="2" t="inlineStr">
        <is>
          <t>CAR US Equity</t>
        </is>
      </c>
      <c r="FE2" s="2" t="inlineStr">
        <is>
          <t>CECO US Equity</t>
        </is>
      </c>
      <c r="FO2" s="2" t="inlineStr">
        <is>
          <t>RLJE US Equity</t>
        </is>
      </c>
      <c r="FY2" s="2" t="inlineStr">
        <is>
          <t>RPR US Equity</t>
        </is>
      </c>
      <c r="GI2" s="2" t="inlineStr">
        <is>
          <t>2674129Q US Equity</t>
        </is>
      </c>
      <c r="GS2" s="2" t="inlineStr">
        <is>
          <t>BHC CN Equity</t>
        </is>
      </c>
      <c r="HC2" s="2" t="inlineStr">
        <is>
          <t>NL US Equity</t>
        </is>
      </c>
      <c r="HM2" s="2" t="inlineStr">
        <is>
          <t>VLY US Equity</t>
        </is>
      </c>
      <c r="HW2" s="2" t="inlineStr">
        <is>
          <t>CXW US Equity</t>
        </is>
      </c>
      <c r="IG2" s="2" t="inlineStr">
        <is>
          <t>540513Q US Equity</t>
        </is>
      </c>
      <c r="IQ2" s="2" t="inlineStr">
        <is>
          <t>BKS US Equity</t>
        </is>
      </c>
      <c r="JA2" s="2" t="inlineStr">
        <is>
          <t>IART US Equity</t>
        </is>
      </c>
      <c r="JK2" s="2" t="inlineStr">
        <is>
          <t>SNV US Equity</t>
        </is>
      </c>
      <c r="JU2" s="2" t="inlineStr">
        <is>
          <t>MTRM US Equity</t>
        </is>
      </c>
      <c r="KE2" s="2" t="inlineStr">
        <is>
          <t>ACTA US Equity</t>
        </is>
      </c>
      <c r="KO2" s="2" t="inlineStr">
        <is>
          <t>REGN US Equity</t>
        </is>
      </c>
      <c r="KY2" s="2" t="inlineStr">
        <is>
          <t>HSH US Equity</t>
        </is>
      </c>
      <c r="LI2" s="2" t="inlineStr">
        <is>
          <t>14394Z US Equity</t>
        </is>
      </c>
      <c r="LS2" s="2" t="inlineStr">
        <is>
          <t>9749933D US Equity</t>
        </is>
      </c>
      <c r="MC2" s="2" t="inlineStr">
        <is>
          <t>PFE US Equity</t>
        </is>
      </c>
      <c r="MM2" s="2" t="inlineStr">
        <is>
          <t>ORCL US Equity</t>
        </is>
      </c>
      <c r="MW2" s="2" t="inlineStr">
        <is>
          <t>MENT US Equity</t>
        </is>
      </c>
      <c r="NG2" s="2" t="inlineStr">
        <is>
          <t>SWKH US Equity</t>
        </is>
      </c>
      <c r="NQ2" s="2" t="inlineStr">
        <is>
          <t>GVCM US Equity</t>
        </is>
      </c>
      <c r="OA2" s="2" t="inlineStr">
        <is>
          <t>ORCL US Equity</t>
        </is>
      </c>
    </row>
    <row r="3">
      <c r="A3" t="inlineStr">
        <is>
          <t>Ann: 1999-05-27</t>
        </is>
      </c>
      <c r="K3" t="inlineStr">
        <is>
          <t>Ann: 2003-01-13</t>
        </is>
      </c>
      <c r="U3" t="inlineStr">
        <is>
          <t>Ann: 1998-02-19</t>
        </is>
      </c>
      <c r="AE3" t="inlineStr">
        <is>
          <t>Ann: 2009-09-08</t>
        </is>
      </c>
      <c r="AO3" t="inlineStr">
        <is>
          <t>Ann: 1999-06-10</t>
        </is>
      </c>
      <c r="AY3" t="inlineStr">
        <is>
          <t>Ann: 1998-01-15</t>
        </is>
      </c>
      <c r="BI3" t="inlineStr">
        <is>
          <t>Ann: 2013-08-15</t>
        </is>
      </c>
      <c r="BS3" t="inlineStr">
        <is>
          <t>Ann: 2010-11-24</t>
        </is>
      </c>
      <c r="CC3" t="inlineStr">
        <is>
          <t>Ann: 2013-02-01</t>
        </is>
      </c>
      <c r="CM3" t="inlineStr">
        <is>
          <t>Ann: 1999-12-01</t>
        </is>
      </c>
      <c r="CW3" t="inlineStr">
        <is>
          <t>Ann: 2013-06-28</t>
        </is>
      </c>
      <c r="DG3" t="inlineStr">
        <is>
          <t>Ann: 2000-03-28</t>
        </is>
      </c>
      <c r="DQ3" t="inlineStr">
        <is>
          <t>Ann: 2001-09-20</t>
        </is>
      </c>
      <c r="EA3" t="inlineStr">
        <is>
          <t>Ann: 1998-06-01</t>
        </is>
      </c>
      <c r="EK3" t="inlineStr">
        <is>
          <t>Ann: 2020-08-13</t>
        </is>
      </c>
      <c r="EU3" t="inlineStr">
        <is>
          <t>Ann: 2001-12-17</t>
        </is>
      </c>
      <c r="FE3" t="inlineStr">
        <is>
          <t>Ann: 2013-04-22</t>
        </is>
      </c>
      <c r="FO3" t="inlineStr">
        <is>
          <t>Ann: 2012-04-02</t>
        </is>
      </c>
      <c r="FY3" t="inlineStr">
        <is>
          <t>Ann: 1995-11-22</t>
        </is>
      </c>
      <c r="GI3" t="inlineStr">
        <is>
          <t>Ann: 2002-05-07</t>
        </is>
      </c>
      <c r="GS3" t="inlineStr">
        <is>
          <t>Ann: 2015-09-02</t>
        </is>
      </c>
      <c r="HC3" t="inlineStr">
        <is>
          <t>Ann: 2004-09-24</t>
        </is>
      </c>
      <c r="HM3" t="inlineStr">
        <is>
          <t>Ann: 2008-03-19</t>
        </is>
      </c>
      <c r="HW3" t="inlineStr">
        <is>
          <t>Ann: 2015-10-29</t>
        </is>
      </c>
      <c r="IG3" t="inlineStr">
        <is>
          <t>Ann: 2002-04-11</t>
        </is>
      </c>
      <c r="IQ3" t="inlineStr">
        <is>
          <t>Ann: 2000-04-06</t>
        </is>
      </c>
      <c r="JA3" t="inlineStr">
        <is>
          <t>Ann: 2017-01-10</t>
        </is>
      </c>
      <c r="JK3" t="inlineStr">
        <is>
          <t>Ann: 2005-09-06</t>
        </is>
      </c>
      <c r="JU3" t="inlineStr">
        <is>
          <t>Ann: 1999-05-18</t>
        </is>
      </c>
      <c r="KE3" t="inlineStr">
        <is>
          <t>Ann: 2000-09-05</t>
        </is>
      </c>
      <c r="KO3" t="inlineStr">
        <is>
          <t>Ann: 2022-04-19</t>
        </is>
      </c>
      <c r="KY3" t="inlineStr">
        <is>
          <t>Ann: 1999-06-08</t>
        </is>
      </c>
      <c r="LI3" t="inlineStr">
        <is>
          <t>Ann: 1997-12-18</t>
        </is>
      </c>
      <c r="LS3" t="inlineStr">
        <is>
          <t>Ann: 2016-06-27</t>
        </is>
      </c>
      <c r="MC3" t="inlineStr">
        <is>
          <t>Ann: 2006-11-15</t>
        </is>
      </c>
      <c r="MM3" t="inlineStr">
        <is>
          <t>Ann: 2006-10-23</t>
        </is>
      </c>
      <c r="MW3" t="inlineStr">
        <is>
          <t>Ann: 2002-04-23</t>
        </is>
      </c>
      <c r="NG3" t="inlineStr">
        <is>
          <t>Ann: 2001-04-09</t>
        </is>
      </c>
      <c r="NQ3" t="inlineStr">
        <is>
          <t>Ann: 2006-09-06</t>
        </is>
      </c>
      <c r="OA3" t="inlineStr">
        <is>
          <t>Ann: 2006-04-12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BDS("CG US Equity","SUPPLY_CHAIN_SUPPLIERS","RELATIONSHIP_AS_OF_DATE","19990527")</f>
        <v/>
      </c>
      <c r="F5">
        <f>BDS("CG US Equity","SUPPLY_CHAIN_CUSTOMERS","RELATIONSHIP_AS_OF_DATE","19990527")</f>
        <v/>
      </c>
      <c r="K5">
        <f>BDS("SNPS US Equity","SUPPLY_CHAIN_SUPPLIERS","RELATIONSHIP_AS_OF_DATE","20030113")</f>
        <v/>
      </c>
      <c r="P5">
        <f>BDS("SNPS US Equity","SUPPLY_CHAIN_CUSTOMERS","RELATIONSHIP_AS_OF_DATE","20030113")</f>
        <v/>
      </c>
      <c r="U5">
        <f>BDS("1718309D US Equity","SUPPLY_CHAIN_SUPPLIERS","RELATIONSHIP_AS_OF_DATE","19980219")</f>
        <v/>
      </c>
      <c r="Z5">
        <f>BDS("1718309D US Equity","SUPPLY_CHAIN_CUSTOMERS","RELATIONSHIP_AS_OF_DATE","19980219")</f>
        <v/>
      </c>
      <c r="AE5">
        <f>BDS("2537769D US Equity","SUPPLY_CHAIN_SUPPLIERS","RELATIONSHIP_AS_OF_DATE","20090908")</f>
        <v/>
      </c>
      <c r="AJ5">
        <f>BDS("2537769D US Equity","SUPPLY_CHAIN_CUSTOMERS","RELATIONSHIP_AS_OF_DATE","20090908")</f>
        <v/>
      </c>
      <c r="AO5">
        <f>BDS("F US Equity","SUPPLY_CHAIN_SUPPLIERS","RELATIONSHIP_AS_OF_DATE","19990610")</f>
        <v/>
      </c>
      <c r="AT5">
        <f>BDS("F US Equity","SUPPLY_CHAIN_CUSTOMERS","RELATIONSHIP_AS_OF_DATE","19990610")</f>
        <v/>
      </c>
      <c r="AY5">
        <f>BDS("ITXG US Equity","SUPPLY_CHAIN_SUPPLIERS","RELATIONSHIP_AS_OF_DATE","19980115")</f>
        <v/>
      </c>
      <c r="BD5">
        <f>BDS("ITXG US Equity","SUPPLY_CHAIN_CUSTOMERS","RELATIONSHIP_AS_OF_DATE","19980115")</f>
        <v/>
      </c>
      <c r="BI5">
        <f>BDS("MBWM US Equity","SUPPLY_CHAIN_SUPPLIERS","RELATIONSHIP_AS_OF_DATE","20130815")</f>
        <v/>
      </c>
      <c r="BN5">
        <f>BDS("MBWM US Equity","SUPPLY_CHAIN_CUSTOMERS","RELATIONSHIP_AS_OF_DATE","20130815")</f>
        <v/>
      </c>
      <c r="BS5">
        <f>BDS("BOOT IN Equity","SUPPLY_CHAIN_SUPPLIERS","RELATIONSHIP_AS_OF_DATE","20101124")</f>
        <v/>
      </c>
      <c r="BX5">
        <f>BDS("BOOT IN Equity","SUPPLY_CHAIN_CUSTOMERS","RELATIONSHIP_AS_OF_DATE","20101124")</f>
        <v/>
      </c>
      <c r="CC5">
        <f>BDS("PRGO US Equity","SUPPLY_CHAIN_SUPPLIERS","RELATIONSHIP_AS_OF_DATE","20130201")</f>
        <v/>
      </c>
      <c r="CH5">
        <f>BDS("PRGO US Equity","SUPPLY_CHAIN_CUSTOMERS","RELATIONSHIP_AS_OF_DATE","20130201")</f>
        <v/>
      </c>
      <c r="CM5">
        <f>BDS("SUG US Equity","SUPPLY_CHAIN_SUPPLIERS","RELATIONSHIP_AS_OF_DATE","19991201")</f>
        <v/>
      </c>
      <c r="CR5">
        <f>BDS("SUG US Equity","SUPPLY_CHAIN_CUSTOMERS","RELATIONSHIP_AS_OF_DATE","19991201")</f>
        <v/>
      </c>
      <c r="CW5">
        <f>BDS("PFIS US Equity","SUPPLY_CHAIN_SUPPLIERS","RELATIONSHIP_AS_OF_DATE","20130628")</f>
        <v/>
      </c>
      <c r="DB5">
        <f>BDS("PFIS US Equity","SUPPLY_CHAIN_CUSTOMERS","RELATIONSHIP_AS_OF_DATE","20130628")</f>
        <v/>
      </c>
      <c r="DG5">
        <f>BDS("WYPT US Equity","SUPPLY_CHAIN_SUPPLIERS","RELATIONSHIP_AS_OF_DATE","20000328")</f>
        <v/>
      </c>
      <c r="DL5">
        <f>BDS("WYPT US Equity","SUPPLY_CHAIN_CUSTOMERS","RELATIONSHIP_AS_OF_DATE","20000328")</f>
        <v/>
      </c>
      <c r="DQ5">
        <f>BDS("TTN US Equity","SUPPLY_CHAIN_SUPPLIERS","RELATIONSHIP_AS_OF_DATE","20010920")</f>
        <v/>
      </c>
      <c r="DV5">
        <f>BDS("TTN US Equity","SUPPLY_CHAIN_CUSTOMERS","RELATIONSHIP_AS_OF_DATE","20010920")</f>
        <v/>
      </c>
      <c r="EA5">
        <f>BDS("2724037Q US Equity","SUPPLY_CHAIN_SUPPLIERS","RELATIONSHIP_AS_OF_DATE","19980601")</f>
        <v/>
      </c>
      <c r="EF5">
        <f>BDS("2724037Q US Equity","SUPPLY_CHAIN_CUSTOMERS","RELATIONSHIP_AS_OF_DATE","19980601")</f>
        <v/>
      </c>
      <c r="EK5">
        <f>BDS("BRBS US Equity","SUPPLY_CHAIN_SUPPLIERS","RELATIONSHIP_AS_OF_DATE","20200813")</f>
        <v/>
      </c>
      <c r="EP5">
        <f>BDS("BRBS US Equity","SUPPLY_CHAIN_CUSTOMERS","RELATIONSHIP_AS_OF_DATE","20200813")</f>
        <v/>
      </c>
      <c r="EU5">
        <f>BDS("CAR US Equity","SUPPLY_CHAIN_SUPPLIERS","RELATIONSHIP_AS_OF_DATE","20011217")</f>
        <v/>
      </c>
      <c r="EZ5">
        <f>BDS("CAR US Equity","SUPPLY_CHAIN_CUSTOMERS","RELATIONSHIP_AS_OF_DATE","20011217")</f>
        <v/>
      </c>
      <c r="FE5">
        <f>BDS("CECO US Equity","SUPPLY_CHAIN_SUPPLIERS","RELATIONSHIP_AS_OF_DATE","20130422")</f>
        <v/>
      </c>
      <c r="FJ5">
        <f>BDS("CECO US Equity","SUPPLY_CHAIN_CUSTOMERS","RELATIONSHIP_AS_OF_DATE","20130422")</f>
        <v/>
      </c>
      <c r="FO5">
        <f>BDS("RLJE US Equity","SUPPLY_CHAIN_SUPPLIERS","RELATIONSHIP_AS_OF_DATE","20120402")</f>
        <v/>
      </c>
      <c r="FT5">
        <f>BDS("RLJE US Equity","SUPPLY_CHAIN_CUSTOMERS","RELATIONSHIP_AS_OF_DATE","20120402")</f>
        <v/>
      </c>
      <c r="FY5">
        <f>BDS("RPR US Equity","SUPPLY_CHAIN_SUPPLIERS","RELATIONSHIP_AS_OF_DATE","19951122")</f>
        <v/>
      </c>
      <c r="GD5">
        <f>BDS("RPR US Equity","SUPPLY_CHAIN_CUSTOMERS","RELATIONSHIP_AS_OF_DATE","19951122")</f>
        <v/>
      </c>
      <c r="GI5">
        <f>BDS("2674129Q US Equity","SUPPLY_CHAIN_SUPPLIERS","RELATIONSHIP_AS_OF_DATE","20020507")</f>
        <v/>
      </c>
      <c r="GN5">
        <f>BDS("2674129Q US Equity","SUPPLY_CHAIN_CUSTOMERS","RELATIONSHIP_AS_OF_DATE","20020507")</f>
        <v/>
      </c>
      <c r="GS5">
        <f>BDS("BHC CN Equity","SUPPLY_CHAIN_SUPPLIERS","RELATIONSHIP_AS_OF_DATE","20150902")</f>
        <v/>
      </c>
      <c r="GX5">
        <f>BDS("BHC CN Equity","SUPPLY_CHAIN_CUSTOMERS","RELATIONSHIP_AS_OF_DATE","20150902")</f>
        <v/>
      </c>
      <c r="HC5">
        <f>BDS("NL US Equity","SUPPLY_CHAIN_SUPPLIERS","RELATIONSHIP_AS_OF_DATE","20040924")</f>
        <v/>
      </c>
      <c r="HH5">
        <f>BDS("NL US Equity","SUPPLY_CHAIN_CUSTOMERS","RELATIONSHIP_AS_OF_DATE","20040924")</f>
        <v/>
      </c>
      <c r="HM5">
        <f>BDS("VLY US Equity","SUPPLY_CHAIN_SUPPLIERS","RELATIONSHIP_AS_OF_DATE","20080319")</f>
        <v/>
      </c>
      <c r="HR5">
        <f>BDS("VLY US Equity","SUPPLY_CHAIN_CUSTOMERS","RELATIONSHIP_AS_OF_DATE","20080319")</f>
        <v/>
      </c>
      <c r="HW5">
        <f>BDS("CXW US Equity","SUPPLY_CHAIN_SUPPLIERS","RELATIONSHIP_AS_OF_DATE","20151029")</f>
        <v/>
      </c>
      <c r="IB5">
        <f>BDS("CXW US Equity","SUPPLY_CHAIN_CUSTOMERS","RELATIONSHIP_AS_OF_DATE","20151029")</f>
        <v/>
      </c>
      <c r="IG5">
        <f>BDS("540513Q US Equity","SUPPLY_CHAIN_SUPPLIERS","RELATIONSHIP_AS_OF_DATE","20020411")</f>
        <v/>
      </c>
      <c r="IL5">
        <f>BDS("540513Q US Equity","SUPPLY_CHAIN_CUSTOMERS","RELATIONSHIP_AS_OF_DATE","20020411")</f>
        <v/>
      </c>
      <c r="IQ5">
        <f>BDS("BKS US Equity","SUPPLY_CHAIN_SUPPLIERS","RELATIONSHIP_AS_OF_DATE","20000406")</f>
        <v/>
      </c>
      <c r="IV5">
        <f>BDS("BKS US Equity","SUPPLY_CHAIN_CUSTOMERS","RELATIONSHIP_AS_OF_DATE","20000406")</f>
        <v/>
      </c>
      <c r="JA5">
        <f>BDS("IART US Equity","SUPPLY_CHAIN_SUPPLIERS","RELATIONSHIP_AS_OF_DATE","20170110")</f>
        <v/>
      </c>
      <c r="JF5">
        <f>BDS("IART US Equity","SUPPLY_CHAIN_CUSTOMERS","RELATIONSHIP_AS_OF_DATE","20170110")</f>
        <v/>
      </c>
      <c r="JK5">
        <f>BDS("SNV US Equity","SUPPLY_CHAIN_SUPPLIERS","RELATIONSHIP_AS_OF_DATE","20050906")</f>
        <v/>
      </c>
      <c r="JP5">
        <f>BDS("SNV US Equity","SUPPLY_CHAIN_CUSTOMERS","RELATIONSHIP_AS_OF_DATE","20050906")</f>
        <v/>
      </c>
      <c r="JU5">
        <f>BDS("MTRM US Equity","SUPPLY_CHAIN_SUPPLIERS","RELATIONSHIP_AS_OF_DATE","19990518")</f>
        <v/>
      </c>
      <c r="JZ5">
        <f>BDS("MTRM US Equity","SUPPLY_CHAIN_CUSTOMERS","RELATIONSHIP_AS_OF_DATE","19990518")</f>
        <v/>
      </c>
      <c r="KE5">
        <f>BDS("ACTA US Equity","SUPPLY_CHAIN_SUPPLIERS","RELATIONSHIP_AS_OF_DATE","20000905")</f>
        <v/>
      </c>
      <c r="KJ5">
        <f>BDS("ACTA US Equity","SUPPLY_CHAIN_CUSTOMERS","RELATIONSHIP_AS_OF_DATE","20000905")</f>
        <v/>
      </c>
      <c r="KO5">
        <f>BDS("REGN US Equity","SUPPLY_CHAIN_SUPPLIERS","RELATIONSHIP_AS_OF_DATE","20220419")</f>
        <v/>
      </c>
      <c r="KT5">
        <f>BDS("REGN US Equity","SUPPLY_CHAIN_CUSTOMERS","RELATIONSHIP_AS_OF_DATE","20220419")</f>
        <v/>
      </c>
      <c r="KY5">
        <f>BDS("HSH US Equity","SUPPLY_CHAIN_SUPPLIERS","RELATIONSHIP_AS_OF_DATE","19990608")</f>
        <v/>
      </c>
      <c r="LD5">
        <f>BDS("HSH US Equity","SUPPLY_CHAIN_CUSTOMERS","RELATIONSHIP_AS_OF_DATE","19990608")</f>
        <v/>
      </c>
      <c r="LI5">
        <f>BDS("14394Z US Equity","SUPPLY_CHAIN_SUPPLIERS","RELATIONSHIP_AS_OF_DATE","19971218")</f>
        <v/>
      </c>
      <c r="LN5">
        <f>BDS("14394Z US Equity","SUPPLY_CHAIN_CUSTOMERS","RELATIONSHIP_AS_OF_DATE","19971218")</f>
        <v/>
      </c>
      <c r="LS5">
        <f>BDS("9749933D US Equity","SUPPLY_CHAIN_SUPPLIERS","RELATIONSHIP_AS_OF_DATE","20160627")</f>
        <v/>
      </c>
      <c r="LX5">
        <f>BDS("9749933D US Equity","SUPPLY_CHAIN_CUSTOMERS","RELATIONSHIP_AS_OF_DATE","20160627")</f>
        <v/>
      </c>
      <c r="MC5">
        <f>BDS("PFE US Equity","SUPPLY_CHAIN_SUPPLIERS","RELATIONSHIP_AS_OF_DATE","20061115")</f>
        <v/>
      </c>
      <c r="MH5">
        <f>BDS("PFE US Equity","SUPPLY_CHAIN_CUSTOMERS","RELATIONSHIP_AS_OF_DATE","20061115")</f>
        <v/>
      </c>
      <c r="MM5">
        <f>BDS("ORCL US Equity","SUPPLY_CHAIN_SUPPLIERS","RELATIONSHIP_AS_OF_DATE","20061023")</f>
        <v/>
      </c>
      <c r="MR5">
        <f>BDS("ORCL US Equity","SUPPLY_CHAIN_CUSTOMERS","RELATIONSHIP_AS_OF_DATE","20061023")</f>
        <v/>
      </c>
      <c r="MW5">
        <f>BDS("MENT US Equity","SUPPLY_CHAIN_SUPPLIERS","RELATIONSHIP_AS_OF_DATE","20020423")</f>
        <v/>
      </c>
      <c r="NB5">
        <f>BDS("MENT US Equity","SUPPLY_CHAIN_CUSTOMERS","RELATIONSHIP_AS_OF_DATE","20020423")</f>
        <v/>
      </c>
      <c r="NG5">
        <f>BDS("SWKH US Equity","SUPPLY_CHAIN_SUPPLIERS","RELATIONSHIP_AS_OF_DATE","20010409")</f>
        <v/>
      </c>
      <c r="NL5">
        <f>BDS("SWKH US Equity","SUPPLY_CHAIN_CUSTOMERS","RELATIONSHIP_AS_OF_DATE","20010409")</f>
        <v/>
      </c>
      <c r="NQ5">
        <f>BDS("GVCM US Equity","SUPPLY_CHAIN_SUPPLIERS","RELATIONSHIP_AS_OF_DATE","20060906")</f>
        <v/>
      </c>
      <c r="NV5">
        <f>BDS("GVCM US Equity","SUPPLY_CHAIN_CUSTOMERS","RELATIONSHIP_AS_OF_DATE","20060906")</f>
        <v/>
      </c>
      <c r="OA5">
        <f>BDS("ORCL US Equity","SUPPLY_CHAIN_SUPPLIERS","RELATIONSHIP_AS_OF_DATE","20060412")</f>
        <v/>
      </c>
      <c r="OF5">
        <f>BDS("ORCL US Equity","SUPPLY_CHAIN_CUSTOMERS","RELATIONSHIP_AS_OF_DATE","20060412")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2961</t>
        </is>
      </c>
      <c r="K1" s="1" t="inlineStr">
        <is>
          <t>Deal 2962</t>
        </is>
      </c>
      <c r="U1" s="1" t="inlineStr">
        <is>
          <t>Deal 2963</t>
        </is>
      </c>
      <c r="AE1" s="1" t="inlineStr">
        <is>
          <t>Deal 2964</t>
        </is>
      </c>
      <c r="AO1" s="1" t="inlineStr">
        <is>
          <t>Deal 2965</t>
        </is>
      </c>
      <c r="AY1" s="1" t="inlineStr">
        <is>
          <t>Deal 2966</t>
        </is>
      </c>
      <c r="BI1" s="1" t="inlineStr">
        <is>
          <t>Deal 2967</t>
        </is>
      </c>
      <c r="BS1" s="1" t="inlineStr">
        <is>
          <t>Deal 2968</t>
        </is>
      </c>
      <c r="CC1" s="1" t="inlineStr">
        <is>
          <t>Deal 2969</t>
        </is>
      </c>
      <c r="CM1" s="1" t="inlineStr">
        <is>
          <t>Deal 2970</t>
        </is>
      </c>
      <c r="CW1" s="1" t="inlineStr">
        <is>
          <t>Deal 2971</t>
        </is>
      </c>
      <c r="DG1" s="1" t="inlineStr">
        <is>
          <t>Deal 2972</t>
        </is>
      </c>
      <c r="DQ1" s="1" t="inlineStr">
        <is>
          <t>Deal 2973</t>
        </is>
      </c>
      <c r="EA1" s="1" t="inlineStr">
        <is>
          <t>Deal 2974</t>
        </is>
      </c>
      <c r="EK1" s="1" t="inlineStr">
        <is>
          <t>Deal 2975</t>
        </is>
      </c>
      <c r="EU1" s="1" t="inlineStr">
        <is>
          <t>Deal 2976</t>
        </is>
      </c>
      <c r="FE1" s="1" t="inlineStr">
        <is>
          <t>Deal 2977</t>
        </is>
      </c>
      <c r="FO1" s="1" t="inlineStr">
        <is>
          <t>Deal 2978</t>
        </is>
      </c>
      <c r="FY1" s="1" t="inlineStr">
        <is>
          <t>Deal 2979</t>
        </is>
      </c>
      <c r="GI1" s="1" t="inlineStr">
        <is>
          <t>Deal 2980</t>
        </is>
      </c>
      <c r="GS1" s="1" t="inlineStr">
        <is>
          <t>Deal 2981</t>
        </is>
      </c>
      <c r="HC1" s="1" t="inlineStr">
        <is>
          <t>Deal 2982</t>
        </is>
      </c>
      <c r="HM1" s="1" t="inlineStr">
        <is>
          <t>Deal 2983</t>
        </is>
      </c>
      <c r="HW1" s="1" t="inlineStr">
        <is>
          <t>Deal 2984</t>
        </is>
      </c>
      <c r="IG1" s="1" t="inlineStr">
        <is>
          <t>Deal 2985</t>
        </is>
      </c>
      <c r="IQ1" s="1" t="inlineStr">
        <is>
          <t>Deal 2986</t>
        </is>
      </c>
      <c r="JA1" s="1" t="inlineStr">
        <is>
          <t>Deal 2987</t>
        </is>
      </c>
      <c r="JK1" s="1" t="inlineStr">
        <is>
          <t>Deal 2988</t>
        </is>
      </c>
      <c r="JU1" s="1" t="inlineStr">
        <is>
          <t>Deal 2989</t>
        </is>
      </c>
      <c r="KE1" s="1" t="inlineStr">
        <is>
          <t>Deal 2990</t>
        </is>
      </c>
      <c r="KO1" s="1" t="inlineStr">
        <is>
          <t>Deal 2991</t>
        </is>
      </c>
      <c r="KY1" s="1" t="inlineStr">
        <is>
          <t>Deal 2992</t>
        </is>
      </c>
      <c r="LI1" s="1" t="inlineStr">
        <is>
          <t>Deal 2993</t>
        </is>
      </c>
      <c r="LS1" s="1" t="inlineStr">
        <is>
          <t>Deal 2994</t>
        </is>
      </c>
      <c r="MC1" s="1" t="inlineStr">
        <is>
          <t>Deal 2995</t>
        </is>
      </c>
      <c r="MM1" s="1" t="inlineStr">
        <is>
          <t>Deal 2996</t>
        </is>
      </c>
      <c r="MW1" s="1" t="inlineStr">
        <is>
          <t>Deal 2997</t>
        </is>
      </c>
      <c r="NG1" s="1" t="inlineStr">
        <is>
          <t>Deal 2998</t>
        </is>
      </c>
      <c r="NQ1" s="1" t="inlineStr">
        <is>
          <t>Deal 2999</t>
        </is>
      </c>
      <c r="OA1" s="1" t="inlineStr">
        <is>
          <t>Deal 3000</t>
        </is>
      </c>
    </row>
    <row r="2">
      <c r="A2" s="2" t="inlineStr">
        <is>
          <t>CMS US Equity</t>
        </is>
      </c>
      <c r="K2" s="2" t="inlineStr">
        <is>
          <t>THEGQ US Equity</t>
        </is>
      </c>
      <c r="U2" s="2" t="inlineStr">
        <is>
          <t>TSFG US Equity</t>
        </is>
      </c>
      <c r="AE2" s="2" t="inlineStr">
        <is>
          <t>HRBT US Equity</t>
        </is>
      </c>
      <c r="AO2" s="2" t="inlineStr">
        <is>
          <t>IBKC US Equity</t>
        </is>
      </c>
      <c r="AY2" s="2" t="inlineStr">
        <is>
          <t>nan Equity</t>
        </is>
      </c>
      <c r="BI2" s="2" t="inlineStr">
        <is>
          <t>FNFG US Equity</t>
        </is>
      </c>
      <c r="BS2" s="2" t="inlineStr">
        <is>
          <t>STBA US Equity</t>
        </is>
      </c>
      <c r="CC2" s="2" t="inlineStr">
        <is>
          <t>MTSN US Equity</t>
        </is>
      </c>
      <c r="CM2" s="2" t="inlineStr">
        <is>
          <t>UNBJ US Equity</t>
        </is>
      </c>
      <c r="CW2" s="2" t="inlineStr">
        <is>
          <t>3023927Q US Equity</t>
        </is>
      </c>
      <c r="DG2" s="2" t="inlineStr">
        <is>
          <t>4131117Q US Equity</t>
        </is>
      </c>
      <c r="DQ2" s="2" t="inlineStr">
        <is>
          <t>NTBKQ US Equity</t>
        </is>
      </c>
      <c r="EA2" s="2" t="inlineStr">
        <is>
          <t>MOGN US Equity</t>
        </is>
      </c>
      <c r="EK2" s="2" t="inlineStr">
        <is>
          <t>SITC US Equity</t>
        </is>
      </c>
      <c r="EU2" s="2" t="inlineStr">
        <is>
          <t>CBC US Equity</t>
        </is>
      </c>
      <c r="FE2" s="2" t="inlineStr">
        <is>
          <t>ABCWQ US Equity</t>
        </is>
      </c>
      <c r="FO2" s="2" t="inlineStr">
        <is>
          <t>BNCN US Equity</t>
        </is>
      </c>
      <c r="FY2" s="2" t="inlineStr">
        <is>
          <t>STZ US Equity</t>
        </is>
      </c>
      <c r="GI2" s="2" t="inlineStr">
        <is>
          <t>CRLL US Equity</t>
        </is>
      </c>
      <c r="GS2" s="2" t="inlineStr">
        <is>
          <t>2258717D US Equity</t>
        </is>
      </c>
      <c r="HC2" s="2" t="inlineStr">
        <is>
          <t>PACW US Equity</t>
        </is>
      </c>
      <c r="HM2" s="2" t="inlineStr">
        <is>
          <t>DY US Equity</t>
        </is>
      </c>
      <c r="HW2" s="2" t="inlineStr">
        <is>
          <t>CECO US Equity</t>
        </is>
      </c>
      <c r="IG2" s="2" t="inlineStr">
        <is>
          <t>3537Q US Equity</t>
        </is>
      </c>
      <c r="IQ2" s="2" t="inlineStr">
        <is>
          <t>HPQ US Equity</t>
        </is>
      </c>
      <c r="JA2" s="2" t="inlineStr">
        <is>
          <t>DVXE US Equity</t>
        </is>
      </c>
      <c r="JK2" s="2" t="inlineStr">
        <is>
          <t>CNXC US Equity</t>
        </is>
      </c>
      <c r="JU2" s="2" t="inlineStr">
        <is>
          <t>MSI US Equity</t>
        </is>
      </c>
      <c r="KE2" s="2" t="inlineStr">
        <is>
          <t>WFBC US Equity</t>
        </is>
      </c>
      <c r="KO2" s="2" t="inlineStr">
        <is>
          <t>1551989D US Equity</t>
        </is>
      </c>
      <c r="KY2" s="2" t="inlineStr">
        <is>
          <t>DK US Equity</t>
        </is>
      </c>
      <c r="LI2" s="2" t="inlineStr">
        <is>
          <t>GE US Equity</t>
        </is>
      </c>
      <c r="LS2" s="2" t="inlineStr">
        <is>
          <t>IEP US Equity</t>
        </is>
      </c>
      <c r="MC2" s="2" t="inlineStr">
        <is>
          <t>EASY US Equity</t>
        </is>
      </c>
      <c r="MM2" s="2" t="inlineStr">
        <is>
          <t>EFII US Equity</t>
        </is>
      </c>
      <c r="MW2" s="2" t="inlineStr">
        <is>
          <t>CACB US Equity</t>
        </is>
      </c>
      <c r="NG2" s="2" t="inlineStr">
        <is>
          <t>ABCB US Equity</t>
        </is>
      </c>
      <c r="NQ2" s="2" t="inlineStr">
        <is>
          <t>UMPQ US Equity</t>
        </is>
      </c>
      <c r="OA2" s="2" t="inlineStr">
        <is>
          <t>ENDPQ US Equity</t>
        </is>
      </c>
    </row>
    <row r="3">
      <c r="A3" t="inlineStr">
        <is>
          <t>Ann: 1998-08-03</t>
        </is>
      </c>
      <c r="K3" t="inlineStr">
        <is>
          <t>Ann: 2001-06-04</t>
        </is>
      </c>
      <c r="U3" t="inlineStr">
        <is>
          <t>Ann: 2004-01-21</t>
        </is>
      </c>
      <c r="AE3" t="inlineStr">
        <is>
          <t>Ann: 2000-11-24</t>
        </is>
      </c>
      <c r="AO3" t="inlineStr">
        <is>
          <t>Ann: 2014-01-13</t>
        </is>
      </c>
      <c r="AY3" t="inlineStr">
        <is>
          <t>Ann: 2014-07-17</t>
        </is>
      </c>
      <c r="BI3" t="inlineStr">
        <is>
          <t>Ann: 2007-09-10</t>
        </is>
      </c>
      <c r="BS3" t="inlineStr">
        <is>
          <t>Ann: 2014-10-30</t>
        </is>
      </c>
      <c r="CC3" t="inlineStr">
        <is>
          <t>Ann: 2000-06-28</t>
        </is>
      </c>
      <c r="CM3" t="inlineStr">
        <is>
          <t>Ann: 2001-11-20</t>
        </is>
      </c>
      <c r="CW3" t="inlineStr">
        <is>
          <t>Ann: 2004-07-15</t>
        </is>
      </c>
      <c r="DG3" t="inlineStr">
        <is>
          <t>Ann: 1998-03-16</t>
        </is>
      </c>
      <c r="DQ3" t="inlineStr">
        <is>
          <t>Ann: 2001-11-19</t>
        </is>
      </c>
      <c r="EA3" t="inlineStr">
        <is>
          <t>Ann: 2005-07-21</t>
        </is>
      </c>
      <c r="EK3" t="inlineStr">
        <is>
          <t>Ann: 2000-11-02</t>
        </is>
      </c>
      <c r="EU3" t="inlineStr">
        <is>
          <t>Ann: 2019-04-10</t>
        </is>
      </c>
      <c r="FE3" t="inlineStr">
        <is>
          <t>Ann: 1999-01-05</t>
        </is>
      </c>
      <c r="FO3" t="inlineStr">
        <is>
          <t>Ann: 2015-11-16</t>
        </is>
      </c>
      <c r="FY3" t="inlineStr">
        <is>
          <t>Ann: 2001-04-10</t>
        </is>
      </c>
      <c r="GI3" t="inlineStr">
        <is>
          <t>Ann: 2000-10-06</t>
        </is>
      </c>
      <c r="GS3" t="inlineStr">
        <is>
          <t>Ann: 2008-04-08</t>
        </is>
      </c>
      <c r="HC3" t="inlineStr">
        <is>
          <t>Ann: 2002-04-29</t>
        </is>
      </c>
      <c r="HM3" t="inlineStr">
        <is>
          <t>Ann: 2002-01-07</t>
        </is>
      </c>
      <c r="HW3" t="inlineStr">
        <is>
          <t>Ann: 2015-05-04</t>
        </is>
      </c>
      <c r="IG3" t="inlineStr">
        <is>
          <t>Ann: 1999-08-06</t>
        </is>
      </c>
      <c r="IQ3" t="inlineStr">
        <is>
          <t>Ann: 1995-09-21</t>
        </is>
      </c>
      <c r="JA3" t="inlineStr">
        <is>
          <t>Ann: 1998-03-23</t>
        </is>
      </c>
      <c r="JK3" t="inlineStr">
        <is>
          <t>Ann: 2022-05-09</t>
        </is>
      </c>
      <c r="JU3" t="inlineStr">
        <is>
          <t>Ann: 2000-08-29</t>
        </is>
      </c>
      <c r="KE3" t="inlineStr">
        <is>
          <t>Ann: 2005-01-20</t>
        </is>
      </c>
      <c r="KO3" t="inlineStr">
        <is>
          <t>Ann: 2006-11-06</t>
        </is>
      </c>
      <c r="KY3" t="inlineStr">
        <is>
          <t>Ann: 2017-11-08</t>
        </is>
      </c>
      <c r="LI3" t="inlineStr">
        <is>
          <t>Ann: 2000-06-02</t>
        </is>
      </c>
      <c r="LS3" t="inlineStr">
        <is>
          <t>Ann: 2003-05-16</t>
        </is>
      </c>
      <c r="MC3" t="inlineStr">
        <is>
          <t>Ann: 1999-12-13</t>
        </is>
      </c>
      <c r="MM3" t="inlineStr">
        <is>
          <t>Ann: 2000-08-31</t>
        </is>
      </c>
      <c r="MW3" t="inlineStr">
        <is>
          <t>Ann: 2013-10-23</t>
        </is>
      </c>
      <c r="NG3" t="inlineStr">
        <is>
          <t>Ann: 2017-11-17</t>
        </is>
      </c>
      <c r="NQ3" t="inlineStr">
        <is>
          <t>Ann: 2007-01-18</t>
        </is>
      </c>
      <c r="OA3" t="inlineStr">
        <is>
          <t>Ann: 2010-08-09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BDS("CMS US Equity","SUPPLY_CHAIN_SUPPLIERS","RELATIONSHIP_AS_OF_DATE","19980803")</f>
        <v/>
      </c>
      <c r="F5">
        <f>BDS("CMS US Equity","SUPPLY_CHAIN_CUSTOMERS","RELATIONSHIP_AS_OF_DATE","19980803")</f>
        <v/>
      </c>
      <c r="K5">
        <f>BDS("THEGQ US Equity","SUPPLY_CHAIN_SUPPLIERS","RELATIONSHIP_AS_OF_DATE","20010604")</f>
        <v/>
      </c>
      <c r="P5">
        <f>BDS("THEGQ US Equity","SUPPLY_CHAIN_CUSTOMERS","RELATIONSHIP_AS_OF_DATE","20010604")</f>
        <v/>
      </c>
      <c r="U5">
        <f>BDS("TSFG US Equity","SUPPLY_CHAIN_SUPPLIERS","RELATIONSHIP_AS_OF_DATE","20040121")</f>
        <v/>
      </c>
      <c r="Z5">
        <f>BDS("TSFG US Equity","SUPPLY_CHAIN_CUSTOMERS","RELATIONSHIP_AS_OF_DATE","20040121")</f>
        <v/>
      </c>
      <c r="AE5">
        <f>BDS("HRBT US Equity","SUPPLY_CHAIN_SUPPLIERS","RELATIONSHIP_AS_OF_DATE","20001124")</f>
        <v/>
      </c>
      <c r="AJ5">
        <f>BDS("HRBT US Equity","SUPPLY_CHAIN_CUSTOMERS","RELATIONSHIP_AS_OF_DATE","20001124")</f>
        <v/>
      </c>
      <c r="AO5">
        <f>BDS("IBKC US Equity","SUPPLY_CHAIN_SUPPLIERS","RELATIONSHIP_AS_OF_DATE","20140113")</f>
        <v/>
      </c>
      <c r="AT5">
        <f>BDS("IBKC US Equity","SUPPLY_CHAIN_CUSTOMERS","RELATIONSHIP_AS_OF_DATE","20140113")</f>
        <v/>
      </c>
      <c r="AY5">
        <f>BDS("nan Equity","SUPPLY_CHAIN_SUPPLIERS","RELATIONSHIP_AS_OF_DATE","20140717")</f>
        <v/>
      </c>
      <c r="BD5">
        <f>BDS("nan Equity","SUPPLY_CHAIN_CUSTOMERS","RELATIONSHIP_AS_OF_DATE","20140717")</f>
        <v/>
      </c>
      <c r="BI5">
        <f>BDS("FNFG US Equity","SUPPLY_CHAIN_SUPPLIERS","RELATIONSHIP_AS_OF_DATE","20070910")</f>
        <v/>
      </c>
      <c r="BN5">
        <f>BDS("FNFG US Equity","SUPPLY_CHAIN_CUSTOMERS","RELATIONSHIP_AS_OF_DATE","20070910")</f>
        <v/>
      </c>
      <c r="BS5">
        <f>BDS("STBA US Equity","SUPPLY_CHAIN_SUPPLIERS","RELATIONSHIP_AS_OF_DATE","20141030")</f>
        <v/>
      </c>
      <c r="BX5">
        <f>BDS("STBA US Equity","SUPPLY_CHAIN_CUSTOMERS","RELATIONSHIP_AS_OF_DATE","20141030")</f>
        <v/>
      </c>
      <c r="CC5">
        <f>BDS("MTSN US Equity","SUPPLY_CHAIN_SUPPLIERS","RELATIONSHIP_AS_OF_DATE","20000628")</f>
        <v/>
      </c>
      <c r="CH5">
        <f>BDS("MTSN US Equity","SUPPLY_CHAIN_CUSTOMERS","RELATIONSHIP_AS_OF_DATE","20000628")</f>
        <v/>
      </c>
      <c r="CM5">
        <f>BDS("UNBJ US Equity","SUPPLY_CHAIN_SUPPLIERS","RELATIONSHIP_AS_OF_DATE","20011120")</f>
        <v/>
      </c>
      <c r="CR5">
        <f>BDS("UNBJ US Equity","SUPPLY_CHAIN_CUSTOMERS","RELATIONSHIP_AS_OF_DATE","20011120")</f>
        <v/>
      </c>
      <c r="CW5">
        <f>BDS("3023927Q US Equity","SUPPLY_CHAIN_SUPPLIERS","RELATIONSHIP_AS_OF_DATE","20040715")</f>
        <v/>
      </c>
      <c r="DB5">
        <f>BDS("3023927Q US Equity","SUPPLY_CHAIN_CUSTOMERS","RELATIONSHIP_AS_OF_DATE","20040715")</f>
        <v/>
      </c>
      <c r="DG5">
        <f>BDS("4131117Q US Equity","SUPPLY_CHAIN_SUPPLIERS","RELATIONSHIP_AS_OF_DATE","19980316")</f>
        <v/>
      </c>
      <c r="DL5">
        <f>BDS("4131117Q US Equity","SUPPLY_CHAIN_CUSTOMERS","RELATIONSHIP_AS_OF_DATE","19980316")</f>
        <v/>
      </c>
      <c r="DQ5">
        <f>BDS("NTBKQ US Equity","SUPPLY_CHAIN_SUPPLIERS","RELATIONSHIP_AS_OF_DATE","20011119")</f>
        <v/>
      </c>
      <c r="DV5">
        <f>BDS("NTBKQ US Equity","SUPPLY_CHAIN_CUSTOMERS","RELATIONSHIP_AS_OF_DATE","20011119")</f>
        <v/>
      </c>
      <c r="EA5">
        <f>BDS("MOGN US Equity","SUPPLY_CHAIN_SUPPLIERS","RELATIONSHIP_AS_OF_DATE","20050721")</f>
        <v/>
      </c>
      <c r="EF5">
        <f>BDS("MOGN US Equity","SUPPLY_CHAIN_CUSTOMERS","RELATIONSHIP_AS_OF_DATE","20050721")</f>
        <v/>
      </c>
      <c r="EK5">
        <f>BDS("SITC US Equity","SUPPLY_CHAIN_SUPPLIERS","RELATIONSHIP_AS_OF_DATE","20001102")</f>
        <v/>
      </c>
      <c r="EP5">
        <f>BDS("SITC US Equity","SUPPLY_CHAIN_CUSTOMERS","RELATIONSHIP_AS_OF_DATE","20001102")</f>
        <v/>
      </c>
      <c r="EU5">
        <f>BDS("CBC US Equity","SUPPLY_CHAIN_SUPPLIERS","RELATIONSHIP_AS_OF_DATE","20190410")</f>
        <v/>
      </c>
      <c r="EZ5">
        <f>BDS("CBC US Equity","SUPPLY_CHAIN_CUSTOMERS","RELATIONSHIP_AS_OF_DATE","20190410")</f>
        <v/>
      </c>
      <c r="FE5">
        <f>BDS("ABCWQ US Equity","SUPPLY_CHAIN_SUPPLIERS","RELATIONSHIP_AS_OF_DATE","19990105")</f>
        <v/>
      </c>
      <c r="FJ5">
        <f>BDS("ABCWQ US Equity","SUPPLY_CHAIN_CUSTOMERS","RELATIONSHIP_AS_OF_DATE","19990105")</f>
        <v/>
      </c>
      <c r="FO5">
        <f>BDS("BNCN US Equity","SUPPLY_CHAIN_SUPPLIERS","RELATIONSHIP_AS_OF_DATE","20151116")</f>
        <v/>
      </c>
      <c r="FT5">
        <f>BDS("BNCN US Equity","SUPPLY_CHAIN_CUSTOMERS","RELATIONSHIP_AS_OF_DATE","20151116")</f>
        <v/>
      </c>
      <c r="FY5">
        <f>BDS("STZ US Equity","SUPPLY_CHAIN_SUPPLIERS","RELATIONSHIP_AS_OF_DATE","20010410")</f>
        <v/>
      </c>
      <c r="GD5">
        <f>BDS("STZ US Equity","SUPPLY_CHAIN_CUSTOMERS","RELATIONSHIP_AS_OF_DATE","20010410")</f>
        <v/>
      </c>
      <c r="GI5">
        <f>BDS("CRLL US Equity","SUPPLY_CHAIN_SUPPLIERS","RELATIONSHIP_AS_OF_DATE","20001006")</f>
        <v/>
      </c>
      <c r="GN5">
        <f>BDS("CRLL US Equity","SUPPLY_CHAIN_CUSTOMERS","RELATIONSHIP_AS_OF_DATE","20001006")</f>
        <v/>
      </c>
      <c r="GS5">
        <f>BDS("2258717D US Equity","SUPPLY_CHAIN_SUPPLIERS","RELATIONSHIP_AS_OF_DATE","20080408")</f>
        <v/>
      </c>
      <c r="GX5">
        <f>BDS("2258717D US Equity","SUPPLY_CHAIN_CUSTOMERS","RELATIONSHIP_AS_OF_DATE","20080408")</f>
        <v/>
      </c>
      <c r="HC5">
        <f>BDS("PACW US Equity","SUPPLY_CHAIN_SUPPLIERS","RELATIONSHIP_AS_OF_DATE","20020429")</f>
        <v/>
      </c>
      <c r="HH5">
        <f>BDS("PACW US Equity","SUPPLY_CHAIN_CUSTOMERS","RELATIONSHIP_AS_OF_DATE","20020429")</f>
        <v/>
      </c>
      <c r="HM5">
        <f>BDS("DY US Equity","SUPPLY_CHAIN_SUPPLIERS","RELATIONSHIP_AS_OF_DATE","20020107")</f>
        <v/>
      </c>
      <c r="HR5">
        <f>BDS("DY US Equity","SUPPLY_CHAIN_CUSTOMERS","RELATIONSHIP_AS_OF_DATE","20020107")</f>
        <v/>
      </c>
      <c r="HW5">
        <f>BDS("CECO US Equity","SUPPLY_CHAIN_SUPPLIERS","RELATIONSHIP_AS_OF_DATE","20150504")</f>
        <v/>
      </c>
      <c r="IB5">
        <f>BDS("CECO US Equity","SUPPLY_CHAIN_CUSTOMERS","RELATIONSHIP_AS_OF_DATE","20150504")</f>
        <v/>
      </c>
      <c r="IG5">
        <f>BDS("3537Q US Equity","SUPPLY_CHAIN_SUPPLIERS","RELATIONSHIP_AS_OF_DATE","19990806")</f>
        <v/>
      </c>
      <c r="IL5">
        <f>BDS("3537Q US Equity","SUPPLY_CHAIN_CUSTOMERS","RELATIONSHIP_AS_OF_DATE","19990806")</f>
        <v/>
      </c>
      <c r="IQ5">
        <f>BDS("HPQ US Equity","SUPPLY_CHAIN_SUPPLIERS","RELATIONSHIP_AS_OF_DATE","19950921")</f>
        <v/>
      </c>
      <c r="IV5">
        <f>BDS("HPQ US Equity","SUPPLY_CHAIN_CUSTOMERS","RELATIONSHIP_AS_OF_DATE","19950921")</f>
        <v/>
      </c>
      <c r="JA5">
        <f>BDS("DVXE US Equity","SUPPLY_CHAIN_SUPPLIERS","RELATIONSHIP_AS_OF_DATE","19980323")</f>
        <v/>
      </c>
      <c r="JF5">
        <f>BDS("DVXE US Equity","SUPPLY_CHAIN_CUSTOMERS","RELATIONSHIP_AS_OF_DATE","19980323")</f>
        <v/>
      </c>
      <c r="JK5">
        <f>BDS("CNXC US Equity","SUPPLY_CHAIN_SUPPLIERS","RELATIONSHIP_AS_OF_DATE","20220509")</f>
        <v/>
      </c>
      <c r="JP5">
        <f>BDS("CNXC US Equity","SUPPLY_CHAIN_CUSTOMERS","RELATIONSHIP_AS_OF_DATE","20220509")</f>
        <v/>
      </c>
      <c r="JU5">
        <f>BDS("MSI US Equity","SUPPLY_CHAIN_SUPPLIERS","RELATIONSHIP_AS_OF_DATE","20000829")</f>
        <v/>
      </c>
      <c r="JZ5">
        <f>BDS("MSI US Equity","SUPPLY_CHAIN_CUSTOMERS","RELATIONSHIP_AS_OF_DATE","20000829")</f>
        <v/>
      </c>
      <c r="KE5">
        <f>BDS("WFBC US Equity","SUPPLY_CHAIN_SUPPLIERS","RELATIONSHIP_AS_OF_DATE","20050120")</f>
        <v/>
      </c>
      <c r="KJ5">
        <f>BDS("WFBC US Equity","SUPPLY_CHAIN_CUSTOMERS","RELATIONSHIP_AS_OF_DATE","20050120")</f>
        <v/>
      </c>
      <c r="KO5">
        <f>BDS("1551989D US Equity","SUPPLY_CHAIN_SUPPLIERS","RELATIONSHIP_AS_OF_DATE","20061106")</f>
        <v/>
      </c>
      <c r="KT5">
        <f>BDS("1551989D US Equity","SUPPLY_CHAIN_CUSTOMERS","RELATIONSHIP_AS_OF_DATE","20061106")</f>
        <v/>
      </c>
      <c r="KY5">
        <f>BDS("DK US Equity","SUPPLY_CHAIN_SUPPLIERS","RELATIONSHIP_AS_OF_DATE","20171108")</f>
        <v/>
      </c>
      <c r="LD5">
        <f>BDS("DK US Equity","SUPPLY_CHAIN_CUSTOMERS","RELATIONSHIP_AS_OF_DATE","20171108")</f>
        <v/>
      </c>
      <c r="LI5">
        <f>BDS("GE US Equity","SUPPLY_CHAIN_SUPPLIERS","RELATIONSHIP_AS_OF_DATE","20000602")</f>
        <v/>
      </c>
      <c r="LN5">
        <f>BDS("GE US Equity","SUPPLY_CHAIN_CUSTOMERS","RELATIONSHIP_AS_OF_DATE","20000602")</f>
        <v/>
      </c>
      <c r="LS5">
        <f>BDS("IEP US Equity","SUPPLY_CHAIN_SUPPLIERS","RELATIONSHIP_AS_OF_DATE","20030516")</f>
        <v/>
      </c>
      <c r="LX5">
        <f>BDS("IEP US Equity","SUPPLY_CHAIN_CUSTOMERS","RELATIONSHIP_AS_OF_DATE","20030516")</f>
        <v/>
      </c>
      <c r="MC5">
        <f>BDS("EASY US Equity","SUPPLY_CHAIN_SUPPLIERS","RELATIONSHIP_AS_OF_DATE","19991213")</f>
        <v/>
      </c>
      <c r="MH5">
        <f>BDS("EASY US Equity","SUPPLY_CHAIN_CUSTOMERS","RELATIONSHIP_AS_OF_DATE","19991213")</f>
        <v/>
      </c>
      <c r="MM5">
        <f>BDS("EFII US Equity","SUPPLY_CHAIN_SUPPLIERS","RELATIONSHIP_AS_OF_DATE","20000831")</f>
        <v/>
      </c>
      <c r="MR5">
        <f>BDS("EFII US Equity","SUPPLY_CHAIN_CUSTOMERS","RELATIONSHIP_AS_OF_DATE","20000831")</f>
        <v/>
      </c>
      <c r="MW5">
        <f>BDS("CACB US Equity","SUPPLY_CHAIN_SUPPLIERS","RELATIONSHIP_AS_OF_DATE","20131023")</f>
        <v/>
      </c>
      <c r="NB5">
        <f>BDS("CACB US Equity","SUPPLY_CHAIN_CUSTOMERS","RELATIONSHIP_AS_OF_DATE","20131023")</f>
        <v/>
      </c>
      <c r="NG5">
        <f>BDS("ABCB US Equity","SUPPLY_CHAIN_SUPPLIERS","RELATIONSHIP_AS_OF_DATE","20171117")</f>
        <v/>
      </c>
      <c r="NL5">
        <f>BDS("ABCB US Equity","SUPPLY_CHAIN_CUSTOMERS","RELATIONSHIP_AS_OF_DATE","20171117")</f>
        <v/>
      </c>
      <c r="NQ5">
        <f>BDS("UMPQ US Equity","SUPPLY_CHAIN_SUPPLIERS","RELATIONSHIP_AS_OF_DATE","20070118")</f>
        <v/>
      </c>
      <c r="NV5">
        <f>BDS("UMPQ US Equity","SUPPLY_CHAIN_CUSTOMERS","RELATIONSHIP_AS_OF_DATE","20070118")</f>
        <v/>
      </c>
      <c r="OA5">
        <f>BDS("ENDPQ US Equity","SUPPLY_CHAIN_SUPPLIERS","RELATIONSHIP_AS_OF_DATE","20100809")</f>
        <v/>
      </c>
      <c r="OF5">
        <f>BDS("ENDPQ US Equity","SUPPLY_CHAIN_CUSTOMERS","RELATIONSHIP_AS_OF_DATE","20100809")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3001</t>
        </is>
      </c>
      <c r="K1" s="1" t="inlineStr">
        <is>
          <t>Deal 3002</t>
        </is>
      </c>
      <c r="U1" s="1" t="inlineStr">
        <is>
          <t>Deal 3003</t>
        </is>
      </c>
      <c r="AE1" s="1" t="inlineStr">
        <is>
          <t>Deal 3004</t>
        </is>
      </c>
      <c r="AO1" s="1" t="inlineStr">
        <is>
          <t>Deal 3005</t>
        </is>
      </c>
      <c r="AY1" s="1" t="inlineStr">
        <is>
          <t>Deal 3006</t>
        </is>
      </c>
      <c r="BI1" s="1" t="inlineStr">
        <is>
          <t>Deal 3007</t>
        </is>
      </c>
      <c r="BS1" s="1" t="inlineStr">
        <is>
          <t>Deal 3008</t>
        </is>
      </c>
      <c r="CC1" s="1" t="inlineStr">
        <is>
          <t>Deal 3009</t>
        </is>
      </c>
      <c r="CM1" s="1" t="inlineStr">
        <is>
          <t>Deal 3010</t>
        </is>
      </c>
      <c r="CW1" s="1" t="inlineStr">
        <is>
          <t>Deal 3011</t>
        </is>
      </c>
      <c r="DG1" s="1" t="inlineStr">
        <is>
          <t>Deal 3012</t>
        </is>
      </c>
      <c r="DQ1" s="1" t="inlineStr">
        <is>
          <t>Deal 3013</t>
        </is>
      </c>
      <c r="EA1" s="1" t="inlineStr">
        <is>
          <t>Deal 3014</t>
        </is>
      </c>
      <c r="EK1" s="1" t="inlineStr">
        <is>
          <t>Deal 3015</t>
        </is>
      </c>
      <c r="EU1" s="1" t="inlineStr">
        <is>
          <t>Deal 3016</t>
        </is>
      </c>
      <c r="FE1" s="1" t="inlineStr">
        <is>
          <t>Deal 3017</t>
        </is>
      </c>
      <c r="FO1" s="1" t="inlineStr">
        <is>
          <t>Deal 3018</t>
        </is>
      </c>
      <c r="FY1" s="1" t="inlineStr">
        <is>
          <t>Deal 3019</t>
        </is>
      </c>
      <c r="GI1" s="1" t="inlineStr">
        <is>
          <t>Deal 3020</t>
        </is>
      </c>
      <c r="GS1" s="1" t="inlineStr">
        <is>
          <t>Deal 3021</t>
        </is>
      </c>
      <c r="HC1" s="1" t="inlineStr">
        <is>
          <t>Deal 3022</t>
        </is>
      </c>
      <c r="HM1" s="1" t="inlineStr">
        <is>
          <t>Deal 3023</t>
        </is>
      </c>
      <c r="HW1" s="1" t="inlineStr">
        <is>
          <t>Deal 3024</t>
        </is>
      </c>
      <c r="IG1" s="1" t="inlineStr">
        <is>
          <t>Deal 3025</t>
        </is>
      </c>
      <c r="IQ1" s="1" t="inlineStr">
        <is>
          <t>Deal 3026</t>
        </is>
      </c>
      <c r="JA1" s="1" t="inlineStr">
        <is>
          <t>Deal 3027</t>
        </is>
      </c>
      <c r="JK1" s="1" t="inlineStr">
        <is>
          <t>Deal 3028</t>
        </is>
      </c>
      <c r="JU1" s="1" t="inlineStr">
        <is>
          <t>Deal 3029</t>
        </is>
      </c>
      <c r="KE1" s="1" t="inlineStr">
        <is>
          <t>Deal 3030</t>
        </is>
      </c>
      <c r="KO1" s="1" t="inlineStr">
        <is>
          <t>Deal 3031</t>
        </is>
      </c>
      <c r="KY1" s="1" t="inlineStr">
        <is>
          <t>Deal 3032</t>
        </is>
      </c>
      <c r="LI1" s="1" t="inlineStr">
        <is>
          <t>Deal 3033</t>
        </is>
      </c>
      <c r="LS1" s="1" t="inlineStr">
        <is>
          <t>Deal 3034</t>
        </is>
      </c>
      <c r="MC1" s="1" t="inlineStr">
        <is>
          <t>Deal 3035</t>
        </is>
      </c>
      <c r="MM1" s="1" t="inlineStr">
        <is>
          <t>Deal 3036</t>
        </is>
      </c>
      <c r="MW1" s="1" t="inlineStr">
        <is>
          <t>Deal 3037</t>
        </is>
      </c>
      <c r="NG1" s="1" t="inlineStr">
        <is>
          <t>Deal 3038</t>
        </is>
      </c>
      <c r="NQ1" s="1" t="inlineStr">
        <is>
          <t>Deal 3039</t>
        </is>
      </c>
      <c r="OA1" s="1" t="inlineStr">
        <is>
          <t>Deal 3040</t>
        </is>
      </c>
    </row>
    <row r="2">
      <c r="A2" s="2" t="inlineStr">
        <is>
          <t>CEIN US Equity</t>
        </is>
      </c>
      <c r="K2" s="2" t="inlineStr">
        <is>
          <t>NPBC US Equity</t>
        </is>
      </c>
      <c r="U2" s="2" t="inlineStr">
        <is>
          <t>nan Equity</t>
        </is>
      </c>
      <c r="AE2" s="2" t="inlineStr">
        <is>
          <t>STL US Equity</t>
        </is>
      </c>
      <c r="AO2" s="2" t="inlineStr">
        <is>
          <t>PLAB US Equity</t>
        </is>
      </c>
      <c r="AY2" s="2" t="inlineStr">
        <is>
          <t>2676187Q US Equity</t>
        </is>
      </c>
      <c r="BI2" s="2" t="inlineStr">
        <is>
          <t>KMAGQ US Equity</t>
        </is>
      </c>
      <c r="BS2" s="2" t="inlineStr">
        <is>
          <t>NWBI US Equity</t>
        </is>
      </c>
      <c r="CC2" s="2" t="inlineStr">
        <is>
          <t>XCRA US Equity</t>
        </is>
      </c>
      <c r="CM2" s="2" t="inlineStr">
        <is>
          <t>1916526D US Equity</t>
        </is>
      </c>
      <c r="CW2" s="2" t="inlineStr">
        <is>
          <t>OCFC US Equity</t>
        </is>
      </c>
      <c r="DG2" s="2" t="inlineStr">
        <is>
          <t>NUAN US Equity</t>
        </is>
      </c>
      <c r="DQ2" s="2" t="inlineStr">
        <is>
          <t>653707Q US Equity</t>
        </is>
      </c>
      <c r="EA2" s="2" t="inlineStr">
        <is>
          <t>FCPR US Equity</t>
        </is>
      </c>
      <c r="EK2" s="2" t="inlineStr">
        <is>
          <t>1894768D US Equity</t>
        </is>
      </c>
      <c r="EU2" s="2" t="inlineStr">
        <is>
          <t>3354388Q US Equity</t>
        </is>
      </c>
      <c r="FE2" s="2" t="inlineStr">
        <is>
          <t>FOR US Equity</t>
        </is>
      </c>
      <c r="FO2" s="2" t="inlineStr">
        <is>
          <t>WAXS US Equity</t>
        </is>
      </c>
      <c r="FY2" s="2" t="inlineStr">
        <is>
          <t>BAX US Equity</t>
        </is>
      </c>
      <c r="GI2" s="2" t="inlineStr">
        <is>
          <t>FCGI US Equity</t>
        </is>
      </c>
      <c r="GS2" s="2" t="inlineStr">
        <is>
          <t>IT US Equity</t>
        </is>
      </c>
      <c r="HC2" s="2" t="inlineStr">
        <is>
          <t>FCBN US Equity</t>
        </is>
      </c>
      <c r="HM2" s="2" t="inlineStr">
        <is>
          <t>EWBC US Equity</t>
        </is>
      </c>
      <c r="HW2" s="2" t="inlineStr">
        <is>
          <t>1073675D US Equity</t>
        </is>
      </c>
      <c r="IG2" s="2" t="inlineStr">
        <is>
          <t>SCFS US Equity</t>
        </is>
      </c>
      <c r="IQ2" s="2" t="inlineStr">
        <is>
          <t>BBT US Equity</t>
        </is>
      </c>
      <c r="JA2" s="2" t="inlineStr">
        <is>
          <t>RNST US Equity</t>
        </is>
      </c>
      <c r="JK2" s="2" t="inlineStr">
        <is>
          <t>FLO US Equity</t>
        </is>
      </c>
      <c r="JU2" s="2" t="inlineStr">
        <is>
          <t>IWOV US Equity</t>
        </is>
      </c>
      <c r="KE2" s="2" t="inlineStr">
        <is>
          <t>AMFH US Equity</t>
        </is>
      </c>
      <c r="KO2" s="2" t="inlineStr">
        <is>
          <t>WINMQ US Equity</t>
        </is>
      </c>
      <c r="KY2" s="2" t="inlineStr">
        <is>
          <t>HSP US Equity</t>
        </is>
      </c>
      <c r="LI2" s="2" t="inlineStr">
        <is>
          <t>PFE US Equity</t>
        </is>
      </c>
      <c r="LS2" s="2" t="inlineStr">
        <is>
          <t>BHB US Equity</t>
        </is>
      </c>
      <c r="MC2" s="2" t="inlineStr">
        <is>
          <t>CBU US Equity</t>
        </is>
      </c>
      <c r="MM2" s="2" t="inlineStr">
        <is>
          <t>CVC US Equity</t>
        </is>
      </c>
      <c r="MW2" s="2" t="inlineStr">
        <is>
          <t>1321686D US Equity</t>
        </is>
      </c>
      <c r="NG2" s="2" t="inlineStr">
        <is>
          <t>PATK US Equity</t>
        </is>
      </c>
      <c r="NQ2" s="2" t="inlineStr">
        <is>
          <t>JH US Equity</t>
        </is>
      </c>
      <c r="OA2" s="2" t="inlineStr">
        <is>
          <t>HNBC US Equity</t>
        </is>
      </c>
    </row>
    <row r="3">
      <c r="A3" t="inlineStr">
        <is>
          <t>Ann: 2020-12-24</t>
        </is>
      </c>
      <c r="K3" t="inlineStr">
        <is>
          <t>Ann: 2003-12-18</t>
        </is>
      </c>
      <c r="U3" t="inlineStr">
        <is>
          <t>Ann: 1998-02-04</t>
        </is>
      </c>
      <c r="AE3" t="inlineStr">
        <is>
          <t>Ann: 2004-03-16</t>
        </is>
      </c>
      <c r="AO3" t="inlineStr">
        <is>
          <t>Ann: 1999-09-15</t>
        </is>
      </c>
      <c r="AY3" t="inlineStr">
        <is>
          <t>Ann: 2004-02-05</t>
        </is>
      </c>
      <c r="BI3" t="inlineStr">
        <is>
          <t>Ann: 2000-04-26</t>
        </is>
      </c>
      <c r="BS3" t="inlineStr">
        <is>
          <t>Ann: 2001-08-16</t>
        </is>
      </c>
      <c r="CC3" t="inlineStr">
        <is>
          <t>Ann: 2008-06-23</t>
        </is>
      </c>
      <c r="CM3" t="inlineStr">
        <is>
          <t>Ann: 1999-09-22</t>
        </is>
      </c>
      <c r="CW3" t="inlineStr">
        <is>
          <t>Ann: 2016-07-13</t>
        </is>
      </c>
      <c r="DG3" t="inlineStr">
        <is>
          <t>Ann: 2000-01-17</t>
        </is>
      </c>
      <c r="DQ3" t="inlineStr">
        <is>
          <t>Ann: 1999-01-19</t>
        </is>
      </c>
      <c r="EA3" t="inlineStr">
        <is>
          <t>Ann: 1999-05-06</t>
        </is>
      </c>
      <c r="EK3" t="inlineStr">
        <is>
          <t>Ann: 2002-06-10</t>
        </is>
      </c>
      <c r="EU3" t="inlineStr">
        <is>
          <t>Ann: 1999-06-23</t>
        </is>
      </c>
      <c r="FE3" t="inlineStr">
        <is>
          <t>Ann: 2012-06-04</t>
        </is>
      </c>
      <c r="FO3" t="inlineStr">
        <is>
          <t>Ann: 1998-06-04</t>
        </is>
      </c>
      <c r="FY3" t="inlineStr">
        <is>
          <t>Ann: 2002-02-27</t>
        </is>
      </c>
      <c r="GI3" t="inlineStr">
        <is>
          <t>Ann: 1998-09-09</t>
        </is>
      </c>
      <c r="GS3" t="inlineStr">
        <is>
          <t>Ann: 2004-12-27</t>
        </is>
      </c>
      <c r="HC3" t="inlineStr">
        <is>
          <t>Ann: 2005-03-07</t>
        </is>
      </c>
      <c r="HM3" t="inlineStr">
        <is>
          <t>Ann: 2007-04-24</t>
        </is>
      </c>
      <c r="HW3" t="inlineStr">
        <is>
          <t>Ann: 1999-11-15</t>
        </is>
      </c>
      <c r="IG3" t="inlineStr">
        <is>
          <t>Ann: 2003-10-21</t>
        </is>
      </c>
      <c r="IQ3" t="inlineStr">
        <is>
          <t>Ann: 2004-12-17</t>
        </is>
      </c>
      <c r="JA3" t="inlineStr">
        <is>
          <t>Ann: 2007-02-05</t>
        </is>
      </c>
      <c r="JK3" t="inlineStr">
        <is>
          <t>Ann: 2011-04-11</t>
        </is>
      </c>
      <c r="JU3" t="inlineStr">
        <is>
          <t>Ann: 2003-08-06</t>
        </is>
      </c>
      <c r="KE3" t="inlineStr">
        <is>
          <t>Ann: 2001-07-19</t>
        </is>
      </c>
      <c r="KO3" t="inlineStr">
        <is>
          <t>Ann: 2009-09-08</t>
        </is>
      </c>
      <c r="KY3" t="inlineStr">
        <is>
          <t>Ann: 2010-04-12</t>
        </is>
      </c>
      <c r="LI3" t="inlineStr">
        <is>
          <t>Ann: 2007-11-16</t>
        </is>
      </c>
      <c r="LS3" t="inlineStr">
        <is>
          <t>Ann: 2016-05-05</t>
        </is>
      </c>
      <c r="MC3" t="inlineStr">
        <is>
          <t>Ann: 2015-02-24</t>
        </is>
      </c>
      <c r="MM3" t="inlineStr">
        <is>
          <t>Ann: 1998-08-13</t>
        </is>
      </c>
      <c r="MW3" t="inlineStr">
        <is>
          <t>Ann: 2012-11-19</t>
        </is>
      </c>
      <c r="NG3" t="inlineStr">
        <is>
          <t>Ann: 2022-02-24</t>
        </is>
      </c>
      <c r="NQ3" t="inlineStr">
        <is>
          <t>Ann: 2000-07-17</t>
        </is>
      </c>
      <c r="OA3" t="inlineStr">
        <is>
          <t>Ann: 2007-05-16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BDS("CEIN US Equity","SUPPLY_CHAIN_SUPPLIERS","RELATIONSHIP_AS_OF_DATE","20201224")</f>
        <v/>
      </c>
      <c r="F5">
        <f>BDS("CEIN US Equity","SUPPLY_CHAIN_CUSTOMERS","RELATIONSHIP_AS_OF_DATE","20201224")</f>
        <v/>
      </c>
      <c r="K5">
        <f>BDS("NPBC US Equity","SUPPLY_CHAIN_SUPPLIERS","RELATIONSHIP_AS_OF_DATE","20031218")</f>
        <v/>
      </c>
      <c r="P5">
        <f>BDS("NPBC US Equity","SUPPLY_CHAIN_CUSTOMERS","RELATIONSHIP_AS_OF_DATE","20031218")</f>
        <v/>
      </c>
      <c r="U5">
        <f>BDS("nan Equity","SUPPLY_CHAIN_SUPPLIERS","RELATIONSHIP_AS_OF_DATE","19980204")</f>
        <v/>
      </c>
      <c r="Z5">
        <f>BDS("nan Equity","SUPPLY_CHAIN_CUSTOMERS","RELATIONSHIP_AS_OF_DATE","19980204")</f>
        <v/>
      </c>
      <c r="AE5">
        <f>BDS("STL US Equity","SUPPLY_CHAIN_SUPPLIERS","RELATIONSHIP_AS_OF_DATE","20040316")</f>
        <v/>
      </c>
      <c r="AJ5">
        <f>BDS("STL US Equity","SUPPLY_CHAIN_CUSTOMERS","RELATIONSHIP_AS_OF_DATE","20040316")</f>
        <v/>
      </c>
      <c r="AO5">
        <f>BDS("PLAB US Equity","SUPPLY_CHAIN_SUPPLIERS","RELATIONSHIP_AS_OF_DATE","19990915")</f>
        <v/>
      </c>
      <c r="AT5">
        <f>BDS("PLAB US Equity","SUPPLY_CHAIN_CUSTOMERS","RELATIONSHIP_AS_OF_DATE","19990915")</f>
        <v/>
      </c>
      <c r="AY5">
        <f>BDS("2676187Q US Equity","SUPPLY_CHAIN_SUPPLIERS","RELATIONSHIP_AS_OF_DATE","20040205")</f>
        <v/>
      </c>
      <c r="BD5">
        <f>BDS("2676187Q US Equity","SUPPLY_CHAIN_CUSTOMERS","RELATIONSHIP_AS_OF_DATE","20040205")</f>
        <v/>
      </c>
      <c r="BI5">
        <f>BDS("KMAGQ US Equity","SUPPLY_CHAIN_SUPPLIERS","RELATIONSHIP_AS_OF_DATE","20000426")</f>
        <v/>
      </c>
      <c r="BN5">
        <f>BDS("KMAGQ US Equity","SUPPLY_CHAIN_CUSTOMERS","RELATIONSHIP_AS_OF_DATE","20000426")</f>
        <v/>
      </c>
      <c r="BS5">
        <f>BDS("NWBI US Equity","SUPPLY_CHAIN_SUPPLIERS","RELATIONSHIP_AS_OF_DATE","20010816")</f>
        <v/>
      </c>
      <c r="BX5">
        <f>BDS("NWBI US Equity","SUPPLY_CHAIN_CUSTOMERS","RELATIONSHIP_AS_OF_DATE","20010816")</f>
        <v/>
      </c>
      <c r="CC5">
        <f>BDS("XCRA US Equity","SUPPLY_CHAIN_SUPPLIERS","RELATIONSHIP_AS_OF_DATE","20080623")</f>
        <v/>
      </c>
      <c r="CH5">
        <f>BDS("XCRA US Equity","SUPPLY_CHAIN_CUSTOMERS","RELATIONSHIP_AS_OF_DATE","20080623")</f>
        <v/>
      </c>
      <c r="CM5">
        <f>BDS("1916526D US Equity","SUPPLY_CHAIN_SUPPLIERS","RELATIONSHIP_AS_OF_DATE","19990922")</f>
        <v/>
      </c>
      <c r="CR5">
        <f>BDS("1916526D US Equity","SUPPLY_CHAIN_CUSTOMERS","RELATIONSHIP_AS_OF_DATE","19990922")</f>
        <v/>
      </c>
      <c r="CW5">
        <f>BDS("OCFC US Equity","SUPPLY_CHAIN_SUPPLIERS","RELATIONSHIP_AS_OF_DATE","20160713")</f>
        <v/>
      </c>
      <c r="DB5">
        <f>BDS("OCFC US Equity","SUPPLY_CHAIN_CUSTOMERS","RELATIONSHIP_AS_OF_DATE","20160713")</f>
        <v/>
      </c>
      <c r="DG5">
        <f>BDS("NUAN US Equity","SUPPLY_CHAIN_SUPPLIERS","RELATIONSHIP_AS_OF_DATE","20000117")</f>
        <v/>
      </c>
      <c r="DL5">
        <f>BDS("NUAN US Equity","SUPPLY_CHAIN_CUSTOMERS","RELATIONSHIP_AS_OF_DATE","20000117")</f>
        <v/>
      </c>
      <c r="DQ5">
        <f>BDS("653707Q US Equity","SUPPLY_CHAIN_SUPPLIERS","RELATIONSHIP_AS_OF_DATE","19990119")</f>
        <v/>
      </c>
      <c r="DV5">
        <f>BDS("653707Q US Equity","SUPPLY_CHAIN_CUSTOMERS","RELATIONSHIP_AS_OF_DATE","19990119")</f>
        <v/>
      </c>
      <c r="EA5">
        <f>BDS("FCPR US Equity","SUPPLY_CHAIN_SUPPLIERS","RELATIONSHIP_AS_OF_DATE","19990506")</f>
        <v/>
      </c>
      <c r="EF5">
        <f>BDS("FCPR US Equity","SUPPLY_CHAIN_CUSTOMERS","RELATIONSHIP_AS_OF_DATE","19990506")</f>
        <v/>
      </c>
      <c r="EK5">
        <f>BDS("1894768D US Equity","SUPPLY_CHAIN_SUPPLIERS","RELATIONSHIP_AS_OF_DATE","20020610")</f>
        <v/>
      </c>
      <c r="EP5">
        <f>BDS("1894768D US Equity","SUPPLY_CHAIN_CUSTOMERS","RELATIONSHIP_AS_OF_DATE","20020610")</f>
        <v/>
      </c>
      <c r="EU5">
        <f>BDS("3354388Q US Equity","SUPPLY_CHAIN_SUPPLIERS","RELATIONSHIP_AS_OF_DATE","19990623")</f>
        <v/>
      </c>
      <c r="EZ5">
        <f>BDS("3354388Q US Equity","SUPPLY_CHAIN_CUSTOMERS","RELATIONSHIP_AS_OF_DATE","19990623")</f>
        <v/>
      </c>
      <c r="FE5">
        <f>BDS("FOR US Equity","SUPPLY_CHAIN_SUPPLIERS","RELATIONSHIP_AS_OF_DATE","20120604")</f>
        <v/>
      </c>
      <c r="FJ5">
        <f>BDS("FOR US Equity","SUPPLY_CHAIN_CUSTOMERS","RELATIONSHIP_AS_OF_DATE","20120604")</f>
        <v/>
      </c>
      <c r="FO5">
        <f>BDS("WAXS US Equity","SUPPLY_CHAIN_SUPPLIERS","RELATIONSHIP_AS_OF_DATE","19980604")</f>
        <v/>
      </c>
      <c r="FT5">
        <f>BDS("WAXS US Equity","SUPPLY_CHAIN_CUSTOMERS","RELATIONSHIP_AS_OF_DATE","19980604")</f>
        <v/>
      </c>
      <c r="FY5">
        <f>BDS("BAX US Equity","SUPPLY_CHAIN_SUPPLIERS","RELATIONSHIP_AS_OF_DATE","20020227")</f>
        <v/>
      </c>
      <c r="GD5">
        <f>BDS("BAX US Equity","SUPPLY_CHAIN_CUSTOMERS","RELATIONSHIP_AS_OF_DATE","20020227")</f>
        <v/>
      </c>
      <c r="GI5">
        <f>BDS("FCGI US Equity","SUPPLY_CHAIN_SUPPLIERS","RELATIONSHIP_AS_OF_DATE","19980909")</f>
        <v/>
      </c>
      <c r="GN5">
        <f>BDS("FCGI US Equity","SUPPLY_CHAIN_CUSTOMERS","RELATIONSHIP_AS_OF_DATE","19980909")</f>
        <v/>
      </c>
      <c r="GS5">
        <f>BDS("IT US Equity","SUPPLY_CHAIN_SUPPLIERS","RELATIONSHIP_AS_OF_DATE","20041227")</f>
        <v/>
      </c>
      <c r="GX5">
        <f>BDS("IT US Equity","SUPPLY_CHAIN_CUSTOMERS","RELATIONSHIP_AS_OF_DATE","20041227")</f>
        <v/>
      </c>
      <c r="HC5">
        <f>BDS("FCBN US Equity","SUPPLY_CHAIN_SUPPLIERS","RELATIONSHIP_AS_OF_DATE","20050307")</f>
        <v/>
      </c>
      <c r="HH5">
        <f>BDS("FCBN US Equity","SUPPLY_CHAIN_CUSTOMERS","RELATIONSHIP_AS_OF_DATE","20050307")</f>
        <v/>
      </c>
      <c r="HM5">
        <f>BDS("EWBC US Equity","SUPPLY_CHAIN_SUPPLIERS","RELATIONSHIP_AS_OF_DATE","20070424")</f>
        <v/>
      </c>
      <c r="HR5">
        <f>BDS("EWBC US Equity","SUPPLY_CHAIN_CUSTOMERS","RELATIONSHIP_AS_OF_DATE","20070424")</f>
        <v/>
      </c>
      <c r="HW5">
        <f>BDS("1073675D US Equity","SUPPLY_CHAIN_SUPPLIERS","RELATIONSHIP_AS_OF_DATE","19991115")</f>
        <v/>
      </c>
      <c r="IB5">
        <f>BDS("1073675D US Equity","SUPPLY_CHAIN_CUSTOMERS","RELATIONSHIP_AS_OF_DATE","19991115")</f>
        <v/>
      </c>
      <c r="IG5">
        <f>BDS("SCFS US Equity","SUPPLY_CHAIN_SUPPLIERS","RELATIONSHIP_AS_OF_DATE","20031021")</f>
        <v/>
      </c>
      <c r="IL5">
        <f>BDS("SCFS US Equity","SUPPLY_CHAIN_CUSTOMERS","RELATIONSHIP_AS_OF_DATE","20031021")</f>
        <v/>
      </c>
      <c r="IQ5">
        <f>BDS("BBT US Equity","SUPPLY_CHAIN_SUPPLIERS","RELATIONSHIP_AS_OF_DATE","20041217")</f>
        <v/>
      </c>
      <c r="IV5">
        <f>BDS("BBT US Equity","SUPPLY_CHAIN_CUSTOMERS","RELATIONSHIP_AS_OF_DATE","20041217")</f>
        <v/>
      </c>
      <c r="JA5">
        <f>BDS("RNST US Equity","SUPPLY_CHAIN_SUPPLIERS","RELATIONSHIP_AS_OF_DATE","20070205")</f>
        <v/>
      </c>
      <c r="JF5">
        <f>BDS("RNST US Equity","SUPPLY_CHAIN_CUSTOMERS","RELATIONSHIP_AS_OF_DATE","20070205")</f>
        <v/>
      </c>
      <c r="JK5">
        <f>BDS("FLO US Equity","SUPPLY_CHAIN_SUPPLIERS","RELATIONSHIP_AS_OF_DATE","20110411")</f>
        <v/>
      </c>
      <c r="JP5">
        <f>BDS("FLO US Equity","SUPPLY_CHAIN_CUSTOMERS","RELATIONSHIP_AS_OF_DATE","20110411")</f>
        <v/>
      </c>
      <c r="JU5">
        <f>BDS("IWOV US Equity","SUPPLY_CHAIN_SUPPLIERS","RELATIONSHIP_AS_OF_DATE","20030806")</f>
        <v/>
      </c>
      <c r="JZ5">
        <f>BDS("IWOV US Equity","SUPPLY_CHAIN_CUSTOMERS","RELATIONSHIP_AS_OF_DATE","20030806")</f>
        <v/>
      </c>
      <c r="KE5">
        <f>BDS("AMFH US Equity","SUPPLY_CHAIN_SUPPLIERS","RELATIONSHIP_AS_OF_DATE","20010719")</f>
        <v/>
      </c>
      <c r="KJ5">
        <f>BDS("AMFH US Equity","SUPPLY_CHAIN_CUSTOMERS","RELATIONSHIP_AS_OF_DATE","20010719")</f>
        <v/>
      </c>
      <c r="KO5">
        <f>BDS("WINMQ US Equity","SUPPLY_CHAIN_SUPPLIERS","RELATIONSHIP_AS_OF_DATE","20090908")</f>
        <v/>
      </c>
      <c r="KT5">
        <f>BDS("WINMQ US Equity","SUPPLY_CHAIN_CUSTOMERS","RELATIONSHIP_AS_OF_DATE","20090908")</f>
        <v/>
      </c>
      <c r="KY5">
        <f>BDS("HSP US Equity","SUPPLY_CHAIN_SUPPLIERS","RELATIONSHIP_AS_OF_DATE","20100412")</f>
        <v/>
      </c>
      <c r="LD5">
        <f>BDS("HSP US Equity","SUPPLY_CHAIN_CUSTOMERS","RELATIONSHIP_AS_OF_DATE","20100412")</f>
        <v/>
      </c>
      <c r="LI5">
        <f>BDS("PFE US Equity","SUPPLY_CHAIN_SUPPLIERS","RELATIONSHIP_AS_OF_DATE","20071116")</f>
        <v/>
      </c>
      <c r="LN5">
        <f>BDS("PFE US Equity","SUPPLY_CHAIN_CUSTOMERS","RELATIONSHIP_AS_OF_DATE","20071116")</f>
        <v/>
      </c>
      <c r="LS5">
        <f>BDS("BHB US Equity","SUPPLY_CHAIN_SUPPLIERS","RELATIONSHIP_AS_OF_DATE","20160505")</f>
        <v/>
      </c>
      <c r="LX5">
        <f>BDS("BHB US Equity","SUPPLY_CHAIN_CUSTOMERS","RELATIONSHIP_AS_OF_DATE","20160505")</f>
        <v/>
      </c>
      <c r="MC5">
        <f>BDS("CBU US Equity","SUPPLY_CHAIN_SUPPLIERS","RELATIONSHIP_AS_OF_DATE","20150224")</f>
        <v/>
      </c>
      <c r="MH5">
        <f>BDS("CBU US Equity","SUPPLY_CHAIN_CUSTOMERS","RELATIONSHIP_AS_OF_DATE","20150224")</f>
        <v/>
      </c>
      <c r="MM5">
        <f>BDS("CVC US Equity","SUPPLY_CHAIN_SUPPLIERS","RELATIONSHIP_AS_OF_DATE","19980813")</f>
        <v/>
      </c>
      <c r="MR5">
        <f>BDS("CVC US Equity","SUPPLY_CHAIN_CUSTOMERS","RELATIONSHIP_AS_OF_DATE","19980813")</f>
        <v/>
      </c>
      <c r="MW5">
        <f>BDS("1321686D US Equity","SUPPLY_CHAIN_SUPPLIERS","RELATIONSHIP_AS_OF_DATE","20121119")</f>
        <v/>
      </c>
      <c r="NB5">
        <f>BDS("1321686D US Equity","SUPPLY_CHAIN_CUSTOMERS","RELATIONSHIP_AS_OF_DATE","20121119")</f>
        <v/>
      </c>
      <c r="NG5">
        <f>BDS("PATK US Equity","SUPPLY_CHAIN_SUPPLIERS","RELATIONSHIP_AS_OF_DATE","20220224")</f>
        <v/>
      </c>
      <c r="NL5">
        <f>BDS("PATK US Equity","SUPPLY_CHAIN_CUSTOMERS","RELATIONSHIP_AS_OF_DATE","20220224")</f>
        <v/>
      </c>
      <c r="NQ5">
        <f>BDS("JH US Equity","SUPPLY_CHAIN_SUPPLIERS","RELATIONSHIP_AS_OF_DATE","20000717")</f>
        <v/>
      </c>
      <c r="NV5">
        <f>BDS("JH US Equity","SUPPLY_CHAIN_CUSTOMERS","RELATIONSHIP_AS_OF_DATE","20000717")</f>
        <v/>
      </c>
      <c r="OA5">
        <f>BDS("HNBC US Equity","SUPPLY_CHAIN_SUPPLIERS","RELATIONSHIP_AS_OF_DATE","20070516")</f>
        <v/>
      </c>
      <c r="OF5">
        <f>BDS("HNBC US Equity","SUPPLY_CHAIN_CUSTOMERS","RELATIONSHIP_AS_OF_DATE","20070516")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3041</t>
        </is>
      </c>
      <c r="K1" s="1" t="inlineStr">
        <is>
          <t>Deal 3042</t>
        </is>
      </c>
      <c r="U1" s="1" t="inlineStr">
        <is>
          <t>Deal 3043</t>
        </is>
      </c>
      <c r="AE1" s="1" t="inlineStr">
        <is>
          <t>Deal 3044</t>
        </is>
      </c>
      <c r="AO1" s="1" t="inlineStr">
        <is>
          <t>Deal 3045</t>
        </is>
      </c>
      <c r="AY1" s="1" t="inlineStr">
        <is>
          <t>Deal 3046</t>
        </is>
      </c>
      <c r="BI1" s="1" t="inlineStr">
        <is>
          <t>Deal 3047</t>
        </is>
      </c>
      <c r="BS1" s="1" t="inlineStr">
        <is>
          <t>Deal 3048</t>
        </is>
      </c>
      <c r="CC1" s="1" t="inlineStr">
        <is>
          <t>Deal 3049</t>
        </is>
      </c>
      <c r="CM1" s="1" t="inlineStr">
        <is>
          <t>Deal 3050</t>
        </is>
      </c>
      <c r="CW1" s="1" t="inlineStr">
        <is>
          <t>Deal 3051</t>
        </is>
      </c>
      <c r="DG1" s="1" t="inlineStr">
        <is>
          <t>Deal 3052</t>
        </is>
      </c>
      <c r="DQ1" s="1" t="inlineStr">
        <is>
          <t>Deal 3053</t>
        </is>
      </c>
      <c r="EA1" s="1" t="inlineStr">
        <is>
          <t>Deal 3054</t>
        </is>
      </c>
      <c r="EK1" s="1" t="inlineStr">
        <is>
          <t>Deal 3055</t>
        </is>
      </c>
      <c r="EU1" s="1" t="inlineStr">
        <is>
          <t>Deal 3056</t>
        </is>
      </c>
      <c r="FE1" s="1" t="inlineStr">
        <is>
          <t>Deal 3057</t>
        </is>
      </c>
      <c r="FO1" s="1" t="inlineStr">
        <is>
          <t>Deal 3058</t>
        </is>
      </c>
      <c r="FY1" s="1" t="inlineStr">
        <is>
          <t>Deal 3059</t>
        </is>
      </c>
      <c r="GI1" s="1" t="inlineStr">
        <is>
          <t>Deal 3060</t>
        </is>
      </c>
      <c r="GS1" s="1" t="inlineStr">
        <is>
          <t>Deal 3061</t>
        </is>
      </c>
      <c r="HC1" s="1" t="inlineStr">
        <is>
          <t>Deal 3062</t>
        </is>
      </c>
      <c r="HM1" s="1" t="inlineStr">
        <is>
          <t>Deal 3063</t>
        </is>
      </c>
      <c r="HW1" s="1" t="inlineStr">
        <is>
          <t>Deal 3064</t>
        </is>
      </c>
      <c r="IG1" s="1" t="inlineStr">
        <is>
          <t>Deal 3065</t>
        </is>
      </c>
      <c r="IQ1" s="1" t="inlineStr">
        <is>
          <t>Deal 3066</t>
        </is>
      </c>
      <c r="JA1" s="1" t="inlineStr">
        <is>
          <t>Deal 3067</t>
        </is>
      </c>
      <c r="JK1" s="1" t="inlineStr">
        <is>
          <t>Deal 3068</t>
        </is>
      </c>
      <c r="JU1" s="1" t="inlineStr">
        <is>
          <t>Deal 3069</t>
        </is>
      </c>
      <c r="KE1" s="1" t="inlineStr">
        <is>
          <t>Deal 3070</t>
        </is>
      </c>
      <c r="KO1" s="1" t="inlineStr">
        <is>
          <t>Deal 3071</t>
        </is>
      </c>
      <c r="KY1" s="1" t="inlineStr">
        <is>
          <t>Deal 3072</t>
        </is>
      </c>
      <c r="LI1" s="1" t="inlineStr">
        <is>
          <t>Deal 3073</t>
        </is>
      </c>
      <c r="LS1" s="1" t="inlineStr">
        <is>
          <t>Deal 3074</t>
        </is>
      </c>
      <c r="MC1" s="1" t="inlineStr">
        <is>
          <t>Deal 3075</t>
        </is>
      </c>
      <c r="MM1" s="1" t="inlineStr">
        <is>
          <t>Deal 3076</t>
        </is>
      </c>
      <c r="MW1" s="1" t="inlineStr">
        <is>
          <t>Deal 3077</t>
        </is>
      </c>
      <c r="NG1" s="1" t="inlineStr">
        <is>
          <t>Deal 3078</t>
        </is>
      </c>
      <c r="NQ1" s="1" t="inlineStr">
        <is>
          <t>Deal 3079</t>
        </is>
      </c>
      <c r="OA1" s="1" t="inlineStr">
        <is>
          <t>Deal 3080</t>
        </is>
      </c>
    </row>
    <row r="2">
      <c r="A2" s="2" t="inlineStr">
        <is>
          <t>THFF US Equity</t>
        </is>
      </c>
      <c r="K2" s="2" t="inlineStr">
        <is>
          <t>CDE US Equity</t>
        </is>
      </c>
      <c r="U2" s="2" t="inlineStr">
        <is>
          <t>MBFI US Equity</t>
        </is>
      </c>
      <c r="AE2" s="2" t="inlineStr">
        <is>
          <t>3592185Q US Equity</t>
        </is>
      </c>
      <c r="AO2" s="2" t="inlineStr">
        <is>
          <t>SBLUQ US Equity</t>
        </is>
      </c>
      <c r="AY2" s="2" t="inlineStr">
        <is>
          <t>FULT US Equity</t>
        </is>
      </c>
      <c r="BI2" s="2" t="inlineStr">
        <is>
          <t>NBTB US Equity</t>
        </is>
      </c>
      <c r="BS2" s="2" t="inlineStr">
        <is>
          <t>WABC US Equity</t>
        </is>
      </c>
      <c r="CC2" s="2" t="inlineStr">
        <is>
          <t>NIC US Equity</t>
        </is>
      </c>
      <c r="CM2" s="2" t="inlineStr">
        <is>
          <t>PRU US Equity</t>
        </is>
      </c>
      <c r="CW2" s="2" t="inlineStr">
        <is>
          <t>PTIX US Equity</t>
        </is>
      </c>
      <c r="DG2" s="2" t="inlineStr">
        <is>
          <t>SHBI US Equity</t>
        </is>
      </c>
      <c r="DQ2" s="2" t="inlineStr">
        <is>
          <t>RCRC US Equity</t>
        </is>
      </c>
      <c r="EA2" s="2" t="inlineStr">
        <is>
          <t>GWB US Equity</t>
        </is>
      </c>
      <c r="EK2" s="2" t="inlineStr">
        <is>
          <t>TCR US Equity</t>
        </is>
      </c>
      <c r="EU2" s="2" t="inlineStr">
        <is>
          <t>SAGI US Equity</t>
        </is>
      </c>
      <c r="FE2" s="2" t="inlineStr">
        <is>
          <t>CLBK US Equity</t>
        </is>
      </c>
      <c r="FO2" s="2" t="inlineStr">
        <is>
          <t>EAGB US Equity</t>
        </is>
      </c>
      <c r="FY2" s="2" t="inlineStr">
        <is>
          <t>TFC US Equity</t>
        </is>
      </c>
      <c r="GI2" s="2" t="inlineStr">
        <is>
          <t>DCOM US Equity</t>
        </is>
      </c>
      <c r="GS2" s="2" t="inlineStr">
        <is>
          <t>AAL US Equity</t>
        </is>
      </c>
      <c r="HC2" s="2" t="inlineStr">
        <is>
          <t>CBONQ US Equity</t>
        </is>
      </c>
      <c r="HM2" s="2" t="inlineStr">
        <is>
          <t>DEIX US Equity</t>
        </is>
      </c>
      <c r="HW2" s="2" t="inlineStr">
        <is>
          <t>1740293D US Equity</t>
        </is>
      </c>
      <c r="IG2" s="2" t="inlineStr">
        <is>
          <t>VLY US Equity</t>
        </is>
      </c>
      <c r="IQ2" s="2" t="inlineStr">
        <is>
          <t>VRTX US Equity</t>
        </is>
      </c>
      <c r="JA2" s="2" t="inlineStr">
        <is>
          <t>TFC US Equity</t>
        </is>
      </c>
      <c r="JK2" s="2" t="inlineStr">
        <is>
          <t>ISBC US Equity</t>
        </is>
      </c>
      <c r="JU2" s="2" t="inlineStr">
        <is>
          <t>AGR US Equity</t>
        </is>
      </c>
      <c r="KE2" s="2" t="inlineStr">
        <is>
          <t>1822785D US Equity</t>
        </is>
      </c>
      <c r="KO2" s="2" t="inlineStr">
        <is>
          <t>FNB US Equity</t>
        </is>
      </c>
      <c r="KY2" s="2" t="inlineStr">
        <is>
          <t>9980328D US Equity</t>
        </is>
      </c>
      <c r="LI2" s="2" t="inlineStr">
        <is>
          <t>ARW US Equity</t>
        </is>
      </c>
      <c r="LS2" s="2" t="inlineStr">
        <is>
          <t>HUM US Equity</t>
        </is>
      </c>
      <c r="MC2" s="2" t="inlineStr">
        <is>
          <t>BMRC US Equity</t>
        </is>
      </c>
      <c r="MM2" s="2" t="inlineStr">
        <is>
          <t>388103Q US Equity</t>
        </is>
      </c>
      <c r="MW2" s="2" t="inlineStr">
        <is>
          <t>ALTO US Equity</t>
        </is>
      </c>
      <c r="NG2" s="2" t="inlineStr">
        <is>
          <t>SVC US Equity</t>
        </is>
      </c>
      <c r="NQ2" s="2" t="inlineStr">
        <is>
          <t>653707Q US Equity</t>
        </is>
      </c>
      <c r="OA2" s="2" t="inlineStr">
        <is>
          <t>103917Q US Equity</t>
        </is>
      </c>
    </row>
    <row r="3">
      <c r="A3" t="inlineStr">
        <is>
          <t>Ann: 2019-01-07</t>
        </is>
      </c>
      <c r="K3" t="inlineStr">
        <is>
          <t>Ann: 2014-12-17</t>
        </is>
      </c>
      <c r="U3" t="inlineStr">
        <is>
          <t>Ann: 2004-01-12</t>
        </is>
      </c>
      <c r="AE3" t="inlineStr">
        <is>
          <t>Ann: 1999-08-02</t>
        </is>
      </c>
      <c r="AO3" t="inlineStr">
        <is>
          <t>Ann: 1999-06-22</t>
        </is>
      </c>
      <c r="AY3" t="inlineStr">
        <is>
          <t>Ann: 2000-12-27</t>
        </is>
      </c>
      <c r="BI3" t="inlineStr">
        <is>
          <t>Ann: 2001-06-19</t>
        </is>
      </c>
      <c r="BS3" t="inlineStr">
        <is>
          <t>Ann: 2004-08-25</t>
        </is>
      </c>
      <c r="CC3" t="inlineStr">
        <is>
          <t>Ann: 2015-09-08</t>
        </is>
      </c>
      <c r="CM3" t="inlineStr">
        <is>
          <t>Ann: 2000-05-10</t>
        </is>
      </c>
      <c r="CW3" t="inlineStr">
        <is>
          <t>Ann: 2007-09-27</t>
        </is>
      </c>
      <c r="DG3" t="inlineStr">
        <is>
          <t>Ann: 2021-03-03</t>
        </is>
      </c>
      <c r="DQ3" t="inlineStr">
        <is>
          <t>Ann: 2004-06-07</t>
        </is>
      </c>
      <c r="EA3" t="inlineStr">
        <is>
          <t>Ann: 2015-11-30</t>
        </is>
      </c>
      <c r="EK3" t="inlineStr">
        <is>
          <t>Ann: 2003-02-19</t>
        </is>
      </c>
      <c r="EU3" t="inlineStr">
        <is>
          <t>Ann: 2000-02-22</t>
        </is>
      </c>
      <c r="FE3" t="inlineStr">
        <is>
          <t>Ann: 2019-06-07</t>
        </is>
      </c>
      <c r="FO3" t="inlineStr">
        <is>
          <t>Ann: 2000-08-15</t>
        </is>
      </c>
      <c r="FY3" t="inlineStr">
        <is>
          <t>Ann: 2000-08-23</t>
        </is>
      </c>
      <c r="GI3" t="inlineStr">
        <is>
          <t>Ann: 2014-12-15</t>
        </is>
      </c>
      <c r="GS3" t="inlineStr">
        <is>
          <t>Ann: 1998-11-19</t>
        </is>
      </c>
      <c r="HC3" t="inlineStr">
        <is>
          <t>Ann: 2006-06-28</t>
        </is>
      </c>
      <c r="HM3" t="inlineStr">
        <is>
          <t>Ann: 2006-08-21</t>
        </is>
      </c>
      <c r="HW3" t="inlineStr">
        <is>
          <t>Ann: 2003-07-15</t>
        </is>
      </c>
      <c r="IG3" t="inlineStr">
        <is>
          <t>Ann: 2004-12-02</t>
        </is>
      </c>
      <c r="IQ3" t="inlineStr">
        <is>
          <t>Ann: 2001-04-30</t>
        </is>
      </c>
      <c r="JA3" t="inlineStr">
        <is>
          <t>Ann: 1999-12-15</t>
        </is>
      </c>
      <c r="JK3" t="inlineStr">
        <is>
          <t>Ann: 2008-12-15</t>
        </is>
      </c>
      <c r="JU3" t="inlineStr">
        <is>
          <t>Ann: 1999-11-10</t>
        </is>
      </c>
      <c r="KE3" t="inlineStr">
        <is>
          <t>Ann: 2000-09-21</t>
        </is>
      </c>
      <c r="KO3" t="inlineStr">
        <is>
          <t>Ann: 2004-10-15</t>
        </is>
      </c>
      <c r="KY3" t="inlineStr">
        <is>
          <t>Ann: 2009-06-23</t>
        </is>
      </c>
      <c r="LI3" t="inlineStr">
        <is>
          <t>Ann: 1998-10-01</t>
        </is>
      </c>
      <c r="LS3" t="inlineStr">
        <is>
          <t>Ann: 2007-09-07</t>
        </is>
      </c>
      <c r="MC3" t="inlineStr">
        <is>
          <t>Ann: 2021-04-19</t>
        </is>
      </c>
      <c r="MM3" t="inlineStr">
        <is>
          <t>Ann: 1998-07-20</t>
        </is>
      </c>
      <c r="MW3" t="inlineStr">
        <is>
          <t>Ann: 2014-12-31</t>
        </is>
      </c>
      <c r="NG3" t="inlineStr">
        <is>
          <t>Ann: 2011-11-03</t>
        </is>
      </c>
      <c r="NQ3" t="inlineStr">
        <is>
          <t>Ann: 2001-03-22</t>
        </is>
      </c>
      <c r="OA3" t="inlineStr">
        <is>
          <t>Ann: 1998-12-16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BDS("THFF US Equity","SUPPLY_CHAIN_SUPPLIERS","RELATIONSHIP_AS_OF_DATE","20190107")</f>
        <v/>
      </c>
      <c r="F5">
        <f>BDS("THFF US Equity","SUPPLY_CHAIN_CUSTOMERS","RELATIONSHIP_AS_OF_DATE","20190107")</f>
        <v/>
      </c>
      <c r="K5">
        <f>BDS("CDE US Equity","SUPPLY_CHAIN_SUPPLIERS","RELATIONSHIP_AS_OF_DATE","20141217")</f>
        <v/>
      </c>
      <c r="P5">
        <f>BDS("CDE US Equity","SUPPLY_CHAIN_CUSTOMERS","RELATIONSHIP_AS_OF_DATE","20141217")</f>
        <v/>
      </c>
      <c r="U5">
        <f>BDS("MBFI US Equity","SUPPLY_CHAIN_SUPPLIERS","RELATIONSHIP_AS_OF_DATE","20040112")</f>
        <v/>
      </c>
      <c r="Z5">
        <f>BDS("MBFI US Equity","SUPPLY_CHAIN_CUSTOMERS","RELATIONSHIP_AS_OF_DATE","20040112")</f>
        <v/>
      </c>
      <c r="AE5">
        <f>BDS("3592185Q US Equity","SUPPLY_CHAIN_SUPPLIERS","RELATIONSHIP_AS_OF_DATE","19990802")</f>
        <v/>
      </c>
      <c r="AJ5">
        <f>BDS("3592185Q US Equity","SUPPLY_CHAIN_CUSTOMERS","RELATIONSHIP_AS_OF_DATE","19990802")</f>
        <v/>
      </c>
      <c r="AO5">
        <f>BDS("SBLUQ US Equity","SUPPLY_CHAIN_SUPPLIERS","RELATIONSHIP_AS_OF_DATE","19990622")</f>
        <v/>
      </c>
      <c r="AT5">
        <f>BDS("SBLUQ US Equity","SUPPLY_CHAIN_CUSTOMERS","RELATIONSHIP_AS_OF_DATE","19990622")</f>
        <v/>
      </c>
      <c r="AY5">
        <f>BDS("FULT US Equity","SUPPLY_CHAIN_SUPPLIERS","RELATIONSHIP_AS_OF_DATE","20001227")</f>
        <v/>
      </c>
      <c r="BD5">
        <f>BDS("FULT US Equity","SUPPLY_CHAIN_CUSTOMERS","RELATIONSHIP_AS_OF_DATE","20001227")</f>
        <v/>
      </c>
      <c r="BI5">
        <f>BDS("NBTB US Equity","SUPPLY_CHAIN_SUPPLIERS","RELATIONSHIP_AS_OF_DATE","20010619")</f>
        <v/>
      </c>
      <c r="BN5">
        <f>BDS("NBTB US Equity","SUPPLY_CHAIN_CUSTOMERS","RELATIONSHIP_AS_OF_DATE","20010619")</f>
        <v/>
      </c>
      <c r="BS5">
        <f>BDS("WABC US Equity","SUPPLY_CHAIN_SUPPLIERS","RELATIONSHIP_AS_OF_DATE","20040825")</f>
        <v/>
      </c>
      <c r="BX5">
        <f>BDS("WABC US Equity","SUPPLY_CHAIN_CUSTOMERS","RELATIONSHIP_AS_OF_DATE","20040825")</f>
        <v/>
      </c>
      <c r="CC5">
        <f>BDS("NIC US Equity","SUPPLY_CHAIN_SUPPLIERS","RELATIONSHIP_AS_OF_DATE","20150908")</f>
        <v/>
      </c>
      <c r="CH5">
        <f>BDS("NIC US Equity","SUPPLY_CHAIN_CUSTOMERS","RELATIONSHIP_AS_OF_DATE","20150908")</f>
        <v/>
      </c>
      <c r="CM5">
        <f>BDS("PRU US Equity","SUPPLY_CHAIN_SUPPLIERS","RELATIONSHIP_AS_OF_DATE","20000510")</f>
        <v/>
      </c>
      <c r="CR5">
        <f>BDS("PRU US Equity","SUPPLY_CHAIN_CUSTOMERS","RELATIONSHIP_AS_OF_DATE","20000510")</f>
        <v/>
      </c>
      <c r="CW5">
        <f>BDS("PTIX US Equity","SUPPLY_CHAIN_SUPPLIERS","RELATIONSHIP_AS_OF_DATE","20070927")</f>
        <v/>
      </c>
      <c r="DB5">
        <f>BDS("PTIX US Equity","SUPPLY_CHAIN_CUSTOMERS","RELATIONSHIP_AS_OF_DATE","20070927")</f>
        <v/>
      </c>
      <c r="DG5">
        <f>BDS("SHBI US Equity","SUPPLY_CHAIN_SUPPLIERS","RELATIONSHIP_AS_OF_DATE","20210303")</f>
        <v/>
      </c>
      <c r="DL5">
        <f>BDS("SHBI US Equity","SUPPLY_CHAIN_CUSTOMERS","RELATIONSHIP_AS_OF_DATE","20210303")</f>
        <v/>
      </c>
      <c r="DQ5">
        <f>BDS("RCRC US Equity","SUPPLY_CHAIN_SUPPLIERS","RELATIONSHIP_AS_OF_DATE","20040607")</f>
        <v/>
      </c>
      <c r="DV5">
        <f>BDS("RCRC US Equity","SUPPLY_CHAIN_CUSTOMERS","RELATIONSHIP_AS_OF_DATE","20040607")</f>
        <v/>
      </c>
      <c r="EA5">
        <f>BDS("GWB US Equity","SUPPLY_CHAIN_SUPPLIERS","RELATIONSHIP_AS_OF_DATE","20151130")</f>
        <v/>
      </c>
      <c r="EF5">
        <f>BDS("GWB US Equity","SUPPLY_CHAIN_CUSTOMERS","RELATIONSHIP_AS_OF_DATE","20151130")</f>
        <v/>
      </c>
      <c r="EK5">
        <f>BDS("TCR US Equity","SUPPLY_CHAIN_SUPPLIERS","RELATIONSHIP_AS_OF_DATE","20030219")</f>
        <v/>
      </c>
      <c r="EP5">
        <f>BDS("TCR US Equity","SUPPLY_CHAIN_CUSTOMERS","RELATIONSHIP_AS_OF_DATE","20030219")</f>
        <v/>
      </c>
      <c r="EU5">
        <f>BDS("SAGI US Equity","SUPPLY_CHAIN_SUPPLIERS","RELATIONSHIP_AS_OF_DATE","20000222")</f>
        <v/>
      </c>
      <c r="EZ5">
        <f>BDS("SAGI US Equity","SUPPLY_CHAIN_CUSTOMERS","RELATIONSHIP_AS_OF_DATE","20000222")</f>
        <v/>
      </c>
      <c r="FE5">
        <f>BDS("CLBK US Equity","SUPPLY_CHAIN_SUPPLIERS","RELATIONSHIP_AS_OF_DATE","20190607")</f>
        <v/>
      </c>
      <c r="FJ5">
        <f>BDS("CLBK US Equity","SUPPLY_CHAIN_CUSTOMERS","RELATIONSHIP_AS_OF_DATE","20190607")</f>
        <v/>
      </c>
      <c r="FO5">
        <f>BDS("EAGB US Equity","SUPPLY_CHAIN_SUPPLIERS","RELATIONSHIP_AS_OF_DATE","20000815")</f>
        <v/>
      </c>
      <c r="FT5">
        <f>BDS("EAGB US Equity","SUPPLY_CHAIN_CUSTOMERS","RELATIONSHIP_AS_OF_DATE","20000815")</f>
        <v/>
      </c>
      <c r="FY5">
        <f>BDS("TFC US Equity","SUPPLY_CHAIN_SUPPLIERS","RELATIONSHIP_AS_OF_DATE","20000823")</f>
        <v/>
      </c>
      <c r="GD5">
        <f>BDS("TFC US Equity","SUPPLY_CHAIN_CUSTOMERS","RELATIONSHIP_AS_OF_DATE","20000823")</f>
        <v/>
      </c>
      <c r="GI5">
        <f>BDS("DCOM US Equity","SUPPLY_CHAIN_SUPPLIERS","RELATIONSHIP_AS_OF_DATE","20141215")</f>
        <v/>
      </c>
      <c r="GN5">
        <f>BDS("DCOM US Equity","SUPPLY_CHAIN_CUSTOMERS","RELATIONSHIP_AS_OF_DATE","20141215")</f>
        <v/>
      </c>
      <c r="GS5">
        <f>BDS("AAL US Equity","SUPPLY_CHAIN_SUPPLIERS","RELATIONSHIP_AS_OF_DATE","19981119")</f>
        <v/>
      </c>
      <c r="GX5">
        <f>BDS("AAL US Equity","SUPPLY_CHAIN_CUSTOMERS","RELATIONSHIP_AS_OF_DATE","19981119")</f>
        <v/>
      </c>
      <c r="HC5">
        <f>BDS("CBONQ US Equity","SUPPLY_CHAIN_SUPPLIERS","RELATIONSHIP_AS_OF_DATE","20060628")</f>
        <v/>
      </c>
      <c r="HH5">
        <f>BDS("CBONQ US Equity","SUPPLY_CHAIN_CUSTOMERS","RELATIONSHIP_AS_OF_DATE","20060628")</f>
        <v/>
      </c>
      <c r="HM5">
        <f>BDS("DEIX US Equity","SUPPLY_CHAIN_SUPPLIERS","RELATIONSHIP_AS_OF_DATE","20060821")</f>
        <v/>
      </c>
      <c r="HR5">
        <f>BDS("DEIX US Equity","SUPPLY_CHAIN_CUSTOMERS","RELATIONSHIP_AS_OF_DATE","20060821")</f>
        <v/>
      </c>
      <c r="HW5">
        <f>BDS("1740293D US Equity","SUPPLY_CHAIN_SUPPLIERS","RELATIONSHIP_AS_OF_DATE","20030715")</f>
        <v/>
      </c>
      <c r="IB5">
        <f>BDS("1740293D US Equity","SUPPLY_CHAIN_CUSTOMERS","RELATIONSHIP_AS_OF_DATE","20030715")</f>
        <v/>
      </c>
      <c r="IG5">
        <f>BDS("VLY US Equity","SUPPLY_CHAIN_SUPPLIERS","RELATIONSHIP_AS_OF_DATE","20041202")</f>
        <v/>
      </c>
      <c r="IL5">
        <f>BDS("VLY US Equity","SUPPLY_CHAIN_CUSTOMERS","RELATIONSHIP_AS_OF_DATE","20041202")</f>
        <v/>
      </c>
      <c r="IQ5">
        <f>BDS("VRTX US Equity","SUPPLY_CHAIN_SUPPLIERS","RELATIONSHIP_AS_OF_DATE","20010430")</f>
        <v/>
      </c>
      <c r="IV5">
        <f>BDS("VRTX US Equity","SUPPLY_CHAIN_CUSTOMERS","RELATIONSHIP_AS_OF_DATE","20010430")</f>
        <v/>
      </c>
      <c r="JA5">
        <f>BDS("TFC US Equity","SUPPLY_CHAIN_SUPPLIERS","RELATIONSHIP_AS_OF_DATE","19991215")</f>
        <v/>
      </c>
      <c r="JF5">
        <f>BDS("TFC US Equity","SUPPLY_CHAIN_CUSTOMERS","RELATIONSHIP_AS_OF_DATE","19991215")</f>
        <v/>
      </c>
      <c r="JK5">
        <f>BDS("ISBC US Equity","SUPPLY_CHAIN_SUPPLIERS","RELATIONSHIP_AS_OF_DATE","20081215")</f>
        <v/>
      </c>
      <c r="JP5">
        <f>BDS("ISBC US Equity","SUPPLY_CHAIN_CUSTOMERS","RELATIONSHIP_AS_OF_DATE","20081215")</f>
        <v/>
      </c>
      <c r="JU5">
        <f>BDS("AGR US Equity","SUPPLY_CHAIN_SUPPLIERS","RELATIONSHIP_AS_OF_DATE","19991110")</f>
        <v/>
      </c>
      <c r="JZ5">
        <f>BDS("AGR US Equity","SUPPLY_CHAIN_CUSTOMERS","RELATIONSHIP_AS_OF_DATE","19991110")</f>
        <v/>
      </c>
      <c r="KE5">
        <f>BDS("1822785D US Equity","SUPPLY_CHAIN_SUPPLIERS","RELATIONSHIP_AS_OF_DATE","20000921")</f>
        <v/>
      </c>
      <c r="KJ5">
        <f>BDS("1822785D US Equity","SUPPLY_CHAIN_CUSTOMERS","RELATIONSHIP_AS_OF_DATE","20000921")</f>
        <v/>
      </c>
      <c r="KO5">
        <f>BDS("FNB US Equity","SUPPLY_CHAIN_SUPPLIERS","RELATIONSHIP_AS_OF_DATE","20041015")</f>
        <v/>
      </c>
      <c r="KT5">
        <f>BDS("FNB US Equity","SUPPLY_CHAIN_CUSTOMERS","RELATIONSHIP_AS_OF_DATE","20041015")</f>
        <v/>
      </c>
      <c r="KY5">
        <f>BDS("9980328D US Equity","SUPPLY_CHAIN_SUPPLIERS","RELATIONSHIP_AS_OF_DATE","20090623")</f>
        <v/>
      </c>
      <c r="LD5">
        <f>BDS("9980328D US Equity","SUPPLY_CHAIN_CUSTOMERS","RELATIONSHIP_AS_OF_DATE","20090623")</f>
        <v/>
      </c>
      <c r="LI5">
        <f>BDS("ARW US Equity","SUPPLY_CHAIN_SUPPLIERS","RELATIONSHIP_AS_OF_DATE","19981001")</f>
        <v/>
      </c>
      <c r="LN5">
        <f>BDS("ARW US Equity","SUPPLY_CHAIN_CUSTOMERS","RELATIONSHIP_AS_OF_DATE","19981001")</f>
        <v/>
      </c>
      <c r="LS5">
        <f>BDS("HUM US Equity","SUPPLY_CHAIN_SUPPLIERS","RELATIONSHIP_AS_OF_DATE","20070907")</f>
        <v/>
      </c>
      <c r="LX5">
        <f>BDS("HUM US Equity","SUPPLY_CHAIN_CUSTOMERS","RELATIONSHIP_AS_OF_DATE","20070907")</f>
        <v/>
      </c>
      <c r="MC5">
        <f>BDS("BMRC US Equity","SUPPLY_CHAIN_SUPPLIERS","RELATIONSHIP_AS_OF_DATE","20210419")</f>
        <v/>
      </c>
      <c r="MH5">
        <f>BDS("BMRC US Equity","SUPPLY_CHAIN_CUSTOMERS","RELATIONSHIP_AS_OF_DATE","20210419")</f>
        <v/>
      </c>
      <c r="MM5">
        <f>BDS("388103Q US Equity","SUPPLY_CHAIN_SUPPLIERS","RELATIONSHIP_AS_OF_DATE","19980720")</f>
        <v/>
      </c>
      <c r="MR5">
        <f>BDS("388103Q US Equity","SUPPLY_CHAIN_CUSTOMERS","RELATIONSHIP_AS_OF_DATE","19980720")</f>
        <v/>
      </c>
      <c r="MW5">
        <f>BDS("ALTO US Equity","SUPPLY_CHAIN_SUPPLIERS","RELATIONSHIP_AS_OF_DATE","20141231")</f>
        <v/>
      </c>
      <c r="NB5">
        <f>BDS("ALTO US Equity","SUPPLY_CHAIN_CUSTOMERS","RELATIONSHIP_AS_OF_DATE","20141231")</f>
        <v/>
      </c>
      <c r="NG5">
        <f>BDS("SVC US Equity","SUPPLY_CHAIN_SUPPLIERS","RELATIONSHIP_AS_OF_DATE","20111103")</f>
        <v/>
      </c>
      <c r="NL5">
        <f>BDS("SVC US Equity","SUPPLY_CHAIN_CUSTOMERS","RELATIONSHIP_AS_OF_DATE","20111103")</f>
        <v/>
      </c>
      <c r="NQ5">
        <f>BDS("653707Q US Equity","SUPPLY_CHAIN_SUPPLIERS","RELATIONSHIP_AS_OF_DATE","20010322")</f>
        <v/>
      </c>
      <c r="NV5">
        <f>BDS("653707Q US Equity","SUPPLY_CHAIN_CUSTOMERS","RELATIONSHIP_AS_OF_DATE","20010322")</f>
        <v/>
      </c>
      <c r="OA5">
        <f>BDS("103917Q US Equity","SUPPLY_CHAIN_SUPPLIERS","RELATIONSHIP_AS_OF_DATE","19981216")</f>
        <v/>
      </c>
      <c r="OF5">
        <f>BDS("103917Q US Equity","SUPPLY_CHAIN_CUSTOMERS","RELATIONSHIP_AS_OF_DATE","19981216")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3081</t>
        </is>
      </c>
      <c r="K1" s="1" t="inlineStr">
        <is>
          <t>Deal 3082</t>
        </is>
      </c>
      <c r="U1" s="1" t="inlineStr">
        <is>
          <t>Deal 3083</t>
        </is>
      </c>
      <c r="AE1" s="1" t="inlineStr">
        <is>
          <t>Deal 3084</t>
        </is>
      </c>
      <c r="AO1" s="1" t="inlineStr">
        <is>
          <t>Deal 3085</t>
        </is>
      </c>
      <c r="AY1" s="1" t="inlineStr">
        <is>
          <t>Deal 3086</t>
        </is>
      </c>
      <c r="BI1" s="1" t="inlineStr">
        <is>
          <t>Deal 3087</t>
        </is>
      </c>
      <c r="BS1" s="1" t="inlineStr">
        <is>
          <t>Deal 3088</t>
        </is>
      </c>
      <c r="CC1" s="1" t="inlineStr">
        <is>
          <t>Deal 3089</t>
        </is>
      </c>
      <c r="CM1" s="1" t="inlineStr">
        <is>
          <t>Deal 3090</t>
        </is>
      </c>
      <c r="CW1" s="1" t="inlineStr">
        <is>
          <t>Deal 3091</t>
        </is>
      </c>
      <c r="DG1" s="1" t="inlineStr">
        <is>
          <t>Deal 3092</t>
        </is>
      </c>
      <c r="DQ1" s="1" t="inlineStr">
        <is>
          <t>Deal 3093</t>
        </is>
      </c>
      <c r="EA1" s="1" t="inlineStr">
        <is>
          <t>Deal 3094</t>
        </is>
      </c>
      <c r="EK1" s="1" t="inlineStr">
        <is>
          <t>Deal 3095</t>
        </is>
      </c>
      <c r="EU1" s="1" t="inlineStr">
        <is>
          <t>Deal 3096</t>
        </is>
      </c>
      <c r="FE1" s="1" t="inlineStr">
        <is>
          <t>Deal 3097</t>
        </is>
      </c>
      <c r="FO1" s="1" t="inlineStr">
        <is>
          <t>Deal 3098</t>
        </is>
      </c>
      <c r="FY1" s="1" t="inlineStr">
        <is>
          <t>Deal 3099</t>
        </is>
      </c>
      <c r="GI1" s="1" t="inlineStr">
        <is>
          <t>Deal 3100</t>
        </is>
      </c>
      <c r="GS1" s="1" t="inlineStr">
        <is>
          <t>Deal 3101</t>
        </is>
      </c>
      <c r="HC1" s="1" t="inlineStr">
        <is>
          <t>Deal 3102</t>
        </is>
      </c>
      <c r="HM1" s="1" t="inlineStr">
        <is>
          <t>Deal 3103</t>
        </is>
      </c>
      <c r="HW1" s="1" t="inlineStr">
        <is>
          <t>Deal 3104</t>
        </is>
      </c>
      <c r="IG1" s="1" t="inlineStr">
        <is>
          <t>Deal 3105</t>
        </is>
      </c>
      <c r="IQ1" s="1" t="inlineStr">
        <is>
          <t>Deal 3106</t>
        </is>
      </c>
      <c r="JA1" s="1" t="inlineStr">
        <is>
          <t>Deal 3107</t>
        </is>
      </c>
      <c r="JK1" s="1" t="inlineStr">
        <is>
          <t>Deal 3108</t>
        </is>
      </c>
      <c r="JU1" s="1" t="inlineStr">
        <is>
          <t>Deal 3109</t>
        </is>
      </c>
      <c r="KE1" s="1" t="inlineStr">
        <is>
          <t>Deal 3110</t>
        </is>
      </c>
      <c r="KO1" s="1" t="inlineStr">
        <is>
          <t>Deal 3111</t>
        </is>
      </c>
      <c r="KY1" s="1" t="inlineStr">
        <is>
          <t>Deal 3112</t>
        </is>
      </c>
      <c r="LI1" s="1" t="inlineStr">
        <is>
          <t>Deal 3113</t>
        </is>
      </c>
      <c r="LS1" s="1" t="inlineStr">
        <is>
          <t>Deal 3114</t>
        </is>
      </c>
      <c r="MC1" s="1" t="inlineStr">
        <is>
          <t>Deal 3115</t>
        </is>
      </c>
      <c r="MM1" s="1" t="inlineStr">
        <is>
          <t>Deal 3116</t>
        </is>
      </c>
      <c r="MW1" s="1" t="inlineStr">
        <is>
          <t>Deal 3117</t>
        </is>
      </c>
      <c r="NG1" s="1" t="inlineStr">
        <is>
          <t>Deal 3118</t>
        </is>
      </c>
      <c r="NQ1" s="1" t="inlineStr">
        <is>
          <t>Deal 3119</t>
        </is>
      </c>
      <c r="OA1" s="1" t="inlineStr">
        <is>
          <t>Deal 3120</t>
        </is>
      </c>
    </row>
    <row r="2">
      <c r="A2" s="2" t="inlineStr">
        <is>
          <t>0618828D US Equity</t>
        </is>
      </c>
      <c r="K2" s="2" t="inlineStr">
        <is>
          <t>CFG US Equity</t>
        </is>
      </c>
      <c r="U2" s="2" t="inlineStr">
        <is>
          <t>0966147D US Equity</t>
        </is>
      </c>
      <c r="AE2" s="2" t="inlineStr">
        <is>
          <t>2185054D US Equity</t>
        </is>
      </c>
      <c r="AO2" s="2" t="inlineStr">
        <is>
          <t>CMOS US Equity</t>
        </is>
      </c>
      <c r="AY2" s="2" t="inlineStr">
        <is>
          <t>NFS US Equity</t>
        </is>
      </c>
      <c r="BI2" s="2" t="inlineStr">
        <is>
          <t>GOOGL US Equity</t>
        </is>
      </c>
      <c r="BS2" s="2" t="inlineStr">
        <is>
          <t>BWA US Equity</t>
        </is>
      </c>
      <c r="CC2" s="2" t="inlineStr">
        <is>
          <t>CPK US Equity</t>
        </is>
      </c>
      <c r="CM2" s="2" t="inlineStr">
        <is>
          <t>RTEC US Equity</t>
        </is>
      </c>
      <c r="CW2" s="2" t="inlineStr">
        <is>
          <t>CWST US Equity</t>
        </is>
      </c>
      <c r="DG2" s="2" t="inlineStr">
        <is>
          <t>NPBC US Equity</t>
        </is>
      </c>
      <c r="DQ2" s="2" t="inlineStr">
        <is>
          <t>RGNA US Equity</t>
        </is>
      </c>
      <c r="EA2" s="2" t="inlineStr">
        <is>
          <t>TLRDQ US Equity</t>
        </is>
      </c>
      <c r="EK2" s="2" t="inlineStr">
        <is>
          <t>CRK US Equity</t>
        </is>
      </c>
      <c r="EU2" s="2" t="inlineStr">
        <is>
          <t>1552309D US Equity</t>
        </is>
      </c>
      <c r="FE2" s="2" t="inlineStr">
        <is>
          <t>MCHB US Equity</t>
        </is>
      </c>
      <c r="FO2" s="2" t="inlineStr">
        <is>
          <t>RTX US Equity</t>
        </is>
      </c>
      <c r="FY2" s="2" t="inlineStr">
        <is>
          <t>9990225D US Equity</t>
        </is>
      </c>
      <c r="GI2" s="2" t="inlineStr">
        <is>
          <t>NOC US Equity</t>
        </is>
      </c>
      <c r="GS2" s="2" t="inlineStr">
        <is>
          <t>ICBC US Equity</t>
        </is>
      </c>
      <c r="HC2" s="2" t="inlineStr">
        <is>
          <t>HLFG US Equity</t>
        </is>
      </c>
      <c r="HM2" s="2" t="inlineStr">
        <is>
          <t>GEO US Equity</t>
        </is>
      </c>
      <c r="HW2" s="2" t="inlineStr">
        <is>
          <t>DIAN US Equity</t>
        </is>
      </c>
      <c r="IG2" s="2" t="inlineStr">
        <is>
          <t>1339658D US Equity</t>
        </is>
      </c>
      <c r="IQ2" s="2" t="inlineStr">
        <is>
          <t>BVH US Equity</t>
        </is>
      </c>
      <c r="JA2" s="2" t="inlineStr">
        <is>
          <t>INDB US Equity</t>
        </is>
      </c>
      <c r="JK2" s="2" t="inlineStr">
        <is>
          <t>SRR US Equity</t>
        </is>
      </c>
      <c r="JU2" s="2" t="inlineStr">
        <is>
          <t>ALAB US Equity</t>
        </is>
      </c>
      <c r="KE2" s="2" t="inlineStr">
        <is>
          <t>RBNC US Equity</t>
        </is>
      </c>
      <c r="KO2" s="2" t="inlineStr">
        <is>
          <t>MBHIQ US Equity</t>
        </is>
      </c>
      <c r="KY2" s="2" t="inlineStr">
        <is>
          <t>WCOEQ US Equity</t>
        </is>
      </c>
      <c r="LI2" s="2" t="inlineStr">
        <is>
          <t>IMGC US Equity</t>
        </is>
      </c>
      <c r="LS2" s="2" t="inlineStr">
        <is>
          <t>SCFS US Equity</t>
        </is>
      </c>
      <c r="MC2" s="2" t="inlineStr">
        <is>
          <t>EFSC US Equity</t>
        </is>
      </c>
      <c r="MM2" s="2" t="inlineStr">
        <is>
          <t>BVH US Equity</t>
        </is>
      </c>
      <c r="MW2" s="2" t="inlineStr">
        <is>
          <t>EVVV US Equity</t>
        </is>
      </c>
      <c r="NG2" s="2" t="inlineStr">
        <is>
          <t>NXTL US Equity</t>
        </is>
      </c>
      <c r="NQ2" s="2" t="inlineStr">
        <is>
          <t>BKMU US Equity</t>
        </is>
      </c>
      <c r="OA2" s="2" t="inlineStr">
        <is>
          <t>WHLR US Equity</t>
        </is>
      </c>
    </row>
    <row r="3">
      <c r="A3" t="inlineStr">
        <is>
          <t>Ann: 1998-04-27</t>
        </is>
      </c>
      <c r="K3" t="inlineStr">
        <is>
          <t>Ann: 2021-09-08</t>
        </is>
      </c>
      <c r="U3" t="inlineStr">
        <is>
          <t>Ann: 2000-10-26</t>
        </is>
      </c>
      <c r="AE3" t="inlineStr">
        <is>
          <t>Ann: 2008-05-22</t>
        </is>
      </c>
      <c r="AO3" t="inlineStr">
        <is>
          <t>Ann: 2001-05-16</t>
        </is>
      </c>
      <c r="AY3" t="inlineStr">
        <is>
          <t>Ann: 1998-06-03</t>
        </is>
      </c>
      <c r="BI3" t="inlineStr">
        <is>
          <t>Ann: 2009-08-05</t>
        </is>
      </c>
      <c r="BS3" t="inlineStr">
        <is>
          <t>Ann: 2017-07-17</t>
        </is>
      </c>
      <c r="CC3" t="inlineStr">
        <is>
          <t>Ann: 2009-04-20</t>
        </is>
      </c>
      <c r="CM3" t="inlineStr">
        <is>
          <t>Ann: 2005-01-27</t>
        </is>
      </c>
      <c r="CW3" t="inlineStr">
        <is>
          <t>Ann: 1999-05-13</t>
        </is>
      </c>
      <c r="DG3" t="inlineStr">
        <is>
          <t>Ann: 2014-06-04</t>
        </is>
      </c>
      <c r="DQ3" t="inlineStr">
        <is>
          <t>Ann: 2006-03-21</t>
        </is>
      </c>
      <c r="EA3" t="inlineStr">
        <is>
          <t>Ann: 1999-03-04</t>
        </is>
      </c>
      <c r="EK3" t="inlineStr">
        <is>
          <t>Ann: 2001-10-22</t>
        </is>
      </c>
      <c r="EU3" t="inlineStr">
        <is>
          <t>Ann: 2006-03-27</t>
        </is>
      </c>
      <c r="FE3" t="inlineStr">
        <is>
          <t>Ann: 2014-09-29</t>
        </is>
      </c>
      <c r="FO3" t="inlineStr">
        <is>
          <t>Ann: 1999-10-21</t>
        </is>
      </c>
      <c r="FY3" t="inlineStr">
        <is>
          <t>Ann: 2021-05-24</t>
        </is>
      </c>
      <c r="GI3" t="inlineStr">
        <is>
          <t>Ann: 2000-06-12</t>
        </is>
      </c>
      <c r="GS3" t="inlineStr">
        <is>
          <t>Ann: 1999-02-01</t>
        </is>
      </c>
      <c r="HC3" t="inlineStr">
        <is>
          <t>Ann: 2006-12-06</t>
        </is>
      </c>
      <c r="HM3" t="inlineStr">
        <is>
          <t>Ann: 2003-05-02</t>
        </is>
      </c>
      <c r="HW3" t="inlineStr">
        <is>
          <t>Ann: 2001-06-28</t>
        </is>
      </c>
      <c r="IG3" t="inlineStr">
        <is>
          <t>Ann: 2003-10-16</t>
        </is>
      </c>
      <c r="IQ3" t="inlineStr">
        <is>
          <t>Ann: 2009-07-06</t>
        </is>
      </c>
      <c r="JA3" t="inlineStr">
        <is>
          <t>Ann: 2014-08-05</t>
        </is>
      </c>
      <c r="JK3" t="inlineStr">
        <is>
          <t>Ann: 2005-06-02</t>
        </is>
      </c>
      <c r="JU3" t="inlineStr">
        <is>
          <t>Ann: 2006-05-24</t>
        </is>
      </c>
      <c r="KE3" t="inlineStr">
        <is>
          <t>Ann: 2019-10-23</t>
        </is>
      </c>
      <c r="KO3" t="inlineStr">
        <is>
          <t>Ann: 2006-02-08</t>
        </is>
      </c>
      <c r="KY3" t="inlineStr">
        <is>
          <t>Ann: 1999-07-20</t>
        </is>
      </c>
      <c r="LI3" t="inlineStr">
        <is>
          <t>Ann: 2003-11-03</t>
        </is>
      </c>
      <c r="LS3" t="inlineStr">
        <is>
          <t>Ann: 1998-02-02</t>
        </is>
      </c>
      <c r="MC3" t="inlineStr">
        <is>
          <t>Ann: 2018-11-01</t>
        </is>
      </c>
      <c r="MM3" t="inlineStr">
        <is>
          <t>Ann: 2012-11-15</t>
        </is>
      </c>
      <c r="MW3" t="inlineStr">
        <is>
          <t>Ann: 2005-10-10</t>
        </is>
      </c>
      <c r="NG3" t="inlineStr">
        <is>
          <t>Ann: 2000-08-21</t>
        </is>
      </c>
      <c r="NQ3" t="inlineStr">
        <is>
          <t>Ann: 2000-02-21</t>
        </is>
      </c>
      <c r="OA3" t="inlineStr">
        <is>
          <t>Ann: 2022-03-02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BDS("0618828D US Equity","SUPPLY_CHAIN_SUPPLIERS","RELATIONSHIP_AS_OF_DATE","19980427")</f>
        <v/>
      </c>
      <c r="F5">
        <f>BDS("0618828D US Equity","SUPPLY_CHAIN_CUSTOMERS","RELATIONSHIP_AS_OF_DATE","19980427")</f>
        <v/>
      </c>
      <c r="K5">
        <f>BDS("CFG US Equity","SUPPLY_CHAIN_SUPPLIERS","RELATIONSHIP_AS_OF_DATE","20210908")</f>
        <v/>
      </c>
      <c r="P5">
        <f>BDS("CFG US Equity","SUPPLY_CHAIN_CUSTOMERS","RELATIONSHIP_AS_OF_DATE","20210908")</f>
        <v/>
      </c>
      <c r="U5">
        <f>BDS("0966147D US Equity","SUPPLY_CHAIN_SUPPLIERS","RELATIONSHIP_AS_OF_DATE","20001026")</f>
        <v/>
      </c>
      <c r="Z5">
        <f>BDS("0966147D US Equity","SUPPLY_CHAIN_CUSTOMERS","RELATIONSHIP_AS_OF_DATE","20001026")</f>
        <v/>
      </c>
      <c r="AE5">
        <f>BDS("2185054D US Equity","SUPPLY_CHAIN_SUPPLIERS","RELATIONSHIP_AS_OF_DATE","20080522")</f>
        <v/>
      </c>
      <c r="AJ5">
        <f>BDS("2185054D US Equity","SUPPLY_CHAIN_CUSTOMERS","RELATIONSHIP_AS_OF_DATE","20080522")</f>
        <v/>
      </c>
      <c r="AO5">
        <f>BDS("CMOS US Equity","SUPPLY_CHAIN_SUPPLIERS","RELATIONSHIP_AS_OF_DATE","20010516")</f>
        <v/>
      </c>
      <c r="AT5">
        <f>BDS("CMOS US Equity","SUPPLY_CHAIN_CUSTOMERS","RELATIONSHIP_AS_OF_DATE","20010516")</f>
        <v/>
      </c>
      <c r="AY5">
        <f>BDS("NFS US Equity","SUPPLY_CHAIN_SUPPLIERS","RELATIONSHIP_AS_OF_DATE","19980603")</f>
        <v/>
      </c>
      <c r="BD5">
        <f>BDS("NFS US Equity","SUPPLY_CHAIN_CUSTOMERS","RELATIONSHIP_AS_OF_DATE","19980603")</f>
        <v/>
      </c>
      <c r="BI5">
        <f>BDS("GOOGL US Equity","SUPPLY_CHAIN_SUPPLIERS","RELATIONSHIP_AS_OF_DATE","20090805")</f>
        <v/>
      </c>
      <c r="BN5">
        <f>BDS("GOOGL US Equity","SUPPLY_CHAIN_CUSTOMERS","RELATIONSHIP_AS_OF_DATE","20090805")</f>
        <v/>
      </c>
      <c r="BS5">
        <f>BDS("BWA US Equity","SUPPLY_CHAIN_SUPPLIERS","RELATIONSHIP_AS_OF_DATE","20170717")</f>
        <v/>
      </c>
      <c r="BX5">
        <f>BDS("BWA US Equity","SUPPLY_CHAIN_CUSTOMERS","RELATIONSHIP_AS_OF_DATE","20170717")</f>
        <v/>
      </c>
      <c r="CC5">
        <f>BDS("CPK US Equity","SUPPLY_CHAIN_SUPPLIERS","RELATIONSHIP_AS_OF_DATE","20090420")</f>
        <v/>
      </c>
      <c r="CH5">
        <f>BDS("CPK US Equity","SUPPLY_CHAIN_CUSTOMERS","RELATIONSHIP_AS_OF_DATE","20090420")</f>
        <v/>
      </c>
      <c r="CM5">
        <f>BDS("RTEC US Equity","SUPPLY_CHAIN_SUPPLIERS","RELATIONSHIP_AS_OF_DATE","20050127")</f>
        <v/>
      </c>
      <c r="CR5">
        <f>BDS("RTEC US Equity","SUPPLY_CHAIN_CUSTOMERS","RELATIONSHIP_AS_OF_DATE","20050127")</f>
        <v/>
      </c>
      <c r="CW5">
        <f>BDS("CWST US Equity","SUPPLY_CHAIN_SUPPLIERS","RELATIONSHIP_AS_OF_DATE","19990513")</f>
        <v/>
      </c>
      <c r="DB5">
        <f>BDS("CWST US Equity","SUPPLY_CHAIN_CUSTOMERS","RELATIONSHIP_AS_OF_DATE","19990513")</f>
        <v/>
      </c>
      <c r="DG5">
        <f>BDS("NPBC US Equity","SUPPLY_CHAIN_SUPPLIERS","RELATIONSHIP_AS_OF_DATE","20140604")</f>
        <v/>
      </c>
      <c r="DL5">
        <f>BDS("NPBC US Equity","SUPPLY_CHAIN_CUSTOMERS","RELATIONSHIP_AS_OF_DATE","20140604")</f>
        <v/>
      </c>
      <c r="DQ5">
        <f>BDS("RGNA US Equity","SUPPLY_CHAIN_SUPPLIERS","RELATIONSHIP_AS_OF_DATE","20060321")</f>
        <v/>
      </c>
      <c r="DV5">
        <f>BDS("RGNA US Equity","SUPPLY_CHAIN_CUSTOMERS","RELATIONSHIP_AS_OF_DATE","20060321")</f>
        <v/>
      </c>
      <c r="EA5">
        <f>BDS("TLRDQ US Equity","SUPPLY_CHAIN_SUPPLIERS","RELATIONSHIP_AS_OF_DATE","19990304")</f>
        <v/>
      </c>
      <c r="EF5">
        <f>BDS("TLRDQ US Equity","SUPPLY_CHAIN_CUSTOMERS","RELATIONSHIP_AS_OF_DATE","19990304")</f>
        <v/>
      </c>
      <c r="EK5">
        <f>BDS("CRK US Equity","SUPPLY_CHAIN_SUPPLIERS","RELATIONSHIP_AS_OF_DATE","20011022")</f>
        <v/>
      </c>
      <c r="EP5">
        <f>BDS("CRK US Equity","SUPPLY_CHAIN_CUSTOMERS","RELATIONSHIP_AS_OF_DATE","20011022")</f>
        <v/>
      </c>
      <c r="EU5">
        <f>BDS("1552309D US Equity","SUPPLY_CHAIN_SUPPLIERS","RELATIONSHIP_AS_OF_DATE","20060327")</f>
        <v/>
      </c>
      <c r="EZ5">
        <f>BDS("1552309D US Equity","SUPPLY_CHAIN_CUSTOMERS","RELATIONSHIP_AS_OF_DATE","20060327")</f>
        <v/>
      </c>
      <c r="FE5">
        <f>BDS("MCHB US Equity","SUPPLY_CHAIN_SUPPLIERS","RELATIONSHIP_AS_OF_DATE","20140929")</f>
        <v/>
      </c>
      <c r="FJ5">
        <f>BDS("MCHB US Equity","SUPPLY_CHAIN_CUSTOMERS","RELATIONSHIP_AS_OF_DATE","20140929")</f>
        <v/>
      </c>
      <c r="FO5">
        <f>BDS("RTX US Equity","SUPPLY_CHAIN_SUPPLIERS","RELATIONSHIP_AS_OF_DATE","19991021")</f>
        <v/>
      </c>
      <c r="FT5">
        <f>BDS("RTX US Equity","SUPPLY_CHAIN_CUSTOMERS","RELATIONSHIP_AS_OF_DATE","19991021")</f>
        <v/>
      </c>
      <c r="FY5">
        <f>BDS("9990225D US Equity","SUPPLY_CHAIN_SUPPLIERS","RELATIONSHIP_AS_OF_DATE","20210524")</f>
        <v/>
      </c>
      <c r="GD5">
        <f>BDS("9990225D US Equity","SUPPLY_CHAIN_CUSTOMERS","RELATIONSHIP_AS_OF_DATE","20210524")</f>
        <v/>
      </c>
      <c r="GI5">
        <f>BDS("NOC US Equity","SUPPLY_CHAIN_SUPPLIERS","RELATIONSHIP_AS_OF_DATE","20000612")</f>
        <v/>
      </c>
      <c r="GN5">
        <f>BDS("NOC US Equity","SUPPLY_CHAIN_CUSTOMERS","RELATIONSHIP_AS_OF_DATE","20000612")</f>
        <v/>
      </c>
      <c r="GS5">
        <f>BDS("ICBC US Equity","SUPPLY_CHAIN_SUPPLIERS","RELATIONSHIP_AS_OF_DATE","19990201")</f>
        <v/>
      </c>
      <c r="GX5">
        <f>BDS("ICBC US Equity","SUPPLY_CHAIN_CUSTOMERS","RELATIONSHIP_AS_OF_DATE","19990201")</f>
        <v/>
      </c>
      <c r="HC5">
        <f>BDS("HLFG US Equity","SUPPLY_CHAIN_SUPPLIERS","RELATIONSHIP_AS_OF_DATE","20061206")</f>
        <v/>
      </c>
      <c r="HH5">
        <f>BDS("HLFG US Equity","SUPPLY_CHAIN_CUSTOMERS","RELATIONSHIP_AS_OF_DATE","20061206")</f>
        <v/>
      </c>
      <c r="HM5">
        <f>BDS("GEO US Equity","SUPPLY_CHAIN_SUPPLIERS","RELATIONSHIP_AS_OF_DATE","20030502")</f>
        <v/>
      </c>
      <c r="HR5">
        <f>BDS("GEO US Equity","SUPPLY_CHAIN_CUSTOMERS","RELATIONSHIP_AS_OF_DATE","20030502")</f>
        <v/>
      </c>
      <c r="HW5">
        <f>BDS("DIAN US Equity","SUPPLY_CHAIN_SUPPLIERS","RELATIONSHIP_AS_OF_DATE","20010628")</f>
        <v/>
      </c>
      <c r="IB5">
        <f>BDS("DIAN US Equity","SUPPLY_CHAIN_CUSTOMERS","RELATIONSHIP_AS_OF_DATE","20010628")</f>
        <v/>
      </c>
      <c r="IG5">
        <f>BDS("1339658D US Equity","SUPPLY_CHAIN_SUPPLIERS","RELATIONSHIP_AS_OF_DATE","20031016")</f>
        <v/>
      </c>
      <c r="IL5">
        <f>BDS("1339658D US Equity","SUPPLY_CHAIN_CUSTOMERS","RELATIONSHIP_AS_OF_DATE","20031016")</f>
        <v/>
      </c>
      <c r="IQ5">
        <f>BDS("BVH US Equity","SUPPLY_CHAIN_SUPPLIERS","RELATIONSHIP_AS_OF_DATE","20090706")</f>
        <v/>
      </c>
      <c r="IV5">
        <f>BDS("BVH US Equity","SUPPLY_CHAIN_CUSTOMERS","RELATIONSHIP_AS_OF_DATE","20090706")</f>
        <v/>
      </c>
      <c r="JA5">
        <f>BDS("INDB US Equity","SUPPLY_CHAIN_SUPPLIERS","RELATIONSHIP_AS_OF_DATE","20140805")</f>
        <v/>
      </c>
      <c r="JF5">
        <f>BDS("INDB US Equity","SUPPLY_CHAIN_CUSTOMERS","RELATIONSHIP_AS_OF_DATE","20140805")</f>
        <v/>
      </c>
      <c r="JK5">
        <f>BDS("SRR US Equity","SUPPLY_CHAIN_SUPPLIERS","RELATIONSHIP_AS_OF_DATE","20050602")</f>
        <v/>
      </c>
      <c r="JP5">
        <f>BDS("SRR US Equity","SUPPLY_CHAIN_CUSTOMERS","RELATIONSHIP_AS_OF_DATE","20050602")</f>
        <v/>
      </c>
      <c r="JU5">
        <f>BDS("ALAB US Equity","SUPPLY_CHAIN_SUPPLIERS","RELATIONSHIP_AS_OF_DATE","20060524")</f>
        <v/>
      </c>
      <c r="JZ5">
        <f>BDS("ALAB US Equity","SUPPLY_CHAIN_CUSTOMERS","RELATIONSHIP_AS_OF_DATE","20060524")</f>
        <v/>
      </c>
      <c r="KE5">
        <f>BDS("RBNC US Equity","SUPPLY_CHAIN_SUPPLIERS","RELATIONSHIP_AS_OF_DATE","20191023")</f>
        <v/>
      </c>
      <c r="KJ5">
        <f>BDS("RBNC US Equity","SUPPLY_CHAIN_CUSTOMERS","RELATIONSHIP_AS_OF_DATE","20191023")</f>
        <v/>
      </c>
      <c r="KO5">
        <f>BDS("MBHIQ US Equity","SUPPLY_CHAIN_SUPPLIERS","RELATIONSHIP_AS_OF_DATE","20060208")</f>
        <v/>
      </c>
      <c r="KT5">
        <f>BDS("MBHIQ US Equity","SUPPLY_CHAIN_CUSTOMERS","RELATIONSHIP_AS_OF_DATE","20060208")</f>
        <v/>
      </c>
      <c r="KY5">
        <f>BDS("WCOEQ US Equity","SUPPLY_CHAIN_SUPPLIERS","RELATIONSHIP_AS_OF_DATE","19990720")</f>
        <v/>
      </c>
      <c r="LD5">
        <f>BDS("WCOEQ US Equity","SUPPLY_CHAIN_CUSTOMERS","RELATIONSHIP_AS_OF_DATE","19990720")</f>
        <v/>
      </c>
      <c r="LI5">
        <f>BDS("IMGC US Equity","SUPPLY_CHAIN_SUPPLIERS","RELATIONSHIP_AS_OF_DATE","20031103")</f>
        <v/>
      </c>
      <c r="LN5">
        <f>BDS("IMGC US Equity","SUPPLY_CHAIN_CUSTOMERS","RELATIONSHIP_AS_OF_DATE","20031103")</f>
        <v/>
      </c>
      <c r="LS5">
        <f>BDS("SCFS US Equity","SUPPLY_CHAIN_SUPPLIERS","RELATIONSHIP_AS_OF_DATE","19980202")</f>
        <v/>
      </c>
      <c r="LX5">
        <f>BDS("SCFS US Equity","SUPPLY_CHAIN_CUSTOMERS","RELATIONSHIP_AS_OF_DATE","19980202")</f>
        <v/>
      </c>
      <c r="MC5">
        <f>BDS("EFSC US Equity","SUPPLY_CHAIN_SUPPLIERS","RELATIONSHIP_AS_OF_DATE","20181101")</f>
        <v/>
      </c>
      <c r="MH5">
        <f>BDS("EFSC US Equity","SUPPLY_CHAIN_CUSTOMERS","RELATIONSHIP_AS_OF_DATE","20181101")</f>
        <v/>
      </c>
      <c r="MM5">
        <f>BDS("BVH US Equity","SUPPLY_CHAIN_SUPPLIERS","RELATIONSHIP_AS_OF_DATE","20121115")</f>
        <v/>
      </c>
      <c r="MR5">
        <f>BDS("BVH US Equity","SUPPLY_CHAIN_CUSTOMERS","RELATIONSHIP_AS_OF_DATE","20121115")</f>
        <v/>
      </c>
      <c r="MW5">
        <f>BDS("EVVV US Equity","SUPPLY_CHAIN_SUPPLIERS","RELATIONSHIP_AS_OF_DATE","20051010")</f>
        <v/>
      </c>
      <c r="NB5">
        <f>BDS("EVVV US Equity","SUPPLY_CHAIN_CUSTOMERS","RELATIONSHIP_AS_OF_DATE","20051010")</f>
        <v/>
      </c>
      <c r="NG5">
        <f>BDS("NXTL US Equity","SUPPLY_CHAIN_SUPPLIERS","RELATIONSHIP_AS_OF_DATE","20000821")</f>
        <v/>
      </c>
      <c r="NL5">
        <f>BDS("NXTL US Equity","SUPPLY_CHAIN_CUSTOMERS","RELATIONSHIP_AS_OF_DATE","20000821")</f>
        <v/>
      </c>
      <c r="NQ5">
        <f>BDS("BKMU US Equity","SUPPLY_CHAIN_SUPPLIERS","RELATIONSHIP_AS_OF_DATE","20000221")</f>
        <v/>
      </c>
      <c r="NV5">
        <f>BDS("BKMU US Equity","SUPPLY_CHAIN_CUSTOMERS","RELATIONSHIP_AS_OF_DATE","20000221")</f>
        <v/>
      </c>
      <c r="OA5">
        <f>BDS("WHLR US Equity","SUPPLY_CHAIN_SUPPLIERS","RELATIONSHIP_AS_OF_DATE","20220302")</f>
        <v/>
      </c>
      <c r="OF5">
        <f>BDS("WHLR US Equity","SUPPLY_CHAIN_CUSTOMERS","RELATIONSHIP_AS_OF_DATE","20220302")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3121</t>
        </is>
      </c>
      <c r="K1" s="1" t="inlineStr">
        <is>
          <t>Deal 3122</t>
        </is>
      </c>
      <c r="U1" s="1" t="inlineStr">
        <is>
          <t>Deal 3123</t>
        </is>
      </c>
      <c r="AE1" s="1" t="inlineStr">
        <is>
          <t>Deal 3124</t>
        </is>
      </c>
      <c r="AO1" s="1" t="inlineStr">
        <is>
          <t>Deal 3125</t>
        </is>
      </c>
      <c r="AY1" s="1" t="inlineStr">
        <is>
          <t>Deal 3126</t>
        </is>
      </c>
      <c r="BI1" s="1" t="inlineStr">
        <is>
          <t>Deal 3127</t>
        </is>
      </c>
      <c r="BS1" s="1" t="inlineStr">
        <is>
          <t>Deal 3128</t>
        </is>
      </c>
      <c r="CC1" s="1" t="inlineStr">
        <is>
          <t>Deal 3129</t>
        </is>
      </c>
      <c r="CM1" s="1" t="inlineStr">
        <is>
          <t>Deal 3130</t>
        </is>
      </c>
      <c r="CW1" s="1" t="inlineStr">
        <is>
          <t>Deal 3131</t>
        </is>
      </c>
      <c r="DG1" s="1" t="inlineStr">
        <is>
          <t>Deal 3132</t>
        </is>
      </c>
      <c r="DQ1" s="1" t="inlineStr">
        <is>
          <t>Deal 3133</t>
        </is>
      </c>
      <c r="EA1" s="1" t="inlineStr">
        <is>
          <t>Deal 3134</t>
        </is>
      </c>
      <c r="EK1" s="1" t="inlineStr">
        <is>
          <t>Deal 3135</t>
        </is>
      </c>
      <c r="EU1" s="1" t="inlineStr">
        <is>
          <t>Deal 3136</t>
        </is>
      </c>
      <c r="FE1" s="1" t="inlineStr">
        <is>
          <t>Deal 3137</t>
        </is>
      </c>
      <c r="FO1" s="1" t="inlineStr">
        <is>
          <t>Deal 3138</t>
        </is>
      </c>
      <c r="FY1" s="1" t="inlineStr">
        <is>
          <t>Deal 3139</t>
        </is>
      </c>
      <c r="GI1" s="1" t="inlineStr">
        <is>
          <t>Deal 3140</t>
        </is>
      </c>
      <c r="GS1" s="1" t="inlineStr">
        <is>
          <t>Deal 3141</t>
        </is>
      </c>
      <c r="HC1" s="1" t="inlineStr">
        <is>
          <t>Deal 3142</t>
        </is>
      </c>
      <c r="HM1" s="1" t="inlineStr">
        <is>
          <t>Deal 3143</t>
        </is>
      </c>
      <c r="HW1" s="1" t="inlineStr">
        <is>
          <t>Deal 3144</t>
        </is>
      </c>
      <c r="IG1" s="1" t="inlineStr">
        <is>
          <t>Deal 3145</t>
        </is>
      </c>
      <c r="IQ1" s="1" t="inlineStr">
        <is>
          <t>Deal 3146</t>
        </is>
      </c>
      <c r="JA1" s="1" t="inlineStr">
        <is>
          <t>Deal 3147</t>
        </is>
      </c>
      <c r="JK1" s="1" t="inlineStr">
        <is>
          <t>Deal 3148</t>
        </is>
      </c>
      <c r="JU1" s="1" t="inlineStr">
        <is>
          <t>Deal 3149</t>
        </is>
      </c>
      <c r="KE1" s="1" t="inlineStr">
        <is>
          <t>Deal 3150</t>
        </is>
      </c>
      <c r="KO1" s="1" t="inlineStr">
        <is>
          <t>Deal 3151</t>
        </is>
      </c>
      <c r="KY1" s="1" t="inlineStr">
        <is>
          <t>Deal 3152</t>
        </is>
      </c>
      <c r="LI1" s="1" t="inlineStr">
        <is>
          <t>Deal 3153</t>
        </is>
      </c>
      <c r="LS1" s="1" t="inlineStr">
        <is>
          <t>Deal 3154</t>
        </is>
      </c>
      <c r="MC1" s="1" t="inlineStr">
        <is>
          <t>Deal 3155</t>
        </is>
      </c>
      <c r="MM1" s="1" t="inlineStr">
        <is>
          <t>Deal 3156</t>
        </is>
      </c>
      <c r="MW1" s="1" t="inlineStr">
        <is>
          <t>Deal 3157</t>
        </is>
      </c>
      <c r="NG1" s="1" t="inlineStr">
        <is>
          <t>Deal 3158</t>
        </is>
      </c>
      <c r="NQ1" s="1" t="inlineStr">
        <is>
          <t>Deal 3159</t>
        </is>
      </c>
      <c r="OA1" s="1" t="inlineStr">
        <is>
          <t>Deal 3160</t>
        </is>
      </c>
    </row>
    <row r="2">
      <c r="A2" s="2" t="inlineStr">
        <is>
          <t>HBAN US Equity</t>
        </is>
      </c>
      <c r="K2" s="2" t="inlineStr">
        <is>
          <t>680884Q US Equity</t>
        </is>
      </c>
      <c r="U2" s="2" t="inlineStr">
        <is>
          <t>SCFS US Equity</t>
        </is>
      </c>
      <c r="AE2" s="2" t="inlineStr">
        <is>
          <t>MAFB US Equity</t>
        </is>
      </c>
      <c r="AO2" s="2" t="inlineStr">
        <is>
          <t>MAR US Equity</t>
        </is>
      </c>
      <c r="AY2" s="2" t="inlineStr">
        <is>
          <t>GBBK US Equity</t>
        </is>
      </c>
      <c r="BI2" s="2" t="inlineStr">
        <is>
          <t>VIAV US Equity</t>
        </is>
      </c>
      <c r="BS2" s="2" t="inlineStr">
        <is>
          <t>DCAI US Equity</t>
        </is>
      </c>
      <c r="CC2" s="2" t="inlineStr">
        <is>
          <t>COB US Equity</t>
        </is>
      </c>
      <c r="CM2" s="2" t="inlineStr">
        <is>
          <t>RITA US Equity</t>
        </is>
      </c>
      <c r="CW2" s="2" t="inlineStr">
        <is>
          <t>MDT US Equity</t>
        </is>
      </c>
      <c r="DG2" s="2" t="inlineStr">
        <is>
          <t>MPB US Equity</t>
        </is>
      </c>
      <c r="DQ2" s="2" t="inlineStr">
        <is>
          <t>BEAS US Equity</t>
        </is>
      </c>
      <c r="EA2" s="2" t="inlineStr">
        <is>
          <t>NBBC US Equity</t>
        </is>
      </c>
      <c r="EK2" s="2" t="inlineStr">
        <is>
          <t>1978022D US Equity</t>
        </is>
      </c>
      <c r="EU2" s="2" t="inlineStr">
        <is>
          <t>SGYPQ US Equity</t>
        </is>
      </c>
      <c r="FE2" s="2" t="inlineStr">
        <is>
          <t>AIMC US Equity</t>
        </is>
      </c>
      <c r="FO2" s="2" t="inlineStr">
        <is>
          <t>MMM US Equity</t>
        </is>
      </c>
      <c r="FY2" s="2" t="inlineStr">
        <is>
          <t>ADP US Equity</t>
        </is>
      </c>
      <c r="GI2" s="2" t="inlineStr">
        <is>
          <t>DAR US Equity</t>
        </is>
      </c>
      <c r="GS2" s="2" t="inlineStr">
        <is>
          <t>MSCC US Equity</t>
        </is>
      </c>
      <c r="HC2" s="2" t="inlineStr">
        <is>
          <t>CY US Equity</t>
        </is>
      </c>
      <c r="HM2" s="2" t="inlineStr">
        <is>
          <t>DLX US Equity</t>
        </is>
      </c>
      <c r="HW2" s="2" t="inlineStr">
        <is>
          <t>QKKAQ US Equity</t>
        </is>
      </c>
      <c r="IG2" s="2" t="inlineStr">
        <is>
          <t>HYSL US Equity</t>
        </is>
      </c>
      <c r="IQ2" s="2" t="inlineStr">
        <is>
          <t>CDNS US Equity</t>
        </is>
      </c>
      <c r="JA2" s="2" t="inlineStr">
        <is>
          <t>GDT US Equity</t>
        </is>
      </c>
      <c r="JK2" s="2" t="inlineStr">
        <is>
          <t>AVY US Equity</t>
        </is>
      </c>
      <c r="JU2" s="2" t="inlineStr">
        <is>
          <t>ACCL US Equity</t>
        </is>
      </c>
      <c r="KE2" s="2" t="inlineStr">
        <is>
          <t>DWSN US Equity</t>
        </is>
      </c>
      <c r="KO2" s="2" t="inlineStr">
        <is>
          <t>GEOKQ US Equity</t>
        </is>
      </c>
      <c r="KY2" s="2" t="inlineStr">
        <is>
          <t>CAR US Equity</t>
        </is>
      </c>
      <c r="LI2" s="2" t="inlineStr">
        <is>
          <t>FNB US Equity</t>
        </is>
      </c>
      <c r="LS2" s="2" t="inlineStr">
        <is>
          <t>764144Q US Equity</t>
        </is>
      </c>
      <c r="MC2" s="2" t="inlineStr">
        <is>
          <t>CPNLQ US Equity</t>
        </is>
      </c>
      <c r="MM2" s="2" t="inlineStr">
        <is>
          <t>534689Q US Equity</t>
        </is>
      </c>
      <c r="MW2" s="2" t="inlineStr">
        <is>
          <t>UCB US Equity</t>
        </is>
      </c>
      <c r="NG2" s="2" t="inlineStr">
        <is>
          <t>9895616Q US Equity</t>
        </is>
      </c>
      <c r="NQ2" s="2" t="inlineStr">
        <is>
          <t>UB US Equity</t>
        </is>
      </c>
      <c r="OA2" s="2" t="inlineStr">
        <is>
          <t>9990253D US Equity</t>
        </is>
      </c>
    </row>
    <row r="3">
      <c r="A3" t="inlineStr">
        <is>
          <t>Ann: 2000-02-07</t>
        </is>
      </c>
      <c r="K3" t="inlineStr">
        <is>
          <t>Ann: 1999-01-11</t>
        </is>
      </c>
      <c r="U3" t="inlineStr">
        <is>
          <t>Ann: 2002-12-19</t>
        </is>
      </c>
      <c r="AE3" t="inlineStr">
        <is>
          <t>Ann: 2004-06-05</t>
        </is>
      </c>
      <c r="AO3" t="inlineStr">
        <is>
          <t>Ann: 1999-01-06</t>
        </is>
      </c>
      <c r="AY3" t="inlineStr">
        <is>
          <t>Ann: 1999-12-14</t>
        </is>
      </c>
      <c r="BI3" t="inlineStr">
        <is>
          <t>Ann: 2007-12-11</t>
        </is>
      </c>
      <c r="BS3" t="inlineStr">
        <is>
          <t>Ann: 2005-03-15</t>
        </is>
      </c>
      <c r="CC3" t="inlineStr">
        <is>
          <t>Ann: 2005-09-19</t>
        </is>
      </c>
      <c r="CM3" t="inlineStr">
        <is>
          <t>Ann: 2004-05-13</t>
        </is>
      </c>
      <c r="CW3" t="inlineStr">
        <is>
          <t>Ann: 2010-08-17</t>
        </is>
      </c>
      <c r="DG3" t="inlineStr">
        <is>
          <t>Ann: 2021-06-30</t>
        </is>
      </c>
      <c r="DQ3" t="inlineStr">
        <is>
          <t>Ann: 2005-08-22</t>
        </is>
      </c>
      <c r="EA3" t="inlineStr">
        <is>
          <t>Ann: 2007-02-27</t>
        </is>
      </c>
      <c r="EK3" t="inlineStr">
        <is>
          <t>Ann: 2006-08-04</t>
        </is>
      </c>
      <c r="EU3" t="inlineStr">
        <is>
          <t>Ann: 2012-07-20</t>
        </is>
      </c>
      <c r="FE3" t="inlineStr">
        <is>
          <t>Ann: 2007-02-20</t>
        </is>
      </c>
      <c r="FO3" t="inlineStr">
        <is>
          <t>Ann: 2000-11-13</t>
        </is>
      </c>
      <c r="FY3" t="inlineStr">
        <is>
          <t>Ann: 2000-05-03</t>
        </is>
      </c>
      <c r="GI3" t="inlineStr">
        <is>
          <t>Ann: 2005-12-20</t>
        </is>
      </c>
      <c r="GS3" t="inlineStr">
        <is>
          <t>Ann: 2005-11-02</t>
        </is>
      </c>
      <c r="HC3" t="inlineStr">
        <is>
          <t>Ann: 2001-01-16</t>
        </is>
      </c>
      <c r="HM3" t="inlineStr">
        <is>
          <t>Ann: 2008-06-19</t>
        </is>
      </c>
      <c r="HW3" t="inlineStr">
        <is>
          <t>Ann: 2000-07-21</t>
        </is>
      </c>
      <c r="IG3" t="inlineStr">
        <is>
          <t>Ann: 2003-07-23</t>
        </is>
      </c>
      <c r="IQ3" t="inlineStr">
        <is>
          <t>Ann: 1999-06-15</t>
        </is>
      </c>
      <c r="JA3" t="inlineStr">
        <is>
          <t>Ann: 1998-08-11</t>
        </is>
      </c>
      <c r="JK3" t="inlineStr">
        <is>
          <t>Ann: 1999-06-04</t>
        </is>
      </c>
      <c r="JU3" t="inlineStr">
        <is>
          <t>Ann: 1998-02-04</t>
        </is>
      </c>
      <c r="KE3" t="inlineStr">
        <is>
          <t>Ann: 2014-10-09</t>
        </is>
      </c>
      <c r="KO3" t="inlineStr">
        <is>
          <t>Ann: 2006-09-08</t>
        </is>
      </c>
      <c r="KY3" t="inlineStr">
        <is>
          <t>Ann: 1998-04-14</t>
        </is>
      </c>
      <c r="LI3" t="inlineStr">
        <is>
          <t>Ann: 2011-06-15</t>
        </is>
      </c>
      <c r="LS3" t="inlineStr">
        <is>
          <t>Ann: 2003-01-21</t>
        </is>
      </c>
      <c r="MC3" t="inlineStr">
        <is>
          <t>Ann: 1999-08-25</t>
        </is>
      </c>
      <c r="MM3" t="inlineStr">
        <is>
          <t>Ann: 1999-08-04</t>
        </is>
      </c>
      <c r="MW3" t="inlineStr">
        <is>
          <t>Ann: 2017-06-27</t>
        </is>
      </c>
      <c r="NG3" t="inlineStr">
        <is>
          <t>Ann: 1998-05-29</t>
        </is>
      </c>
      <c r="NQ3" t="inlineStr">
        <is>
          <t>Ann: 2003-09-26</t>
        </is>
      </c>
      <c r="OA3" t="inlineStr">
        <is>
          <t>Ann: 2003-04-16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BDS("HBAN US Equity","SUPPLY_CHAIN_SUPPLIERS","RELATIONSHIP_AS_OF_DATE","20000207")</f>
        <v/>
      </c>
      <c r="F5">
        <f>BDS("HBAN US Equity","SUPPLY_CHAIN_CUSTOMERS","RELATIONSHIP_AS_OF_DATE","20000207")</f>
        <v/>
      </c>
      <c r="K5">
        <f>BDS("680884Q US Equity","SUPPLY_CHAIN_SUPPLIERS","RELATIONSHIP_AS_OF_DATE","19990111")</f>
        <v/>
      </c>
      <c r="P5">
        <f>BDS("680884Q US Equity","SUPPLY_CHAIN_CUSTOMERS","RELATIONSHIP_AS_OF_DATE","19990111")</f>
        <v/>
      </c>
      <c r="U5">
        <f>BDS("SCFS US Equity","SUPPLY_CHAIN_SUPPLIERS","RELATIONSHIP_AS_OF_DATE","20021219")</f>
        <v/>
      </c>
      <c r="Z5">
        <f>BDS("SCFS US Equity","SUPPLY_CHAIN_CUSTOMERS","RELATIONSHIP_AS_OF_DATE","20021219")</f>
        <v/>
      </c>
      <c r="AE5">
        <f>BDS("MAFB US Equity","SUPPLY_CHAIN_SUPPLIERS","RELATIONSHIP_AS_OF_DATE","20040605")</f>
        <v/>
      </c>
      <c r="AJ5">
        <f>BDS("MAFB US Equity","SUPPLY_CHAIN_CUSTOMERS","RELATIONSHIP_AS_OF_DATE","20040605")</f>
        <v/>
      </c>
      <c r="AO5">
        <f>BDS("MAR US Equity","SUPPLY_CHAIN_SUPPLIERS","RELATIONSHIP_AS_OF_DATE","19990106")</f>
        <v/>
      </c>
      <c r="AT5">
        <f>BDS("MAR US Equity","SUPPLY_CHAIN_CUSTOMERS","RELATIONSHIP_AS_OF_DATE","19990106")</f>
        <v/>
      </c>
      <c r="AY5">
        <f>BDS("GBBK US Equity","SUPPLY_CHAIN_SUPPLIERS","RELATIONSHIP_AS_OF_DATE","19991214")</f>
        <v/>
      </c>
      <c r="BD5">
        <f>BDS("GBBK US Equity","SUPPLY_CHAIN_CUSTOMERS","RELATIONSHIP_AS_OF_DATE","19991214")</f>
        <v/>
      </c>
      <c r="BI5">
        <f>BDS("VIAV US Equity","SUPPLY_CHAIN_SUPPLIERS","RELATIONSHIP_AS_OF_DATE","20071211")</f>
        <v/>
      </c>
      <c r="BN5">
        <f>BDS("VIAV US Equity","SUPPLY_CHAIN_CUSTOMERS","RELATIONSHIP_AS_OF_DATE","20071211")</f>
        <v/>
      </c>
      <c r="BS5">
        <f>BDS("DCAI US Equity","SUPPLY_CHAIN_SUPPLIERS","RELATIONSHIP_AS_OF_DATE","20050315")</f>
        <v/>
      </c>
      <c r="BX5">
        <f>BDS("DCAI US Equity","SUPPLY_CHAIN_CUSTOMERS","RELATIONSHIP_AS_OF_DATE","20050315")</f>
        <v/>
      </c>
      <c r="CC5">
        <f>BDS("COB US Equity","SUPPLY_CHAIN_SUPPLIERS","RELATIONSHIP_AS_OF_DATE","20050919")</f>
        <v/>
      </c>
      <c r="CH5">
        <f>BDS("COB US Equity","SUPPLY_CHAIN_CUSTOMERS","RELATIONSHIP_AS_OF_DATE","20050919")</f>
        <v/>
      </c>
      <c r="CM5">
        <f>BDS("RITA US Equity","SUPPLY_CHAIN_SUPPLIERS","RELATIONSHIP_AS_OF_DATE","20040513")</f>
        <v/>
      </c>
      <c r="CR5">
        <f>BDS("RITA US Equity","SUPPLY_CHAIN_CUSTOMERS","RELATIONSHIP_AS_OF_DATE","20040513")</f>
        <v/>
      </c>
      <c r="CW5">
        <f>BDS("MDT US Equity","SUPPLY_CHAIN_SUPPLIERS","RELATIONSHIP_AS_OF_DATE","20100817")</f>
        <v/>
      </c>
      <c r="DB5">
        <f>BDS("MDT US Equity","SUPPLY_CHAIN_CUSTOMERS","RELATIONSHIP_AS_OF_DATE","20100817")</f>
        <v/>
      </c>
      <c r="DG5">
        <f>BDS("MPB US Equity","SUPPLY_CHAIN_SUPPLIERS","RELATIONSHIP_AS_OF_DATE","20210630")</f>
        <v/>
      </c>
      <c r="DL5">
        <f>BDS("MPB US Equity","SUPPLY_CHAIN_CUSTOMERS","RELATIONSHIP_AS_OF_DATE","20210630")</f>
        <v/>
      </c>
      <c r="DQ5">
        <f>BDS("BEAS US Equity","SUPPLY_CHAIN_SUPPLIERS","RELATIONSHIP_AS_OF_DATE","20050822")</f>
        <v/>
      </c>
      <c r="DV5">
        <f>BDS("BEAS US Equity","SUPPLY_CHAIN_CUSTOMERS","RELATIONSHIP_AS_OF_DATE","20050822")</f>
        <v/>
      </c>
      <c r="EA5">
        <f>BDS("NBBC US Equity","SUPPLY_CHAIN_SUPPLIERS","RELATIONSHIP_AS_OF_DATE","20070227")</f>
        <v/>
      </c>
      <c r="EF5">
        <f>BDS("NBBC US Equity","SUPPLY_CHAIN_CUSTOMERS","RELATIONSHIP_AS_OF_DATE","20070227")</f>
        <v/>
      </c>
      <c r="EK5">
        <f>BDS("1978022D US Equity","SUPPLY_CHAIN_SUPPLIERS","RELATIONSHIP_AS_OF_DATE","20060804")</f>
        <v/>
      </c>
      <c r="EP5">
        <f>BDS("1978022D US Equity","SUPPLY_CHAIN_CUSTOMERS","RELATIONSHIP_AS_OF_DATE","20060804")</f>
        <v/>
      </c>
      <c r="EU5">
        <f>BDS("SGYPQ US Equity","SUPPLY_CHAIN_SUPPLIERS","RELATIONSHIP_AS_OF_DATE","20120720")</f>
        <v/>
      </c>
      <c r="EZ5">
        <f>BDS("SGYPQ US Equity","SUPPLY_CHAIN_CUSTOMERS","RELATIONSHIP_AS_OF_DATE","20120720")</f>
        <v/>
      </c>
      <c r="FE5">
        <f>BDS("AIMC US Equity","SUPPLY_CHAIN_SUPPLIERS","RELATIONSHIP_AS_OF_DATE","20070220")</f>
        <v/>
      </c>
      <c r="FJ5">
        <f>BDS("AIMC US Equity","SUPPLY_CHAIN_CUSTOMERS","RELATIONSHIP_AS_OF_DATE","20070220")</f>
        <v/>
      </c>
      <c r="FO5">
        <f>BDS("MMM US Equity","SUPPLY_CHAIN_SUPPLIERS","RELATIONSHIP_AS_OF_DATE","20001113")</f>
        <v/>
      </c>
      <c r="FT5">
        <f>BDS("MMM US Equity","SUPPLY_CHAIN_CUSTOMERS","RELATIONSHIP_AS_OF_DATE","20001113")</f>
        <v/>
      </c>
      <c r="FY5">
        <f>BDS("ADP US Equity","SUPPLY_CHAIN_SUPPLIERS","RELATIONSHIP_AS_OF_DATE","20000503")</f>
        <v/>
      </c>
      <c r="GD5">
        <f>BDS("ADP US Equity","SUPPLY_CHAIN_CUSTOMERS","RELATIONSHIP_AS_OF_DATE","20000503")</f>
        <v/>
      </c>
      <c r="GI5">
        <f>BDS("DAR US Equity","SUPPLY_CHAIN_SUPPLIERS","RELATIONSHIP_AS_OF_DATE","20051220")</f>
        <v/>
      </c>
      <c r="GN5">
        <f>BDS("DAR US Equity","SUPPLY_CHAIN_CUSTOMERS","RELATIONSHIP_AS_OF_DATE","20051220")</f>
        <v/>
      </c>
      <c r="GS5">
        <f>BDS("MSCC US Equity","SUPPLY_CHAIN_SUPPLIERS","RELATIONSHIP_AS_OF_DATE","20051102")</f>
        <v/>
      </c>
      <c r="GX5">
        <f>BDS("MSCC US Equity","SUPPLY_CHAIN_CUSTOMERS","RELATIONSHIP_AS_OF_DATE","20051102")</f>
        <v/>
      </c>
      <c r="HC5">
        <f>BDS("CY US Equity","SUPPLY_CHAIN_SUPPLIERS","RELATIONSHIP_AS_OF_DATE","20010116")</f>
        <v/>
      </c>
      <c r="HH5">
        <f>BDS("CY US Equity","SUPPLY_CHAIN_CUSTOMERS","RELATIONSHIP_AS_OF_DATE","20010116")</f>
        <v/>
      </c>
      <c r="HM5">
        <f>BDS("DLX US Equity","SUPPLY_CHAIN_SUPPLIERS","RELATIONSHIP_AS_OF_DATE","20080619")</f>
        <v/>
      </c>
      <c r="HR5">
        <f>BDS("DLX US Equity","SUPPLY_CHAIN_CUSTOMERS","RELATIONSHIP_AS_OF_DATE","20080619")</f>
        <v/>
      </c>
      <c r="HW5">
        <f>BDS("QKKAQ US Equity","SUPPLY_CHAIN_SUPPLIERS","RELATIONSHIP_AS_OF_DATE","20000721")</f>
        <v/>
      </c>
      <c r="IB5">
        <f>BDS("QKKAQ US Equity","SUPPLY_CHAIN_CUSTOMERS","RELATIONSHIP_AS_OF_DATE","20000721")</f>
        <v/>
      </c>
      <c r="IG5">
        <f>BDS("HYSL US Equity","SUPPLY_CHAIN_SUPPLIERS","RELATIONSHIP_AS_OF_DATE","20030723")</f>
        <v/>
      </c>
      <c r="IL5">
        <f>BDS("HYSL US Equity","SUPPLY_CHAIN_CUSTOMERS","RELATIONSHIP_AS_OF_DATE","20030723")</f>
        <v/>
      </c>
      <c r="IQ5">
        <f>BDS("CDNS US Equity","SUPPLY_CHAIN_SUPPLIERS","RELATIONSHIP_AS_OF_DATE","19990615")</f>
        <v/>
      </c>
      <c r="IV5">
        <f>BDS("CDNS US Equity","SUPPLY_CHAIN_CUSTOMERS","RELATIONSHIP_AS_OF_DATE","19990615")</f>
        <v/>
      </c>
      <c r="JA5">
        <f>BDS("GDT US Equity","SUPPLY_CHAIN_SUPPLIERS","RELATIONSHIP_AS_OF_DATE","19980811")</f>
        <v/>
      </c>
      <c r="JF5">
        <f>BDS("GDT US Equity","SUPPLY_CHAIN_CUSTOMERS","RELATIONSHIP_AS_OF_DATE","19980811")</f>
        <v/>
      </c>
      <c r="JK5">
        <f>BDS("AVY US Equity","SUPPLY_CHAIN_SUPPLIERS","RELATIONSHIP_AS_OF_DATE","19990604")</f>
        <v/>
      </c>
      <c r="JP5">
        <f>BDS("AVY US Equity","SUPPLY_CHAIN_CUSTOMERS","RELATIONSHIP_AS_OF_DATE","19990604")</f>
        <v/>
      </c>
      <c r="JU5">
        <f>BDS("ACCL US Equity","SUPPLY_CHAIN_SUPPLIERS","RELATIONSHIP_AS_OF_DATE","19980204")</f>
        <v/>
      </c>
      <c r="JZ5">
        <f>BDS("ACCL US Equity","SUPPLY_CHAIN_CUSTOMERS","RELATIONSHIP_AS_OF_DATE","19980204")</f>
        <v/>
      </c>
      <c r="KE5">
        <f>BDS("DWSN US Equity","SUPPLY_CHAIN_SUPPLIERS","RELATIONSHIP_AS_OF_DATE","20141009")</f>
        <v/>
      </c>
      <c r="KJ5">
        <f>BDS("DWSN US Equity","SUPPLY_CHAIN_CUSTOMERS","RELATIONSHIP_AS_OF_DATE","20141009")</f>
        <v/>
      </c>
      <c r="KO5">
        <f>BDS("GEOKQ US Equity","SUPPLY_CHAIN_SUPPLIERS","RELATIONSHIP_AS_OF_DATE","20060908")</f>
        <v/>
      </c>
      <c r="KT5">
        <f>BDS("GEOKQ US Equity","SUPPLY_CHAIN_CUSTOMERS","RELATIONSHIP_AS_OF_DATE","20060908")</f>
        <v/>
      </c>
      <c r="KY5">
        <f>BDS("CAR US Equity","SUPPLY_CHAIN_SUPPLIERS","RELATIONSHIP_AS_OF_DATE","19980414")</f>
        <v/>
      </c>
      <c r="LD5">
        <f>BDS("CAR US Equity","SUPPLY_CHAIN_CUSTOMERS","RELATIONSHIP_AS_OF_DATE","19980414")</f>
        <v/>
      </c>
      <c r="LI5">
        <f>BDS("FNB US Equity","SUPPLY_CHAIN_SUPPLIERS","RELATIONSHIP_AS_OF_DATE","20110615")</f>
        <v/>
      </c>
      <c r="LN5">
        <f>BDS("FNB US Equity","SUPPLY_CHAIN_CUSTOMERS","RELATIONSHIP_AS_OF_DATE","20110615")</f>
        <v/>
      </c>
      <c r="LS5">
        <f>BDS("764144Q US Equity","SUPPLY_CHAIN_SUPPLIERS","RELATIONSHIP_AS_OF_DATE","20030121")</f>
        <v/>
      </c>
      <c r="LX5">
        <f>BDS("764144Q US Equity","SUPPLY_CHAIN_CUSTOMERS","RELATIONSHIP_AS_OF_DATE","20030121")</f>
        <v/>
      </c>
      <c r="MC5">
        <f>BDS("CPNLQ US Equity","SUPPLY_CHAIN_SUPPLIERS","RELATIONSHIP_AS_OF_DATE","19990825")</f>
        <v/>
      </c>
      <c r="MH5">
        <f>BDS("CPNLQ US Equity","SUPPLY_CHAIN_CUSTOMERS","RELATIONSHIP_AS_OF_DATE","19990825")</f>
        <v/>
      </c>
      <c r="MM5">
        <f>BDS("534689Q US Equity","SUPPLY_CHAIN_SUPPLIERS","RELATIONSHIP_AS_OF_DATE","19990804")</f>
        <v/>
      </c>
      <c r="MR5">
        <f>BDS("534689Q US Equity","SUPPLY_CHAIN_CUSTOMERS","RELATIONSHIP_AS_OF_DATE","19990804")</f>
        <v/>
      </c>
      <c r="MW5">
        <f>BDS("UCB US Equity","SUPPLY_CHAIN_SUPPLIERS","RELATIONSHIP_AS_OF_DATE","20170627")</f>
        <v/>
      </c>
      <c r="NB5">
        <f>BDS("UCB US Equity","SUPPLY_CHAIN_CUSTOMERS","RELATIONSHIP_AS_OF_DATE","20170627")</f>
        <v/>
      </c>
      <c r="NG5">
        <f>BDS("9895616Q US Equity","SUPPLY_CHAIN_SUPPLIERS","RELATIONSHIP_AS_OF_DATE","19980529")</f>
        <v/>
      </c>
      <c r="NL5">
        <f>BDS("9895616Q US Equity","SUPPLY_CHAIN_CUSTOMERS","RELATIONSHIP_AS_OF_DATE","19980529")</f>
        <v/>
      </c>
      <c r="NQ5">
        <f>BDS("UB US Equity","SUPPLY_CHAIN_SUPPLIERS","RELATIONSHIP_AS_OF_DATE","20030926")</f>
        <v/>
      </c>
      <c r="NV5">
        <f>BDS("UB US Equity","SUPPLY_CHAIN_CUSTOMERS","RELATIONSHIP_AS_OF_DATE","20030926")</f>
        <v/>
      </c>
      <c r="OA5">
        <f>BDS("9990253D US Equity","SUPPLY_CHAIN_SUPPLIERS","RELATIONSHIP_AS_OF_DATE","20030416")</f>
        <v/>
      </c>
      <c r="OF5">
        <f>BDS("9990253D US Equity","SUPPLY_CHAIN_CUSTOMERS","RELATIONSHIP_AS_OF_DATE","20030416")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3161</t>
        </is>
      </c>
      <c r="K1" s="1" t="inlineStr">
        <is>
          <t>Deal 3162</t>
        </is>
      </c>
      <c r="U1" s="1" t="inlineStr">
        <is>
          <t>Deal 3163</t>
        </is>
      </c>
      <c r="AE1" s="1" t="inlineStr">
        <is>
          <t>Deal 3164</t>
        </is>
      </c>
      <c r="AO1" s="1" t="inlineStr">
        <is>
          <t>Deal 3165</t>
        </is>
      </c>
      <c r="AY1" s="1" t="inlineStr">
        <is>
          <t>Deal 3166</t>
        </is>
      </c>
      <c r="BI1" s="1" t="inlineStr">
        <is>
          <t>Deal 3167</t>
        </is>
      </c>
      <c r="BS1" s="1" t="inlineStr">
        <is>
          <t>Deal 3168</t>
        </is>
      </c>
      <c r="CC1" s="1" t="inlineStr">
        <is>
          <t>Deal 3169</t>
        </is>
      </c>
      <c r="CM1" s="1" t="inlineStr">
        <is>
          <t>Deal 3170</t>
        </is>
      </c>
      <c r="CW1" s="1" t="inlineStr">
        <is>
          <t>Deal 3171</t>
        </is>
      </c>
      <c r="DG1" s="1" t="inlineStr">
        <is>
          <t>Deal 3172</t>
        </is>
      </c>
      <c r="DQ1" s="1" t="inlineStr">
        <is>
          <t>Deal 3173</t>
        </is>
      </c>
      <c r="EA1" s="1" t="inlineStr">
        <is>
          <t>Deal 3174</t>
        </is>
      </c>
      <c r="EK1" s="1" t="inlineStr">
        <is>
          <t>Deal 3175</t>
        </is>
      </c>
      <c r="EU1" s="1" t="inlineStr">
        <is>
          <t>Deal 3176</t>
        </is>
      </c>
      <c r="FE1" s="1" t="inlineStr">
        <is>
          <t>Deal 3177</t>
        </is>
      </c>
      <c r="FO1" s="1" t="inlineStr">
        <is>
          <t>Deal 3178</t>
        </is>
      </c>
      <c r="FY1" s="1" t="inlineStr">
        <is>
          <t>Deal 3179</t>
        </is>
      </c>
      <c r="GI1" s="1" t="inlineStr">
        <is>
          <t>Deal 3180</t>
        </is>
      </c>
      <c r="GS1" s="1" t="inlineStr">
        <is>
          <t>Deal 3181</t>
        </is>
      </c>
      <c r="HC1" s="1" t="inlineStr">
        <is>
          <t>Deal 3182</t>
        </is>
      </c>
      <c r="HM1" s="1" t="inlineStr">
        <is>
          <t>Deal 3183</t>
        </is>
      </c>
      <c r="HW1" s="1" t="inlineStr">
        <is>
          <t>Deal 3184</t>
        </is>
      </c>
      <c r="IG1" s="1" t="inlineStr">
        <is>
          <t>Deal 3185</t>
        </is>
      </c>
      <c r="IQ1" s="1" t="inlineStr">
        <is>
          <t>Deal 3186</t>
        </is>
      </c>
      <c r="JA1" s="1" t="inlineStr">
        <is>
          <t>Deal 3187</t>
        </is>
      </c>
      <c r="JK1" s="1" t="inlineStr">
        <is>
          <t>Deal 3188</t>
        </is>
      </c>
      <c r="JU1" s="1" t="inlineStr">
        <is>
          <t>Deal 3189</t>
        </is>
      </c>
      <c r="KE1" s="1" t="inlineStr">
        <is>
          <t>Deal 3190</t>
        </is>
      </c>
      <c r="KO1" s="1" t="inlineStr">
        <is>
          <t>Deal 3191</t>
        </is>
      </c>
      <c r="KY1" s="1" t="inlineStr">
        <is>
          <t>Deal 3192</t>
        </is>
      </c>
      <c r="LI1" s="1" t="inlineStr">
        <is>
          <t>Deal 3193</t>
        </is>
      </c>
      <c r="LS1" s="1" t="inlineStr">
        <is>
          <t>Deal 3194</t>
        </is>
      </c>
      <c r="MC1" s="1" t="inlineStr">
        <is>
          <t>Deal 3195</t>
        </is>
      </c>
      <c r="MM1" s="1" t="inlineStr">
        <is>
          <t>Deal 3196</t>
        </is>
      </c>
      <c r="MW1" s="1" t="inlineStr">
        <is>
          <t>Deal 3197</t>
        </is>
      </c>
      <c r="NG1" s="1" t="inlineStr">
        <is>
          <t>Deal 3198</t>
        </is>
      </c>
      <c r="NQ1" s="1" t="inlineStr">
        <is>
          <t>Deal 3199</t>
        </is>
      </c>
      <c r="OA1" s="1" t="inlineStr">
        <is>
          <t>Deal 3200</t>
        </is>
      </c>
    </row>
    <row r="2">
      <c r="A2" s="2" t="inlineStr">
        <is>
          <t>BBT US Equity</t>
        </is>
      </c>
      <c r="K2" s="2" t="inlineStr">
        <is>
          <t>AMESQ US Equity</t>
        </is>
      </c>
      <c r="U2" s="2" t="inlineStr">
        <is>
          <t>MTB US Equity</t>
        </is>
      </c>
      <c r="AE2" s="2" t="inlineStr">
        <is>
          <t>2847452Q US Equity</t>
        </is>
      </c>
      <c r="AO2" s="2" t="inlineStr">
        <is>
          <t>TRAD US Equity</t>
        </is>
      </c>
      <c r="AY2" s="2" t="inlineStr">
        <is>
          <t>FULT US Equity</t>
        </is>
      </c>
      <c r="BI2" s="2" t="inlineStr">
        <is>
          <t>0897262D US Equity</t>
        </is>
      </c>
      <c r="BS2" s="2" t="inlineStr">
        <is>
          <t>TFC US Equity</t>
        </is>
      </c>
      <c r="CC2" s="2" t="inlineStr">
        <is>
          <t>540513Q US Equity</t>
        </is>
      </c>
      <c r="CM2" s="2" t="inlineStr">
        <is>
          <t>PFS US Equity</t>
        </is>
      </c>
      <c r="CW2" s="2" t="inlineStr">
        <is>
          <t>CNOB US Equity</t>
        </is>
      </c>
      <c r="DG2" s="2" t="inlineStr">
        <is>
          <t>PMB US Equity</t>
        </is>
      </c>
      <c r="DQ2" s="2" t="inlineStr">
        <is>
          <t>CAR US Equity</t>
        </is>
      </c>
      <c r="EA2" s="2" t="inlineStr">
        <is>
          <t>INDB US Equity</t>
        </is>
      </c>
      <c r="EK2" s="2" t="inlineStr">
        <is>
          <t>DFODQ US Equity</t>
        </is>
      </c>
      <c r="EU2" s="2" t="inlineStr">
        <is>
          <t>0700734D US Equity</t>
        </is>
      </c>
      <c r="FE2" s="2" t="inlineStr">
        <is>
          <t>FRST US Equity</t>
        </is>
      </c>
      <c r="FO2" s="2" t="inlineStr">
        <is>
          <t>CATC US Equity</t>
        </is>
      </c>
      <c r="FY2" s="2" t="inlineStr">
        <is>
          <t>ONEW US Equity</t>
        </is>
      </c>
      <c r="GI2" s="2" t="inlineStr">
        <is>
          <t>ARAY US Equity</t>
        </is>
      </c>
      <c r="GS2" s="2" t="inlineStr">
        <is>
          <t>EPIC US Equity</t>
        </is>
      </c>
      <c r="HC2" s="2" t="inlineStr">
        <is>
          <t>PSTRQ US Equity</t>
        </is>
      </c>
      <c r="HM2" s="2" t="inlineStr">
        <is>
          <t>CY US Equity</t>
        </is>
      </c>
      <c r="HW2" s="2" t="inlineStr">
        <is>
          <t>WM US Equity</t>
        </is>
      </c>
      <c r="IG2" s="2" t="inlineStr">
        <is>
          <t>FRME US Equity</t>
        </is>
      </c>
      <c r="IQ2" s="2" t="inlineStr">
        <is>
          <t>DZSIQ US Equity</t>
        </is>
      </c>
      <c r="JA2" s="2" t="inlineStr">
        <is>
          <t>AXE US Equity</t>
        </is>
      </c>
      <c r="JK2" s="2" t="inlineStr">
        <is>
          <t>TCF US Equity</t>
        </is>
      </c>
      <c r="JU2" s="2" t="inlineStr">
        <is>
          <t>MSI US Equity</t>
        </is>
      </c>
      <c r="KE2" s="2" t="inlineStr">
        <is>
          <t>CHZ US Equity</t>
        </is>
      </c>
      <c r="KO2" s="2" t="inlineStr">
        <is>
          <t>ECPN US Equity</t>
        </is>
      </c>
      <c r="KY2" s="2" t="inlineStr">
        <is>
          <t>NCF US Equity</t>
        </is>
      </c>
      <c r="LI2" s="2" t="inlineStr">
        <is>
          <t>CHDN US Equity</t>
        </is>
      </c>
      <c r="LS2" s="2" t="inlineStr">
        <is>
          <t>WFC US Equity</t>
        </is>
      </c>
      <c r="MC2" s="2" t="inlineStr">
        <is>
          <t>WLDN US Equity</t>
        </is>
      </c>
      <c r="MM2" s="2" t="inlineStr">
        <is>
          <t>SAFE US Equity</t>
        </is>
      </c>
      <c r="MW2" s="2" t="inlineStr">
        <is>
          <t>nan Equity</t>
        </is>
      </c>
      <c r="NG2" s="2" t="inlineStr">
        <is>
          <t>DE US Equity</t>
        </is>
      </c>
      <c r="NQ2" s="2" t="inlineStr">
        <is>
          <t>TMAV US Equity</t>
        </is>
      </c>
      <c r="OA2" s="2" t="inlineStr">
        <is>
          <t>PARR US Equity</t>
        </is>
      </c>
    </row>
    <row r="3">
      <c r="A3" t="inlineStr">
        <is>
          <t>Ann: 2012-05-31</t>
        </is>
      </c>
      <c r="K3" t="inlineStr">
        <is>
          <t>Ann: 1998-11-12</t>
        </is>
      </c>
      <c r="U3" t="inlineStr">
        <is>
          <t>Ann: 1998-12-09</t>
        </is>
      </c>
      <c r="AE3" t="inlineStr">
        <is>
          <t>Ann: 2001-03-23</t>
        </is>
      </c>
      <c r="AO3" t="inlineStr">
        <is>
          <t>Ann: 2000-01-20</t>
        </is>
      </c>
      <c r="AY3" t="inlineStr">
        <is>
          <t>Ann: 2004-06-14</t>
        </is>
      </c>
      <c r="BI3" t="inlineStr">
        <is>
          <t>Ann: 2001-05-01</t>
        </is>
      </c>
      <c r="BS3" t="inlineStr">
        <is>
          <t>Ann: 1999-01-27</t>
        </is>
      </c>
      <c r="CC3" t="inlineStr">
        <is>
          <t>Ann: 2002-08-08</t>
        </is>
      </c>
      <c r="CM3" t="inlineStr">
        <is>
          <t>Ann: 2006-10-16</t>
        </is>
      </c>
      <c r="CW3" t="inlineStr">
        <is>
          <t>Ann: 2019-08-16</t>
        </is>
      </c>
      <c r="DG3" t="inlineStr">
        <is>
          <t>Ann: 1998-02-05</t>
        </is>
      </c>
      <c r="DQ3" t="inlineStr">
        <is>
          <t>Ann: 2002-08-12</t>
        </is>
      </c>
      <c r="EA3" t="inlineStr">
        <is>
          <t>Ann: 2008-11-07</t>
        </is>
      </c>
      <c r="EK3" t="inlineStr">
        <is>
          <t>Ann: 1998-09-11</t>
        </is>
      </c>
      <c r="EU3" t="inlineStr">
        <is>
          <t>Ann: 2005-05-26</t>
        </is>
      </c>
      <c r="FE3" t="inlineStr">
        <is>
          <t>Ann: 2016-12-13</t>
        </is>
      </c>
      <c r="FO3" t="inlineStr">
        <is>
          <t>Ann: 2019-12-05</t>
        </is>
      </c>
      <c r="FY3" t="inlineStr">
        <is>
          <t>Ann: 2022-06-22</t>
        </is>
      </c>
      <c r="GI3" t="inlineStr">
        <is>
          <t>Ann: 2011-03-07</t>
        </is>
      </c>
      <c r="GS3" t="inlineStr">
        <is>
          <t>Ann: 1998-10-13</t>
        </is>
      </c>
      <c r="HC3" t="inlineStr">
        <is>
          <t>Ann: 2009-06-03</t>
        </is>
      </c>
      <c r="HM3" t="inlineStr">
        <is>
          <t>Ann: 1999-01-21</t>
        </is>
      </c>
      <c r="HW3" t="inlineStr">
        <is>
          <t>Ann: 1998-02-06</t>
        </is>
      </c>
      <c r="IG3" t="inlineStr">
        <is>
          <t>Ann: 2001-10-15</t>
        </is>
      </c>
      <c r="IQ3" t="inlineStr">
        <is>
          <t>Ann: 2005-07-08</t>
        </is>
      </c>
      <c r="JA3" t="inlineStr">
        <is>
          <t>Ann: 2002-05-23</t>
        </is>
      </c>
      <c r="JK3" t="inlineStr">
        <is>
          <t>Ann: 2014-03-11</t>
        </is>
      </c>
      <c r="JU3" t="inlineStr">
        <is>
          <t>Ann: 2007-04-23</t>
        </is>
      </c>
      <c r="KE3" t="inlineStr">
        <is>
          <t>Ann: 2007-06-04</t>
        </is>
      </c>
      <c r="KO3" t="inlineStr">
        <is>
          <t>Ann: 2011-01-19</t>
        </is>
      </c>
      <c r="KY3" t="inlineStr">
        <is>
          <t>Ann: 2001-07-16</t>
        </is>
      </c>
      <c r="LI3" t="inlineStr">
        <is>
          <t>Ann: 2009-11-11</t>
        </is>
      </c>
      <c r="LS3" t="inlineStr">
        <is>
          <t>Ann: 2001-03-23</t>
        </is>
      </c>
      <c r="MC3" t="inlineStr">
        <is>
          <t>Ann: 2018-10-03</t>
        </is>
      </c>
      <c r="MM3" t="inlineStr">
        <is>
          <t>Ann: 2005-01-20</t>
        </is>
      </c>
      <c r="MW3" t="inlineStr">
        <is>
          <t>Ann: 2015-08-05</t>
        </is>
      </c>
      <c r="NG3" t="inlineStr">
        <is>
          <t>Ann: 2007-02-19</t>
        </is>
      </c>
      <c r="NQ3" t="inlineStr">
        <is>
          <t>Ann: 1998-03-26</t>
        </is>
      </c>
      <c r="OA3" t="inlineStr">
        <is>
          <t>Ann: 2005-11-08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BDS("BBT US Equity","SUPPLY_CHAIN_SUPPLIERS","RELATIONSHIP_AS_OF_DATE","20120531")</f>
        <v/>
      </c>
      <c r="F5">
        <f>BDS("BBT US Equity","SUPPLY_CHAIN_CUSTOMERS","RELATIONSHIP_AS_OF_DATE","20120531")</f>
        <v/>
      </c>
      <c r="K5">
        <f>BDS("AMESQ US Equity","SUPPLY_CHAIN_SUPPLIERS","RELATIONSHIP_AS_OF_DATE","19981112")</f>
        <v/>
      </c>
      <c r="P5">
        <f>BDS("AMESQ US Equity","SUPPLY_CHAIN_CUSTOMERS","RELATIONSHIP_AS_OF_DATE","19981112")</f>
        <v/>
      </c>
      <c r="U5">
        <f>BDS("MTB US Equity","SUPPLY_CHAIN_SUPPLIERS","RELATIONSHIP_AS_OF_DATE","19981209")</f>
        <v/>
      </c>
      <c r="Z5">
        <f>BDS("MTB US Equity","SUPPLY_CHAIN_CUSTOMERS","RELATIONSHIP_AS_OF_DATE","19981209")</f>
        <v/>
      </c>
      <c r="AE5">
        <f>BDS("2847452Q US Equity","SUPPLY_CHAIN_SUPPLIERS","RELATIONSHIP_AS_OF_DATE","20010323")</f>
        <v/>
      </c>
      <c r="AJ5">
        <f>BDS("2847452Q US Equity","SUPPLY_CHAIN_CUSTOMERS","RELATIONSHIP_AS_OF_DATE","20010323")</f>
        <v/>
      </c>
      <c r="AO5">
        <f>BDS("TRAD US Equity","SUPPLY_CHAIN_SUPPLIERS","RELATIONSHIP_AS_OF_DATE","20000120")</f>
        <v/>
      </c>
      <c r="AT5">
        <f>BDS("TRAD US Equity","SUPPLY_CHAIN_CUSTOMERS","RELATIONSHIP_AS_OF_DATE","20000120")</f>
        <v/>
      </c>
      <c r="AY5">
        <f>BDS("FULT US Equity","SUPPLY_CHAIN_SUPPLIERS","RELATIONSHIP_AS_OF_DATE","20040614")</f>
        <v/>
      </c>
      <c r="BD5">
        <f>BDS("FULT US Equity","SUPPLY_CHAIN_CUSTOMERS","RELATIONSHIP_AS_OF_DATE","20040614")</f>
        <v/>
      </c>
      <c r="BI5">
        <f>BDS("0897262D US Equity","SUPPLY_CHAIN_SUPPLIERS","RELATIONSHIP_AS_OF_DATE","20010501")</f>
        <v/>
      </c>
      <c r="BN5">
        <f>BDS("0897262D US Equity","SUPPLY_CHAIN_CUSTOMERS","RELATIONSHIP_AS_OF_DATE","20010501")</f>
        <v/>
      </c>
      <c r="BS5">
        <f>BDS("TFC US Equity","SUPPLY_CHAIN_SUPPLIERS","RELATIONSHIP_AS_OF_DATE","19990127")</f>
        <v/>
      </c>
      <c r="BX5">
        <f>BDS("TFC US Equity","SUPPLY_CHAIN_CUSTOMERS","RELATIONSHIP_AS_OF_DATE","19990127")</f>
        <v/>
      </c>
      <c r="CC5">
        <f>BDS("540513Q US Equity","SUPPLY_CHAIN_SUPPLIERS","RELATIONSHIP_AS_OF_DATE","20020808")</f>
        <v/>
      </c>
      <c r="CH5">
        <f>BDS("540513Q US Equity","SUPPLY_CHAIN_CUSTOMERS","RELATIONSHIP_AS_OF_DATE","20020808")</f>
        <v/>
      </c>
      <c r="CM5">
        <f>BDS("PFS US Equity","SUPPLY_CHAIN_SUPPLIERS","RELATIONSHIP_AS_OF_DATE","20061016")</f>
        <v/>
      </c>
      <c r="CR5">
        <f>BDS("PFS US Equity","SUPPLY_CHAIN_CUSTOMERS","RELATIONSHIP_AS_OF_DATE","20061016")</f>
        <v/>
      </c>
      <c r="CW5">
        <f>BDS("CNOB US Equity","SUPPLY_CHAIN_SUPPLIERS","RELATIONSHIP_AS_OF_DATE","20190816")</f>
        <v/>
      </c>
      <c r="DB5">
        <f>BDS("CNOB US Equity","SUPPLY_CHAIN_CUSTOMERS","RELATIONSHIP_AS_OF_DATE","20190816")</f>
        <v/>
      </c>
      <c r="DG5">
        <f>BDS("PMB US Equity","SUPPLY_CHAIN_SUPPLIERS","RELATIONSHIP_AS_OF_DATE","19980205")</f>
        <v/>
      </c>
      <c r="DL5">
        <f>BDS("PMB US Equity","SUPPLY_CHAIN_CUSTOMERS","RELATIONSHIP_AS_OF_DATE","19980205")</f>
        <v/>
      </c>
      <c r="DQ5">
        <f>BDS("CAR US Equity","SUPPLY_CHAIN_SUPPLIERS","RELATIONSHIP_AS_OF_DATE","20020812")</f>
        <v/>
      </c>
      <c r="DV5">
        <f>BDS("CAR US Equity","SUPPLY_CHAIN_CUSTOMERS","RELATIONSHIP_AS_OF_DATE","20020812")</f>
        <v/>
      </c>
      <c r="EA5">
        <f>BDS("INDB US Equity","SUPPLY_CHAIN_SUPPLIERS","RELATIONSHIP_AS_OF_DATE","20081107")</f>
        <v/>
      </c>
      <c r="EF5">
        <f>BDS("INDB US Equity","SUPPLY_CHAIN_CUSTOMERS","RELATIONSHIP_AS_OF_DATE","20081107")</f>
        <v/>
      </c>
      <c r="EK5">
        <f>BDS("DFODQ US Equity","SUPPLY_CHAIN_SUPPLIERS","RELATIONSHIP_AS_OF_DATE","19980911")</f>
        <v/>
      </c>
      <c r="EP5">
        <f>BDS("DFODQ US Equity","SUPPLY_CHAIN_CUSTOMERS","RELATIONSHIP_AS_OF_DATE","19980911")</f>
        <v/>
      </c>
      <c r="EU5">
        <f>BDS("0700734D US Equity","SUPPLY_CHAIN_SUPPLIERS","RELATIONSHIP_AS_OF_DATE","20050526")</f>
        <v/>
      </c>
      <c r="EZ5">
        <f>BDS("0700734D US Equity","SUPPLY_CHAIN_CUSTOMERS","RELATIONSHIP_AS_OF_DATE","20050526")</f>
        <v/>
      </c>
      <c r="FE5">
        <f>BDS("FRST US Equity","SUPPLY_CHAIN_SUPPLIERS","RELATIONSHIP_AS_OF_DATE","20161213")</f>
        <v/>
      </c>
      <c r="FJ5">
        <f>BDS("FRST US Equity","SUPPLY_CHAIN_CUSTOMERS","RELATIONSHIP_AS_OF_DATE","20161213")</f>
        <v/>
      </c>
      <c r="FO5">
        <f>BDS("CATC US Equity","SUPPLY_CHAIN_SUPPLIERS","RELATIONSHIP_AS_OF_DATE","20191205")</f>
        <v/>
      </c>
      <c r="FT5">
        <f>BDS("CATC US Equity","SUPPLY_CHAIN_CUSTOMERS","RELATIONSHIP_AS_OF_DATE","20191205")</f>
        <v/>
      </c>
      <c r="FY5">
        <f>BDS("ONEW US Equity","SUPPLY_CHAIN_SUPPLIERS","RELATIONSHIP_AS_OF_DATE","20220622")</f>
        <v/>
      </c>
      <c r="GD5">
        <f>BDS("ONEW US Equity","SUPPLY_CHAIN_CUSTOMERS","RELATIONSHIP_AS_OF_DATE","20220622")</f>
        <v/>
      </c>
      <c r="GI5">
        <f>BDS("ARAY US Equity","SUPPLY_CHAIN_SUPPLIERS","RELATIONSHIP_AS_OF_DATE","20110307")</f>
        <v/>
      </c>
      <c r="GN5">
        <f>BDS("ARAY US Equity","SUPPLY_CHAIN_CUSTOMERS","RELATIONSHIP_AS_OF_DATE","20110307")</f>
        <v/>
      </c>
      <c r="GS5">
        <f>BDS("EPIC US Equity","SUPPLY_CHAIN_SUPPLIERS","RELATIONSHIP_AS_OF_DATE","19981013")</f>
        <v/>
      </c>
      <c r="GX5">
        <f>BDS("EPIC US Equity","SUPPLY_CHAIN_CUSTOMERS","RELATIONSHIP_AS_OF_DATE","19981013")</f>
        <v/>
      </c>
      <c r="HC5">
        <f>BDS("PSTRQ US Equity","SUPPLY_CHAIN_SUPPLIERS","RELATIONSHIP_AS_OF_DATE","20090603")</f>
        <v/>
      </c>
      <c r="HH5">
        <f>BDS("PSTRQ US Equity","SUPPLY_CHAIN_CUSTOMERS","RELATIONSHIP_AS_OF_DATE","20090603")</f>
        <v/>
      </c>
      <c r="HM5">
        <f>BDS("CY US Equity","SUPPLY_CHAIN_SUPPLIERS","RELATIONSHIP_AS_OF_DATE","19990121")</f>
        <v/>
      </c>
      <c r="HR5">
        <f>BDS("CY US Equity","SUPPLY_CHAIN_CUSTOMERS","RELATIONSHIP_AS_OF_DATE","19990121")</f>
        <v/>
      </c>
      <c r="HW5">
        <f>BDS("WM US Equity","SUPPLY_CHAIN_SUPPLIERS","RELATIONSHIP_AS_OF_DATE","19980206")</f>
        <v/>
      </c>
      <c r="IB5">
        <f>BDS("WM US Equity","SUPPLY_CHAIN_CUSTOMERS","RELATIONSHIP_AS_OF_DATE","19980206")</f>
        <v/>
      </c>
      <c r="IG5">
        <f>BDS("FRME US Equity","SUPPLY_CHAIN_SUPPLIERS","RELATIONSHIP_AS_OF_DATE","20011015")</f>
        <v/>
      </c>
      <c r="IL5">
        <f>BDS("FRME US Equity","SUPPLY_CHAIN_CUSTOMERS","RELATIONSHIP_AS_OF_DATE","20011015")</f>
        <v/>
      </c>
      <c r="IQ5">
        <f>BDS("DZSIQ US Equity","SUPPLY_CHAIN_SUPPLIERS","RELATIONSHIP_AS_OF_DATE","20050708")</f>
        <v/>
      </c>
      <c r="IV5">
        <f>BDS("DZSIQ US Equity","SUPPLY_CHAIN_CUSTOMERS","RELATIONSHIP_AS_OF_DATE","20050708")</f>
        <v/>
      </c>
      <c r="JA5">
        <f>BDS("AXE US Equity","SUPPLY_CHAIN_SUPPLIERS","RELATIONSHIP_AS_OF_DATE","20020523")</f>
        <v/>
      </c>
      <c r="JF5">
        <f>BDS("AXE US Equity","SUPPLY_CHAIN_CUSTOMERS","RELATIONSHIP_AS_OF_DATE","20020523")</f>
        <v/>
      </c>
      <c r="JK5">
        <f>BDS("TCF US Equity","SUPPLY_CHAIN_SUPPLIERS","RELATIONSHIP_AS_OF_DATE","20140311")</f>
        <v/>
      </c>
      <c r="JP5">
        <f>BDS("TCF US Equity","SUPPLY_CHAIN_CUSTOMERS","RELATIONSHIP_AS_OF_DATE","20140311")</f>
        <v/>
      </c>
      <c r="JU5">
        <f>BDS("MSI US Equity","SUPPLY_CHAIN_SUPPLIERS","RELATIONSHIP_AS_OF_DATE","20070423")</f>
        <v/>
      </c>
      <c r="JZ5">
        <f>BDS("MSI US Equity","SUPPLY_CHAIN_CUSTOMERS","RELATIONSHIP_AS_OF_DATE","20070423")</f>
        <v/>
      </c>
      <c r="KE5">
        <f>BDS("CHZ US Equity","SUPPLY_CHAIN_SUPPLIERS","RELATIONSHIP_AS_OF_DATE","20070604")</f>
        <v/>
      </c>
      <c r="KJ5">
        <f>BDS("CHZ US Equity","SUPPLY_CHAIN_CUSTOMERS","RELATIONSHIP_AS_OF_DATE","20070604")</f>
        <v/>
      </c>
      <c r="KO5">
        <f>BDS("ECPN US Equity","SUPPLY_CHAIN_SUPPLIERS","RELATIONSHIP_AS_OF_DATE","20110119")</f>
        <v/>
      </c>
      <c r="KT5">
        <f>BDS("ECPN US Equity","SUPPLY_CHAIN_CUSTOMERS","RELATIONSHIP_AS_OF_DATE","20110119")</f>
        <v/>
      </c>
      <c r="KY5">
        <f>BDS("NCF US Equity","SUPPLY_CHAIN_SUPPLIERS","RELATIONSHIP_AS_OF_DATE","20010716")</f>
        <v/>
      </c>
      <c r="LD5">
        <f>BDS("NCF US Equity","SUPPLY_CHAIN_CUSTOMERS","RELATIONSHIP_AS_OF_DATE","20010716")</f>
        <v/>
      </c>
      <c r="LI5">
        <f>BDS("CHDN US Equity","SUPPLY_CHAIN_SUPPLIERS","RELATIONSHIP_AS_OF_DATE","20091111")</f>
        <v/>
      </c>
      <c r="LN5">
        <f>BDS("CHDN US Equity","SUPPLY_CHAIN_CUSTOMERS","RELATIONSHIP_AS_OF_DATE","20091111")</f>
        <v/>
      </c>
      <c r="LS5">
        <f>BDS("WFC US Equity","SUPPLY_CHAIN_SUPPLIERS","RELATIONSHIP_AS_OF_DATE","20010323")</f>
        <v/>
      </c>
      <c r="LX5">
        <f>BDS("WFC US Equity","SUPPLY_CHAIN_CUSTOMERS","RELATIONSHIP_AS_OF_DATE","20010323")</f>
        <v/>
      </c>
      <c r="MC5">
        <f>BDS("WLDN US Equity","SUPPLY_CHAIN_SUPPLIERS","RELATIONSHIP_AS_OF_DATE","20181003")</f>
        <v/>
      </c>
      <c r="MH5">
        <f>BDS("WLDN US Equity","SUPPLY_CHAIN_CUSTOMERS","RELATIONSHIP_AS_OF_DATE","20181003")</f>
        <v/>
      </c>
      <c r="MM5">
        <f>BDS("SAFE US Equity","SUPPLY_CHAIN_SUPPLIERS","RELATIONSHIP_AS_OF_DATE","20050120")</f>
        <v/>
      </c>
      <c r="MR5">
        <f>BDS("SAFE US Equity","SUPPLY_CHAIN_CUSTOMERS","RELATIONSHIP_AS_OF_DATE","20050120")</f>
        <v/>
      </c>
      <c r="MW5">
        <f>BDS("nan Equity","SUPPLY_CHAIN_SUPPLIERS","RELATIONSHIP_AS_OF_DATE","20150805")</f>
        <v/>
      </c>
      <c r="NB5">
        <f>BDS("nan Equity","SUPPLY_CHAIN_CUSTOMERS","RELATIONSHIP_AS_OF_DATE","20150805")</f>
        <v/>
      </c>
      <c r="NG5">
        <f>BDS("DE US Equity","SUPPLY_CHAIN_SUPPLIERS","RELATIONSHIP_AS_OF_DATE","20070219")</f>
        <v/>
      </c>
      <c r="NL5">
        <f>BDS("DE US Equity","SUPPLY_CHAIN_CUSTOMERS","RELATIONSHIP_AS_OF_DATE","20070219")</f>
        <v/>
      </c>
      <c r="NQ5">
        <f>BDS("TMAV US Equity","SUPPLY_CHAIN_SUPPLIERS","RELATIONSHIP_AS_OF_DATE","19980326")</f>
        <v/>
      </c>
      <c r="NV5">
        <f>BDS("TMAV US Equity","SUPPLY_CHAIN_CUSTOMERS","RELATIONSHIP_AS_OF_DATE","19980326")</f>
        <v/>
      </c>
      <c r="OA5">
        <f>BDS("PARR US Equity","SUPPLY_CHAIN_SUPPLIERS","RELATIONSHIP_AS_OF_DATE","20051108")</f>
        <v/>
      </c>
      <c r="OF5">
        <f>BDS("PARR US Equity","SUPPLY_CHAIN_CUSTOMERS","RELATIONSHIP_AS_OF_DATE","20051108")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3201</t>
        </is>
      </c>
      <c r="K1" s="1" t="inlineStr">
        <is>
          <t>Deal 3202</t>
        </is>
      </c>
      <c r="U1" s="1" t="inlineStr">
        <is>
          <t>Deal 3203</t>
        </is>
      </c>
      <c r="AE1" s="1" t="inlineStr">
        <is>
          <t>Deal 3204</t>
        </is>
      </c>
      <c r="AO1" s="1" t="inlineStr">
        <is>
          <t>Deal 3205</t>
        </is>
      </c>
      <c r="AY1" s="1" t="inlineStr">
        <is>
          <t>Deal 3206</t>
        </is>
      </c>
      <c r="BI1" s="1" t="inlineStr">
        <is>
          <t>Deal 3207</t>
        </is>
      </c>
      <c r="BS1" s="1" t="inlineStr">
        <is>
          <t>Deal 3208</t>
        </is>
      </c>
      <c r="CC1" s="1" t="inlineStr">
        <is>
          <t>Deal 3209</t>
        </is>
      </c>
      <c r="CM1" s="1" t="inlineStr">
        <is>
          <t>Deal 3210</t>
        </is>
      </c>
      <c r="CW1" s="1" t="inlineStr">
        <is>
          <t>Deal 3211</t>
        </is>
      </c>
      <c r="DG1" s="1" t="inlineStr">
        <is>
          <t>Deal 3212</t>
        </is>
      </c>
      <c r="DQ1" s="1" t="inlineStr">
        <is>
          <t>Deal 3213</t>
        </is>
      </c>
      <c r="EA1" s="1" t="inlineStr">
        <is>
          <t>Deal 3214</t>
        </is>
      </c>
      <c r="EK1" s="1" t="inlineStr">
        <is>
          <t>Deal 3215</t>
        </is>
      </c>
      <c r="EU1" s="1" t="inlineStr">
        <is>
          <t>Deal 3216</t>
        </is>
      </c>
      <c r="FE1" s="1" t="inlineStr">
        <is>
          <t>Deal 3217</t>
        </is>
      </c>
      <c r="FO1" s="1" t="inlineStr">
        <is>
          <t>Deal 3218</t>
        </is>
      </c>
      <c r="FY1" s="1" t="inlineStr">
        <is>
          <t>Deal 3219</t>
        </is>
      </c>
      <c r="GI1" s="1" t="inlineStr">
        <is>
          <t>Deal 3220</t>
        </is>
      </c>
      <c r="GS1" s="1" t="inlineStr">
        <is>
          <t>Deal 3221</t>
        </is>
      </c>
      <c r="HC1" s="1" t="inlineStr">
        <is>
          <t>Deal 3222</t>
        </is>
      </c>
      <c r="HM1" s="1" t="inlineStr">
        <is>
          <t>Deal 3223</t>
        </is>
      </c>
      <c r="HW1" s="1" t="inlineStr">
        <is>
          <t>Deal 3224</t>
        </is>
      </c>
      <c r="IG1" s="1" t="inlineStr">
        <is>
          <t>Deal 3225</t>
        </is>
      </c>
      <c r="IQ1" s="1" t="inlineStr">
        <is>
          <t>Deal 3226</t>
        </is>
      </c>
      <c r="JA1" s="1" t="inlineStr">
        <is>
          <t>Deal 3227</t>
        </is>
      </c>
      <c r="JK1" s="1" t="inlineStr">
        <is>
          <t>Deal 3228</t>
        </is>
      </c>
      <c r="JU1" s="1" t="inlineStr">
        <is>
          <t>Deal 3229</t>
        </is>
      </c>
      <c r="KE1" s="1" t="inlineStr">
        <is>
          <t>Deal 3230</t>
        </is>
      </c>
      <c r="KO1" s="1" t="inlineStr">
        <is>
          <t>Deal 3231</t>
        </is>
      </c>
      <c r="KY1" s="1" t="inlineStr">
        <is>
          <t>Deal 3232</t>
        </is>
      </c>
      <c r="LI1" s="1" t="inlineStr">
        <is>
          <t>Deal 3233</t>
        </is>
      </c>
      <c r="LS1" s="1" t="inlineStr">
        <is>
          <t>Deal 3234</t>
        </is>
      </c>
      <c r="MC1" s="1" t="inlineStr">
        <is>
          <t>Deal 3235</t>
        </is>
      </c>
      <c r="MM1" s="1" t="inlineStr">
        <is>
          <t>Deal 3236</t>
        </is>
      </c>
      <c r="MW1" s="1" t="inlineStr">
        <is>
          <t>Deal 3237</t>
        </is>
      </c>
      <c r="NG1" s="1" t="inlineStr">
        <is>
          <t>Deal 3238</t>
        </is>
      </c>
      <c r="NQ1" s="1" t="inlineStr">
        <is>
          <t>Deal 3239</t>
        </is>
      </c>
      <c r="OA1" s="1" t="inlineStr">
        <is>
          <t>Deal 3240</t>
        </is>
      </c>
    </row>
    <row r="2">
      <c r="A2" s="2" t="inlineStr">
        <is>
          <t>VLY US Equity</t>
        </is>
      </c>
      <c r="K2" s="2" t="inlineStr">
        <is>
          <t>CY US Equity</t>
        </is>
      </c>
      <c r="U2" s="2" t="inlineStr">
        <is>
          <t>OLBK US Equity</t>
        </is>
      </c>
      <c r="AE2" s="2" t="inlineStr">
        <is>
          <t>2676187Q US Equity</t>
        </is>
      </c>
      <c r="AO2" s="2" t="inlineStr">
        <is>
          <t>MTCH US Equity</t>
        </is>
      </c>
      <c r="AY2" s="2" t="inlineStr">
        <is>
          <t>NWBI US Equity</t>
        </is>
      </c>
      <c r="BI2" s="2" t="inlineStr">
        <is>
          <t>3075558Q US Equity</t>
        </is>
      </c>
      <c r="BS2" s="2" t="inlineStr">
        <is>
          <t>BFC US Equity</t>
        </is>
      </c>
      <c r="CC2" s="2" t="inlineStr">
        <is>
          <t>WTNY US Equity</t>
        </is>
      </c>
      <c r="CM2" s="2" t="inlineStr">
        <is>
          <t>ZRAN US Equity</t>
        </is>
      </c>
      <c r="CW2" s="2" t="inlineStr">
        <is>
          <t>LBAI US Equity</t>
        </is>
      </c>
      <c r="DG2" s="2" t="inlineStr">
        <is>
          <t>TIN US Equity</t>
        </is>
      </c>
      <c r="DQ2" s="2" t="inlineStr">
        <is>
          <t>390297Q US Equity</t>
        </is>
      </c>
      <c r="EA2" s="2" t="inlineStr">
        <is>
          <t>TDFXQ US Equity</t>
        </is>
      </c>
      <c r="EK2" s="2" t="inlineStr">
        <is>
          <t>GWR US Equity</t>
        </is>
      </c>
      <c r="EU2" s="2" t="inlineStr">
        <is>
          <t>RSYS US Equity</t>
        </is>
      </c>
      <c r="FE2" s="2" t="inlineStr">
        <is>
          <t>OCAI US Equity</t>
        </is>
      </c>
      <c r="FO2" s="2" t="inlineStr">
        <is>
          <t>355488Q US Equity</t>
        </is>
      </c>
      <c r="FY2" s="2" t="inlineStr">
        <is>
          <t>WSO US Equity</t>
        </is>
      </c>
      <c r="GI2" s="2" t="inlineStr">
        <is>
          <t>TFC US Equity</t>
        </is>
      </c>
      <c r="GS2" s="2" t="inlineStr">
        <is>
          <t>DME US Equity</t>
        </is>
      </c>
      <c r="HC2" s="2" t="inlineStr">
        <is>
          <t>SNV US Equity</t>
        </is>
      </c>
      <c r="HM2" s="2" t="inlineStr">
        <is>
          <t>NCOG US Equity</t>
        </is>
      </c>
      <c r="HW2" s="2" t="inlineStr">
        <is>
          <t>RESC US Equity</t>
        </is>
      </c>
      <c r="IG2" s="2" t="inlineStr">
        <is>
          <t>IWLC US Equity</t>
        </is>
      </c>
      <c r="IQ2" s="2" t="inlineStr">
        <is>
          <t>3346Q US Equity</t>
        </is>
      </c>
      <c r="JA2" s="2" t="inlineStr">
        <is>
          <t>BPFH US Equity</t>
        </is>
      </c>
      <c r="JK2" s="2" t="inlineStr">
        <is>
          <t>AMCC US Equity</t>
        </is>
      </c>
      <c r="JU2" s="2" t="inlineStr">
        <is>
          <t>CW US Equity</t>
        </is>
      </c>
      <c r="KE2" s="2" t="inlineStr">
        <is>
          <t>NAL US Equity</t>
        </is>
      </c>
      <c r="KO2" s="2" t="inlineStr">
        <is>
          <t>ODSY US Equity</t>
        </is>
      </c>
      <c r="KY2" s="2" t="inlineStr">
        <is>
          <t>OSBC US Equity</t>
        </is>
      </c>
      <c r="LI2" s="2" t="inlineStr">
        <is>
          <t>AON US Equity</t>
        </is>
      </c>
      <c r="LS2" s="2" t="inlineStr">
        <is>
          <t>WAI US Equity</t>
        </is>
      </c>
      <c r="MC2" s="2" t="inlineStr">
        <is>
          <t>INVA US Equity</t>
        </is>
      </c>
      <c r="MM2" s="2" t="inlineStr">
        <is>
          <t>TSFG US Equity</t>
        </is>
      </c>
      <c r="MW2" s="2" t="inlineStr">
        <is>
          <t>LTWC US Equity</t>
        </is>
      </c>
      <c r="NG2" s="2" t="inlineStr">
        <is>
          <t>RNST US Equity</t>
        </is>
      </c>
      <c r="NQ2" s="2" t="inlineStr">
        <is>
          <t>SKYW US Equity</t>
        </is>
      </c>
      <c r="OA2" s="2" t="inlineStr">
        <is>
          <t>BMTC US Equity</t>
        </is>
      </c>
    </row>
    <row r="3">
      <c r="A3" t="inlineStr">
        <is>
          <t>Ann: 2015-05-27</t>
        </is>
      </c>
      <c r="K3" t="inlineStr">
        <is>
          <t>Ann: 2012-06-12</t>
        </is>
      </c>
      <c r="U3" t="inlineStr">
        <is>
          <t>Ann: 2017-09-27</t>
        </is>
      </c>
      <c r="AE3" t="inlineStr">
        <is>
          <t>Ann: 2001-05-04</t>
        </is>
      </c>
      <c r="AO3" t="inlineStr">
        <is>
          <t>Ann: 2002-12-19</t>
        </is>
      </c>
      <c r="AY3" t="inlineStr">
        <is>
          <t>Ann: 2003-03-12</t>
        </is>
      </c>
      <c r="BI3" t="inlineStr">
        <is>
          <t>Ann: 1998-06-18</t>
        </is>
      </c>
      <c r="BS3" t="inlineStr">
        <is>
          <t>Ann: 2022-01-19</t>
        </is>
      </c>
      <c r="CC3" t="inlineStr">
        <is>
          <t>Ann: 2005-07-28</t>
        </is>
      </c>
      <c r="CM3" t="inlineStr">
        <is>
          <t>Ann: 2000-08-24</t>
        </is>
      </c>
      <c r="CW3" t="inlineStr">
        <is>
          <t>Ann: 2021-07-12</t>
        </is>
      </c>
      <c r="DG3" t="inlineStr">
        <is>
          <t>Ann: 1998-11-16</t>
        </is>
      </c>
      <c r="DQ3" t="inlineStr">
        <is>
          <t>Ann: 1998-04-13</t>
        </is>
      </c>
      <c r="EA3" t="inlineStr">
        <is>
          <t>Ann: 1998-12-14</t>
        </is>
      </c>
      <c r="EK3" t="inlineStr">
        <is>
          <t>Ann: 2016-08-15</t>
        </is>
      </c>
      <c r="EU3" t="inlineStr">
        <is>
          <t>Ann: 1999-05-24</t>
        </is>
      </c>
      <c r="FE3" t="inlineStr">
        <is>
          <t>Ann: 2001-05-17</t>
        </is>
      </c>
      <c r="FO3" t="inlineStr">
        <is>
          <t>Ann: 1998-01-13</t>
        </is>
      </c>
      <c r="FY3" t="inlineStr">
        <is>
          <t>Ann: 2007-07-05</t>
        </is>
      </c>
      <c r="GI3" t="inlineStr">
        <is>
          <t>Ann: 1998-08-10</t>
        </is>
      </c>
      <c r="GS3" t="inlineStr">
        <is>
          <t>Ann: 1998-12-16</t>
        </is>
      </c>
      <c r="HC3" t="inlineStr">
        <is>
          <t>Ann: 1999-03-22</t>
        </is>
      </c>
      <c r="HM3" t="inlineStr">
        <is>
          <t>Ann: 1999-05-13</t>
        </is>
      </c>
      <c r="HW3" t="inlineStr">
        <is>
          <t>Ann: 1998-11-10</t>
        </is>
      </c>
      <c r="IG3" t="inlineStr">
        <is>
          <t>Ann: 1998-02-17</t>
        </is>
      </c>
      <c r="IQ3" t="inlineStr">
        <is>
          <t>Ann: 1999-09-02</t>
        </is>
      </c>
      <c r="JA3" t="inlineStr">
        <is>
          <t>Ann: 2001-06-27</t>
        </is>
      </c>
      <c r="JK3" t="inlineStr">
        <is>
          <t>Ann: 2003-08-28</t>
        </is>
      </c>
      <c r="JU3" t="inlineStr">
        <is>
          <t>Ann: 2012-11-01</t>
        </is>
      </c>
      <c r="KE3" t="inlineStr">
        <is>
          <t>Ann: 2006-07-18</t>
        </is>
      </c>
      <c r="KO3" t="inlineStr">
        <is>
          <t>Ann: 2008-01-15</t>
        </is>
      </c>
      <c r="KY3" t="inlineStr">
        <is>
          <t>Ann: 2021-07-26</t>
        </is>
      </c>
      <c r="LI3" t="inlineStr">
        <is>
          <t>Ann: 2001-02-23</t>
        </is>
      </c>
      <c r="LS3" t="inlineStr">
        <is>
          <t>Ann: 1998-03-09</t>
        </is>
      </c>
      <c r="MC3" t="inlineStr">
        <is>
          <t>Ann: 2022-07-11</t>
        </is>
      </c>
      <c r="MM3" t="inlineStr">
        <is>
          <t>Ann: 2002-03-21</t>
        </is>
      </c>
      <c r="MW3" t="inlineStr">
        <is>
          <t>Ann: 2001-04-20</t>
        </is>
      </c>
      <c r="NG3" t="inlineStr">
        <is>
          <t>Ann: 2013-02-07</t>
        </is>
      </c>
      <c r="NQ3" t="inlineStr">
        <is>
          <t>Ann: 2010-08-04</t>
        </is>
      </c>
      <c r="OA3" t="inlineStr">
        <is>
          <t>Ann: 2017-01-31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BDS("VLY US Equity","SUPPLY_CHAIN_SUPPLIERS","RELATIONSHIP_AS_OF_DATE","20150527")</f>
        <v/>
      </c>
      <c r="F5">
        <f>BDS("VLY US Equity","SUPPLY_CHAIN_CUSTOMERS","RELATIONSHIP_AS_OF_DATE","20150527")</f>
        <v/>
      </c>
      <c r="K5">
        <f>BDS("CY US Equity","SUPPLY_CHAIN_SUPPLIERS","RELATIONSHIP_AS_OF_DATE","20120612")</f>
        <v/>
      </c>
      <c r="P5">
        <f>BDS("CY US Equity","SUPPLY_CHAIN_CUSTOMERS","RELATIONSHIP_AS_OF_DATE","20120612")</f>
        <v/>
      </c>
      <c r="U5">
        <f>BDS("OLBK US Equity","SUPPLY_CHAIN_SUPPLIERS","RELATIONSHIP_AS_OF_DATE","20170927")</f>
        <v/>
      </c>
      <c r="Z5">
        <f>BDS("OLBK US Equity","SUPPLY_CHAIN_CUSTOMERS","RELATIONSHIP_AS_OF_DATE","20170927")</f>
        <v/>
      </c>
      <c r="AE5">
        <f>BDS("2676187Q US Equity","SUPPLY_CHAIN_SUPPLIERS","RELATIONSHIP_AS_OF_DATE","20010504")</f>
        <v/>
      </c>
      <c r="AJ5">
        <f>BDS("2676187Q US Equity","SUPPLY_CHAIN_CUSTOMERS","RELATIONSHIP_AS_OF_DATE","20010504")</f>
        <v/>
      </c>
      <c r="AO5">
        <f>BDS("MTCH US Equity","SUPPLY_CHAIN_SUPPLIERS","RELATIONSHIP_AS_OF_DATE","20021219")</f>
        <v/>
      </c>
      <c r="AT5">
        <f>BDS("MTCH US Equity","SUPPLY_CHAIN_CUSTOMERS","RELATIONSHIP_AS_OF_DATE","20021219")</f>
        <v/>
      </c>
      <c r="AY5">
        <f>BDS("NWBI US Equity","SUPPLY_CHAIN_SUPPLIERS","RELATIONSHIP_AS_OF_DATE","20030312")</f>
        <v/>
      </c>
      <c r="BD5">
        <f>BDS("NWBI US Equity","SUPPLY_CHAIN_CUSTOMERS","RELATIONSHIP_AS_OF_DATE","20030312")</f>
        <v/>
      </c>
      <c r="BI5">
        <f>BDS("3075558Q US Equity","SUPPLY_CHAIN_SUPPLIERS","RELATIONSHIP_AS_OF_DATE","19980618")</f>
        <v/>
      </c>
      <c r="BN5">
        <f>BDS("3075558Q US Equity","SUPPLY_CHAIN_CUSTOMERS","RELATIONSHIP_AS_OF_DATE","19980618")</f>
        <v/>
      </c>
      <c r="BS5">
        <f>BDS("BFC US Equity","SUPPLY_CHAIN_SUPPLIERS","RELATIONSHIP_AS_OF_DATE","20220119")</f>
        <v/>
      </c>
      <c r="BX5">
        <f>BDS("BFC US Equity","SUPPLY_CHAIN_CUSTOMERS","RELATIONSHIP_AS_OF_DATE","20220119")</f>
        <v/>
      </c>
      <c r="CC5">
        <f>BDS("WTNY US Equity","SUPPLY_CHAIN_SUPPLIERS","RELATIONSHIP_AS_OF_DATE","20050728")</f>
        <v/>
      </c>
      <c r="CH5">
        <f>BDS("WTNY US Equity","SUPPLY_CHAIN_CUSTOMERS","RELATIONSHIP_AS_OF_DATE","20050728")</f>
        <v/>
      </c>
      <c r="CM5">
        <f>BDS("ZRAN US Equity","SUPPLY_CHAIN_SUPPLIERS","RELATIONSHIP_AS_OF_DATE","20000824")</f>
        <v/>
      </c>
      <c r="CR5">
        <f>BDS("ZRAN US Equity","SUPPLY_CHAIN_CUSTOMERS","RELATIONSHIP_AS_OF_DATE","20000824")</f>
        <v/>
      </c>
      <c r="CW5">
        <f>BDS("LBAI US Equity","SUPPLY_CHAIN_SUPPLIERS","RELATIONSHIP_AS_OF_DATE","20210712")</f>
        <v/>
      </c>
      <c r="DB5">
        <f>BDS("LBAI US Equity","SUPPLY_CHAIN_CUSTOMERS","RELATIONSHIP_AS_OF_DATE","20210712")</f>
        <v/>
      </c>
      <c r="DG5">
        <f>BDS("TIN US Equity","SUPPLY_CHAIN_SUPPLIERS","RELATIONSHIP_AS_OF_DATE","19981116")</f>
        <v/>
      </c>
      <c r="DL5">
        <f>BDS("TIN US Equity","SUPPLY_CHAIN_CUSTOMERS","RELATIONSHIP_AS_OF_DATE","19981116")</f>
        <v/>
      </c>
      <c r="DQ5">
        <f>BDS("390297Q US Equity","SUPPLY_CHAIN_SUPPLIERS","RELATIONSHIP_AS_OF_DATE","19980413")</f>
        <v/>
      </c>
      <c r="DV5">
        <f>BDS("390297Q US Equity","SUPPLY_CHAIN_CUSTOMERS","RELATIONSHIP_AS_OF_DATE","19980413")</f>
        <v/>
      </c>
      <c r="EA5">
        <f>BDS("TDFXQ US Equity","SUPPLY_CHAIN_SUPPLIERS","RELATIONSHIP_AS_OF_DATE","19981214")</f>
        <v/>
      </c>
      <c r="EF5">
        <f>BDS("TDFXQ US Equity","SUPPLY_CHAIN_CUSTOMERS","RELATIONSHIP_AS_OF_DATE","19981214")</f>
        <v/>
      </c>
      <c r="EK5">
        <f>BDS("GWR US Equity","SUPPLY_CHAIN_SUPPLIERS","RELATIONSHIP_AS_OF_DATE","20160815")</f>
        <v/>
      </c>
      <c r="EP5">
        <f>BDS("GWR US Equity","SUPPLY_CHAIN_CUSTOMERS","RELATIONSHIP_AS_OF_DATE","20160815")</f>
        <v/>
      </c>
      <c r="EU5">
        <f>BDS("RSYS US Equity","SUPPLY_CHAIN_SUPPLIERS","RELATIONSHIP_AS_OF_DATE","19990524")</f>
        <v/>
      </c>
      <c r="EZ5">
        <f>BDS("RSYS US Equity","SUPPLY_CHAIN_CUSTOMERS","RELATIONSHIP_AS_OF_DATE","19990524")</f>
        <v/>
      </c>
      <c r="FE5">
        <f>BDS("OCAI US Equity","SUPPLY_CHAIN_SUPPLIERS","RELATIONSHIP_AS_OF_DATE","20010517")</f>
        <v/>
      </c>
      <c r="FJ5">
        <f>BDS("OCAI US Equity","SUPPLY_CHAIN_CUSTOMERS","RELATIONSHIP_AS_OF_DATE","20010517")</f>
        <v/>
      </c>
      <c r="FO5">
        <f>BDS("355488Q US Equity","SUPPLY_CHAIN_SUPPLIERS","RELATIONSHIP_AS_OF_DATE","19980113")</f>
        <v/>
      </c>
      <c r="FT5">
        <f>BDS("355488Q US Equity","SUPPLY_CHAIN_CUSTOMERS","RELATIONSHIP_AS_OF_DATE","19980113")</f>
        <v/>
      </c>
      <c r="FY5">
        <f>BDS("WSO US Equity","SUPPLY_CHAIN_SUPPLIERS","RELATIONSHIP_AS_OF_DATE","20070705")</f>
        <v/>
      </c>
      <c r="GD5">
        <f>BDS("WSO US Equity","SUPPLY_CHAIN_CUSTOMERS","RELATIONSHIP_AS_OF_DATE","20070705")</f>
        <v/>
      </c>
      <c r="GI5">
        <f>BDS("TFC US Equity","SUPPLY_CHAIN_SUPPLIERS","RELATIONSHIP_AS_OF_DATE","19980810")</f>
        <v/>
      </c>
      <c r="GN5">
        <f>BDS("TFC US Equity","SUPPLY_CHAIN_CUSTOMERS","RELATIONSHIP_AS_OF_DATE","19980810")</f>
        <v/>
      </c>
      <c r="GS5">
        <f>BDS("DME US Equity","SUPPLY_CHAIN_SUPPLIERS","RELATIONSHIP_AS_OF_DATE","19981216")</f>
        <v/>
      </c>
      <c r="GX5">
        <f>BDS("DME US Equity","SUPPLY_CHAIN_CUSTOMERS","RELATIONSHIP_AS_OF_DATE","19981216")</f>
        <v/>
      </c>
      <c r="HC5">
        <f>BDS("SNV US Equity","SUPPLY_CHAIN_SUPPLIERS","RELATIONSHIP_AS_OF_DATE","19990322")</f>
        <v/>
      </c>
      <c r="HH5">
        <f>BDS("SNV US Equity","SUPPLY_CHAIN_CUSTOMERS","RELATIONSHIP_AS_OF_DATE","19990322")</f>
        <v/>
      </c>
      <c r="HM5">
        <f>BDS("NCOG US Equity","SUPPLY_CHAIN_SUPPLIERS","RELATIONSHIP_AS_OF_DATE","19990513")</f>
        <v/>
      </c>
      <c r="HR5">
        <f>BDS("NCOG US Equity","SUPPLY_CHAIN_CUSTOMERS","RELATIONSHIP_AS_OF_DATE","19990513")</f>
        <v/>
      </c>
      <c r="HW5">
        <f>BDS("RESC US Equity","SUPPLY_CHAIN_SUPPLIERS","RELATIONSHIP_AS_OF_DATE","19981110")</f>
        <v/>
      </c>
      <c r="IB5">
        <f>BDS("RESC US Equity","SUPPLY_CHAIN_CUSTOMERS","RELATIONSHIP_AS_OF_DATE","19981110")</f>
        <v/>
      </c>
      <c r="IG5">
        <f>BDS("IWLC US Equity","SUPPLY_CHAIN_SUPPLIERS","RELATIONSHIP_AS_OF_DATE","19980217")</f>
        <v/>
      </c>
      <c r="IL5">
        <f>BDS("IWLC US Equity","SUPPLY_CHAIN_CUSTOMERS","RELATIONSHIP_AS_OF_DATE","19980217")</f>
        <v/>
      </c>
      <c r="IQ5">
        <f>BDS("3346Q US Equity","SUPPLY_CHAIN_SUPPLIERS","RELATIONSHIP_AS_OF_DATE","19990902")</f>
        <v/>
      </c>
      <c r="IV5">
        <f>BDS("3346Q US Equity","SUPPLY_CHAIN_CUSTOMERS","RELATIONSHIP_AS_OF_DATE","19990902")</f>
        <v/>
      </c>
      <c r="JA5">
        <f>BDS("BPFH US Equity","SUPPLY_CHAIN_SUPPLIERS","RELATIONSHIP_AS_OF_DATE","20010627")</f>
        <v/>
      </c>
      <c r="JF5">
        <f>BDS("BPFH US Equity","SUPPLY_CHAIN_CUSTOMERS","RELATIONSHIP_AS_OF_DATE","20010627")</f>
        <v/>
      </c>
      <c r="JK5">
        <f>BDS("AMCC US Equity","SUPPLY_CHAIN_SUPPLIERS","RELATIONSHIP_AS_OF_DATE","20030828")</f>
        <v/>
      </c>
      <c r="JP5">
        <f>BDS("AMCC US Equity","SUPPLY_CHAIN_CUSTOMERS","RELATIONSHIP_AS_OF_DATE","20030828")</f>
        <v/>
      </c>
      <c r="JU5">
        <f>BDS("CW US Equity","SUPPLY_CHAIN_SUPPLIERS","RELATIONSHIP_AS_OF_DATE","20121101")</f>
        <v/>
      </c>
      <c r="JZ5">
        <f>BDS("CW US Equity","SUPPLY_CHAIN_CUSTOMERS","RELATIONSHIP_AS_OF_DATE","20121101")</f>
        <v/>
      </c>
      <c r="KE5">
        <f>BDS("NAL US Equity","SUPPLY_CHAIN_SUPPLIERS","RELATIONSHIP_AS_OF_DATE","20060718")</f>
        <v/>
      </c>
      <c r="KJ5">
        <f>BDS("NAL US Equity","SUPPLY_CHAIN_CUSTOMERS","RELATIONSHIP_AS_OF_DATE","20060718")</f>
        <v/>
      </c>
      <c r="KO5">
        <f>BDS("ODSY US Equity","SUPPLY_CHAIN_SUPPLIERS","RELATIONSHIP_AS_OF_DATE","20080115")</f>
        <v/>
      </c>
      <c r="KT5">
        <f>BDS("ODSY US Equity","SUPPLY_CHAIN_CUSTOMERS","RELATIONSHIP_AS_OF_DATE","20080115")</f>
        <v/>
      </c>
      <c r="KY5">
        <f>BDS("OSBC US Equity","SUPPLY_CHAIN_SUPPLIERS","RELATIONSHIP_AS_OF_DATE","20210726")</f>
        <v/>
      </c>
      <c r="LD5">
        <f>BDS("OSBC US Equity","SUPPLY_CHAIN_CUSTOMERS","RELATIONSHIP_AS_OF_DATE","20210726")</f>
        <v/>
      </c>
      <c r="LI5">
        <f>BDS("AON US Equity","SUPPLY_CHAIN_SUPPLIERS","RELATIONSHIP_AS_OF_DATE","20010223")</f>
        <v/>
      </c>
      <c r="LN5">
        <f>BDS("AON US Equity","SUPPLY_CHAIN_CUSTOMERS","RELATIONSHIP_AS_OF_DATE","20010223")</f>
        <v/>
      </c>
      <c r="LS5">
        <f>BDS("WAI US Equity","SUPPLY_CHAIN_SUPPLIERS","RELATIONSHIP_AS_OF_DATE","19980309")</f>
        <v/>
      </c>
      <c r="LX5">
        <f>BDS("WAI US Equity","SUPPLY_CHAIN_CUSTOMERS","RELATIONSHIP_AS_OF_DATE","19980309")</f>
        <v/>
      </c>
      <c r="MC5">
        <f>BDS("INVA US Equity","SUPPLY_CHAIN_SUPPLIERS","RELATIONSHIP_AS_OF_DATE","20220711")</f>
        <v/>
      </c>
      <c r="MH5">
        <f>BDS("INVA US Equity","SUPPLY_CHAIN_CUSTOMERS","RELATIONSHIP_AS_OF_DATE","20220711")</f>
        <v/>
      </c>
      <c r="MM5">
        <f>BDS("TSFG US Equity","SUPPLY_CHAIN_SUPPLIERS","RELATIONSHIP_AS_OF_DATE","20020321")</f>
        <v/>
      </c>
      <c r="MR5">
        <f>BDS("TSFG US Equity","SUPPLY_CHAIN_CUSTOMERS","RELATIONSHIP_AS_OF_DATE","20020321")</f>
        <v/>
      </c>
      <c r="MW5">
        <f>BDS("LTWC US Equity","SUPPLY_CHAIN_SUPPLIERS","RELATIONSHIP_AS_OF_DATE","20010420")</f>
        <v/>
      </c>
      <c r="NB5">
        <f>BDS("LTWC US Equity","SUPPLY_CHAIN_CUSTOMERS","RELATIONSHIP_AS_OF_DATE","20010420")</f>
        <v/>
      </c>
      <c r="NG5">
        <f>BDS("RNST US Equity","SUPPLY_CHAIN_SUPPLIERS","RELATIONSHIP_AS_OF_DATE","20130207")</f>
        <v/>
      </c>
      <c r="NL5">
        <f>BDS("RNST US Equity","SUPPLY_CHAIN_CUSTOMERS","RELATIONSHIP_AS_OF_DATE","20130207")</f>
        <v/>
      </c>
      <c r="NQ5">
        <f>BDS("SKYW US Equity","SUPPLY_CHAIN_SUPPLIERS","RELATIONSHIP_AS_OF_DATE","20100804")</f>
        <v/>
      </c>
      <c r="NV5">
        <f>BDS("SKYW US Equity","SUPPLY_CHAIN_CUSTOMERS","RELATIONSHIP_AS_OF_DATE","20100804")</f>
        <v/>
      </c>
      <c r="OA5">
        <f>BDS("BMTC US Equity","SUPPLY_CHAIN_SUPPLIERS","RELATIONSHIP_AS_OF_DATE","20170131")</f>
        <v/>
      </c>
      <c r="OF5">
        <f>BDS("BMTC US Equity","SUPPLY_CHAIN_CUSTOMERS","RELATIONSHIP_AS_OF_DATE","20170131")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3241</t>
        </is>
      </c>
      <c r="K1" s="1" t="inlineStr">
        <is>
          <t>Deal 3242</t>
        </is>
      </c>
      <c r="U1" s="1" t="inlineStr">
        <is>
          <t>Deal 3243</t>
        </is>
      </c>
      <c r="AE1" s="1" t="inlineStr">
        <is>
          <t>Deal 3244</t>
        </is>
      </c>
      <c r="AO1" s="1" t="inlineStr">
        <is>
          <t>Deal 3245</t>
        </is>
      </c>
      <c r="AY1" s="1" t="inlineStr">
        <is>
          <t>Deal 3246</t>
        </is>
      </c>
      <c r="BI1" s="1" t="inlineStr">
        <is>
          <t>Deal 3247</t>
        </is>
      </c>
      <c r="BS1" s="1" t="inlineStr">
        <is>
          <t>Deal 3248</t>
        </is>
      </c>
      <c r="CC1" s="1" t="inlineStr">
        <is>
          <t>Deal 3249</t>
        </is>
      </c>
      <c r="CM1" s="1" t="inlineStr">
        <is>
          <t>Deal 3250</t>
        </is>
      </c>
      <c r="CW1" s="1" t="inlineStr">
        <is>
          <t>Deal 3251</t>
        </is>
      </c>
      <c r="DG1" s="1" t="inlineStr">
        <is>
          <t>Deal 3252</t>
        </is>
      </c>
      <c r="DQ1" s="1" t="inlineStr">
        <is>
          <t>Deal 3253</t>
        </is>
      </c>
      <c r="EA1" s="1" t="inlineStr">
        <is>
          <t>Deal 3254</t>
        </is>
      </c>
      <c r="EK1" s="1" t="inlineStr">
        <is>
          <t>Deal 3255</t>
        </is>
      </c>
      <c r="EU1" s="1" t="inlineStr">
        <is>
          <t>Deal 3256</t>
        </is>
      </c>
      <c r="FE1" s="1" t="inlineStr">
        <is>
          <t>Deal 3257</t>
        </is>
      </c>
      <c r="FO1" s="1" t="inlineStr">
        <is>
          <t>Deal 3258</t>
        </is>
      </c>
      <c r="FY1" s="1" t="inlineStr">
        <is>
          <t>Deal 3259</t>
        </is>
      </c>
      <c r="GI1" s="1" t="inlineStr">
        <is>
          <t>Deal 3260</t>
        </is>
      </c>
      <c r="GS1" s="1" t="inlineStr">
        <is>
          <t>Deal 3261</t>
        </is>
      </c>
      <c r="HC1" s="1" t="inlineStr">
        <is>
          <t>Deal 3262</t>
        </is>
      </c>
      <c r="HM1" s="1" t="inlineStr">
        <is>
          <t>Deal 3263</t>
        </is>
      </c>
      <c r="HW1" s="1" t="inlineStr">
        <is>
          <t>Deal 3264</t>
        </is>
      </c>
      <c r="IG1" s="1" t="inlineStr">
        <is>
          <t>Deal 3265</t>
        </is>
      </c>
      <c r="IQ1" s="1" t="inlineStr">
        <is>
          <t>Deal 3266</t>
        </is>
      </c>
      <c r="JA1" s="1" t="inlineStr">
        <is>
          <t>Deal 3267</t>
        </is>
      </c>
      <c r="JK1" s="1" t="inlineStr">
        <is>
          <t>Deal 3268</t>
        </is>
      </c>
      <c r="JU1" s="1" t="inlineStr">
        <is>
          <t>Deal 3269</t>
        </is>
      </c>
      <c r="KE1" s="1" t="inlineStr">
        <is>
          <t>Deal 3270</t>
        </is>
      </c>
      <c r="KO1" s="1" t="inlineStr">
        <is>
          <t>Deal 3271</t>
        </is>
      </c>
      <c r="KY1" s="1" t="inlineStr">
        <is>
          <t>Deal 3272</t>
        </is>
      </c>
      <c r="LI1" s="1" t="inlineStr">
        <is>
          <t>Deal 3273</t>
        </is>
      </c>
      <c r="LS1" s="1" t="inlineStr">
        <is>
          <t>Deal 3274</t>
        </is>
      </c>
      <c r="MC1" s="1" t="inlineStr">
        <is>
          <t>Deal 3275</t>
        </is>
      </c>
      <c r="MM1" s="1" t="inlineStr">
        <is>
          <t>Deal 3276</t>
        </is>
      </c>
      <c r="MW1" s="1" t="inlineStr">
        <is>
          <t>Deal 3277</t>
        </is>
      </c>
      <c r="NG1" s="1" t="inlineStr">
        <is>
          <t>Deal 3278</t>
        </is>
      </c>
      <c r="NQ1" s="1" t="inlineStr">
        <is>
          <t>Deal 3279</t>
        </is>
      </c>
      <c r="OA1" s="1" t="inlineStr">
        <is>
          <t>Deal 3280</t>
        </is>
      </c>
    </row>
    <row r="2">
      <c r="A2" s="2" t="inlineStr">
        <is>
          <t>KTO US Equity</t>
        </is>
      </c>
      <c r="K2" s="2" t="inlineStr">
        <is>
          <t>CTLT US Equity</t>
        </is>
      </c>
      <c r="U2" s="2" t="inlineStr">
        <is>
          <t>TSA US Equity</t>
        </is>
      </c>
      <c r="AE2" s="2" t="inlineStr">
        <is>
          <t>ASRT US Equity</t>
        </is>
      </c>
      <c r="AO2" s="2" t="inlineStr">
        <is>
          <t>INTU US Equity</t>
        </is>
      </c>
      <c r="AY2" s="2" t="inlineStr">
        <is>
          <t>CNVR US Equity</t>
        </is>
      </c>
      <c r="BI2" s="2" t="inlineStr">
        <is>
          <t>FSTR US Equity</t>
        </is>
      </c>
      <c r="BS2" s="2" t="inlineStr">
        <is>
          <t>CAMPQ US Equity</t>
        </is>
      </c>
      <c r="CC2" s="2" t="inlineStr">
        <is>
          <t>3406956Q US Equity</t>
        </is>
      </c>
      <c r="CM2" s="2" t="inlineStr">
        <is>
          <t>FNB US Equity</t>
        </is>
      </c>
      <c r="CW2" s="2" t="inlineStr">
        <is>
          <t>604898Q US Equity</t>
        </is>
      </c>
      <c r="DG2" s="2" t="inlineStr">
        <is>
          <t>WM US Equity</t>
        </is>
      </c>
      <c r="DQ2" s="2" t="inlineStr">
        <is>
          <t>2185054D US Equity</t>
        </is>
      </c>
      <c r="EA2" s="2" t="inlineStr">
        <is>
          <t>PSTB US Equity</t>
        </is>
      </c>
      <c r="EK2" s="2" t="inlineStr">
        <is>
          <t>VIAS US Equity</t>
        </is>
      </c>
      <c r="EU2" s="2" t="inlineStr">
        <is>
          <t>WNEB US Equity</t>
        </is>
      </c>
      <c r="FE2" s="2" t="inlineStr">
        <is>
          <t>CALX US Equity</t>
        </is>
      </c>
      <c r="FO2" s="2" t="inlineStr">
        <is>
          <t>BBT US Equity</t>
        </is>
      </c>
      <c r="FY2" s="2" t="inlineStr">
        <is>
          <t>CHZ US Equity</t>
        </is>
      </c>
      <c r="GI2" s="2" t="inlineStr">
        <is>
          <t>CSTR US Equity</t>
        </is>
      </c>
      <c r="GS2" s="2" t="inlineStr">
        <is>
          <t>3867693Z US Equity</t>
        </is>
      </c>
      <c r="HC2" s="2" t="inlineStr">
        <is>
          <t>BBT US Equity</t>
        </is>
      </c>
      <c r="HM2" s="2" t="inlineStr">
        <is>
          <t>2676187Q US Equity</t>
        </is>
      </c>
      <c r="HW2" s="2" t="inlineStr">
        <is>
          <t>TWGP US Equity</t>
        </is>
      </c>
      <c r="IG2" s="2" t="inlineStr">
        <is>
          <t>LVLT US Equity</t>
        </is>
      </c>
      <c r="IQ2" s="2" t="inlineStr">
        <is>
          <t>DTSI US Equity</t>
        </is>
      </c>
      <c r="JA2" s="2" t="inlineStr">
        <is>
          <t>SYMM US Equity</t>
        </is>
      </c>
      <c r="JK2" s="2" t="inlineStr">
        <is>
          <t>FRME US Equity</t>
        </is>
      </c>
      <c r="JU2" s="2" t="inlineStr">
        <is>
          <t>DVD US Equity</t>
        </is>
      </c>
      <c r="KE2" s="2" t="inlineStr">
        <is>
          <t>CAR US Equity</t>
        </is>
      </c>
      <c r="KO2" s="2" t="inlineStr">
        <is>
          <t>9876549D US Equity</t>
        </is>
      </c>
      <c r="KY2" s="2" t="inlineStr">
        <is>
          <t>PPBI US Equity</t>
        </is>
      </c>
      <c r="LI2" s="2" t="inlineStr">
        <is>
          <t>RAMP US Equity</t>
        </is>
      </c>
      <c r="LS2" s="2" t="inlineStr">
        <is>
          <t>1916526D US Equity</t>
        </is>
      </c>
      <c r="MC2" s="2" t="inlineStr">
        <is>
          <t>LEN US Equity</t>
        </is>
      </c>
      <c r="MM2" s="2" t="inlineStr">
        <is>
          <t>DLB US Equity</t>
        </is>
      </c>
      <c r="MW2" s="2" t="inlineStr">
        <is>
          <t>78651Q US Equity</t>
        </is>
      </c>
      <c r="NG2" s="2" t="inlineStr">
        <is>
          <t>1495787D US Equity</t>
        </is>
      </c>
      <c r="NQ2" s="2" t="inlineStr">
        <is>
          <t>RARE US Equity</t>
        </is>
      </c>
      <c r="OA2" s="2" t="inlineStr">
        <is>
          <t>SBLUQ US Equity</t>
        </is>
      </c>
    </row>
    <row r="3">
      <c r="A3" t="inlineStr">
        <is>
          <t>Ann: 2002-12-16</t>
        </is>
      </c>
      <c r="K3" t="inlineStr">
        <is>
          <t>Ann: 2018-07-03</t>
        </is>
      </c>
      <c r="U3" t="inlineStr">
        <is>
          <t>Ann: 2001-02-22</t>
        </is>
      </c>
      <c r="AE3" t="inlineStr">
        <is>
          <t>Ann: 2020-03-16</t>
        </is>
      </c>
      <c r="AO3" t="inlineStr">
        <is>
          <t>Ann: 2007-12-19</t>
        </is>
      </c>
      <c r="AY3" t="inlineStr">
        <is>
          <t>Ann: 2002-03-11</t>
        </is>
      </c>
      <c r="BI3" t="inlineStr">
        <is>
          <t>Ann: 2010-02-17</t>
        </is>
      </c>
      <c r="BS3" t="inlineStr">
        <is>
          <t>Ann: 2015-12-10</t>
        </is>
      </c>
      <c r="CC3" t="inlineStr">
        <is>
          <t>Ann: 2003-07-23</t>
        </is>
      </c>
      <c r="CM3" t="inlineStr">
        <is>
          <t>Ann: 2022-06-01</t>
        </is>
      </c>
      <c r="CW3" t="inlineStr">
        <is>
          <t>Ann: 2000-01-31</t>
        </is>
      </c>
      <c r="DG3" t="inlineStr">
        <is>
          <t>Ann: 1998-01-27</t>
        </is>
      </c>
      <c r="DQ3" t="inlineStr">
        <is>
          <t>Ann: 2011-01-24</t>
        </is>
      </c>
      <c r="EA3" t="inlineStr">
        <is>
          <t>Ann: 2015-10-01</t>
        </is>
      </c>
      <c r="EK3" t="inlineStr">
        <is>
          <t>Ann: 2009-10-06</t>
        </is>
      </c>
      <c r="EU3" t="inlineStr">
        <is>
          <t>Ann: 2016-04-04</t>
        </is>
      </c>
      <c r="FE3" t="inlineStr">
        <is>
          <t>Ann: 2010-09-16</t>
        </is>
      </c>
      <c r="FO3" t="inlineStr">
        <is>
          <t>Ann: 2010-12-21</t>
        </is>
      </c>
      <c r="FY3" t="inlineStr">
        <is>
          <t>Ann: 2007-01-19</t>
        </is>
      </c>
      <c r="GI3" t="inlineStr">
        <is>
          <t>Ann: 2018-06-11</t>
        </is>
      </c>
      <c r="GS3" t="inlineStr">
        <is>
          <t>Ann: 2007-04-04</t>
        </is>
      </c>
      <c r="HC3" t="inlineStr">
        <is>
          <t>Ann: 2014-11-04</t>
        </is>
      </c>
      <c r="HM3" t="inlineStr">
        <is>
          <t>Ann: 2001-06-29</t>
        </is>
      </c>
      <c r="HW3" t="inlineStr">
        <is>
          <t>Ann: 2009-06-22</t>
        </is>
      </c>
      <c r="IG3" t="inlineStr">
        <is>
          <t>Ann: 2002-05-02</t>
        </is>
      </c>
      <c r="IQ3" t="inlineStr">
        <is>
          <t>Ann: 2012-04-17</t>
        </is>
      </c>
      <c r="JA3" t="inlineStr">
        <is>
          <t>Ann: 2002-05-23</t>
        </is>
      </c>
      <c r="JK3" t="inlineStr">
        <is>
          <t>Ann: 2013-05-13</t>
        </is>
      </c>
      <c r="JU3" t="inlineStr">
        <is>
          <t>Ann: 1998-03-27</t>
        </is>
      </c>
      <c r="KE3" t="inlineStr">
        <is>
          <t>Ann: 2002-08-22</t>
        </is>
      </c>
      <c r="KO3" t="inlineStr">
        <is>
          <t>Ann: 2013-11-25</t>
        </is>
      </c>
      <c r="KY3" t="inlineStr">
        <is>
          <t>Ann: 2015-10-01</t>
        </is>
      </c>
      <c r="LI3" t="inlineStr">
        <is>
          <t>Ann: 2005-03-25</t>
        </is>
      </c>
      <c r="LS3" t="inlineStr">
        <is>
          <t>Ann: 2001-11-19</t>
        </is>
      </c>
      <c r="MC3" t="inlineStr">
        <is>
          <t>Ann: 2002-06-17</t>
        </is>
      </c>
      <c r="MM3" t="inlineStr">
        <is>
          <t>Ann: 2012-07-13</t>
        </is>
      </c>
      <c r="MW3" t="inlineStr">
        <is>
          <t>Ann: 1998-10-28</t>
        </is>
      </c>
      <c r="NG3" t="inlineStr">
        <is>
          <t>Ann: 2006-12-12</t>
        </is>
      </c>
      <c r="NQ3" t="inlineStr">
        <is>
          <t>Ann: 2017-10-03</t>
        </is>
      </c>
      <c r="OA3" t="inlineStr">
        <is>
          <t>Ann: 2001-02-01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BDS("KTO US Equity","SUPPLY_CHAIN_SUPPLIERS","RELATIONSHIP_AS_OF_DATE","20021216")</f>
        <v/>
      </c>
      <c r="F5">
        <f>BDS("KTO US Equity","SUPPLY_CHAIN_CUSTOMERS","RELATIONSHIP_AS_OF_DATE","20021216")</f>
        <v/>
      </c>
      <c r="K5">
        <f>BDS("CTLT US Equity","SUPPLY_CHAIN_SUPPLIERS","RELATIONSHIP_AS_OF_DATE","20180703")</f>
        <v/>
      </c>
      <c r="P5">
        <f>BDS("CTLT US Equity","SUPPLY_CHAIN_CUSTOMERS","RELATIONSHIP_AS_OF_DATE","20180703")</f>
        <v/>
      </c>
      <c r="U5">
        <f>BDS("TSA US Equity","SUPPLY_CHAIN_SUPPLIERS","RELATIONSHIP_AS_OF_DATE","20010222")</f>
        <v/>
      </c>
      <c r="Z5">
        <f>BDS("TSA US Equity","SUPPLY_CHAIN_CUSTOMERS","RELATIONSHIP_AS_OF_DATE","20010222")</f>
        <v/>
      </c>
      <c r="AE5">
        <f>BDS("ASRT US Equity","SUPPLY_CHAIN_SUPPLIERS","RELATIONSHIP_AS_OF_DATE","20200316")</f>
        <v/>
      </c>
      <c r="AJ5">
        <f>BDS("ASRT US Equity","SUPPLY_CHAIN_CUSTOMERS","RELATIONSHIP_AS_OF_DATE","20200316")</f>
        <v/>
      </c>
      <c r="AO5">
        <f>BDS("INTU US Equity","SUPPLY_CHAIN_SUPPLIERS","RELATIONSHIP_AS_OF_DATE","20071219")</f>
        <v/>
      </c>
      <c r="AT5">
        <f>BDS("INTU US Equity","SUPPLY_CHAIN_CUSTOMERS","RELATIONSHIP_AS_OF_DATE","20071219")</f>
        <v/>
      </c>
      <c r="AY5">
        <f>BDS("CNVR US Equity","SUPPLY_CHAIN_SUPPLIERS","RELATIONSHIP_AS_OF_DATE","20020311")</f>
        <v/>
      </c>
      <c r="BD5">
        <f>BDS("CNVR US Equity","SUPPLY_CHAIN_CUSTOMERS","RELATIONSHIP_AS_OF_DATE","20020311")</f>
        <v/>
      </c>
      <c r="BI5">
        <f>BDS("FSTR US Equity","SUPPLY_CHAIN_SUPPLIERS","RELATIONSHIP_AS_OF_DATE","20100217")</f>
        <v/>
      </c>
      <c r="BN5">
        <f>BDS("FSTR US Equity","SUPPLY_CHAIN_CUSTOMERS","RELATIONSHIP_AS_OF_DATE","20100217")</f>
        <v/>
      </c>
      <c r="BS5">
        <f>BDS("CAMPQ US Equity","SUPPLY_CHAIN_SUPPLIERS","RELATIONSHIP_AS_OF_DATE","20151210")</f>
        <v/>
      </c>
      <c r="BX5">
        <f>BDS("CAMPQ US Equity","SUPPLY_CHAIN_CUSTOMERS","RELATIONSHIP_AS_OF_DATE","20151210")</f>
        <v/>
      </c>
      <c r="CC5">
        <f>BDS("3406956Q US Equity","SUPPLY_CHAIN_SUPPLIERS","RELATIONSHIP_AS_OF_DATE","20030723")</f>
        <v/>
      </c>
      <c r="CH5">
        <f>BDS("3406956Q US Equity","SUPPLY_CHAIN_CUSTOMERS","RELATIONSHIP_AS_OF_DATE","20030723")</f>
        <v/>
      </c>
      <c r="CM5">
        <f>BDS("FNB US Equity","SUPPLY_CHAIN_SUPPLIERS","RELATIONSHIP_AS_OF_DATE","20220601")</f>
        <v/>
      </c>
      <c r="CR5">
        <f>BDS("FNB US Equity","SUPPLY_CHAIN_CUSTOMERS","RELATIONSHIP_AS_OF_DATE","20220601")</f>
        <v/>
      </c>
      <c r="CW5">
        <f>BDS("604898Q US Equity","SUPPLY_CHAIN_SUPPLIERS","RELATIONSHIP_AS_OF_DATE","20000131")</f>
        <v/>
      </c>
      <c r="DB5">
        <f>BDS("604898Q US Equity","SUPPLY_CHAIN_CUSTOMERS","RELATIONSHIP_AS_OF_DATE","20000131")</f>
        <v/>
      </c>
      <c r="DG5">
        <f>BDS("WM US Equity","SUPPLY_CHAIN_SUPPLIERS","RELATIONSHIP_AS_OF_DATE","19980127")</f>
        <v/>
      </c>
      <c r="DL5">
        <f>BDS("WM US Equity","SUPPLY_CHAIN_CUSTOMERS","RELATIONSHIP_AS_OF_DATE","19980127")</f>
        <v/>
      </c>
      <c r="DQ5">
        <f>BDS("2185054D US Equity","SUPPLY_CHAIN_SUPPLIERS","RELATIONSHIP_AS_OF_DATE","20110124")</f>
        <v/>
      </c>
      <c r="DV5">
        <f>BDS("2185054D US Equity","SUPPLY_CHAIN_CUSTOMERS","RELATIONSHIP_AS_OF_DATE","20110124")</f>
        <v/>
      </c>
      <c r="EA5">
        <f>BDS("PSTB US Equity","SUPPLY_CHAIN_SUPPLIERS","RELATIONSHIP_AS_OF_DATE","20151001")</f>
        <v/>
      </c>
      <c r="EF5">
        <f>BDS("PSTB US Equity","SUPPLY_CHAIN_CUSTOMERS","RELATIONSHIP_AS_OF_DATE","20151001")</f>
        <v/>
      </c>
      <c r="EK5">
        <f>BDS("VIAS US Equity","SUPPLY_CHAIN_SUPPLIERS","RELATIONSHIP_AS_OF_DATE","20091006")</f>
        <v/>
      </c>
      <c r="EP5">
        <f>BDS("VIAS US Equity","SUPPLY_CHAIN_CUSTOMERS","RELATIONSHIP_AS_OF_DATE","20091006")</f>
        <v/>
      </c>
      <c r="EU5">
        <f>BDS("WNEB US Equity","SUPPLY_CHAIN_SUPPLIERS","RELATIONSHIP_AS_OF_DATE","20160404")</f>
        <v/>
      </c>
      <c r="EZ5">
        <f>BDS("WNEB US Equity","SUPPLY_CHAIN_CUSTOMERS","RELATIONSHIP_AS_OF_DATE","20160404")</f>
        <v/>
      </c>
      <c r="FE5">
        <f>BDS("CALX US Equity","SUPPLY_CHAIN_SUPPLIERS","RELATIONSHIP_AS_OF_DATE","20100916")</f>
        <v/>
      </c>
      <c r="FJ5">
        <f>BDS("CALX US Equity","SUPPLY_CHAIN_CUSTOMERS","RELATIONSHIP_AS_OF_DATE","20100916")</f>
        <v/>
      </c>
      <c r="FO5">
        <f>BDS("BBT US Equity","SUPPLY_CHAIN_SUPPLIERS","RELATIONSHIP_AS_OF_DATE","20101221")</f>
        <v/>
      </c>
      <c r="FT5">
        <f>BDS("BBT US Equity","SUPPLY_CHAIN_CUSTOMERS","RELATIONSHIP_AS_OF_DATE","20101221")</f>
        <v/>
      </c>
      <c r="FY5">
        <f>BDS("CHZ US Equity","SUPPLY_CHAIN_SUPPLIERS","RELATIONSHIP_AS_OF_DATE","20070119")</f>
        <v/>
      </c>
      <c r="GD5">
        <f>BDS("CHZ US Equity","SUPPLY_CHAIN_CUSTOMERS","RELATIONSHIP_AS_OF_DATE","20070119")</f>
        <v/>
      </c>
      <c r="GI5">
        <f>BDS("CSTR US Equity","SUPPLY_CHAIN_SUPPLIERS","RELATIONSHIP_AS_OF_DATE","20180611")</f>
        <v/>
      </c>
      <c r="GN5">
        <f>BDS("CSTR US Equity","SUPPLY_CHAIN_CUSTOMERS","RELATIONSHIP_AS_OF_DATE","20180611")</f>
        <v/>
      </c>
      <c r="GS5">
        <f>BDS("3867693Z US Equity","SUPPLY_CHAIN_SUPPLIERS","RELATIONSHIP_AS_OF_DATE","20070404")</f>
        <v/>
      </c>
      <c r="GX5">
        <f>BDS("3867693Z US Equity","SUPPLY_CHAIN_CUSTOMERS","RELATIONSHIP_AS_OF_DATE","20070404")</f>
        <v/>
      </c>
      <c r="HC5">
        <f>BDS("BBT US Equity","SUPPLY_CHAIN_SUPPLIERS","RELATIONSHIP_AS_OF_DATE","20141104")</f>
        <v/>
      </c>
      <c r="HH5">
        <f>BDS("BBT US Equity","SUPPLY_CHAIN_CUSTOMERS","RELATIONSHIP_AS_OF_DATE","20141104")</f>
        <v/>
      </c>
      <c r="HM5">
        <f>BDS("2676187Q US Equity","SUPPLY_CHAIN_SUPPLIERS","RELATIONSHIP_AS_OF_DATE","20010629")</f>
        <v/>
      </c>
      <c r="HR5">
        <f>BDS("2676187Q US Equity","SUPPLY_CHAIN_CUSTOMERS","RELATIONSHIP_AS_OF_DATE","20010629")</f>
        <v/>
      </c>
      <c r="HW5">
        <f>BDS("TWGP US Equity","SUPPLY_CHAIN_SUPPLIERS","RELATIONSHIP_AS_OF_DATE","20090622")</f>
        <v/>
      </c>
      <c r="IB5">
        <f>BDS("TWGP US Equity","SUPPLY_CHAIN_CUSTOMERS","RELATIONSHIP_AS_OF_DATE","20090622")</f>
        <v/>
      </c>
      <c r="IG5">
        <f>BDS("LVLT US Equity","SUPPLY_CHAIN_SUPPLIERS","RELATIONSHIP_AS_OF_DATE","20020502")</f>
        <v/>
      </c>
      <c r="IL5">
        <f>BDS("LVLT US Equity","SUPPLY_CHAIN_CUSTOMERS","RELATIONSHIP_AS_OF_DATE","20020502")</f>
        <v/>
      </c>
      <c r="IQ5">
        <f>BDS("DTSI US Equity","SUPPLY_CHAIN_SUPPLIERS","RELATIONSHIP_AS_OF_DATE","20120417")</f>
        <v/>
      </c>
      <c r="IV5">
        <f>BDS("DTSI US Equity","SUPPLY_CHAIN_CUSTOMERS","RELATIONSHIP_AS_OF_DATE","20120417")</f>
        <v/>
      </c>
      <c r="JA5">
        <f>BDS("SYMM US Equity","SUPPLY_CHAIN_SUPPLIERS","RELATIONSHIP_AS_OF_DATE","20020523")</f>
        <v/>
      </c>
      <c r="JF5">
        <f>BDS("SYMM US Equity","SUPPLY_CHAIN_CUSTOMERS","RELATIONSHIP_AS_OF_DATE","20020523")</f>
        <v/>
      </c>
      <c r="JK5">
        <f>BDS("FRME US Equity","SUPPLY_CHAIN_SUPPLIERS","RELATIONSHIP_AS_OF_DATE","20130513")</f>
        <v/>
      </c>
      <c r="JP5">
        <f>BDS("FRME US Equity","SUPPLY_CHAIN_CUSTOMERS","RELATIONSHIP_AS_OF_DATE","20130513")</f>
        <v/>
      </c>
      <c r="JU5">
        <f>BDS("DVD US Equity","SUPPLY_CHAIN_SUPPLIERS","RELATIONSHIP_AS_OF_DATE","19980327")</f>
        <v/>
      </c>
      <c r="JZ5">
        <f>BDS("DVD US Equity","SUPPLY_CHAIN_CUSTOMERS","RELATIONSHIP_AS_OF_DATE","19980327")</f>
        <v/>
      </c>
      <c r="KE5">
        <f>BDS("CAR US Equity","SUPPLY_CHAIN_SUPPLIERS","RELATIONSHIP_AS_OF_DATE","20020822")</f>
        <v/>
      </c>
      <c r="KJ5">
        <f>BDS("CAR US Equity","SUPPLY_CHAIN_CUSTOMERS","RELATIONSHIP_AS_OF_DATE","20020822")</f>
        <v/>
      </c>
      <c r="KO5">
        <f>BDS("9876549D US Equity","SUPPLY_CHAIN_SUPPLIERS","RELATIONSHIP_AS_OF_DATE","20131125")</f>
        <v/>
      </c>
      <c r="KT5">
        <f>BDS("9876549D US Equity","SUPPLY_CHAIN_CUSTOMERS","RELATIONSHIP_AS_OF_DATE","20131125")</f>
        <v/>
      </c>
      <c r="KY5">
        <f>BDS("PPBI US Equity","SUPPLY_CHAIN_SUPPLIERS","RELATIONSHIP_AS_OF_DATE","20151001")</f>
        <v/>
      </c>
      <c r="LD5">
        <f>BDS("PPBI US Equity","SUPPLY_CHAIN_CUSTOMERS","RELATIONSHIP_AS_OF_DATE","20151001")</f>
        <v/>
      </c>
      <c r="LI5">
        <f>BDS("RAMP US Equity","SUPPLY_CHAIN_SUPPLIERS","RELATIONSHIP_AS_OF_DATE","20050325")</f>
        <v/>
      </c>
      <c r="LN5">
        <f>BDS("RAMP US Equity","SUPPLY_CHAIN_CUSTOMERS","RELATIONSHIP_AS_OF_DATE","20050325")</f>
        <v/>
      </c>
      <c r="LS5">
        <f>BDS("1916526D US Equity","SUPPLY_CHAIN_SUPPLIERS","RELATIONSHIP_AS_OF_DATE","20011119")</f>
        <v/>
      </c>
      <c r="LX5">
        <f>BDS("1916526D US Equity","SUPPLY_CHAIN_CUSTOMERS","RELATIONSHIP_AS_OF_DATE","20011119")</f>
        <v/>
      </c>
      <c r="MC5">
        <f>BDS("LEN US Equity","SUPPLY_CHAIN_SUPPLIERS","RELATIONSHIP_AS_OF_DATE","20020617")</f>
        <v/>
      </c>
      <c r="MH5">
        <f>BDS("LEN US Equity","SUPPLY_CHAIN_CUSTOMERS","RELATIONSHIP_AS_OF_DATE","20020617")</f>
        <v/>
      </c>
      <c r="MM5">
        <f>BDS("DLB US Equity","SUPPLY_CHAIN_SUPPLIERS","RELATIONSHIP_AS_OF_DATE","20120713")</f>
        <v/>
      </c>
      <c r="MR5">
        <f>BDS("DLB US Equity","SUPPLY_CHAIN_CUSTOMERS","RELATIONSHIP_AS_OF_DATE","20120713")</f>
        <v/>
      </c>
      <c r="MW5">
        <f>BDS("78651Q US Equity","SUPPLY_CHAIN_SUPPLIERS","RELATIONSHIP_AS_OF_DATE","19981028")</f>
        <v/>
      </c>
      <c r="NB5">
        <f>BDS("78651Q US Equity","SUPPLY_CHAIN_CUSTOMERS","RELATIONSHIP_AS_OF_DATE","19981028")</f>
        <v/>
      </c>
      <c r="NG5">
        <f>BDS("1495787D US Equity","SUPPLY_CHAIN_SUPPLIERS","RELATIONSHIP_AS_OF_DATE","20061212")</f>
        <v/>
      </c>
      <c r="NL5">
        <f>BDS("1495787D US Equity","SUPPLY_CHAIN_CUSTOMERS","RELATIONSHIP_AS_OF_DATE","20061212")</f>
        <v/>
      </c>
      <c r="NQ5">
        <f>BDS("RARE US Equity","SUPPLY_CHAIN_SUPPLIERS","RELATIONSHIP_AS_OF_DATE","20171003")</f>
        <v/>
      </c>
      <c r="NV5">
        <f>BDS("RARE US Equity","SUPPLY_CHAIN_CUSTOMERS","RELATIONSHIP_AS_OF_DATE","20171003")</f>
        <v/>
      </c>
      <c r="OA5">
        <f>BDS("SBLUQ US Equity","SUPPLY_CHAIN_SUPPLIERS","RELATIONSHIP_AS_OF_DATE","20010201")</f>
        <v/>
      </c>
      <c r="OF5">
        <f>BDS("SBLUQ US Equity","SUPPLY_CHAIN_CUSTOMERS","RELATIONSHIP_AS_OF_DATE","20010201")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3281</t>
        </is>
      </c>
      <c r="K1" s="1" t="inlineStr">
        <is>
          <t>Deal 3282</t>
        </is>
      </c>
      <c r="U1" s="1" t="inlineStr">
        <is>
          <t>Deal 3283</t>
        </is>
      </c>
      <c r="AE1" s="1" t="inlineStr">
        <is>
          <t>Deal 3284</t>
        </is>
      </c>
      <c r="AO1" s="1" t="inlineStr">
        <is>
          <t>Deal 3285</t>
        </is>
      </c>
      <c r="AY1" s="1" t="inlineStr">
        <is>
          <t>Deal 3286</t>
        </is>
      </c>
      <c r="BI1" s="1" t="inlineStr">
        <is>
          <t>Deal 3287</t>
        </is>
      </c>
      <c r="BS1" s="1" t="inlineStr">
        <is>
          <t>Deal 3288</t>
        </is>
      </c>
      <c r="CC1" s="1" t="inlineStr">
        <is>
          <t>Deal 3289</t>
        </is>
      </c>
      <c r="CM1" s="1" t="inlineStr">
        <is>
          <t>Deal 3290</t>
        </is>
      </c>
      <c r="CW1" s="1" t="inlineStr">
        <is>
          <t>Deal 3291</t>
        </is>
      </c>
      <c r="DG1" s="1" t="inlineStr">
        <is>
          <t>Deal 3292</t>
        </is>
      </c>
      <c r="DQ1" s="1" t="inlineStr">
        <is>
          <t>Deal 3293</t>
        </is>
      </c>
      <c r="EA1" s="1" t="inlineStr">
        <is>
          <t>Deal 3294</t>
        </is>
      </c>
      <c r="EK1" s="1" t="inlineStr">
        <is>
          <t>Deal 3295</t>
        </is>
      </c>
      <c r="EU1" s="1" t="inlineStr">
        <is>
          <t>Deal 3296</t>
        </is>
      </c>
      <c r="FE1" s="1" t="inlineStr">
        <is>
          <t>Deal 3297</t>
        </is>
      </c>
      <c r="FO1" s="1" t="inlineStr">
        <is>
          <t>Deal 3298</t>
        </is>
      </c>
      <c r="FY1" s="1" t="inlineStr">
        <is>
          <t>Deal 3299</t>
        </is>
      </c>
      <c r="GI1" s="1" t="inlineStr">
        <is>
          <t>Deal 3300</t>
        </is>
      </c>
      <c r="GS1" s="1" t="inlineStr">
        <is>
          <t>Deal 3301</t>
        </is>
      </c>
      <c r="HC1" s="1" t="inlineStr">
        <is>
          <t>Deal 3302</t>
        </is>
      </c>
      <c r="HM1" s="1" t="inlineStr">
        <is>
          <t>Deal 3303</t>
        </is>
      </c>
      <c r="HW1" s="1" t="inlineStr">
        <is>
          <t>Deal 3304</t>
        </is>
      </c>
      <c r="IG1" s="1" t="inlineStr">
        <is>
          <t>Deal 3305</t>
        </is>
      </c>
      <c r="IQ1" s="1" t="inlineStr">
        <is>
          <t>Deal 3306</t>
        </is>
      </c>
      <c r="JA1" s="1" t="inlineStr">
        <is>
          <t>Deal 3307</t>
        </is>
      </c>
      <c r="JK1" s="1" t="inlineStr">
        <is>
          <t>Deal 3308</t>
        </is>
      </c>
      <c r="JU1" s="1" t="inlineStr">
        <is>
          <t>Deal 3309</t>
        </is>
      </c>
      <c r="KE1" s="1" t="inlineStr">
        <is>
          <t>Deal 3310</t>
        </is>
      </c>
      <c r="KO1" s="1" t="inlineStr">
        <is>
          <t>Deal 3311</t>
        </is>
      </c>
      <c r="KY1" s="1" t="inlineStr">
        <is>
          <t>Deal 3312</t>
        </is>
      </c>
      <c r="LI1" s="1" t="inlineStr">
        <is>
          <t>Deal 3313</t>
        </is>
      </c>
      <c r="LS1" s="1" t="inlineStr">
        <is>
          <t>Deal 3314</t>
        </is>
      </c>
      <c r="MC1" s="1" t="inlineStr">
        <is>
          <t>Deal 3315</t>
        </is>
      </c>
      <c r="MM1" s="1" t="inlineStr">
        <is>
          <t>Deal 3316</t>
        </is>
      </c>
      <c r="MW1" s="1" t="inlineStr">
        <is>
          <t>Deal 3317</t>
        </is>
      </c>
      <c r="NG1" s="1" t="inlineStr">
        <is>
          <t>Deal 3318</t>
        </is>
      </c>
      <c r="NQ1" s="1" t="inlineStr">
        <is>
          <t>Deal 3319</t>
        </is>
      </c>
      <c r="OA1" s="1" t="inlineStr">
        <is>
          <t>Deal 3320</t>
        </is>
      </c>
    </row>
    <row r="2">
      <c r="A2" s="2" t="inlineStr">
        <is>
          <t>MSFG US Equity</t>
        </is>
      </c>
      <c r="K2" s="2" t="inlineStr">
        <is>
          <t>NPBC US Equity</t>
        </is>
      </c>
      <c r="U2" s="2" t="inlineStr">
        <is>
          <t>SBMC US Equity</t>
        </is>
      </c>
      <c r="AE2" s="2" t="inlineStr">
        <is>
          <t>TTI US Equity</t>
        </is>
      </c>
      <c r="AO2" s="2" t="inlineStr">
        <is>
          <t>PALM US Equity</t>
        </is>
      </c>
      <c r="AY2" s="2" t="inlineStr">
        <is>
          <t>RJETQ US Equity</t>
        </is>
      </c>
      <c r="BI2" s="2" t="inlineStr">
        <is>
          <t>FVB US Equity</t>
        </is>
      </c>
      <c r="BS2" s="2" t="inlineStr">
        <is>
          <t>SFSW US Equity</t>
        </is>
      </c>
      <c r="CC2" s="2" t="inlineStr">
        <is>
          <t>ITW US Equity</t>
        </is>
      </c>
      <c r="CM2" s="2" t="inlineStr">
        <is>
          <t>CIVB US Equity</t>
        </is>
      </c>
      <c r="CW2" s="2" t="inlineStr">
        <is>
          <t>EZPW US Equity</t>
        </is>
      </c>
      <c r="DG2" s="2" t="inlineStr">
        <is>
          <t>JNJ US Equity</t>
        </is>
      </c>
      <c r="DQ2" s="2" t="inlineStr">
        <is>
          <t>AXP US Equity</t>
        </is>
      </c>
      <c r="EA2" s="2" t="inlineStr">
        <is>
          <t>WFC US Equity</t>
        </is>
      </c>
      <c r="EK2" s="2" t="inlineStr">
        <is>
          <t>PRGY US Equity</t>
        </is>
      </c>
      <c r="EU2" s="2" t="inlineStr">
        <is>
          <t>AZZ US Equity</t>
        </is>
      </c>
      <c r="FE2" s="2" t="inlineStr">
        <is>
          <t>ONB US Equity</t>
        </is>
      </c>
      <c r="FO2" s="2" t="inlineStr">
        <is>
          <t>1837572D US Equity</t>
        </is>
      </c>
      <c r="FY2" s="2" t="inlineStr">
        <is>
          <t>EMUS US Equity</t>
        </is>
      </c>
      <c r="GI2" s="2" t="inlineStr">
        <is>
          <t>AXS US Equity</t>
        </is>
      </c>
      <c r="GS2" s="2" t="inlineStr">
        <is>
          <t>CFR US Equity</t>
        </is>
      </c>
      <c r="HC2" s="2" t="inlineStr">
        <is>
          <t>CBKN US Equity</t>
        </is>
      </c>
      <c r="HM2" s="2" t="inlineStr">
        <is>
          <t>PRIM US Equity</t>
        </is>
      </c>
      <c r="HW2" s="2" t="inlineStr">
        <is>
          <t>2348717Q US Equity</t>
        </is>
      </c>
      <c r="IG2" s="2" t="inlineStr">
        <is>
          <t>UALAQ US Equity</t>
        </is>
      </c>
      <c r="IQ2" s="2" t="inlineStr">
        <is>
          <t>NUAN US Equity</t>
        </is>
      </c>
      <c r="JA2" s="2" t="inlineStr">
        <is>
          <t>OMC US Equity</t>
        </is>
      </c>
      <c r="JK2" s="2" t="inlineStr">
        <is>
          <t>MMM US Equity</t>
        </is>
      </c>
      <c r="JU2" s="2" t="inlineStr">
        <is>
          <t>BBOX US Equity</t>
        </is>
      </c>
      <c r="KE2" s="2" t="inlineStr">
        <is>
          <t>9876544D US Equity</t>
        </is>
      </c>
      <c r="KO2" s="2" t="inlineStr">
        <is>
          <t>CUNO US Equity</t>
        </is>
      </c>
      <c r="KY2" s="2" t="inlineStr">
        <is>
          <t>PEBO US Equity</t>
        </is>
      </c>
      <c r="LI2" s="2" t="inlineStr">
        <is>
          <t>WEB US Equity</t>
        </is>
      </c>
      <c r="LS2" s="2" t="inlineStr">
        <is>
          <t>FCF US Equity</t>
        </is>
      </c>
      <c r="MC2" s="2" t="inlineStr">
        <is>
          <t>GZBX US Equity</t>
        </is>
      </c>
      <c r="MM2" s="2" t="inlineStr">
        <is>
          <t>DVINQ US Equity</t>
        </is>
      </c>
      <c r="MW2" s="2" t="inlineStr">
        <is>
          <t>KLXE US Equity</t>
        </is>
      </c>
      <c r="NG2" s="2" t="inlineStr">
        <is>
          <t>VGR US Equity</t>
        </is>
      </c>
      <c r="NQ2" s="2" t="inlineStr">
        <is>
          <t>MSCS US Equity</t>
        </is>
      </c>
      <c r="OA2" s="2" t="inlineStr">
        <is>
          <t>CBCGQ US Equity</t>
        </is>
      </c>
    </row>
    <row r="3">
      <c r="A3" t="inlineStr">
        <is>
          <t>Ann: 2015-11-24</t>
        </is>
      </c>
      <c r="K3" t="inlineStr">
        <is>
          <t>Ann: 1998-07-22</t>
        </is>
      </c>
      <c r="U3" t="inlineStr">
        <is>
          <t>Ann: 2001-02-08</t>
        </is>
      </c>
      <c r="AE3" t="inlineStr">
        <is>
          <t>Ann: 2004-06-23</t>
        </is>
      </c>
      <c r="AO3" t="inlineStr">
        <is>
          <t>Ann: 2003-06-04</t>
        </is>
      </c>
      <c r="AY3" t="inlineStr">
        <is>
          <t>Ann: 2009-08-14</t>
        </is>
      </c>
      <c r="BI3" t="inlineStr">
        <is>
          <t>Ann: 2001-03-05</t>
        </is>
      </c>
      <c r="BS3" t="inlineStr">
        <is>
          <t>Ann: 1998-06-02</t>
        </is>
      </c>
      <c r="CC3" t="inlineStr">
        <is>
          <t>Ann: 1999-01-07</t>
        </is>
      </c>
      <c r="CM3" t="inlineStr">
        <is>
          <t>Ann: 2018-03-12</t>
        </is>
      </c>
      <c r="CW3" t="inlineStr">
        <is>
          <t>Ann: 2008-03-17</t>
        </is>
      </c>
      <c r="DG3" t="inlineStr">
        <is>
          <t>Ann: 2001-01-26</t>
        </is>
      </c>
      <c r="DQ3" t="inlineStr">
        <is>
          <t>Ann: 2001-02-14</t>
        </is>
      </c>
      <c r="EA3" t="inlineStr">
        <is>
          <t>Ann: 1999-09-30</t>
        </is>
      </c>
      <c r="EK3" t="inlineStr">
        <is>
          <t>Ann: 1999-11-08</t>
        </is>
      </c>
      <c r="EU3" t="inlineStr">
        <is>
          <t>Ann: 2010-04-01</t>
        </is>
      </c>
      <c r="FE3" t="inlineStr">
        <is>
          <t>Ann: 2013-09-10</t>
        </is>
      </c>
      <c r="FO3" t="inlineStr">
        <is>
          <t>Ann: 1999-04-05</t>
        </is>
      </c>
      <c r="FY3" t="inlineStr">
        <is>
          <t>Ann: 1999-11-30</t>
        </is>
      </c>
      <c r="GI3" t="inlineStr">
        <is>
          <t>Ann: 2010-11-29</t>
        </is>
      </c>
      <c r="GS3" t="inlineStr">
        <is>
          <t>Ann: 2005-04-20</t>
        </is>
      </c>
      <c r="HC3" t="inlineStr">
        <is>
          <t>Ann: 2005-06-29</t>
        </is>
      </c>
      <c r="HM3" t="inlineStr">
        <is>
          <t>Ann: 2018-03-28</t>
        </is>
      </c>
      <c r="HW3" t="inlineStr">
        <is>
          <t>Ann: 1999-08-12</t>
        </is>
      </c>
      <c r="IG3" t="inlineStr">
        <is>
          <t>Ann: 2001-06-04</t>
        </is>
      </c>
      <c r="IQ3" t="inlineStr">
        <is>
          <t>Ann: 2005-05-09</t>
        </is>
      </c>
      <c r="JA3" t="inlineStr">
        <is>
          <t>Ann: 1999-10-01</t>
        </is>
      </c>
      <c r="JK3" t="inlineStr">
        <is>
          <t>Ann: 2000-10-03</t>
        </is>
      </c>
      <c r="JU3" t="inlineStr">
        <is>
          <t>Ann: 2004-12-20</t>
        </is>
      </c>
      <c r="KE3" t="inlineStr">
        <is>
          <t>Ann: 2003-06-30</t>
        </is>
      </c>
      <c r="KO3" t="inlineStr">
        <is>
          <t>Ann: 2004-05-26</t>
        </is>
      </c>
      <c r="KY3" t="inlineStr">
        <is>
          <t>Ann: 2014-08-04</t>
        </is>
      </c>
      <c r="LI3" t="inlineStr">
        <is>
          <t>Ann: 2007-06-27</t>
        </is>
      </c>
      <c r="LS3" t="inlineStr">
        <is>
          <t>Ann: 2016-10-03</t>
        </is>
      </c>
      <c r="MC3" t="inlineStr">
        <is>
          <t>Ann: 2000-03-06</t>
        </is>
      </c>
      <c r="MM3" t="inlineStr">
        <is>
          <t>Ann: 2001-07-09</t>
        </is>
      </c>
      <c r="MW3" t="inlineStr">
        <is>
          <t>Ann: 2020-05-03</t>
        </is>
      </c>
      <c r="NG3" t="inlineStr">
        <is>
          <t>Ann: 2005-09-27</t>
        </is>
      </c>
      <c r="NQ3" t="inlineStr">
        <is>
          <t>Ann: 2002-03-18</t>
        </is>
      </c>
      <c r="OA3" t="inlineStr">
        <is>
          <t>Ann: 2002-05-28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BDS("MSFG US Equity","SUPPLY_CHAIN_SUPPLIERS","RELATIONSHIP_AS_OF_DATE","20151124")</f>
        <v/>
      </c>
      <c r="F5">
        <f>BDS("MSFG US Equity","SUPPLY_CHAIN_CUSTOMERS","RELATIONSHIP_AS_OF_DATE","20151124")</f>
        <v/>
      </c>
      <c r="K5">
        <f>BDS("NPBC US Equity","SUPPLY_CHAIN_SUPPLIERS","RELATIONSHIP_AS_OF_DATE","19980722")</f>
        <v/>
      </c>
      <c r="P5">
        <f>BDS("NPBC US Equity","SUPPLY_CHAIN_CUSTOMERS","RELATIONSHIP_AS_OF_DATE","19980722")</f>
        <v/>
      </c>
      <c r="U5">
        <f>BDS("SBMC US Equity","SUPPLY_CHAIN_SUPPLIERS","RELATIONSHIP_AS_OF_DATE","20010208")</f>
        <v/>
      </c>
      <c r="Z5">
        <f>BDS("SBMC US Equity","SUPPLY_CHAIN_CUSTOMERS","RELATIONSHIP_AS_OF_DATE","20010208")</f>
        <v/>
      </c>
      <c r="AE5">
        <f>BDS("TTI US Equity","SUPPLY_CHAIN_SUPPLIERS","RELATIONSHIP_AS_OF_DATE","20040623")</f>
        <v/>
      </c>
      <c r="AJ5">
        <f>BDS("TTI US Equity","SUPPLY_CHAIN_CUSTOMERS","RELATIONSHIP_AS_OF_DATE","20040623")</f>
        <v/>
      </c>
      <c r="AO5">
        <f>BDS("PALM US Equity","SUPPLY_CHAIN_SUPPLIERS","RELATIONSHIP_AS_OF_DATE","20030604")</f>
        <v/>
      </c>
      <c r="AT5">
        <f>BDS("PALM US Equity","SUPPLY_CHAIN_CUSTOMERS","RELATIONSHIP_AS_OF_DATE","20030604")</f>
        <v/>
      </c>
      <c r="AY5">
        <f>BDS("RJETQ US Equity","SUPPLY_CHAIN_SUPPLIERS","RELATIONSHIP_AS_OF_DATE","20090814")</f>
        <v/>
      </c>
      <c r="BD5">
        <f>BDS("RJETQ US Equity","SUPPLY_CHAIN_CUSTOMERS","RELATIONSHIP_AS_OF_DATE","20090814")</f>
        <v/>
      </c>
      <c r="BI5">
        <f>BDS("FVB US Equity","SUPPLY_CHAIN_SUPPLIERS","RELATIONSHIP_AS_OF_DATE","20010305")</f>
        <v/>
      </c>
      <c r="BN5">
        <f>BDS("FVB US Equity","SUPPLY_CHAIN_CUSTOMERS","RELATIONSHIP_AS_OF_DATE","20010305")</f>
        <v/>
      </c>
      <c r="BS5">
        <f>BDS("SFSW US Equity","SUPPLY_CHAIN_SUPPLIERS","RELATIONSHIP_AS_OF_DATE","19980602")</f>
        <v/>
      </c>
      <c r="BX5">
        <f>BDS("SFSW US Equity","SUPPLY_CHAIN_CUSTOMERS","RELATIONSHIP_AS_OF_DATE","19980602")</f>
        <v/>
      </c>
      <c r="CC5">
        <f>BDS("ITW US Equity","SUPPLY_CHAIN_SUPPLIERS","RELATIONSHIP_AS_OF_DATE","19990107")</f>
        <v/>
      </c>
      <c r="CH5">
        <f>BDS("ITW US Equity","SUPPLY_CHAIN_CUSTOMERS","RELATIONSHIP_AS_OF_DATE","19990107")</f>
        <v/>
      </c>
      <c r="CM5">
        <f>BDS("CIVB US Equity","SUPPLY_CHAIN_SUPPLIERS","RELATIONSHIP_AS_OF_DATE","20180312")</f>
        <v/>
      </c>
      <c r="CR5">
        <f>BDS("CIVB US Equity","SUPPLY_CHAIN_CUSTOMERS","RELATIONSHIP_AS_OF_DATE","20180312")</f>
        <v/>
      </c>
      <c r="CW5">
        <f>BDS("EZPW US Equity","SUPPLY_CHAIN_SUPPLIERS","RELATIONSHIP_AS_OF_DATE","20080317")</f>
        <v/>
      </c>
      <c r="DB5">
        <f>BDS("EZPW US Equity","SUPPLY_CHAIN_CUSTOMERS","RELATIONSHIP_AS_OF_DATE","20080317")</f>
        <v/>
      </c>
      <c r="DG5">
        <f>BDS("JNJ US Equity","SUPPLY_CHAIN_SUPPLIERS","RELATIONSHIP_AS_OF_DATE","20010126")</f>
        <v/>
      </c>
      <c r="DL5">
        <f>BDS("JNJ US Equity","SUPPLY_CHAIN_CUSTOMERS","RELATIONSHIP_AS_OF_DATE","20010126")</f>
        <v/>
      </c>
      <c r="DQ5">
        <f>BDS("AXP US Equity","SUPPLY_CHAIN_SUPPLIERS","RELATIONSHIP_AS_OF_DATE","20010214")</f>
        <v/>
      </c>
      <c r="DV5">
        <f>BDS("AXP US Equity","SUPPLY_CHAIN_CUSTOMERS","RELATIONSHIP_AS_OF_DATE","20010214")</f>
        <v/>
      </c>
      <c r="EA5">
        <f>BDS("WFC US Equity","SUPPLY_CHAIN_SUPPLIERS","RELATIONSHIP_AS_OF_DATE","19990930")</f>
        <v/>
      </c>
      <c r="EF5">
        <f>BDS("WFC US Equity","SUPPLY_CHAIN_CUSTOMERS","RELATIONSHIP_AS_OF_DATE","19990930")</f>
        <v/>
      </c>
      <c r="EK5">
        <f>BDS("PRGY US Equity","SUPPLY_CHAIN_SUPPLIERS","RELATIONSHIP_AS_OF_DATE","19991108")</f>
        <v/>
      </c>
      <c r="EP5">
        <f>BDS("PRGY US Equity","SUPPLY_CHAIN_CUSTOMERS","RELATIONSHIP_AS_OF_DATE","19991108")</f>
        <v/>
      </c>
      <c r="EU5">
        <f>BDS("AZZ US Equity","SUPPLY_CHAIN_SUPPLIERS","RELATIONSHIP_AS_OF_DATE","20100401")</f>
        <v/>
      </c>
      <c r="EZ5">
        <f>BDS("AZZ US Equity","SUPPLY_CHAIN_CUSTOMERS","RELATIONSHIP_AS_OF_DATE","20100401")</f>
        <v/>
      </c>
      <c r="FE5">
        <f>BDS("ONB US Equity","SUPPLY_CHAIN_SUPPLIERS","RELATIONSHIP_AS_OF_DATE","20130910")</f>
        <v/>
      </c>
      <c r="FJ5">
        <f>BDS("ONB US Equity","SUPPLY_CHAIN_CUSTOMERS","RELATIONSHIP_AS_OF_DATE","20130910")</f>
        <v/>
      </c>
      <c r="FO5">
        <f>BDS("1837572D US Equity","SUPPLY_CHAIN_SUPPLIERS","RELATIONSHIP_AS_OF_DATE","19990405")</f>
        <v/>
      </c>
      <c r="FT5">
        <f>BDS("1837572D US Equity","SUPPLY_CHAIN_CUSTOMERS","RELATIONSHIP_AS_OF_DATE","19990405")</f>
        <v/>
      </c>
      <c r="FY5">
        <f>BDS("EMUS US Equity","SUPPLY_CHAIN_SUPPLIERS","RELATIONSHIP_AS_OF_DATE","19991130")</f>
        <v/>
      </c>
      <c r="GD5">
        <f>BDS("EMUS US Equity","SUPPLY_CHAIN_CUSTOMERS","RELATIONSHIP_AS_OF_DATE","19991130")</f>
        <v/>
      </c>
      <c r="GI5">
        <f>BDS("AXS US Equity","SUPPLY_CHAIN_SUPPLIERS","RELATIONSHIP_AS_OF_DATE","20101129")</f>
        <v/>
      </c>
      <c r="GN5">
        <f>BDS("AXS US Equity","SUPPLY_CHAIN_CUSTOMERS","RELATIONSHIP_AS_OF_DATE","20101129")</f>
        <v/>
      </c>
      <c r="GS5">
        <f>BDS("CFR US Equity","SUPPLY_CHAIN_SUPPLIERS","RELATIONSHIP_AS_OF_DATE","20050420")</f>
        <v/>
      </c>
      <c r="GX5">
        <f>BDS("CFR US Equity","SUPPLY_CHAIN_CUSTOMERS","RELATIONSHIP_AS_OF_DATE","20050420")</f>
        <v/>
      </c>
      <c r="HC5">
        <f>BDS("CBKN US Equity","SUPPLY_CHAIN_SUPPLIERS","RELATIONSHIP_AS_OF_DATE","20050629")</f>
        <v/>
      </c>
      <c r="HH5">
        <f>BDS("CBKN US Equity","SUPPLY_CHAIN_CUSTOMERS","RELATIONSHIP_AS_OF_DATE","20050629")</f>
        <v/>
      </c>
      <c r="HM5">
        <f>BDS("PRIM US Equity","SUPPLY_CHAIN_SUPPLIERS","RELATIONSHIP_AS_OF_DATE","20180328")</f>
        <v/>
      </c>
      <c r="HR5">
        <f>BDS("PRIM US Equity","SUPPLY_CHAIN_CUSTOMERS","RELATIONSHIP_AS_OF_DATE","20180328")</f>
        <v/>
      </c>
      <c r="HW5">
        <f>BDS("2348717Q US Equity","SUPPLY_CHAIN_SUPPLIERS","RELATIONSHIP_AS_OF_DATE","19990812")</f>
        <v/>
      </c>
      <c r="IB5">
        <f>BDS("2348717Q US Equity","SUPPLY_CHAIN_CUSTOMERS","RELATIONSHIP_AS_OF_DATE","19990812")</f>
        <v/>
      </c>
      <c r="IG5">
        <f>BDS("UALAQ US Equity","SUPPLY_CHAIN_SUPPLIERS","RELATIONSHIP_AS_OF_DATE","20010604")</f>
        <v/>
      </c>
      <c r="IL5">
        <f>BDS("UALAQ US Equity","SUPPLY_CHAIN_CUSTOMERS","RELATIONSHIP_AS_OF_DATE","20010604")</f>
        <v/>
      </c>
      <c r="IQ5">
        <f>BDS("NUAN US Equity","SUPPLY_CHAIN_SUPPLIERS","RELATIONSHIP_AS_OF_DATE","20050509")</f>
        <v/>
      </c>
      <c r="IV5">
        <f>BDS("NUAN US Equity","SUPPLY_CHAIN_CUSTOMERS","RELATIONSHIP_AS_OF_DATE","20050509")</f>
        <v/>
      </c>
      <c r="JA5">
        <f>BDS("OMC US Equity","SUPPLY_CHAIN_SUPPLIERS","RELATIONSHIP_AS_OF_DATE","19991001")</f>
        <v/>
      </c>
      <c r="JF5">
        <f>BDS("OMC US Equity","SUPPLY_CHAIN_CUSTOMERS","RELATIONSHIP_AS_OF_DATE","19991001")</f>
        <v/>
      </c>
      <c r="JK5">
        <f>BDS("MMM US Equity","SUPPLY_CHAIN_SUPPLIERS","RELATIONSHIP_AS_OF_DATE","20001003")</f>
        <v/>
      </c>
      <c r="JP5">
        <f>BDS("MMM US Equity","SUPPLY_CHAIN_CUSTOMERS","RELATIONSHIP_AS_OF_DATE","20001003")</f>
        <v/>
      </c>
      <c r="JU5">
        <f>BDS("BBOX US Equity","SUPPLY_CHAIN_SUPPLIERS","RELATIONSHIP_AS_OF_DATE","20041220")</f>
        <v/>
      </c>
      <c r="JZ5">
        <f>BDS("BBOX US Equity","SUPPLY_CHAIN_CUSTOMERS","RELATIONSHIP_AS_OF_DATE","20041220")</f>
        <v/>
      </c>
      <c r="KE5">
        <f>BDS("9876544D US Equity","SUPPLY_CHAIN_SUPPLIERS","RELATIONSHIP_AS_OF_DATE","20030630")</f>
        <v/>
      </c>
      <c r="KJ5">
        <f>BDS("9876544D US Equity","SUPPLY_CHAIN_CUSTOMERS","RELATIONSHIP_AS_OF_DATE","20030630")</f>
        <v/>
      </c>
      <c r="KO5">
        <f>BDS("CUNO US Equity","SUPPLY_CHAIN_SUPPLIERS","RELATIONSHIP_AS_OF_DATE","20040526")</f>
        <v/>
      </c>
      <c r="KT5">
        <f>BDS("CUNO US Equity","SUPPLY_CHAIN_CUSTOMERS","RELATIONSHIP_AS_OF_DATE","20040526")</f>
        <v/>
      </c>
      <c r="KY5">
        <f>BDS("PEBO US Equity","SUPPLY_CHAIN_SUPPLIERS","RELATIONSHIP_AS_OF_DATE","20140804")</f>
        <v/>
      </c>
      <c r="LD5">
        <f>BDS("PEBO US Equity","SUPPLY_CHAIN_CUSTOMERS","RELATIONSHIP_AS_OF_DATE","20140804")</f>
        <v/>
      </c>
      <c r="LI5">
        <f>BDS("WEB US Equity","SUPPLY_CHAIN_SUPPLIERS","RELATIONSHIP_AS_OF_DATE","20070627")</f>
        <v/>
      </c>
      <c r="LN5">
        <f>BDS("WEB US Equity","SUPPLY_CHAIN_CUSTOMERS","RELATIONSHIP_AS_OF_DATE","20070627")</f>
        <v/>
      </c>
      <c r="LS5">
        <f>BDS("FCF US Equity","SUPPLY_CHAIN_SUPPLIERS","RELATIONSHIP_AS_OF_DATE","20161003")</f>
        <v/>
      </c>
      <c r="LX5">
        <f>BDS("FCF US Equity","SUPPLY_CHAIN_CUSTOMERS","RELATIONSHIP_AS_OF_DATE","20161003")</f>
        <v/>
      </c>
      <c r="MC5">
        <f>BDS("GZBX US Equity","SUPPLY_CHAIN_SUPPLIERS","RELATIONSHIP_AS_OF_DATE","20000306")</f>
        <v/>
      </c>
      <c r="MH5">
        <f>BDS("GZBX US Equity","SUPPLY_CHAIN_CUSTOMERS","RELATIONSHIP_AS_OF_DATE","20000306")</f>
        <v/>
      </c>
      <c r="MM5">
        <f>BDS("DVINQ US Equity","SUPPLY_CHAIN_SUPPLIERS","RELATIONSHIP_AS_OF_DATE","20010709")</f>
        <v/>
      </c>
      <c r="MR5">
        <f>BDS("DVINQ US Equity","SUPPLY_CHAIN_CUSTOMERS","RELATIONSHIP_AS_OF_DATE","20010709")</f>
        <v/>
      </c>
      <c r="MW5">
        <f>BDS("KLXE US Equity","SUPPLY_CHAIN_SUPPLIERS","RELATIONSHIP_AS_OF_DATE","20200503")</f>
        <v/>
      </c>
      <c r="NB5">
        <f>BDS("KLXE US Equity","SUPPLY_CHAIN_CUSTOMERS","RELATIONSHIP_AS_OF_DATE","20200503")</f>
        <v/>
      </c>
      <c r="NG5">
        <f>BDS("VGR US Equity","SUPPLY_CHAIN_SUPPLIERS","RELATIONSHIP_AS_OF_DATE","20050927")</f>
        <v/>
      </c>
      <c r="NL5">
        <f>BDS("VGR US Equity","SUPPLY_CHAIN_CUSTOMERS","RELATIONSHIP_AS_OF_DATE","20050927")</f>
        <v/>
      </c>
      <c r="NQ5">
        <f>BDS("MSCS US Equity","SUPPLY_CHAIN_SUPPLIERS","RELATIONSHIP_AS_OF_DATE","20020318")</f>
        <v/>
      </c>
      <c r="NV5">
        <f>BDS("MSCS US Equity","SUPPLY_CHAIN_CUSTOMERS","RELATIONSHIP_AS_OF_DATE","20020318")</f>
        <v/>
      </c>
      <c r="OA5">
        <f>BDS("CBCGQ US Equity","SUPPLY_CHAIN_SUPPLIERS","RELATIONSHIP_AS_OF_DATE","20020528")</f>
        <v/>
      </c>
      <c r="OF5">
        <f>BDS("CBCGQ US Equity","SUPPLY_CHAIN_CUSTOMERS","RELATIONSHIP_AS_OF_DATE","20020528")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3321</t>
        </is>
      </c>
      <c r="K1" s="1" t="inlineStr">
        <is>
          <t>Deal 3322</t>
        </is>
      </c>
      <c r="U1" s="1" t="inlineStr">
        <is>
          <t>Deal 3323</t>
        </is>
      </c>
      <c r="AE1" s="1" t="inlineStr">
        <is>
          <t>Deal 3324</t>
        </is>
      </c>
      <c r="AO1" s="1" t="inlineStr">
        <is>
          <t>Deal 3325</t>
        </is>
      </c>
      <c r="AY1" s="1" t="inlineStr">
        <is>
          <t>Deal 3326</t>
        </is>
      </c>
      <c r="BI1" s="1" t="inlineStr">
        <is>
          <t>Deal 3327</t>
        </is>
      </c>
      <c r="BS1" s="1" t="inlineStr">
        <is>
          <t>Deal 3328</t>
        </is>
      </c>
      <c r="CC1" s="1" t="inlineStr">
        <is>
          <t>Deal 3329</t>
        </is>
      </c>
      <c r="CM1" s="1" t="inlineStr">
        <is>
          <t>Deal 3330</t>
        </is>
      </c>
      <c r="CW1" s="1" t="inlineStr">
        <is>
          <t>Deal 3331</t>
        </is>
      </c>
      <c r="DG1" s="1" t="inlineStr">
        <is>
          <t>Deal 3332</t>
        </is>
      </c>
      <c r="DQ1" s="1" t="inlineStr">
        <is>
          <t>Deal 3333</t>
        </is>
      </c>
      <c r="EA1" s="1" t="inlineStr">
        <is>
          <t>Deal 3334</t>
        </is>
      </c>
      <c r="EK1" s="1" t="inlineStr">
        <is>
          <t>Deal 3335</t>
        </is>
      </c>
      <c r="EU1" s="1" t="inlineStr">
        <is>
          <t>Deal 3336</t>
        </is>
      </c>
      <c r="FE1" s="1" t="inlineStr">
        <is>
          <t>Deal 3337</t>
        </is>
      </c>
      <c r="FO1" s="1" t="inlineStr">
        <is>
          <t>Deal 3338</t>
        </is>
      </c>
      <c r="FY1" s="1" t="inlineStr">
        <is>
          <t>Deal 3339</t>
        </is>
      </c>
      <c r="GI1" s="1" t="inlineStr">
        <is>
          <t>Deal 3340</t>
        </is>
      </c>
      <c r="GS1" s="1" t="inlineStr">
        <is>
          <t>Deal 3341</t>
        </is>
      </c>
      <c r="HC1" s="1" t="inlineStr">
        <is>
          <t>Deal 3342</t>
        </is>
      </c>
      <c r="HM1" s="1" t="inlineStr">
        <is>
          <t>Deal 3343</t>
        </is>
      </c>
      <c r="HW1" s="1" t="inlineStr">
        <is>
          <t>Deal 3344</t>
        </is>
      </c>
      <c r="IG1" s="1" t="inlineStr">
        <is>
          <t>Deal 3345</t>
        </is>
      </c>
      <c r="IQ1" s="1" t="inlineStr">
        <is>
          <t>Deal 3346</t>
        </is>
      </c>
      <c r="JA1" s="1" t="inlineStr">
        <is>
          <t>Deal 3347</t>
        </is>
      </c>
      <c r="JK1" s="1" t="inlineStr">
        <is>
          <t>Deal 3348</t>
        </is>
      </c>
      <c r="JU1" s="1" t="inlineStr">
        <is>
          <t>Deal 3349</t>
        </is>
      </c>
      <c r="KE1" s="1" t="inlineStr">
        <is>
          <t>Deal 3350</t>
        </is>
      </c>
      <c r="KO1" s="1" t="inlineStr">
        <is>
          <t>Deal 3351</t>
        </is>
      </c>
      <c r="KY1" s="1" t="inlineStr">
        <is>
          <t>Deal 3352</t>
        </is>
      </c>
      <c r="LI1" s="1" t="inlineStr">
        <is>
          <t>Deal 3353</t>
        </is>
      </c>
      <c r="LS1" s="1" t="inlineStr">
        <is>
          <t>Deal 3354</t>
        </is>
      </c>
      <c r="MC1" s="1" t="inlineStr">
        <is>
          <t>Deal 3355</t>
        </is>
      </c>
      <c r="MM1" s="1" t="inlineStr">
        <is>
          <t>Deal 3356</t>
        </is>
      </c>
      <c r="MW1" s="1" t="inlineStr">
        <is>
          <t>Deal 3357</t>
        </is>
      </c>
      <c r="NG1" s="1" t="inlineStr">
        <is>
          <t>Deal 3358</t>
        </is>
      </c>
      <c r="NQ1" s="1" t="inlineStr">
        <is>
          <t>Deal 3359</t>
        </is>
      </c>
      <c r="OA1" s="1" t="inlineStr">
        <is>
          <t>Deal 3360</t>
        </is>
      </c>
    </row>
    <row r="2">
      <c r="A2" s="2" t="inlineStr">
        <is>
          <t>MDT US Equity</t>
        </is>
      </c>
      <c r="K2" s="2" t="inlineStr">
        <is>
          <t>VATE US Equity</t>
        </is>
      </c>
      <c r="U2" s="2" t="inlineStr">
        <is>
          <t>1850874D US Equity</t>
        </is>
      </c>
      <c r="AE2" s="2" t="inlineStr">
        <is>
          <t>NCOM US Equity</t>
        </is>
      </c>
      <c r="AO2" s="2" t="inlineStr">
        <is>
          <t>FNB US Equity</t>
        </is>
      </c>
      <c r="AY2" s="2" t="inlineStr">
        <is>
          <t>TRMK US Equity</t>
        </is>
      </c>
      <c r="BI2" s="2" t="inlineStr">
        <is>
          <t>nan Equity</t>
        </is>
      </c>
      <c r="BS2" s="2" t="inlineStr">
        <is>
          <t>753397Q US Equity</t>
        </is>
      </c>
      <c r="CC2" s="2" t="inlineStr">
        <is>
          <t>724273Q US Equity</t>
        </is>
      </c>
      <c r="CM2" s="2" t="inlineStr">
        <is>
          <t>nan Equity</t>
        </is>
      </c>
      <c r="CW2" s="2" t="inlineStr">
        <is>
          <t>CVG US Equity</t>
        </is>
      </c>
      <c r="DG2" s="2" t="inlineStr">
        <is>
          <t>SNPS US Equity</t>
        </is>
      </c>
      <c r="DQ2" s="2" t="inlineStr">
        <is>
          <t>ICBC US Equity</t>
        </is>
      </c>
      <c r="EA2" s="2" t="inlineStr">
        <is>
          <t>CB US Equity</t>
        </is>
      </c>
      <c r="EK2" s="2" t="inlineStr">
        <is>
          <t>NUAN US Equity</t>
        </is>
      </c>
      <c r="EU2" s="2" t="inlineStr">
        <is>
          <t>3588Q US Equity</t>
        </is>
      </c>
      <c r="FE2" s="2" t="inlineStr">
        <is>
          <t>AVTA US Equity</t>
        </is>
      </c>
      <c r="FO2" s="2" t="inlineStr">
        <is>
          <t>MYR US Equity</t>
        </is>
      </c>
      <c r="FY2" s="2" t="inlineStr">
        <is>
          <t>1894768D US Equity</t>
        </is>
      </c>
      <c r="GI2" s="2" t="inlineStr">
        <is>
          <t>MCF US Equity</t>
        </is>
      </c>
      <c r="GS2" s="2" t="inlineStr">
        <is>
          <t>INDB US Equity</t>
        </is>
      </c>
      <c r="HC2" s="2" t="inlineStr">
        <is>
          <t>VLY US Equity</t>
        </is>
      </c>
      <c r="HM2" s="2" t="inlineStr">
        <is>
          <t>OCFC US Equity</t>
        </is>
      </c>
      <c r="HW2" s="2" t="inlineStr">
        <is>
          <t>ACIW US Equity</t>
        </is>
      </c>
      <c r="IG2" s="2" t="inlineStr">
        <is>
          <t>TSFG US Equity</t>
        </is>
      </c>
      <c r="IQ2" s="2" t="inlineStr">
        <is>
          <t>LCRY US Equity</t>
        </is>
      </c>
      <c r="JA2" s="2" t="inlineStr">
        <is>
          <t>2447428D US Equity</t>
        </is>
      </c>
      <c r="JK2" s="2" t="inlineStr">
        <is>
          <t>OPCH US Equity</t>
        </is>
      </c>
      <c r="JU2" s="2" t="inlineStr">
        <is>
          <t>ANT US Equity</t>
        </is>
      </c>
      <c r="KE2" s="2" t="inlineStr">
        <is>
          <t>SLFI US Equity</t>
        </is>
      </c>
      <c r="KO2" s="2" t="inlineStr">
        <is>
          <t>IGL US Equity</t>
        </is>
      </c>
      <c r="KY2" s="2" t="inlineStr">
        <is>
          <t>IBM US Equity</t>
        </is>
      </c>
      <c r="LI2" s="2" t="inlineStr">
        <is>
          <t>539355Q US Equity</t>
        </is>
      </c>
      <c r="LS2" s="2" t="inlineStr">
        <is>
          <t>UBSI US Equity</t>
        </is>
      </c>
      <c r="MC2" s="2" t="inlineStr">
        <is>
          <t>HOV US Equity</t>
        </is>
      </c>
      <c r="MM2" s="2" t="inlineStr">
        <is>
          <t>CADE US Equity</t>
        </is>
      </c>
      <c r="MW2" s="2" t="inlineStr">
        <is>
          <t>JAMS US Equity</t>
        </is>
      </c>
      <c r="NG2" s="2" t="inlineStr">
        <is>
          <t>ENMC US Equity</t>
        </is>
      </c>
      <c r="NQ2" s="2" t="inlineStr">
        <is>
          <t>PEGA US Equity</t>
        </is>
      </c>
      <c r="OA2" s="2" t="inlineStr">
        <is>
          <t>CBU US Equity</t>
        </is>
      </c>
    </row>
    <row r="3">
      <c r="A3" t="inlineStr">
        <is>
          <t>Ann: 1998-07-13</t>
        </is>
      </c>
      <c r="K3" t="inlineStr">
        <is>
          <t>Ann: 2014-05-13</t>
        </is>
      </c>
      <c r="U3" t="inlineStr">
        <is>
          <t>Ann: 1998-05-28</t>
        </is>
      </c>
      <c r="AE3" t="inlineStr">
        <is>
          <t>Ann: 2017-08-16</t>
        </is>
      </c>
      <c r="AO3" t="inlineStr">
        <is>
          <t>Ann: 2013-02-19</t>
        </is>
      </c>
      <c r="AY3" t="inlineStr">
        <is>
          <t>Ann: 2000-12-13</t>
        </is>
      </c>
      <c r="BI3" t="inlineStr">
        <is>
          <t>Ann: 2014-04-02</t>
        </is>
      </c>
      <c r="BS3" t="inlineStr">
        <is>
          <t>Ann: 1998-11-10</t>
        </is>
      </c>
      <c r="CC3" t="inlineStr">
        <is>
          <t>Ann: 1998-03-11</t>
        </is>
      </c>
      <c r="CM3" t="inlineStr">
        <is>
          <t>Ann: 2010-06-24</t>
        </is>
      </c>
      <c r="CW3" t="inlineStr">
        <is>
          <t>Ann: 2004-03-25</t>
        </is>
      </c>
      <c r="DG3" t="inlineStr">
        <is>
          <t>Ann: 2004-12-01</t>
        </is>
      </c>
      <c r="DQ3" t="inlineStr">
        <is>
          <t>Ann: 1999-04-13</t>
        </is>
      </c>
      <c r="EA3" t="inlineStr">
        <is>
          <t>Ann: 2011-09-08</t>
        </is>
      </c>
      <c r="EK3" t="inlineStr">
        <is>
          <t>Ann: 2003-04-25</t>
        </is>
      </c>
      <c r="EU3" t="inlineStr">
        <is>
          <t>Ann: 1999-06-02</t>
        </is>
      </c>
      <c r="FE3" t="inlineStr">
        <is>
          <t>Ann: 2004-03-26</t>
        </is>
      </c>
      <c r="FO3" t="inlineStr">
        <is>
          <t>Ann: 1998-02-18</t>
        </is>
      </c>
      <c r="FY3" t="inlineStr">
        <is>
          <t>Ann: 1998-03-17</t>
        </is>
      </c>
      <c r="GI3" t="inlineStr">
        <is>
          <t>Ann: 2020-10-26</t>
        </is>
      </c>
      <c r="GS3" t="inlineStr">
        <is>
          <t>Ann: 2007-10-11</t>
        </is>
      </c>
      <c r="HC3" t="inlineStr">
        <is>
          <t>Ann: 1998-12-18</t>
        </is>
      </c>
      <c r="HM3" t="inlineStr">
        <is>
          <t>Ann: 2015-02-25</t>
        </is>
      </c>
      <c r="HW3" t="inlineStr">
        <is>
          <t>Ann: 2013-01-30</t>
        </is>
      </c>
      <c r="IG3" t="inlineStr">
        <is>
          <t>Ann: 2003-05-14</t>
        </is>
      </c>
      <c r="IQ3" t="inlineStr">
        <is>
          <t>Ann: 2004-09-02</t>
        </is>
      </c>
      <c r="JA3" t="inlineStr">
        <is>
          <t>Ann: 2006-04-03</t>
        </is>
      </c>
      <c r="JK3" t="inlineStr">
        <is>
          <t>Ann: 2004-08-09</t>
        </is>
      </c>
      <c r="JU3" t="inlineStr">
        <is>
          <t>Ann: 1999-03-08</t>
        </is>
      </c>
      <c r="KE3" t="inlineStr">
        <is>
          <t>Ann: 2000-01-25</t>
        </is>
      </c>
      <c r="KO3" t="inlineStr">
        <is>
          <t>Ann: 2004-01-15</t>
        </is>
      </c>
      <c r="KY3" t="inlineStr">
        <is>
          <t>Ann: 2001-10-30</t>
        </is>
      </c>
      <c r="LI3" t="inlineStr">
        <is>
          <t>Ann: 1999-04-15</t>
        </is>
      </c>
      <c r="LS3" t="inlineStr">
        <is>
          <t>Ann: 2010-12-16</t>
        </is>
      </c>
      <c r="MC3" t="inlineStr">
        <is>
          <t>Ann: 2000-08-28</t>
        </is>
      </c>
      <c r="MM3" t="inlineStr">
        <is>
          <t>Ann: 2021-01-13</t>
        </is>
      </c>
      <c r="MW3" t="inlineStr">
        <is>
          <t>Ann: 1999-01-28</t>
        </is>
      </c>
      <c r="NG3" t="inlineStr">
        <is>
          <t>Ann: 2005-11-14</t>
        </is>
      </c>
      <c r="NQ3" t="inlineStr">
        <is>
          <t>Ann: 2010-03-15</t>
        </is>
      </c>
      <c r="OA3" t="inlineStr">
        <is>
          <t>Ann: 2010-10-25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BDS("MDT US Equity","SUPPLY_CHAIN_SUPPLIERS","RELATIONSHIP_AS_OF_DATE","19980713")</f>
        <v/>
      </c>
      <c r="F5">
        <f>BDS("MDT US Equity","SUPPLY_CHAIN_CUSTOMERS","RELATIONSHIP_AS_OF_DATE","19980713")</f>
        <v/>
      </c>
      <c r="K5">
        <f>BDS("VATE US Equity","SUPPLY_CHAIN_SUPPLIERS","RELATIONSHIP_AS_OF_DATE","20140513")</f>
        <v/>
      </c>
      <c r="P5">
        <f>BDS("VATE US Equity","SUPPLY_CHAIN_CUSTOMERS","RELATIONSHIP_AS_OF_DATE","20140513")</f>
        <v/>
      </c>
      <c r="U5">
        <f>BDS("1850874D US Equity","SUPPLY_CHAIN_SUPPLIERS","RELATIONSHIP_AS_OF_DATE","19980528")</f>
        <v/>
      </c>
      <c r="Z5">
        <f>BDS("1850874D US Equity","SUPPLY_CHAIN_CUSTOMERS","RELATIONSHIP_AS_OF_DATE","19980528")</f>
        <v/>
      </c>
      <c r="AE5">
        <f>BDS("NCOM US Equity","SUPPLY_CHAIN_SUPPLIERS","RELATIONSHIP_AS_OF_DATE","20170816")</f>
        <v/>
      </c>
      <c r="AJ5">
        <f>BDS("NCOM US Equity","SUPPLY_CHAIN_CUSTOMERS","RELATIONSHIP_AS_OF_DATE","20170816")</f>
        <v/>
      </c>
      <c r="AO5">
        <f>BDS("FNB US Equity","SUPPLY_CHAIN_SUPPLIERS","RELATIONSHIP_AS_OF_DATE","20130219")</f>
        <v/>
      </c>
      <c r="AT5">
        <f>BDS("FNB US Equity","SUPPLY_CHAIN_CUSTOMERS","RELATIONSHIP_AS_OF_DATE","20130219")</f>
        <v/>
      </c>
      <c r="AY5">
        <f>BDS("TRMK US Equity","SUPPLY_CHAIN_SUPPLIERS","RELATIONSHIP_AS_OF_DATE","20001213")</f>
        <v/>
      </c>
      <c r="BD5">
        <f>BDS("TRMK US Equity","SUPPLY_CHAIN_CUSTOMERS","RELATIONSHIP_AS_OF_DATE","20001213")</f>
        <v/>
      </c>
      <c r="BI5">
        <f>BDS("nan Equity","SUPPLY_CHAIN_SUPPLIERS","RELATIONSHIP_AS_OF_DATE","20140402")</f>
        <v/>
      </c>
      <c r="BN5">
        <f>BDS("nan Equity","SUPPLY_CHAIN_CUSTOMERS","RELATIONSHIP_AS_OF_DATE","20140402")</f>
        <v/>
      </c>
      <c r="BS5">
        <f>BDS("753397Q US Equity","SUPPLY_CHAIN_SUPPLIERS","RELATIONSHIP_AS_OF_DATE","19981110")</f>
        <v/>
      </c>
      <c r="BX5">
        <f>BDS("753397Q US Equity","SUPPLY_CHAIN_CUSTOMERS","RELATIONSHIP_AS_OF_DATE","19981110")</f>
        <v/>
      </c>
      <c r="CC5">
        <f>BDS("724273Q US Equity","SUPPLY_CHAIN_SUPPLIERS","RELATIONSHIP_AS_OF_DATE","19980311")</f>
        <v/>
      </c>
      <c r="CH5">
        <f>BDS("724273Q US Equity","SUPPLY_CHAIN_CUSTOMERS","RELATIONSHIP_AS_OF_DATE","19980311")</f>
        <v/>
      </c>
      <c r="CM5">
        <f>BDS("nan Equity","SUPPLY_CHAIN_SUPPLIERS","RELATIONSHIP_AS_OF_DATE","20100624")</f>
        <v/>
      </c>
      <c r="CR5">
        <f>BDS("nan Equity","SUPPLY_CHAIN_CUSTOMERS","RELATIONSHIP_AS_OF_DATE","20100624")</f>
        <v/>
      </c>
      <c r="CW5">
        <f>BDS("CVG US Equity","SUPPLY_CHAIN_SUPPLIERS","RELATIONSHIP_AS_OF_DATE","20040325")</f>
        <v/>
      </c>
      <c r="DB5">
        <f>BDS("CVG US Equity","SUPPLY_CHAIN_CUSTOMERS","RELATIONSHIP_AS_OF_DATE","20040325")</f>
        <v/>
      </c>
      <c r="DG5">
        <f>BDS("SNPS US Equity","SUPPLY_CHAIN_SUPPLIERS","RELATIONSHIP_AS_OF_DATE","20041201")</f>
        <v/>
      </c>
      <c r="DL5">
        <f>BDS("SNPS US Equity","SUPPLY_CHAIN_CUSTOMERS","RELATIONSHIP_AS_OF_DATE","20041201")</f>
        <v/>
      </c>
      <c r="DQ5">
        <f>BDS("ICBC US Equity","SUPPLY_CHAIN_SUPPLIERS","RELATIONSHIP_AS_OF_DATE","19990413")</f>
        <v/>
      </c>
      <c r="DV5">
        <f>BDS("ICBC US Equity","SUPPLY_CHAIN_CUSTOMERS","RELATIONSHIP_AS_OF_DATE","19990413")</f>
        <v/>
      </c>
      <c r="EA5">
        <f>BDS("CB US Equity","SUPPLY_CHAIN_SUPPLIERS","RELATIONSHIP_AS_OF_DATE","20110908")</f>
        <v/>
      </c>
      <c r="EF5">
        <f>BDS("CB US Equity","SUPPLY_CHAIN_CUSTOMERS","RELATIONSHIP_AS_OF_DATE","20110908")</f>
        <v/>
      </c>
      <c r="EK5">
        <f>BDS("NUAN US Equity","SUPPLY_CHAIN_SUPPLIERS","RELATIONSHIP_AS_OF_DATE","20030425")</f>
        <v/>
      </c>
      <c r="EP5">
        <f>BDS("NUAN US Equity","SUPPLY_CHAIN_CUSTOMERS","RELATIONSHIP_AS_OF_DATE","20030425")</f>
        <v/>
      </c>
      <c r="EU5">
        <f>BDS("3588Q US Equity","SUPPLY_CHAIN_SUPPLIERS","RELATIONSHIP_AS_OF_DATE","19990602")</f>
        <v/>
      </c>
      <c r="EZ5">
        <f>BDS("3588Q US Equity","SUPPLY_CHAIN_CUSTOMERS","RELATIONSHIP_AS_OF_DATE","19990602")</f>
        <v/>
      </c>
      <c r="FE5">
        <f>BDS("AVTA US Equity","SUPPLY_CHAIN_SUPPLIERS","RELATIONSHIP_AS_OF_DATE","20040326")</f>
        <v/>
      </c>
      <c r="FJ5">
        <f>BDS("AVTA US Equity","SUPPLY_CHAIN_CUSTOMERS","RELATIONSHIP_AS_OF_DATE","20040326")</f>
        <v/>
      </c>
      <c r="FO5">
        <f>BDS("MYR US Equity","SUPPLY_CHAIN_SUPPLIERS","RELATIONSHIP_AS_OF_DATE","19980218")</f>
        <v/>
      </c>
      <c r="FT5">
        <f>BDS("MYR US Equity","SUPPLY_CHAIN_CUSTOMERS","RELATIONSHIP_AS_OF_DATE","19980218")</f>
        <v/>
      </c>
      <c r="FY5">
        <f>BDS("1894768D US Equity","SUPPLY_CHAIN_SUPPLIERS","RELATIONSHIP_AS_OF_DATE","19980317")</f>
        <v/>
      </c>
      <c r="GD5">
        <f>BDS("1894768D US Equity","SUPPLY_CHAIN_CUSTOMERS","RELATIONSHIP_AS_OF_DATE","19980317")</f>
        <v/>
      </c>
      <c r="GI5">
        <f>BDS("MCF US Equity","SUPPLY_CHAIN_SUPPLIERS","RELATIONSHIP_AS_OF_DATE","20201026")</f>
        <v/>
      </c>
      <c r="GN5">
        <f>BDS("MCF US Equity","SUPPLY_CHAIN_CUSTOMERS","RELATIONSHIP_AS_OF_DATE","20201026")</f>
        <v/>
      </c>
      <c r="GS5">
        <f>BDS("INDB US Equity","SUPPLY_CHAIN_SUPPLIERS","RELATIONSHIP_AS_OF_DATE","20071011")</f>
        <v/>
      </c>
      <c r="GX5">
        <f>BDS("INDB US Equity","SUPPLY_CHAIN_CUSTOMERS","RELATIONSHIP_AS_OF_DATE","20071011")</f>
        <v/>
      </c>
      <c r="HC5">
        <f>BDS("VLY US Equity","SUPPLY_CHAIN_SUPPLIERS","RELATIONSHIP_AS_OF_DATE","19981218")</f>
        <v/>
      </c>
      <c r="HH5">
        <f>BDS("VLY US Equity","SUPPLY_CHAIN_CUSTOMERS","RELATIONSHIP_AS_OF_DATE","19981218")</f>
        <v/>
      </c>
      <c r="HM5">
        <f>BDS("OCFC US Equity","SUPPLY_CHAIN_SUPPLIERS","RELATIONSHIP_AS_OF_DATE","20150225")</f>
        <v/>
      </c>
      <c r="HR5">
        <f>BDS("OCFC US Equity","SUPPLY_CHAIN_CUSTOMERS","RELATIONSHIP_AS_OF_DATE","20150225")</f>
        <v/>
      </c>
      <c r="HW5">
        <f>BDS("ACIW US Equity","SUPPLY_CHAIN_SUPPLIERS","RELATIONSHIP_AS_OF_DATE","20130130")</f>
        <v/>
      </c>
      <c r="IB5">
        <f>BDS("ACIW US Equity","SUPPLY_CHAIN_CUSTOMERS","RELATIONSHIP_AS_OF_DATE","20130130")</f>
        <v/>
      </c>
      <c r="IG5">
        <f>BDS("TSFG US Equity","SUPPLY_CHAIN_SUPPLIERS","RELATIONSHIP_AS_OF_DATE","20030514")</f>
        <v/>
      </c>
      <c r="IL5">
        <f>BDS("TSFG US Equity","SUPPLY_CHAIN_CUSTOMERS","RELATIONSHIP_AS_OF_DATE","20030514")</f>
        <v/>
      </c>
      <c r="IQ5">
        <f>BDS("LCRY US Equity","SUPPLY_CHAIN_SUPPLIERS","RELATIONSHIP_AS_OF_DATE","20040902")</f>
        <v/>
      </c>
      <c r="IV5">
        <f>BDS("LCRY US Equity","SUPPLY_CHAIN_CUSTOMERS","RELATIONSHIP_AS_OF_DATE","20040902")</f>
        <v/>
      </c>
      <c r="JA5">
        <f>BDS("2447428D US Equity","SUPPLY_CHAIN_SUPPLIERS","RELATIONSHIP_AS_OF_DATE","20060403")</f>
        <v/>
      </c>
      <c r="JF5">
        <f>BDS("2447428D US Equity","SUPPLY_CHAIN_CUSTOMERS","RELATIONSHIP_AS_OF_DATE","20060403")</f>
        <v/>
      </c>
      <c r="JK5">
        <f>BDS("OPCH US Equity","SUPPLY_CHAIN_SUPPLIERS","RELATIONSHIP_AS_OF_DATE","20040809")</f>
        <v/>
      </c>
      <c r="JP5">
        <f>BDS("OPCH US Equity","SUPPLY_CHAIN_CUSTOMERS","RELATIONSHIP_AS_OF_DATE","20040809")</f>
        <v/>
      </c>
      <c r="JU5">
        <f>BDS("ANT US Equity","SUPPLY_CHAIN_SUPPLIERS","RELATIONSHIP_AS_OF_DATE","19990308")</f>
        <v/>
      </c>
      <c r="JZ5">
        <f>BDS("ANT US Equity","SUPPLY_CHAIN_CUSTOMERS","RELATIONSHIP_AS_OF_DATE","19990308")</f>
        <v/>
      </c>
      <c r="KE5">
        <f>BDS("SLFI US Equity","SUPPLY_CHAIN_SUPPLIERS","RELATIONSHIP_AS_OF_DATE","20000125")</f>
        <v/>
      </c>
      <c r="KJ5">
        <f>BDS("SLFI US Equity","SUPPLY_CHAIN_CUSTOMERS","RELATIONSHIP_AS_OF_DATE","20000125")</f>
        <v/>
      </c>
      <c r="KO5">
        <f>BDS("IGL US Equity","SUPPLY_CHAIN_SUPPLIERS","RELATIONSHIP_AS_OF_DATE","20040115")</f>
        <v/>
      </c>
      <c r="KT5">
        <f>BDS("IGL US Equity","SUPPLY_CHAIN_CUSTOMERS","RELATIONSHIP_AS_OF_DATE","20040115")</f>
        <v/>
      </c>
      <c r="KY5">
        <f>BDS("IBM US Equity","SUPPLY_CHAIN_SUPPLIERS","RELATIONSHIP_AS_OF_DATE","20011030")</f>
        <v/>
      </c>
      <c r="LD5">
        <f>BDS("IBM US Equity","SUPPLY_CHAIN_CUSTOMERS","RELATIONSHIP_AS_OF_DATE","20011030")</f>
        <v/>
      </c>
      <c r="LI5">
        <f>BDS("539355Q US Equity","SUPPLY_CHAIN_SUPPLIERS","RELATIONSHIP_AS_OF_DATE","19990415")</f>
        <v/>
      </c>
      <c r="LN5">
        <f>BDS("539355Q US Equity","SUPPLY_CHAIN_CUSTOMERS","RELATIONSHIP_AS_OF_DATE","19990415")</f>
        <v/>
      </c>
      <c r="LS5">
        <f>BDS("UBSI US Equity","SUPPLY_CHAIN_SUPPLIERS","RELATIONSHIP_AS_OF_DATE","20101216")</f>
        <v/>
      </c>
      <c r="LX5">
        <f>BDS("UBSI US Equity","SUPPLY_CHAIN_CUSTOMERS","RELATIONSHIP_AS_OF_DATE","20101216")</f>
        <v/>
      </c>
      <c r="MC5">
        <f>BDS("HOV US Equity","SUPPLY_CHAIN_SUPPLIERS","RELATIONSHIP_AS_OF_DATE","20000828")</f>
        <v/>
      </c>
      <c r="MH5">
        <f>BDS("HOV US Equity","SUPPLY_CHAIN_CUSTOMERS","RELATIONSHIP_AS_OF_DATE","20000828")</f>
        <v/>
      </c>
      <c r="MM5">
        <f>BDS("CADE US Equity","SUPPLY_CHAIN_SUPPLIERS","RELATIONSHIP_AS_OF_DATE","20210113")</f>
        <v/>
      </c>
      <c r="MR5">
        <f>BDS("CADE US Equity","SUPPLY_CHAIN_CUSTOMERS","RELATIONSHIP_AS_OF_DATE","20210113")</f>
        <v/>
      </c>
      <c r="MW5">
        <f>BDS("JAMS US Equity","SUPPLY_CHAIN_SUPPLIERS","RELATIONSHIP_AS_OF_DATE","19990128")</f>
        <v/>
      </c>
      <c r="NB5">
        <f>BDS("JAMS US Equity","SUPPLY_CHAIN_CUSTOMERS","RELATIONSHIP_AS_OF_DATE","19990128")</f>
        <v/>
      </c>
      <c r="NG5">
        <f>BDS("ENMC US Equity","SUPPLY_CHAIN_SUPPLIERS","RELATIONSHIP_AS_OF_DATE","20051114")</f>
        <v/>
      </c>
      <c r="NL5">
        <f>BDS("ENMC US Equity","SUPPLY_CHAIN_CUSTOMERS","RELATIONSHIP_AS_OF_DATE","20051114")</f>
        <v/>
      </c>
      <c r="NQ5">
        <f>BDS("PEGA US Equity","SUPPLY_CHAIN_SUPPLIERS","RELATIONSHIP_AS_OF_DATE","20100315")</f>
        <v/>
      </c>
      <c r="NV5">
        <f>BDS("PEGA US Equity","SUPPLY_CHAIN_CUSTOMERS","RELATIONSHIP_AS_OF_DATE","20100315")</f>
        <v/>
      </c>
      <c r="OA5">
        <f>BDS("CBU US Equity","SUPPLY_CHAIN_SUPPLIERS","RELATIONSHIP_AS_OF_DATE","20101025")</f>
        <v/>
      </c>
      <c r="OF5">
        <f>BDS("CBU US Equity","SUPPLY_CHAIN_CUSTOMERS","RELATIONSHIP_AS_OF_DATE","20101025")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3361</t>
        </is>
      </c>
      <c r="K1" s="1" t="inlineStr">
        <is>
          <t>Deal 3362</t>
        </is>
      </c>
      <c r="U1" s="1" t="inlineStr">
        <is>
          <t>Deal 3363</t>
        </is>
      </c>
      <c r="AE1" s="1" t="inlineStr">
        <is>
          <t>Deal 3364</t>
        </is>
      </c>
      <c r="AO1" s="1" t="inlineStr">
        <is>
          <t>Deal 3365</t>
        </is>
      </c>
      <c r="AY1" s="1" t="inlineStr">
        <is>
          <t>Deal 3366</t>
        </is>
      </c>
      <c r="BI1" s="1" t="inlineStr">
        <is>
          <t>Deal 3367</t>
        </is>
      </c>
      <c r="BS1" s="1" t="inlineStr">
        <is>
          <t>Deal 3368</t>
        </is>
      </c>
      <c r="CC1" s="1" t="inlineStr">
        <is>
          <t>Deal 3369</t>
        </is>
      </c>
      <c r="CM1" s="1" t="inlineStr">
        <is>
          <t>Deal 3370</t>
        </is>
      </c>
      <c r="CW1" s="1" t="inlineStr">
        <is>
          <t>Deal 3371</t>
        </is>
      </c>
      <c r="DG1" s="1" t="inlineStr">
        <is>
          <t>Deal 3372</t>
        </is>
      </c>
      <c r="DQ1" s="1" t="inlineStr">
        <is>
          <t>Deal 3373</t>
        </is>
      </c>
      <c r="EA1" s="1" t="inlineStr">
        <is>
          <t>Deal 3374</t>
        </is>
      </c>
      <c r="EK1" s="1" t="inlineStr">
        <is>
          <t>Deal 3375</t>
        </is>
      </c>
      <c r="EU1" s="1" t="inlineStr">
        <is>
          <t>Deal 3376</t>
        </is>
      </c>
      <c r="FE1" s="1" t="inlineStr">
        <is>
          <t>Deal 3377</t>
        </is>
      </c>
      <c r="FO1" s="1" t="inlineStr">
        <is>
          <t>Deal 3378</t>
        </is>
      </c>
      <c r="FY1" s="1" t="inlineStr">
        <is>
          <t>Deal 3379</t>
        </is>
      </c>
      <c r="GI1" s="1" t="inlineStr">
        <is>
          <t>Deal 3380</t>
        </is>
      </c>
      <c r="GS1" s="1" t="inlineStr">
        <is>
          <t>Deal 3381</t>
        </is>
      </c>
      <c r="HC1" s="1" t="inlineStr">
        <is>
          <t>Deal 3382</t>
        </is>
      </c>
      <c r="HM1" s="1" t="inlineStr">
        <is>
          <t>Deal 3383</t>
        </is>
      </c>
      <c r="HW1" s="1" t="inlineStr">
        <is>
          <t>Deal 3384</t>
        </is>
      </c>
      <c r="IG1" s="1" t="inlineStr">
        <is>
          <t>Deal 3385</t>
        </is>
      </c>
      <c r="IQ1" s="1" t="inlineStr">
        <is>
          <t>Deal 3386</t>
        </is>
      </c>
      <c r="JA1" s="1" t="inlineStr">
        <is>
          <t>Deal 3387</t>
        </is>
      </c>
      <c r="JK1" s="1" t="inlineStr">
        <is>
          <t>Deal 3388</t>
        </is>
      </c>
      <c r="JU1" s="1" t="inlineStr">
        <is>
          <t>Deal 3389</t>
        </is>
      </c>
      <c r="KE1" s="1" t="inlineStr">
        <is>
          <t>Deal 3390</t>
        </is>
      </c>
      <c r="KO1" s="1" t="inlineStr">
        <is>
          <t>Deal 3391</t>
        </is>
      </c>
      <c r="KY1" s="1" t="inlineStr">
        <is>
          <t>Deal 3392</t>
        </is>
      </c>
      <c r="LI1" s="1" t="inlineStr">
        <is>
          <t>Deal 3393</t>
        </is>
      </c>
      <c r="LS1" s="1" t="inlineStr">
        <is>
          <t>Deal 3394</t>
        </is>
      </c>
      <c r="MC1" s="1" t="inlineStr">
        <is>
          <t>Deal 3395</t>
        </is>
      </c>
      <c r="MM1" s="1" t="inlineStr">
        <is>
          <t>Deal 3396</t>
        </is>
      </c>
      <c r="MW1" s="1" t="inlineStr">
        <is>
          <t>Deal 3397</t>
        </is>
      </c>
      <c r="NG1" s="1" t="inlineStr">
        <is>
          <t>Deal 3398</t>
        </is>
      </c>
      <c r="NQ1" s="1" t="inlineStr">
        <is>
          <t>Deal 3399</t>
        </is>
      </c>
      <c r="OA1" s="1" t="inlineStr">
        <is>
          <t>Deal 3400</t>
        </is>
      </c>
    </row>
    <row r="2">
      <c r="A2" s="2" t="inlineStr">
        <is>
          <t>RTHM LN Equity</t>
        </is>
      </c>
      <c r="K2" s="2" t="inlineStr">
        <is>
          <t>FMAO US Equity</t>
        </is>
      </c>
      <c r="U2" s="2" t="inlineStr">
        <is>
          <t>TFC US Equity</t>
        </is>
      </c>
      <c r="AE2" s="2" t="inlineStr">
        <is>
          <t>CPSS US Equity</t>
        </is>
      </c>
      <c r="AO2" s="2" t="inlineStr">
        <is>
          <t>FMBI US Equity</t>
        </is>
      </c>
      <c r="AY2" s="2" t="inlineStr">
        <is>
          <t>TCBK US Equity</t>
        </is>
      </c>
      <c r="BI2" s="2" t="inlineStr">
        <is>
          <t>YDKN US Equity</t>
        </is>
      </c>
      <c r="BS2" s="2" t="inlineStr">
        <is>
          <t>FBNC US Equity</t>
        </is>
      </c>
      <c r="CC2" s="2" t="inlineStr">
        <is>
          <t>WIBC US Equity</t>
        </is>
      </c>
      <c r="CM2" s="2" t="inlineStr">
        <is>
          <t>VTEQ US Equity</t>
        </is>
      </c>
      <c r="CW2" s="2" t="inlineStr">
        <is>
          <t>OKWHQ US Equity</t>
        </is>
      </c>
      <c r="DG2" s="2" t="inlineStr">
        <is>
          <t>ITW US Equity</t>
        </is>
      </c>
      <c r="DQ2" s="2" t="inlineStr">
        <is>
          <t>XBKS US Equity</t>
        </is>
      </c>
      <c r="EA2" s="2" t="inlineStr">
        <is>
          <t>UPBD US Equity</t>
        </is>
      </c>
      <c r="EK2" s="2" t="inlineStr">
        <is>
          <t>TFC US Equity</t>
        </is>
      </c>
      <c r="EU2" s="2" t="inlineStr">
        <is>
          <t>PRGNQ US Equity</t>
        </is>
      </c>
      <c r="FE2" s="2" t="inlineStr">
        <is>
          <t>AZA US Equity</t>
        </is>
      </c>
      <c r="FO2" s="2" t="inlineStr">
        <is>
          <t>TFC US Equity</t>
        </is>
      </c>
      <c r="FY2" s="2" t="inlineStr">
        <is>
          <t>TWX US Equity</t>
        </is>
      </c>
      <c r="GI2" s="2" t="inlineStr">
        <is>
          <t>RMK US Equity</t>
        </is>
      </c>
      <c r="GS2" s="2" t="inlineStr">
        <is>
          <t>EGP US Equity</t>
        </is>
      </c>
      <c r="HC2" s="2" t="inlineStr">
        <is>
          <t>EMN US Equity</t>
        </is>
      </c>
      <c r="HM2" s="2" t="inlineStr">
        <is>
          <t>LBAI US Equity</t>
        </is>
      </c>
      <c r="HW2" s="2" t="inlineStr">
        <is>
          <t>GZBX US Equity</t>
        </is>
      </c>
      <c r="IG2" s="2" t="inlineStr">
        <is>
          <t>GLDB US Equity</t>
        </is>
      </c>
      <c r="IQ2" s="2" t="inlineStr">
        <is>
          <t>FLS US Equity</t>
        </is>
      </c>
      <c r="JA2" s="2" t="inlineStr">
        <is>
          <t>EXE US Equity</t>
        </is>
      </c>
      <c r="JK2" s="2" t="inlineStr">
        <is>
          <t>DRS US Equity</t>
        </is>
      </c>
      <c r="JU2" s="2" t="inlineStr">
        <is>
          <t>ACIW US Equity</t>
        </is>
      </c>
      <c r="KE2" s="2" t="inlineStr">
        <is>
          <t>OPLK US Equity</t>
        </is>
      </c>
      <c r="KO2" s="2" t="inlineStr">
        <is>
          <t>1837572D US Equity</t>
        </is>
      </c>
      <c r="KY2" s="2" t="inlineStr">
        <is>
          <t>GBCI US Equity</t>
        </is>
      </c>
      <c r="LI2" s="2" t="inlineStr">
        <is>
          <t>HRBT US Equity</t>
        </is>
      </c>
      <c r="LS2" s="2" t="inlineStr">
        <is>
          <t>XBKS US Equity</t>
        </is>
      </c>
      <c r="MC2" s="2" t="inlineStr">
        <is>
          <t>USB US Equity</t>
        </is>
      </c>
      <c r="MM2" s="2" t="inlineStr">
        <is>
          <t>CARO US Equity</t>
        </is>
      </c>
      <c r="MW2" s="2" t="inlineStr">
        <is>
          <t>TPTH US Equity</t>
        </is>
      </c>
      <c r="NG2" s="2" t="inlineStr">
        <is>
          <t>ACCL US Equity</t>
        </is>
      </c>
      <c r="NQ2" s="2" t="inlineStr">
        <is>
          <t>1642488D US Equity</t>
        </is>
      </c>
      <c r="OA2" s="2" t="inlineStr">
        <is>
          <t>NBTB US Equity</t>
        </is>
      </c>
    </row>
    <row r="3">
      <c r="A3" t="inlineStr">
        <is>
          <t>Ann: 2017-09-05</t>
        </is>
      </c>
      <c r="K3" t="inlineStr">
        <is>
          <t>Ann: 2021-05-04</t>
        </is>
      </c>
      <c r="U3" t="inlineStr">
        <is>
          <t>Ann: 1999-02-25</t>
        </is>
      </c>
      <c r="AE3" t="inlineStr">
        <is>
          <t>Ann: 2001-11-19</t>
        </is>
      </c>
      <c r="AO3" t="inlineStr">
        <is>
          <t>Ann: 2003-09-11</t>
        </is>
      </c>
      <c r="AY3" t="inlineStr">
        <is>
          <t>Ann: 2021-07-27</t>
        </is>
      </c>
      <c r="BI3" t="inlineStr">
        <is>
          <t>Ann: 2008-09-10</t>
        </is>
      </c>
      <c r="BS3" t="inlineStr">
        <is>
          <t>Ann: 2016-06-22</t>
        </is>
      </c>
      <c r="CC3" t="inlineStr">
        <is>
          <t>Ann: 2013-07-15</t>
        </is>
      </c>
      <c r="CM3" t="inlineStr">
        <is>
          <t>Ann: 2000-03-06</t>
        </is>
      </c>
      <c r="CW3" t="inlineStr">
        <is>
          <t>Ann: 1998-01-05</t>
        </is>
      </c>
      <c r="DG3" t="inlineStr">
        <is>
          <t>Ann: 2006-06-20</t>
        </is>
      </c>
      <c r="DQ3" t="inlineStr">
        <is>
          <t>Ann: 2016-02-10</t>
        </is>
      </c>
      <c r="EA3" t="inlineStr">
        <is>
          <t>Ann: 2004-02-04</t>
        </is>
      </c>
      <c r="EK3" t="inlineStr">
        <is>
          <t>Ann: 2000-09-06</t>
        </is>
      </c>
      <c r="EU3" t="inlineStr">
        <is>
          <t>Ann: 1998-05-07</t>
        </is>
      </c>
      <c r="FE3" t="inlineStr">
        <is>
          <t>Ann: 2000-09-29</t>
        </is>
      </c>
      <c r="FO3" t="inlineStr">
        <is>
          <t>Ann: 2001-07-10</t>
        </is>
      </c>
      <c r="FY3" t="inlineStr">
        <is>
          <t>Ann: 2001-07-23</t>
        </is>
      </c>
      <c r="GI3" t="inlineStr">
        <is>
          <t>Ann: 2002-10-24</t>
        </is>
      </c>
      <c r="GS3" t="inlineStr">
        <is>
          <t>Ann: 1998-02-18</t>
        </is>
      </c>
      <c r="HC3" t="inlineStr">
        <is>
          <t>Ann: 2011-06-22</t>
        </is>
      </c>
      <c r="HM3" t="inlineStr">
        <is>
          <t>Ann: 2003-10-27</t>
        </is>
      </c>
      <c r="HW3" t="inlineStr">
        <is>
          <t>Ann: 2000-03-06</t>
        </is>
      </c>
      <c r="IG3" t="inlineStr">
        <is>
          <t>Ann: 1999-09-07</t>
        </is>
      </c>
      <c r="IQ3" t="inlineStr">
        <is>
          <t>Ann: 1999-11-18</t>
        </is>
      </c>
      <c r="JA3" t="inlineStr">
        <is>
          <t>Ann: 2002-03-11</t>
        </is>
      </c>
      <c r="JK3" t="inlineStr">
        <is>
          <t>Ann: 2002-10-24</t>
        </is>
      </c>
      <c r="JU3" t="inlineStr">
        <is>
          <t>Ann: 2013-09-23</t>
        </is>
      </c>
      <c r="KE3" t="inlineStr">
        <is>
          <t>Ann: 2007-04-23</t>
        </is>
      </c>
      <c r="KO3" t="inlineStr">
        <is>
          <t>Ann: 1999-07-15</t>
        </is>
      </c>
      <c r="KY3" t="inlineStr">
        <is>
          <t>Ann: 2000-09-20</t>
        </is>
      </c>
      <c r="LI3" t="inlineStr">
        <is>
          <t>Ann: 2001-09-04</t>
        </is>
      </c>
      <c r="LS3" t="inlineStr">
        <is>
          <t>Ann: 2008-09-24</t>
        </is>
      </c>
      <c r="MC3" t="inlineStr">
        <is>
          <t>Ann: 2006-06-01</t>
        </is>
      </c>
      <c r="MM3" t="inlineStr">
        <is>
          <t>Ann: 2019-07-15</t>
        </is>
      </c>
      <c r="MW3" t="inlineStr">
        <is>
          <t>Ann: 1999-06-07</t>
        </is>
      </c>
      <c r="NG3" t="inlineStr">
        <is>
          <t>Ann: 2010-04-05</t>
        </is>
      </c>
      <c r="NQ3" t="inlineStr">
        <is>
          <t>Ann: 2006-06-01</t>
        </is>
      </c>
      <c r="OA3" t="inlineStr">
        <is>
          <t>Ann: 1999-08-16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BDS("RTHM LN Equity","SUPPLY_CHAIN_SUPPLIERS","RELATIONSHIP_AS_OF_DATE","20170905")</f>
        <v/>
      </c>
      <c r="F5">
        <f>BDS("RTHM LN Equity","SUPPLY_CHAIN_CUSTOMERS","RELATIONSHIP_AS_OF_DATE","20170905")</f>
        <v/>
      </c>
      <c r="K5">
        <f>BDS("FMAO US Equity","SUPPLY_CHAIN_SUPPLIERS","RELATIONSHIP_AS_OF_DATE","20210504")</f>
        <v/>
      </c>
      <c r="P5">
        <f>BDS("FMAO US Equity","SUPPLY_CHAIN_CUSTOMERS","RELATIONSHIP_AS_OF_DATE","20210504")</f>
        <v/>
      </c>
      <c r="U5">
        <f>BDS("TFC US Equity","SUPPLY_CHAIN_SUPPLIERS","RELATIONSHIP_AS_OF_DATE","19990225")</f>
        <v/>
      </c>
      <c r="Z5">
        <f>BDS("TFC US Equity","SUPPLY_CHAIN_CUSTOMERS","RELATIONSHIP_AS_OF_DATE","19990225")</f>
        <v/>
      </c>
      <c r="AE5">
        <f>BDS("CPSS US Equity","SUPPLY_CHAIN_SUPPLIERS","RELATIONSHIP_AS_OF_DATE","20011119")</f>
        <v/>
      </c>
      <c r="AJ5">
        <f>BDS("CPSS US Equity","SUPPLY_CHAIN_CUSTOMERS","RELATIONSHIP_AS_OF_DATE","20011119")</f>
        <v/>
      </c>
      <c r="AO5">
        <f>BDS("FMBI US Equity","SUPPLY_CHAIN_SUPPLIERS","RELATIONSHIP_AS_OF_DATE","20030911")</f>
        <v/>
      </c>
      <c r="AT5">
        <f>BDS("FMBI US Equity","SUPPLY_CHAIN_CUSTOMERS","RELATIONSHIP_AS_OF_DATE","20030911")</f>
        <v/>
      </c>
      <c r="AY5">
        <f>BDS("TCBK US Equity","SUPPLY_CHAIN_SUPPLIERS","RELATIONSHIP_AS_OF_DATE","20210727")</f>
        <v/>
      </c>
      <c r="BD5">
        <f>BDS("TCBK US Equity","SUPPLY_CHAIN_CUSTOMERS","RELATIONSHIP_AS_OF_DATE","20210727")</f>
        <v/>
      </c>
      <c r="BI5">
        <f>BDS("YDKN US Equity","SUPPLY_CHAIN_SUPPLIERS","RELATIONSHIP_AS_OF_DATE","20080910")</f>
        <v/>
      </c>
      <c r="BN5">
        <f>BDS("YDKN US Equity","SUPPLY_CHAIN_CUSTOMERS","RELATIONSHIP_AS_OF_DATE","20080910")</f>
        <v/>
      </c>
      <c r="BS5">
        <f>BDS("FBNC US Equity","SUPPLY_CHAIN_SUPPLIERS","RELATIONSHIP_AS_OF_DATE","20160622")</f>
        <v/>
      </c>
      <c r="BX5">
        <f>BDS("FBNC US Equity","SUPPLY_CHAIN_CUSTOMERS","RELATIONSHIP_AS_OF_DATE","20160622")</f>
        <v/>
      </c>
      <c r="CC5">
        <f>BDS("WIBC US Equity","SUPPLY_CHAIN_SUPPLIERS","RELATIONSHIP_AS_OF_DATE","20130715")</f>
        <v/>
      </c>
      <c r="CH5">
        <f>BDS("WIBC US Equity","SUPPLY_CHAIN_CUSTOMERS","RELATIONSHIP_AS_OF_DATE","20130715")</f>
        <v/>
      </c>
      <c r="CM5">
        <f>BDS("VTEQ US Equity","SUPPLY_CHAIN_SUPPLIERS","RELATIONSHIP_AS_OF_DATE","20000306")</f>
        <v/>
      </c>
      <c r="CR5">
        <f>BDS("VTEQ US Equity","SUPPLY_CHAIN_CUSTOMERS","RELATIONSHIP_AS_OF_DATE","20000306")</f>
        <v/>
      </c>
      <c r="CW5">
        <f>BDS("OKWHQ US Equity","SUPPLY_CHAIN_SUPPLIERS","RELATIONSHIP_AS_OF_DATE","19980105")</f>
        <v/>
      </c>
      <c r="DB5">
        <f>BDS("OKWHQ US Equity","SUPPLY_CHAIN_CUSTOMERS","RELATIONSHIP_AS_OF_DATE","19980105")</f>
        <v/>
      </c>
      <c r="DG5">
        <f>BDS("ITW US Equity","SUPPLY_CHAIN_SUPPLIERS","RELATIONSHIP_AS_OF_DATE","20060620")</f>
        <v/>
      </c>
      <c r="DL5">
        <f>BDS("ITW US Equity","SUPPLY_CHAIN_CUSTOMERS","RELATIONSHIP_AS_OF_DATE","20060620")</f>
        <v/>
      </c>
      <c r="DQ5">
        <f>BDS("XBKS US Equity","SUPPLY_CHAIN_SUPPLIERS","RELATIONSHIP_AS_OF_DATE","20160210")</f>
        <v/>
      </c>
      <c r="DV5">
        <f>BDS("XBKS US Equity","SUPPLY_CHAIN_CUSTOMERS","RELATIONSHIP_AS_OF_DATE","20160210")</f>
        <v/>
      </c>
      <c r="EA5">
        <f>BDS("UPBD US Equity","SUPPLY_CHAIN_SUPPLIERS","RELATIONSHIP_AS_OF_DATE","20040204")</f>
        <v/>
      </c>
      <c r="EF5">
        <f>BDS("UPBD US Equity","SUPPLY_CHAIN_CUSTOMERS","RELATIONSHIP_AS_OF_DATE","20040204")</f>
        <v/>
      </c>
      <c r="EK5">
        <f>BDS("TFC US Equity","SUPPLY_CHAIN_SUPPLIERS","RELATIONSHIP_AS_OF_DATE","20000906")</f>
        <v/>
      </c>
      <c r="EP5">
        <f>BDS("TFC US Equity","SUPPLY_CHAIN_CUSTOMERS","RELATIONSHIP_AS_OF_DATE","20000906")</f>
        <v/>
      </c>
      <c r="EU5">
        <f>BDS("PRGNQ US Equity","SUPPLY_CHAIN_SUPPLIERS","RELATIONSHIP_AS_OF_DATE","19980507")</f>
        <v/>
      </c>
      <c r="EZ5">
        <f>BDS("PRGNQ US Equity","SUPPLY_CHAIN_CUSTOMERS","RELATIONSHIP_AS_OF_DATE","19980507")</f>
        <v/>
      </c>
      <c r="FE5">
        <f>BDS("AZA US Equity","SUPPLY_CHAIN_SUPPLIERS","RELATIONSHIP_AS_OF_DATE","20000929")</f>
        <v/>
      </c>
      <c r="FJ5">
        <f>BDS("AZA US Equity","SUPPLY_CHAIN_CUSTOMERS","RELATIONSHIP_AS_OF_DATE","20000929")</f>
        <v/>
      </c>
      <c r="FO5">
        <f>BDS("TFC US Equity","SUPPLY_CHAIN_SUPPLIERS","RELATIONSHIP_AS_OF_DATE","20010710")</f>
        <v/>
      </c>
      <c r="FT5">
        <f>BDS("TFC US Equity","SUPPLY_CHAIN_CUSTOMERS","RELATIONSHIP_AS_OF_DATE","20010710")</f>
        <v/>
      </c>
      <c r="FY5">
        <f>BDS("TWX US Equity","SUPPLY_CHAIN_SUPPLIERS","RELATIONSHIP_AS_OF_DATE","20010723")</f>
        <v/>
      </c>
      <c r="GD5">
        <f>BDS("TWX US Equity","SUPPLY_CHAIN_CUSTOMERS","RELATIONSHIP_AS_OF_DATE","20010723")</f>
        <v/>
      </c>
      <c r="GI5">
        <f>BDS("RMK US Equity","SUPPLY_CHAIN_SUPPLIERS","RELATIONSHIP_AS_OF_DATE","20021024")</f>
        <v/>
      </c>
      <c r="GN5">
        <f>BDS("RMK US Equity","SUPPLY_CHAIN_CUSTOMERS","RELATIONSHIP_AS_OF_DATE","20021024")</f>
        <v/>
      </c>
      <c r="GS5">
        <f>BDS("EGP US Equity","SUPPLY_CHAIN_SUPPLIERS","RELATIONSHIP_AS_OF_DATE","19980218")</f>
        <v/>
      </c>
      <c r="GX5">
        <f>BDS("EGP US Equity","SUPPLY_CHAIN_CUSTOMERS","RELATIONSHIP_AS_OF_DATE","19980218")</f>
        <v/>
      </c>
      <c r="HC5">
        <f>BDS("EMN US Equity","SUPPLY_CHAIN_SUPPLIERS","RELATIONSHIP_AS_OF_DATE","20110622")</f>
        <v/>
      </c>
      <c r="HH5">
        <f>BDS("EMN US Equity","SUPPLY_CHAIN_CUSTOMERS","RELATIONSHIP_AS_OF_DATE","20110622")</f>
        <v/>
      </c>
      <c r="HM5">
        <f>BDS("LBAI US Equity","SUPPLY_CHAIN_SUPPLIERS","RELATIONSHIP_AS_OF_DATE","20031027")</f>
        <v/>
      </c>
      <c r="HR5">
        <f>BDS("LBAI US Equity","SUPPLY_CHAIN_CUSTOMERS","RELATIONSHIP_AS_OF_DATE","20031027")</f>
        <v/>
      </c>
      <c r="HW5">
        <f>BDS("GZBX US Equity","SUPPLY_CHAIN_SUPPLIERS","RELATIONSHIP_AS_OF_DATE","20000306")</f>
        <v/>
      </c>
      <c r="IB5">
        <f>BDS("GZBX US Equity","SUPPLY_CHAIN_CUSTOMERS","RELATIONSHIP_AS_OF_DATE","20000306")</f>
        <v/>
      </c>
      <c r="IG5">
        <f>BDS("GLDB US Equity","SUPPLY_CHAIN_SUPPLIERS","RELATIONSHIP_AS_OF_DATE","19990907")</f>
        <v/>
      </c>
      <c r="IL5">
        <f>BDS("GLDB US Equity","SUPPLY_CHAIN_CUSTOMERS","RELATIONSHIP_AS_OF_DATE","19990907")</f>
        <v/>
      </c>
      <c r="IQ5">
        <f>BDS("FLS US Equity","SUPPLY_CHAIN_SUPPLIERS","RELATIONSHIP_AS_OF_DATE","19991118")</f>
        <v/>
      </c>
      <c r="IV5">
        <f>BDS("FLS US Equity","SUPPLY_CHAIN_CUSTOMERS","RELATIONSHIP_AS_OF_DATE","19991118")</f>
        <v/>
      </c>
      <c r="JA5">
        <f>BDS("EXE US Equity","SUPPLY_CHAIN_SUPPLIERS","RELATIONSHIP_AS_OF_DATE","20020311")</f>
        <v/>
      </c>
      <c r="JF5">
        <f>BDS("EXE US Equity","SUPPLY_CHAIN_CUSTOMERS","RELATIONSHIP_AS_OF_DATE","20020311")</f>
        <v/>
      </c>
      <c r="JK5">
        <f>BDS("DRS US Equity","SUPPLY_CHAIN_SUPPLIERS","RELATIONSHIP_AS_OF_DATE","20021024")</f>
        <v/>
      </c>
      <c r="JP5">
        <f>BDS("DRS US Equity","SUPPLY_CHAIN_CUSTOMERS","RELATIONSHIP_AS_OF_DATE","20021024")</f>
        <v/>
      </c>
      <c r="JU5">
        <f>BDS("ACIW US Equity","SUPPLY_CHAIN_SUPPLIERS","RELATIONSHIP_AS_OF_DATE","20130923")</f>
        <v/>
      </c>
      <c r="JZ5">
        <f>BDS("ACIW US Equity","SUPPLY_CHAIN_CUSTOMERS","RELATIONSHIP_AS_OF_DATE","20130923")</f>
        <v/>
      </c>
      <c r="KE5">
        <f>BDS("OPLK US Equity","SUPPLY_CHAIN_SUPPLIERS","RELATIONSHIP_AS_OF_DATE","20070423")</f>
        <v/>
      </c>
      <c r="KJ5">
        <f>BDS("OPLK US Equity","SUPPLY_CHAIN_CUSTOMERS","RELATIONSHIP_AS_OF_DATE","20070423")</f>
        <v/>
      </c>
      <c r="KO5">
        <f>BDS("1837572D US Equity","SUPPLY_CHAIN_SUPPLIERS","RELATIONSHIP_AS_OF_DATE","19990715")</f>
        <v/>
      </c>
      <c r="KT5">
        <f>BDS("1837572D US Equity","SUPPLY_CHAIN_CUSTOMERS","RELATIONSHIP_AS_OF_DATE","19990715")</f>
        <v/>
      </c>
      <c r="KY5">
        <f>BDS("GBCI US Equity","SUPPLY_CHAIN_SUPPLIERS","RELATIONSHIP_AS_OF_DATE","20000920")</f>
        <v/>
      </c>
      <c r="LD5">
        <f>BDS("GBCI US Equity","SUPPLY_CHAIN_CUSTOMERS","RELATIONSHIP_AS_OF_DATE","20000920")</f>
        <v/>
      </c>
      <c r="LI5">
        <f>BDS("HRBT US Equity","SUPPLY_CHAIN_SUPPLIERS","RELATIONSHIP_AS_OF_DATE","20010904")</f>
        <v/>
      </c>
      <c r="LN5">
        <f>BDS("HRBT US Equity","SUPPLY_CHAIN_CUSTOMERS","RELATIONSHIP_AS_OF_DATE","20010904")</f>
        <v/>
      </c>
      <c r="LS5">
        <f>BDS("XBKS US Equity","SUPPLY_CHAIN_SUPPLIERS","RELATIONSHIP_AS_OF_DATE","20080924")</f>
        <v/>
      </c>
      <c r="LX5">
        <f>BDS("XBKS US Equity","SUPPLY_CHAIN_CUSTOMERS","RELATIONSHIP_AS_OF_DATE","20080924")</f>
        <v/>
      </c>
      <c r="MC5">
        <f>BDS("USB US Equity","SUPPLY_CHAIN_SUPPLIERS","RELATIONSHIP_AS_OF_DATE","20060601")</f>
        <v/>
      </c>
      <c r="MH5">
        <f>BDS("USB US Equity","SUPPLY_CHAIN_CUSTOMERS","RELATIONSHIP_AS_OF_DATE","20060601")</f>
        <v/>
      </c>
      <c r="MM5">
        <f>BDS("CARO US Equity","SUPPLY_CHAIN_SUPPLIERS","RELATIONSHIP_AS_OF_DATE","20190715")</f>
        <v/>
      </c>
      <c r="MR5">
        <f>BDS("CARO US Equity","SUPPLY_CHAIN_CUSTOMERS","RELATIONSHIP_AS_OF_DATE","20190715")</f>
        <v/>
      </c>
      <c r="MW5">
        <f>BDS("TPTH US Equity","SUPPLY_CHAIN_SUPPLIERS","RELATIONSHIP_AS_OF_DATE","19990607")</f>
        <v/>
      </c>
      <c r="NB5">
        <f>BDS("TPTH US Equity","SUPPLY_CHAIN_CUSTOMERS","RELATIONSHIP_AS_OF_DATE","19990607")</f>
        <v/>
      </c>
      <c r="NG5">
        <f>BDS("ACCL US Equity","SUPPLY_CHAIN_SUPPLIERS","RELATIONSHIP_AS_OF_DATE","20100405")</f>
        <v/>
      </c>
      <c r="NL5">
        <f>BDS("ACCL US Equity","SUPPLY_CHAIN_CUSTOMERS","RELATIONSHIP_AS_OF_DATE","20100405")</f>
        <v/>
      </c>
      <c r="NQ5">
        <f>BDS("1642488D US Equity","SUPPLY_CHAIN_SUPPLIERS","RELATIONSHIP_AS_OF_DATE","20060601")</f>
        <v/>
      </c>
      <c r="NV5">
        <f>BDS("1642488D US Equity","SUPPLY_CHAIN_CUSTOMERS","RELATIONSHIP_AS_OF_DATE","20060601")</f>
        <v/>
      </c>
      <c r="OA5">
        <f>BDS("NBTB US Equity","SUPPLY_CHAIN_SUPPLIERS","RELATIONSHIP_AS_OF_DATE","19990816")</f>
        <v/>
      </c>
      <c r="OF5">
        <f>BDS("NBTB US Equity","SUPPLY_CHAIN_CUSTOMERS","RELATIONSHIP_AS_OF_DATE","19990816")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3401</t>
        </is>
      </c>
      <c r="K1" s="1" t="inlineStr">
        <is>
          <t>Deal 3402</t>
        </is>
      </c>
      <c r="U1" s="1" t="inlineStr">
        <is>
          <t>Deal 3403</t>
        </is>
      </c>
      <c r="AE1" s="1" t="inlineStr">
        <is>
          <t>Deal 3404</t>
        </is>
      </c>
      <c r="AO1" s="1" t="inlineStr">
        <is>
          <t>Deal 3405</t>
        </is>
      </c>
      <c r="AY1" s="1" t="inlineStr">
        <is>
          <t>Deal 3406</t>
        </is>
      </c>
      <c r="BI1" s="1" t="inlineStr">
        <is>
          <t>Deal 3407</t>
        </is>
      </c>
      <c r="BS1" s="1" t="inlineStr">
        <is>
          <t>Deal 3408</t>
        </is>
      </c>
      <c r="CC1" s="1" t="inlineStr">
        <is>
          <t>Deal 3409</t>
        </is>
      </c>
      <c r="CM1" s="1" t="inlineStr">
        <is>
          <t>Deal 3410</t>
        </is>
      </c>
      <c r="CW1" s="1" t="inlineStr">
        <is>
          <t>Deal 3411</t>
        </is>
      </c>
      <c r="DG1" s="1" t="inlineStr">
        <is>
          <t>Deal 3412</t>
        </is>
      </c>
      <c r="DQ1" s="1" t="inlineStr">
        <is>
          <t>Deal 3413</t>
        </is>
      </c>
      <c r="EA1" s="1" t="inlineStr">
        <is>
          <t>Deal 3414</t>
        </is>
      </c>
      <c r="EK1" s="1" t="inlineStr">
        <is>
          <t>Deal 3415</t>
        </is>
      </c>
      <c r="EU1" s="1" t="inlineStr">
        <is>
          <t>Deal 3416</t>
        </is>
      </c>
      <c r="FE1" s="1" t="inlineStr">
        <is>
          <t>Deal 3417</t>
        </is>
      </c>
      <c r="FO1" s="1" t="inlineStr">
        <is>
          <t>Deal 3418</t>
        </is>
      </c>
      <c r="FY1" s="1" t="inlineStr">
        <is>
          <t>Deal 3419</t>
        </is>
      </c>
      <c r="GI1" s="1" t="inlineStr">
        <is>
          <t>Deal 3420</t>
        </is>
      </c>
      <c r="GS1" s="1" t="inlineStr">
        <is>
          <t>Deal 3421</t>
        </is>
      </c>
      <c r="HC1" s="1" t="inlineStr">
        <is>
          <t>Deal 3422</t>
        </is>
      </c>
      <c r="HM1" s="1" t="inlineStr">
        <is>
          <t>Deal 3423</t>
        </is>
      </c>
      <c r="HW1" s="1" t="inlineStr">
        <is>
          <t>Deal 3424</t>
        </is>
      </c>
      <c r="IG1" s="1" t="inlineStr">
        <is>
          <t>Deal 3425</t>
        </is>
      </c>
      <c r="IQ1" s="1" t="inlineStr">
        <is>
          <t>Deal 3426</t>
        </is>
      </c>
      <c r="JA1" s="1" t="inlineStr">
        <is>
          <t>Deal 3427</t>
        </is>
      </c>
      <c r="JK1" s="1" t="inlineStr">
        <is>
          <t>Deal 3428</t>
        </is>
      </c>
      <c r="JU1" s="1" t="inlineStr">
        <is>
          <t>Deal 3429</t>
        </is>
      </c>
      <c r="KE1" s="1" t="inlineStr">
        <is>
          <t>Deal 3430</t>
        </is>
      </c>
      <c r="KO1" s="1" t="inlineStr">
        <is>
          <t>Deal 3431</t>
        </is>
      </c>
      <c r="KY1" s="1" t="inlineStr">
        <is>
          <t>Deal 3432</t>
        </is>
      </c>
      <c r="LI1" s="1" t="inlineStr">
        <is>
          <t>Deal 3433</t>
        </is>
      </c>
      <c r="LS1" s="1" t="inlineStr">
        <is>
          <t>Deal 3434</t>
        </is>
      </c>
      <c r="MC1" s="1" t="inlineStr">
        <is>
          <t>Deal 3435</t>
        </is>
      </c>
      <c r="MM1" s="1" t="inlineStr">
        <is>
          <t>Deal 3436</t>
        </is>
      </c>
      <c r="MW1" s="1" t="inlineStr">
        <is>
          <t>Deal 3437</t>
        </is>
      </c>
      <c r="NG1" s="1" t="inlineStr">
        <is>
          <t>Deal 3438</t>
        </is>
      </c>
      <c r="NQ1" s="1" t="inlineStr">
        <is>
          <t>Deal 3439</t>
        </is>
      </c>
      <c r="OA1" s="1" t="inlineStr">
        <is>
          <t>Deal 3440</t>
        </is>
      </c>
    </row>
    <row r="2">
      <c r="A2" s="2" t="inlineStr">
        <is>
          <t>AMNB US Equity</t>
        </is>
      </c>
      <c r="K2" s="2" t="inlineStr">
        <is>
          <t>MSCC US Equity</t>
        </is>
      </c>
      <c r="U2" s="2" t="inlineStr">
        <is>
          <t>GME US Equity</t>
        </is>
      </c>
      <c r="AE2" s="2" t="inlineStr">
        <is>
          <t>0544801D US Equity</t>
        </is>
      </c>
      <c r="AO2" s="2" t="inlineStr">
        <is>
          <t>2119228Q US Equity</t>
        </is>
      </c>
      <c r="AY2" s="2" t="inlineStr">
        <is>
          <t>1436225D US Equity</t>
        </is>
      </c>
      <c r="BI2" s="2" t="inlineStr">
        <is>
          <t>FMNB US Equity</t>
        </is>
      </c>
      <c r="BS2" s="2" t="inlineStr">
        <is>
          <t>HLYW US Equity</t>
        </is>
      </c>
      <c r="CC2" s="2" t="inlineStr">
        <is>
          <t>HBNC US Equity</t>
        </is>
      </c>
      <c r="CM2" s="2" t="inlineStr">
        <is>
          <t>538087Q US Equity</t>
        </is>
      </c>
      <c r="CW2" s="2" t="inlineStr">
        <is>
          <t>MSI US Equity</t>
        </is>
      </c>
      <c r="DG2" s="2" t="inlineStr">
        <is>
          <t>NCOG US Equity</t>
        </is>
      </c>
      <c r="DQ2" s="2" t="inlineStr">
        <is>
          <t>HPQ US Equity</t>
        </is>
      </c>
      <c r="EA2" s="2" t="inlineStr">
        <is>
          <t>JAS US Equity</t>
        </is>
      </c>
      <c r="EK2" s="2" t="inlineStr">
        <is>
          <t>TRN US Equity</t>
        </is>
      </c>
      <c r="EU2" s="2" t="inlineStr">
        <is>
          <t>MAFB US Equity</t>
        </is>
      </c>
      <c r="FE2" s="2" t="inlineStr">
        <is>
          <t>HC US Equity</t>
        </is>
      </c>
      <c r="FO2" s="2" t="inlineStr">
        <is>
          <t>PBCT US Equity</t>
        </is>
      </c>
      <c r="FY2" s="2" t="inlineStr">
        <is>
          <t>FFIC US Equity</t>
        </is>
      </c>
      <c r="GI2" s="2" t="inlineStr">
        <is>
          <t>WAFD US Equity</t>
        </is>
      </c>
      <c r="GS2" s="2" t="inlineStr">
        <is>
          <t>SUPR US Equity</t>
        </is>
      </c>
      <c r="HC2" s="2" t="inlineStr">
        <is>
          <t>662053Q US Equity</t>
        </is>
      </c>
      <c r="HM2" s="2" t="inlineStr">
        <is>
          <t>UB US Equity</t>
        </is>
      </c>
      <c r="HW2" s="2" t="inlineStr">
        <is>
          <t>HBAN US Equity</t>
        </is>
      </c>
      <c r="IG2" s="2" t="inlineStr">
        <is>
          <t>UBSI US Equity</t>
        </is>
      </c>
      <c r="IQ2" s="2" t="inlineStr">
        <is>
          <t>1023761D US Equity</t>
        </is>
      </c>
      <c r="JA2" s="2" t="inlineStr">
        <is>
          <t>GBCI US Equity</t>
        </is>
      </c>
      <c r="JK2" s="2" t="inlineStr">
        <is>
          <t>IBOC US Equity</t>
        </is>
      </c>
      <c r="JU2" s="2" t="inlineStr">
        <is>
          <t>BRK/A US Equity</t>
        </is>
      </c>
      <c r="KE2" s="2" t="inlineStr">
        <is>
          <t>838969Q US Equity</t>
        </is>
      </c>
      <c r="KO2" s="2" t="inlineStr">
        <is>
          <t>FNB US Equity</t>
        </is>
      </c>
      <c r="KY2" s="2" t="inlineStr">
        <is>
          <t>2860436Q US Equity</t>
        </is>
      </c>
      <c r="LI2" s="2" t="inlineStr">
        <is>
          <t>8277831Q US Equity</t>
        </is>
      </c>
      <c r="LS2" s="2" t="inlineStr">
        <is>
          <t>SPLP US Equity</t>
        </is>
      </c>
      <c r="MC2" s="2" t="inlineStr">
        <is>
          <t>1822785D US Equity</t>
        </is>
      </c>
      <c r="MM2" s="2" t="inlineStr">
        <is>
          <t>BNCN US Equity</t>
        </is>
      </c>
      <c r="MW2" s="2" t="inlineStr">
        <is>
          <t>ALAB US Equity</t>
        </is>
      </c>
      <c r="NG2" s="2" t="inlineStr">
        <is>
          <t>MLI US Equity</t>
        </is>
      </c>
      <c r="NQ2" s="2" t="inlineStr">
        <is>
          <t>KWD US Equity</t>
        </is>
      </c>
      <c r="OA2" s="2" t="inlineStr">
        <is>
          <t>ITGR US Equity</t>
        </is>
      </c>
    </row>
    <row r="3">
      <c r="A3" t="inlineStr">
        <is>
          <t>Ann: 2018-10-01</t>
        </is>
      </c>
      <c r="K3" t="inlineStr">
        <is>
          <t>Ann: 2010-03-30</t>
        </is>
      </c>
      <c r="U3" t="inlineStr">
        <is>
          <t>Ann: 2015-05-26</t>
        </is>
      </c>
      <c r="AE3" t="inlineStr">
        <is>
          <t>Ann: 1998-08-27</t>
        </is>
      </c>
      <c r="AO3" t="inlineStr">
        <is>
          <t>Ann: 1998-08-07</t>
        </is>
      </c>
      <c r="AY3" t="inlineStr">
        <is>
          <t>Ann: 2003-08-04</t>
        </is>
      </c>
      <c r="BI3" t="inlineStr">
        <is>
          <t>Ann: 2021-06-23</t>
        </is>
      </c>
      <c r="BS3" t="inlineStr">
        <is>
          <t>Ann: 1998-07-30</t>
        </is>
      </c>
      <c r="CC3" t="inlineStr">
        <is>
          <t>Ann: 2016-03-10</t>
        </is>
      </c>
      <c r="CM3" t="inlineStr">
        <is>
          <t>Ann: 2003-03-31</t>
        </is>
      </c>
      <c r="CW3" t="inlineStr">
        <is>
          <t>Ann: 2001-02-21</t>
        </is>
      </c>
      <c r="DG3" t="inlineStr">
        <is>
          <t>Ann: 2003-11-18</t>
        </is>
      </c>
      <c r="DQ3" t="inlineStr">
        <is>
          <t>Ann: 2004-02-04</t>
        </is>
      </c>
      <c r="EA3" t="inlineStr">
        <is>
          <t>Ann: 1998-02-02</t>
        </is>
      </c>
      <c r="EK3" t="inlineStr">
        <is>
          <t>Ann: 2009-12-30</t>
        </is>
      </c>
      <c r="EU3" t="inlineStr">
        <is>
          <t>Ann: 2002-12-17</t>
        </is>
      </c>
      <c r="FE3" t="inlineStr">
        <is>
          <t>Ann: 2000-06-20</t>
        </is>
      </c>
      <c r="FO3" t="inlineStr">
        <is>
          <t>Ann: 2010-07-15</t>
        </is>
      </c>
      <c r="FY3" t="inlineStr">
        <is>
          <t>Ann: 2019-10-25</t>
        </is>
      </c>
      <c r="GI3" t="inlineStr">
        <is>
          <t>Ann: 2006-10-10</t>
        </is>
      </c>
      <c r="GS3" t="inlineStr">
        <is>
          <t>Ann: 2006-05-01</t>
        </is>
      </c>
      <c r="HC3" t="inlineStr">
        <is>
          <t>Ann: 2000-08-16</t>
        </is>
      </c>
      <c r="HM3" t="inlineStr">
        <is>
          <t>Ann: 2003-04-08</t>
        </is>
      </c>
      <c r="HW3" t="inlineStr">
        <is>
          <t>Ann: 2013-10-10</t>
        </is>
      </c>
      <c r="IG3" t="inlineStr">
        <is>
          <t>Ann: 1998-02-18</t>
        </is>
      </c>
      <c r="IQ3" t="inlineStr">
        <is>
          <t>Ann: 2012-06-25</t>
        </is>
      </c>
      <c r="JA3" t="inlineStr">
        <is>
          <t>Ann: 2019-09-30</t>
        </is>
      </c>
      <c r="JK3" t="inlineStr">
        <is>
          <t>Ann: 2001-07-31</t>
        </is>
      </c>
      <c r="JU3" t="inlineStr">
        <is>
          <t>Ann: 2006-08-16</t>
        </is>
      </c>
      <c r="KE3" t="inlineStr">
        <is>
          <t>Ann: 2002-12-16</t>
        </is>
      </c>
      <c r="KO3" t="inlineStr">
        <is>
          <t>Ann: 2014-04-08</t>
        </is>
      </c>
      <c r="KY3" t="inlineStr">
        <is>
          <t>Ann: 1999-07-30</t>
        </is>
      </c>
      <c r="LI3" t="inlineStr">
        <is>
          <t>Ann: 2004-12-17</t>
        </is>
      </c>
      <c r="LS3" t="inlineStr">
        <is>
          <t>Ann: 2017-03-06</t>
        </is>
      </c>
      <c r="MC3" t="inlineStr">
        <is>
          <t>Ann: 1998-01-08</t>
        </is>
      </c>
      <c r="MM3" t="inlineStr">
        <is>
          <t>Ann: 2015-08-14</t>
        </is>
      </c>
      <c r="MW3" t="inlineStr">
        <is>
          <t>Ann: 2005-10-27</t>
        </is>
      </c>
      <c r="NG3" t="inlineStr">
        <is>
          <t>Ann: 1998-08-10</t>
        </is>
      </c>
      <c r="NQ3" t="inlineStr">
        <is>
          <t>Ann: 2002-05-15</t>
        </is>
      </c>
      <c r="OA3" t="inlineStr">
        <is>
          <t>Ann: 2007-04-30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BDS("AMNB US Equity","SUPPLY_CHAIN_SUPPLIERS","RELATIONSHIP_AS_OF_DATE","20181001")</f>
        <v/>
      </c>
      <c r="F5">
        <f>BDS("AMNB US Equity","SUPPLY_CHAIN_CUSTOMERS","RELATIONSHIP_AS_OF_DATE","20181001")</f>
        <v/>
      </c>
      <c r="K5">
        <f>BDS("MSCC US Equity","SUPPLY_CHAIN_SUPPLIERS","RELATIONSHIP_AS_OF_DATE","20100330")</f>
        <v/>
      </c>
      <c r="P5">
        <f>BDS("MSCC US Equity","SUPPLY_CHAIN_CUSTOMERS","RELATIONSHIP_AS_OF_DATE","20100330")</f>
        <v/>
      </c>
      <c r="U5">
        <f>BDS("GME US Equity","SUPPLY_CHAIN_SUPPLIERS","RELATIONSHIP_AS_OF_DATE","20150526")</f>
        <v/>
      </c>
      <c r="Z5">
        <f>BDS("GME US Equity","SUPPLY_CHAIN_CUSTOMERS","RELATIONSHIP_AS_OF_DATE","20150526")</f>
        <v/>
      </c>
      <c r="AE5">
        <f>BDS("0544801D US Equity","SUPPLY_CHAIN_SUPPLIERS","RELATIONSHIP_AS_OF_DATE","19980827")</f>
        <v/>
      </c>
      <c r="AJ5">
        <f>BDS("0544801D US Equity","SUPPLY_CHAIN_CUSTOMERS","RELATIONSHIP_AS_OF_DATE","19980827")</f>
        <v/>
      </c>
      <c r="AO5">
        <f>BDS("2119228Q US Equity","SUPPLY_CHAIN_SUPPLIERS","RELATIONSHIP_AS_OF_DATE","19980807")</f>
        <v/>
      </c>
      <c r="AT5">
        <f>BDS("2119228Q US Equity","SUPPLY_CHAIN_CUSTOMERS","RELATIONSHIP_AS_OF_DATE","19980807")</f>
        <v/>
      </c>
      <c r="AY5">
        <f>BDS("1436225D US Equity","SUPPLY_CHAIN_SUPPLIERS","RELATIONSHIP_AS_OF_DATE","20030804")</f>
        <v/>
      </c>
      <c r="BD5">
        <f>BDS("1436225D US Equity","SUPPLY_CHAIN_CUSTOMERS","RELATIONSHIP_AS_OF_DATE","20030804")</f>
        <v/>
      </c>
      <c r="BI5">
        <f>BDS("FMNB US Equity","SUPPLY_CHAIN_SUPPLIERS","RELATIONSHIP_AS_OF_DATE","20210623")</f>
        <v/>
      </c>
      <c r="BN5">
        <f>BDS("FMNB US Equity","SUPPLY_CHAIN_CUSTOMERS","RELATIONSHIP_AS_OF_DATE","20210623")</f>
        <v/>
      </c>
      <c r="BS5">
        <f>BDS("HLYW US Equity","SUPPLY_CHAIN_SUPPLIERS","RELATIONSHIP_AS_OF_DATE","19980730")</f>
        <v/>
      </c>
      <c r="BX5">
        <f>BDS("HLYW US Equity","SUPPLY_CHAIN_CUSTOMERS","RELATIONSHIP_AS_OF_DATE","19980730")</f>
        <v/>
      </c>
      <c r="CC5">
        <f>BDS("HBNC US Equity","SUPPLY_CHAIN_SUPPLIERS","RELATIONSHIP_AS_OF_DATE","20160310")</f>
        <v/>
      </c>
      <c r="CH5">
        <f>BDS("HBNC US Equity","SUPPLY_CHAIN_CUSTOMERS","RELATIONSHIP_AS_OF_DATE","20160310")</f>
        <v/>
      </c>
      <c r="CM5">
        <f>BDS("538087Q US Equity","SUPPLY_CHAIN_SUPPLIERS","RELATIONSHIP_AS_OF_DATE","20030331")</f>
        <v/>
      </c>
      <c r="CR5">
        <f>BDS("538087Q US Equity","SUPPLY_CHAIN_CUSTOMERS","RELATIONSHIP_AS_OF_DATE","20030331")</f>
        <v/>
      </c>
      <c r="CW5">
        <f>BDS("MSI US Equity","SUPPLY_CHAIN_SUPPLIERS","RELATIONSHIP_AS_OF_DATE","20010221")</f>
        <v/>
      </c>
      <c r="DB5">
        <f>BDS("MSI US Equity","SUPPLY_CHAIN_CUSTOMERS","RELATIONSHIP_AS_OF_DATE","20010221")</f>
        <v/>
      </c>
      <c r="DG5">
        <f>BDS("NCOG US Equity","SUPPLY_CHAIN_SUPPLIERS","RELATIONSHIP_AS_OF_DATE","20031118")</f>
        <v/>
      </c>
      <c r="DL5">
        <f>BDS("NCOG US Equity","SUPPLY_CHAIN_CUSTOMERS","RELATIONSHIP_AS_OF_DATE","20031118")</f>
        <v/>
      </c>
      <c r="DQ5">
        <f>BDS("HPQ US Equity","SUPPLY_CHAIN_SUPPLIERS","RELATIONSHIP_AS_OF_DATE","20040204")</f>
        <v/>
      </c>
      <c r="DV5">
        <f>BDS("HPQ US Equity","SUPPLY_CHAIN_CUSTOMERS","RELATIONSHIP_AS_OF_DATE","20040204")</f>
        <v/>
      </c>
      <c r="EA5">
        <f>BDS("JAS US Equity","SUPPLY_CHAIN_SUPPLIERS","RELATIONSHIP_AS_OF_DATE","19980202")</f>
        <v/>
      </c>
      <c r="EF5">
        <f>BDS("JAS US Equity","SUPPLY_CHAIN_CUSTOMERS","RELATIONSHIP_AS_OF_DATE","19980202")</f>
        <v/>
      </c>
      <c r="EK5">
        <f>BDS("TRN US Equity","SUPPLY_CHAIN_SUPPLIERS","RELATIONSHIP_AS_OF_DATE","20091230")</f>
        <v/>
      </c>
      <c r="EP5">
        <f>BDS("TRN US Equity","SUPPLY_CHAIN_CUSTOMERS","RELATIONSHIP_AS_OF_DATE","20091230")</f>
        <v/>
      </c>
      <c r="EU5">
        <f>BDS("MAFB US Equity","SUPPLY_CHAIN_SUPPLIERS","RELATIONSHIP_AS_OF_DATE","20021217")</f>
        <v/>
      </c>
      <c r="EZ5">
        <f>BDS("MAFB US Equity","SUPPLY_CHAIN_CUSTOMERS","RELATIONSHIP_AS_OF_DATE","20021217")</f>
        <v/>
      </c>
      <c r="FE5">
        <f>BDS("HC US Equity","SUPPLY_CHAIN_SUPPLIERS","RELATIONSHIP_AS_OF_DATE","20000620")</f>
        <v/>
      </c>
      <c r="FJ5">
        <f>BDS("HC US Equity","SUPPLY_CHAIN_CUSTOMERS","RELATIONSHIP_AS_OF_DATE","20000620")</f>
        <v/>
      </c>
      <c r="FO5">
        <f>BDS("PBCT US Equity","SUPPLY_CHAIN_SUPPLIERS","RELATIONSHIP_AS_OF_DATE","20100715")</f>
        <v/>
      </c>
      <c r="FT5">
        <f>BDS("PBCT US Equity","SUPPLY_CHAIN_CUSTOMERS","RELATIONSHIP_AS_OF_DATE","20100715")</f>
        <v/>
      </c>
      <c r="FY5">
        <f>BDS("FFIC US Equity","SUPPLY_CHAIN_SUPPLIERS","RELATIONSHIP_AS_OF_DATE","20191025")</f>
        <v/>
      </c>
      <c r="GD5">
        <f>BDS("FFIC US Equity","SUPPLY_CHAIN_CUSTOMERS","RELATIONSHIP_AS_OF_DATE","20191025")</f>
        <v/>
      </c>
      <c r="GI5">
        <f>BDS("WAFD US Equity","SUPPLY_CHAIN_SUPPLIERS","RELATIONSHIP_AS_OF_DATE","20061010")</f>
        <v/>
      </c>
      <c r="GN5">
        <f>BDS("WAFD US Equity","SUPPLY_CHAIN_CUSTOMERS","RELATIONSHIP_AS_OF_DATE","20061010")</f>
        <v/>
      </c>
      <c r="GS5">
        <f>BDS("SUPR US Equity","SUPPLY_CHAIN_SUPPLIERS","RELATIONSHIP_AS_OF_DATE","20060501")</f>
        <v/>
      </c>
      <c r="GX5">
        <f>BDS("SUPR US Equity","SUPPLY_CHAIN_CUSTOMERS","RELATIONSHIP_AS_OF_DATE","20060501")</f>
        <v/>
      </c>
      <c r="HC5">
        <f>BDS("662053Q US Equity","SUPPLY_CHAIN_SUPPLIERS","RELATIONSHIP_AS_OF_DATE","20000816")</f>
        <v/>
      </c>
      <c r="HH5">
        <f>BDS("662053Q US Equity","SUPPLY_CHAIN_CUSTOMERS","RELATIONSHIP_AS_OF_DATE","20000816")</f>
        <v/>
      </c>
      <c r="HM5">
        <f>BDS("UB US Equity","SUPPLY_CHAIN_SUPPLIERS","RELATIONSHIP_AS_OF_DATE","20030408")</f>
        <v/>
      </c>
      <c r="HR5">
        <f>BDS("UB US Equity","SUPPLY_CHAIN_CUSTOMERS","RELATIONSHIP_AS_OF_DATE","20030408")</f>
        <v/>
      </c>
      <c r="HW5">
        <f>BDS("HBAN US Equity","SUPPLY_CHAIN_SUPPLIERS","RELATIONSHIP_AS_OF_DATE","20131010")</f>
        <v/>
      </c>
      <c r="IB5">
        <f>BDS("HBAN US Equity","SUPPLY_CHAIN_CUSTOMERS","RELATIONSHIP_AS_OF_DATE","20131010")</f>
        <v/>
      </c>
      <c r="IG5">
        <f>BDS("UBSI US Equity","SUPPLY_CHAIN_SUPPLIERS","RELATIONSHIP_AS_OF_DATE","19980218")</f>
        <v/>
      </c>
      <c r="IL5">
        <f>BDS("UBSI US Equity","SUPPLY_CHAIN_CUSTOMERS","RELATIONSHIP_AS_OF_DATE","19980218")</f>
        <v/>
      </c>
      <c r="IQ5">
        <f>BDS("1023761D US Equity","SUPPLY_CHAIN_SUPPLIERS","RELATIONSHIP_AS_OF_DATE","20120625")</f>
        <v/>
      </c>
      <c r="IV5">
        <f>BDS("1023761D US Equity","SUPPLY_CHAIN_CUSTOMERS","RELATIONSHIP_AS_OF_DATE","20120625")</f>
        <v/>
      </c>
      <c r="JA5">
        <f>BDS("GBCI US Equity","SUPPLY_CHAIN_SUPPLIERS","RELATIONSHIP_AS_OF_DATE","20190930")</f>
        <v/>
      </c>
      <c r="JF5">
        <f>BDS("GBCI US Equity","SUPPLY_CHAIN_CUSTOMERS","RELATIONSHIP_AS_OF_DATE","20190930")</f>
        <v/>
      </c>
      <c r="JK5">
        <f>BDS("IBOC US Equity","SUPPLY_CHAIN_SUPPLIERS","RELATIONSHIP_AS_OF_DATE","20010731")</f>
        <v/>
      </c>
      <c r="JP5">
        <f>BDS("IBOC US Equity","SUPPLY_CHAIN_CUSTOMERS","RELATIONSHIP_AS_OF_DATE","20010731")</f>
        <v/>
      </c>
      <c r="JU5">
        <f>BDS("BRK/A US Equity","SUPPLY_CHAIN_SUPPLIERS","RELATIONSHIP_AS_OF_DATE","20060816")</f>
        <v/>
      </c>
      <c r="JZ5">
        <f>BDS("BRK/A US Equity","SUPPLY_CHAIN_CUSTOMERS","RELATIONSHIP_AS_OF_DATE","20060816")</f>
        <v/>
      </c>
      <c r="KE5">
        <f>BDS("838969Q US Equity","SUPPLY_CHAIN_SUPPLIERS","RELATIONSHIP_AS_OF_DATE","20021216")</f>
        <v/>
      </c>
      <c r="KJ5">
        <f>BDS("838969Q US Equity","SUPPLY_CHAIN_CUSTOMERS","RELATIONSHIP_AS_OF_DATE","20021216")</f>
        <v/>
      </c>
      <c r="KO5">
        <f>BDS("FNB US Equity","SUPPLY_CHAIN_SUPPLIERS","RELATIONSHIP_AS_OF_DATE","20140408")</f>
        <v/>
      </c>
      <c r="KT5">
        <f>BDS("FNB US Equity","SUPPLY_CHAIN_CUSTOMERS","RELATIONSHIP_AS_OF_DATE","20140408")</f>
        <v/>
      </c>
      <c r="KY5">
        <f>BDS("2860436Q US Equity","SUPPLY_CHAIN_SUPPLIERS","RELATIONSHIP_AS_OF_DATE","19990730")</f>
        <v/>
      </c>
      <c r="LD5">
        <f>BDS("2860436Q US Equity","SUPPLY_CHAIN_CUSTOMERS","RELATIONSHIP_AS_OF_DATE","19990730")</f>
        <v/>
      </c>
      <c r="LI5">
        <f>BDS("8277831Q US Equity","SUPPLY_CHAIN_SUPPLIERS","RELATIONSHIP_AS_OF_DATE","20041217")</f>
        <v/>
      </c>
      <c r="LN5">
        <f>BDS("8277831Q US Equity","SUPPLY_CHAIN_CUSTOMERS","RELATIONSHIP_AS_OF_DATE","20041217")</f>
        <v/>
      </c>
      <c r="LS5">
        <f>BDS("SPLP US Equity","SUPPLY_CHAIN_SUPPLIERS","RELATIONSHIP_AS_OF_DATE","20170306")</f>
        <v/>
      </c>
      <c r="LX5">
        <f>BDS("SPLP US Equity","SUPPLY_CHAIN_CUSTOMERS","RELATIONSHIP_AS_OF_DATE","20170306")</f>
        <v/>
      </c>
      <c r="MC5">
        <f>BDS("1822785D US Equity","SUPPLY_CHAIN_SUPPLIERS","RELATIONSHIP_AS_OF_DATE","19980108")</f>
        <v/>
      </c>
      <c r="MH5">
        <f>BDS("1822785D US Equity","SUPPLY_CHAIN_CUSTOMERS","RELATIONSHIP_AS_OF_DATE","19980108")</f>
        <v/>
      </c>
      <c r="MM5">
        <f>BDS("BNCN US Equity","SUPPLY_CHAIN_SUPPLIERS","RELATIONSHIP_AS_OF_DATE","20150814")</f>
        <v/>
      </c>
      <c r="MR5">
        <f>BDS("BNCN US Equity","SUPPLY_CHAIN_CUSTOMERS","RELATIONSHIP_AS_OF_DATE","20150814")</f>
        <v/>
      </c>
      <c r="MW5">
        <f>BDS("ALAB US Equity","SUPPLY_CHAIN_SUPPLIERS","RELATIONSHIP_AS_OF_DATE","20051027")</f>
        <v/>
      </c>
      <c r="NB5">
        <f>BDS("ALAB US Equity","SUPPLY_CHAIN_CUSTOMERS","RELATIONSHIP_AS_OF_DATE","20051027")</f>
        <v/>
      </c>
      <c r="NG5">
        <f>BDS("MLI US Equity","SUPPLY_CHAIN_SUPPLIERS","RELATIONSHIP_AS_OF_DATE","19980810")</f>
        <v/>
      </c>
      <c r="NL5">
        <f>BDS("MLI US Equity","SUPPLY_CHAIN_CUSTOMERS","RELATIONSHIP_AS_OF_DATE","19980810")</f>
        <v/>
      </c>
      <c r="NQ5">
        <f>BDS("KWD US Equity","SUPPLY_CHAIN_SUPPLIERS","RELATIONSHIP_AS_OF_DATE","20020515")</f>
        <v/>
      </c>
      <c r="NV5">
        <f>BDS("KWD US Equity","SUPPLY_CHAIN_CUSTOMERS","RELATIONSHIP_AS_OF_DATE","20020515")</f>
        <v/>
      </c>
      <c r="OA5">
        <f>BDS("ITGR US Equity","SUPPLY_CHAIN_SUPPLIERS","RELATIONSHIP_AS_OF_DATE","20070430")</f>
        <v/>
      </c>
      <c r="OF5">
        <f>BDS("ITGR US Equity","SUPPLY_CHAIN_CUSTOMERS","RELATIONSHIP_AS_OF_DATE","20070430")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3441</t>
        </is>
      </c>
      <c r="K1" s="1" t="inlineStr">
        <is>
          <t>Deal 3442</t>
        </is>
      </c>
      <c r="U1" s="1" t="inlineStr">
        <is>
          <t>Deal 3443</t>
        </is>
      </c>
      <c r="AE1" s="1" t="inlineStr">
        <is>
          <t>Deal 3444</t>
        </is>
      </c>
      <c r="AO1" s="1" t="inlineStr">
        <is>
          <t>Deal 3445</t>
        </is>
      </c>
      <c r="AY1" s="1" t="inlineStr">
        <is>
          <t>Deal 3446</t>
        </is>
      </c>
      <c r="BI1" s="1" t="inlineStr">
        <is>
          <t>Deal 3447</t>
        </is>
      </c>
      <c r="BS1" s="1" t="inlineStr">
        <is>
          <t>Deal 3448</t>
        </is>
      </c>
      <c r="CC1" s="1" t="inlineStr">
        <is>
          <t>Deal 3449</t>
        </is>
      </c>
      <c r="CM1" s="1" t="inlineStr">
        <is>
          <t>Deal 3450</t>
        </is>
      </c>
      <c r="CW1" s="1" t="inlineStr">
        <is>
          <t>Deal 3451</t>
        </is>
      </c>
      <c r="DG1" s="1" t="inlineStr">
        <is>
          <t>Deal 3452</t>
        </is>
      </c>
      <c r="DQ1" s="1" t="inlineStr">
        <is>
          <t>Deal 3453</t>
        </is>
      </c>
      <c r="EA1" s="1" t="inlineStr">
        <is>
          <t>Deal 3454</t>
        </is>
      </c>
      <c r="EK1" s="1" t="inlineStr">
        <is>
          <t>Deal 3455</t>
        </is>
      </c>
      <c r="EU1" s="1" t="inlineStr">
        <is>
          <t>Deal 3456</t>
        </is>
      </c>
      <c r="FE1" s="1" t="inlineStr">
        <is>
          <t>Deal 3457</t>
        </is>
      </c>
      <c r="FO1" s="1" t="inlineStr">
        <is>
          <t>Deal 3458</t>
        </is>
      </c>
      <c r="FY1" s="1" t="inlineStr">
        <is>
          <t>Deal 3459</t>
        </is>
      </c>
      <c r="GI1" s="1" t="inlineStr">
        <is>
          <t>Deal 3460</t>
        </is>
      </c>
      <c r="GS1" s="1" t="inlineStr">
        <is>
          <t>Deal 3461</t>
        </is>
      </c>
      <c r="HC1" s="1" t="inlineStr">
        <is>
          <t>Deal 3462</t>
        </is>
      </c>
      <c r="HM1" s="1" t="inlineStr">
        <is>
          <t>Deal 3463</t>
        </is>
      </c>
      <c r="HW1" s="1" t="inlineStr">
        <is>
          <t>Deal 3464</t>
        </is>
      </c>
      <c r="IG1" s="1" t="inlineStr">
        <is>
          <t>Deal 3465</t>
        </is>
      </c>
      <c r="IQ1" s="1" t="inlineStr">
        <is>
          <t>Deal 3466</t>
        </is>
      </c>
      <c r="JA1" s="1" t="inlineStr">
        <is>
          <t>Deal 3467</t>
        </is>
      </c>
      <c r="JK1" s="1" t="inlineStr">
        <is>
          <t>Deal 3468</t>
        </is>
      </c>
      <c r="JU1" s="1" t="inlineStr">
        <is>
          <t>Deal 3469</t>
        </is>
      </c>
      <c r="KE1" s="1" t="inlineStr">
        <is>
          <t>Deal 3470</t>
        </is>
      </c>
      <c r="KO1" s="1" t="inlineStr">
        <is>
          <t>Deal 3471</t>
        </is>
      </c>
      <c r="KY1" s="1" t="inlineStr">
        <is>
          <t>Deal 3472</t>
        </is>
      </c>
      <c r="LI1" s="1" t="inlineStr">
        <is>
          <t>Deal 3473</t>
        </is>
      </c>
      <c r="LS1" s="1" t="inlineStr">
        <is>
          <t>Deal 3474</t>
        </is>
      </c>
      <c r="MC1" s="1" t="inlineStr">
        <is>
          <t>Deal 3475</t>
        </is>
      </c>
      <c r="MM1" s="1" t="inlineStr">
        <is>
          <t>Deal 3476</t>
        </is>
      </c>
      <c r="MW1" s="1" t="inlineStr">
        <is>
          <t>Deal 3477</t>
        </is>
      </c>
      <c r="NG1" s="1" t="inlineStr">
        <is>
          <t>Deal 3478</t>
        </is>
      </c>
      <c r="NQ1" s="1" t="inlineStr">
        <is>
          <t>Deal 3479</t>
        </is>
      </c>
      <c r="OA1" s="1" t="inlineStr">
        <is>
          <t>Deal 3480</t>
        </is>
      </c>
    </row>
    <row r="2">
      <c r="A2" s="2" t="inlineStr">
        <is>
          <t>ZION US Equity</t>
        </is>
      </c>
      <c r="K2" s="2" t="inlineStr">
        <is>
          <t>1255173D US Equity</t>
        </is>
      </c>
      <c r="U2" s="2" t="inlineStr">
        <is>
          <t>MOFG US Equity</t>
        </is>
      </c>
      <c r="AE2" s="2" t="inlineStr">
        <is>
          <t>TSCPQ US Equity</t>
        </is>
      </c>
      <c r="AO2" s="2" t="inlineStr">
        <is>
          <t>FCBN US Equity</t>
        </is>
      </c>
      <c r="AY2" s="2" t="inlineStr">
        <is>
          <t>ZAYO US Equity</t>
        </is>
      </c>
      <c r="BI2" s="2" t="inlineStr">
        <is>
          <t>KRNY US Equity</t>
        </is>
      </c>
      <c r="BS2" s="2" t="inlineStr">
        <is>
          <t>CUNB US Equity</t>
        </is>
      </c>
      <c r="CC2" s="2" t="inlineStr">
        <is>
          <t>TSICQ US Equity</t>
        </is>
      </c>
      <c r="CM2" s="2" t="inlineStr">
        <is>
          <t>BNCN US Equity</t>
        </is>
      </c>
      <c r="CW2" s="2" t="inlineStr">
        <is>
          <t>WSBC US Equity</t>
        </is>
      </c>
      <c r="DG2" s="2" t="inlineStr">
        <is>
          <t>CRLL US Equity</t>
        </is>
      </c>
      <c r="DQ2" s="2" t="inlineStr">
        <is>
          <t>ITG US Equity</t>
        </is>
      </c>
      <c r="EA2" s="2" t="inlineStr">
        <is>
          <t>TSFG US Equity</t>
        </is>
      </c>
      <c r="EK2" s="2" t="inlineStr">
        <is>
          <t>NETM US Equity</t>
        </is>
      </c>
      <c r="EU2" s="2" t="inlineStr">
        <is>
          <t>TDY US Equity</t>
        </is>
      </c>
      <c r="FE2" s="2" t="inlineStr">
        <is>
          <t>1715651D US Equity</t>
        </is>
      </c>
      <c r="FO2" s="2" t="inlineStr">
        <is>
          <t>KROL US Equity</t>
        </is>
      </c>
      <c r="FY2" s="2" t="inlineStr">
        <is>
          <t>KNBT US Equity</t>
        </is>
      </c>
      <c r="GI2" s="2" t="inlineStr">
        <is>
          <t>601238Q US Equity</t>
        </is>
      </c>
      <c r="GS2" s="2" t="inlineStr">
        <is>
          <t>UNBJ US Equity</t>
        </is>
      </c>
      <c r="HC2" s="2" t="inlineStr">
        <is>
          <t>1431816D US Equity</t>
        </is>
      </c>
      <c r="HM2" s="2" t="inlineStr">
        <is>
          <t>FULT US Equity</t>
        </is>
      </c>
      <c r="HW2" s="2" t="inlineStr">
        <is>
          <t>NBTB US Equity</t>
        </is>
      </c>
      <c r="IG2" s="2" t="inlineStr">
        <is>
          <t>764144Q US Equity</t>
        </is>
      </c>
      <c r="IQ2" s="2" t="inlineStr">
        <is>
          <t>FULT US Equity</t>
        </is>
      </c>
      <c r="JA2" s="2" t="inlineStr">
        <is>
          <t>WSFS US Equity</t>
        </is>
      </c>
      <c r="JK2" s="2" t="inlineStr">
        <is>
          <t>TMO US Equity</t>
        </is>
      </c>
      <c r="JU2" s="2" t="inlineStr">
        <is>
          <t>VRSOQ US Equity</t>
        </is>
      </c>
      <c r="KE2" s="2" t="inlineStr">
        <is>
          <t>INTC US Equity</t>
        </is>
      </c>
      <c r="KO2" s="2" t="inlineStr">
        <is>
          <t>TARRQ US Equity</t>
        </is>
      </c>
      <c r="KY2" s="2" t="inlineStr">
        <is>
          <t>CHCO US Equity</t>
        </is>
      </c>
      <c r="LI2" s="2" t="inlineStr">
        <is>
          <t>8215820Q US Equity</t>
        </is>
      </c>
      <c r="LS2" s="2" t="inlineStr">
        <is>
          <t>FMBH US Equity</t>
        </is>
      </c>
      <c r="MC2" s="2" t="inlineStr">
        <is>
          <t>0977894D US Equity</t>
        </is>
      </c>
      <c r="MM2" s="2" t="inlineStr">
        <is>
          <t>GBBK US Equity</t>
        </is>
      </c>
      <c r="MW2" s="2" t="inlineStr">
        <is>
          <t>MTTB US Equity</t>
        </is>
      </c>
      <c r="NG2" s="2" t="inlineStr">
        <is>
          <t>NOVL US Equity</t>
        </is>
      </c>
      <c r="NQ2" s="2" t="inlineStr">
        <is>
          <t>BOKF US Equity</t>
        </is>
      </c>
      <c r="OA2" s="2" t="inlineStr">
        <is>
          <t>COFS US Equity</t>
        </is>
      </c>
    </row>
    <row r="3">
      <c r="A3" t="inlineStr">
        <is>
          <t>Ann: 1998-03-25</t>
        </is>
      </c>
      <c r="K3" t="inlineStr">
        <is>
          <t>Ann: 2000-09-01</t>
        </is>
      </c>
      <c r="U3" t="inlineStr">
        <is>
          <t>Ann: 2007-09-12</t>
        </is>
      </c>
      <c r="AE3" t="inlineStr">
        <is>
          <t>Ann: 1999-12-01</t>
        </is>
      </c>
      <c r="AO3" t="inlineStr">
        <is>
          <t>Ann: 2008-06-26</t>
        </is>
      </c>
      <c r="AY3" t="inlineStr">
        <is>
          <t>Ann: 2009-05-28</t>
        </is>
      </c>
      <c r="BI3" t="inlineStr">
        <is>
          <t>Ann: 2019-12-18</t>
        </is>
      </c>
      <c r="BS3" t="inlineStr">
        <is>
          <t>Ann: 2014-06-03</t>
        </is>
      </c>
      <c r="CC3" t="inlineStr">
        <is>
          <t>Ann: 1998-05-04</t>
        </is>
      </c>
      <c r="CM3" t="inlineStr">
        <is>
          <t>Ann: 2014-11-17</t>
        </is>
      </c>
      <c r="CW3" t="inlineStr">
        <is>
          <t>Ann: 2017-11-13</t>
        </is>
      </c>
      <c r="DG3" t="inlineStr">
        <is>
          <t>Ann: 1998-06-04</t>
        </is>
      </c>
      <c r="DQ3" t="inlineStr">
        <is>
          <t>Ann: 2002-02-28</t>
        </is>
      </c>
      <c r="EA3" t="inlineStr">
        <is>
          <t>Ann: 2004-10-27</t>
        </is>
      </c>
      <c r="EK3" t="inlineStr">
        <is>
          <t>Ann: 1999-10-21</t>
        </is>
      </c>
      <c r="EU3" t="inlineStr">
        <is>
          <t>Ann: 2004-04-08</t>
        </is>
      </c>
      <c r="FE3" t="inlineStr">
        <is>
          <t>Ann: 1999-10-05</t>
        </is>
      </c>
      <c r="FO3" t="inlineStr">
        <is>
          <t>Ann: 2003-06-24</t>
        </is>
      </c>
      <c r="FY3" t="inlineStr">
        <is>
          <t>Ann: 2004-12-09</t>
        </is>
      </c>
      <c r="GI3" t="inlineStr">
        <is>
          <t>Ann: 1998-10-07</t>
        </is>
      </c>
      <c r="GS3" t="inlineStr">
        <is>
          <t>Ann: 1998-09-22</t>
        </is>
      </c>
      <c r="HC3" t="inlineStr">
        <is>
          <t>Ann: 1999-02-22</t>
        </is>
      </c>
      <c r="HM3" t="inlineStr">
        <is>
          <t>Ann: 2005-01-11</t>
        </is>
      </c>
      <c r="HW3" t="inlineStr">
        <is>
          <t>Ann: 1999-12-08</t>
        </is>
      </c>
      <c r="IG3" t="inlineStr">
        <is>
          <t>Ann: 2003-02-05</t>
        </is>
      </c>
      <c r="IQ3" t="inlineStr">
        <is>
          <t>Ann: 2003-01-16</t>
        </is>
      </c>
      <c r="JA3" t="inlineStr">
        <is>
          <t>Ann: 2015-03-03</t>
        </is>
      </c>
      <c r="JK3" t="inlineStr">
        <is>
          <t>Ann: 1998-08-12</t>
        </is>
      </c>
      <c r="JU3" t="inlineStr">
        <is>
          <t>Ann: 2000-06-13</t>
        </is>
      </c>
      <c r="KE3" t="inlineStr">
        <is>
          <t>Ann: 1998-10-19</t>
        </is>
      </c>
      <c r="KO3" t="inlineStr">
        <is>
          <t>Ann: 1998-02-19</t>
        </is>
      </c>
      <c r="KY3" t="inlineStr">
        <is>
          <t>Ann: 2018-07-11</t>
        </is>
      </c>
      <c r="LI3" t="inlineStr">
        <is>
          <t>Ann: 2000-11-01</t>
        </is>
      </c>
      <c r="LS3" t="inlineStr">
        <is>
          <t>Ann: 2016-04-26</t>
        </is>
      </c>
      <c r="MC3" t="inlineStr">
        <is>
          <t>Ann: 2012-05-31</t>
        </is>
      </c>
      <c r="MM3" t="inlineStr">
        <is>
          <t>Ann: 2000-01-27</t>
        </is>
      </c>
      <c r="MW3" t="inlineStr">
        <is>
          <t>Ann: 1998-01-30</t>
        </is>
      </c>
      <c r="NG3" t="inlineStr">
        <is>
          <t>Ann: 2002-06-10</t>
        </is>
      </c>
      <c r="NQ3" t="inlineStr">
        <is>
          <t>Ann: 2000-08-21</t>
        </is>
      </c>
      <c r="OA3" t="inlineStr">
        <is>
          <t>Ann: 2019-03-25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BDS("ZION US Equity","SUPPLY_CHAIN_SUPPLIERS","RELATIONSHIP_AS_OF_DATE","19980325")</f>
        <v/>
      </c>
      <c r="F5">
        <f>BDS("ZION US Equity","SUPPLY_CHAIN_CUSTOMERS","RELATIONSHIP_AS_OF_DATE","19980325")</f>
        <v/>
      </c>
      <c r="K5">
        <f>BDS("1255173D US Equity","SUPPLY_CHAIN_SUPPLIERS","RELATIONSHIP_AS_OF_DATE","20000901")</f>
        <v/>
      </c>
      <c r="P5">
        <f>BDS("1255173D US Equity","SUPPLY_CHAIN_CUSTOMERS","RELATIONSHIP_AS_OF_DATE","20000901")</f>
        <v/>
      </c>
      <c r="U5">
        <f>BDS("MOFG US Equity","SUPPLY_CHAIN_SUPPLIERS","RELATIONSHIP_AS_OF_DATE","20070912")</f>
        <v/>
      </c>
      <c r="Z5">
        <f>BDS("MOFG US Equity","SUPPLY_CHAIN_CUSTOMERS","RELATIONSHIP_AS_OF_DATE","20070912")</f>
        <v/>
      </c>
      <c r="AE5">
        <f>BDS("TSCPQ US Equity","SUPPLY_CHAIN_SUPPLIERS","RELATIONSHIP_AS_OF_DATE","19991201")</f>
        <v/>
      </c>
      <c r="AJ5">
        <f>BDS("TSCPQ US Equity","SUPPLY_CHAIN_CUSTOMERS","RELATIONSHIP_AS_OF_DATE","19991201")</f>
        <v/>
      </c>
      <c r="AO5">
        <f>BDS("FCBN US Equity","SUPPLY_CHAIN_SUPPLIERS","RELATIONSHIP_AS_OF_DATE","20080626")</f>
        <v/>
      </c>
      <c r="AT5">
        <f>BDS("FCBN US Equity","SUPPLY_CHAIN_CUSTOMERS","RELATIONSHIP_AS_OF_DATE","20080626")</f>
        <v/>
      </c>
      <c r="AY5">
        <f>BDS("ZAYO US Equity","SUPPLY_CHAIN_SUPPLIERS","RELATIONSHIP_AS_OF_DATE","20090528")</f>
        <v/>
      </c>
      <c r="BD5">
        <f>BDS("ZAYO US Equity","SUPPLY_CHAIN_CUSTOMERS","RELATIONSHIP_AS_OF_DATE","20090528")</f>
        <v/>
      </c>
      <c r="BI5">
        <f>BDS("KRNY US Equity","SUPPLY_CHAIN_SUPPLIERS","RELATIONSHIP_AS_OF_DATE","20191218")</f>
        <v/>
      </c>
      <c r="BN5">
        <f>BDS("KRNY US Equity","SUPPLY_CHAIN_CUSTOMERS","RELATIONSHIP_AS_OF_DATE","20191218")</f>
        <v/>
      </c>
      <c r="BS5">
        <f>BDS("CUNB US Equity","SUPPLY_CHAIN_SUPPLIERS","RELATIONSHIP_AS_OF_DATE","20140603")</f>
        <v/>
      </c>
      <c r="BX5">
        <f>BDS("CUNB US Equity","SUPPLY_CHAIN_CUSTOMERS","RELATIONSHIP_AS_OF_DATE","20140603")</f>
        <v/>
      </c>
      <c r="CC5">
        <f>BDS("TSICQ US Equity","SUPPLY_CHAIN_SUPPLIERS","RELATIONSHIP_AS_OF_DATE","19980504")</f>
        <v/>
      </c>
      <c r="CH5">
        <f>BDS("TSICQ US Equity","SUPPLY_CHAIN_CUSTOMERS","RELATIONSHIP_AS_OF_DATE","19980504")</f>
        <v/>
      </c>
      <c r="CM5">
        <f>BDS("BNCN US Equity","SUPPLY_CHAIN_SUPPLIERS","RELATIONSHIP_AS_OF_DATE","20141117")</f>
        <v/>
      </c>
      <c r="CR5">
        <f>BDS("BNCN US Equity","SUPPLY_CHAIN_CUSTOMERS","RELATIONSHIP_AS_OF_DATE","20141117")</f>
        <v/>
      </c>
      <c r="CW5">
        <f>BDS("WSBC US Equity","SUPPLY_CHAIN_SUPPLIERS","RELATIONSHIP_AS_OF_DATE","20171113")</f>
        <v/>
      </c>
      <c r="DB5">
        <f>BDS("WSBC US Equity","SUPPLY_CHAIN_CUSTOMERS","RELATIONSHIP_AS_OF_DATE","20171113")</f>
        <v/>
      </c>
      <c r="DG5">
        <f>BDS("CRLL US Equity","SUPPLY_CHAIN_SUPPLIERS","RELATIONSHIP_AS_OF_DATE","19980604")</f>
        <v/>
      </c>
      <c r="DL5">
        <f>BDS("CRLL US Equity","SUPPLY_CHAIN_CUSTOMERS","RELATIONSHIP_AS_OF_DATE","19980604")</f>
        <v/>
      </c>
      <c r="DQ5">
        <f>BDS("ITG US Equity","SUPPLY_CHAIN_SUPPLIERS","RELATIONSHIP_AS_OF_DATE","20020228")</f>
        <v/>
      </c>
      <c r="DV5">
        <f>BDS("ITG US Equity","SUPPLY_CHAIN_CUSTOMERS","RELATIONSHIP_AS_OF_DATE","20020228")</f>
        <v/>
      </c>
      <c r="EA5">
        <f>BDS("TSFG US Equity","SUPPLY_CHAIN_SUPPLIERS","RELATIONSHIP_AS_OF_DATE","20041027")</f>
        <v/>
      </c>
      <c r="EF5">
        <f>BDS("TSFG US Equity","SUPPLY_CHAIN_CUSTOMERS","RELATIONSHIP_AS_OF_DATE","20041027")</f>
        <v/>
      </c>
      <c r="EK5">
        <f>BDS("NETM US Equity","SUPPLY_CHAIN_SUPPLIERS","RELATIONSHIP_AS_OF_DATE","19991021")</f>
        <v/>
      </c>
      <c r="EP5">
        <f>BDS("NETM US Equity","SUPPLY_CHAIN_CUSTOMERS","RELATIONSHIP_AS_OF_DATE","19991021")</f>
        <v/>
      </c>
      <c r="EU5">
        <f>BDS("TDY US Equity","SUPPLY_CHAIN_SUPPLIERS","RELATIONSHIP_AS_OF_DATE","20040408")</f>
        <v/>
      </c>
      <c r="EZ5">
        <f>BDS("TDY US Equity","SUPPLY_CHAIN_CUSTOMERS","RELATIONSHIP_AS_OF_DATE","20040408")</f>
        <v/>
      </c>
      <c r="FE5">
        <f>BDS("1715651D US Equity","SUPPLY_CHAIN_SUPPLIERS","RELATIONSHIP_AS_OF_DATE","19991005")</f>
        <v/>
      </c>
      <c r="FJ5">
        <f>BDS("1715651D US Equity","SUPPLY_CHAIN_CUSTOMERS","RELATIONSHIP_AS_OF_DATE","19991005")</f>
        <v/>
      </c>
      <c r="FO5">
        <f>BDS("KROL US Equity","SUPPLY_CHAIN_SUPPLIERS","RELATIONSHIP_AS_OF_DATE","20030624")</f>
        <v/>
      </c>
      <c r="FT5">
        <f>BDS("KROL US Equity","SUPPLY_CHAIN_CUSTOMERS","RELATIONSHIP_AS_OF_DATE","20030624")</f>
        <v/>
      </c>
      <c r="FY5">
        <f>BDS("KNBT US Equity","SUPPLY_CHAIN_SUPPLIERS","RELATIONSHIP_AS_OF_DATE","20041209")</f>
        <v/>
      </c>
      <c r="GD5">
        <f>BDS("KNBT US Equity","SUPPLY_CHAIN_CUSTOMERS","RELATIONSHIP_AS_OF_DATE","20041209")</f>
        <v/>
      </c>
      <c r="GI5">
        <f>BDS("601238Q US Equity","SUPPLY_CHAIN_SUPPLIERS","RELATIONSHIP_AS_OF_DATE","19981007")</f>
        <v/>
      </c>
      <c r="GN5">
        <f>BDS("601238Q US Equity","SUPPLY_CHAIN_CUSTOMERS","RELATIONSHIP_AS_OF_DATE","19981007")</f>
        <v/>
      </c>
      <c r="GS5">
        <f>BDS("UNBJ US Equity","SUPPLY_CHAIN_SUPPLIERS","RELATIONSHIP_AS_OF_DATE","19980922")</f>
        <v/>
      </c>
      <c r="GX5">
        <f>BDS("UNBJ US Equity","SUPPLY_CHAIN_CUSTOMERS","RELATIONSHIP_AS_OF_DATE","19980922")</f>
        <v/>
      </c>
      <c r="HC5">
        <f>BDS("1431816D US Equity","SUPPLY_CHAIN_SUPPLIERS","RELATIONSHIP_AS_OF_DATE","19990222")</f>
        <v/>
      </c>
      <c r="HH5">
        <f>BDS("1431816D US Equity","SUPPLY_CHAIN_CUSTOMERS","RELATIONSHIP_AS_OF_DATE","19990222")</f>
        <v/>
      </c>
      <c r="HM5">
        <f>BDS("FULT US Equity","SUPPLY_CHAIN_SUPPLIERS","RELATIONSHIP_AS_OF_DATE","20050111")</f>
        <v/>
      </c>
      <c r="HR5">
        <f>BDS("FULT US Equity","SUPPLY_CHAIN_CUSTOMERS","RELATIONSHIP_AS_OF_DATE","20050111")</f>
        <v/>
      </c>
      <c r="HW5">
        <f>BDS("NBTB US Equity","SUPPLY_CHAIN_SUPPLIERS","RELATIONSHIP_AS_OF_DATE","19991208")</f>
        <v/>
      </c>
      <c r="IB5">
        <f>BDS("NBTB US Equity","SUPPLY_CHAIN_CUSTOMERS","RELATIONSHIP_AS_OF_DATE","19991208")</f>
        <v/>
      </c>
      <c r="IG5">
        <f>BDS("764144Q US Equity","SUPPLY_CHAIN_SUPPLIERS","RELATIONSHIP_AS_OF_DATE","20030205")</f>
        <v/>
      </c>
      <c r="IL5">
        <f>BDS("764144Q US Equity","SUPPLY_CHAIN_CUSTOMERS","RELATIONSHIP_AS_OF_DATE","20030205")</f>
        <v/>
      </c>
      <c r="IQ5">
        <f>BDS("FULT US Equity","SUPPLY_CHAIN_SUPPLIERS","RELATIONSHIP_AS_OF_DATE","20030116")</f>
        <v/>
      </c>
      <c r="IV5">
        <f>BDS("FULT US Equity","SUPPLY_CHAIN_CUSTOMERS","RELATIONSHIP_AS_OF_DATE","20030116")</f>
        <v/>
      </c>
      <c r="JA5">
        <f>BDS("WSFS US Equity","SUPPLY_CHAIN_SUPPLIERS","RELATIONSHIP_AS_OF_DATE","20150303")</f>
        <v/>
      </c>
      <c r="JF5">
        <f>BDS("WSFS US Equity","SUPPLY_CHAIN_CUSTOMERS","RELATIONSHIP_AS_OF_DATE","20150303")</f>
        <v/>
      </c>
      <c r="JK5">
        <f>BDS("TMO US Equity","SUPPLY_CHAIN_SUPPLIERS","RELATIONSHIP_AS_OF_DATE","19980812")</f>
        <v/>
      </c>
      <c r="JP5">
        <f>BDS("TMO US Equity","SUPPLY_CHAIN_CUSTOMERS","RELATIONSHIP_AS_OF_DATE","19980812")</f>
        <v/>
      </c>
      <c r="JU5">
        <f>BDS("VRSOQ US Equity","SUPPLY_CHAIN_SUPPLIERS","RELATIONSHIP_AS_OF_DATE","20000613")</f>
        <v/>
      </c>
      <c r="JZ5">
        <f>BDS("VRSOQ US Equity","SUPPLY_CHAIN_CUSTOMERS","RELATIONSHIP_AS_OF_DATE","20000613")</f>
        <v/>
      </c>
      <c r="KE5">
        <f>BDS("INTC US Equity","SUPPLY_CHAIN_SUPPLIERS","RELATIONSHIP_AS_OF_DATE","19981019")</f>
        <v/>
      </c>
      <c r="KJ5">
        <f>BDS("INTC US Equity","SUPPLY_CHAIN_CUSTOMERS","RELATIONSHIP_AS_OF_DATE","19981019")</f>
        <v/>
      </c>
      <c r="KO5">
        <f>BDS("TARRQ US Equity","SUPPLY_CHAIN_SUPPLIERS","RELATIONSHIP_AS_OF_DATE","19980219")</f>
        <v/>
      </c>
      <c r="KT5">
        <f>BDS("TARRQ US Equity","SUPPLY_CHAIN_CUSTOMERS","RELATIONSHIP_AS_OF_DATE","19980219")</f>
        <v/>
      </c>
      <c r="KY5">
        <f>BDS("CHCO US Equity","SUPPLY_CHAIN_SUPPLIERS","RELATIONSHIP_AS_OF_DATE","20180711")</f>
        <v/>
      </c>
      <c r="LD5">
        <f>BDS("CHCO US Equity","SUPPLY_CHAIN_CUSTOMERS","RELATIONSHIP_AS_OF_DATE","20180711")</f>
        <v/>
      </c>
      <c r="LI5">
        <f>BDS("8215820Q US Equity","SUPPLY_CHAIN_SUPPLIERS","RELATIONSHIP_AS_OF_DATE","20001101")</f>
        <v/>
      </c>
      <c r="LN5">
        <f>BDS("8215820Q US Equity","SUPPLY_CHAIN_CUSTOMERS","RELATIONSHIP_AS_OF_DATE","20001101")</f>
        <v/>
      </c>
      <c r="LS5">
        <f>BDS("FMBH US Equity","SUPPLY_CHAIN_SUPPLIERS","RELATIONSHIP_AS_OF_DATE","20160426")</f>
        <v/>
      </c>
      <c r="LX5">
        <f>BDS("FMBH US Equity","SUPPLY_CHAIN_CUSTOMERS","RELATIONSHIP_AS_OF_DATE","20160426")</f>
        <v/>
      </c>
      <c r="MC5">
        <f>BDS("0977894D US Equity","SUPPLY_CHAIN_SUPPLIERS","RELATIONSHIP_AS_OF_DATE","20120531")</f>
        <v/>
      </c>
      <c r="MH5">
        <f>BDS("0977894D US Equity","SUPPLY_CHAIN_CUSTOMERS","RELATIONSHIP_AS_OF_DATE","20120531")</f>
        <v/>
      </c>
      <c r="MM5">
        <f>BDS("GBBK US Equity","SUPPLY_CHAIN_SUPPLIERS","RELATIONSHIP_AS_OF_DATE","20000127")</f>
        <v/>
      </c>
      <c r="MR5">
        <f>BDS("GBBK US Equity","SUPPLY_CHAIN_CUSTOMERS","RELATIONSHIP_AS_OF_DATE","20000127")</f>
        <v/>
      </c>
      <c r="MW5">
        <f>BDS("MTTB US Equity","SUPPLY_CHAIN_SUPPLIERS","RELATIONSHIP_AS_OF_DATE","19980130")</f>
        <v/>
      </c>
      <c r="NB5">
        <f>BDS("MTTB US Equity","SUPPLY_CHAIN_CUSTOMERS","RELATIONSHIP_AS_OF_DATE","19980130")</f>
        <v/>
      </c>
      <c r="NG5">
        <f>BDS("NOVL US Equity","SUPPLY_CHAIN_SUPPLIERS","RELATIONSHIP_AS_OF_DATE","20020610")</f>
        <v/>
      </c>
      <c r="NL5">
        <f>BDS("NOVL US Equity","SUPPLY_CHAIN_CUSTOMERS","RELATIONSHIP_AS_OF_DATE","20020610")</f>
        <v/>
      </c>
      <c r="NQ5">
        <f>BDS("BOKF US Equity","SUPPLY_CHAIN_SUPPLIERS","RELATIONSHIP_AS_OF_DATE","20000821")</f>
        <v/>
      </c>
      <c r="NV5">
        <f>BDS("BOKF US Equity","SUPPLY_CHAIN_CUSTOMERS","RELATIONSHIP_AS_OF_DATE","20000821")</f>
        <v/>
      </c>
      <c r="OA5">
        <f>BDS("COFS US Equity","SUPPLY_CHAIN_SUPPLIERS","RELATIONSHIP_AS_OF_DATE","20190325")</f>
        <v/>
      </c>
      <c r="OF5">
        <f>BDS("COFS US Equity","SUPPLY_CHAIN_CUSTOMERS","RELATIONSHIP_AS_OF_DATE","20190325")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3481</t>
        </is>
      </c>
      <c r="K1" s="1" t="inlineStr">
        <is>
          <t>Deal 3482</t>
        </is>
      </c>
      <c r="U1" s="1" t="inlineStr">
        <is>
          <t>Deal 3483</t>
        </is>
      </c>
      <c r="AE1" s="1" t="inlineStr">
        <is>
          <t>Deal 3484</t>
        </is>
      </c>
      <c r="AO1" s="1" t="inlineStr">
        <is>
          <t>Deal 3485</t>
        </is>
      </c>
      <c r="AY1" s="1" t="inlineStr">
        <is>
          <t>Deal 3486</t>
        </is>
      </c>
      <c r="BI1" s="1" t="inlineStr">
        <is>
          <t>Deal 3487</t>
        </is>
      </c>
      <c r="BS1" s="1" t="inlineStr">
        <is>
          <t>Deal 3488</t>
        </is>
      </c>
      <c r="CC1" s="1" t="inlineStr">
        <is>
          <t>Deal 3489</t>
        </is>
      </c>
      <c r="CM1" s="1" t="inlineStr">
        <is>
          <t>Deal 3490</t>
        </is>
      </c>
      <c r="CW1" s="1" t="inlineStr">
        <is>
          <t>Deal 3491</t>
        </is>
      </c>
      <c r="DG1" s="1" t="inlineStr">
        <is>
          <t>Deal 3492</t>
        </is>
      </c>
      <c r="DQ1" s="1" t="inlineStr">
        <is>
          <t>Deal 3493</t>
        </is>
      </c>
      <c r="EA1" s="1" t="inlineStr">
        <is>
          <t>Deal 3494</t>
        </is>
      </c>
      <c r="EK1" s="1" t="inlineStr">
        <is>
          <t>Deal 3495</t>
        </is>
      </c>
      <c r="EU1" s="1" t="inlineStr">
        <is>
          <t>Deal 3496</t>
        </is>
      </c>
      <c r="FE1" s="1" t="inlineStr">
        <is>
          <t>Deal 3497</t>
        </is>
      </c>
      <c r="FO1" s="1" t="inlineStr">
        <is>
          <t>Deal 3498</t>
        </is>
      </c>
      <c r="FY1" s="1" t="inlineStr">
        <is>
          <t>Deal 3499</t>
        </is>
      </c>
      <c r="GI1" s="1" t="inlineStr">
        <is>
          <t>Deal 3500</t>
        </is>
      </c>
      <c r="GS1" s="1" t="inlineStr">
        <is>
          <t>Deal 3501</t>
        </is>
      </c>
      <c r="HC1" s="1" t="inlineStr">
        <is>
          <t>Deal 3502</t>
        </is>
      </c>
      <c r="HM1" s="1" t="inlineStr">
        <is>
          <t>Deal 3503</t>
        </is>
      </c>
      <c r="HW1" s="1" t="inlineStr">
        <is>
          <t>Deal 3504</t>
        </is>
      </c>
      <c r="IG1" s="1" t="inlineStr">
        <is>
          <t>Deal 3505</t>
        </is>
      </c>
      <c r="IQ1" s="1" t="inlineStr">
        <is>
          <t>Deal 3506</t>
        </is>
      </c>
      <c r="JA1" s="1" t="inlineStr">
        <is>
          <t>Deal 3507</t>
        </is>
      </c>
      <c r="JK1" s="1" t="inlineStr">
        <is>
          <t>Deal 3508</t>
        </is>
      </c>
      <c r="JU1" s="1" t="inlineStr">
        <is>
          <t>Deal 3509</t>
        </is>
      </c>
      <c r="KE1" s="1" t="inlineStr">
        <is>
          <t>Deal 3510</t>
        </is>
      </c>
      <c r="KO1" s="1" t="inlineStr">
        <is>
          <t>Deal 3511</t>
        </is>
      </c>
      <c r="KY1" s="1" t="inlineStr">
        <is>
          <t>Deal 3512</t>
        </is>
      </c>
      <c r="LI1" s="1" t="inlineStr">
        <is>
          <t>Deal 3513</t>
        </is>
      </c>
      <c r="LS1" s="1" t="inlineStr">
        <is>
          <t>Deal 3514</t>
        </is>
      </c>
      <c r="MC1" s="1" t="inlineStr">
        <is>
          <t>Deal 3515</t>
        </is>
      </c>
      <c r="MM1" s="1" t="inlineStr">
        <is>
          <t>Deal 3516</t>
        </is>
      </c>
      <c r="MW1" s="1" t="inlineStr">
        <is>
          <t>Deal 3517</t>
        </is>
      </c>
      <c r="NG1" s="1" t="inlineStr">
        <is>
          <t>Deal 3518</t>
        </is>
      </c>
      <c r="NQ1" s="1" t="inlineStr">
        <is>
          <t>Deal 3519</t>
        </is>
      </c>
      <c r="OA1" s="1" t="inlineStr">
        <is>
          <t>Deal 3520</t>
        </is>
      </c>
    </row>
    <row r="2">
      <c r="A2" s="2" t="inlineStr">
        <is>
          <t>540513Q US Equity</t>
        </is>
      </c>
      <c r="K2" s="2" t="inlineStr">
        <is>
          <t>3520842Q US Equity</t>
        </is>
      </c>
      <c r="U2" s="2" t="inlineStr">
        <is>
          <t>SNV US Equity</t>
        </is>
      </c>
      <c r="AE2" s="2" t="inlineStr">
        <is>
          <t>RILY US Equity</t>
        </is>
      </c>
      <c r="AO2" s="2" t="inlineStr">
        <is>
          <t>CSCO US Equity</t>
        </is>
      </c>
      <c r="AY2" s="2" t="inlineStr">
        <is>
          <t>KROL US Equity</t>
        </is>
      </c>
      <c r="BI2" s="2" t="inlineStr">
        <is>
          <t>ERDR US Equity</t>
        </is>
      </c>
      <c r="BS2" s="2" t="inlineStr">
        <is>
          <t>GE US Equity</t>
        </is>
      </c>
      <c r="CC2" s="2" t="inlineStr">
        <is>
          <t>NPBC US Equity</t>
        </is>
      </c>
      <c r="CM2" s="2" t="inlineStr">
        <is>
          <t>SVC US Equity</t>
        </is>
      </c>
      <c r="CW2" s="2" t="inlineStr">
        <is>
          <t>ONIT US Equity</t>
        </is>
      </c>
      <c r="DG2" s="2" t="inlineStr">
        <is>
          <t>82473Q US Equity</t>
        </is>
      </c>
      <c r="DQ2" s="2" t="inlineStr">
        <is>
          <t>LMNX US Equity</t>
        </is>
      </c>
      <c r="EA2" s="2" t="inlineStr">
        <is>
          <t>CNP US Equity</t>
        </is>
      </c>
      <c r="EK2" s="2" t="inlineStr">
        <is>
          <t>CSGP US Equity</t>
        </is>
      </c>
      <c r="EU2" s="2" t="inlineStr">
        <is>
          <t>CSCO US Equity</t>
        </is>
      </c>
      <c r="FE2" s="2" t="inlineStr">
        <is>
          <t>MAFB US Equity</t>
        </is>
      </c>
      <c r="FO2" s="2" t="inlineStr">
        <is>
          <t>CBU US Equity</t>
        </is>
      </c>
      <c r="FY2" s="2" t="inlineStr">
        <is>
          <t>UCFC US Equity</t>
        </is>
      </c>
      <c r="GI2" s="2" t="inlineStr">
        <is>
          <t>FSLA US Equity</t>
        </is>
      </c>
      <c r="GS2" s="2" t="inlineStr">
        <is>
          <t>3482Q US Equity</t>
        </is>
      </c>
      <c r="HC2" s="2" t="inlineStr">
        <is>
          <t>1518080D US Equity</t>
        </is>
      </c>
      <c r="HM2" s="2" t="inlineStr">
        <is>
          <t>HNH US Equity</t>
        </is>
      </c>
      <c r="HW2" s="2" t="inlineStr">
        <is>
          <t>8206908Q US Equity</t>
        </is>
      </c>
      <c r="IG2" s="2" t="inlineStr">
        <is>
          <t>IIIV US Equity</t>
        </is>
      </c>
      <c r="IQ2" s="2" t="inlineStr">
        <is>
          <t>ARXX US Equity</t>
        </is>
      </c>
      <c r="JA2" s="2" t="inlineStr">
        <is>
          <t>nan Equity</t>
        </is>
      </c>
      <c r="JK2" s="2" t="inlineStr">
        <is>
          <t>STBA US Equity</t>
        </is>
      </c>
      <c r="JU2" s="2" t="inlineStr">
        <is>
          <t>nan Equity</t>
        </is>
      </c>
      <c r="KE2" s="2" t="inlineStr">
        <is>
          <t>NBTB US Equity</t>
        </is>
      </c>
      <c r="KO2" s="2" t="inlineStr">
        <is>
          <t>CFR US Equity</t>
        </is>
      </c>
      <c r="KY2" s="2" t="inlineStr">
        <is>
          <t>STEL US Equity</t>
        </is>
      </c>
      <c r="LI2" s="2" t="inlineStr">
        <is>
          <t>IFCJ US Equity</t>
        </is>
      </c>
      <c r="LS2" s="2" t="inlineStr">
        <is>
          <t>2119228Q US Equity</t>
        </is>
      </c>
      <c r="MC2" s="2" t="inlineStr">
        <is>
          <t>EMR US Equity</t>
        </is>
      </c>
      <c r="MM2" s="2" t="inlineStr">
        <is>
          <t>56485Q US Equity</t>
        </is>
      </c>
      <c r="MW2" s="2" t="inlineStr">
        <is>
          <t>HFWA US Equity</t>
        </is>
      </c>
      <c r="NG2" s="2" t="inlineStr">
        <is>
          <t>QMCO US Equity</t>
        </is>
      </c>
      <c r="NQ2" s="2" t="inlineStr">
        <is>
          <t>EFSC US Equity</t>
        </is>
      </c>
      <c r="OA2" s="2" t="inlineStr">
        <is>
          <t>FNFG US Equity</t>
        </is>
      </c>
    </row>
    <row r="3">
      <c r="A3" t="inlineStr">
        <is>
          <t>Ann: 2003-11-25</t>
        </is>
      </c>
      <c r="K3" t="inlineStr">
        <is>
          <t>Ann: 1998-09-23</t>
        </is>
      </c>
      <c r="U3" t="inlineStr">
        <is>
          <t>Ann: 2002-04-30</t>
        </is>
      </c>
      <c r="AE3" t="inlineStr">
        <is>
          <t>Ann: 2017-02-21</t>
        </is>
      </c>
      <c r="AO3" t="inlineStr">
        <is>
          <t>Ann: 1998-07-28</t>
        </is>
      </c>
      <c r="AY3" t="inlineStr">
        <is>
          <t>Ann: 2002-04-02</t>
        </is>
      </c>
      <c r="BI3" t="inlineStr">
        <is>
          <t>Ann: 1999-05-21</t>
        </is>
      </c>
      <c r="BS3" t="inlineStr">
        <is>
          <t>Ann: 2002-04-17</t>
        </is>
      </c>
      <c r="CC3" t="inlineStr">
        <is>
          <t>Ann: 2005-09-07</t>
        </is>
      </c>
      <c r="CM3" t="inlineStr">
        <is>
          <t>Ann: 2020-12-30</t>
        </is>
      </c>
      <c r="CW3" t="inlineStr">
        <is>
          <t>Ann: 1999-04-16</t>
        </is>
      </c>
      <c r="DG3" t="inlineStr">
        <is>
          <t>Ann: 1998-02-09</t>
        </is>
      </c>
      <c r="DQ3" t="inlineStr">
        <is>
          <t>Ann: 2016-05-16</t>
        </is>
      </c>
      <c r="EA3" t="inlineStr">
        <is>
          <t>Ann: 2012-05-31</t>
        </is>
      </c>
      <c r="EK3" t="inlineStr">
        <is>
          <t>Ann: 1999-11-04</t>
        </is>
      </c>
      <c r="EU3" t="inlineStr">
        <is>
          <t>Ann: 2004-09-09</t>
        </is>
      </c>
      <c r="FE3" t="inlineStr">
        <is>
          <t>Ann: 1998-08-17</t>
        </is>
      </c>
      <c r="FO3" t="inlineStr">
        <is>
          <t>Ann: 2000-11-29</t>
        </is>
      </c>
      <c r="FY3" t="inlineStr">
        <is>
          <t>Ann: 2000-12-11</t>
        </is>
      </c>
      <c r="GI3" t="inlineStr">
        <is>
          <t>Ann: 1998-07-09</t>
        </is>
      </c>
      <c r="GS3" t="inlineStr">
        <is>
          <t>Ann: 1998-03-02</t>
        </is>
      </c>
      <c r="HC3" t="inlineStr">
        <is>
          <t>Ann: 2006-06-15</t>
        </is>
      </c>
      <c r="HM3" t="inlineStr">
        <is>
          <t>Ann: 2015-06-18</t>
        </is>
      </c>
      <c r="HW3" t="inlineStr">
        <is>
          <t>Ann: 1999-11-05</t>
        </is>
      </c>
      <c r="IG3" t="inlineStr">
        <is>
          <t>Ann: 2021-02-05</t>
        </is>
      </c>
      <c r="IQ3" t="inlineStr">
        <is>
          <t>Ann: 2002-04-15</t>
        </is>
      </c>
      <c r="JA3" t="inlineStr">
        <is>
          <t>Ann: 2010-07-19</t>
        </is>
      </c>
      <c r="JK3" t="inlineStr">
        <is>
          <t>Ann: 2002-03-20</t>
        </is>
      </c>
      <c r="JU3" t="inlineStr">
        <is>
          <t>Ann: 2005-08-09</t>
        </is>
      </c>
      <c r="KE3" t="inlineStr">
        <is>
          <t>Ann: 2005-06-14</t>
        </is>
      </c>
      <c r="KO3" t="inlineStr">
        <is>
          <t>Ann: 2005-11-10</t>
        </is>
      </c>
      <c r="KY3" t="inlineStr">
        <is>
          <t>Ann: 2001-06-13</t>
        </is>
      </c>
      <c r="LI3" t="inlineStr">
        <is>
          <t>Ann: 2002-11-18</t>
        </is>
      </c>
      <c r="LS3" t="inlineStr">
        <is>
          <t>Ann: 1998-07-23</t>
        </is>
      </c>
      <c r="MC3" t="inlineStr">
        <is>
          <t>Ann: 2007-05-14</t>
        </is>
      </c>
      <c r="MM3" t="inlineStr">
        <is>
          <t>Ann: 1998-10-01</t>
        </is>
      </c>
      <c r="MW3" t="inlineStr">
        <is>
          <t>Ann: 2018-03-08</t>
        </is>
      </c>
      <c r="NG3" t="inlineStr">
        <is>
          <t>Ann: 1999-05-11</t>
        </is>
      </c>
      <c r="NQ3" t="inlineStr">
        <is>
          <t>Ann: 2020-08-20</t>
        </is>
      </c>
      <c r="OA3" t="inlineStr">
        <is>
          <t>Ann: 1999-12-29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BDS("540513Q US Equity","SUPPLY_CHAIN_SUPPLIERS","RELATIONSHIP_AS_OF_DATE","20031125")</f>
        <v/>
      </c>
      <c r="F5">
        <f>BDS("540513Q US Equity","SUPPLY_CHAIN_CUSTOMERS","RELATIONSHIP_AS_OF_DATE","20031125")</f>
        <v/>
      </c>
      <c r="K5">
        <f>BDS("3520842Q US Equity","SUPPLY_CHAIN_SUPPLIERS","RELATIONSHIP_AS_OF_DATE","19980923")</f>
        <v/>
      </c>
      <c r="P5">
        <f>BDS("3520842Q US Equity","SUPPLY_CHAIN_CUSTOMERS","RELATIONSHIP_AS_OF_DATE","19980923")</f>
        <v/>
      </c>
      <c r="U5">
        <f>BDS("SNV US Equity","SUPPLY_CHAIN_SUPPLIERS","RELATIONSHIP_AS_OF_DATE","20020430")</f>
        <v/>
      </c>
      <c r="Z5">
        <f>BDS("SNV US Equity","SUPPLY_CHAIN_CUSTOMERS","RELATIONSHIP_AS_OF_DATE","20020430")</f>
        <v/>
      </c>
      <c r="AE5">
        <f>BDS("RILY US Equity","SUPPLY_CHAIN_SUPPLIERS","RELATIONSHIP_AS_OF_DATE","20170221")</f>
        <v/>
      </c>
      <c r="AJ5">
        <f>BDS("RILY US Equity","SUPPLY_CHAIN_CUSTOMERS","RELATIONSHIP_AS_OF_DATE","20170221")</f>
        <v/>
      </c>
      <c r="AO5">
        <f>BDS("CSCO US Equity","SUPPLY_CHAIN_SUPPLIERS","RELATIONSHIP_AS_OF_DATE","19980728")</f>
        <v/>
      </c>
      <c r="AT5">
        <f>BDS("CSCO US Equity","SUPPLY_CHAIN_CUSTOMERS","RELATIONSHIP_AS_OF_DATE","19980728")</f>
        <v/>
      </c>
      <c r="AY5">
        <f>BDS("KROL US Equity","SUPPLY_CHAIN_SUPPLIERS","RELATIONSHIP_AS_OF_DATE","20020402")</f>
        <v/>
      </c>
      <c r="BD5">
        <f>BDS("KROL US Equity","SUPPLY_CHAIN_CUSTOMERS","RELATIONSHIP_AS_OF_DATE","20020402")</f>
        <v/>
      </c>
      <c r="BI5">
        <f>BDS("ERDR US Equity","SUPPLY_CHAIN_SUPPLIERS","RELATIONSHIP_AS_OF_DATE","19990521")</f>
        <v/>
      </c>
      <c r="BN5">
        <f>BDS("ERDR US Equity","SUPPLY_CHAIN_CUSTOMERS","RELATIONSHIP_AS_OF_DATE","19990521")</f>
        <v/>
      </c>
      <c r="BS5">
        <f>BDS("GE US Equity","SUPPLY_CHAIN_SUPPLIERS","RELATIONSHIP_AS_OF_DATE","20020417")</f>
        <v/>
      </c>
      <c r="BX5">
        <f>BDS("GE US Equity","SUPPLY_CHAIN_CUSTOMERS","RELATIONSHIP_AS_OF_DATE","20020417")</f>
        <v/>
      </c>
      <c r="CC5">
        <f>BDS("NPBC US Equity","SUPPLY_CHAIN_SUPPLIERS","RELATIONSHIP_AS_OF_DATE","20050907")</f>
        <v/>
      </c>
      <c r="CH5">
        <f>BDS("NPBC US Equity","SUPPLY_CHAIN_CUSTOMERS","RELATIONSHIP_AS_OF_DATE","20050907")</f>
        <v/>
      </c>
      <c r="CM5">
        <f>BDS("SVC US Equity","SUPPLY_CHAIN_SUPPLIERS","RELATIONSHIP_AS_OF_DATE","20201230")</f>
        <v/>
      </c>
      <c r="CR5">
        <f>BDS("SVC US Equity","SUPPLY_CHAIN_CUSTOMERS","RELATIONSHIP_AS_OF_DATE","20201230")</f>
        <v/>
      </c>
      <c r="CW5">
        <f>BDS("ONIT US Equity","SUPPLY_CHAIN_SUPPLIERS","RELATIONSHIP_AS_OF_DATE","19990416")</f>
        <v/>
      </c>
      <c r="DB5">
        <f>BDS("ONIT US Equity","SUPPLY_CHAIN_CUSTOMERS","RELATIONSHIP_AS_OF_DATE","19990416")</f>
        <v/>
      </c>
      <c r="DG5">
        <f>BDS("82473Q US Equity","SUPPLY_CHAIN_SUPPLIERS","RELATIONSHIP_AS_OF_DATE","19980209")</f>
        <v/>
      </c>
      <c r="DL5">
        <f>BDS("82473Q US Equity","SUPPLY_CHAIN_CUSTOMERS","RELATIONSHIP_AS_OF_DATE","19980209")</f>
        <v/>
      </c>
      <c r="DQ5">
        <f>BDS("LMNX US Equity","SUPPLY_CHAIN_SUPPLIERS","RELATIONSHIP_AS_OF_DATE","20160516")</f>
        <v/>
      </c>
      <c r="DV5">
        <f>BDS("LMNX US Equity","SUPPLY_CHAIN_CUSTOMERS","RELATIONSHIP_AS_OF_DATE","20160516")</f>
        <v/>
      </c>
      <c r="EA5">
        <f>BDS("CNP US Equity","SUPPLY_CHAIN_SUPPLIERS","RELATIONSHIP_AS_OF_DATE","20120531")</f>
        <v/>
      </c>
      <c r="EF5">
        <f>BDS("CNP US Equity","SUPPLY_CHAIN_CUSTOMERS","RELATIONSHIP_AS_OF_DATE","20120531")</f>
        <v/>
      </c>
      <c r="EK5">
        <f>BDS("CSGP US Equity","SUPPLY_CHAIN_SUPPLIERS","RELATIONSHIP_AS_OF_DATE","19991104")</f>
        <v/>
      </c>
      <c r="EP5">
        <f>BDS("CSGP US Equity","SUPPLY_CHAIN_CUSTOMERS","RELATIONSHIP_AS_OF_DATE","19991104")</f>
        <v/>
      </c>
      <c r="EU5">
        <f>BDS("CSCO US Equity","SUPPLY_CHAIN_SUPPLIERS","RELATIONSHIP_AS_OF_DATE","20040909")</f>
        <v/>
      </c>
      <c r="EZ5">
        <f>BDS("CSCO US Equity","SUPPLY_CHAIN_CUSTOMERS","RELATIONSHIP_AS_OF_DATE","20040909")</f>
        <v/>
      </c>
      <c r="FE5">
        <f>BDS("MAFB US Equity","SUPPLY_CHAIN_SUPPLIERS","RELATIONSHIP_AS_OF_DATE","19980817")</f>
        <v/>
      </c>
      <c r="FJ5">
        <f>BDS("MAFB US Equity","SUPPLY_CHAIN_CUSTOMERS","RELATIONSHIP_AS_OF_DATE","19980817")</f>
        <v/>
      </c>
      <c r="FO5">
        <f>BDS("CBU US Equity","SUPPLY_CHAIN_SUPPLIERS","RELATIONSHIP_AS_OF_DATE","20001129")</f>
        <v/>
      </c>
      <c r="FT5">
        <f>BDS("CBU US Equity","SUPPLY_CHAIN_CUSTOMERS","RELATIONSHIP_AS_OF_DATE","20001129")</f>
        <v/>
      </c>
      <c r="FY5">
        <f>BDS("UCFC US Equity","SUPPLY_CHAIN_SUPPLIERS","RELATIONSHIP_AS_OF_DATE","20001211")</f>
        <v/>
      </c>
      <c r="GD5">
        <f>BDS("UCFC US Equity","SUPPLY_CHAIN_CUSTOMERS","RELATIONSHIP_AS_OF_DATE","20001211")</f>
        <v/>
      </c>
      <c r="GI5">
        <f>BDS("FSLA US Equity","SUPPLY_CHAIN_SUPPLIERS","RELATIONSHIP_AS_OF_DATE","19980709")</f>
        <v/>
      </c>
      <c r="GN5">
        <f>BDS("FSLA US Equity","SUPPLY_CHAIN_CUSTOMERS","RELATIONSHIP_AS_OF_DATE","19980709")</f>
        <v/>
      </c>
      <c r="GS5">
        <f>BDS("3482Q US Equity","SUPPLY_CHAIN_SUPPLIERS","RELATIONSHIP_AS_OF_DATE","19980302")</f>
        <v/>
      </c>
      <c r="GX5">
        <f>BDS("3482Q US Equity","SUPPLY_CHAIN_CUSTOMERS","RELATIONSHIP_AS_OF_DATE","19980302")</f>
        <v/>
      </c>
      <c r="HC5">
        <f>BDS("1518080D US Equity","SUPPLY_CHAIN_SUPPLIERS","RELATIONSHIP_AS_OF_DATE","20060615")</f>
        <v/>
      </c>
      <c r="HH5">
        <f>BDS("1518080D US Equity","SUPPLY_CHAIN_CUSTOMERS","RELATIONSHIP_AS_OF_DATE","20060615")</f>
        <v/>
      </c>
      <c r="HM5">
        <f>BDS("HNH US Equity","SUPPLY_CHAIN_SUPPLIERS","RELATIONSHIP_AS_OF_DATE","20150618")</f>
        <v/>
      </c>
      <c r="HR5">
        <f>BDS("HNH US Equity","SUPPLY_CHAIN_CUSTOMERS","RELATIONSHIP_AS_OF_DATE","20150618")</f>
        <v/>
      </c>
      <c r="HW5">
        <f>BDS("8206908Q US Equity","SUPPLY_CHAIN_SUPPLIERS","RELATIONSHIP_AS_OF_DATE","19991105")</f>
        <v/>
      </c>
      <c r="IB5">
        <f>BDS("8206908Q US Equity","SUPPLY_CHAIN_CUSTOMERS","RELATIONSHIP_AS_OF_DATE","19991105")</f>
        <v/>
      </c>
      <c r="IG5">
        <f>BDS("IIIV US Equity","SUPPLY_CHAIN_SUPPLIERS","RELATIONSHIP_AS_OF_DATE","20210205")</f>
        <v/>
      </c>
      <c r="IL5">
        <f>BDS("IIIV US Equity","SUPPLY_CHAIN_CUSTOMERS","RELATIONSHIP_AS_OF_DATE","20210205")</f>
        <v/>
      </c>
      <c r="IQ5">
        <f>BDS("ARXX US Equity","SUPPLY_CHAIN_SUPPLIERS","RELATIONSHIP_AS_OF_DATE","20020415")</f>
        <v/>
      </c>
      <c r="IV5">
        <f>BDS("ARXX US Equity","SUPPLY_CHAIN_CUSTOMERS","RELATIONSHIP_AS_OF_DATE","20020415")</f>
        <v/>
      </c>
      <c r="JA5">
        <f>BDS("nan Equity","SUPPLY_CHAIN_SUPPLIERS","RELATIONSHIP_AS_OF_DATE","20100719")</f>
        <v/>
      </c>
      <c r="JF5">
        <f>BDS("nan Equity","SUPPLY_CHAIN_CUSTOMERS","RELATIONSHIP_AS_OF_DATE","20100719")</f>
        <v/>
      </c>
      <c r="JK5">
        <f>BDS("STBA US Equity","SUPPLY_CHAIN_SUPPLIERS","RELATIONSHIP_AS_OF_DATE","20020320")</f>
        <v/>
      </c>
      <c r="JP5">
        <f>BDS("STBA US Equity","SUPPLY_CHAIN_CUSTOMERS","RELATIONSHIP_AS_OF_DATE","20020320")</f>
        <v/>
      </c>
      <c r="JU5">
        <f>BDS("nan Equity","SUPPLY_CHAIN_SUPPLIERS","RELATIONSHIP_AS_OF_DATE","20050809")</f>
        <v/>
      </c>
      <c r="JZ5">
        <f>BDS("nan Equity","SUPPLY_CHAIN_CUSTOMERS","RELATIONSHIP_AS_OF_DATE","20050809")</f>
        <v/>
      </c>
      <c r="KE5">
        <f>BDS("NBTB US Equity","SUPPLY_CHAIN_SUPPLIERS","RELATIONSHIP_AS_OF_DATE","20050614")</f>
        <v/>
      </c>
      <c r="KJ5">
        <f>BDS("NBTB US Equity","SUPPLY_CHAIN_CUSTOMERS","RELATIONSHIP_AS_OF_DATE","20050614")</f>
        <v/>
      </c>
      <c r="KO5">
        <f>BDS("CFR US Equity","SUPPLY_CHAIN_SUPPLIERS","RELATIONSHIP_AS_OF_DATE","20051110")</f>
        <v/>
      </c>
      <c r="KT5">
        <f>BDS("CFR US Equity","SUPPLY_CHAIN_CUSTOMERS","RELATIONSHIP_AS_OF_DATE","20051110")</f>
        <v/>
      </c>
      <c r="KY5">
        <f>BDS("STEL US Equity","SUPPLY_CHAIN_SUPPLIERS","RELATIONSHIP_AS_OF_DATE","20010613")</f>
        <v/>
      </c>
      <c r="LD5">
        <f>BDS("STEL US Equity","SUPPLY_CHAIN_CUSTOMERS","RELATIONSHIP_AS_OF_DATE","20010613")</f>
        <v/>
      </c>
      <c r="LI5">
        <f>BDS("IFCJ US Equity","SUPPLY_CHAIN_SUPPLIERS","RELATIONSHIP_AS_OF_DATE","20021118")</f>
        <v/>
      </c>
      <c r="LN5">
        <f>BDS("IFCJ US Equity","SUPPLY_CHAIN_CUSTOMERS","RELATIONSHIP_AS_OF_DATE","20021118")</f>
        <v/>
      </c>
      <c r="LS5">
        <f>BDS("2119228Q US Equity","SUPPLY_CHAIN_SUPPLIERS","RELATIONSHIP_AS_OF_DATE","19980723")</f>
        <v/>
      </c>
      <c r="LX5">
        <f>BDS("2119228Q US Equity","SUPPLY_CHAIN_CUSTOMERS","RELATIONSHIP_AS_OF_DATE","19980723")</f>
        <v/>
      </c>
      <c r="MC5">
        <f>BDS("EMR US Equity","SUPPLY_CHAIN_SUPPLIERS","RELATIONSHIP_AS_OF_DATE","20070514")</f>
        <v/>
      </c>
      <c r="MH5">
        <f>BDS("EMR US Equity","SUPPLY_CHAIN_CUSTOMERS","RELATIONSHIP_AS_OF_DATE","20070514")</f>
        <v/>
      </c>
      <c r="MM5">
        <f>BDS("56485Q US Equity","SUPPLY_CHAIN_SUPPLIERS","RELATIONSHIP_AS_OF_DATE","19981001")</f>
        <v/>
      </c>
      <c r="MR5">
        <f>BDS("56485Q US Equity","SUPPLY_CHAIN_CUSTOMERS","RELATIONSHIP_AS_OF_DATE","19981001")</f>
        <v/>
      </c>
      <c r="MW5">
        <f>BDS("HFWA US Equity","SUPPLY_CHAIN_SUPPLIERS","RELATIONSHIP_AS_OF_DATE","20180308")</f>
        <v/>
      </c>
      <c r="NB5">
        <f>BDS("HFWA US Equity","SUPPLY_CHAIN_CUSTOMERS","RELATIONSHIP_AS_OF_DATE","20180308")</f>
        <v/>
      </c>
      <c r="NG5">
        <f>BDS("QMCO US Equity","SUPPLY_CHAIN_SUPPLIERS","RELATIONSHIP_AS_OF_DATE","19990511")</f>
        <v/>
      </c>
      <c r="NL5">
        <f>BDS("QMCO US Equity","SUPPLY_CHAIN_CUSTOMERS","RELATIONSHIP_AS_OF_DATE","19990511")</f>
        <v/>
      </c>
      <c r="NQ5">
        <f>BDS("EFSC US Equity","SUPPLY_CHAIN_SUPPLIERS","RELATIONSHIP_AS_OF_DATE","20200820")</f>
        <v/>
      </c>
      <c r="NV5">
        <f>BDS("EFSC US Equity","SUPPLY_CHAIN_CUSTOMERS","RELATIONSHIP_AS_OF_DATE","20200820")</f>
        <v/>
      </c>
      <c r="OA5">
        <f>BDS("FNFG US Equity","SUPPLY_CHAIN_SUPPLIERS","RELATIONSHIP_AS_OF_DATE","19991229")</f>
        <v/>
      </c>
      <c r="OF5">
        <f>BDS("FNFG US Equity","SUPPLY_CHAIN_CUSTOMERS","RELATIONSHIP_AS_OF_DATE","19991229")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3521</t>
        </is>
      </c>
      <c r="K1" s="1" t="inlineStr">
        <is>
          <t>Deal 3522</t>
        </is>
      </c>
      <c r="U1" s="1" t="inlineStr">
        <is>
          <t>Deal 3523</t>
        </is>
      </c>
      <c r="AE1" s="1" t="inlineStr">
        <is>
          <t>Deal 3524</t>
        </is>
      </c>
      <c r="AO1" s="1" t="inlineStr">
        <is>
          <t>Deal 3525</t>
        </is>
      </c>
      <c r="AY1" s="1" t="inlineStr">
        <is>
          <t>Deal 3526</t>
        </is>
      </c>
      <c r="BI1" s="1" t="inlineStr">
        <is>
          <t>Deal 3527</t>
        </is>
      </c>
      <c r="BS1" s="1" t="inlineStr">
        <is>
          <t>Deal 3528</t>
        </is>
      </c>
      <c r="CC1" s="1" t="inlineStr">
        <is>
          <t>Deal 3529</t>
        </is>
      </c>
      <c r="CM1" s="1" t="inlineStr">
        <is>
          <t>Deal 3530</t>
        </is>
      </c>
      <c r="CW1" s="1" t="inlineStr">
        <is>
          <t>Deal 3531</t>
        </is>
      </c>
      <c r="DG1" s="1" t="inlineStr">
        <is>
          <t>Deal 3532</t>
        </is>
      </c>
      <c r="DQ1" s="1" t="inlineStr">
        <is>
          <t>Deal 3533</t>
        </is>
      </c>
      <c r="EA1" s="1" t="inlineStr">
        <is>
          <t>Deal 3534</t>
        </is>
      </c>
      <c r="EK1" s="1" t="inlineStr">
        <is>
          <t>Deal 3535</t>
        </is>
      </c>
      <c r="EU1" s="1" t="inlineStr">
        <is>
          <t>Deal 3536</t>
        </is>
      </c>
      <c r="FE1" s="1" t="inlineStr">
        <is>
          <t>Deal 3537</t>
        </is>
      </c>
      <c r="FO1" s="1" t="inlineStr">
        <is>
          <t>Deal 3538</t>
        </is>
      </c>
      <c r="FY1" s="1" t="inlineStr">
        <is>
          <t>Deal 3539</t>
        </is>
      </c>
      <c r="GI1" s="1" t="inlineStr">
        <is>
          <t>Deal 3540</t>
        </is>
      </c>
      <c r="GS1" s="1" t="inlineStr">
        <is>
          <t>Deal 3541</t>
        </is>
      </c>
      <c r="HC1" s="1" t="inlineStr">
        <is>
          <t>Deal 3542</t>
        </is>
      </c>
      <c r="HM1" s="1" t="inlineStr">
        <is>
          <t>Deal 3543</t>
        </is>
      </c>
      <c r="HW1" s="1" t="inlineStr">
        <is>
          <t>Deal 3544</t>
        </is>
      </c>
      <c r="IG1" s="1" t="inlineStr">
        <is>
          <t>Deal 3545</t>
        </is>
      </c>
      <c r="IQ1" s="1" t="inlineStr">
        <is>
          <t>Deal 3546</t>
        </is>
      </c>
      <c r="JA1" s="1" t="inlineStr">
        <is>
          <t>Deal 3547</t>
        </is>
      </c>
      <c r="JK1" s="1" t="inlineStr">
        <is>
          <t>Deal 3548</t>
        </is>
      </c>
      <c r="JU1" s="1" t="inlineStr">
        <is>
          <t>Deal 3549</t>
        </is>
      </c>
      <c r="KE1" s="1" t="inlineStr">
        <is>
          <t>Deal 3550</t>
        </is>
      </c>
      <c r="KO1" s="1" t="inlineStr">
        <is>
          <t>Deal 3551</t>
        </is>
      </c>
      <c r="KY1" s="1" t="inlineStr">
        <is>
          <t>Deal 3552</t>
        </is>
      </c>
      <c r="LI1" s="1" t="inlineStr">
        <is>
          <t>Deal 3553</t>
        </is>
      </c>
      <c r="LS1" s="1" t="inlineStr">
        <is>
          <t>Deal 3554</t>
        </is>
      </c>
      <c r="MC1" s="1" t="inlineStr">
        <is>
          <t>Deal 3555</t>
        </is>
      </c>
      <c r="MM1" s="1" t="inlineStr">
        <is>
          <t>Deal 3556</t>
        </is>
      </c>
      <c r="MW1" s="1" t="inlineStr">
        <is>
          <t>Deal 3557</t>
        </is>
      </c>
      <c r="NG1" s="1" t="inlineStr">
        <is>
          <t>Deal 3558</t>
        </is>
      </c>
      <c r="NQ1" s="1" t="inlineStr">
        <is>
          <t>Deal 3559</t>
        </is>
      </c>
      <c r="OA1" s="1" t="inlineStr">
        <is>
          <t>Deal 3560</t>
        </is>
      </c>
    </row>
    <row r="2">
      <c r="A2" s="2" t="inlineStr">
        <is>
          <t>764144Q US Equity</t>
        </is>
      </c>
      <c r="K2" s="2" t="inlineStr">
        <is>
          <t>3264Q US Equity</t>
        </is>
      </c>
      <c r="U2" s="2" t="inlineStr">
        <is>
          <t>1916526D US Equity</t>
        </is>
      </c>
      <c r="AE2" s="2" t="inlineStr">
        <is>
          <t>696500Q US Equity</t>
        </is>
      </c>
      <c r="AO2" s="2" t="inlineStr">
        <is>
          <t>SPSS US Equity</t>
        </is>
      </c>
      <c r="AY2" s="2" t="inlineStr">
        <is>
          <t>UNTC US Equity</t>
        </is>
      </c>
      <c r="BI2" s="2" t="inlineStr">
        <is>
          <t>GTK US Equity</t>
        </is>
      </c>
      <c r="BS2" s="2" t="inlineStr">
        <is>
          <t>1520415D US Equity</t>
        </is>
      </c>
      <c r="CC2" s="2" t="inlineStr">
        <is>
          <t>AEGN US Equity</t>
        </is>
      </c>
      <c r="CM2" s="2" t="inlineStr">
        <is>
          <t>MRK US Equity</t>
        </is>
      </c>
      <c r="CW2" s="2" t="inlineStr">
        <is>
          <t>SYK US Equity</t>
        </is>
      </c>
      <c r="DG2" s="2" t="inlineStr">
        <is>
          <t>WSBC US Equity</t>
        </is>
      </c>
      <c r="DQ2" s="2" t="inlineStr">
        <is>
          <t>FMBI US Equity</t>
        </is>
      </c>
      <c r="EA2" s="2" t="inlineStr">
        <is>
          <t>FIBK US Equity</t>
        </is>
      </c>
      <c r="EK2" s="2" t="inlineStr">
        <is>
          <t>GE US Equity</t>
        </is>
      </c>
      <c r="EU2" s="2" t="inlineStr">
        <is>
          <t>BRMR US Equity</t>
        </is>
      </c>
      <c r="FE2" s="2" t="inlineStr">
        <is>
          <t>GE US Equity</t>
        </is>
      </c>
      <c r="FO2" s="2" t="inlineStr">
        <is>
          <t>SIB US Equity</t>
        </is>
      </c>
      <c r="FY2" s="2" t="inlineStr">
        <is>
          <t>FRME US Equity</t>
        </is>
      </c>
      <c r="GI2" s="2" t="inlineStr">
        <is>
          <t>BORL US Equity</t>
        </is>
      </c>
      <c r="GS2" s="2" t="inlineStr">
        <is>
          <t>1670211D US Equity</t>
        </is>
      </c>
      <c r="HC2" s="2" t="inlineStr">
        <is>
          <t>NWBI US Equity</t>
        </is>
      </c>
      <c r="HM2" s="2" t="inlineStr">
        <is>
          <t>1978022D US Equity</t>
        </is>
      </c>
      <c r="HW2" s="2" t="inlineStr">
        <is>
          <t>HFWA US Equity</t>
        </is>
      </c>
      <c r="IG2" s="2" t="inlineStr">
        <is>
          <t>RCNCQ US Equity</t>
        </is>
      </c>
      <c r="IQ2" s="2" t="inlineStr">
        <is>
          <t>GABC US Equity</t>
        </is>
      </c>
      <c r="JA2" s="2" t="inlineStr">
        <is>
          <t>ENVA US Equity</t>
        </is>
      </c>
      <c r="JK2" s="2" t="inlineStr">
        <is>
          <t>TMP US Equity</t>
        </is>
      </c>
      <c r="JU2" s="2" t="inlineStr">
        <is>
          <t>696119Q US Equity</t>
        </is>
      </c>
      <c r="KE2" s="2" t="inlineStr">
        <is>
          <t>DIAN US Equity</t>
        </is>
      </c>
      <c r="KO2" s="2" t="inlineStr">
        <is>
          <t>CG US Equity</t>
        </is>
      </c>
      <c r="KY2" s="2" t="inlineStr">
        <is>
          <t>FNB US Equity</t>
        </is>
      </c>
      <c r="LI2" s="2" t="inlineStr">
        <is>
          <t>TCF US Equity</t>
        </is>
      </c>
      <c r="LS2" s="2" t="inlineStr">
        <is>
          <t>1996074D US Equity</t>
        </is>
      </c>
      <c r="MC2" s="2" t="inlineStr">
        <is>
          <t>WFC US Equity</t>
        </is>
      </c>
      <c r="MM2" s="2" t="inlineStr">
        <is>
          <t>TMP US Equity</t>
        </is>
      </c>
      <c r="MW2" s="2" t="inlineStr">
        <is>
          <t>ESBF US Equity</t>
        </is>
      </c>
      <c r="NG2" s="2" t="inlineStr">
        <is>
          <t>CLGX US Equity</t>
        </is>
      </c>
      <c r="NQ2" s="2" t="inlineStr">
        <is>
          <t>PTEN US Equity</t>
        </is>
      </c>
      <c r="OA2" s="2" t="inlineStr">
        <is>
          <t>ONB US Equity</t>
        </is>
      </c>
    </row>
    <row r="3">
      <c r="A3" t="inlineStr">
        <is>
          <t>Ann: 1999-01-18</t>
        </is>
      </c>
      <c r="K3" t="inlineStr">
        <is>
          <t>Ann: 1999-06-23</t>
        </is>
      </c>
      <c r="U3" t="inlineStr">
        <is>
          <t>Ann: 1999-06-04</t>
        </is>
      </c>
      <c r="AE3" t="inlineStr">
        <is>
          <t>Ann: 2000-06-08</t>
        </is>
      </c>
      <c r="AO3" t="inlineStr">
        <is>
          <t>Ann: 2000-11-07</t>
        </is>
      </c>
      <c r="AY3" t="inlineStr">
        <is>
          <t>Ann: 2003-07-01</t>
        </is>
      </c>
      <c r="BI3" t="inlineStr">
        <is>
          <t>Ann: 2003-03-17</t>
        </is>
      </c>
      <c r="BS3" t="inlineStr">
        <is>
          <t>Ann: 1998-09-17</t>
        </is>
      </c>
      <c r="CC3" t="inlineStr">
        <is>
          <t>Ann: 2016-01-05</t>
        </is>
      </c>
      <c r="CM3" t="inlineStr">
        <is>
          <t>Ann: 1999-08-02</t>
        </is>
      </c>
      <c r="CW3" t="inlineStr">
        <is>
          <t>Ann: 2013-12-31</t>
        </is>
      </c>
      <c r="DG3" t="inlineStr">
        <is>
          <t>Ann: 2004-08-25</t>
        </is>
      </c>
      <c r="DQ3" t="inlineStr">
        <is>
          <t>Ann: 2018-06-07</t>
        </is>
      </c>
      <c r="EA3" t="inlineStr">
        <is>
          <t>Ann: 2018-04-25</t>
        </is>
      </c>
      <c r="EK3" t="inlineStr">
        <is>
          <t>Ann: 2001-04-09</t>
        </is>
      </c>
      <c r="EU3" t="inlineStr">
        <is>
          <t>Ann: 2010-12-27</t>
        </is>
      </c>
      <c r="FE3" t="inlineStr">
        <is>
          <t>Ann: 1999-11-29</t>
        </is>
      </c>
      <c r="FO3" t="inlineStr">
        <is>
          <t>Ann: 1999-08-20</t>
        </is>
      </c>
      <c r="FY3" t="inlineStr">
        <is>
          <t>Ann: 2008-09-03</t>
        </is>
      </c>
      <c r="GI3" t="inlineStr">
        <is>
          <t>Ann: 2006-02-08</t>
        </is>
      </c>
      <c r="GS3" t="inlineStr">
        <is>
          <t>Ann: 2000-02-14</t>
        </is>
      </c>
      <c r="HC3" t="inlineStr">
        <is>
          <t>Ann: 2018-06-12</t>
        </is>
      </c>
      <c r="HM3" t="inlineStr">
        <is>
          <t>Ann: 2004-04-29</t>
        </is>
      </c>
      <c r="HW3" t="inlineStr">
        <is>
          <t>Ann: 2017-07-27</t>
        </is>
      </c>
      <c r="IG3" t="inlineStr">
        <is>
          <t>Ann: 1998-01-21</t>
        </is>
      </c>
      <c r="IQ3" t="inlineStr">
        <is>
          <t>Ann: 2015-10-26</t>
        </is>
      </c>
      <c r="JA3" t="inlineStr">
        <is>
          <t>Ann: 2020-07-28</t>
        </is>
      </c>
      <c r="JK3" t="inlineStr">
        <is>
          <t>Ann: 2012-01-26</t>
        </is>
      </c>
      <c r="JU3" t="inlineStr">
        <is>
          <t>Ann: 2000-01-31</t>
        </is>
      </c>
      <c r="KE3" t="inlineStr">
        <is>
          <t>Ann: 1998-08-20</t>
        </is>
      </c>
      <c r="KO3" t="inlineStr">
        <is>
          <t>Ann: 2015-08-31</t>
        </is>
      </c>
      <c r="KY3" t="inlineStr">
        <is>
          <t>Ann: 2008-02-15</t>
        </is>
      </c>
      <c r="LI3" t="inlineStr">
        <is>
          <t>Ann: 2010-01-08</t>
        </is>
      </c>
      <c r="LS3" t="inlineStr">
        <is>
          <t>Ann: 1999-09-20</t>
        </is>
      </c>
      <c r="MC3" t="inlineStr">
        <is>
          <t>Ann: 2001-12-13</t>
        </is>
      </c>
      <c r="MM3" t="inlineStr">
        <is>
          <t>Ann: 1999-08-02</t>
        </is>
      </c>
      <c r="MW3" t="inlineStr">
        <is>
          <t>Ann: 2004-08-12</t>
        </is>
      </c>
      <c r="NG3" t="inlineStr">
        <is>
          <t>Ann: 1998-01-18</t>
        </is>
      </c>
      <c r="NQ3" t="inlineStr">
        <is>
          <t>Ann: 2003-05-27</t>
        </is>
      </c>
      <c r="OA3" t="inlineStr">
        <is>
          <t>Ann: 1999-12-20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BDS("764144Q US Equity","SUPPLY_CHAIN_SUPPLIERS","RELATIONSHIP_AS_OF_DATE","19990118")</f>
        <v/>
      </c>
      <c r="F5">
        <f>BDS("764144Q US Equity","SUPPLY_CHAIN_CUSTOMERS","RELATIONSHIP_AS_OF_DATE","19990118")</f>
        <v/>
      </c>
      <c r="K5">
        <f>BDS("3264Q US Equity","SUPPLY_CHAIN_SUPPLIERS","RELATIONSHIP_AS_OF_DATE","19990623")</f>
        <v/>
      </c>
      <c r="P5">
        <f>BDS("3264Q US Equity","SUPPLY_CHAIN_CUSTOMERS","RELATIONSHIP_AS_OF_DATE","19990623")</f>
        <v/>
      </c>
      <c r="U5">
        <f>BDS("1916526D US Equity","SUPPLY_CHAIN_SUPPLIERS","RELATIONSHIP_AS_OF_DATE","19990604")</f>
        <v/>
      </c>
      <c r="Z5">
        <f>BDS("1916526D US Equity","SUPPLY_CHAIN_CUSTOMERS","RELATIONSHIP_AS_OF_DATE","19990604")</f>
        <v/>
      </c>
      <c r="AE5">
        <f>BDS("696500Q US Equity","SUPPLY_CHAIN_SUPPLIERS","RELATIONSHIP_AS_OF_DATE","20000608")</f>
        <v/>
      </c>
      <c r="AJ5">
        <f>BDS("696500Q US Equity","SUPPLY_CHAIN_CUSTOMERS","RELATIONSHIP_AS_OF_DATE","20000608")</f>
        <v/>
      </c>
      <c r="AO5">
        <f>BDS("SPSS US Equity","SUPPLY_CHAIN_SUPPLIERS","RELATIONSHIP_AS_OF_DATE","20001107")</f>
        <v/>
      </c>
      <c r="AT5">
        <f>BDS("SPSS US Equity","SUPPLY_CHAIN_CUSTOMERS","RELATIONSHIP_AS_OF_DATE","20001107")</f>
        <v/>
      </c>
      <c r="AY5">
        <f>BDS("UNTC US Equity","SUPPLY_CHAIN_SUPPLIERS","RELATIONSHIP_AS_OF_DATE","20030701")</f>
        <v/>
      </c>
      <c r="BD5">
        <f>BDS("UNTC US Equity","SUPPLY_CHAIN_CUSTOMERS","RELATIONSHIP_AS_OF_DATE","20030701")</f>
        <v/>
      </c>
      <c r="BI5">
        <f>BDS("GTK US Equity","SUPPLY_CHAIN_SUPPLIERS","RELATIONSHIP_AS_OF_DATE","20030317")</f>
        <v/>
      </c>
      <c r="BN5">
        <f>BDS("GTK US Equity","SUPPLY_CHAIN_CUSTOMERS","RELATIONSHIP_AS_OF_DATE","20030317")</f>
        <v/>
      </c>
      <c r="BS5">
        <f>BDS("1520415D US Equity","SUPPLY_CHAIN_SUPPLIERS","RELATIONSHIP_AS_OF_DATE","19980917")</f>
        <v/>
      </c>
      <c r="BX5">
        <f>BDS("1520415D US Equity","SUPPLY_CHAIN_CUSTOMERS","RELATIONSHIP_AS_OF_DATE","19980917")</f>
        <v/>
      </c>
      <c r="CC5">
        <f>BDS("AEGN US Equity","SUPPLY_CHAIN_SUPPLIERS","RELATIONSHIP_AS_OF_DATE","20160105")</f>
        <v/>
      </c>
      <c r="CH5">
        <f>BDS("AEGN US Equity","SUPPLY_CHAIN_CUSTOMERS","RELATIONSHIP_AS_OF_DATE","20160105")</f>
        <v/>
      </c>
      <c r="CM5">
        <f>BDS("MRK US Equity","SUPPLY_CHAIN_SUPPLIERS","RELATIONSHIP_AS_OF_DATE","19990802")</f>
        <v/>
      </c>
      <c r="CR5">
        <f>BDS("MRK US Equity","SUPPLY_CHAIN_CUSTOMERS","RELATIONSHIP_AS_OF_DATE","19990802")</f>
        <v/>
      </c>
      <c r="CW5">
        <f>BDS("SYK US Equity","SUPPLY_CHAIN_SUPPLIERS","RELATIONSHIP_AS_OF_DATE","20131231")</f>
        <v/>
      </c>
      <c r="DB5">
        <f>BDS("SYK US Equity","SUPPLY_CHAIN_CUSTOMERS","RELATIONSHIP_AS_OF_DATE","20131231")</f>
        <v/>
      </c>
      <c r="DG5">
        <f>BDS("WSBC US Equity","SUPPLY_CHAIN_SUPPLIERS","RELATIONSHIP_AS_OF_DATE","20040825")</f>
        <v/>
      </c>
      <c r="DL5">
        <f>BDS("WSBC US Equity","SUPPLY_CHAIN_CUSTOMERS","RELATIONSHIP_AS_OF_DATE","20040825")</f>
        <v/>
      </c>
      <c r="DQ5">
        <f>BDS("FMBI US Equity","SUPPLY_CHAIN_SUPPLIERS","RELATIONSHIP_AS_OF_DATE","20180607")</f>
        <v/>
      </c>
      <c r="DV5">
        <f>BDS("FMBI US Equity","SUPPLY_CHAIN_CUSTOMERS","RELATIONSHIP_AS_OF_DATE","20180607")</f>
        <v/>
      </c>
      <c r="EA5">
        <f>BDS("FIBK US Equity","SUPPLY_CHAIN_SUPPLIERS","RELATIONSHIP_AS_OF_DATE","20180425")</f>
        <v/>
      </c>
      <c r="EF5">
        <f>BDS("FIBK US Equity","SUPPLY_CHAIN_CUSTOMERS","RELATIONSHIP_AS_OF_DATE","20180425")</f>
        <v/>
      </c>
      <c r="EK5">
        <f>BDS("GE US Equity","SUPPLY_CHAIN_SUPPLIERS","RELATIONSHIP_AS_OF_DATE","20010409")</f>
        <v/>
      </c>
      <c r="EP5">
        <f>BDS("GE US Equity","SUPPLY_CHAIN_CUSTOMERS","RELATIONSHIP_AS_OF_DATE","20010409")</f>
        <v/>
      </c>
      <c r="EU5">
        <f>BDS("BRMR US Equity","SUPPLY_CHAIN_SUPPLIERS","RELATIONSHIP_AS_OF_DATE","20101227")</f>
        <v/>
      </c>
      <c r="EZ5">
        <f>BDS("BRMR US Equity","SUPPLY_CHAIN_CUSTOMERS","RELATIONSHIP_AS_OF_DATE","20101227")</f>
        <v/>
      </c>
      <c r="FE5">
        <f>BDS("GE US Equity","SUPPLY_CHAIN_SUPPLIERS","RELATIONSHIP_AS_OF_DATE","19991129")</f>
        <v/>
      </c>
      <c r="FJ5">
        <f>BDS("GE US Equity","SUPPLY_CHAIN_CUSTOMERS","RELATIONSHIP_AS_OF_DATE","19991129")</f>
        <v/>
      </c>
      <c r="FO5">
        <f>BDS("SIB US Equity","SUPPLY_CHAIN_SUPPLIERS","RELATIONSHIP_AS_OF_DATE","19990820")</f>
        <v/>
      </c>
      <c r="FT5">
        <f>BDS("SIB US Equity","SUPPLY_CHAIN_CUSTOMERS","RELATIONSHIP_AS_OF_DATE","19990820")</f>
        <v/>
      </c>
      <c r="FY5">
        <f>BDS("FRME US Equity","SUPPLY_CHAIN_SUPPLIERS","RELATIONSHIP_AS_OF_DATE","20080903")</f>
        <v/>
      </c>
      <c r="GD5">
        <f>BDS("FRME US Equity","SUPPLY_CHAIN_CUSTOMERS","RELATIONSHIP_AS_OF_DATE","20080903")</f>
        <v/>
      </c>
      <c r="GI5">
        <f>BDS("BORL US Equity","SUPPLY_CHAIN_SUPPLIERS","RELATIONSHIP_AS_OF_DATE","20060208")</f>
        <v/>
      </c>
      <c r="GN5">
        <f>BDS("BORL US Equity","SUPPLY_CHAIN_CUSTOMERS","RELATIONSHIP_AS_OF_DATE","20060208")</f>
        <v/>
      </c>
      <c r="GS5">
        <f>BDS("1670211D US Equity","SUPPLY_CHAIN_SUPPLIERS","RELATIONSHIP_AS_OF_DATE","20000214")</f>
        <v/>
      </c>
      <c r="GX5">
        <f>BDS("1670211D US Equity","SUPPLY_CHAIN_CUSTOMERS","RELATIONSHIP_AS_OF_DATE","20000214")</f>
        <v/>
      </c>
      <c r="HC5">
        <f>BDS("NWBI US Equity","SUPPLY_CHAIN_SUPPLIERS","RELATIONSHIP_AS_OF_DATE","20180612")</f>
        <v/>
      </c>
      <c r="HH5">
        <f>BDS("NWBI US Equity","SUPPLY_CHAIN_CUSTOMERS","RELATIONSHIP_AS_OF_DATE","20180612")</f>
        <v/>
      </c>
      <c r="HM5">
        <f>BDS("1978022D US Equity","SUPPLY_CHAIN_SUPPLIERS","RELATIONSHIP_AS_OF_DATE","20040429")</f>
        <v/>
      </c>
      <c r="HR5">
        <f>BDS("1978022D US Equity","SUPPLY_CHAIN_CUSTOMERS","RELATIONSHIP_AS_OF_DATE","20040429")</f>
        <v/>
      </c>
      <c r="HW5">
        <f>BDS("HFWA US Equity","SUPPLY_CHAIN_SUPPLIERS","RELATIONSHIP_AS_OF_DATE","20170727")</f>
        <v/>
      </c>
      <c r="IB5">
        <f>BDS("HFWA US Equity","SUPPLY_CHAIN_CUSTOMERS","RELATIONSHIP_AS_OF_DATE","20170727")</f>
        <v/>
      </c>
      <c r="IG5">
        <f>BDS("RCNCQ US Equity","SUPPLY_CHAIN_SUPPLIERS","RELATIONSHIP_AS_OF_DATE","19980121")</f>
        <v/>
      </c>
      <c r="IL5">
        <f>BDS("RCNCQ US Equity","SUPPLY_CHAIN_CUSTOMERS","RELATIONSHIP_AS_OF_DATE","19980121")</f>
        <v/>
      </c>
      <c r="IQ5">
        <f>BDS("GABC US Equity","SUPPLY_CHAIN_SUPPLIERS","RELATIONSHIP_AS_OF_DATE","20151026")</f>
        <v/>
      </c>
      <c r="IV5">
        <f>BDS("GABC US Equity","SUPPLY_CHAIN_CUSTOMERS","RELATIONSHIP_AS_OF_DATE","20151026")</f>
        <v/>
      </c>
      <c r="JA5">
        <f>BDS("ENVA US Equity","SUPPLY_CHAIN_SUPPLIERS","RELATIONSHIP_AS_OF_DATE","20200728")</f>
        <v/>
      </c>
      <c r="JF5">
        <f>BDS("ENVA US Equity","SUPPLY_CHAIN_CUSTOMERS","RELATIONSHIP_AS_OF_DATE","20200728")</f>
        <v/>
      </c>
      <c r="JK5">
        <f>BDS("TMP US Equity","SUPPLY_CHAIN_SUPPLIERS","RELATIONSHIP_AS_OF_DATE","20120126")</f>
        <v/>
      </c>
      <c r="JP5">
        <f>BDS("TMP US Equity","SUPPLY_CHAIN_CUSTOMERS","RELATIONSHIP_AS_OF_DATE","20120126")</f>
        <v/>
      </c>
      <c r="JU5">
        <f>BDS("696119Q US Equity","SUPPLY_CHAIN_SUPPLIERS","RELATIONSHIP_AS_OF_DATE","20000131")</f>
        <v/>
      </c>
      <c r="JZ5">
        <f>BDS("696119Q US Equity","SUPPLY_CHAIN_CUSTOMERS","RELATIONSHIP_AS_OF_DATE","20000131")</f>
        <v/>
      </c>
      <c r="KE5">
        <f>BDS("DIAN US Equity","SUPPLY_CHAIN_SUPPLIERS","RELATIONSHIP_AS_OF_DATE","19980820")</f>
        <v/>
      </c>
      <c r="KJ5">
        <f>BDS("DIAN US Equity","SUPPLY_CHAIN_CUSTOMERS","RELATIONSHIP_AS_OF_DATE","19980820")</f>
        <v/>
      </c>
      <c r="KO5">
        <f>BDS("CG US Equity","SUPPLY_CHAIN_SUPPLIERS","RELATIONSHIP_AS_OF_DATE","20150831")</f>
        <v/>
      </c>
      <c r="KT5">
        <f>BDS("CG US Equity","SUPPLY_CHAIN_CUSTOMERS","RELATIONSHIP_AS_OF_DATE","20150831")</f>
        <v/>
      </c>
      <c r="KY5">
        <f>BDS("FNB US Equity","SUPPLY_CHAIN_SUPPLIERS","RELATIONSHIP_AS_OF_DATE","20080215")</f>
        <v/>
      </c>
      <c r="LD5">
        <f>BDS("FNB US Equity","SUPPLY_CHAIN_CUSTOMERS","RELATIONSHIP_AS_OF_DATE","20080215")</f>
        <v/>
      </c>
      <c r="LI5">
        <f>BDS("TCF US Equity","SUPPLY_CHAIN_SUPPLIERS","RELATIONSHIP_AS_OF_DATE","20100108")</f>
        <v/>
      </c>
      <c r="LN5">
        <f>BDS("TCF US Equity","SUPPLY_CHAIN_CUSTOMERS","RELATIONSHIP_AS_OF_DATE","20100108")</f>
        <v/>
      </c>
      <c r="LS5">
        <f>BDS("1996074D US Equity","SUPPLY_CHAIN_SUPPLIERS","RELATIONSHIP_AS_OF_DATE","19990920")</f>
        <v/>
      </c>
      <c r="LX5">
        <f>BDS("1996074D US Equity","SUPPLY_CHAIN_CUSTOMERS","RELATIONSHIP_AS_OF_DATE","19990920")</f>
        <v/>
      </c>
      <c r="MC5">
        <f>BDS("WFC US Equity","SUPPLY_CHAIN_SUPPLIERS","RELATIONSHIP_AS_OF_DATE","20011213")</f>
        <v/>
      </c>
      <c r="MH5">
        <f>BDS("WFC US Equity","SUPPLY_CHAIN_CUSTOMERS","RELATIONSHIP_AS_OF_DATE","20011213")</f>
        <v/>
      </c>
      <c r="MM5">
        <f>BDS("TMP US Equity","SUPPLY_CHAIN_SUPPLIERS","RELATIONSHIP_AS_OF_DATE","19990802")</f>
        <v/>
      </c>
      <c r="MR5">
        <f>BDS("TMP US Equity","SUPPLY_CHAIN_CUSTOMERS","RELATIONSHIP_AS_OF_DATE","19990802")</f>
        <v/>
      </c>
      <c r="MW5">
        <f>BDS("ESBF US Equity","SUPPLY_CHAIN_SUPPLIERS","RELATIONSHIP_AS_OF_DATE","20040812")</f>
        <v/>
      </c>
      <c r="NB5">
        <f>BDS("ESBF US Equity","SUPPLY_CHAIN_CUSTOMERS","RELATIONSHIP_AS_OF_DATE","20040812")</f>
        <v/>
      </c>
      <c r="NG5">
        <f>BDS("CLGX US Equity","SUPPLY_CHAIN_SUPPLIERS","RELATIONSHIP_AS_OF_DATE","19980118")</f>
        <v/>
      </c>
      <c r="NL5">
        <f>BDS("CLGX US Equity","SUPPLY_CHAIN_CUSTOMERS","RELATIONSHIP_AS_OF_DATE","19980118")</f>
        <v/>
      </c>
      <c r="NQ5">
        <f>BDS("PTEN US Equity","SUPPLY_CHAIN_SUPPLIERS","RELATIONSHIP_AS_OF_DATE","20030527")</f>
        <v/>
      </c>
      <c r="NV5">
        <f>BDS("PTEN US Equity","SUPPLY_CHAIN_CUSTOMERS","RELATIONSHIP_AS_OF_DATE","20030527")</f>
        <v/>
      </c>
      <c r="OA5">
        <f>BDS("ONB US Equity","SUPPLY_CHAIN_SUPPLIERS","RELATIONSHIP_AS_OF_DATE","19991220")</f>
        <v/>
      </c>
      <c r="OF5">
        <f>BDS("ONB US Equity","SUPPLY_CHAIN_CUSTOMERS","RELATIONSHIP_AS_OF_DATE","19991220")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3561</t>
        </is>
      </c>
      <c r="K1" s="1" t="inlineStr">
        <is>
          <t>Deal 3562</t>
        </is>
      </c>
      <c r="U1" s="1" t="inlineStr">
        <is>
          <t>Deal 3563</t>
        </is>
      </c>
      <c r="AE1" s="1" t="inlineStr">
        <is>
          <t>Deal 3564</t>
        </is>
      </c>
      <c r="AO1" s="1" t="inlineStr">
        <is>
          <t>Deal 3565</t>
        </is>
      </c>
      <c r="AY1" s="1" t="inlineStr">
        <is>
          <t>Deal 3566</t>
        </is>
      </c>
      <c r="BI1" s="1" t="inlineStr">
        <is>
          <t>Deal 3567</t>
        </is>
      </c>
      <c r="BS1" s="1" t="inlineStr">
        <is>
          <t>Deal 3568</t>
        </is>
      </c>
      <c r="CC1" s="1" t="inlineStr">
        <is>
          <t>Deal 3569</t>
        </is>
      </c>
      <c r="CM1" s="1" t="inlineStr">
        <is>
          <t>Deal 3570</t>
        </is>
      </c>
      <c r="CW1" s="1" t="inlineStr">
        <is>
          <t>Deal 3571</t>
        </is>
      </c>
      <c r="DG1" s="1" t="inlineStr">
        <is>
          <t>Deal 3572</t>
        </is>
      </c>
      <c r="DQ1" s="1" t="inlineStr">
        <is>
          <t>Deal 3573</t>
        </is>
      </c>
      <c r="EA1" s="1" t="inlineStr">
        <is>
          <t>Deal 3574</t>
        </is>
      </c>
      <c r="EK1" s="1" t="inlineStr">
        <is>
          <t>Deal 3575</t>
        </is>
      </c>
      <c r="EU1" s="1" t="inlineStr">
        <is>
          <t>Deal 3576</t>
        </is>
      </c>
      <c r="FE1" s="1" t="inlineStr">
        <is>
          <t>Deal 3577</t>
        </is>
      </c>
      <c r="FO1" s="1" t="inlineStr">
        <is>
          <t>Deal 3578</t>
        </is>
      </c>
      <c r="FY1" s="1" t="inlineStr">
        <is>
          <t>Deal 3579</t>
        </is>
      </c>
      <c r="GI1" s="1" t="inlineStr">
        <is>
          <t>Deal 3580</t>
        </is>
      </c>
      <c r="GS1" s="1" t="inlineStr">
        <is>
          <t>Deal 3581</t>
        </is>
      </c>
      <c r="HC1" s="1" t="inlineStr">
        <is>
          <t>Deal 3582</t>
        </is>
      </c>
      <c r="HM1" s="1" t="inlineStr">
        <is>
          <t>Deal 3583</t>
        </is>
      </c>
      <c r="HW1" s="1" t="inlineStr">
        <is>
          <t>Deal 3584</t>
        </is>
      </c>
      <c r="IG1" s="1" t="inlineStr">
        <is>
          <t>Deal 3585</t>
        </is>
      </c>
      <c r="IQ1" s="1" t="inlineStr">
        <is>
          <t>Deal 3586</t>
        </is>
      </c>
      <c r="JA1" s="1" t="inlineStr">
        <is>
          <t>Deal 3587</t>
        </is>
      </c>
      <c r="JK1" s="1" t="inlineStr">
        <is>
          <t>Deal 3588</t>
        </is>
      </c>
      <c r="JU1" s="1" t="inlineStr">
        <is>
          <t>Deal 3589</t>
        </is>
      </c>
      <c r="KE1" s="1" t="inlineStr">
        <is>
          <t>Deal 3590</t>
        </is>
      </c>
      <c r="KO1" s="1" t="inlineStr">
        <is>
          <t>Deal 3591</t>
        </is>
      </c>
      <c r="KY1" s="1" t="inlineStr">
        <is>
          <t>Deal 3592</t>
        </is>
      </c>
      <c r="LI1" s="1" t="inlineStr">
        <is>
          <t>Deal 3593</t>
        </is>
      </c>
      <c r="LS1" s="1" t="inlineStr">
        <is>
          <t>Deal 3594</t>
        </is>
      </c>
      <c r="MC1" s="1" t="inlineStr">
        <is>
          <t>Deal 3595</t>
        </is>
      </c>
      <c r="MM1" s="1" t="inlineStr">
        <is>
          <t>Deal 3596</t>
        </is>
      </c>
      <c r="MW1" s="1" t="inlineStr">
        <is>
          <t>Deal 3597</t>
        </is>
      </c>
      <c r="NG1" s="1" t="inlineStr">
        <is>
          <t>Deal 3598</t>
        </is>
      </c>
      <c r="NQ1" s="1" t="inlineStr">
        <is>
          <t>Deal 3599</t>
        </is>
      </c>
      <c r="OA1" s="1" t="inlineStr">
        <is>
          <t>Deal 3600</t>
        </is>
      </c>
    </row>
    <row r="2">
      <c r="A2" s="2" t="inlineStr">
        <is>
          <t>HD US Equity</t>
        </is>
      </c>
      <c r="K2" s="2" t="inlineStr">
        <is>
          <t>2567699D US Equity</t>
        </is>
      </c>
      <c r="U2" s="2" t="inlineStr">
        <is>
          <t>1860560D US Equity</t>
        </is>
      </c>
      <c r="AE2" s="2" t="inlineStr">
        <is>
          <t>STJ US Equity</t>
        </is>
      </c>
      <c r="AO2" s="2" t="inlineStr">
        <is>
          <t>CHTRQ US Equity</t>
        </is>
      </c>
      <c r="AY2" s="2" t="inlineStr">
        <is>
          <t>CGCP US Equity</t>
        </is>
      </c>
      <c r="BI2" s="2" t="inlineStr">
        <is>
          <t>CBSH US Equity</t>
        </is>
      </c>
      <c r="BS2" s="2" t="inlineStr">
        <is>
          <t>MMSI US Equity</t>
        </is>
      </c>
      <c r="CC2" s="2" t="inlineStr">
        <is>
          <t>CBU US Equity</t>
        </is>
      </c>
      <c r="CM2" s="2" t="inlineStr">
        <is>
          <t>2258717D US Equity</t>
        </is>
      </c>
      <c r="CW2" s="2" t="inlineStr">
        <is>
          <t>PSTB US Equity</t>
        </is>
      </c>
      <c r="DG2" s="2" t="inlineStr">
        <is>
          <t>ZBRA US Equity</t>
        </is>
      </c>
      <c r="DQ2" s="2" t="inlineStr">
        <is>
          <t>HBEK US Equity</t>
        </is>
      </c>
      <c r="EA2" s="2" t="inlineStr">
        <is>
          <t>CLGX US Equity</t>
        </is>
      </c>
      <c r="EK2" s="2" t="inlineStr">
        <is>
          <t>0852602D US Equity</t>
        </is>
      </c>
      <c r="EU2" s="2" t="inlineStr">
        <is>
          <t>HAIN US Equity</t>
        </is>
      </c>
      <c r="FE2" s="2" t="inlineStr">
        <is>
          <t>2649Q US Equity</t>
        </is>
      </c>
      <c r="FO2" s="2" t="inlineStr">
        <is>
          <t>MYGN US Equity</t>
        </is>
      </c>
      <c r="FY2" s="2" t="inlineStr">
        <is>
          <t>SPPI US Equity</t>
        </is>
      </c>
      <c r="GI2" s="2" t="inlineStr">
        <is>
          <t>IXX US Equity</t>
        </is>
      </c>
      <c r="GS2" s="2" t="inlineStr">
        <is>
          <t>SOHO US Equity</t>
        </is>
      </c>
      <c r="HC2" s="2" t="inlineStr">
        <is>
          <t>FNB US Equity</t>
        </is>
      </c>
      <c r="HM2" s="2" t="inlineStr">
        <is>
          <t>373937Q US Equity</t>
        </is>
      </c>
      <c r="HW2" s="2" t="inlineStr">
        <is>
          <t>ENOC US Equity</t>
        </is>
      </c>
      <c r="IG2" s="2" t="inlineStr">
        <is>
          <t>CBU US Equity</t>
        </is>
      </c>
      <c r="IQ2" s="2" t="inlineStr">
        <is>
          <t>FINN US Equity</t>
        </is>
      </c>
      <c r="JA2" s="2" t="inlineStr">
        <is>
          <t>FDBC US Equity</t>
        </is>
      </c>
      <c r="JK2" s="2" t="inlineStr">
        <is>
          <t>CHD US Equity</t>
        </is>
      </c>
      <c r="JU2" s="2" t="inlineStr">
        <is>
          <t>BBT US Equity</t>
        </is>
      </c>
      <c r="KE2" s="2" t="inlineStr">
        <is>
          <t>MENT US Equity</t>
        </is>
      </c>
      <c r="KO2" s="2" t="inlineStr">
        <is>
          <t>ON US Equity</t>
        </is>
      </c>
      <c r="KY2" s="2" t="inlineStr">
        <is>
          <t>FITB US Equity</t>
        </is>
      </c>
      <c r="LI2" s="2" t="inlineStr">
        <is>
          <t>PNWB US Equity</t>
        </is>
      </c>
      <c r="LS2" s="2" t="inlineStr">
        <is>
          <t>STBZ US Equity</t>
        </is>
      </c>
      <c r="MC2" s="2" t="inlineStr">
        <is>
          <t>LAMR US Equity</t>
        </is>
      </c>
      <c r="MM2" s="2" t="inlineStr">
        <is>
          <t>FBNC US Equity</t>
        </is>
      </c>
      <c r="MW2" s="2" t="inlineStr">
        <is>
          <t>ONB US Equity</t>
        </is>
      </c>
      <c r="NG2" s="2" t="inlineStr">
        <is>
          <t>FNFG US Equity</t>
        </is>
      </c>
      <c r="NQ2" s="2" t="inlineStr">
        <is>
          <t>OAKT US Equity</t>
        </is>
      </c>
      <c r="OA2" s="2" t="inlineStr">
        <is>
          <t>PRMW CN Equity</t>
        </is>
      </c>
    </row>
    <row r="3">
      <c r="A3" t="inlineStr">
        <is>
          <t>Ann: 2012-08-07</t>
        </is>
      </c>
      <c r="K3" t="inlineStr">
        <is>
          <t>Ann: 1998-06-22</t>
        </is>
      </c>
      <c r="U3" t="inlineStr">
        <is>
          <t>Ann: 2014-12-22</t>
        </is>
      </c>
      <c r="AE3" t="inlineStr">
        <is>
          <t>Ann: 2008-04-09</t>
        </is>
      </c>
      <c r="AO3" t="inlineStr">
        <is>
          <t>Ann: 2001-08-01</t>
        </is>
      </c>
      <c r="AY3" t="inlineStr">
        <is>
          <t>Ann: 1998-10-22</t>
        </is>
      </c>
      <c r="BI3" t="inlineStr">
        <is>
          <t>Ann: 2006-04-13</t>
        </is>
      </c>
      <c r="BS3" t="inlineStr">
        <is>
          <t>Ann: 2010-05-13</t>
        </is>
      </c>
      <c r="CC3" t="inlineStr">
        <is>
          <t>Ann: 2021-10-04</t>
        </is>
      </c>
      <c r="CM3" t="inlineStr">
        <is>
          <t>Ann: 2007-12-27</t>
        </is>
      </c>
      <c r="CW3" t="inlineStr">
        <is>
          <t>Ann: 2012-05-14</t>
        </is>
      </c>
      <c r="DG3" t="inlineStr">
        <is>
          <t>Ann: 2018-07-05</t>
        </is>
      </c>
      <c r="DQ3" t="inlineStr">
        <is>
          <t>Ann: 2003-08-12</t>
        </is>
      </c>
      <c r="EA3" t="inlineStr">
        <is>
          <t>Ann: 2002-12-16</t>
        </is>
      </c>
      <c r="EK3" t="inlineStr">
        <is>
          <t>Ann: 1998-12-10</t>
        </is>
      </c>
      <c r="EU3" t="inlineStr">
        <is>
          <t>Ann: 1999-04-06</t>
        </is>
      </c>
      <c r="FE3" t="inlineStr">
        <is>
          <t>Ann: 1998-02-11</t>
        </is>
      </c>
      <c r="FO3" t="inlineStr">
        <is>
          <t>Ann: 2011-04-27</t>
        </is>
      </c>
      <c r="FY3" t="inlineStr">
        <is>
          <t>Ann: 2012-04-05</t>
        </is>
      </c>
      <c r="GI3" t="inlineStr">
        <is>
          <t>Ann: 1998-03-23</t>
        </is>
      </c>
      <c r="GS3" t="inlineStr">
        <is>
          <t>Ann: 2018-03-05</t>
        </is>
      </c>
      <c r="HC3" t="inlineStr">
        <is>
          <t>Ann: 2004-05-06</t>
        </is>
      </c>
      <c r="HM3" t="inlineStr">
        <is>
          <t>Ann: 2000-01-28</t>
        </is>
      </c>
      <c r="HW3" t="inlineStr">
        <is>
          <t>Ann: 2014-11-04</t>
        </is>
      </c>
      <c r="IG3" t="inlineStr">
        <is>
          <t>Ann: 2003-06-09</t>
        </is>
      </c>
      <c r="IQ3" t="inlineStr">
        <is>
          <t>Ann: 2001-09-11</t>
        </is>
      </c>
      <c r="JA3" t="inlineStr">
        <is>
          <t>Ann: 2019-12-10</t>
        </is>
      </c>
      <c r="JK3" t="inlineStr">
        <is>
          <t>Ann: 2001-04-02</t>
        </is>
      </c>
      <c r="JU3" t="inlineStr">
        <is>
          <t>Ann: 2007-05-15</t>
        </is>
      </c>
      <c r="KE3" t="inlineStr">
        <is>
          <t>Ann: 2001-12-07</t>
        </is>
      </c>
      <c r="KO3" t="inlineStr">
        <is>
          <t>Ann: 2008-07-17</t>
        </is>
      </c>
      <c r="KY3" t="inlineStr">
        <is>
          <t>Ann: 1998-09-25</t>
        </is>
      </c>
      <c r="LI3" t="inlineStr">
        <is>
          <t>Ann: 2002-07-22</t>
        </is>
      </c>
      <c r="LS3" t="inlineStr">
        <is>
          <t>Ann: 2014-06-24</t>
        </is>
      </c>
      <c r="MC3" t="inlineStr">
        <is>
          <t>Ann: 2022-12-13</t>
        </is>
      </c>
      <c r="MM3" t="inlineStr">
        <is>
          <t>Ann: 1999-12-15</t>
        </is>
      </c>
      <c r="MW3" t="inlineStr">
        <is>
          <t>Ann: 2012-01-25</t>
        </is>
      </c>
      <c r="NG3" t="inlineStr">
        <is>
          <t>Ann: 2000-03-27</t>
        </is>
      </c>
      <c r="NQ3" t="inlineStr">
        <is>
          <t>Ann: 1999-07-29</t>
        </is>
      </c>
      <c r="OA3" t="inlineStr">
        <is>
          <t>Ann: 2018-10-15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BDS("HD US Equity","SUPPLY_CHAIN_SUPPLIERS","RELATIONSHIP_AS_OF_DATE","20120807")</f>
        <v/>
      </c>
      <c r="F5">
        <f>BDS("HD US Equity","SUPPLY_CHAIN_CUSTOMERS","RELATIONSHIP_AS_OF_DATE","20120807")</f>
        <v/>
      </c>
      <c r="K5">
        <f>BDS("2567699D US Equity","SUPPLY_CHAIN_SUPPLIERS","RELATIONSHIP_AS_OF_DATE","19980622")</f>
        <v/>
      </c>
      <c r="P5">
        <f>BDS("2567699D US Equity","SUPPLY_CHAIN_CUSTOMERS","RELATIONSHIP_AS_OF_DATE","19980622")</f>
        <v/>
      </c>
      <c r="U5">
        <f>BDS("1860560D US Equity","SUPPLY_CHAIN_SUPPLIERS","RELATIONSHIP_AS_OF_DATE","20141222")</f>
        <v/>
      </c>
      <c r="Z5">
        <f>BDS("1860560D US Equity","SUPPLY_CHAIN_CUSTOMERS","RELATIONSHIP_AS_OF_DATE","20141222")</f>
        <v/>
      </c>
      <c r="AE5">
        <f>BDS("STJ US Equity","SUPPLY_CHAIN_SUPPLIERS","RELATIONSHIP_AS_OF_DATE","20080409")</f>
        <v/>
      </c>
      <c r="AJ5">
        <f>BDS("STJ US Equity","SUPPLY_CHAIN_CUSTOMERS","RELATIONSHIP_AS_OF_DATE","20080409")</f>
        <v/>
      </c>
      <c r="AO5">
        <f>BDS("CHTRQ US Equity","SUPPLY_CHAIN_SUPPLIERS","RELATIONSHIP_AS_OF_DATE","20010801")</f>
        <v/>
      </c>
      <c r="AT5">
        <f>BDS("CHTRQ US Equity","SUPPLY_CHAIN_CUSTOMERS","RELATIONSHIP_AS_OF_DATE","20010801")</f>
        <v/>
      </c>
      <c r="AY5">
        <f>BDS("CGCP US Equity","SUPPLY_CHAIN_SUPPLIERS","RELATIONSHIP_AS_OF_DATE","19981022")</f>
        <v/>
      </c>
      <c r="BD5">
        <f>BDS("CGCP US Equity","SUPPLY_CHAIN_CUSTOMERS","RELATIONSHIP_AS_OF_DATE","19981022")</f>
        <v/>
      </c>
      <c r="BI5">
        <f>BDS("CBSH US Equity","SUPPLY_CHAIN_SUPPLIERS","RELATIONSHIP_AS_OF_DATE","20060413")</f>
        <v/>
      </c>
      <c r="BN5">
        <f>BDS("CBSH US Equity","SUPPLY_CHAIN_CUSTOMERS","RELATIONSHIP_AS_OF_DATE","20060413")</f>
        <v/>
      </c>
      <c r="BS5">
        <f>BDS("MMSI US Equity","SUPPLY_CHAIN_SUPPLIERS","RELATIONSHIP_AS_OF_DATE","20100513")</f>
        <v/>
      </c>
      <c r="BX5">
        <f>BDS("MMSI US Equity","SUPPLY_CHAIN_CUSTOMERS","RELATIONSHIP_AS_OF_DATE","20100513")</f>
        <v/>
      </c>
      <c r="CC5">
        <f>BDS("CBU US Equity","SUPPLY_CHAIN_SUPPLIERS","RELATIONSHIP_AS_OF_DATE","20211004")</f>
        <v/>
      </c>
      <c r="CH5">
        <f>BDS("CBU US Equity","SUPPLY_CHAIN_CUSTOMERS","RELATIONSHIP_AS_OF_DATE","20211004")</f>
        <v/>
      </c>
      <c r="CM5">
        <f>BDS("2258717D US Equity","SUPPLY_CHAIN_SUPPLIERS","RELATIONSHIP_AS_OF_DATE","20071227")</f>
        <v/>
      </c>
      <c r="CR5">
        <f>BDS("2258717D US Equity","SUPPLY_CHAIN_CUSTOMERS","RELATIONSHIP_AS_OF_DATE","20071227")</f>
        <v/>
      </c>
      <c r="CW5">
        <f>BDS("PSTB US Equity","SUPPLY_CHAIN_SUPPLIERS","RELATIONSHIP_AS_OF_DATE","20120514")</f>
        <v/>
      </c>
      <c r="DB5">
        <f>BDS("PSTB US Equity","SUPPLY_CHAIN_CUSTOMERS","RELATIONSHIP_AS_OF_DATE","20120514")</f>
        <v/>
      </c>
      <c r="DG5">
        <f>BDS("ZBRA US Equity","SUPPLY_CHAIN_SUPPLIERS","RELATIONSHIP_AS_OF_DATE","20180705")</f>
        <v/>
      </c>
      <c r="DL5">
        <f>BDS("ZBRA US Equity","SUPPLY_CHAIN_CUSTOMERS","RELATIONSHIP_AS_OF_DATE","20180705")</f>
        <v/>
      </c>
      <c r="DQ5">
        <f>BDS("HBEK US Equity","SUPPLY_CHAIN_SUPPLIERS","RELATIONSHIP_AS_OF_DATE","20030812")</f>
        <v/>
      </c>
      <c r="DV5">
        <f>BDS("HBEK US Equity","SUPPLY_CHAIN_CUSTOMERS","RELATIONSHIP_AS_OF_DATE","20030812")</f>
        <v/>
      </c>
      <c r="EA5">
        <f>BDS("CLGX US Equity","SUPPLY_CHAIN_SUPPLIERS","RELATIONSHIP_AS_OF_DATE","20021216")</f>
        <v/>
      </c>
      <c r="EF5">
        <f>BDS("CLGX US Equity","SUPPLY_CHAIN_CUSTOMERS","RELATIONSHIP_AS_OF_DATE","20021216")</f>
        <v/>
      </c>
      <c r="EK5">
        <f>BDS("0852602D US Equity","SUPPLY_CHAIN_SUPPLIERS","RELATIONSHIP_AS_OF_DATE","19981210")</f>
        <v/>
      </c>
      <c r="EP5">
        <f>BDS("0852602D US Equity","SUPPLY_CHAIN_CUSTOMERS","RELATIONSHIP_AS_OF_DATE","19981210")</f>
        <v/>
      </c>
      <c r="EU5">
        <f>BDS("HAIN US Equity","SUPPLY_CHAIN_SUPPLIERS","RELATIONSHIP_AS_OF_DATE","19990406")</f>
        <v/>
      </c>
      <c r="EZ5">
        <f>BDS("HAIN US Equity","SUPPLY_CHAIN_CUSTOMERS","RELATIONSHIP_AS_OF_DATE","19990406")</f>
        <v/>
      </c>
      <c r="FE5">
        <f>BDS("2649Q US Equity","SUPPLY_CHAIN_SUPPLIERS","RELATIONSHIP_AS_OF_DATE","19980211")</f>
        <v/>
      </c>
      <c r="FJ5">
        <f>BDS("2649Q US Equity","SUPPLY_CHAIN_CUSTOMERS","RELATIONSHIP_AS_OF_DATE","19980211")</f>
        <v/>
      </c>
      <c r="FO5">
        <f>BDS("MYGN US Equity","SUPPLY_CHAIN_SUPPLIERS","RELATIONSHIP_AS_OF_DATE","20110427")</f>
        <v/>
      </c>
      <c r="FT5">
        <f>BDS("MYGN US Equity","SUPPLY_CHAIN_CUSTOMERS","RELATIONSHIP_AS_OF_DATE","20110427")</f>
        <v/>
      </c>
      <c r="FY5">
        <f>BDS("SPPI US Equity","SUPPLY_CHAIN_SUPPLIERS","RELATIONSHIP_AS_OF_DATE","20120405")</f>
        <v/>
      </c>
      <c r="GD5">
        <f>BDS("SPPI US Equity","SUPPLY_CHAIN_CUSTOMERS","RELATIONSHIP_AS_OF_DATE","20120405")</f>
        <v/>
      </c>
      <c r="GI5">
        <f>BDS("IXX US Equity","SUPPLY_CHAIN_SUPPLIERS","RELATIONSHIP_AS_OF_DATE","19980323")</f>
        <v/>
      </c>
      <c r="GN5">
        <f>BDS("IXX US Equity","SUPPLY_CHAIN_CUSTOMERS","RELATIONSHIP_AS_OF_DATE","19980323")</f>
        <v/>
      </c>
      <c r="GS5">
        <f>BDS("SOHO US Equity","SUPPLY_CHAIN_SUPPLIERS","RELATIONSHIP_AS_OF_DATE","20180305")</f>
        <v/>
      </c>
      <c r="GX5">
        <f>BDS("SOHO US Equity","SUPPLY_CHAIN_CUSTOMERS","RELATIONSHIP_AS_OF_DATE","20180305")</f>
        <v/>
      </c>
      <c r="HC5">
        <f>BDS("FNB US Equity","SUPPLY_CHAIN_SUPPLIERS","RELATIONSHIP_AS_OF_DATE","20040506")</f>
        <v/>
      </c>
      <c r="HH5">
        <f>BDS("FNB US Equity","SUPPLY_CHAIN_CUSTOMERS","RELATIONSHIP_AS_OF_DATE","20040506")</f>
        <v/>
      </c>
      <c r="HM5">
        <f>BDS("373937Q US Equity","SUPPLY_CHAIN_SUPPLIERS","RELATIONSHIP_AS_OF_DATE","20000128")</f>
        <v/>
      </c>
      <c r="HR5">
        <f>BDS("373937Q US Equity","SUPPLY_CHAIN_CUSTOMERS","RELATIONSHIP_AS_OF_DATE","20000128")</f>
        <v/>
      </c>
      <c r="HW5">
        <f>BDS("ENOC US Equity","SUPPLY_CHAIN_SUPPLIERS","RELATIONSHIP_AS_OF_DATE","20141104")</f>
        <v/>
      </c>
      <c r="IB5">
        <f>BDS("ENOC US Equity","SUPPLY_CHAIN_CUSTOMERS","RELATIONSHIP_AS_OF_DATE","20141104")</f>
        <v/>
      </c>
      <c r="IG5">
        <f>BDS("CBU US Equity","SUPPLY_CHAIN_SUPPLIERS","RELATIONSHIP_AS_OF_DATE","20030609")</f>
        <v/>
      </c>
      <c r="IL5">
        <f>BDS("CBU US Equity","SUPPLY_CHAIN_CUSTOMERS","RELATIONSHIP_AS_OF_DATE","20030609")</f>
        <v/>
      </c>
      <c r="IQ5">
        <f>BDS("FINN US Equity","SUPPLY_CHAIN_SUPPLIERS","RELATIONSHIP_AS_OF_DATE","20010911")</f>
        <v/>
      </c>
      <c r="IV5">
        <f>BDS("FINN US Equity","SUPPLY_CHAIN_CUSTOMERS","RELATIONSHIP_AS_OF_DATE","20010911")</f>
        <v/>
      </c>
      <c r="JA5">
        <f>BDS("FDBC US Equity","SUPPLY_CHAIN_SUPPLIERS","RELATIONSHIP_AS_OF_DATE","20191210")</f>
        <v/>
      </c>
      <c r="JF5">
        <f>BDS("FDBC US Equity","SUPPLY_CHAIN_CUSTOMERS","RELATIONSHIP_AS_OF_DATE","20191210")</f>
        <v/>
      </c>
      <c r="JK5">
        <f>BDS("CHD US Equity","SUPPLY_CHAIN_SUPPLIERS","RELATIONSHIP_AS_OF_DATE","20010402")</f>
        <v/>
      </c>
      <c r="JP5">
        <f>BDS("CHD US Equity","SUPPLY_CHAIN_CUSTOMERS","RELATIONSHIP_AS_OF_DATE","20010402")</f>
        <v/>
      </c>
      <c r="JU5">
        <f>BDS("BBT US Equity","SUPPLY_CHAIN_SUPPLIERS","RELATIONSHIP_AS_OF_DATE","20070515")</f>
        <v/>
      </c>
      <c r="JZ5">
        <f>BDS("BBT US Equity","SUPPLY_CHAIN_CUSTOMERS","RELATIONSHIP_AS_OF_DATE","20070515")</f>
        <v/>
      </c>
      <c r="KE5">
        <f>BDS("MENT US Equity","SUPPLY_CHAIN_SUPPLIERS","RELATIONSHIP_AS_OF_DATE","20011207")</f>
        <v/>
      </c>
      <c r="KJ5">
        <f>BDS("MENT US Equity","SUPPLY_CHAIN_CUSTOMERS","RELATIONSHIP_AS_OF_DATE","20011207")</f>
        <v/>
      </c>
      <c r="KO5">
        <f>BDS("ON US Equity","SUPPLY_CHAIN_SUPPLIERS","RELATIONSHIP_AS_OF_DATE","20080717")</f>
        <v/>
      </c>
      <c r="KT5">
        <f>BDS("ON US Equity","SUPPLY_CHAIN_CUSTOMERS","RELATIONSHIP_AS_OF_DATE","20080717")</f>
        <v/>
      </c>
      <c r="KY5">
        <f>BDS("FITB US Equity","SUPPLY_CHAIN_SUPPLIERS","RELATIONSHIP_AS_OF_DATE","19980925")</f>
        <v/>
      </c>
      <c r="LD5">
        <f>BDS("FITB US Equity","SUPPLY_CHAIN_CUSTOMERS","RELATIONSHIP_AS_OF_DATE","19980925")</f>
        <v/>
      </c>
      <c r="LI5">
        <f>BDS("PNWB US Equity","SUPPLY_CHAIN_SUPPLIERS","RELATIONSHIP_AS_OF_DATE","20020722")</f>
        <v/>
      </c>
      <c r="LN5">
        <f>BDS("PNWB US Equity","SUPPLY_CHAIN_CUSTOMERS","RELATIONSHIP_AS_OF_DATE","20020722")</f>
        <v/>
      </c>
      <c r="LS5">
        <f>BDS("STBZ US Equity","SUPPLY_CHAIN_SUPPLIERS","RELATIONSHIP_AS_OF_DATE","20140624")</f>
        <v/>
      </c>
      <c r="LX5">
        <f>BDS("STBZ US Equity","SUPPLY_CHAIN_CUSTOMERS","RELATIONSHIP_AS_OF_DATE","20140624")</f>
        <v/>
      </c>
      <c r="MC5">
        <f>BDS("LAMR US Equity","SUPPLY_CHAIN_SUPPLIERS","RELATIONSHIP_AS_OF_DATE","20221213")</f>
        <v/>
      </c>
      <c r="MH5">
        <f>BDS("LAMR US Equity","SUPPLY_CHAIN_CUSTOMERS","RELATIONSHIP_AS_OF_DATE","20221213")</f>
        <v/>
      </c>
      <c r="MM5">
        <f>BDS("FBNC US Equity","SUPPLY_CHAIN_SUPPLIERS","RELATIONSHIP_AS_OF_DATE","19991215")</f>
        <v/>
      </c>
      <c r="MR5">
        <f>BDS("FBNC US Equity","SUPPLY_CHAIN_CUSTOMERS","RELATIONSHIP_AS_OF_DATE","19991215")</f>
        <v/>
      </c>
      <c r="MW5">
        <f>BDS("ONB US Equity","SUPPLY_CHAIN_SUPPLIERS","RELATIONSHIP_AS_OF_DATE","20120125")</f>
        <v/>
      </c>
      <c r="NB5">
        <f>BDS("ONB US Equity","SUPPLY_CHAIN_CUSTOMERS","RELATIONSHIP_AS_OF_DATE","20120125")</f>
        <v/>
      </c>
      <c r="NG5">
        <f>BDS("FNFG US Equity","SUPPLY_CHAIN_SUPPLIERS","RELATIONSHIP_AS_OF_DATE","20000327")</f>
        <v/>
      </c>
      <c r="NL5">
        <f>BDS("FNFG US Equity","SUPPLY_CHAIN_CUSTOMERS","RELATIONSHIP_AS_OF_DATE","20000327")</f>
        <v/>
      </c>
      <c r="NQ5">
        <f>BDS("OAKT US Equity","SUPPLY_CHAIN_SUPPLIERS","RELATIONSHIP_AS_OF_DATE","19990729")</f>
        <v/>
      </c>
      <c r="NV5">
        <f>BDS("OAKT US Equity","SUPPLY_CHAIN_CUSTOMERS","RELATIONSHIP_AS_OF_DATE","19990729")</f>
        <v/>
      </c>
      <c r="OA5">
        <f>BDS("PRMW CN Equity","SUPPLY_CHAIN_SUPPLIERS","RELATIONSHIP_AS_OF_DATE","20181015")</f>
        <v/>
      </c>
      <c r="OF5">
        <f>BDS("PRMW CN Equity","SUPPLY_CHAIN_CUSTOMERS","RELATIONSHIP_AS_OF_DATE","20181015")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3601</t>
        </is>
      </c>
      <c r="K1" s="1" t="inlineStr">
        <is>
          <t>Deal 3602</t>
        </is>
      </c>
      <c r="U1" s="1" t="inlineStr">
        <is>
          <t>Deal 3603</t>
        </is>
      </c>
      <c r="AE1" s="1" t="inlineStr">
        <is>
          <t>Deal 3604</t>
        </is>
      </c>
      <c r="AO1" s="1" t="inlineStr">
        <is>
          <t>Deal 3605</t>
        </is>
      </c>
      <c r="AY1" s="1" t="inlineStr">
        <is>
          <t>Deal 3606</t>
        </is>
      </c>
      <c r="BI1" s="1" t="inlineStr">
        <is>
          <t>Deal 3607</t>
        </is>
      </c>
      <c r="BS1" s="1" t="inlineStr">
        <is>
          <t>Deal 3608</t>
        </is>
      </c>
      <c r="CC1" s="1" t="inlineStr">
        <is>
          <t>Deal 3609</t>
        </is>
      </c>
      <c r="CM1" s="1" t="inlineStr">
        <is>
          <t>Deal 3610</t>
        </is>
      </c>
      <c r="CW1" s="1" t="inlineStr">
        <is>
          <t>Deal 3611</t>
        </is>
      </c>
      <c r="DG1" s="1" t="inlineStr">
        <is>
          <t>Deal 3612</t>
        </is>
      </c>
      <c r="DQ1" s="1" t="inlineStr">
        <is>
          <t>Deal 3613</t>
        </is>
      </c>
      <c r="EA1" s="1" t="inlineStr">
        <is>
          <t>Deal 3614</t>
        </is>
      </c>
      <c r="EK1" s="1" t="inlineStr">
        <is>
          <t>Deal 3615</t>
        </is>
      </c>
      <c r="EU1" s="1" t="inlineStr">
        <is>
          <t>Deal 3616</t>
        </is>
      </c>
      <c r="FE1" s="1" t="inlineStr">
        <is>
          <t>Deal 3617</t>
        </is>
      </c>
      <c r="FO1" s="1" t="inlineStr">
        <is>
          <t>Deal 3618</t>
        </is>
      </c>
      <c r="FY1" s="1" t="inlineStr">
        <is>
          <t>Deal 3619</t>
        </is>
      </c>
      <c r="GI1" s="1" t="inlineStr">
        <is>
          <t>Deal 3620</t>
        </is>
      </c>
      <c r="GS1" s="1" t="inlineStr">
        <is>
          <t>Deal 3621</t>
        </is>
      </c>
      <c r="HC1" s="1" t="inlineStr">
        <is>
          <t>Deal 3622</t>
        </is>
      </c>
      <c r="HM1" s="1" t="inlineStr">
        <is>
          <t>Deal 3623</t>
        </is>
      </c>
      <c r="HW1" s="1" t="inlineStr">
        <is>
          <t>Deal 3624</t>
        </is>
      </c>
      <c r="IG1" s="1" t="inlineStr">
        <is>
          <t>Deal 3625</t>
        </is>
      </c>
      <c r="IQ1" s="1" t="inlineStr">
        <is>
          <t>Deal 3626</t>
        </is>
      </c>
      <c r="JA1" s="1" t="inlineStr">
        <is>
          <t>Deal 3627</t>
        </is>
      </c>
      <c r="JK1" s="1" t="inlineStr">
        <is>
          <t>Deal 3628</t>
        </is>
      </c>
      <c r="JU1" s="1" t="inlineStr">
        <is>
          <t>Deal 3629</t>
        </is>
      </c>
      <c r="KE1" s="1" t="inlineStr">
        <is>
          <t>Deal 3630</t>
        </is>
      </c>
      <c r="KO1" s="1" t="inlineStr">
        <is>
          <t>Deal 3631</t>
        </is>
      </c>
      <c r="KY1" s="1" t="inlineStr">
        <is>
          <t>Deal 3632</t>
        </is>
      </c>
      <c r="LI1" s="1" t="inlineStr">
        <is>
          <t>Deal 3633</t>
        </is>
      </c>
      <c r="LS1" s="1" t="inlineStr">
        <is>
          <t>Deal 3634</t>
        </is>
      </c>
      <c r="MC1" s="1" t="inlineStr">
        <is>
          <t>Deal 3635</t>
        </is>
      </c>
      <c r="MM1" s="1" t="inlineStr">
        <is>
          <t>Deal 3636</t>
        </is>
      </c>
      <c r="MW1" s="1" t="inlineStr">
        <is>
          <t>Deal 3637</t>
        </is>
      </c>
      <c r="NG1" s="1" t="inlineStr">
        <is>
          <t>Deal 3638</t>
        </is>
      </c>
      <c r="NQ1" s="1" t="inlineStr">
        <is>
          <t>Deal 3639</t>
        </is>
      </c>
      <c r="OA1" s="1" t="inlineStr">
        <is>
          <t>Deal 3640</t>
        </is>
      </c>
    </row>
    <row r="2">
      <c r="A2" s="2" t="inlineStr">
        <is>
          <t>GWR US Equity</t>
        </is>
      </c>
      <c r="K2" s="2" t="inlineStr">
        <is>
          <t>1779128D US Equity</t>
        </is>
      </c>
      <c r="U2" s="2" t="inlineStr">
        <is>
          <t>FMBH US Equity</t>
        </is>
      </c>
      <c r="AE2" s="2" t="inlineStr">
        <is>
          <t>MOG/A US Equity</t>
        </is>
      </c>
      <c r="AO2" s="2" t="inlineStr">
        <is>
          <t>UPS US Equity</t>
        </is>
      </c>
      <c r="AY2" s="2" t="inlineStr">
        <is>
          <t>VYX US Equity</t>
        </is>
      </c>
      <c r="BI2" s="2" t="inlineStr">
        <is>
          <t>ONB US Equity</t>
        </is>
      </c>
      <c r="BS2" s="2" t="inlineStr">
        <is>
          <t>KTO US Equity</t>
        </is>
      </c>
      <c r="CC2" s="2" t="inlineStr">
        <is>
          <t>CMKC US Equity</t>
        </is>
      </c>
      <c r="CM2" s="2" t="inlineStr">
        <is>
          <t>1806854D US Equity</t>
        </is>
      </c>
      <c r="CW2" s="2" t="inlineStr">
        <is>
          <t>MPB US Equity</t>
        </is>
      </c>
      <c r="DG2" s="2" t="inlineStr">
        <is>
          <t>ZRAN US Equity</t>
        </is>
      </c>
      <c r="DQ2" s="2" t="inlineStr">
        <is>
          <t>GBCI US Equity</t>
        </is>
      </c>
      <c r="EA2" s="2" t="inlineStr">
        <is>
          <t>USX US Equity</t>
        </is>
      </c>
      <c r="EK2" s="2" t="inlineStr">
        <is>
          <t>FNB US Equity</t>
        </is>
      </c>
      <c r="EU2" s="2" t="inlineStr">
        <is>
          <t>SNV US Equity</t>
        </is>
      </c>
      <c r="FE2" s="2" t="inlineStr">
        <is>
          <t>NIC US Equity</t>
        </is>
      </c>
      <c r="FO2" s="2" t="inlineStr">
        <is>
          <t>IBKC US Equity</t>
        </is>
      </c>
      <c r="FY2" s="2" t="inlineStr">
        <is>
          <t>1255173D US Equity</t>
        </is>
      </c>
      <c r="GI2" s="2" t="inlineStr">
        <is>
          <t>UNP US Equity</t>
        </is>
      </c>
      <c r="GS2" s="2" t="inlineStr">
        <is>
          <t>MATW US Equity</t>
        </is>
      </c>
      <c r="HC2" s="2" t="inlineStr">
        <is>
          <t>SCMF US Equity</t>
        </is>
      </c>
      <c r="HM2" s="2" t="inlineStr">
        <is>
          <t>BBT US Equity</t>
        </is>
      </c>
      <c r="HW2" s="2" t="inlineStr">
        <is>
          <t>GADS US Equity</t>
        </is>
      </c>
      <c r="IG2" s="2" t="inlineStr">
        <is>
          <t>WSBC US Equity</t>
        </is>
      </c>
      <c r="IQ2" s="2" t="inlineStr">
        <is>
          <t>PLXS US Equity</t>
        </is>
      </c>
      <c r="JA2" s="2" t="inlineStr">
        <is>
          <t>EW US Equity</t>
        </is>
      </c>
      <c r="JK2" s="2" t="inlineStr">
        <is>
          <t>FSBW US Equity</t>
        </is>
      </c>
      <c r="JU2" s="2" t="inlineStr">
        <is>
          <t>FPFCQ US Equity</t>
        </is>
      </c>
      <c r="KE2" s="2" t="inlineStr">
        <is>
          <t>ESC US Equity</t>
        </is>
      </c>
      <c r="KO2" s="2" t="inlineStr">
        <is>
          <t>SBAN US Equity</t>
        </is>
      </c>
      <c r="KY2" s="2" t="inlineStr">
        <is>
          <t>2674129Q US Equity</t>
        </is>
      </c>
      <c r="LI2" s="2" t="inlineStr">
        <is>
          <t>FMFC US Equity</t>
        </is>
      </c>
      <c r="LS2" s="2" t="inlineStr">
        <is>
          <t>9980328D US Equity</t>
        </is>
      </c>
      <c r="MC2" s="2" t="inlineStr">
        <is>
          <t>AMG US Equity</t>
        </is>
      </c>
      <c r="MM2" s="2" t="inlineStr">
        <is>
          <t>OEI US Equity</t>
        </is>
      </c>
      <c r="MW2" s="2" t="inlineStr">
        <is>
          <t>PERY US Equity</t>
        </is>
      </c>
      <c r="NG2" s="2" t="inlineStr">
        <is>
          <t>WDR US Equity</t>
        </is>
      </c>
      <c r="NQ2" s="2" t="inlineStr">
        <is>
          <t>nan Equity</t>
        </is>
      </c>
      <c r="OA2" s="2" t="inlineStr">
        <is>
          <t>153550Q US Equity</t>
        </is>
      </c>
    </row>
    <row r="3">
      <c r="A3" t="inlineStr">
        <is>
          <t>Ann: 2008-04-29</t>
        </is>
      </c>
      <c r="K3" t="inlineStr">
        <is>
          <t>Ann: 2001-12-18</t>
        </is>
      </c>
      <c r="U3" t="inlineStr">
        <is>
          <t>Ann: 2017-12-11</t>
        </is>
      </c>
      <c r="AE3" t="inlineStr">
        <is>
          <t>Ann: 2007-01-12</t>
        </is>
      </c>
      <c r="AO3" t="inlineStr">
        <is>
          <t>Ann: 2001-01-16</t>
        </is>
      </c>
      <c r="AY3" t="inlineStr">
        <is>
          <t>Ann: 2018-10-22</t>
        </is>
      </c>
      <c r="BI3" t="inlineStr">
        <is>
          <t>Ann: 2010-10-06</t>
        </is>
      </c>
      <c r="BS3" t="inlineStr">
        <is>
          <t>Ann: 2003-10-22</t>
        </is>
      </c>
      <c r="CC3" t="inlineStr">
        <is>
          <t>Ann: 2001-07-19</t>
        </is>
      </c>
      <c r="CM3" t="inlineStr">
        <is>
          <t>Ann: 2002-12-05</t>
        </is>
      </c>
      <c r="CW3" t="inlineStr">
        <is>
          <t>Ann: 2018-01-16</t>
        </is>
      </c>
      <c r="DG3" t="inlineStr">
        <is>
          <t>Ann: 2010-09-08</t>
        </is>
      </c>
      <c r="DQ3" t="inlineStr">
        <is>
          <t>Ann: 2006-04-20</t>
        </is>
      </c>
      <c r="EA3" t="inlineStr">
        <is>
          <t>Ann: 1998-06-01</t>
        </is>
      </c>
      <c r="EK3" t="inlineStr">
        <is>
          <t>Ann: 2013-06-14</t>
        </is>
      </c>
      <c r="EU3" t="inlineStr">
        <is>
          <t>Ann: 2002-09-25</t>
        </is>
      </c>
      <c r="FE3" t="inlineStr">
        <is>
          <t>Ann: 2016-11-04</t>
        </is>
      </c>
      <c r="FO3" t="inlineStr">
        <is>
          <t>Ann: 2006-07-27</t>
        </is>
      </c>
      <c r="FY3" t="inlineStr">
        <is>
          <t>Ann: 2005-09-13</t>
        </is>
      </c>
      <c r="GI3" t="inlineStr">
        <is>
          <t>Ann: 2001-10-15</t>
        </is>
      </c>
      <c r="GS3" t="inlineStr">
        <is>
          <t>Ann: 2001-05-23</t>
        </is>
      </c>
      <c r="HC3" t="inlineStr">
        <is>
          <t>Ann: 2003-07-30</t>
        </is>
      </c>
      <c r="HM3" t="inlineStr">
        <is>
          <t>Ann: 2010-10-12</t>
        </is>
      </c>
      <c r="HW3" t="inlineStr">
        <is>
          <t>Ann: 2014-02-13</t>
        </is>
      </c>
      <c r="IG3" t="inlineStr">
        <is>
          <t>Ann: 2001-02-22</t>
        </is>
      </c>
      <c r="IQ3" t="inlineStr">
        <is>
          <t>Ann: 1999-03-17</t>
        </is>
      </c>
      <c r="JA3" t="inlineStr">
        <is>
          <t>Ann: 2019-02-12</t>
        </is>
      </c>
      <c r="JK3" t="inlineStr">
        <is>
          <t>Ann: 2018-07-17</t>
        </is>
      </c>
      <c r="JU3" t="inlineStr">
        <is>
          <t>Ann: 2003-11-10</t>
        </is>
      </c>
      <c r="KE3" t="inlineStr">
        <is>
          <t>Ann: 2003-07-18</t>
        </is>
      </c>
      <c r="KO3" t="inlineStr">
        <is>
          <t>Ann: 2000-02-14</t>
        </is>
      </c>
      <c r="KY3" t="inlineStr">
        <is>
          <t>Ann: 2002-10-24</t>
        </is>
      </c>
      <c r="LI3" t="inlineStr">
        <is>
          <t>Ann: 1999-07-08</t>
        </is>
      </c>
      <c r="LS3" t="inlineStr">
        <is>
          <t>Ann: 2011-04-06</t>
        </is>
      </c>
      <c r="MC3" t="inlineStr">
        <is>
          <t>Ann: 2009-12-14</t>
        </is>
      </c>
      <c r="MM3" t="inlineStr">
        <is>
          <t>Ann: 2001-01-18</t>
        </is>
      </c>
      <c r="MW3" t="inlineStr">
        <is>
          <t>Ann: 2003-02-04</t>
        </is>
      </c>
      <c r="NG3" t="inlineStr">
        <is>
          <t>Ann: 2002-08-29</t>
        </is>
      </c>
      <c r="NQ3" t="inlineStr">
        <is>
          <t>Ann: 2006-03-21</t>
        </is>
      </c>
      <c r="OA3" t="inlineStr">
        <is>
          <t>Ann: 2000-07-06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BDS("GWR US Equity","SUPPLY_CHAIN_SUPPLIERS","RELATIONSHIP_AS_OF_DATE","20080429")</f>
        <v/>
      </c>
      <c r="F5">
        <f>BDS("GWR US Equity","SUPPLY_CHAIN_CUSTOMERS","RELATIONSHIP_AS_OF_DATE","20080429")</f>
        <v/>
      </c>
      <c r="K5">
        <f>BDS("1779128D US Equity","SUPPLY_CHAIN_SUPPLIERS","RELATIONSHIP_AS_OF_DATE","20011218")</f>
        <v/>
      </c>
      <c r="P5">
        <f>BDS("1779128D US Equity","SUPPLY_CHAIN_CUSTOMERS","RELATIONSHIP_AS_OF_DATE","20011218")</f>
        <v/>
      </c>
      <c r="U5">
        <f>BDS("FMBH US Equity","SUPPLY_CHAIN_SUPPLIERS","RELATIONSHIP_AS_OF_DATE","20171211")</f>
        <v/>
      </c>
      <c r="Z5">
        <f>BDS("FMBH US Equity","SUPPLY_CHAIN_CUSTOMERS","RELATIONSHIP_AS_OF_DATE","20171211")</f>
        <v/>
      </c>
      <c r="AE5">
        <f>BDS("MOG/A US Equity","SUPPLY_CHAIN_SUPPLIERS","RELATIONSHIP_AS_OF_DATE","20070112")</f>
        <v/>
      </c>
      <c r="AJ5">
        <f>BDS("MOG/A US Equity","SUPPLY_CHAIN_CUSTOMERS","RELATIONSHIP_AS_OF_DATE","20070112")</f>
        <v/>
      </c>
      <c r="AO5">
        <f>BDS("UPS US Equity","SUPPLY_CHAIN_SUPPLIERS","RELATIONSHIP_AS_OF_DATE","20010116")</f>
        <v/>
      </c>
      <c r="AT5">
        <f>BDS("UPS US Equity","SUPPLY_CHAIN_CUSTOMERS","RELATIONSHIP_AS_OF_DATE","20010116")</f>
        <v/>
      </c>
      <c r="AY5">
        <f>BDS("VYX US Equity","SUPPLY_CHAIN_SUPPLIERS","RELATIONSHIP_AS_OF_DATE","20181022")</f>
        <v/>
      </c>
      <c r="BD5">
        <f>BDS("VYX US Equity","SUPPLY_CHAIN_CUSTOMERS","RELATIONSHIP_AS_OF_DATE","20181022")</f>
        <v/>
      </c>
      <c r="BI5">
        <f>BDS("ONB US Equity","SUPPLY_CHAIN_SUPPLIERS","RELATIONSHIP_AS_OF_DATE","20101006")</f>
        <v/>
      </c>
      <c r="BN5">
        <f>BDS("ONB US Equity","SUPPLY_CHAIN_CUSTOMERS","RELATIONSHIP_AS_OF_DATE","20101006")</f>
        <v/>
      </c>
      <c r="BS5">
        <f>BDS("KTO US Equity","SUPPLY_CHAIN_SUPPLIERS","RELATIONSHIP_AS_OF_DATE","20031022")</f>
        <v/>
      </c>
      <c r="BX5">
        <f>BDS("KTO US Equity","SUPPLY_CHAIN_CUSTOMERS","RELATIONSHIP_AS_OF_DATE","20031022")</f>
        <v/>
      </c>
      <c r="CC5">
        <f>BDS("CMKC US Equity","SUPPLY_CHAIN_SUPPLIERS","RELATIONSHIP_AS_OF_DATE","20010719")</f>
        <v/>
      </c>
      <c r="CH5">
        <f>BDS("CMKC US Equity","SUPPLY_CHAIN_CUSTOMERS","RELATIONSHIP_AS_OF_DATE","20010719")</f>
        <v/>
      </c>
      <c r="CM5">
        <f>BDS("1806854D US Equity","SUPPLY_CHAIN_SUPPLIERS","RELATIONSHIP_AS_OF_DATE","20021205")</f>
        <v/>
      </c>
      <c r="CR5">
        <f>BDS("1806854D US Equity","SUPPLY_CHAIN_CUSTOMERS","RELATIONSHIP_AS_OF_DATE","20021205")</f>
        <v/>
      </c>
      <c r="CW5">
        <f>BDS("MPB US Equity","SUPPLY_CHAIN_SUPPLIERS","RELATIONSHIP_AS_OF_DATE","20180116")</f>
        <v/>
      </c>
      <c r="DB5">
        <f>BDS("MPB US Equity","SUPPLY_CHAIN_CUSTOMERS","RELATIONSHIP_AS_OF_DATE","20180116")</f>
        <v/>
      </c>
      <c r="DG5">
        <f>BDS("ZRAN US Equity","SUPPLY_CHAIN_SUPPLIERS","RELATIONSHIP_AS_OF_DATE","20100908")</f>
        <v/>
      </c>
      <c r="DL5">
        <f>BDS("ZRAN US Equity","SUPPLY_CHAIN_CUSTOMERS","RELATIONSHIP_AS_OF_DATE","20100908")</f>
        <v/>
      </c>
      <c r="DQ5">
        <f>BDS("GBCI US Equity","SUPPLY_CHAIN_SUPPLIERS","RELATIONSHIP_AS_OF_DATE","20060420")</f>
        <v/>
      </c>
      <c r="DV5">
        <f>BDS("GBCI US Equity","SUPPLY_CHAIN_CUSTOMERS","RELATIONSHIP_AS_OF_DATE","20060420")</f>
        <v/>
      </c>
      <c r="EA5">
        <f>BDS("USX US Equity","SUPPLY_CHAIN_SUPPLIERS","RELATIONSHIP_AS_OF_DATE","19980601")</f>
        <v/>
      </c>
      <c r="EF5">
        <f>BDS("USX US Equity","SUPPLY_CHAIN_CUSTOMERS","RELATIONSHIP_AS_OF_DATE","19980601")</f>
        <v/>
      </c>
      <c r="EK5">
        <f>BDS("FNB US Equity","SUPPLY_CHAIN_SUPPLIERS","RELATIONSHIP_AS_OF_DATE","20130614")</f>
        <v/>
      </c>
      <c r="EP5">
        <f>BDS("FNB US Equity","SUPPLY_CHAIN_CUSTOMERS","RELATIONSHIP_AS_OF_DATE","20130614")</f>
        <v/>
      </c>
      <c r="EU5">
        <f>BDS("SNV US Equity","SUPPLY_CHAIN_SUPPLIERS","RELATIONSHIP_AS_OF_DATE","20020925")</f>
        <v/>
      </c>
      <c r="EZ5">
        <f>BDS("SNV US Equity","SUPPLY_CHAIN_CUSTOMERS","RELATIONSHIP_AS_OF_DATE","20020925")</f>
        <v/>
      </c>
      <c r="FE5">
        <f>BDS("NIC US Equity","SUPPLY_CHAIN_SUPPLIERS","RELATIONSHIP_AS_OF_DATE","20161104")</f>
        <v/>
      </c>
      <c r="FJ5">
        <f>BDS("NIC US Equity","SUPPLY_CHAIN_CUSTOMERS","RELATIONSHIP_AS_OF_DATE","20161104")</f>
        <v/>
      </c>
      <c r="FO5">
        <f>BDS("IBKC US Equity","SUPPLY_CHAIN_SUPPLIERS","RELATIONSHIP_AS_OF_DATE","20060727")</f>
        <v/>
      </c>
      <c r="FT5">
        <f>BDS("IBKC US Equity","SUPPLY_CHAIN_CUSTOMERS","RELATIONSHIP_AS_OF_DATE","20060727")</f>
        <v/>
      </c>
      <c r="FY5">
        <f>BDS("1255173D US Equity","SUPPLY_CHAIN_SUPPLIERS","RELATIONSHIP_AS_OF_DATE","20050913")</f>
        <v/>
      </c>
      <c r="GD5">
        <f>BDS("1255173D US Equity","SUPPLY_CHAIN_CUSTOMERS","RELATIONSHIP_AS_OF_DATE","20050913")</f>
        <v/>
      </c>
      <c r="GI5">
        <f>BDS("UNP US Equity","SUPPLY_CHAIN_SUPPLIERS","RELATIONSHIP_AS_OF_DATE","20011015")</f>
        <v/>
      </c>
      <c r="GN5">
        <f>BDS("UNP US Equity","SUPPLY_CHAIN_CUSTOMERS","RELATIONSHIP_AS_OF_DATE","20011015")</f>
        <v/>
      </c>
      <c r="GS5">
        <f>BDS("MATW US Equity","SUPPLY_CHAIN_SUPPLIERS","RELATIONSHIP_AS_OF_DATE","20010523")</f>
        <v/>
      </c>
      <c r="GX5">
        <f>BDS("MATW US Equity","SUPPLY_CHAIN_CUSTOMERS","RELATIONSHIP_AS_OF_DATE","20010523")</f>
        <v/>
      </c>
      <c r="HC5">
        <f>BDS("SCMF US Equity","SUPPLY_CHAIN_SUPPLIERS","RELATIONSHIP_AS_OF_DATE","20030730")</f>
        <v/>
      </c>
      <c r="HH5">
        <f>BDS("SCMF US Equity","SUPPLY_CHAIN_CUSTOMERS","RELATIONSHIP_AS_OF_DATE","20030730")</f>
        <v/>
      </c>
      <c r="HM5">
        <f>BDS("BBT US Equity","SUPPLY_CHAIN_SUPPLIERS","RELATIONSHIP_AS_OF_DATE","20101012")</f>
        <v/>
      </c>
      <c r="HR5">
        <f>BDS("BBT US Equity","SUPPLY_CHAIN_CUSTOMERS","RELATIONSHIP_AS_OF_DATE","20101012")</f>
        <v/>
      </c>
      <c r="HW5">
        <f>BDS("GADS US Equity","SUPPLY_CHAIN_SUPPLIERS","RELATIONSHIP_AS_OF_DATE","20140213")</f>
        <v/>
      </c>
      <c r="IB5">
        <f>BDS("GADS US Equity","SUPPLY_CHAIN_CUSTOMERS","RELATIONSHIP_AS_OF_DATE","20140213")</f>
        <v/>
      </c>
      <c r="IG5">
        <f>BDS("WSBC US Equity","SUPPLY_CHAIN_SUPPLIERS","RELATIONSHIP_AS_OF_DATE","20010222")</f>
        <v/>
      </c>
      <c r="IL5">
        <f>BDS("WSBC US Equity","SUPPLY_CHAIN_CUSTOMERS","RELATIONSHIP_AS_OF_DATE","20010222")</f>
        <v/>
      </c>
      <c r="IQ5">
        <f>BDS("PLXS US Equity","SUPPLY_CHAIN_SUPPLIERS","RELATIONSHIP_AS_OF_DATE","19990317")</f>
        <v/>
      </c>
      <c r="IV5">
        <f>BDS("PLXS US Equity","SUPPLY_CHAIN_CUSTOMERS","RELATIONSHIP_AS_OF_DATE","19990317")</f>
        <v/>
      </c>
      <c r="JA5">
        <f>BDS("EW US Equity","SUPPLY_CHAIN_SUPPLIERS","RELATIONSHIP_AS_OF_DATE","20190212")</f>
        <v/>
      </c>
      <c r="JF5">
        <f>BDS("EW US Equity","SUPPLY_CHAIN_CUSTOMERS","RELATIONSHIP_AS_OF_DATE","20190212")</f>
        <v/>
      </c>
      <c r="JK5">
        <f>BDS("FSBW US Equity","SUPPLY_CHAIN_SUPPLIERS","RELATIONSHIP_AS_OF_DATE","20180717")</f>
        <v/>
      </c>
      <c r="JP5">
        <f>BDS("FSBW US Equity","SUPPLY_CHAIN_CUSTOMERS","RELATIONSHIP_AS_OF_DATE","20180717")</f>
        <v/>
      </c>
      <c r="JU5">
        <f>BDS("FPFCQ US Equity","SUPPLY_CHAIN_SUPPLIERS","RELATIONSHIP_AS_OF_DATE","20031110")</f>
        <v/>
      </c>
      <c r="JZ5">
        <f>BDS("FPFCQ US Equity","SUPPLY_CHAIN_CUSTOMERS","RELATIONSHIP_AS_OF_DATE","20031110")</f>
        <v/>
      </c>
      <c r="KE5">
        <f>BDS("ESC US Equity","SUPPLY_CHAIN_SUPPLIERS","RELATIONSHIP_AS_OF_DATE","20030718")</f>
        <v/>
      </c>
      <c r="KJ5">
        <f>BDS("ESC US Equity","SUPPLY_CHAIN_CUSTOMERS","RELATIONSHIP_AS_OF_DATE","20030718")</f>
        <v/>
      </c>
      <c r="KO5">
        <f>BDS("SBAN US Equity","SUPPLY_CHAIN_SUPPLIERS","RELATIONSHIP_AS_OF_DATE","20000214")</f>
        <v/>
      </c>
      <c r="KT5">
        <f>BDS("SBAN US Equity","SUPPLY_CHAIN_CUSTOMERS","RELATIONSHIP_AS_OF_DATE","20000214")</f>
        <v/>
      </c>
      <c r="KY5">
        <f>BDS("2674129Q US Equity","SUPPLY_CHAIN_SUPPLIERS","RELATIONSHIP_AS_OF_DATE","20021024")</f>
        <v/>
      </c>
      <c r="LD5">
        <f>BDS("2674129Q US Equity","SUPPLY_CHAIN_CUSTOMERS","RELATIONSHIP_AS_OF_DATE","20021024")</f>
        <v/>
      </c>
      <c r="LI5">
        <f>BDS("FMFC US Equity","SUPPLY_CHAIN_SUPPLIERS","RELATIONSHIP_AS_OF_DATE","19990708")</f>
        <v/>
      </c>
      <c r="LN5">
        <f>BDS("FMFC US Equity","SUPPLY_CHAIN_CUSTOMERS","RELATIONSHIP_AS_OF_DATE","19990708")</f>
        <v/>
      </c>
      <c r="LS5">
        <f>BDS("9980328D US Equity","SUPPLY_CHAIN_SUPPLIERS","RELATIONSHIP_AS_OF_DATE","20110406")</f>
        <v/>
      </c>
      <c r="LX5">
        <f>BDS("9980328D US Equity","SUPPLY_CHAIN_CUSTOMERS","RELATIONSHIP_AS_OF_DATE","20110406")</f>
        <v/>
      </c>
      <c r="MC5">
        <f>BDS("AMG US Equity","SUPPLY_CHAIN_SUPPLIERS","RELATIONSHIP_AS_OF_DATE","20091214")</f>
        <v/>
      </c>
      <c r="MH5">
        <f>BDS("AMG US Equity","SUPPLY_CHAIN_CUSTOMERS","RELATIONSHIP_AS_OF_DATE","20091214")</f>
        <v/>
      </c>
      <c r="MM5">
        <f>BDS("OEI US Equity","SUPPLY_CHAIN_SUPPLIERS","RELATIONSHIP_AS_OF_DATE","20010118")</f>
        <v/>
      </c>
      <c r="MR5">
        <f>BDS("OEI US Equity","SUPPLY_CHAIN_CUSTOMERS","RELATIONSHIP_AS_OF_DATE","20010118")</f>
        <v/>
      </c>
      <c r="MW5">
        <f>BDS("PERY US Equity","SUPPLY_CHAIN_SUPPLIERS","RELATIONSHIP_AS_OF_DATE","20030204")</f>
        <v/>
      </c>
      <c r="NB5">
        <f>BDS("PERY US Equity","SUPPLY_CHAIN_CUSTOMERS","RELATIONSHIP_AS_OF_DATE","20030204")</f>
        <v/>
      </c>
      <c r="NG5">
        <f>BDS("WDR US Equity","SUPPLY_CHAIN_SUPPLIERS","RELATIONSHIP_AS_OF_DATE","20020829")</f>
        <v/>
      </c>
      <c r="NL5">
        <f>BDS("WDR US Equity","SUPPLY_CHAIN_CUSTOMERS","RELATIONSHIP_AS_OF_DATE","20020829")</f>
        <v/>
      </c>
      <c r="NQ5">
        <f>BDS("nan Equity","SUPPLY_CHAIN_SUPPLIERS","RELATIONSHIP_AS_OF_DATE","20060321")</f>
        <v/>
      </c>
      <c r="NV5">
        <f>BDS("nan Equity","SUPPLY_CHAIN_CUSTOMERS","RELATIONSHIP_AS_OF_DATE","20060321")</f>
        <v/>
      </c>
      <c r="OA5">
        <f>BDS("153550Q US Equity","SUPPLY_CHAIN_SUPPLIERS","RELATIONSHIP_AS_OF_DATE","20000706")</f>
        <v/>
      </c>
      <c r="OF5">
        <f>BDS("153550Q US Equity","SUPPLY_CHAIN_CUSTOMERS","RELATIONSHIP_AS_OF_DATE","20000706")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3641</t>
        </is>
      </c>
      <c r="K1" s="1" t="inlineStr">
        <is>
          <t>Deal 3642</t>
        </is>
      </c>
      <c r="U1" s="1" t="inlineStr">
        <is>
          <t>Deal 3643</t>
        </is>
      </c>
      <c r="AE1" s="1" t="inlineStr">
        <is>
          <t>Deal 3644</t>
        </is>
      </c>
      <c r="AO1" s="1" t="inlineStr">
        <is>
          <t>Deal 3645</t>
        </is>
      </c>
      <c r="AY1" s="1" t="inlineStr">
        <is>
          <t>Deal 3646</t>
        </is>
      </c>
      <c r="BI1" s="1" t="inlineStr">
        <is>
          <t>Deal 3647</t>
        </is>
      </c>
      <c r="BS1" s="1" t="inlineStr">
        <is>
          <t>Deal 3648</t>
        </is>
      </c>
      <c r="CC1" s="1" t="inlineStr">
        <is>
          <t>Deal 3649</t>
        </is>
      </c>
      <c r="CM1" s="1" t="inlineStr">
        <is>
          <t>Deal 3650</t>
        </is>
      </c>
      <c r="CW1" s="1" t="inlineStr">
        <is>
          <t>Deal 3651</t>
        </is>
      </c>
      <c r="DG1" s="1" t="inlineStr">
        <is>
          <t>Deal 3652</t>
        </is>
      </c>
      <c r="DQ1" s="1" t="inlineStr">
        <is>
          <t>Deal 3653</t>
        </is>
      </c>
      <c r="EA1" s="1" t="inlineStr">
        <is>
          <t>Deal 3654</t>
        </is>
      </c>
      <c r="EK1" s="1" t="inlineStr">
        <is>
          <t>Deal 3655</t>
        </is>
      </c>
      <c r="EU1" s="1" t="inlineStr">
        <is>
          <t>Deal 3656</t>
        </is>
      </c>
      <c r="FE1" s="1" t="inlineStr">
        <is>
          <t>Deal 3657</t>
        </is>
      </c>
      <c r="FO1" s="1" t="inlineStr">
        <is>
          <t>Deal 3658</t>
        </is>
      </c>
      <c r="FY1" s="1" t="inlineStr">
        <is>
          <t>Deal 3659</t>
        </is>
      </c>
      <c r="GI1" s="1" t="inlineStr">
        <is>
          <t>Deal 3660</t>
        </is>
      </c>
      <c r="GS1" s="1" t="inlineStr">
        <is>
          <t>Deal 3661</t>
        </is>
      </c>
      <c r="HC1" s="1" t="inlineStr">
        <is>
          <t>Deal 3662</t>
        </is>
      </c>
      <c r="HM1" s="1" t="inlineStr">
        <is>
          <t>Deal 3663</t>
        </is>
      </c>
      <c r="HW1" s="1" t="inlineStr">
        <is>
          <t>Deal 3664</t>
        </is>
      </c>
      <c r="IG1" s="1" t="inlineStr">
        <is>
          <t>Deal 3665</t>
        </is>
      </c>
      <c r="IQ1" s="1" t="inlineStr">
        <is>
          <t>Deal 3666</t>
        </is>
      </c>
      <c r="JA1" s="1" t="inlineStr">
        <is>
          <t>Deal 3667</t>
        </is>
      </c>
      <c r="JK1" s="1" t="inlineStr">
        <is>
          <t>Deal 3668</t>
        </is>
      </c>
      <c r="JU1" s="1" t="inlineStr">
        <is>
          <t>Deal 3669</t>
        </is>
      </c>
      <c r="KE1" s="1" t="inlineStr">
        <is>
          <t>Deal 3670</t>
        </is>
      </c>
      <c r="KO1" s="1" t="inlineStr">
        <is>
          <t>Deal 3671</t>
        </is>
      </c>
      <c r="KY1" s="1" t="inlineStr">
        <is>
          <t>Deal 3672</t>
        </is>
      </c>
      <c r="LI1" s="1" t="inlineStr">
        <is>
          <t>Deal 3673</t>
        </is>
      </c>
      <c r="LS1" s="1" t="inlineStr">
        <is>
          <t>Deal 3674</t>
        </is>
      </c>
      <c r="MC1" s="1" t="inlineStr">
        <is>
          <t>Deal 3675</t>
        </is>
      </c>
      <c r="MM1" s="1" t="inlineStr">
        <is>
          <t>Deal 3676</t>
        </is>
      </c>
      <c r="MW1" s="1" t="inlineStr">
        <is>
          <t>Deal 3677</t>
        </is>
      </c>
      <c r="NG1" s="1" t="inlineStr">
        <is>
          <t>Deal 3678</t>
        </is>
      </c>
      <c r="NQ1" s="1" t="inlineStr">
        <is>
          <t>Deal 3679</t>
        </is>
      </c>
      <c r="OA1" s="1" t="inlineStr">
        <is>
          <t>Deal 3680</t>
        </is>
      </c>
    </row>
    <row r="2">
      <c r="A2" s="2" t="inlineStr">
        <is>
          <t>679882Q US Equity</t>
        </is>
      </c>
      <c r="K2" s="2" t="inlineStr">
        <is>
          <t>IBM US Equity</t>
        </is>
      </c>
      <c r="U2" s="2" t="inlineStr">
        <is>
          <t>SPH US Equity</t>
        </is>
      </c>
      <c r="AE2" s="2" t="inlineStr">
        <is>
          <t>IVZ US Equity</t>
        </is>
      </c>
      <c r="AO2" s="2" t="inlineStr">
        <is>
          <t>SYRS US Equity</t>
        </is>
      </c>
      <c r="AY2" s="2" t="inlineStr">
        <is>
          <t>JNJ US Equity</t>
        </is>
      </c>
      <c r="BI2" s="2" t="inlineStr">
        <is>
          <t>FPFCQ US Equity</t>
        </is>
      </c>
      <c r="BS2" s="2" t="inlineStr">
        <is>
          <t>CBRI US Equity</t>
        </is>
      </c>
      <c r="CC2" s="2" t="inlineStr">
        <is>
          <t>OAK US Equity</t>
        </is>
      </c>
      <c r="CM2" s="2" t="inlineStr">
        <is>
          <t>BOFLQ US Equity</t>
        </is>
      </c>
      <c r="CW2" s="2" t="inlineStr">
        <is>
          <t>CHCO US Equity</t>
        </is>
      </c>
      <c r="DG2" s="2" t="inlineStr">
        <is>
          <t>FBMS US Equity</t>
        </is>
      </c>
      <c r="DQ2" s="2" t="inlineStr">
        <is>
          <t>HBNC US Equity</t>
        </is>
      </c>
      <c r="EA2" s="2" t="inlineStr">
        <is>
          <t>953386Q US Equity</t>
        </is>
      </c>
      <c r="EK2" s="2" t="inlineStr">
        <is>
          <t>MNR US Equity</t>
        </is>
      </c>
      <c r="EU2" s="2" t="inlineStr">
        <is>
          <t>HBNC US Equity</t>
        </is>
      </c>
      <c r="FE2" s="2" t="inlineStr">
        <is>
          <t>PLA US Equity</t>
        </is>
      </c>
      <c r="FO2" s="2" t="inlineStr">
        <is>
          <t>TDG US Equity</t>
        </is>
      </c>
      <c r="FY2" s="2" t="inlineStr">
        <is>
          <t>MRCY US Equity</t>
        </is>
      </c>
      <c r="GI2" s="2" t="inlineStr">
        <is>
          <t>1911768D US Equity</t>
        </is>
      </c>
      <c r="GS2" s="2" t="inlineStr">
        <is>
          <t>CAC US Equity</t>
        </is>
      </c>
      <c r="HC2" s="2" t="inlineStr">
        <is>
          <t>AFSC US Equity</t>
        </is>
      </c>
      <c r="HM2" s="2" t="inlineStr">
        <is>
          <t>KN US Equity</t>
        </is>
      </c>
      <c r="HW2" s="2" t="inlineStr">
        <is>
          <t>1920486D US Equity</t>
        </is>
      </c>
      <c r="IG2" s="2" t="inlineStr">
        <is>
          <t>INSM US Equity</t>
        </is>
      </c>
      <c r="IQ2" s="2" t="inlineStr">
        <is>
          <t>FIBK US Equity</t>
        </is>
      </c>
      <c r="JA2" s="2" t="inlineStr">
        <is>
          <t>838969Q US Equity</t>
        </is>
      </c>
      <c r="JK2" s="2" t="inlineStr">
        <is>
          <t>ZION US Equity</t>
        </is>
      </c>
      <c r="JU2" s="2" t="inlineStr">
        <is>
          <t>EXEL US Equity</t>
        </is>
      </c>
      <c r="KE2" s="2" t="inlineStr">
        <is>
          <t>USB US Equity</t>
        </is>
      </c>
      <c r="KO2" s="2" t="inlineStr">
        <is>
          <t>FCBC US Equity</t>
        </is>
      </c>
      <c r="KY2" s="2" t="inlineStr">
        <is>
          <t>GE US Equity</t>
        </is>
      </c>
      <c r="LI2" s="2" t="inlineStr">
        <is>
          <t>JPM US Equity</t>
        </is>
      </c>
      <c r="LS2" s="2" t="inlineStr">
        <is>
          <t>NEB US Equity</t>
        </is>
      </c>
      <c r="MC2" s="2" t="inlineStr">
        <is>
          <t>PSEC US Equity</t>
        </is>
      </c>
      <c r="MM2" s="2" t="inlineStr">
        <is>
          <t>LBAI US Equity</t>
        </is>
      </c>
      <c r="MW2" s="2" t="inlineStr">
        <is>
          <t>1068347D US Equity</t>
        </is>
      </c>
      <c r="NG2" s="2" t="inlineStr">
        <is>
          <t>FBNW US Equity</t>
        </is>
      </c>
      <c r="NQ2" s="2" t="inlineStr">
        <is>
          <t>388103Q US Equity</t>
        </is>
      </c>
      <c r="OA2" s="2" t="inlineStr">
        <is>
          <t>3417644Q US Equity</t>
        </is>
      </c>
    </row>
    <row r="3">
      <c r="A3" t="inlineStr">
        <is>
          <t>Ann: 1998-01-04</t>
        </is>
      </c>
      <c r="K3" t="inlineStr">
        <is>
          <t>Ann: 2000-01-14</t>
        </is>
      </c>
      <c r="U3" t="inlineStr">
        <is>
          <t>Ann: 1999-05-27</t>
        </is>
      </c>
      <c r="AE3" t="inlineStr">
        <is>
          <t>Ann: 2009-06-11</t>
        </is>
      </c>
      <c r="AO3" t="inlineStr">
        <is>
          <t>Ann: 2022-07-05</t>
        </is>
      </c>
      <c r="AY3" t="inlineStr">
        <is>
          <t>Ann: 2002-11-13</t>
        </is>
      </c>
      <c r="BI3" t="inlineStr">
        <is>
          <t>Ann: 2000-05-24</t>
        </is>
      </c>
      <c r="BS3" t="inlineStr">
        <is>
          <t>Ann: 2003-10-27</t>
        </is>
      </c>
      <c r="CC3" t="inlineStr">
        <is>
          <t>Ann: 2008-09-05</t>
        </is>
      </c>
      <c r="CM3" t="inlineStr">
        <is>
          <t>Ann: 2006-08-29</t>
        </is>
      </c>
      <c r="CW3" t="inlineStr">
        <is>
          <t>Ann: 2004-12-29</t>
        </is>
      </c>
      <c r="DG3" t="inlineStr">
        <is>
          <t>Ann: 2017-10-06</t>
        </is>
      </c>
      <c r="DQ3" t="inlineStr">
        <is>
          <t>Ann: 2015-02-19</t>
        </is>
      </c>
      <c r="EA3" t="inlineStr">
        <is>
          <t>Ann: 2001-10-01</t>
        </is>
      </c>
      <c r="EK3" t="inlineStr">
        <is>
          <t>Ann: 2007-03-26</t>
        </is>
      </c>
      <c r="EU3" t="inlineStr">
        <is>
          <t>Ann: 2017-06-14</t>
        </is>
      </c>
      <c r="FE3" t="inlineStr">
        <is>
          <t>Ann: 1998-02-04</t>
        </is>
      </c>
      <c r="FO3" t="inlineStr">
        <is>
          <t>Ann: 2010-08-06</t>
        </is>
      </c>
      <c r="FY3" t="inlineStr">
        <is>
          <t>Ann: 2012-06-10</t>
        </is>
      </c>
      <c r="GI3" t="inlineStr">
        <is>
          <t>Ann: 1999-11-19</t>
        </is>
      </c>
      <c r="GS3" t="inlineStr">
        <is>
          <t>Ann: 2007-08-14</t>
        </is>
      </c>
      <c r="HC3" t="inlineStr">
        <is>
          <t>Ann: 1998-04-14</t>
        </is>
      </c>
      <c r="HM3" t="inlineStr">
        <is>
          <t>Ann: 2015-04-30</t>
        </is>
      </c>
      <c r="HW3" t="inlineStr">
        <is>
          <t>Ann: 2001-02-02</t>
        </is>
      </c>
      <c r="IG3" t="inlineStr">
        <is>
          <t>Ann: 1999-12-01</t>
        </is>
      </c>
      <c r="IQ3" t="inlineStr">
        <is>
          <t>Ann: 2014-02-10</t>
        </is>
      </c>
      <c r="JA3" t="inlineStr">
        <is>
          <t>Ann: 2004-01-28</t>
        </is>
      </c>
      <c r="JK3" t="inlineStr">
        <is>
          <t>Ann: 2000-01-07</t>
        </is>
      </c>
      <c r="JU3" t="inlineStr">
        <is>
          <t>Ann: 2000-09-07</t>
        </is>
      </c>
      <c r="KE3" t="inlineStr">
        <is>
          <t>Ann: 2006-11-06</t>
        </is>
      </c>
      <c r="KO3" t="inlineStr">
        <is>
          <t>Ann: 2019-09-11</t>
        </is>
      </c>
      <c r="KY3" t="inlineStr">
        <is>
          <t>Ann: 2003-11-12</t>
        </is>
      </c>
      <c r="LI3" t="inlineStr">
        <is>
          <t>Ann: 2005-01-07</t>
        </is>
      </c>
      <c r="LS3" t="inlineStr">
        <is>
          <t>Ann: 2003-04-24</t>
        </is>
      </c>
      <c r="MC3" t="inlineStr">
        <is>
          <t>Ann: 2009-08-03</t>
        </is>
      </c>
      <c r="MM3" t="inlineStr">
        <is>
          <t>Ann: 1998-12-07</t>
        </is>
      </c>
      <c r="MW3" t="inlineStr">
        <is>
          <t>Ann: 1998-02-18</t>
        </is>
      </c>
      <c r="NG3" t="inlineStr">
        <is>
          <t>Ann: 2003-02-24</t>
        </is>
      </c>
      <c r="NQ3" t="inlineStr">
        <is>
          <t>Ann: 2000-03-15</t>
        </is>
      </c>
      <c r="OA3" t="inlineStr">
        <is>
          <t>Ann: 2001-07-09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BDS("679882Q US Equity","SUPPLY_CHAIN_SUPPLIERS","RELATIONSHIP_AS_OF_DATE","19980104")</f>
        <v/>
      </c>
      <c r="F5">
        <f>BDS("679882Q US Equity","SUPPLY_CHAIN_CUSTOMERS","RELATIONSHIP_AS_OF_DATE","19980104")</f>
        <v/>
      </c>
      <c r="K5">
        <f>BDS("IBM US Equity","SUPPLY_CHAIN_SUPPLIERS","RELATIONSHIP_AS_OF_DATE","20000114")</f>
        <v/>
      </c>
      <c r="P5">
        <f>BDS("IBM US Equity","SUPPLY_CHAIN_CUSTOMERS","RELATIONSHIP_AS_OF_DATE","20000114")</f>
        <v/>
      </c>
      <c r="U5">
        <f>BDS("SPH US Equity","SUPPLY_CHAIN_SUPPLIERS","RELATIONSHIP_AS_OF_DATE","19990527")</f>
        <v/>
      </c>
      <c r="Z5">
        <f>BDS("SPH US Equity","SUPPLY_CHAIN_CUSTOMERS","RELATIONSHIP_AS_OF_DATE","19990527")</f>
        <v/>
      </c>
      <c r="AE5">
        <f>BDS("IVZ US Equity","SUPPLY_CHAIN_SUPPLIERS","RELATIONSHIP_AS_OF_DATE","20090611")</f>
        <v/>
      </c>
      <c r="AJ5">
        <f>BDS("IVZ US Equity","SUPPLY_CHAIN_CUSTOMERS","RELATIONSHIP_AS_OF_DATE","20090611")</f>
        <v/>
      </c>
      <c r="AO5">
        <f>BDS("SYRS US Equity","SUPPLY_CHAIN_SUPPLIERS","RELATIONSHIP_AS_OF_DATE","20220705")</f>
        <v/>
      </c>
      <c r="AT5">
        <f>BDS("SYRS US Equity","SUPPLY_CHAIN_CUSTOMERS","RELATIONSHIP_AS_OF_DATE","20220705")</f>
        <v/>
      </c>
      <c r="AY5">
        <f>BDS("JNJ US Equity","SUPPLY_CHAIN_SUPPLIERS","RELATIONSHIP_AS_OF_DATE","20021113")</f>
        <v/>
      </c>
      <c r="BD5">
        <f>BDS("JNJ US Equity","SUPPLY_CHAIN_CUSTOMERS","RELATIONSHIP_AS_OF_DATE","20021113")</f>
        <v/>
      </c>
      <c r="BI5">
        <f>BDS("FPFCQ US Equity","SUPPLY_CHAIN_SUPPLIERS","RELATIONSHIP_AS_OF_DATE","20000524")</f>
        <v/>
      </c>
      <c r="BN5">
        <f>BDS("FPFCQ US Equity","SUPPLY_CHAIN_CUSTOMERS","RELATIONSHIP_AS_OF_DATE","20000524")</f>
        <v/>
      </c>
      <c r="BS5">
        <f>BDS("CBRI US Equity","SUPPLY_CHAIN_SUPPLIERS","RELATIONSHIP_AS_OF_DATE","20031027")</f>
        <v/>
      </c>
      <c r="BX5">
        <f>BDS("CBRI US Equity","SUPPLY_CHAIN_CUSTOMERS","RELATIONSHIP_AS_OF_DATE","20031027")</f>
        <v/>
      </c>
      <c r="CC5">
        <f>BDS("OAK US Equity","SUPPLY_CHAIN_SUPPLIERS","RELATIONSHIP_AS_OF_DATE","20080905")</f>
        <v/>
      </c>
      <c r="CH5">
        <f>BDS("OAK US Equity","SUPPLY_CHAIN_CUSTOMERS","RELATIONSHIP_AS_OF_DATE","20080905")</f>
        <v/>
      </c>
      <c r="CM5">
        <f>BDS("BOFLQ US Equity","SUPPLY_CHAIN_SUPPLIERS","RELATIONSHIP_AS_OF_DATE","20060829")</f>
        <v/>
      </c>
      <c r="CR5">
        <f>BDS("BOFLQ US Equity","SUPPLY_CHAIN_CUSTOMERS","RELATIONSHIP_AS_OF_DATE","20060829")</f>
        <v/>
      </c>
      <c r="CW5">
        <f>BDS("CHCO US Equity","SUPPLY_CHAIN_SUPPLIERS","RELATIONSHIP_AS_OF_DATE","20041229")</f>
        <v/>
      </c>
      <c r="DB5">
        <f>BDS("CHCO US Equity","SUPPLY_CHAIN_CUSTOMERS","RELATIONSHIP_AS_OF_DATE","20041229")</f>
        <v/>
      </c>
      <c r="DG5">
        <f>BDS("FBMS US Equity","SUPPLY_CHAIN_SUPPLIERS","RELATIONSHIP_AS_OF_DATE","20171006")</f>
        <v/>
      </c>
      <c r="DL5">
        <f>BDS("FBMS US Equity","SUPPLY_CHAIN_CUSTOMERS","RELATIONSHIP_AS_OF_DATE","20171006")</f>
        <v/>
      </c>
      <c r="DQ5">
        <f>BDS("HBNC US Equity","SUPPLY_CHAIN_SUPPLIERS","RELATIONSHIP_AS_OF_DATE","20150219")</f>
        <v/>
      </c>
      <c r="DV5">
        <f>BDS("HBNC US Equity","SUPPLY_CHAIN_CUSTOMERS","RELATIONSHIP_AS_OF_DATE","20150219")</f>
        <v/>
      </c>
      <c r="EA5">
        <f>BDS("953386Q US Equity","SUPPLY_CHAIN_SUPPLIERS","RELATIONSHIP_AS_OF_DATE","20011001")</f>
        <v/>
      </c>
      <c r="EF5">
        <f>BDS("953386Q US Equity","SUPPLY_CHAIN_CUSTOMERS","RELATIONSHIP_AS_OF_DATE","20011001")</f>
        <v/>
      </c>
      <c r="EK5">
        <f>BDS("MNR US Equity","SUPPLY_CHAIN_SUPPLIERS","RELATIONSHIP_AS_OF_DATE","20070326")</f>
        <v/>
      </c>
      <c r="EP5">
        <f>BDS("MNR US Equity","SUPPLY_CHAIN_CUSTOMERS","RELATIONSHIP_AS_OF_DATE","20070326")</f>
        <v/>
      </c>
      <c r="EU5">
        <f>BDS("HBNC US Equity","SUPPLY_CHAIN_SUPPLIERS","RELATIONSHIP_AS_OF_DATE","20170614")</f>
        <v/>
      </c>
      <c r="EZ5">
        <f>BDS("HBNC US Equity","SUPPLY_CHAIN_CUSTOMERS","RELATIONSHIP_AS_OF_DATE","20170614")</f>
        <v/>
      </c>
      <c r="FE5">
        <f>BDS("PLA US Equity","SUPPLY_CHAIN_SUPPLIERS","RELATIONSHIP_AS_OF_DATE","19980204")</f>
        <v/>
      </c>
      <c r="FJ5">
        <f>BDS("PLA US Equity","SUPPLY_CHAIN_CUSTOMERS","RELATIONSHIP_AS_OF_DATE","19980204")</f>
        <v/>
      </c>
      <c r="FO5">
        <f>BDS("TDG US Equity","SUPPLY_CHAIN_SUPPLIERS","RELATIONSHIP_AS_OF_DATE","20100806")</f>
        <v/>
      </c>
      <c r="FT5">
        <f>BDS("TDG US Equity","SUPPLY_CHAIN_CUSTOMERS","RELATIONSHIP_AS_OF_DATE","20100806")</f>
        <v/>
      </c>
      <c r="FY5">
        <f>BDS("MRCY US Equity","SUPPLY_CHAIN_SUPPLIERS","RELATIONSHIP_AS_OF_DATE","20120610")</f>
        <v/>
      </c>
      <c r="GD5">
        <f>BDS("MRCY US Equity","SUPPLY_CHAIN_CUSTOMERS","RELATIONSHIP_AS_OF_DATE","20120610")</f>
        <v/>
      </c>
      <c r="GI5">
        <f>BDS("1911768D US Equity","SUPPLY_CHAIN_SUPPLIERS","RELATIONSHIP_AS_OF_DATE","19991119")</f>
        <v/>
      </c>
      <c r="GN5">
        <f>BDS("1911768D US Equity","SUPPLY_CHAIN_CUSTOMERS","RELATIONSHIP_AS_OF_DATE","19991119")</f>
        <v/>
      </c>
      <c r="GS5">
        <f>BDS("CAC US Equity","SUPPLY_CHAIN_SUPPLIERS","RELATIONSHIP_AS_OF_DATE","20070814")</f>
        <v/>
      </c>
      <c r="GX5">
        <f>BDS("CAC US Equity","SUPPLY_CHAIN_CUSTOMERS","RELATIONSHIP_AS_OF_DATE","20070814")</f>
        <v/>
      </c>
      <c r="HC5">
        <f>BDS("AFSC US Equity","SUPPLY_CHAIN_SUPPLIERS","RELATIONSHIP_AS_OF_DATE","19980414")</f>
        <v/>
      </c>
      <c r="HH5">
        <f>BDS("AFSC US Equity","SUPPLY_CHAIN_CUSTOMERS","RELATIONSHIP_AS_OF_DATE","19980414")</f>
        <v/>
      </c>
      <c r="HM5">
        <f>BDS("KN US Equity","SUPPLY_CHAIN_SUPPLIERS","RELATIONSHIP_AS_OF_DATE","20150430")</f>
        <v/>
      </c>
      <c r="HR5">
        <f>BDS("KN US Equity","SUPPLY_CHAIN_CUSTOMERS","RELATIONSHIP_AS_OF_DATE","20150430")</f>
        <v/>
      </c>
      <c r="HW5">
        <f>BDS("1920486D US Equity","SUPPLY_CHAIN_SUPPLIERS","RELATIONSHIP_AS_OF_DATE","20010202")</f>
        <v/>
      </c>
      <c r="IB5">
        <f>BDS("1920486D US Equity","SUPPLY_CHAIN_CUSTOMERS","RELATIONSHIP_AS_OF_DATE","20010202")</f>
        <v/>
      </c>
      <c r="IG5">
        <f>BDS("INSM US Equity","SUPPLY_CHAIN_SUPPLIERS","RELATIONSHIP_AS_OF_DATE","19991201")</f>
        <v/>
      </c>
      <c r="IL5">
        <f>BDS("INSM US Equity","SUPPLY_CHAIN_CUSTOMERS","RELATIONSHIP_AS_OF_DATE","19991201")</f>
        <v/>
      </c>
      <c r="IQ5">
        <f>BDS("FIBK US Equity","SUPPLY_CHAIN_SUPPLIERS","RELATIONSHIP_AS_OF_DATE","20140210")</f>
        <v/>
      </c>
      <c r="IV5">
        <f>BDS("FIBK US Equity","SUPPLY_CHAIN_CUSTOMERS","RELATIONSHIP_AS_OF_DATE","20140210")</f>
        <v/>
      </c>
      <c r="JA5">
        <f>BDS("838969Q US Equity","SUPPLY_CHAIN_SUPPLIERS","RELATIONSHIP_AS_OF_DATE","20040128")</f>
        <v/>
      </c>
      <c r="JF5">
        <f>BDS("838969Q US Equity","SUPPLY_CHAIN_CUSTOMERS","RELATIONSHIP_AS_OF_DATE","20040128")</f>
        <v/>
      </c>
      <c r="JK5">
        <f>BDS("ZION US Equity","SUPPLY_CHAIN_SUPPLIERS","RELATIONSHIP_AS_OF_DATE","20000107")</f>
        <v/>
      </c>
      <c r="JP5">
        <f>BDS("ZION US Equity","SUPPLY_CHAIN_CUSTOMERS","RELATIONSHIP_AS_OF_DATE","20000107")</f>
        <v/>
      </c>
      <c r="JU5">
        <f>BDS("EXEL US Equity","SUPPLY_CHAIN_SUPPLIERS","RELATIONSHIP_AS_OF_DATE","20000907")</f>
        <v/>
      </c>
      <c r="JZ5">
        <f>BDS("EXEL US Equity","SUPPLY_CHAIN_CUSTOMERS","RELATIONSHIP_AS_OF_DATE","20000907")</f>
        <v/>
      </c>
      <c r="KE5">
        <f>BDS("USB US Equity","SUPPLY_CHAIN_SUPPLIERS","RELATIONSHIP_AS_OF_DATE","20061106")</f>
        <v/>
      </c>
      <c r="KJ5">
        <f>BDS("USB US Equity","SUPPLY_CHAIN_CUSTOMERS","RELATIONSHIP_AS_OF_DATE","20061106")</f>
        <v/>
      </c>
      <c r="KO5">
        <f>BDS("FCBC US Equity","SUPPLY_CHAIN_SUPPLIERS","RELATIONSHIP_AS_OF_DATE","20190911")</f>
        <v/>
      </c>
      <c r="KT5">
        <f>BDS("FCBC US Equity","SUPPLY_CHAIN_CUSTOMERS","RELATIONSHIP_AS_OF_DATE","20190911")</f>
        <v/>
      </c>
      <c r="KY5">
        <f>BDS("GE US Equity","SUPPLY_CHAIN_SUPPLIERS","RELATIONSHIP_AS_OF_DATE","20031112")</f>
        <v/>
      </c>
      <c r="LD5">
        <f>BDS("GE US Equity","SUPPLY_CHAIN_CUSTOMERS","RELATIONSHIP_AS_OF_DATE","20031112")</f>
        <v/>
      </c>
      <c r="LI5">
        <f>BDS("JPM US Equity","SUPPLY_CHAIN_SUPPLIERS","RELATIONSHIP_AS_OF_DATE","20050107")</f>
        <v/>
      </c>
      <c r="LN5">
        <f>BDS("JPM US Equity","SUPPLY_CHAIN_CUSTOMERS","RELATIONSHIP_AS_OF_DATE","20050107")</f>
        <v/>
      </c>
      <c r="LS5">
        <f>BDS("NEB US Equity","SUPPLY_CHAIN_SUPPLIERS","RELATIONSHIP_AS_OF_DATE","20030424")</f>
        <v/>
      </c>
      <c r="LX5">
        <f>BDS("NEB US Equity","SUPPLY_CHAIN_CUSTOMERS","RELATIONSHIP_AS_OF_DATE","20030424")</f>
        <v/>
      </c>
      <c r="MC5">
        <f>BDS("PSEC US Equity","SUPPLY_CHAIN_SUPPLIERS","RELATIONSHIP_AS_OF_DATE","20090803")</f>
        <v/>
      </c>
      <c r="MH5">
        <f>BDS("PSEC US Equity","SUPPLY_CHAIN_CUSTOMERS","RELATIONSHIP_AS_OF_DATE","20090803")</f>
        <v/>
      </c>
      <c r="MM5">
        <f>BDS("LBAI US Equity","SUPPLY_CHAIN_SUPPLIERS","RELATIONSHIP_AS_OF_DATE","19981207")</f>
        <v/>
      </c>
      <c r="MR5">
        <f>BDS("LBAI US Equity","SUPPLY_CHAIN_CUSTOMERS","RELATIONSHIP_AS_OF_DATE","19981207")</f>
        <v/>
      </c>
      <c r="MW5">
        <f>BDS("1068347D US Equity","SUPPLY_CHAIN_SUPPLIERS","RELATIONSHIP_AS_OF_DATE","19980218")</f>
        <v/>
      </c>
      <c r="NB5">
        <f>BDS("1068347D US Equity","SUPPLY_CHAIN_CUSTOMERS","RELATIONSHIP_AS_OF_DATE","19980218")</f>
        <v/>
      </c>
      <c r="NG5">
        <f>BDS("FBNW US Equity","SUPPLY_CHAIN_SUPPLIERS","RELATIONSHIP_AS_OF_DATE","20030224")</f>
        <v/>
      </c>
      <c r="NL5">
        <f>BDS("FBNW US Equity","SUPPLY_CHAIN_CUSTOMERS","RELATIONSHIP_AS_OF_DATE","20030224")</f>
        <v/>
      </c>
      <c r="NQ5">
        <f>BDS("388103Q US Equity","SUPPLY_CHAIN_SUPPLIERS","RELATIONSHIP_AS_OF_DATE","20000315")</f>
        <v/>
      </c>
      <c r="NV5">
        <f>BDS("388103Q US Equity","SUPPLY_CHAIN_CUSTOMERS","RELATIONSHIP_AS_OF_DATE","20000315")</f>
        <v/>
      </c>
      <c r="OA5">
        <f>BDS("3417644Q US Equity","SUPPLY_CHAIN_SUPPLIERS","RELATIONSHIP_AS_OF_DATE","20010709")</f>
        <v/>
      </c>
      <c r="OF5">
        <f>BDS("3417644Q US Equity","SUPPLY_CHAIN_CUSTOMERS","RELATIONSHIP_AS_OF_DATE","20010709")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3681</t>
        </is>
      </c>
      <c r="K1" s="1" t="inlineStr">
        <is>
          <t>Deal 3682</t>
        </is>
      </c>
      <c r="U1" s="1" t="inlineStr">
        <is>
          <t>Deal 3683</t>
        </is>
      </c>
      <c r="AE1" s="1" t="inlineStr">
        <is>
          <t>Deal 3684</t>
        </is>
      </c>
      <c r="AO1" s="1" t="inlineStr">
        <is>
          <t>Deal 3685</t>
        </is>
      </c>
      <c r="AY1" s="1" t="inlineStr">
        <is>
          <t>Deal 3686</t>
        </is>
      </c>
      <c r="BI1" s="1" t="inlineStr">
        <is>
          <t>Deal 3687</t>
        </is>
      </c>
      <c r="BS1" s="1" t="inlineStr">
        <is>
          <t>Deal 3688</t>
        </is>
      </c>
      <c r="CC1" s="1" t="inlineStr">
        <is>
          <t>Deal 3689</t>
        </is>
      </c>
      <c r="CM1" s="1" t="inlineStr">
        <is>
          <t>Deal 3690</t>
        </is>
      </c>
      <c r="CW1" s="1" t="inlineStr">
        <is>
          <t>Deal 3691</t>
        </is>
      </c>
      <c r="DG1" s="1" t="inlineStr">
        <is>
          <t>Deal 3692</t>
        </is>
      </c>
      <c r="DQ1" s="1" t="inlineStr">
        <is>
          <t>Deal 3693</t>
        </is>
      </c>
      <c r="EA1" s="1" t="inlineStr">
        <is>
          <t>Deal 3694</t>
        </is>
      </c>
      <c r="EK1" s="1" t="inlineStr">
        <is>
          <t>Deal 3695</t>
        </is>
      </c>
      <c r="EU1" s="1" t="inlineStr">
        <is>
          <t>Deal 3696</t>
        </is>
      </c>
      <c r="FE1" s="1" t="inlineStr">
        <is>
          <t>Deal 3697</t>
        </is>
      </c>
      <c r="FO1" s="1" t="inlineStr">
        <is>
          <t>Deal 3698</t>
        </is>
      </c>
      <c r="FY1" s="1" t="inlineStr">
        <is>
          <t>Deal 3699</t>
        </is>
      </c>
      <c r="GI1" s="1" t="inlineStr">
        <is>
          <t>Deal 3700</t>
        </is>
      </c>
      <c r="GS1" s="1" t="inlineStr">
        <is>
          <t>Deal 3701</t>
        </is>
      </c>
      <c r="HC1" s="1" t="inlineStr">
        <is>
          <t>Deal 3702</t>
        </is>
      </c>
      <c r="HM1" s="1" t="inlineStr">
        <is>
          <t>Deal 3703</t>
        </is>
      </c>
      <c r="HW1" s="1" t="inlineStr">
        <is>
          <t>Deal 3704</t>
        </is>
      </c>
      <c r="IG1" s="1" t="inlineStr">
        <is>
          <t>Deal 3705</t>
        </is>
      </c>
      <c r="IQ1" s="1" t="inlineStr">
        <is>
          <t>Deal 3706</t>
        </is>
      </c>
      <c r="JA1" s="1" t="inlineStr">
        <is>
          <t>Deal 3707</t>
        </is>
      </c>
      <c r="JK1" s="1" t="inlineStr">
        <is>
          <t>Deal 3708</t>
        </is>
      </c>
      <c r="JU1" s="1" t="inlineStr">
        <is>
          <t>Deal 3709</t>
        </is>
      </c>
      <c r="KE1" s="1" t="inlineStr">
        <is>
          <t>Deal 3710</t>
        </is>
      </c>
      <c r="KO1" s="1" t="inlineStr">
        <is>
          <t>Deal 3711</t>
        </is>
      </c>
      <c r="KY1" s="1" t="inlineStr">
        <is>
          <t>Deal 3712</t>
        </is>
      </c>
      <c r="LI1" s="1" t="inlineStr">
        <is>
          <t>Deal 3713</t>
        </is>
      </c>
      <c r="LS1" s="1" t="inlineStr">
        <is>
          <t>Deal 3714</t>
        </is>
      </c>
      <c r="MC1" s="1" t="inlineStr">
        <is>
          <t>Deal 3715</t>
        </is>
      </c>
      <c r="MM1" s="1" t="inlineStr">
        <is>
          <t>Deal 3716</t>
        </is>
      </c>
      <c r="MW1" s="1" t="inlineStr">
        <is>
          <t>Deal 3717</t>
        </is>
      </c>
      <c r="NG1" s="1" t="inlineStr">
        <is>
          <t>Deal 3718</t>
        </is>
      </c>
      <c r="NQ1" s="1" t="inlineStr">
        <is>
          <t>Deal 3719</t>
        </is>
      </c>
      <c r="OA1" s="1" t="inlineStr">
        <is>
          <t>Deal 3720</t>
        </is>
      </c>
    </row>
    <row r="2">
      <c r="A2" s="2" t="inlineStr">
        <is>
          <t>1611364D US Equity</t>
        </is>
      </c>
      <c r="K2" s="2" t="inlineStr">
        <is>
          <t>FSNMQ US Equity</t>
        </is>
      </c>
      <c r="U2" s="2" t="inlineStr">
        <is>
          <t>3075370Q US Equity</t>
        </is>
      </c>
      <c r="AE2" s="2" t="inlineStr">
        <is>
          <t>KRNY US Equity</t>
        </is>
      </c>
      <c r="AO2" s="2" t="inlineStr">
        <is>
          <t>8397627Q US Equity</t>
        </is>
      </c>
      <c r="AY2" s="2" t="inlineStr">
        <is>
          <t>OSGIQ US Equity</t>
        </is>
      </c>
      <c r="BI2" s="2" t="inlineStr">
        <is>
          <t>BSX US Equity</t>
        </is>
      </c>
      <c r="BS2" s="2" t="inlineStr">
        <is>
          <t>OCR US Equity</t>
        </is>
      </c>
      <c r="CC2" s="2" t="inlineStr">
        <is>
          <t>SUG US Equity</t>
        </is>
      </c>
      <c r="CM2" s="2" t="inlineStr">
        <is>
          <t>2860436Q US Equity</t>
        </is>
      </c>
      <c r="CW2" s="2" t="inlineStr">
        <is>
          <t>8215820Q US Equity</t>
        </is>
      </c>
      <c r="DG2" s="2" t="inlineStr">
        <is>
          <t>PPBI US Equity</t>
        </is>
      </c>
      <c r="DQ2" s="2" t="inlineStr">
        <is>
          <t>NAL US Equity</t>
        </is>
      </c>
      <c r="EA2" s="2" t="inlineStr">
        <is>
          <t>FMNB US Equity</t>
        </is>
      </c>
      <c r="EK2" s="2" t="inlineStr">
        <is>
          <t>BTFG US Equity</t>
        </is>
      </c>
      <c r="EU2" s="2" t="inlineStr">
        <is>
          <t>ONB US Equity</t>
        </is>
      </c>
      <c r="FE2" s="2" t="inlineStr">
        <is>
          <t>RSHCQ US Equity</t>
        </is>
      </c>
      <c r="FO2" s="2" t="inlineStr">
        <is>
          <t>FPFCQ US Equity</t>
        </is>
      </c>
      <c r="FY2" s="2" t="inlineStr">
        <is>
          <t>CVBF US Equity</t>
        </is>
      </c>
      <c r="GI2" s="2" t="inlineStr">
        <is>
          <t>1284849D US Equity</t>
        </is>
      </c>
      <c r="GS2" s="2" t="inlineStr">
        <is>
          <t>STOKQ US Equity</t>
        </is>
      </c>
      <c r="HC2" s="2" t="inlineStr">
        <is>
          <t>NNN US Equity</t>
        </is>
      </c>
      <c r="HM2" s="2" t="inlineStr">
        <is>
          <t>1927294D US Equity</t>
        </is>
      </c>
      <c r="HW2" s="2" t="inlineStr">
        <is>
          <t>605018Q US Equity</t>
        </is>
      </c>
      <c r="IG2" s="2" t="inlineStr">
        <is>
          <t>QVDX US Equity</t>
        </is>
      </c>
      <c r="IQ2" s="2" t="inlineStr">
        <is>
          <t>LGTO US Equity</t>
        </is>
      </c>
      <c r="JA2" s="2" t="inlineStr">
        <is>
          <t>WSBC US Equity</t>
        </is>
      </c>
      <c r="JK2" s="2" t="inlineStr">
        <is>
          <t>HBCP US Equity</t>
        </is>
      </c>
      <c r="JU2" s="2" t="inlineStr">
        <is>
          <t>WLL US Equity</t>
        </is>
      </c>
      <c r="KE2" s="2" t="inlineStr">
        <is>
          <t>AON US Equity</t>
        </is>
      </c>
      <c r="KO2" s="2" t="inlineStr">
        <is>
          <t>FMBI US Equity</t>
        </is>
      </c>
      <c r="KY2" s="2" t="inlineStr">
        <is>
          <t>ITW US Equity</t>
        </is>
      </c>
      <c r="LI2" s="2" t="inlineStr">
        <is>
          <t>TA US Equity</t>
        </is>
      </c>
      <c r="LS2" s="2" t="inlineStr">
        <is>
          <t>HAS US Equity</t>
        </is>
      </c>
      <c r="MC2" s="2" t="inlineStr">
        <is>
          <t>HNH US Equity</t>
        </is>
      </c>
      <c r="MM2" s="2" t="inlineStr">
        <is>
          <t>LNY US Equity</t>
        </is>
      </c>
      <c r="MW2" s="2" t="inlineStr">
        <is>
          <t>SOA US Equity</t>
        </is>
      </c>
      <c r="NG2" s="2" t="inlineStr">
        <is>
          <t>2674129Q US Equity</t>
        </is>
      </c>
      <c r="NQ2" s="2" t="inlineStr">
        <is>
          <t>LNN US Equity</t>
        </is>
      </c>
      <c r="OA2" s="2" t="inlineStr">
        <is>
          <t>HNBC US Equity</t>
        </is>
      </c>
    </row>
    <row r="3">
      <c r="A3" t="inlineStr">
        <is>
          <t>Ann: 1999-07-11</t>
        </is>
      </c>
      <c r="K3" t="inlineStr">
        <is>
          <t>Ann: 2006-10-05</t>
        </is>
      </c>
      <c r="U3" t="inlineStr">
        <is>
          <t>Ann: 1998-04-01</t>
        </is>
      </c>
      <c r="AE3" t="inlineStr">
        <is>
          <t>Ann: 2010-05-25</t>
        </is>
      </c>
      <c r="AO3" t="inlineStr">
        <is>
          <t>Ann: 2003-04-09</t>
        </is>
      </c>
      <c r="AY3" t="inlineStr">
        <is>
          <t>Ann: 2009-07-29</t>
        </is>
      </c>
      <c r="BI3" t="inlineStr">
        <is>
          <t>Ann: 2005-04-14</t>
        </is>
      </c>
      <c r="BS3" t="inlineStr">
        <is>
          <t>Ann: 1998-02-23</t>
        </is>
      </c>
      <c r="CC3" t="inlineStr">
        <is>
          <t>Ann: 1999-10-05</t>
        </is>
      </c>
      <c r="CM3" t="inlineStr">
        <is>
          <t>Ann: 2000-07-26</t>
        </is>
      </c>
      <c r="CW3" t="inlineStr">
        <is>
          <t>Ann: 2001-06-19</t>
        </is>
      </c>
      <c r="DG3" t="inlineStr">
        <is>
          <t>Ann: 2014-10-22</t>
        </is>
      </c>
      <c r="DQ3" t="inlineStr">
        <is>
          <t>Ann: 2003-07-16</t>
        </is>
      </c>
      <c r="EA3" t="inlineStr">
        <is>
          <t>Ann: 2015-01-27</t>
        </is>
      </c>
      <c r="EK3" t="inlineStr">
        <is>
          <t>Ann: 2003-05-28</t>
        </is>
      </c>
      <c r="EU3" t="inlineStr">
        <is>
          <t>Ann: 2006-10-23</t>
        </is>
      </c>
      <c r="FE3" t="inlineStr">
        <is>
          <t>Ann: 1999-05-21</t>
        </is>
      </c>
      <c r="FO3" t="inlineStr">
        <is>
          <t>Ann: 2006-01-27</t>
        </is>
      </c>
      <c r="FY3" t="inlineStr">
        <is>
          <t>Ann: 1999-05-18</t>
        </is>
      </c>
      <c r="GI3" t="inlineStr">
        <is>
          <t>Ann: 2001-04-16</t>
        </is>
      </c>
      <c r="GS3" t="inlineStr">
        <is>
          <t>Ann: 2000-06-06</t>
        </is>
      </c>
      <c r="HC3" t="inlineStr">
        <is>
          <t>Ann: 2001-07-02</t>
        </is>
      </c>
      <c r="HM3" t="inlineStr">
        <is>
          <t>Ann: 1999-03-01</t>
        </is>
      </c>
      <c r="HW3" t="inlineStr">
        <is>
          <t>Ann: 2003-01-16</t>
        </is>
      </c>
      <c r="IG3" t="inlineStr">
        <is>
          <t>Ann: 2001-05-14</t>
        </is>
      </c>
      <c r="IQ3" t="inlineStr">
        <is>
          <t>Ann: 1998-10-26</t>
        </is>
      </c>
      <c r="JA3" t="inlineStr">
        <is>
          <t>Ann: 2012-07-19</t>
        </is>
      </c>
      <c r="JK3" t="inlineStr">
        <is>
          <t>Ann: 2015-06-18</t>
        </is>
      </c>
      <c r="JU3" t="inlineStr">
        <is>
          <t>Ann: 2004-02-02</t>
        </is>
      </c>
      <c r="KE3" t="inlineStr">
        <is>
          <t>Ann: 2012-02-27</t>
        </is>
      </c>
      <c r="KO3" t="inlineStr">
        <is>
          <t>Ann: 2015-11-12</t>
        </is>
      </c>
      <c r="KY3" t="inlineStr">
        <is>
          <t>Ann: 2001-04-11</t>
        </is>
      </c>
      <c r="LI3" t="inlineStr">
        <is>
          <t>Ann: 2007-05-30</t>
        </is>
      </c>
      <c r="LS3" t="inlineStr">
        <is>
          <t>Ann: 1998-08-12</t>
        </is>
      </c>
      <c r="MC3" t="inlineStr">
        <is>
          <t>Ann: 2015-06-01</t>
        </is>
      </c>
      <c r="MM3" t="inlineStr">
        <is>
          <t>Ann: 2000-09-26</t>
        </is>
      </c>
      <c r="MW3" t="inlineStr">
        <is>
          <t>Ann: 2011-10-07</t>
        </is>
      </c>
      <c r="NG3" t="inlineStr">
        <is>
          <t>Ann: 2004-12-22</t>
        </is>
      </c>
      <c r="NQ3" t="inlineStr">
        <is>
          <t>Ann: 2014-11-04</t>
        </is>
      </c>
      <c r="OA3" t="inlineStr">
        <is>
          <t>Ann: 1998-07-28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BDS("1611364D US Equity","SUPPLY_CHAIN_SUPPLIERS","RELATIONSHIP_AS_OF_DATE","19990711")</f>
        <v/>
      </c>
      <c r="F5">
        <f>BDS("1611364D US Equity","SUPPLY_CHAIN_CUSTOMERS","RELATIONSHIP_AS_OF_DATE","19990711")</f>
        <v/>
      </c>
      <c r="K5">
        <f>BDS("FSNMQ US Equity","SUPPLY_CHAIN_SUPPLIERS","RELATIONSHIP_AS_OF_DATE","20061005")</f>
        <v/>
      </c>
      <c r="P5">
        <f>BDS("FSNMQ US Equity","SUPPLY_CHAIN_CUSTOMERS","RELATIONSHIP_AS_OF_DATE","20061005")</f>
        <v/>
      </c>
      <c r="U5">
        <f>BDS("3075370Q US Equity","SUPPLY_CHAIN_SUPPLIERS","RELATIONSHIP_AS_OF_DATE","19980401")</f>
        <v/>
      </c>
      <c r="Z5">
        <f>BDS("3075370Q US Equity","SUPPLY_CHAIN_CUSTOMERS","RELATIONSHIP_AS_OF_DATE","19980401")</f>
        <v/>
      </c>
      <c r="AE5">
        <f>BDS("KRNY US Equity","SUPPLY_CHAIN_SUPPLIERS","RELATIONSHIP_AS_OF_DATE","20100525")</f>
        <v/>
      </c>
      <c r="AJ5">
        <f>BDS("KRNY US Equity","SUPPLY_CHAIN_CUSTOMERS","RELATIONSHIP_AS_OF_DATE","20100525")</f>
        <v/>
      </c>
      <c r="AO5">
        <f>BDS("8397627Q US Equity","SUPPLY_CHAIN_SUPPLIERS","RELATIONSHIP_AS_OF_DATE","20030409")</f>
        <v/>
      </c>
      <c r="AT5">
        <f>BDS("8397627Q US Equity","SUPPLY_CHAIN_CUSTOMERS","RELATIONSHIP_AS_OF_DATE","20030409")</f>
        <v/>
      </c>
      <c r="AY5">
        <f>BDS("OSGIQ US Equity","SUPPLY_CHAIN_SUPPLIERS","RELATIONSHIP_AS_OF_DATE","20090729")</f>
        <v/>
      </c>
      <c r="BD5">
        <f>BDS("OSGIQ US Equity","SUPPLY_CHAIN_CUSTOMERS","RELATIONSHIP_AS_OF_DATE","20090729")</f>
        <v/>
      </c>
      <c r="BI5">
        <f>BDS("BSX US Equity","SUPPLY_CHAIN_SUPPLIERS","RELATIONSHIP_AS_OF_DATE","20050414")</f>
        <v/>
      </c>
      <c r="BN5">
        <f>BDS("BSX US Equity","SUPPLY_CHAIN_CUSTOMERS","RELATIONSHIP_AS_OF_DATE","20050414")</f>
        <v/>
      </c>
      <c r="BS5">
        <f>BDS("OCR US Equity","SUPPLY_CHAIN_SUPPLIERS","RELATIONSHIP_AS_OF_DATE","19980223")</f>
        <v/>
      </c>
      <c r="BX5">
        <f>BDS("OCR US Equity","SUPPLY_CHAIN_CUSTOMERS","RELATIONSHIP_AS_OF_DATE","19980223")</f>
        <v/>
      </c>
      <c r="CC5">
        <f>BDS("SUG US Equity","SUPPLY_CHAIN_SUPPLIERS","RELATIONSHIP_AS_OF_DATE","19991005")</f>
        <v/>
      </c>
      <c r="CH5">
        <f>BDS("SUG US Equity","SUPPLY_CHAIN_CUSTOMERS","RELATIONSHIP_AS_OF_DATE","19991005")</f>
        <v/>
      </c>
      <c r="CM5">
        <f>BDS("2860436Q US Equity","SUPPLY_CHAIN_SUPPLIERS","RELATIONSHIP_AS_OF_DATE","20000726")</f>
        <v/>
      </c>
      <c r="CR5">
        <f>BDS("2860436Q US Equity","SUPPLY_CHAIN_CUSTOMERS","RELATIONSHIP_AS_OF_DATE","20000726")</f>
        <v/>
      </c>
      <c r="CW5">
        <f>BDS("8215820Q US Equity","SUPPLY_CHAIN_SUPPLIERS","RELATIONSHIP_AS_OF_DATE","20010619")</f>
        <v/>
      </c>
      <c r="DB5">
        <f>BDS("8215820Q US Equity","SUPPLY_CHAIN_CUSTOMERS","RELATIONSHIP_AS_OF_DATE","20010619")</f>
        <v/>
      </c>
      <c r="DG5">
        <f>BDS("PPBI US Equity","SUPPLY_CHAIN_SUPPLIERS","RELATIONSHIP_AS_OF_DATE","20141022")</f>
        <v/>
      </c>
      <c r="DL5">
        <f>BDS("PPBI US Equity","SUPPLY_CHAIN_CUSTOMERS","RELATIONSHIP_AS_OF_DATE","20141022")</f>
        <v/>
      </c>
      <c r="DQ5">
        <f>BDS("NAL US Equity","SUPPLY_CHAIN_SUPPLIERS","RELATIONSHIP_AS_OF_DATE","20030716")</f>
        <v/>
      </c>
      <c r="DV5">
        <f>BDS("NAL US Equity","SUPPLY_CHAIN_CUSTOMERS","RELATIONSHIP_AS_OF_DATE","20030716")</f>
        <v/>
      </c>
      <c r="EA5">
        <f>BDS("FMNB US Equity","SUPPLY_CHAIN_SUPPLIERS","RELATIONSHIP_AS_OF_DATE","20150127")</f>
        <v/>
      </c>
      <c r="EF5">
        <f>BDS("FMNB US Equity","SUPPLY_CHAIN_CUSTOMERS","RELATIONSHIP_AS_OF_DATE","20150127")</f>
        <v/>
      </c>
      <c r="EK5">
        <f>BDS("BTFG US Equity","SUPPLY_CHAIN_SUPPLIERS","RELATIONSHIP_AS_OF_DATE","20030528")</f>
        <v/>
      </c>
      <c r="EP5">
        <f>BDS("BTFG US Equity","SUPPLY_CHAIN_CUSTOMERS","RELATIONSHIP_AS_OF_DATE","20030528")</f>
        <v/>
      </c>
      <c r="EU5">
        <f>BDS("ONB US Equity","SUPPLY_CHAIN_SUPPLIERS","RELATIONSHIP_AS_OF_DATE","20061023")</f>
        <v/>
      </c>
      <c r="EZ5">
        <f>BDS("ONB US Equity","SUPPLY_CHAIN_CUSTOMERS","RELATIONSHIP_AS_OF_DATE","20061023")</f>
        <v/>
      </c>
      <c r="FE5">
        <f>BDS("RSHCQ US Equity","SUPPLY_CHAIN_SUPPLIERS","RELATIONSHIP_AS_OF_DATE","19990521")</f>
        <v/>
      </c>
      <c r="FJ5">
        <f>BDS("RSHCQ US Equity","SUPPLY_CHAIN_CUSTOMERS","RELATIONSHIP_AS_OF_DATE","19990521")</f>
        <v/>
      </c>
      <c r="FO5">
        <f>BDS("FPFCQ US Equity","SUPPLY_CHAIN_SUPPLIERS","RELATIONSHIP_AS_OF_DATE","20060127")</f>
        <v/>
      </c>
      <c r="FT5">
        <f>BDS("FPFCQ US Equity","SUPPLY_CHAIN_CUSTOMERS","RELATIONSHIP_AS_OF_DATE","20060127")</f>
        <v/>
      </c>
      <c r="FY5">
        <f>BDS("CVBF US Equity","SUPPLY_CHAIN_SUPPLIERS","RELATIONSHIP_AS_OF_DATE","19990518")</f>
        <v/>
      </c>
      <c r="GD5">
        <f>BDS("CVBF US Equity","SUPPLY_CHAIN_CUSTOMERS","RELATIONSHIP_AS_OF_DATE","19990518")</f>
        <v/>
      </c>
      <c r="GI5">
        <f>BDS("1284849D US Equity","SUPPLY_CHAIN_SUPPLIERS","RELATIONSHIP_AS_OF_DATE","20010416")</f>
        <v/>
      </c>
      <c r="GN5">
        <f>BDS("1284849D US Equity","SUPPLY_CHAIN_CUSTOMERS","RELATIONSHIP_AS_OF_DATE","20010416")</f>
        <v/>
      </c>
      <c r="GS5">
        <f>BDS("STOKQ US Equity","SUPPLY_CHAIN_SUPPLIERS","RELATIONSHIP_AS_OF_DATE","20000606")</f>
        <v/>
      </c>
      <c r="GX5">
        <f>BDS("STOKQ US Equity","SUPPLY_CHAIN_CUSTOMERS","RELATIONSHIP_AS_OF_DATE","20000606")</f>
        <v/>
      </c>
      <c r="HC5">
        <f>BDS("NNN US Equity","SUPPLY_CHAIN_SUPPLIERS","RELATIONSHIP_AS_OF_DATE","20010702")</f>
        <v/>
      </c>
      <c r="HH5">
        <f>BDS("NNN US Equity","SUPPLY_CHAIN_CUSTOMERS","RELATIONSHIP_AS_OF_DATE","20010702")</f>
        <v/>
      </c>
      <c r="HM5">
        <f>BDS("1927294D US Equity","SUPPLY_CHAIN_SUPPLIERS","RELATIONSHIP_AS_OF_DATE","19990301")</f>
        <v/>
      </c>
      <c r="HR5">
        <f>BDS("1927294D US Equity","SUPPLY_CHAIN_CUSTOMERS","RELATIONSHIP_AS_OF_DATE","19990301")</f>
        <v/>
      </c>
      <c r="HW5">
        <f>BDS("605018Q US Equity","SUPPLY_CHAIN_SUPPLIERS","RELATIONSHIP_AS_OF_DATE","20030116")</f>
        <v/>
      </c>
      <c r="IB5">
        <f>BDS("605018Q US Equity","SUPPLY_CHAIN_CUSTOMERS","RELATIONSHIP_AS_OF_DATE","20030116")</f>
        <v/>
      </c>
      <c r="IG5">
        <f>BDS("QVDX US Equity","SUPPLY_CHAIN_SUPPLIERS","RELATIONSHIP_AS_OF_DATE","20010514")</f>
        <v/>
      </c>
      <c r="IL5">
        <f>BDS("QVDX US Equity","SUPPLY_CHAIN_CUSTOMERS","RELATIONSHIP_AS_OF_DATE","20010514")</f>
        <v/>
      </c>
      <c r="IQ5">
        <f>BDS("LGTO US Equity","SUPPLY_CHAIN_SUPPLIERS","RELATIONSHIP_AS_OF_DATE","19981026")</f>
        <v/>
      </c>
      <c r="IV5">
        <f>BDS("LGTO US Equity","SUPPLY_CHAIN_CUSTOMERS","RELATIONSHIP_AS_OF_DATE","19981026")</f>
        <v/>
      </c>
      <c r="JA5">
        <f>BDS("WSBC US Equity","SUPPLY_CHAIN_SUPPLIERS","RELATIONSHIP_AS_OF_DATE","20120719")</f>
        <v/>
      </c>
      <c r="JF5">
        <f>BDS("WSBC US Equity","SUPPLY_CHAIN_CUSTOMERS","RELATIONSHIP_AS_OF_DATE","20120719")</f>
        <v/>
      </c>
      <c r="JK5">
        <f>BDS("HBCP US Equity","SUPPLY_CHAIN_SUPPLIERS","RELATIONSHIP_AS_OF_DATE","20150618")</f>
        <v/>
      </c>
      <c r="JP5">
        <f>BDS("HBCP US Equity","SUPPLY_CHAIN_CUSTOMERS","RELATIONSHIP_AS_OF_DATE","20150618")</f>
        <v/>
      </c>
      <c r="JU5">
        <f>BDS("WLL US Equity","SUPPLY_CHAIN_SUPPLIERS","RELATIONSHIP_AS_OF_DATE","20040202")</f>
        <v/>
      </c>
      <c r="JZ5">
        <f>BDS("WLL US Equity","SUPPLY_CHAIN_CUSTOMERS","RELATIONSHIP_AS_OF_DATE","20040202")</f>
        <v/>
      </c>
      <c r="KE5">
        <f>BDS("AON US Equity","SUPPLY_CHAIN_SUPPLIERS","RELATIONSHIP_AS_OF_DATE","20120227")</f>
        <v/>
      </c>
      <c r="KJ5">
        <f>BDS("AON US Equity","SUPPLY_CHAIN_CUSTOMERS","RELATIONSHIP_AS_OF_DATE","20120227")</f>
        <v/>
      </c>
      <c r="KO5">
        <f>BDS("FMBI US Equity","SUPPLY_CHAIN_SUPPLIERS","RELATIONSHIP_AS_OF_DATE","20151112")</f>
        <v/>
      </c>
      <c r="KT5">
        <f>BDS("FMBI US Equity","SUPPLY_CHAIN_CUSTOMERS","RELATIONSHIP_AS_OF_DATE","20151112")</f>
        <v/>
      </c>
      <c r="KY5">
        <f>BDS("ITW US Equity","SUPPLY_CHAIN_SUPPLIERS","RELATIONSHIP_AS_OF_DATE","20010411")</f>
        <v/>
      </c>
      <c r="LD5">
        <f>BDS("ITW US Equity","SUPPLY_CHAIN_CUSTOMERS","RELATIONSHIP_AS_OF_DATE","20010411")</f>
        <v/>
      </c>
      <c r="LI5">
        <f>BDS("TA US Equity","SUPPLY_CHAIN_SUPPLIERS","RELATIONSHIP_AS_OF_DATE","20070530")</f>
        <v/>
      </c>
      <c r="LN5">
        <f>BDS("TA US Equity","SUPPLY_CHAIN_CUSTOMERS","RELATIONSHIP_AS_OF_DATE","20070530")</f>
        <v/>
      </c>
      <c r="LS5">
        <f>BDS("HAS US Equity","SUPPLY_CHAIN_SUPPLIERS","RELATIONSHIP_AS_OF_DATE","19980812")</f>
        <v/>
      </c>
      <c r="LX5">
        <f>BDS("HAS US Equity","SUPPLY_CHAIN_CUSTOMERS","RELATIONSHIP_AS_OF_DATE","19980812")</f>
        <v/>
      </c>
      <c r="MC5">
        <f>BDS("HNH US Equity","SUPPLY_CHAIN_SUPPLIERS","RELATIONSHIP_AS_OF_DATE","20150601")</f>
        <v/>
      </c>
      <c r="MH5">
        <f>BDS("HNH US Equity","SUPPLY_CHAIN_CUSTOMERS","RELATIONSHIP_AS_OF_DATE","20150601")</f>
        <v/>
      </c>
      <c r="MM5">
        <f>BDS("LNY US Equity","SUPPLY_CHAIN_SUPPLIERS","RELATIONSHIP_AS_OF_DATE","20000926")</f>
        <v/>
      </c>
      <c r="MR5">
        <f>BDS("LNY US Equity","SUPPLY_CHAIN_CUSTOMERS","RELATIONSHIP_AS_OF_DATE","20000926")</f>
        <v/>
      </c>
      <c r="MW5">
        <f>BDS("SOA US Equity","SUPPLY_CHAIN_SUPPLIERS","RELATIONSHIP_AS_OF_DATE","20111007")</f>
        <v/>
      </c>
      <c r="NB5">
        <f>BDS("SOA US Equity","SUPPLY_CHAIN_CUSTOMERS","RELATIONSHIP_AS_OF_DATE","20111007")</f>
        <v/>
      </c>
      <c r="NG5">
        <f>BDS("2674129Q US Equity","SUPPLY_CHAIN_SUPPLIERS","RELATIONSHIP_AS_OF_DATE","20041222")</f>
        <v/>
      </c>
      <c r="NL5">
        <f>BDS("2674129Q US Equity","SUPPLY_CHAIN_CUSTOMERS","RELATIONSHIP_AS_OF_DATE","20041222")</f>
        <v/>
      </c>
      <c r="NQ5">
        <f>BDS("LNN US Equity","SUPPLY_CHAIN_SUPPLIERS","RELATIONSHIP_AS_OF_DATE","20141104")</f>
        <v/>
      </c>
      <c r="NV5">
        <f>BDS("LNN US Equity","SUPPLY_CHAIN_CUSTOMERS","RELATIONSHIP_AS_OF_DATE","20141104")</f>
        <v/>
      </c>
      <c r="OA5">
        <f>BDS("HNBC US Equity","SUPPLY_CHAIN_SUPPLIERS","RELATIONSHIP_AS_OF_DATE","19980728")</f>
        <v/>
      </c>
      <c r="OF5">
        <f>BDS("HNBC US Equity","SUPPLY_CHAIN_CUSTOMERS","RELATIONSHIP_AS_OF_DATE","19980728")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3721</t>
        </is>
      </c>
      <c r="K1" s="1" t="inlineStr">
        <is>
          <t>Deal 3722</t>
        </is>
      </c>
      <c r="U1" s="1" t="inlineStr">
        <is>
          <t>Deal 3723</t>
        </is>
      </c>
      <c r="AE1" s="1" t="inlineStr">
        <is>
          <t>Deal 3724</t>
        </is>
      </c>
      <c r="AO1" s="1" t="inlineStr">
        <is>
          <t>Deal 3725</t>
        </is>
      </c>
      <c r="AY1" s="1" t="inlineStr">
        <is>
          <t>Deal 3726</t>
        </is>
      </c>
      <c r="BI1" s="1" t="inlineStr">
        <is>
          <t>Deal 3727</t>
        </is>
      </c>
      <c r="BS1" s="1" t="inlineStr">
        <is>
          <t>Deal 3728</t>
        </is>
      </c>
      <c r="CC1" s="1" t="inlineStr">
        <is>
          <t>Deal 3729</t>
        </is>
      </c>
      <c r="CM1" s="1" t="inlineStr">
        <is>
          <t>Deal 3730</t>
        </is>
      </c>
      <c r="CW1" s="1" t="inlineStr">
        <is>
          <t>Deal 3731</t>
        </is>
      </c>
      <c r="DG1" s="1" t="inlineStr">
        <is>
          <t>Deal 3732</t>
        </is>
      </c>
      <c r="DQ1" s="1" t="inlineStr">
        <is>
          <t>Deal 3733</t>
        </is>
      </c>
      <c r="EA1" s="1" t="inlineStr">
        <is>
          <t>Deal 3734</t>
        </is>
      </c>
      <c r="EK1" s="1" t="inlineStr">
        <is>
          <t>Deal 3735</t>
        </is>
      </c>
      <c r="EU1" s="1" t="inlineStr">
        <is>
          <t>Deal 3736</t>
        </is>
      </c>
      <c r="FE1" s="1" t="inlineStr">
        <is>
          <t>Deal 3737</t>
        </is>
      </c>
      <c r="FO1" s="1" t="inlineStr">
        <is>
          <t>Deal 3738</t>
        </is>
      </c>
      <c r="FY1" s="1" t="inlineStr">
        <is>
          <t>Deal 3739</t>
        </is>
      </c>
      <c r="GI1" s="1" t="inlineStr">
        <is>
          <t>Deal 3740</t>
        </is>
      </c>
      <c r="GS1" s="1" t="inlineStr">
        <is>
          <t>Deal 3741</t>
        </is>
      </c>
      <c r="HC1" s="1" t="inlineStr">
        <is>
          <t>Deal 3742</t>
        </is>
      </c>
      <c r="HM1" s="1" t="inlineStr">
        <is>
          <t>Deal 3743</t>
        </is>
      </c>
      <c r="HW1" s="1" t="inlineStr">
        <is>
          <t>Deal 3744</t>
        </is>
      </c>
      <c r="IG1" s="1" t="inlineStr">
        <is>
          <t>Deal 3745</t>
        </is>
      </c>
      <c r="IQ1" s="1" t="inlineStr">
        <is>
          <t>Deal 3746</t>
        </is>
      </c>
      <c r="JA1" s="1" t="inlineStr">
        <is>
          <t>Deal 3747</t>
        </is>
      </c>
      <c r="JK1" s="1" t="inlineStr">
        <is>
          <t>Deal 3748</t>
        </is>
      </c>
      <c r="JU1" s="1" t="inlineStr">
        <is>
          <t>Deal 3749</t>
        </is>
      </c>
      <c r="KE1" s="1" t="inlineStr">
        <is>
          <t>Deal 3750</t>
        </is>
      </c>
      <c r="KO1" s="1" t="inlineStr">
        <is>
          <t>Deal 3751</t>
        </is>
      </c>
      <c r="KY1" s="1" t="inlineStr">
        <is>
          <t>Deal 3752</t>
        </is>
      </c>
      <c r="LI1" s="1" t="inlineStr">
        <is>
          <t>Deal 3753</t>
        </is>
      </c>
      <c r="LS1" s="1" t="inlineStr">
        <is>
          <t>Deal 3754</t>
        </is>
      </c>
      <c r="MC1" s="1" t="inlineStr">
        <is>
          <t>Deal 3755</t>
        </is>
      </c>
      <c r="MM1" s="1" t="inlineStr">
        <is>
          <t>Deal 3756</t>
        </is>
      </c>
      <c r="MW1" s="1" t="inlineStr">
        <is>
          <t>Deal 3757</t>
        </is>
      </c>
      <c r="NG1" s="1" t="inlineStr">
        <is>
          <t>Deal 3758</t>
        </is>
      </c>
      <c r="NQ1" s="1" t="inlineStr">
        <is>
          <t>Deal 3759</t>
        </is>
      </c>
      <c r="OA1" s="1" t="inlineStr">
        <is>
          <t>Deal 3760</t>
        </is>
      </c>
    </row>
    <row r="2">
      <c r="A2" s="2" t="inlineStr">
        <is>
          <t>VHI US Equity</t>
        </is>
      </c>
      <c r="K2" s="2" t="inlineStr">
        <is>
          <t>XXIA US Equity</t>
        </is>
      </c>
      <c r="U2" s="2" t="inlineStr">
        <is>
          <t>RNST US Equity</t>
        </is>
      </c>
      <c r="AE2" s="2" t="inlineStr">
        <is>
          <t>3075558Q US Equity</t>
        </is>
      </c>
      <c r="AO2" s="2" t="inlineStr">
        <is>
          <t>FINB US Equity</t>
        </is>
      </c>
      <c r="AY2" s="2" t="inlineStr">
        <is>
          <t>0848680D US Equity</t>
        </is>
      </c>
      <c r="BI2" s="2" t="inlineStr">
        <is>
          <t>9990201D US Equity</t>
        </is>
      </c>
      <c r="BS2" s="2" t="inlineStr">
        <is>
          <t>CBAN US Equity</t>
        </is>
      </c>
      <c r="CC2" s="2" t="inlineStr">
        <is>
          <t>CLGX US Equity</t>
        </is>
      </c>
      <c r="CM2" s="2" t="inlineStr">
        <is>
          <t>601238Q US Equity</t>
        </is>
      </c>
      <c r="CW2" s="2" t="inlineStr">
        <is>
          <t>REXR US Equity</t>
        </is>
      </c>
      <c r="DG2" s="2" t="inlineStr">
        <is>
          <t>LFT US Equity</t>
        </is>
      </c>
      <c r="DQ2" s="2" t="inlineStr">
        <is>
          <t>FLG US Equity</t>
        </is>
      </c>
      <c r="EA2" s="2" t="inlineStr">
        <is>
          <t>SCFS US Equity</t>
        </is>
      </c>
      <c r="EK2" s="2" t="inlineStr">
        <is>
          <t>ADP US Equity</t>
        </is>
      </c>
      <c r="EU2" s="2" t="inlineStr">
        <is>
          <t>FTBK US Equity</t>
        </is>
      </c>
      <c r="FE2" s="2" t="inlineStr">
        <is>
          <t>PCP US Equity</t>
        </is>
      </c>
      <c r="FO2" s="2" t="inlineStr">
        <is>
          <t>DZSIQ US Equity</t>
        </is>
      </c>
      <c r="FY2" s="2" t="inlineStr">
        <is>
          <t>0272214Q US Equity</t>
        </is>
      </c>
      <c r="GI2" s="2" t="inlineStr">
        <is>
          <t>MDEA US Equity</t>
        </is>
      </c>
      <c r="GS2" s="2" t="inlineStr">
        <is>
          <t>TMO US Equity</t>
        </is>
      </c>
      <c r="HC2" s="2" t="inlineStr">
        <is>
          <t>OV US Equity</t>
        </is>
      </c>
      <c r="HM2" s="2" t="inlineStr">
        <is>
          <t>KNXA US Equity</t>
        </is>
      </c>
      <c r="HW2" s="2" t="inlineStr">
        <is>
          <t>OZK US Equity</t>
        </is>
      </c>
      <c r="IG2" s="2" t="inlineStr">
        <is>
          <t>COHR US Equity</t>
        </is>
      </c>
      <c r="IQ2" s="2" t="inlineStr">
        <is>
          <t>JNJ US Equity</t>
        </is>
      </c>
      <c r="JA2" s="2" t="inlineStr">
        <is>
          <t>SPLP US Equity</t>
        </is>
      </c>
      <c r="JK2" s="2" t="inlineStr">
        <is>
          <t>MFA US Equity</t>
        </is>
      </c>
      <c r="JU2" s="2" t="inlineStr">
        <is>
          <t>FNB US Equity</t>
        </is>
      </c>
      <c r="KE2" s="2" t="inlineStr">
        <is>
          <t>SUPR US Equity</t>
        </is>
      </c>
      <c r="KO2" s="2" t="inlineStr">
        <is>
          <t>LAMR US Equity</t>
        </is>
      </c>
      <c r="KY2" s="2" t="inlineStr">
        <is>
          <t>HTLF US Equity</t>
        </is>
      </c>
      <c r="LI2" s="2" t="inlineStr">
        <is>
          <t>CSCQ US Equity</t>
        </is>
      </c>
      <c r="LS2" s="2" t="inlineStr">
        <is>
          <t>2619871D US Equity</t>
        </is>
      </c>
      <c r="MC2" s="2" t="inlineStr">
        <is>
          <t>2676187Q US Equity</t>
        </is>
      </c>
      <c r="MM2" s="2" t="inlineStr">
        <is>
          <t>FFWM US Equity</t>
        </is>
      </c>
      <c r="MW2" s="2" t="inlineStr">
        <is>
          <t>FULT US Equity</t>
        </is>
      </c>
      <c r="NG2" s="2" t="inlineStr">
        <is>
          <t>PRA US Equity</t>
        </is>
      </c>
      <c r="NQ2" s="2" t="inlineStr">
        <is>
          <t>FRME US Equity</t>
        </is>
      </c>
      <c r="OA2" s="2" t="inlineStr">
        <is>
          <t>TMWD US Equity</t>
        </is>
      </c>
    </row>
    <row r="3">
      <c r="A3" t="inlineStr">
        <is>
          <t>Ann: 2002-07-26</t>
        </is>
      </c>
      <c r="K3" t="inlineStr">
        <is>
          <t>Ann: 2009-05-11</t>
        </is>
      </c>
      <c r="U3" t="inlineStr">
        <is>
          <t>Ann: 2004-07-15</t>
        </is>
      </c>
      <c r="AE3" t="inlineStr">
        <is>
          <t>Ann: 1999-10-04</t>
        </is>
      </c>
      <c r="AO3" t="inlineStr">
        <is>
          <t>Ann: 2000-04-19</t>
        </is>
      </c>
      <c r="AY3" t="inlineStr">
        <is>
          <t>Ann: 2009-07-28</t>
        </is>
      </c>
      <c r="BI3" t="inlineStr">
        <is>
          <t>Ann: 1998-07-20</t>
        </is>
      </c>
      <c r="BS3" t="inlineStr">
        <is>
          <t>Ann: 2021-04-22</t>
        </is>
      </c>
      <c r="CC3" t="inlineStr">
        <is>
          <t>Ann: 2001-01-30</t>
        </is>
      </c>
      <c r="CM3" t="inlineStr">
        <is>
          <t>Ann: 1998-04-17</t>
        </is>
      </c>
      <c r="CW3" t="inlineStr">
        <is>
          <t>Ann: 2021-03-31</t>
        </is>
      </c>
      <c r="DG3" t="inlineStr">
        <is>
          <t>Ann: 2018-04-30</t>
        </is>
      </c>
      <c r="DQ3" t="inlineStr">
        <is>
          <t>Ann: 2005-08-01</t>
        </is>
      </c>
      <c r="EA3" t="inlineStr">
        <is>
          <t>Ann: 2000-07-21</t>
        </is>
      </c>
      <c r="EK3" t="inlineStr">
        <is>
          <t>Ann: 2001-06-18</t>
        </is>
      </c>
      <c r="EU3" t="inlineStr">
        <is>
          <t>Ann: 2007-07-25</t>
        </is>
      </c>
      <c r="FE3" t="inlineStr">
        <is>
          <t>Ann: 1998-02-25</t>
        </is>
      </c>
      <c r="FO3" t="inlineStr">
        <is>
          <t>Ann: 2004-04-22</t>
        </is>
      </c>
      <c r="FY3" t="inlineStr">
        <is>
          <t>Ann: 1999-07-07</t>
        </is>
      </c>
      <c r="GI3" t="inlineStr">
        <is>
          <t>Ann: 1999-12-28</t>
        </is>
      </c>
      <c r="GS3" t="inlineStr">
        <is>
          <t>Ann: 2000-01-31</t>
        </is>
      </c>
      <c r="HC3" t="inlineStr">
        <is>
          <t>Ann: 1998-05-07</t>
        </is>
      </c>
      <c r="HM3" t="inlineStr">
        <is>
          <t>Ann: 2010-09-01</t>
        </is>
      </c>
      <c r="HW3" t="inlineStr">
        <is>
          <t>Ann: 2013-01-24</t>
        </is>
      </c>
      <c r="IG3" t="inlineStr">
        <is>
          <t>Ann: 2016-01-19</t>
        </is>
      </c>
      <c r="IQ3" t="inlineStr">
        <is>
          <t>Ann: 2003-01-16</t>
        </is>
      </c>
      <c r="JA3" t="inlineStr">
        <is>
          <t>Ann: 2016-12-07</t>
        </is>
      </c>
      <c r="JK3" t="inlineStr">
        <is>
          <t>Ann: 1998-03-02</t>
        </is>
      </c>
      <c r="JU3" t="inlineStr">
        <is>
          <t>Ann: 2010-08-09</t>
        </is>
      </c>
      <c r="KE3" t="inlineStr">
        <is>
          <t>Ann: 2006-03-06</t>
        </is>
      </c>
      <c r="KO3" t="inlineStr">
        <is>
          <t>Ann: 2004-09-20</t>
        </is>
      </c>
      <c r="KY3" t="inlineStr">
        <is>
          <t>Ann: 2019-01-16</t>
        </is>
      </c>
      <c r="LI3" t="inlineStr">
        <is>
          <t>Ann: 1998-09-24</t>
        </is>
      </c>
      <c r="LS3" t="inlineStr">
        <is>
          <t>Ann: 2001-03-20</t>
        </is>
      </c>
      <c r="MC3" t="inlineStr">
        <is>
          <t>Ann: 2001-08-31</t>
        </is>
      </c>
      <c r="MM3" t="inlineStr">
        <is>
          <t>Ann: 2017-12-19</t>
        </is>
      </c>
      <c r="MW3" t="inlineStr">
        <is>
          <t>Ann: 1998-01-26</t>
        </is>
      </c>
      <c r="NG3" t="inlineStr">
        <is>
          <t>Ann: 2005-02-28</t>
        </is>
      </c>
      <c r="NQ3" t="inlineStr">
        <is>
          <t>Ann: 2015-06-29</t>
        </is>
      </c>
      <c r="OA3" t="inlineStr">
        <is>
          <t>Ann: 2000-06-29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BDS("VHI US Equity","SUPPLY_CHAIN_SUPPLIERS","RELATIONSHIP_AS_OF_DATE","20020726")</f>
        <v/>
      </c>
      <c r="F5">
        <f>BDS("VHI US Equity","SUPPLY_CHAIN_CUSTOMERS","RELATIONSHIP_AS_OF_DATE","20020726")</f>
        <v/>
      </c>
      <c r="K5">
        <f>BDS("XXIA US Equity","SUPPLY_CHAIN_SUPPLIERS","RELATIONSHIP_AS_OF_DATE","20090511")</f>
        <v/>
      </c>
      <c r="P5">
        <f>BDS("XXIA US Equity","SUPPLY_CHAIN_CUSTOMERS","RELATIONSHIP_AS_OF_DATE","20090511")</f>
        <v/>
      </c>
      <c r="U5">
        <f>BDS("RNST US Equity","SUPPLY_CHAIN_SUPPLIERS","RELATIONSHIP_AS_OF_DATE","20040715")</f>
        <v/>
      </c>
      <c r="Z5">
        <f>BDS("RNST US Equity","SUPPLY_CHAIN_CUSTOMERS","RELATIONSHIP_AS_OF_DATE","20040715")</f>
        <v/>
      </c>
      <c r="AE5">
        <f>BDS("3075558Q US Equity","SUPPLY_CHAIN_SUPPLIERS","RELATIONSHIP_AS_OF_DATE","19991004")</f>
        <v/>
      </c>
      <c r="AJ5">
        <f>BDS("3075558Q US Equity","SUPPLY_CHAIN_CUSTOMERS","RELATIONSHIP_AS_OF_DATE","19991004")</f>
        <v/>
      </c>
      <c r="AO5">
        <f>BDS("FINB US Equity","SUPPLY_CHAIN_SUPPLIERS","RELATIONSHIP_AS_OF_DATE","20000419")</f>
        <v/>
      </c>
      <c r="AT5">
        <f>BDS("FINB US Equity","SUPPLY_CHAIN_CUSTOMERS","RELATIONSHIP_AS_OF_DATE","20000419")</f>
        <v/>
      </c>
      <c r="AY5">
        <f>BDS("0848680D US Equity","SUPPLY_CHAIN_SUPPLIERS","RELATIONSHIP_AS_OF_DATE","20090728")</f>
        <v/>
      </c>
      <c r="BD5">
        <f>BDS("0848680D US Equity","SUPPLY_CHAIN_CUSTOMERS","RELATIONSHIP_AS_OF_DATE","20090728")</f>
        <v/>
      </c>
      <c r="BI5">
        <f>BDS("9990201D US Equity","SUPPLY_CHAIN_SUPPLIERS","RELATIONSHIP_AS_OF_DATE","19980720")</f>
        <v/>
      </c>
      <c r="BN5">
        <f>BDS("9990201D US Equity","SUPPLY_CHAIN_CUSTOMERS","RELATIONSHIP_AS_OF_DATE","19980720")</f>
        <v/>
      </c>
      <c r="BS5">
        <f>BDS("CBAN US Equity","SUPPLY_CHAIN_SUPPLIERS","RELATIONSHIP_AS_OF_DATE","20210422")</f>
        <v/>
      </c>
      <c r="BX5">
        <f>BDS("CBAN US Equity","SUPPLY_CHAIN_CUSTOMERS","RELATIONSHIP_AS_OF_DATE","20210422")</f>
        <v/>
      </c>
      <c r="CC5">
        <f>BDS("CLGX US Equity","SUPPLY_CHAIN_SUPPLIERS","RELATIONSHIP_AS_OF_DATE","20010130")</f>
        <v/>
      </c>
      <c r="CH5">
        <f>BDS("CLGX US Equity","SUPPLY_CHAIN_CUSTOMERS","RELATIONSHIP_AS_OF_DATE","20010130")</f>
        <v/>
      </c>
      <c r="CM5">
        <f>BDS("601238Q US Equity","SUPPLY_CHAIN_SUPPLIERS","RELATIONSHIP_AS_OF_DATE","19980417")</f>
        <v/>
      </c>
      <c r="CR5">
        <f>BDS("601238Q US Equity","SUPPLY_CHAIN_CUSTOMERS","RELATIONSHIP_AS_OF_DATE","19980417")</f>
        <v/>
      </c>
      <c r="CW5">
        <f>BDS("REXR US Equity","SUPPLY_CHAIN_SUPPLIERS","RELATIONSHIP_AS_OF_DATE","20210331")</f>
        <v/>
      </c>
      <c r="DB5">
        <f>BDS("REXR US Equity","SUPPLY_CHAIN_CUSTOMERS","RELATIONSHIP_AS_OF_DATE","20210331")</f>
        <v/>
      </c>
      <c r="DG5">
        <f>BDS("LFT US Equity","SUPPLY_CHAIN_SUPPLIERS","RELATIONSHIP_AS_OF_DATE","20180430")</f>
        <v/>
      </c>
      <c r="DL5">
        <f>BDS("LFT US Equity","SUPPLY_CHAIN_CUSTOMERS","RELATIONSHIP_AS_OF_DATE","20180430")</f>
        <v/>
      </c>
      <c r="DQ5">
        <f>BDS("FLG US Equity","SUPPLY_CHAIN_SUPPLIERS","RELATIONSHIP_AS_OF_DATE","20050801")</f>
        <v/>
      </c>
      <c r="DV5">
        <f>BDS("FLG US Equity","SUPPLY_CHAIN_CUSTOMERS","RELATIONSHIP_AS_OF_DATE","20050801")</f>
        <v/>
      </c>
      <c r="EA5">
        <f>BDS("SCFS US Equity","SUPPLY_CHAIN_SUPPLIERS","RELATIONSHIP_AS_OF_DATE","20000721")</f>
        <v/>
      </c>
      <c r="EF5">
        <f>BDS("SCFS US Equity","SUPPLY_CHAIN_CUSTOMERS","RELATIONSHIP_AS_OF_DATE","20000721")</f>
        <v/>
      </c>
      <c r="EK5">
        <f>BDS("ADP US Equity","SUPPLY_CHAIN_SUPPLIERS","RELATIONSHIP_AS_OF_DATE","20010618")</f>
        <v/>
      </c>
      <c r="EP5">
        <f>BDS("ADP US Equity","SUPPLY_CHAIN_CUSTOMERS","RELATIONSHIP_AS_OF_DATE","20010618")</f>
        <v/>
      </c>
      <c r="EU5">
        <f>BDS("FTBK US Equity","SUPPLY_CHAIN_SUPPLIERS","RELATIONSHIP_AS_OF_DATE","20070725")</f>
        <v/>
      </c>
      <c r="EZ5">
        <f>BDS("FTBK US Equity","SUPPLY_CHAIN_CUSTOMERS","RELATIONSHIP_AS_OF_DATE","20070725")</f>
        <v/>
      </c>
      <c r="FE5">
        <f>BDS("PCP US Equity","SUPPLY_CHAIN_SUPPLIERS","RELATIONSHIP_AS_OF_DATE","19980225")</f>
        <v/>
      </c>
      <c r="FJ5">
        <f>BDS("PCP US Equity","SUPPLY_CHAIN_CUSTOMERS","RELATIONSHIP_AS_OF_DATE","19980225")</f>
        <v/>
      </c>
      <c r="FO5">
        <f>BDS("DZSIQ US Equity","SUPPLY_CHAIN_SUPPLIERS","RELATIONSHIP_AS_OF_DATE","20040422")</f>
        <v/>
      </c>
      <c r="FT5">
        <f>BDS("DZSIQ US Equity","SUPPLY_CHAIN_CUSTOMERS","RELATIONSHIP_AS_OF_DATE","20040422")</f>
        <v/>
      </c>
      <c r="FY5">
        <f>BDS("0272214Q US Equity","SUPPLY_CHAIN_SUPPLIERS","RELATIONSHIP_AS_OF_DATE","19990707")</f>
        <v/>
      </c>
      <c r="GD5">
        <f>BDS("0272214Q US Equity","SUPPLY_CHAIN_CUSTOMERS","RELATIONSHIP_AS_OF_DATE","19990707")</f>
        <v/>
      </c>
      <c r="GI5">
        <f>BDS("MDEA US Equity","SUPPLY_CHAIN_SUPPLIERS","RELATIONSHIP_AS_OF_DATE","19991228")</f>
        <v/>
      </c>
      <c r="GN5">
        <f>BDS("MDEA US Equity","SUPPLY_CHAIN_CUSTOMERS","RELATIONSHIP_AS_OF_DATE","19991228")</f>
        <v/>
      </c>
      <c r="GS5">
        <f>BDS("TMO US Equity","SUPPLY_CHAIN_SUPPLIERS","RELATIONSHIP_AS_OF_DATE","20000131")</f>
        <v/>
      </c>
      <c r="GX5">
        <f>BDS("TMO US Equity","SUPPLY_CHAIN_CUSTOMERS","RELATIONSHIP_AS_OF_DATE","20000131")</f>
        <v/>
      </c>
      <c r="HC5">
        <f>BDS("OV US Equity","SUPPLY_CHAIN_SUPPLIERS","RELATIONSHIP_AS_OF_DATE","19980507")</f>
        <v/>
      </c>
      <c r="HH5">
        <f>BDS("OV US Equity","SUPPLY_CHAIN_CUSTOMERS","RELATIONSHIP_AS_OF_DATE","19980507")</f>
        <v/>
      </c>
      <c r="HM5">
        <f>BDS("KNXA US Equity","SUPPLY_CHAIN_SUPPLIERS","RELATIONSHIP_AS_OF_DATE","20100901")</f>
        <v/>
      </c>
      <c r="HR5">
        <f>BDS("KNXA US Equity","SUPPLY_CHAIN_CUSTOMERS","RELATIONSHIP_AS_OF_DATE","20100901")</f>
        <v/>
      </c>
      <c r="HW5">
        <f>BDS("OZK US Equity","SUPPLY_CHAIN_SUPPLIERS","RELATIONSHIP_AS_OF_DATE","20130124")</f>
        <v/>
      </c>
      <c r="IB5">
        <f>BDS("OZK US Equity","SUPPLY_CHAIN_CUSTOMERS","RELATIONSHIP_AS_OF_DATE","20130124")</f>
        <v/>
      </c>
      <c r="IG5">
        <f>BDS("COHR US Equity","SUPPLY_CHAIN_SUPPLIERS","RELATIONSHIP_AS_OF_DATE","20160119")</f>
        <v/>
      </c>
      <c r="IL5">
        <f>BDS("COHR US Equity","SUPPLY_CHAIN_CUSTOMERS","RELATIONSHIP_AS_OF_DATE","20160119")</f>
        <v/>
      </c>
      <c r="IQ5">
        <f>BDS("JNJ US Equity","SUPPLY_CHAIN_SUPPLIERS","RELATIONSHIP_AS_OF_DATE","20030116")</f>
        <v/>
      </c>
      <c r="IV5">
        <f>BDS("JNJ US Equity","SUPPLY_CHAIN_CUSTOMERS","RELATIONSHIP_AS_OF_DATE","20030116")</f>
        <v/>
      </c>
      <c r="JA5">
        <f>BDS("SPLP US Equity","SUPPLY_CHAIN_SUPPLIERS","RELATIONSHIP_AS_OF_DATE","20161207")</f>
        <v/>
      </c>
      <c r="JF5">
        <f>BDS("SPLP US Equity","SUPPLY_CHAIN_CUSTOMERS","RELATIONSHIP_AS_OF_DATE","20161207")</f>
        <v/>
      </c>
      <c r="JK5">
        <f>BDS("MFA US Equity","SUPPLY_CHAIN_SUPPLIERS","RELATIONSHIP_AS_OF_DATE","19980302")</f>
        <v/>
      </c>
      <c r="JP5">
        <f>BDS("MFA US Equity","SUPPLY_CHAIN_CUSTOMERS","RELATIONSHIP_AS_OF_DATE","19980302")</f>
        <v/>
      </c>
      <c r="JU5">
        <f>BDS("FNB US Equity","SUPPLY_CHAIN_SUPPLIERS","RELATIONSHIP_AS_OF_DATE","20100809")</f>
        <v/>
      </c>
      <c r="JZ5">
        <f>BDS("FNB US Equity","SUPPLY_CHAIN_CUSTOMERS","RELATIONSHIP_AS_OF_DATE","20100809")</f>
        <v/>
      </c>
      <c r="KE5">
        <f>BDS("SUPR US Equity","SUPPLY_CHAIN_SUPPLIERS","RELATIONSHIP_AS_OF_DATE","20060306")</f>
        <v/>
      </c>
      <c r="KJ5">
        <f>BDS("SUPR US Equity","SUPPLY_CHAIN_CUSTOMERS","RELATIONSHIP_AS_OF_DATE","20060306")</f>
        <v/>
      </c>
      <c r="KO5">
        <f>BDS("LAMR US Equity","SUPPLY_CHAIN_SUPPLIERS","RELATIONSHIP_AS_OF_DATE","20040920")</f>
        <v/>
      </c>
      <c r="KT5">
        <f>BDS("LAMR US Equity","SUPPLY_CHAIN_CUSTOMERS","RELATIONSHIP_AS_OF_DATE","20040920")</f>
        <v/>
      </c>
      <c r="KY5">
        <f>BDS("HTLF US Equity","SUPPLY_CHAIN_SUPPLIERS","RELATIONSHIP_AS_OF_DATE","20190116")</f>
        <v/>
      </c>
      <c r="LD5">
        <f>BDS("HTLF US Equity","SUPPLY_CHAIN_CUSTOMERS","RELATIONSHIP_AS_OF_DATE","20190116")</f>
        <v/>
      </c>
      <c r="LI5">
        <f>BDS("CSCQ US Equity","SUPPLY_CHAIN_SUPPLIERS","RELATIONSHIP_AS_OF_DATE","19980924")</f>
        <v/>
      </c>
      <c r="LN5">
        <f>BDS("CSCQ US Equity","SUPPLY_CHAIN_CUSTOMERS","RELATIONSHIP_AS_OF_DATE","19980924")</f>
        <v/>
      </c>
      <c r="LS5">
        <f>BDS("2619871D US Equity","SUPPLY_CHAIN_SUPPLIERS","RELATIONSHIP_AS_OF_DATE","20010320")</f>
        <v/>
      </c>
      <c r="LX5">
        <f>BDS("2619871D US Equity","SUPPLY_CHAIN_CUSTOMERS","RELATIONSHIP_AS_OF_DATE","20010320")</f>
        <v/>
      </c>
      <c r="MC5">
        <f>BDS("2676187Q US Equity","SUPPLY_CHAIN_SUPPLIERS","RELATIONSHIP_AS_OF_DATE","20010831")</f>
        <v/>
      </c>
      <c r="MH5">
        <f>BDS("2676187Q US Equity","SUPPLY_CHAIN_CUSTOMERS","RELATIONSHIP_AS_OF_DATE","20010831")</f>
        <v/>
      </c>
      <c r="MM5">
        <f>BDS("FFWM US Equity","SUPPLY_CHAIN_SUPPLIERS","RELATIONSHIP_AS_OF_DATE","20171219")</f>
        <v/>
      </c>
      <c r="MR5">
        <f>BDS("FFWM US Equity","SUPPLY_CHAIN_CUSTOMERS","RELATIONSHIP_AS_OF_DATE","20171219")</f>
        <v/>
      </c>
      <c r="MW5">
        <f>BDS("FULT US Equity","SUPPLY_CHAIN_SUPPLIERS","RELATIONSHIP_AS_OF_DATE","19980126")</f>
        <v/>
      </c>
      <c r="NB5">
        <f>BDS("FULT US Equity","SUPPLY_CHAIN_CUSTOMERS","RELATIONSHIP_AS_OF_DATE","19980126")</f>
        <v/>
      </c>
      <c r="NG5">
        <f>BDS("PRA US Equity","SUPPLY_CHAIN_SUPPLIERS","RELATIONSHIP_AS_OF_DATE","20050228")</f>
        <v/>
      </c>
      <c r="NL5">
        <f>BDS("PRA US Equity","SUPPLY_CHAIN_CUSTOMERS","RELATIONSHIP_AS_OF_DATE","20050228")</f>
        <v/>
      </c>
      <c r="NQ5">
        <f>BDS("FRME US Equity","SUPPLY_CHAIN_SUPPLIERS","RELATIONSHIP_AS_OF_DATE","20150629")</f>
        <v/>
      </c>
      <c r="NV5">
        <f>BDS("FRME US Equity","SUPPLY_CHAIN_CUSTOMERS","RELATIONSHIP_AS_OF_DATE","20150629")</f>
        <v/>
      </c>
      <c r="OA5">
        <f>BDS("TMWD US Equity","SUPPLY_CHAIN_SUPPLIERS","RELATIONSHIP_AS_OF_DATE","20000629")</f>
        <v/>
      </c>
      <c r="OF5">
        <f>BDS("TMWD US Equity","SUPPLY_CHAIN_CUSTOMERS","RELATIONSHIP_AS_OF_DATE","20000629")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3761</t>
        </is>
      </c>
      <c r="K1" s="1" t="inlineStr">
        <is>
          <t>Deal 3762</t>
        </is>
      </c>
      <c r="U1" s="1" t="inlineStr">
        <is>
          <t>Deal 3763</t>
        </is>
      </c>
      <c r="AE1" s="1" t="inlineStr">
        <is>
          <t>Deal 3764</t>
        </is>
      </c>
      <c r="AO1" s="1" t="inlineStr">
        <is>
          <t>Deal 3765</t>
        </is>
      </c>
      <c r="AY1" s="1" t="inlineStr">
        <is>
          <t>Deal 3766</t>
        </is>
      </c>
      <c r="BI1" s="1" t="inlineStr">
        <is>
          <t>Deal 3767</t>
        </is>
      </c>
      <c r="BS1" s="1" t="inlineStr">
        <is>
          <t>Deal 3768</t>
        </is>
      </c>
      <c r="CC1" s="1" t="inlineStr">
        <is>
          <t>Deal 3769</t>
        </is>
      </c>
      <c r="CM1" s="1" t="inlineStr">
        <is>
          <t>Deal 3770</t>
        </is>
      </c>
      <c r="CW1" s="1" t="inlineStr">
        <is>
          <t>Deal 3771</t>
        </is>
      </c>
      <c r="DG1" s="1" t="inlineStr">
        <is>
          <t>Deal 3772</t>
        </is>
      </c>
      <c r="DQ1" s="1" t="inlineStr">
        <is>
          <t>Deal 3773</t>
        </is>
      </c>
      <c r="EA1" s="1" t="inlineStr">
        <is>
          <t>Deal 3774</t>
        </is>
      </c>
      <c r="EK1" s="1" t="inlineStr">
        <is>
          <t>Deal 3775</t>
        </is>
      </c>
      <c r="EU1" s="1" t="inlineStr">
        <is>
          <t>Deal 3776</t>
        </is>
      </c>
      <c r="FE1" s="1" t="inlineStr">
        <is>
          <t>Deal 3777</t>
        </is>
      </c>
      <c r="FO1" s="1" t="inlineStr">
        <is>
          <t>Deal 3778</t>
        </is>
      </c>
      <c r="FY1" s="1" t="inlineStr">
        <is>
          <t>Deal 3779</t>
        </is>
      </c>
      <c r="GI1" s="1" t="inlineStr">
        <is>
          <t>Deal 3780</t>
        </is>
      </c>
      <c r="GS1" s="1" t="inlineStr">
        <is>
          <t>Deal 3781</t>
        </is>
      </c>
      <c r="HC1" s="1" t="inlineStr">
        <is>
          <t>Deal 3782</t>
        </is>
      </c>
      <c r="HM1" s="1" t="inlineStr">
        <is>
          <t>Deal 3783</t>
        </is>
      </c>
      <c r="HW1" s="1" t="inlineStr">
        <is>
          <t>Deal 3784</t>
        </is>
      </c>
      <c r="IG1" s="1" t="inlineStr">
        <is>
          <t>Deal 3785</t>
        </is>
      </c>
      <c r="IQ1" s="1" t="inlineStr">
        <is>
          <t>Deal 3786</t>
        </is>
      </c>
      <c r="JA1" s="1" t="inlineStr">
        <is>
          <t>Deal 3787</t>
        </is>
      </c>
      <c r="JK1" s="1" t="inlineStr">
        <is>
          <t>Deal 3788</t>
        </is>
      </c>
      <c r="JU1" s="1" t="inlineStr">
        <is>
          <t>Deal 3789</t>
        </is>
      </c>
      <c r="KE1" s="1" t="inlineStr">
        <is>
          <t>Deal 3790</t>
        </is>
      </c>
      <c r="KO1" s="1" t="inlineStr">
        <is>
          <t>Deal 3791</t>
        </is>
      </c>
      <c r="KY1" s="1" t="inlineStr">
        <is>
          <t>Deal 3792</t>
        </is>
      </c>
      <c r="LI1" s="1" t="inlineStr">
        <is>
          <t>Deal 3793</t>
        </is>
      </c>
      <c r="LS1" s="1" t="inlineStr">
        <is>
          <t>Deal 3794</t>
        </is>
      </c>
      <c r="MC1" s="1" t="inlineStr">
        <is>
          <t>Deal 3795</t>
        </is>
      </c>
      <c r="MM1" s="1" t="inlineStr">
        <is>
          <t>Deal 3796</t>
        </is>
      </c>
      <c r="MW1" s="1" t="inlineStr">
        <is>
          <t>Deal 3797</t>
        </is>
      </c>
      <c r="NG1" s="1" t="inlineStr">
        <is>
          <t>Deal 3798</t>
        </is>
      </c>
      <c r="NQ1" s="1" t="inlineStr">
        <is>
          <t>Deal 3799</t>
        </is>
      </c>
      <c r="OA1" s="1" t="inlineStr">
        <is>
          <t>Deal 3800</t>
        </is>
      </c>
    </row>
    <row r="2">
      <c r="A2" s="2" t="inlineStr">
        <is>
          <t>FNB US Equity</t>
        </is>
      </c>
      <c r="K2" s="2" t="inlineStr">
        <is>
          <t>GABC US Equity</t>
        </is>
      </c>
      <c r="U2" s="2" t="inlineStr">
        <is>
          <t>1552309D US Equity</t>
        </is>
      </c>
      <c r="AE2" s="2" t="inlineStr">
        <is>
          <t>DEVC US Equity</t>
        </is>
      </c>
      <c r="AO2" s="2" t="inlineStr">
        <is>
          <t>JKHY US Equity</t>
        </is>
      </c>
      <c r="AY2" s="2" t="inlineStr">
        <is>
          <t>MGRM US Equity</t>
        </is>
      </c>
      <c r="BI2" s="2" t="inlineStr">
        <is>
          <t>IDPIQ US Equity</t>
        </is>
      </c>
      <c r="BS2" s="2" t="inlineStr">
        <is>
          <t>ONB US Equity</t>
        </is>
      </c>
      <c r="CC2" s="2" t="inlineStr">
        <is>
          <t>WSBC US Equity</t>
        </is>
      </c>
      <c r="CM2" s="2" t="inlineStr">
        <is>
          <t>NIC US Equity</t>
        </is>
      </c>
      <c r="CW2" s="2" t="inlineStr">
        <is>
          <t>SSB US Equity</t>
        </is>
      </c>
      <c r="DG2" s="2" t="inlineStr">
        <is>
          <t>CWT US Equity</t>
        </is>
      </c>
      <c r="DQ2" s="2" t="inlineStr">
        <is>
          <t>4612775Q US Equity</t>
        </is>
      </c>
      <c r="EA2" s="2" t="inlineStr">
        <is>
          <t>FSCO US Equity</t>
        </is>
      </c>
      <c r="EK2" s="2" t="inlineStr">
        <is>
          <t>BOKF US Equity</t>
        </is>
      </c>
      <c r="EU2" s="2" t="inlineStr">
        <is>
          <t>BRKL US Equity</t>
        </is>
      </c>
      <c r="FE2" s="2" t="inlineStr">
        <is>
          <t>PILLQ US Equity</t>
        </is>
      </c>
      <c r="FO2" s="2" t="inlineStr">
        <is>
          <t>BANR US Equity</t>
        </is>
      </c>
      <c r="FY2" s="2" t="inlineStr">
        <is>
          <t>SASR US Equity</t>
        </is>
      </c>
      <c r="GI2" s="2" t="inlineStr">
        <is>
          <t>BRKR US Equity</t>
        </is>
      </c>
      <c r="GS2" s="2" t="inlineStr">
        <is>
          <t>AB US Equity</t>
        </is>
      </c>
      <c r="HC2" s="2" t="inlineStr">
        <is>
          <t>1709056D US Equity</t>
        </is>
      </c>
      <c r="HM2" s="2" t="inlineStr">
        <is>
          <t>CIVB US Equity</t>
        </is>
      </c>
      <c r="HW2" s="2" t="inlineStr">
        <is>
          <t>SNBC US Equity</t>
        </is>
      </c>
      <c r="IG2" s="2" t="inlineStr">
        <is>
          <t>JAKK US Equity</t>
        </is>
      </c>
      <c r="IQ2" s="2" t="inlineStr">
        <is>
          <t>BSX US Equity</t>
        </is>
      </c>
      <c r="JA2" s="2" t="inlineStr">
        <is>
          <t>3097837Q US Equity</t>
        </is>
      </c>
      <c r="JK2" s="2" t="inlineStr">
        <is>
          <t>991592Q US Equity</t>
        </is>
      </c>
      <c r="JU2" s="2" t="inlineStr">
        <is>
          <t>2309719Q US Equity</t>
        </is>
      </c>
      <c r="KE2" s="2" t="inlineStr">
        <is>
          <t>LBAI US Equity</t>
        </is>
      </c>
      <c r="KO2" s="2" t="inlineStr">
        <is>
          <t>CDNW US Equity</t>
        </is>
      </c>
      <c r="KY2" s="2" t="inlineStr">
        <is>
          <t>UBSI US Equity</t>
        </is>
      </c>
      <c r="LI2" s="2" t="inlineStr">
        <is>
          <t>HL US Equity</t>
        </is>
      </c>
      <c r="LS2" s="2" t="inlineStr">
        <is>
          <t>ON US Equity</t>
        </is>
      </c>
      <c r="MC2" s="2" t="inlineStr">
        <is>
          <t>OPLN US Equity</t>
        </is>
      </c>
      <c r="MM2" s="2" t="inlineStr">
        <is>
          <t>SIFI US Equity</t>
        </is>
      </c>
      <c r="MW2" s="2" t="inlineStr">
        <is>
          <t>DHR US Equity</t>
        </is>
      </c>
      <c r="NG2" s="2" t="inlineStr">
        <is>
          <t>TWAV US Equity</t>
        </is>
      </c>
      <c r="NQ2" s="2" t="inlineStr">
        <is>
          <t>EQY US Equity</t>
        </is>
      </c>
      <c r="OA2" s="2" t="inlineStr">
        <is>
          <t>LTWO US Equity</t>
        </is>
      </c>
    </row>
    <row r="3">
      <c r="A3" t="inlineStr">
        <is>
          <t>Ann: 2005-12-21</t>
        </is>
      </c>
      <c r="K3" t="inlineStr">
        <is>
          <t>Ann: 2019-02-21</t>
        </is>
      </c>
      <c r="U3" t="inlineStr">
        <is>
          <t>Ann: 2000-01-21</t>
        </is>
      </c>
      <c r="AE3" t="inlineStr">
        <is>
          <t>Ann: 2005-11-10</t>
        </is>
      </c>
      <c r="AO3" t="inlineStr">
        <is>
          <t>Ann: 2009-08-17</t>
        </is>
      </c>
      <c r="AY3" t="inlineStr">
        <is>
          <t>Ann: 2004-06-01</t>
        </is>
      </c>
      <c r="BI3" t="inlineStr">
        <is>
          <t>Ann: 2004-03-22</t>
        </is>
      </c>
      <c r="BS3" t="inlineStr">
        <is>
          <t>Ann: 2014-06-04</t>
        </is>
      </c>
      <c r="CC3" t="inlineStr">
        <is>
          <t>Ann: 2004-04-01</t>
        </is>
      </c>
      <c r="CM3" t="inlineStr">
        <is>
          <t>Ann: 2019-06-27</t>
        </is>
      </c>
      <c r="CW3" t="inlineStr">
        <is>
          <t>Ann: 2012-08-08</t>
        </is>
      </c>
      <c r="DG3" t="inlineStr">
        <is>
          <t>Ann: 1998-11-16</t>
        </is>
      </c>
      <c r="DQ3" t="inlineStr">
        <is>
          <t>Ann: 2000-08-24</t>
        </is>
      </c>
      <c r="EA3" t="inlineStr">
        <is>
          <t>Ann: 1999-01-13</t>
        </is>
      </c>
      <c r="EK3" t="inlineStr">
        <is>
          <t>Ann: 2002-05-16</t>
        </is>
      </c>
      <c r="EU3" t="inlineStr">
        <is>
          <t>Ann: 2004-07-07</t>
        </is>
      </c>
      <c r="FE3" t="inlineStr">
        <is>
          <t>Ann: 2003-12-08</t>
        </is>
      </c>
      <c r="FO3" t="inlineStr">
        <is>
          <t>Ann: 2019-07-24</t>
        </is>
      </c>
      <c r="FY3" t="inlineStr">
        <is>
          <t>Ann: 2006-10-11</t>
        </is>
      </c>
      <c r="GI3" t="inlineStr">
        <is>
          <t>Ann: 2003-04-07</t>
        </is>
      </c>
      <c r="GS3" t="inlineStr">
        <is>
          <t>Ann: 2013-08-15</t>
        </is>
      </c>
      <c r="HC3" t="inlineStr">
        <is>
          <t>Ann: 2005-07-29</t>
        </is>
      </c>
      <c r="HM3" t="inlineStr">
        <is>
          <t>Ann: 2007-06-08</t>
        </is>
      </c>
      <c r="HW3" t="inlineStr">
        <is>
          <t>Ann: 2004-02-17</t>
        </is>
      </c>
      <c r="IG3" t="inlineStr">
        <is>
          <t>Ann: 2002-02-09</t>
        </is>
      </c>
      <c r="IQ3" t="inlineStr">
        <is>
          <t>Ann: 2002-05-14</t>
        </is>
      </c>
      <c r="JA3" t="inlineStr">
        <is>
          <t>Ann: 2002-08-13</t>
        </is>
      </c>
      <c r="JK3" t="inlineStr">
        <is>
          <t>Ann: 2000-12-22</t>
        </is>
      </c>
      <c r="JU3" t="inlineStr">
        <is>
          <t>Ann: 2000-03-23</t>
        </is>
      </c>
      <c r="KE3" t="inlineStr">
        <is>
          <t>Ann: 2013-01-29</t>
        </is>
      </c>
      <c r="KO3" t="inlineStr">
        <is>
          <t>Ann: 1998-10-23</t>
        </is>
      </c>
      <c r="KY3" t="inlineStr">
        <is>
          <t>Ann: 2001-06-14</t>
        </is>
      </c>
      <c r="LI3" t="inlineStr">
        <is>
          <t>Ann: 2008-02-13</t>
        </is>
      </c>
      <c r="LS3" t="inlineStr">
        <is>
          <t>Ann: 2009-12-14</t>
        </is>
      </c>
      <c r="MC3" t="inlineStr">
        <is>
          <t>Ann: 2011-08-15</t>
        </is>
      </c>
      <c r="MM3" t="inlineStr">
        <is>
          <t>Ann: 2013-03-05</t>
        </is>
      </c>
      <c r="MW3" t="inlineStr">
        <is>
          <t>Ann: 2005-12-02</t>
        </is>
      </c>
      <c r="NG3" t="inlineStr">
        <is>
          <t>Ann: 1999-12-28</t>
        </is>
      </c>
      <c r="NQ3" t="inlineStr">
        <is>
          <t>Ann: 2001-05-31</t>
        </is>
      </c>
      <c r="OA3" t="inlineStr">
        <is>
          <t>Ann: 1999-06-07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BDS("FNB US Equity","SUPPLY_CHAIN_SUPPLIERS","RELATIONSHIP_AS_OF_DATE","20051221")</f>
        <v/>
      </c>
      <c r="F5">
        <f>BDS("FNB US Equity","SUPPLY_CHAIN_CUSTOMERS","RELATIONSHIP_AS_OF_DATE","20051221")</f>
        <v/>
      </c>
      <c r="K5">
        <f>BDS("GABC US Equity","SUPPLY_CHAIN_SUPPLIERS","RELATIONSHIP_AS_OF_DATE","20190221")</f>
        <v/>
      </c>
      <c r="P5">
        <f>BDS("GABC US Equity","SUPPLY_CHAIN_CUSTOMERS","RELATIONSHIP_AS_OF_DATE","20190221")</f>
        <v/>
      </c>
      <c r="U5">
        <f>BDS("1552309D US Equity","SUPPLY_CHAIN_SUPPLIERS","RELATIONSHIP_AS_OF_DATE","20000121")</f>
        <v/>
      </c>
      <c r="Z5">
        <f>BDS("1552309D US Equity","SUPPLY_CHAIN_CUSTOMERS","RELATIONSHIP_AS_OF_DATE","20000121")</f>
        <v/>
      </c>
      <c r="AE5">
        <f>BDS("DEVC US Equity","SUPPLY_CHAIN_SUPPLIERS","RELATIONSHIP_AS_OF_DATE","20051110")</f>
        <v/>
      </c>
      <c r="AJ5">
        <f>BDS("DEVC US Equity","SUPPLY_CHAIN_CUSTOMERS","RELATIONSHIP_AS_OF_DATE","20051110")</f>
        <v/>
      </c>
      <c r="AO5">
        <f>BDS("JKHY US Equity","SUPPLY_CHAIN_SUPPLIERS","RELATIONSHIP_AS_OF_DATE","20090817")</f>
        <v/>
      </c>
      <c r="AT5">
        <f>BDS("JKHY US Equity","SUPPLY_CHAIN_CUSTOMERS","RELATIONSHIP_AS_OF_DATE","20090817")</f>
        <v/>
      </c>
      <c r="AY5">
        <f>BDS("MGRM US Equity","SUPPLY_CHAIN_SUPPLIERS","RELATIONSHIP_AS_OF_DATE","20040601")</f>
        <v/>
      </c>
      <c r="BD5">
        <f>BDS("MGRM US Equity","SUPPLY_CHAIN_CUSTOMERS","RELATIONSHIP_AS_OF_DATE","20040601")</f>
        <v/>
      </c>
      <c r="BI5">
        <f>BDS("IDPIQ US Equity","SUPPLY_CHAIN_SUPPLIERS","RELATIONSHIP_AS_OF_DATE","20040322")</f>
        <v/>
      </c>
      <c r="BN5">
        <f>BDS("IDPIQ US Equity","SUPPLY_CHAIN_CUSTOMERS","RELATIONSHIP_AS_OF_DATE","20040322")</f>
        <v/>
      </c>
      <c r="BS5">
        <f>BDS("ONB US Equity","SUPPLY_CHAIN_SUPPLIERS","RELATIONSHIP_AS_OF_DATE","20140604")</f>
        <v/>
      </c>
      <c r="BX5">
        <f>BDS("ONB US Equity","SUPPLY_CHAIN_CUSTOMERS","RELATIONSHIP_AS_OF_DATE","20140604")</f>
        <v/>
      </c>
      <c r="CC5">
        <f>BDS("WSBC US Equity","SUPPLY_CHAIN_SUPPLIERS","RELATIONSHIP_AS_OF_DATE","20040401")</f>
        <v/>
      </c>
      <c r="CH5">
        <f>BDS("WSBC US Equity","SUPPLY_CHAIN_CUSTOMERS","RELATIONSHIP_AS_OF_DATE","20040401")</f>
        <v/>
      </c>
      <c r="CM5">
        <f>BDS("NIC US Equity","SUPPLY_CHAIN_SUPPLIERS","RELATIONSHIP_AS_OF_DATE","20190627")</f>
        <v/>
      </c>
      <c r="CR5">
        <f>BDS("NIC US Equity","SUPPLY_CHAIN_CUSTOMERS","RELATIONSHIP_AS_OF_DATE","20190627")</f>
        <v/>
      </c>
      <c r="CW5">
        <f>BDS("SSB US Equity","SUPPLY_CHAIN_SUPPLIERS","RELATIONSHIP_AS_OF_DATE","20120808")</f>
        <v/>
      </c>
      <c r="DB5">
        <f>BDS("SSB US Equity","SUPPLY_CHAIN_CUSTOMERS","RELATIONSHIP_AS_OF_DATE","20120808")</f>
        <v/>
      </c>
      <c r="DG5">
        <f>BDS("CWT US Equity","SUPPLY_CHAIN_SUPPLIERS","RELATIONSHIP_AS_OF_DATE","19981116")</f>
        <v/>
      </c>
      <c r="DL5">
        <f>BDS("CWT US Equity","SUPPLY_CHAIN_CUSTOMERS","RELATIONSHIP_AS_OF_DATE","19981116")</f>
        <v/>
      </c>
      <c r="DQ5">
        <f>BDS("4612775Q US Equity","SUPPLY_CHAIN_SUPPLIERS","RELATIONSHIP_AS_OF_DATE","20000824")</f>
        <v/>
      </c>
      <c r="DV5">
        <f>BDS("4612775Q US Equity","SUPPLY_CHAIN_CUSTOMERS","RELATIONSHIP_AS_OF_DATE","20000824")</f>
        <v/>
      </c>
      <c r="EA5">
        <f>BDS("FSCO US Equity","SUPPLY_CHAIN_SUPPLIERS","RELATIONSHIP_AS_OF_DATE","19990113")</f>
        <v/>
      </c>
      <c r="EF5">
        <f>BDS("FSCO US Equity","SUPPLY_CHAIN_CUSTOMERS","RELATIONSHIP_AS_OF_DATE","19990113")</f>
        <v/>
      </c>
      <c r="EK5">
        <f>BDS("BOKF US Equity","SUPPLY_CHAIN_SUPPLIERS","RELATIONSHIP_AS_OF_DATE","20020516")</f>
        <v/>
      </c>
      <c r="EP5">
        <f>BDS("BOKF US Equity","SUPPLY_CHAIN_CUSTOMERS","RELATIONSHIP_AS_OF_DATE","20020516")</f>
        <v/>
      </c>
      <c r="EU5">
        <f>BDS("BRKL US Equity","SUPPLY_CHAIN_SUPPLIERS","RELATIONSHIP_AS_OF_DATE","20040707")</f>
        <v/>
      </c>
      <c r="EZ5">
        <f>BDS("BRKL US Equity","SUPPLY_CHAIN_CUSTOMERS","RELATIONSHIP_AS_OF_DATE","20040707")</f>
        <v/>
      </c>
      <c r="FE5">
        <f>BDS("PILLQ US Equity","SUPPLY_CHAIN_SUPPLIERS","RELATIONSHIP_AS_OF_DATE","20031208")</f>
        <v/>
      </c>
      <c r="FJ5">
        <f>BDS("PILLQ US Equity","SUPPLY_CHAIN_CUSTOMERS","RELATIONSHIP_AS_OF_DATE","20031208")</f>
        <v/>
      </c>
      <c r="FO5">
        <f>BDS("BANR US Equity","SUPPLY_CHAIN_SUPPLIERS","RELATIONSHIP_AS_OF_DATE","20190724")</f>
        <v/>
      </c>
      <c r="FT5">
        <f>BDS("BANR US Equity","SUPPLY_CHAIN_CUSTOMERS","RELATIONSHIP_AS_OF_DATE","20190724")</f>
        <v/>
      </c>
      <c r="FY5">
        <f>BDS("SASR US Equity","SUPPLY_CHAIN_SUPPLIERS","RELATIONSHIP_AS_OF_DATE","20061011")</f>
        <v/>
      </c>
      <c r="GD5">
        <f>BDS("SASR US Equity","SUPPLY_CHAIN_CUSTOMERS","RELATIONSHIP_AS_OF_DATE","20061011")</f>
        <v/>
      </c>
      <c r="GI5">
        <f>BDS("BRKR US Equity","SUPPLY_CHAIN_SUPPLIERS","RELATIONSHIP_AS_OF_DATE","20030407")</f>
        <v/>
      </c>
      <c r="GN5">
        <f>BDS("BRKR US Equity","SUPPLY_CHAIN_CUSTOMERS","RELATIONSHIP_AS_OF_DATE","20030407")</f>
        <v/>
      </c>
      <c r="GS5">
        <f>BDS("AB US Equity","SUPPLY_CHAIN_SUPPLIERS","RELATIONSHIP_AS_OF_DATE","20130815")</f>
        <v/>
      </c>
      <c r="GX5">
        <f>BDS("AB US Equity","SUPPLY_CHAIN_CUSTOMERS","RELATIONSHIP_AS_OF_DATE","20130815")</f>
        <v/>
      </c>
      <c r="HC5">
        <f>BDS("1709056D US Equity","SUPPLY_CHAIN_SUPPLIERS","RELATIONSHIP_AS_OF_DATE","20050729")</f>
        <v/>
      </c>
      <c r="HH5">
        <f>BDS("1709056D US Equity","SUPPLY_CHAIN_CUSTOMERS","RELATIONSHIP_AS_OF_DATE","20050729")</f>
        <v/>
      </c>
      <c r="HM5">
        <f>BDS("CIVB US Equity","SUPPLY_CHAIN_SUPPLIERS","RELATIONSHIP_AS_OF_DATE","20070608")</f>
        <v/>
      </c>
      <c r="HR5">
        <f>BDS("CIVB US Equity","SUPPLY_CHAIN_CUSTOMERS","RELATIONSHIP_AS_OF_DATE","20070608")</f>
        <v/>
      </c>
      <c r="HW5">
        <f>BDS("SNBC US Equity","SUPPLY_CHAIN_SUPPLIERS","RELATIONSHIP_AS_OF_DATE","20040217")</f>
        <v/>
      </c>
      <c r="IB5">
        <f>BDS("SNBC US Equity","SUPPLY_CHAIN_CUSTOMERS","RELATIONSHIP_AS_OF_DATE","20040217")</f>
        <v/>
      </c>
      <c r="IG5">
        <f>BDS("JAKK US Equity","SUPPLY_CHAIN_SUPPLIERS","RELATIONSHIP_AS_OF_DATE","20020209")</f>
        <v/>
      </c>
      <c r="IL5">
        <f>BDS("JAKK US Equity","SUPPLY_CHAIN_CUSTOMERS","RELATIONSHIP_AS_OF_DATE","20020209")</f>
        <v/>
      </c>
      <c r="IQ5">
        <f>BDS("BSX US Equity","SUPPLY_CHAIN_SUPPLIERS","RELATIONSHIP_AS_OF_DATE","20020514")</f>
        <v/>
      </c>
      <c r="IV5">
        <f>BDS("BSX US Equity","SUPPLY_CHAIN_CUSTOMERS","RELATIONSHIP_AS_OF_DATE","20020514")</f>
        <v/>
      </c>
      <c r="JA5">
        <f>BDS("3097837Q US Equity","SUPPLY_CHAIN_SUPPLIERS","RELATIONSHIP_AS_OF_DATE","20020813")</f>
        <v/>
      </c>
      <c r="JF5">
        <f>BDS("3097837Q US Equity","SUPPLY_CHAIN_CUSTOMERS","RELATIONSHIP_AS_OF_DATE","20020813")</f>
        <v/>
      </c>
      <c r="JK5">
        <f>BDS("991592Q US Equity","SUPPLY_CHAIN_SUPPLIERS","RELATIONSHIP_AS_OF_DATE","20001222")</f>
        <v/>
      </c>
      <c r="JP5">
        <f>BDS("991592Q US Equity","SUPPLY_CHAIN_CUSTOMERS","RELATIONSHIP_AS_OF_DATE","20001222")</f>
        <v/>
      </c>
      <c r="JU5">
        <f>BDS("2309719Q US Equity","SUPPLY_CHAIN_SUPPLIERS","RELATIONSHIP_AS_OF_DATE","20000323")</f>
        <v/>
      </c>
      <c r="JZ5">
        <f>BDS("2309719Q US Equity","SUPPLY_CHAIN_CUSTOMERS","RELATIONSHIP_AS_OF_DATE","20000323")</f>
        <v/>
      </c>
      <c r="KE5">
        <f>BDS("LBAI US Equity","SUPPLY_CHAIN_SUPPLIERS","RELATIONSHIP_AS_OF_DATE","20130129")</f>
        <v/>
      </c>
      <c r="KJ5">
        <f>BDS("LBAI US Equity","SUPPLY_CHAIN_CUSTOMERS","RELATIONSHIP_AS_OF_DATE","20130129")</f>
        <v/>
      </c>
      <c r="KO5">
        <f>BDS("CDNW US Equity","SUPPLY_CHAIN_SUPPLIERS","RELATIONSHIP_AS_OF_DATE","19981023")</f>
        <v/>
      </c>
      <c r="KT5">
        <f>BDS("CDNW US Equity","SUPPLY_CHAIN_CUSTOMERS","RELATIONSHIP_AS_OF_DATE","19981023")</f>
        <v/>
      </c>
      <c r="KY5">
        <f>BDS("UBSI US Equity","SUPPLY_CHAIN_SUPPLIERS","RELATIONSHIP_AS_OF_DATE","20010614")</f>
        <v/>
      </c>
      <c r="LD5">
        <f>BDS("UBSI US Equity","SUPPLY_CHAIN_CUSTOMERS","RELATIONSHIP_AS_OF_DATE","20010614")</f>
        <v/>
      </c>
      <c r="LI5">
        <f>BDS("HL US Equity","SUPPLY_CHAIN_SUPPLIERS","RELATIONSHIP_AS_OF_DATE","20080213")</f>
        <v/>
      </c>
      <c r="LN5">
        <f>BDS("HL US Equity","SUPPLY_CHAIN_CUSTOMERS","RELATIONSHIP_AS_OF_DATE","20080213")</f>
        <v/>
      </c>
      <c r="LS5">
        <f>BDS("ON US Equity","SUPPLY_CHAIN_SUPPLIERS","RELATIONSHIP_AS_OF_DATE","20091214")</f>
        <v/>
      </c>
      <c r="LX5">
        <f>BDS("ON US Equity","SUPPLY_CHAIN_CUSTOMERS","RELATIONSHIP_AS_OF_DATE","20091214")</f>
        <v/>
      </c>
      <c r="MC5">
        <f>BDS("OPLN US Equity","SUPPLY_CHAIN_SUPPLIERS","RELATIONSHIP_AS_OF_DATE","20110815")</f>
        <v/>
      </c>
      <c r="MH5">
        <f>BDS("OPLN US Equity","SUPPLY_CHAIN_CUSTOMERS","RELATIONSHIP_AS_OF_DATE","20110815")</f>
        <v/>
      </c>
      <c r="MM5">
        <f>BDS("SIFI US Equity","SUPPLY_CHAIN_SUPPLIERS","RELATIONSHIP_AS_OF_DATE","20130305")</f>
        <v/>
      </c>
      <c r="MR5">
        <f>BDS("SIFI US Equity","SUPPLY_CHAIN_CUSTOMERS","RELATIONSHIP_AS_OF_DATE","20130305")</f>
        <v/>
      </c>
      <c r="MW5">
        <f>BDS("DHR US Equity","SUPPLY_CHAIN_SUPPLIERS","RELATIONSHIP_AS_OF_DATE","20051202")</f>
        <v/>
      </c>
      <c r="NB5">
        <f>BDS("DHR US Equity","SUPPLY_CHAIN_CUSTOMERS","RELATIONSHIP_AS_OF_DATE","20051202")</f>
        <v/>
      </c>
      <c r="NG5">
        <f>BDS("TWAV US Equity","SUPPLY_CHAIN_SUPPLIERS","RELATIONSHIP_AS_OF_DATE","19991228")</f>
        <v/>
      </c>
      <c r="NL5">
        <f>BDS("TWAV US Equity","SUPPLY_CHAIN_CUSTOMERS","RELATIONSHIP_AS_OF_DATE","19991228")</f>
        <v/>
      </c>
      <c r="NQ5">
        <f>BDS("EQY US Equity","SUPPLY_CHAIN_SUPPLIERS","RELATIONSHIP_AS_OF_DATE","20010531")</f>
        <v/>
      </c>
      <c r="NV5">
        <f>BDS("EQY US Equity","SUPPLY_CHAIN_CUSTOMERS","RELATIONSHIP_AS_OF_DATE","20010531")</f>
        <v/>
      </c>
      <c r="OA5">
        <f>BDS("LTWO US Equity","SUPPLY_CHAIN_SUPPLIERS","RELATIONSHIP_AS_OF_DATE","19990607")</f>
        <v/>
      </c>
      <c r="OF5">
        <f>BDS("LTWO US Equity","SUPPLY_CHAIN_CUSTOMERS","RELATIONSHIP_AS_OF_DATE","19990607")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3801</t>
        </is>
      </c>
      <c r="K1" s="1" t="inlineStr">
        <is>
          <t>Deal 3802</t>
        </is>
      </c>
      <c r="U1" s="1" t="inlineStr">
        <is>
          <t>Deal 3803</t>
        </is>
      </c>
      <c r="AE1" s="1" t="inlineStr">
        <is>
          <t>Deal 3804</t>
        </is>
      </c>
      <c r="AO1" s="1" t="inlineStr">
        <is>
          <t>Deal 3805</t>
        </is>
      </c>
      <c r="AY1" s="1" t="inlineStr">
        <is>
          <t>Deal 3806</t>
        </is>
      </c>
      <c r="BI1" s="1" t="inlineStr">
        <is>
          <t>Deal 3807</t>
        </is>
      </c>
      <c r="BS1" s="1" t="inlineStr">
        <is>
          <t>Deal 3808</t>
        </is>
      </c>
      <c r="CC1" s="1" t="inlineStr">
        <is>
          <t>Deal 3809</t>
        </is>
      </c>
      <c r="CM1" s="1" t="inlineStr">
        <is>
          <t>Deal 3810</t>
        </is>
      </c>
      <c r="CW1" s="1" t="inlineStr">
        <is>
          <t>Deal 3811</t>
        </is>
      </c>
      <c r="DG1" s="1" t="inlineStr">
        <is>
          <t>Deal 3812</t>
        </is>
      </c>
      <c r="DQ1" s="1" t="inlineStr">
        <is>
          <t>Deal 3813</t>
        </is>
      </c>
      <c r="EA1" s="1" t="inlineStr">
        <is>
          <t>Deal 3814</t>
        </is>
      </c>
      <c r="EK1" s="1" t="inlineStr">
        <is>
          <t>Deal 3815</t>
        </is>
      </c>
      <c r="EU1" s="1" t="inlineStr">
        <is>
          <t>Deal 3816</t>
        </is>
      </c>
      <c r="FE1" s="1" t="inlineStr">
        <is>
          <t>Deal 3817</t>
        </is>
      </c>
      <c r="FO1" s="1" t="inlineStr">
        <is>
          <t>Deal 3818</t>
        </is>
      </c>
      <c r="FY1" s="1" t="inlineStr">
        <is>
          <t>Deal 3819</t>
        </is>
      </c>
      <c r="GI1" s="1" t="inlineStr">
        <is>
          <t>Deal 3820</t>
        </is>
      </c>
      <c r="GS1" s="1" t="inlineStr">
        <is>
          <t>Deal 3821</t>
        </is>
      </c>
      <c r="HC1" s="1" t="inlineStr">
        <is>
          <t>Deal 3822</t>
        </is>
      </c>
      <c r="HM1" s="1" t="inlineStr">
        <is>
          <t>Deal 3823</t>
        </is>
      </c>
      <c r="HW1" s="1" t="inlineStr">
        <is>
          <t>Deal 3824</t>
        </is>
      </c>
      <c r="IG1" s="1" t="inlineStr">
        <is>
          <t>Deal 3825</t>
        </is>
      </c>
      <c r="IQ1" s="1" t="inlineStr">
        <is>
          <t>Deal 3826</t>
        </is>
      </c>
      <c r="JA1" s="1" t="inlineStr">
        <is>
          <t>Deal 3827</t>
        </is>
      </c>
      <c r="JK1" s="1" t="inlineStr">
        <is>
          <t>Deal 3828</t>
        </is>
      </c>
      <c r="JU1" s="1" t="inlineStr">
        <is>
          <t>Deal 3829</t>
        </is>
      </c>
      <c r="KE1" s="1" t="inlineStr">
        <is>
          <t>Deal 3830</t>
        </is>
      </c>
      <c r="KO1" s="1" t="inlineStr">
        <is>
          <t>Deal 3831</t>
        </is>
      </c>
      <c r="KY1" s="1" t="inlineStr">
        <is>
          <t>Deal 3832</t>
        </is>
      </c>
      <c r="LI1" s="1" t="inlineStr">
        <is>
          <t>Deal 3833</t>
        </is>
      </c>
      <c r="LS1" s="1" t="inlineStr">
        <is>
          <t>Deal 3834</t>
        </is>
      </c>
      <c r="MC1" s="1" t="inlineStr">
        <is>
          <t>Deal 3835</t>
        </is>
      </c>
      <c r="MM1" s="1" t="inlineStr">
        <is>
          <t>Deal 3836</t>
        </is>
      </c>
      <c r="MW1" s="1" t="inlineStr">
        <is>
          <t>Deal 3837</t>
        </is>
      </c>
      <c r="NG1" s="1" t="inlineStr">
        <is>
          <t>Deal 3838</t>
        </is>
      </c>
      <c r="NQ1" s="1" t="inlineStr">
        <is>
          <t>Deal 3839</t>
        </is>
      </c>
      <c r="OA1" s="1" t="inlineStr">
        <is>
          <t>Deal 3840</t>
        </is>
      </c>
    </row>
    <row r="2">
      <c r="A2" s="2" t="inlineStr">
        <is>
          <t>TXN US Equity</t>
        </is>
      </c>
      <c r="K2" s="2" t="inlineStr">
        <is>
          <t>EFX US Equity</t>
        </is>
      </c>
      <c r="U2" s="2" t="inlineStr">
        <is>
          <t>TCI US Equity</t>
        </is>
      </c>
      <c r="AE2" s="2" t="inlineStr">
        <is>
          <t>VLY US Equity</t>
        </is>
      </c>
      <c r="AO2" s="2" t="inlineStr">
        <is>
          <t>KRNY US Equity</t>
        </is>
      </c>
      <c r="AY2" s="2" t="inlineStr">
        <is>
          <t>RILY US Equity</t>
        </is>
      </c>
      <c r="BI2" s="2" t="inlineStr">
        <is>
          <t>ESIC US Equity</t>
        </is>
      </c>
      <c r="BS2" s="2" t="inlineStr">
        <is>
          <t>UNH US Equity</t>
        </is>
      </c>
      <c r="CC2" s="2" t="inlineStr">
        <is>
          <t>ROP US Equity</t>
        </is>
      </c>
      <c r="CM2" s="2" t="inlineStr">
        <is>
          <t>CNOB US Equity</t>
        </is>
      </c>
      <c r="CW2" s="2" t="inlineStr">
        <is>
          <t>2740937Q US Equity</t>
        </is>
      </c>
      <c r="DG2" s="2" t="inlineStr">
        <is>
          <t>DNBK US Equity</t>
        </is>
      </c>
      <c r="DQ2" s="2" t="inlineStr">
        <is>
          <t>FISI US Equity</t>
        </is>
      </c>
      <c r="EA2" s="2" t="inlineStr">
        <is>
          <t>SNV US Equity</t>
        </is>
      </c>
      <c r="EK2" s="2" t="inlineStr">
        <is>
          <t>IBCP US Equity</t>
        </is>
      </c>
      <c r="EU2" s="2" t="inlineStr">
        <is>
          <t>NWBD US Equity</t>
        </is>
      </c>
      <c r="FE2" s="2" t="inlineStr">
        <is>
          <t>KEY US Equity</t>
        </is>
      </c>
      <c r="FO2" s="2" t="inlineStr">
        <is>
          <t>FRME US Equity</t>
        </is>
      </c>
      <c r="FY2" s="2" t="inlineStr">
        <is>
          <t>2641504Q US Equity</t>
        </is>
      </c>
      <c r="GI2" s="2" t="inlineStr">
        <is>
          <t>ISBC US Equity</t>
        </is>
      </c>
      <c r="GS2" s="2" t="inlineStr">
        <is>
          <t>1822785D US Equity</t>
        </is>
      </c>
      <c r="HC2" s="2" t="inlineStr">
        <is>
          <t>UB US Equity</t>
        </is>
      </c>
      <c r="HM2" s="2" t="inlineStr">
        <is>
          <t>AGATQ US Equity</t>
        </is>
      </c>
      <c r="HW2" s="2" t="inlineStr">
        <is>
          <t>812489Q US Equity</t>
        </is>
      </c>
      <c r="IG2" s="2" t="inlineStr">
        <is>
          <t>FEIC US Equity</t>
        </is>
      </c>
      <c r="IQ2" s="2" t="inlineStr">
        <is>
          <t>WYPT US Equity</t>
        </is>
      </c>
      <c r="JA2" s="2" t="inlineStr">
        <is>
          <t>FUR US Equity</t>
        </is>
      </c>
      <c r="JK2" s="2" t="inlineStr">
        <is>
          <t>CLDX US Equity</t>
        </is>
      </c>
      <c r="JU2" s="2" t="inlineStr">
        <is>
          <t>WTNY US Equity</t>
        </is>
      </c>
      <c r="KE2" s="2" t="inlineStr">
        <is>
          <t>HU US Equity</t>
        </is>
      </c>
      <c r="KO2" s="2" t="inlineStr">
        <is>
          <t>CMD US Equity</t>
        </is>
      </c>
      <c r="KY2" s="2" t="inlineStr">
        <is>
          <t>KIM US Equity</t>
        </is>
      </c>
      <c r="LI2" s="2" t="inlineStr">
        <is>
          <t>MDDS US Equity</t>
        </is>
      </c>
      <c r="LS2" s="2" t="inlineStr">
        <is>
          <t>VABK US Equity</t>
        </is>
      </c>
      <c r="MC2" s="2" t="inlineStr">
        <is>
          <t>1436225D US Equity</t>
        </is>
      </c>
      <c r="MM2" s="2" t="inlineStr">
        <is>
          <t>CCTX US Equity</t>
        </is>
      </c>
      <c r="MW2" s="2" t="inlineStr">
        <is>
          <t>PFC US Equity</t>
        </is>
      </c>
      <c r="NG2" s="2" t="inlineStr">
        <is>
          <t>CBCGQ US Equity</t>
        </is>
      </c>
      <c r="NQ2" s="2" t="inlineStr">
        <is>
          <t>NFBK US Equity</t>
        </is>
      </c>
      <c r="OA2" s="2" t="inlineStr">
        <is>
          <t>1339658D US Equity</t>
        </is>
      </c>
    </row>
    <row r="3">
      <c r="A3" t="inlineStr">
        <is>
          <t>Ann: 1999-05-03</t>
        </is>
      </c>
      <c r="K3" t="inlineStr">
        <is>
          <t>Ann: 2017-06-16</t>
        </is>
      </c>
      <c r="U3" t="inlineStr">
        <is>
          <t>Ann: 1998-09-21</t>
        </is>
      </c>
      <c r="AE3" t="inlineStr">
        <is>
          <t>Ann: 1998-05-29</t>
        </is>
      </c>
      <c r="AO3" t="inlineStr">
        <is>
          <t>Ann: 2002-01-10</t>
        </is>
      </c>
      <c r="AY3" t="inlineStr">
        <is>
          <t>Ann: 2015-11-16</t>
        </is>
      </c>
      <c r="BI3" t="inlineStr">
        <is>
          <t>Ann: 2007-05-03</t>
        </is>
      </c>
      <c r="BS3" t="inlineStr">
        <is>
          <t>Ann: 2000-10-10</t>
        </is>
      </c>
      <c r="CC3" t="inlineStr">
        <is>
          <t>Ann: 2017-10-05</t>
        </is>
      </c>
      <c r="CM3" t="inlineStr">
        <is>
          <t>Ann: 2018-07-12</t>
        </is>
      </c>
      <c r="CW3" t="inlineStr">
        <is>
          <t>Ann: 2001-04-09</t>
        </is>
      </c>
      <c r="DG3" t="inlineStr">
        <is>
          <t>Ann: 2009-06-17</t>
        </is>
      </c>
      <c r="DQ3" t="inlineStr">
        <is>
          <t>Ann: 2000-11-02</t>
        </is>
      </c>
      <c r="EA3" t="inlineStr">
        <is>
          <t>Ann: 2000-09-19</t>
        </is>
      </c>
      <c r="EK3" t="inlineStr">
        <is>
          <t>Ann: 1999-03-24</t>
        </is>
      </c>
      <c r="EU3" t="inlineStr">
        <is>
          <t>Ann: 2006-06-28</t>
        </is>
      </c>
      <c r="FE3" t="inlineStr">
        <is>
          <t>Ann: 2002-09-25</t>
        </is>
      </c>
      <c r="FO3" t="inlineStr">
        <is>
          <t>Ann: 2002-08-28</t>
        </is>
      </c>
      <c r="FY3" t="inlineStr">
        <is>
          <t>Ann: 2001-01-23</t>
        </is>
      </c>
      <c r="GI3" t="inlineStr">
        <is>
          <t>Ann: 2019-07-24</t>
        </is>
      </c>
      <c r="GS3" t="inlineStr">
        <is>
          <t>Ann: 1998-07-02</t>
        </is>
      </c>
      <c r="HC3" t="inlineStr">
        <is>
          <t>Ann: 2002-08-06</t>
        </is>
      </c>
      <c r="HM3" t="inlineStr">
        <is>
          <t>Ann: 1998-01-29</t>
        </is>
      </c>
      <c r="HW3" t="inlineStr">
        <is>
          <t>Ann: 1998-12-11</t>
        </is>
      </c>
      <c r="IG3" t="inlineStr">
        <is>
          <t>Ann: 1998-12-03</t>
        </is>
      </c>
      <c r="IQ3" t="inlineStr">
        <is>
          <t>Ann: 2000-03-28</t>
        </is>
      </c>
      <c r="JA3" t="inlineStr">
        <is>
          <t>Ann: 2004-01-12</t>
        </is>
      </c>
      <c r="JK3" t="inlineStr">
        <is>
          <t>Ann: 2009-05-29</t>
        </is>
      </c>
      <c r="JU3" t="inlineStr">
        <is>
          <t>Ann: 2004-03-19</t>
        </is>
      </c>
      <c r="KE3" t="inlineStr">
        <is>
          <t>Ann: 1999-01-26</t>
        </is>
      </c>
      <c r="KO3" t="inlineStr">
        <is>
          <t>Ann: 2001-05-31</t>
        </is>
      </c>
      <c r="KY3" t="inlineStr">
        <is>
          <t>Ann: 2005-12-01</t>
        </is>
      </c>
      <c r="LI3" t="inlineStr">
        <is>
          <t>Ann: 1998-09-10</t>
        </is>
      </c>
      <c r="LS3" t="inlineStr">
        <is>
          <t>Ann: 2020-10-01</t>
        </is>
      </c>
      <c r="MC3" t="inlineStr">
        <is>
          <t>Ann: 1998-10-08</t>
        </is>
      </c>
      <c r="MM3" t="inlineStr">
        <is>
          <t>Ann: 1999-05-17</t>
        </is>
      </c>
      <c r="MW3" t="inlineStr">
        <is>
          <t>Ann: 2016-08-23</t>
        </is>
      </c>
      <c r="NG3" t="inlineStr">
        <is>
          <t>Ann: 1998-04-24</t>
        </is>
      </c>
      <c r="NQ3" t="inlineStr">
        <is>
          <t>Ann: 2019-12-23</t>
        </is>
      </c>
      <c r="OA3" t="inlineStr">
        <is>
          <t>Ann: 2005-02-28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BDS("TXN US Equity","SUPPLY_CHAIN_SUPPLIERS","RELATIONSHIP_AS_OF_DATE","19990503")</f>
        <v/>
      </c>
      <c r="F5">
        <f>BDS("TXN US Equity","SUPPLY_CHAIN_CUSTOMERS","RELATIONSHIP_AS_OF_DATE","19990503")</f>
        <v/>
      </c>
      <c r="K5">
        <f>BDS("EFX US Equity","SUPPLY_CHAIN_SUPPLIERS","RELATIONSHIP_AS_OF_DATE","20170616")</f>
        <v/>
      </c>
      <c r="P5">
        <f>BDS("EFX US Equity","SUPPLY_CHAIN_CUSTOMERS","RELATIONSHIP_AS_OF_DATE","20170616")</f>
        <v/>
      </c>
      <c r="U5">
        <f>BDS("TCI US Equity","SUPPLY_CHAIN_SUPPLIERS","RELATIONSHIP_AS_OF_DATE","19980921")</f>
        <v/>
      </c>
      <c r="Z5">
        <f>BDS("TCI US Equity","SUPPLY_CHAIN_CUSTOMERS","RELATIONSHIP_AS_OF_DATE","19980921")</f>
        <v/>
      </c>
      <c r="AE5">
        <f>BDS("VLY US Equity","SUPPLY_CHAIN_SUPPLIERS","RELATIONSHIP_AS_OF_DATE","19980529")</f>
        <v/>
      </c>
      <c r="AJ5">
        <f>BDS("VLY US Equity","SUPPLY_CHAIN_CUSTOMERS","RELATIONSHIP_AS_OF_DATE","19980529")</f>
        <v/>
      </c>
      <c r="AO5">
        <f>BDS("KRNY US Equity","SUPPLY_CHAIN_SUPPLIERS","RELATIONSHIP_AS_OF_DATE","20020110")</f>
        <v/>
      </c>
      <c r="AT5">
        <f>BDS("KRNY US Equity","SUPPLY_CHAIN_CUSTOMERS","RELATIONSHIP_AS_OF_DATE","20020110")</f>
        <v/>
      </c>
      <c r="AY5">
        <f>BDS("RILY US Equity","SUPPLY_CHAIN_SUPPLIERS","RELATIONSHIP_AS_OF_DATE","20151116")</f>
        <v/>
      </c>
      <c r="BD5">
        <f>BDS("RILY US Equity","SUPPLY_CHAIN_CUSTOMERS","RELATIONSHIP_AS_OF_DATE","20151116")</f>
        <v/>
      </c>
      <c r="BI5">
        <f>BDS("ESIC US Equity","SUPPLY_CHAIN_SUPPLIERS","RELATIONSHIP_AS_OF_DATE","20070503")</f>
        <v/>
      </c>
      <c r="BN5">
        <f>BDS("ESIC US Equity","SUPPLY_CHAIN_CUSTOMERS","RELATIONSHIP_AS_OF_DATE","20070503")</f>
        <v/>
      </c>
      <c r="BS5">
        <f>BDS("UNH US Equity","SUPPLY_CHAIN_SUPPLIERS","RELATIONSHIP_AS_OF_DATE","20001010")</f>
        <v/>
      </c>
      <c r="BX5">
        <f>BDS("UNH US Equity","SUPPLY_CHAIN_CUSTOMERS","RELATIONSHIP_AS_OF_DATE","20001010")</f>
        <v/>
      </c>
      <c r="CC5">
        <f>BDS("ROP US Equity","SUPPLY_CHAIN_SUPPLIERS","RELATIONSHIP_AS_OF_DATE","20171005")</f>
        <v/>
      </c>
      <c r="CH5">
        <f>BDS("ROP US Equity","SUPPLY_CHAIN_CUSTOMERS","RELATIONSHIP_AS_OF_DATE","20171005")</f>
        <v/>
      </c>
      <c r="CM5">
        <f>BDS("CNOB US Equity","SUPPLY_CHAIN_SUPPLIERS","RELATIONSHIP_AS_OF_DATE","20180712")</f>
        <v/>
      </c>
      <c r="CR5">
        <f>BDS("CNOB US Equity","SUPPLY_CHAIN_CUSTOMERS","RELATIONSHIP_AS_OF_DATE","20180712")</f>
        <v/>
      </c>
      <c r="CW5">
        <f>BDS("2740937Q US Equity","SUPPLY_CHAIN_SUPPLIERS","RELATIONSHIP_AS_OF_DATE","20010409")</f>
        <v/>
      </c>
      <c r="DB5">
        <f>BDS("2740937Q US Equity","SUPPLY_CHAIN_CUSTOMERS","RELATIONSHIP_AS_OF_DATE","20010409")</f>
        <v/>
      </c>
      <c r="DG5">
        <f>BDS("DNBK US Equity","SUPPLY_CHAIN_SUPPLIERS","RELATIONSHIP_AS_OF_DATE","20090617")</f>
        <v/>
      </c>
      <c r="DL5">
        <f>BDS("DNBK US Equity","SUPPLY_CHAIN_CUSTOMERS","RELATIONSHIP_AS_OF_DATE","20090617")</f>
        <v/>
      </c>
      <c r="DQ5">
        <f>BDS("FISI US Equity","SUPPLY_CHAIN_SUPPLIERS","RELATIONSHIP_AS_OF_DATE","20001102")</f>
        <v/>
      </c>
      <c r="DV5">
        <f>BDS("FISI US Equity","SUPPLY_CHAIN_CUSTOMERS","RELATIONSHIP_AS_OF_DATE","20001102")</f>
        <v/>
      </c>
      <c r="EA5">
        <f>BDS("SNV US Equity","SUPPLY_CHAIN_SUPPLIERS","RELATIONSHIP_AS_OF_DATE","20000919")</f>
        <v/>
      </c>
      <c r="EF5">
        <f>BDS("SNV US Equity","SUPPLY_CHAIN_CUSTOMERS","RELATIONSHIP_AS_OF_DATE","20000919")</f>
        <v/>
      </c>
      <c r="EK5">
        <f>BDS("IBCP US Equity","SUPPLY_CHAIN_SUPPLIERS","RELATIONSHIP_AS_OF_DATE","19990324")</f>
        <v/>
      </c>
      <c r="EP5">
        <f>BDS("IBCP US Equity","SUPPLY_CHAIN_CUSTOMERS","RELATIONSHIP_AS_OF_DATE","19990324")</f>
        <v/>
      </c>
      <c r="EU5">
        <f>BDS("NWBD US Equity","SUPPLY_CHAIN_SUPPLIERS","RELATIONSHIP_AS_OF_DATE","20060628")</f>
        <v/>
      </c>
      <c r="EZ5">
        <f>BDS("NWBD US Equity","SUPPLY_CHAIN_CUSTOMERS","RELATIONSHIP_AS_OF_DATE","20060628")</f>
        <v/>
      </c>
      <c r="FE5">
        <f>BDS("KEY US Equity","SUPPLY_CHAIN_SUPPLIERS","RELATIONSHIP_AS_OF_DATE","20020925")</f>
        <v/>
      </c>
      <c r="FJ5">
        <f>BDS("KEY US Equity","SUPPLY_CHAIN_CUSTOMERS","RELATIONSHIP_AS_OF_DATE","20020925")</f>
        <v/>
      </c>
      <c r="FO5">
        <f>BDS("FRME US Equity","SUPPLY_CHAIN_SUPPLIERS","RELATIONSHIP_AS_OF_DATE","20020828")</f>
        <v/>
      </c>
      <c r="FT5">
        <f>BDS("FRME US Equity","SUPPLY_CHAIN_CUSTOMERS","RELATIONSHIP_AS_OF_DATE","20020828")</f>
        <v/>
      </c>
      <c r="FY5">
        <f>BDS("2641504Q US Equity","SUPPLY_CHAIN_SUPPLIERS","RELATIONSHIP_AS_OF_DATE","20010123")</f>
        <v/>
      </c>
      <c r="GD5">
        <f>BDS("2641504Q US Equity","SUPPLY_CHAIN_CUSTOMERS","RELATIONSHIP_AS_OF_DATE","20010123")</f>
        <v/>
      </c>
      <c r="GI5">
        <f>BDS("ISBC US Equity","SUPPLY_CHAIN_SUPPLIERS","RELATIONSHIP_AS_OF_DATE","20190724")</f>
        <v/>
      </c>
      <c r="GN5">
        <f>BDS("ISBC US Equity","SUPPLY_CHAIN_CUSTOMERS","RELATIONSHIP_AS_OF_DATE","20190724")</f>
        <v/>
      </c>
      <c r="GS5">
        <f>BDS("1822785D US Equity","SUPPLY_CHAIN_SUPPLIERS","RELATIONSHIP_AS_OF_DATE","19980702")</f>
        <v/>
      </c>
      <c r="GX5">
        <f>BDS("1822785D US Equity","SUPPLY_CHAIN_CUSTOMERS","RELATIONSHIP_AS_OF_DATE","19980702")</f>
        <v/>
      </c>
      <c r="HC5">
        <f>BDS("UB US Equity","SUPPLY_CHAIN_SUPPLIERS","RELATIONSHIP_AS_OF_DATE","20020806")</f>
        <v/>
      </c>
      <c r="HH5">
        <f>BDS("UB US Equity","SUPPLY_CHAIN_CUSTOMERS","RELATIONSHIP_AS_OF_DATE","20020806")</f>
        <v/>
      </c>
      <c r="HM5">
        <f>BDS("AGATQ US Equity","SUPPLY_CHAIN_SUPPLIERS","RELATIONSHIP_AS_OF_DATE","19980129")</f>
        <v/>
      </c>
      <c r="HR5">
        <f>BDS("AGATQ US Equity","SUPPLY_CHAIN_CUSTOMERS","RELATIONSHIP_AS_OF_DATE","19980129")</f>
        <v/>
      </c>
      <c r="HW5">
        <f>BDS("812489Q US Equity","SUPPLY_CHAIN_SUPPLIERS","RELATIONSHIP_AS_OF_DATE","19981211")</f>
        <v/>
      </c>
      <c r="IB5">
        <f>BDS("812489Q US Equity","SUPPLY_CHAIN_CUSTOMERS","RELATIONSHIP_AS_OF_DATE","19981211")</f>
        <v/>
      </c>
      <c r="IG5">
        <f>BDS("FEIC US Equity","SUPPLY_CHAIN_SUPPLIERS","RELATIONSHIP_AS_OF_DATE","19981203")</f>
        <v/>
      </c>
      <c r="IL5">
        <f>BDS("FEIC US Equity","SUPPLY_CHAIN_CUSTOMERS","RELATIONSHIP_AS_OF_DATE","19981203")</f>
        <v/>
      </c>
      <c r="IQ5">
        <f>BDS("WYPT US Equity","SUPPLY_CHAIN_SUPPLIERS","RELATIONSHIP_AS_OF_DATE","20000328")</f>
        <v/>
      </c>
      <c r="IV5">
        <f>BDS("WYPT US Equity","SUPPLY_CHAIN_CUSTOMERS","RELATIONSHIP_AS_OF_DATE","20000328")</f>
        <v/>
      </c>
      <c r="JA5">
        <f>BDS("FUR US Equity","SUPPLY_CHAIN_SUPPLIERS","RELATIONSHIP_AS_OF_DATE","20040112")</f>
        <v/>
      </c>
      <c r="JF5">
        <f>BDS("FUR US Equity","SUPPLY_CHAIN_CUSTOMERS","RELATIONSHIP_AS_OF_DATE","20040112")</f>
        <v/>
      </c>
      <c r="JK5">
        <f>BDS("CLDX US Equity","SUPPLY_CHAIN_SUPPLIERS","RELATIONSHIP_AS_OF_DATE","20090529")</f>
        <v/>
      </c>
      <c r="JP5">
        <f>BDS("CLDX US Equity","SUPPLY_CHAIN_CUSTOMERS","RELATIONSHIP_AS_OF_DATE","20090529")</f>
        <v/>
      </c>
      <c r="JU5">
        <f>BDS("WTNY US Equity","SUPPLY_CHAIN_SUPPLIERS","RELATIONSHIP_AS_OF_DATE","20040319")</f>
        <v/>
      </c>
      <c r="JZ5">
        <f>BDS("WTNY US Equity","SUPPLY_CHAIN_CUSTOMERS","RELATIONSHIP_AS_OF_DATE","20040319")</f>
        <v/>
      </c>
      <c r="KE5">
        <f>BDS("HU US Equity","SUPPLY_CHAIN_SUPPLIERS","RELATIONSHIP_AS_OF_DATE","19990126")</f>
        <v/>
      </c>
      <c r="KJ5">
        <f>BDS("HU US Equity","SUPPLY_CHAIN_CUSTOMERS","RELATIONSHIP_AS_OF_DATE","19990126")</f>
        <v/>
      </c>
      <c r="KO5">
        <f>BDS("CMD US Equity","SUPPLY_CHAIN_SUPPLIERS","RELATIONSHIP_AS_OF_DATE","20010531")</f>
        <v/>
      </c>
      <c r="KT5">
        <f>BDS("CMD US Equity","SUPPLY_CHAIN_CUSTOMERS","RELATIONSHIP_AS_OF_DATE","20010531")</f>
        <v/>
      </c>
      <c r="KY5">
        <f>BDS("KIM US Equity","SUPPLY_CHAIN_SUPPLIERS","RELATIONSHIP_AS_OF_DATE","20051201")</f>
        <v/>
      </c>
      <c r="LD5">
        <f>BDS("KIM US Equity","SUPPLY_CHAIN_CUSTOMERS","RELATIONSHIP_AS_OF_DATE","20051201")</f>
        <v/>
      </c>
      <c r="LI5">
        <f>BDS("MDDS US Equity","SUPPLY_CHAIN_SUPPLIERS","RELATIONSHIP_AS_OF_DATE","19980910")</f>
        <v/>
      </c>
      <c r="LN5">
        <f>BDS("MDDS US Equity","SUPPLY_CHAIN_CUSTOMERS","RELATIONSHIP_AS_OF_DATE","19980910")</f>
        <v/>
      </c>
      <c r="LS5">
        <f>BDS("VABK US Equity","SUPPLY_CHAIN_SUPPLIERS","RELATIONSHIP_AS_OF_DATE","20201001")</f>
        <v/>
      </c>
      <c r="LX5">
        <f>BDS("VABK US Equity","SUPPLY_CHAIN_CUSTOMERS","RELATIONSHIP_AS_OF_DATE","20201001")</f>
        <v/>
      </c>
      <c r="MC5">
        <f>BDS("1436225D US Equity","SUPPLY_CHAIN_SUPPLIERS","RELATIONSHIP_AS_OF_DATE","19981008")</f>
        <v/>
      </c>
      <c r="MH5">
        <f>BDS("1436225D US Equity","SUPPLY_CHAIN_CUSTOMERS","RELATIONSHIP_AS_OF_DATE","19981008")</f>
        <v/>
      </c>
      <c r="MM5">
        <f>BDS("CCTX US Equity","SUPPLY_CHAIN_SUPPLIERS","RELATIONSHIP_AS_OF_DATE","19990517")</f>
        <v/>
      </c>
      <c r="MR5">
        <f>BDS("CCTX US Equity","SUPPLY_CHAIN_CUSTOMERS","RELATIONSHIP_AS_OF_DATE","19990517")</f>
        <v/>
      </c>
      <c r="MW5">
        <f>BDS("PFC US Equity","SUPPLY_CHAIN_SUPPLIERS","RELATIONSHIP_AS_OF_DATE","20160823")</f>
        <v/>
      </c>
      <c r="NB5">
        <f>BDS("PFC US Equity","SUPPLY_CHAIN_CUSTOMERS","RELATIONSHIP_AS_OF_DATE","20160823")</f>
        <v/>
      </c>
      <c r="NG5">
        <f>BDS("CBCGQ US Equity","SUPPLY_CHAIN_SUPPLIERS","RELATIONSHIP_AS_OF_DATE","19980424")</f>
        <v/>
      </c>
      <c r="NL5">
        <f>BDS("CBCGQ US Equity","SUPPLY_CHAIN_CUSTOMERS","RELATIONSHIP_AS_OF_DATE","19980424")</f>
        <v/>
      </c>
      <c r="NQ5">
        <f>BDS("NFBK US Equity","SUPPLY_CHAIN_SUPPLIERS","RELATIONSHIP_AS_OF_DATE","20191223")</f>
        <v/>
      </c>
      <c r="NV5">
        <f>BDS("NFBK US Equity","SUPPLY_CHAIN_CUSTOMERS","RELATIONSHIP_AS_OF_DATE","20191223")</f>
        <v/>
      </c>
      <c r="OA5">
        <f>BDS("1339658D US Equity","SUPPLY_CHAIN_SUPPLIERS","RELATIONSHIP_AS_OF_DATE","20050228")</f>
        <v/>
      </c>
      <c r="OF5">
        <f>BDS("1339658D US Equity","SUPPLY_CHAIN_CUSTOMERS","RELATIONSHIP_AS_OF_DATE","20050228")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3841</t>
        </is>
      </c>
      <c r="K1" s="1" t="inlineStr">
        <is>
          <t>Deal 3842</t>
        </is>
      </c>
      <c r="U1" s="1" t="inlineStr">
        <is>
          <t>Deal 3843</t>
        </is>
      </c>
      <c r="AE1" s="1" t="inlineStr">
        <is>
          <t>Deal 3844</t>
        </is>
      </c>
      <c r="AO1" s="1" t="inlineStr">
        <is>
          <t>Deal 3845</t>
        </is>
      </c>
      <c r="AY1" s="1" t="inlineStr">
        <is>
          <t>Deal 3846</t>
        </is>
      </c>
      <c r="BI1" s="1" t="inlineStr">
        <is>
          <t>Deal 3847</t>
        </is>
      </c>
      <c r="BS1" s="1" t="inlineStr">
        <is>
          <t>Deal 3848</t>
        </is>
      </c>
      <c r="CC1" s="1" t="inlineStr">
        <is>
          <t>Deal 3849</t>
        </is>
      </c>
      <c r="CM1" s="1" t="inlineStr">
        <is>
          <t>Deal 3850</t>
        </is>
      </c>
      <c r="CW1" s="1" t="inlineStr">
        <is>
          <t>Deal 3851</t>
        </is>
      </c>
      <c r="DG1" s="1" t="inlineStr">
        <is>
          <t>Deal 3852</t>
        </is>
      </c>
      <c r="DQ1" s="1" t="inlineStr">
        <is>
          <t>Deal 3853</t>
        </is>
      </c>
      <c r="EA1" s="1" t="inlineStr">
        <is>
          <t>Deal 3854</t>
        </is>
      </c>
      <c r="EK1" s="1" t="inlineStr">
        <is>
          <t>Deal 3855</t>
        </is>
      </c>
      <c r="EU1" s="1" t="inlineStr">
        <is>
          <t>Deal 3856</t>
        </is>
      </c>
      <c r="FE1" s="1" t="inlineStr">
        <is>
          <t>Deal 3857</t>
        </is>
      </c>
      <c r="FO1" s="1" t="inlineStr">
        <is>
          <t>Deal 3858</t>
        </is>
      </c>
      <c r="FY1" s="1" t="inlineStr">
        <is>
          <t>Deal 3859</t>
        </is>
      </c>
      <c r="GI1" s="1" t="inlineStr">
        <is>
          <t>Deal 3860</t>
        </is>
      </c>
      <c r="GS1" s="1" t="inlineStr">
        <is>
          <t>Deal 3861</t>
        </is>
      </c>
      <c r="HC1" s="1" t="inlineStr">
        <is>
          <t>Deal 3862</t>
        </is>
      </c>
      <c r="HM1" s="1" t="inlineStr">
        <is>
          <t>Deal 3863</t>
        </is>
      </c>
      <c r="HW1" s="1" t="inlineStr">
        <is>
          <t>Deal 3864</t>
        </is>
      </c>
      <c r="IG1" s="1" t="inlineStr">
        <is>
          <t>Deal 3865</t>
        </is>
      </c>
      <c r="IQ1" s="1" t="inlineStr">
        <is>
          <t>Deal 3866</t>
        </is>
      </c>
      <c r="JA1" s="1" t="inlineStr">
        <is>
          <t>Deal 3867</t>
        </is>
      </c>
      <c r="JK1" s="1" t="inlineStr">
        <is>
          <t>Deal 3868</t>
        </is>
      </c>
      <c r="JU1" s="1" t="inlineStr">
        <is>
          <t>Deal 3869</t>
        </is>
      </c>
      <c r="KE1" s="1" t="inlineStr">
        <is>
          <t>Deal 3870</t>
        </is>
      </c>
      <c r="KO1" s="1" t="inlineStr">
        <is>
          <t>Deal 3871</t>
        </is>
      </c>
      <c r="KY1" s="1" t="inlineStr">
        <is>
          <t>Deal 3872</t>
        </is>
      </c>
      <c r="LI1" s="1" t="inlineStr">
        <is>
          <t>Deal 3873</t>
        </is>
      </c>
      <c r="LS1" s="1" t="inlineStr">
        <is>
          <t>Deal 3874</t>
        </is>
      </c>
      <c r="MC1" s="1" t="inlineStr">
        <is>
          <t>Deal 3875</t>
        </is>
      </c>
      <c r="MM1" s="1" t="inlineStr">
        <is>
          <t>Deal 3876</t>
        </is>
      </c>
      <c r="MW1" s="1" t="inlineStr">
        <is>
          <t>Deal 3877</t>
        </is>
      </c>
      <c r="NG1" s="1" t="inlineStr">
        <is>
          <t>Deal 3878</t>
        </is>
      </c>
      <c r="NQ1" s="1" t="inlineStr">
        <is>
          <t>Deal 3879</t>
        </is>
      </c>
      <c r="OA1" s="1" t="inlineStr">
        <is>
          <t>Deal 3880</t>
        </is>
      </c>
    </row>
    <row r="2">
      <c r="A2" s="2" t="inlineStr">
        <is>
          <t>DVINQ US Equity</t>
        </is>
      </c>
      <c r="K2" s="2" t="inlineStr">
        <is>
          <t>DHR US Equity</t>
        </is>
      </c>
      <c r="U2" s="2" t="inlineStr">
        <is>
          <t>DENTQ US Equity</t>
        </is>
      </c>
      <c r="AE2" s="2" t="inlineStr">
        <is>
          <t>EBIXQ US Equity</t>
        </is>
      </c>
      <c r="AO2" s="2" t="inlineStr">
        <is>
          <t>838969Q US Equity</t>
        </is>
      </c>
      <c r="AY2" s="2" t="inlineStr">
        <is>
          <t>3372216Q US Equity</t>
        </is>
      </c>
      <c r="BI2" s="2" t="inlineStr">
        <is>
          <t>VLO US Equity</t>
        </is>
      </c>
      <c r="BS2" s="2" t="inlineStr">
        <is>
          <t>BVH US Equity</t>
        </is>
      </c>
      <c r="CC2" s="2" t="inlineStr">
        <is>
          <t>NKLAQ US Equity</t>
        </is>
      </c>
      <c r="CM2" s="2" t="inlineStr">
        <is>
          <t>HTBK US Equity</t>
        </is>
      </c>
      <c r="CW2" s="2" t="inlineStr">
        <is>
          <t>MCHB US Equity</t>
        </is>
      </c>
      <c r="DG2" s="2" t="inlineStr">
        <is>
          <t>RVTY US Equity</t>
        </is>
      </c>
      <c r="DQ2" s="2" t="inlineStr">
        <is>
          <t>MFE US Equity</t>
        </is>
      </c>
      <c r="EA2" s="2" t="inlineStr">
        <is>
          <t>nan Equity</t>
        </is>
      </c>
      <c r="EK2" s="2" t="inlineStr">
        <is>
          <t>3414924Q US Equity</t>
        </is>
      </c>
      <c r="EU2" s="2" t="inlineStr">
        <is>
          <t>BMS US Equity</t>
        </is>
      </c>
      <c r="FE2" s="2" t="inlineStr">
        <is>
          <t>PBCT US Equity</t>
        </is>
      </c>
      <c r="FO2" s="2" t="inlineStr">
        <is>
          <t>FNFG US Equity</t>
        </is>
      </c>
      <c r="FY2" s="2" t="inlineStr">
        <is>
          <t>COLB US Equity</t>
        </is>
      </c>
      <c r="GI2" s="2" t="inlineStr">
        <is>
          <t>TMO US Equity</t>
        </is>
      </c>
      <c r="GS2" s="2" t="inlineStr">
        <is>
          <t>BCR US Equity</t>
        </is>
      </c>
      <c r="HC2" s="2" t="inlineStr">
        <is>
          <t>13620Z US Equity</t>
        </is>
      </c>
      <c r="HM2" s="2" t="inlineStr">
        <is>
          <t>724880Q US Equity</t>
        </is>
      </c>
      <c r="HW2" s="2" t="inlineStr">
        <is>
          <t>BBY US Equity</t>
        </is>
      </c>
      <c r="IG2" s="2" t="inlineStr">
        <is>
          <t>NXWXQ US Equity</t>
        </is>
      </c>
      <c r="IQ2" s="2" t="inlineStr">
        <is>
          <t>AMNUQ US Equity</t>
        </is>
      </c>
      <c r="JA2" s="2" t="inlineStr">
        <is>
          <t>FSBK US Equity</t>
        </is>
      </c>
      <c r="JK2" s="2" t="inlineStr">
        <is>
          <t>SGID US Equity</t>
        </is>
      </c>
      <c r="JU2" s="2" t="inlineStr">
        <is>
          <t>PACW US Equity</t>
        </is>
      </c>
      <c r="KE2" s="2" t="inlineStr">
        <is>
          <t>MPB US Equity</t>
        </is>
      </c>
      <c r="KO2" s="2" t="inlineStr">
        <is>
          <t>2674129Q US Equity</t>
        </is>
      </c>
      <c r="KY2" s="2" t="inlineStr">
        <is>
          <t>BASXQ US Equity</t>
        </is>
      </c>
      <c r="LI2" s="2" t="inlineStr">
        <is>
          <t>1520415D US Equity</t>
        </is>
      </c>
      <c r="LS2" s="2" t="inlineStr">
        <is>
          <t>PAET US Equity</t>
        </is>
      </c>
      <c r="MC2" s="2" t="inlineStr">
        <is>
          <t>PSCXQ US Equity</t>
        </is>
      </c>
      <c r="MM2" s="2" t="inlineStr">
        <is>
          <t>CSCO US Equity</t>
        </is>
      </c>
      <c r="MW2" s="2" t="inlineStr">
        <is>
          <t>ITXG US Equity</t>
        </is>
      </c>
      <c r="NG2" s="2" t="inlineStr">
        <is>
          <t>SPB US Equity</t>
        </is>
      </c>
      <c r="NQ2" s="2" t="inlineStr">
        <is>
          <t>FCF US Equity</t>
        </is>
      </c>
      <c r="OA2" s="2" t="inlineStr">
        <is>
          <t>NEE US Equity</t>
        </is>
      </c>
    </row>
    <row r="3">
      <c r="A3" t="inlineStr">
        <is>
          <t>Ann: 2001-09-18</t>
        </is>
      </c>
      <c r="K3" t="inlineStr">
        <is>
          <t>Ann: 2001-06-13</t>
        </is>
      </c>
      <c r="U3" t="inlineStr">
        <is>
          <t>Ann: 1998-10-16</t>
        </is>
      </c>
      <c r="AE3" t="inlineStr">
        <is>
          <t>Ann: 2010-08-30</t>
        </is>
      </c>
      <c r="AO3" t="inlineStr">
        <is>
          <t>Ann: 2006-06-13</t>
        </is>
      </c>
      <c r="AY3" t="inlineStr">
        <is>
          <t>Ann: 1998-10-21</t>
        </is>
      </c>
      <c r="BI3" t="inlineStr">
        <is>
          <t>Ann: 2001-03-20</t>
        </is>
      </c>
      <c r="BS3" t="inlineStr">
        <is>
          <t>Ann: 2016-07-28</t>
        </is>
      </c>
      <c r="CC3" t="inlineStr">
        <is>
          <t>Ann: 2022-08-01</t>
        </is>
      </c>
      <c r="CM3" t="inlineStr">
        <is>
          <t>Ann: 2007-02-09</t>
        </is>
      </c>
      <c r="CW3" t="inlineStr">
        <is>
          <t>Ann: 2015-09-28</t>
        </is>
      </c>
      <c r="DG3" t="inlineStr">
        <is>
          <t>Ann: 1999-10-05</t>
        </is>
      </c>
      <c r="DQ3" t="inlineStr">
        <is>
          <t>Ann: 2006-10-03</t>
        </is>
      </c>
      <c r="EA3" t="inlineStr">
        <is>
          <t>Ann: 2000-06-27</t>
        </is>
      </c>
      <c r="EK3" t="inlineStr">
        <is>
          <t>Ann: 2001-02-22</t>
        </is>
      </c>
      <c r="EU3" t="inlineStr">
        <is>
          <t>Ann: 1999-12-20</t>
        </is>
      </c>
      <c r="FE3" t="inlineStr">
        <is>
          <t>Ann: 2010-07-15</t>
        </is>
      </c>
      <c r="FO3" t="inlineStr">
        <is>
          <t>Ann: 2002-07-22</t>
        </is>
      </c>
      <c r="FY3" t="inlineStr">
        <is>
          <t>Ann: 2007-03-28</t>
        </is>
      </c>
      <c r="GI3" t="inlineStr">
        <is>
          <t>Ann: 2001-08-21</t>
        </is>
      </c>
      <c r="GS3" t="inlineStr">
        <is>
          <t>Ann: 2008-03-10</t>
        </is>
      </c>
      <c r="HC3" t="inlineStr">
        <is>
          <t>Ann: 1999-03-24</t>
        </is>
      </c>
      <c r="HM3" t="inlineStr">
        <is>
          <t>Ann: 2001-05-23</t>
        </is>
      </c>
      <c r="HW3" t="inlineStr">
        <is>
          <t>Ann: 2008-09-15</t>
        </is>
      </c>
      <c r="IG3" t="inlineStr">
        <is>
          <t>Ann: 1999-08-27</t>
        </is>
      </c>
      <c r="IQ3" t="inlineStr">
        <is>
          <t>Ann: 1999-05-10</t>
        </is>
      </c>
      <c r="JA3" t="inlineStr">
        <is>
          <t>Ann: 1999-08-09</t>
        </is>
      </c>
      <c r="JK3" t="inlineStr">
        <is>
          <t>Ann: 1996-04-25</t>
        </is>
      </c>
      <c r="JU3" t="inlineStr">
        <is>
          <t>Ann: 2005-04-28</t>
        </is>
      </c>
      <c r="KE3" t="inlineStr">
        <is>
          <t>Ann: 2017-03-29</t>
        </is>
      </c>
      <c r="KO3" t="inlineStr">
        <is>
          <t>Ann: 1998-12-17</t>
        </is>
      </c>
      <c r="KY3" t="inlineStr">
        <is>
          <t>Ann: 2020-03-09</t>
        </is>
      </c>
      <c r="LI3" t="inlineStr">
        <is>
          <t>Ann: 1998-08-13</t>
        </is>
      </c>
      <c r="LS3" t="inlineStr">
        <is>
          <t>Ann: 2011-02-09</t>
        </is>
      </c>
      <c r="MC3" t="inlineStr">
        <is>
          <t>Ann: 1999-11-10</t>
        </is>
      </c>
      <c r="MM3" t="inlineStr">
        <is>
          <t>Ann: 2003-11-12</t>
        </is>
      </c>
      <c r="MW3" t="inlineStr">
        <is>
          <t>Ann: 1998-10-28</t>
        </is>
      </c>
      <c r="NG3" t="inlineStr">
        <is>
          <t>Ann: 2003-09-29</t>
        </is>
      </c>
      <c r="NQ3" t="inlineStr">
        <is>
          <t>Ann: 2006-04-27</t>
        </is>
      </c>
      <c r="OA3" t="inlineStr">
        <is>
          <t>Ann: 2005-03-28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BDS("DVINQ US Equity","SUPPLY_CHAIN_SUPPLIERS","RELATIONSHIP_AS_OF_DATE","20010918")</f>
        <v/>
      </c>
      <c r="F5">
        <f>BDS("DVINQ US Equity","SUPPLY_CHAIN_CUSTOMERS","RELATIONSHIP_AS_OF_DATE","20010918")</f>
        <v/>
      </c>
      <c r="K5">
        <f>BDS("DHR US Equity","SUPPLY_CHAIN_SUPPLIERS","RELATIONSHIP_AS_OF_DATE","20010613")</f>
        <v/>
      </c>
      <c r="P5">
        <f>BDS("DHR US Equity","SUPPLY_CHAIN_CUSTOMERS","RELATIONSHIP_AS_OF_DATE","20010613")</f>
        <v/>
      </c>
      <c r="U5">
        <f>BDS("DENTQ US Equity","SUPPLY_CHAIN_SUPPLIERS","RELATIONSHIP_AS_OF_DATE","19981016")</f>
        <v/>
      </c>
      <c r="Z5">
        <f>BDS("DENTQ US Equity","SUPPLY_CHAIN_CUSTOMERS","RELATIONSHIP_AS_OF_DATE","19981016")</f>
        <v/>
      </c>
      <c r="AE5">
        <f>BDS("EBIXQ US Equity","SUPPLY_CHAIN_SUPPLIERS","RELATIONSHIP_AS_OF_DATE","20100830")</f>
        <v/>
      </c>
      <c r="AJ5">
        <f>BDS("EBIXQ US Equity","SUPPLY_CHAIN_CUSTOMERS","RELATIONSHIP_AS_OF_DATE","20100830")</f>
        <v/>
      </c>
      <c r="AO5">
        <f>BDS("838969Q US Equity","SUPPLY_CHAIN_SUPPLIERS","RELATIONSHIP_AS_OF_DATE","20060613")</f>
        <v/>
      </c>
      <c r="AT5">
        <f>BDS("838969Q US Equity","SUPPLY_CHAIN_CUSTOMERS","RELATIONSHIP_AS_OF_DATE","20060613")</f>
        <v/>
      </c>
      <c r="AY5">
        <f>BDS("3372216Q US Equity","SUPPLY_CHAIN_SUPPLIERS","RELATIONSHIP_AS_OF_DATE","19981021")</f>
        <v/>
      </c>
      <c r="BD5">
        <f>BDS("3372216Q US Equity","SUPPLY_CHAIN_CUSTOMERS","RELATIONSHIP_AS_OF_DATE","19981021")</f>
        <v/>
      </c>
      <c r="BI5">
        <f>BDS("VLO US Equity","SUPPLY_CHAIN_SUPPLIERS","RELATIONSHIP_AS_OF_DATE","20010320")</f>
        <v/>
      </c>
      <c r="BN5">
        <f>BDS("VLO US Equity","SUPPLY_CHAIN_CUSTOMERS","RELATIONSHIP_AS_OF_DATE","20010320")</f>
        <v/>
      </c>
      <c r="BS5">
        <f>BDS("BVH US Equity","SUPPLY_CHAIN_SUPPLIERS","RELATIONSHIP_AS_OF_DATE","20160728")</f>
        <v/>
      </c>
      <c r="BX5">
        <f>BDS("BVH US Equity","SUPPLY_CHAIN_CUSTOMERS","RELATIONSHIP_AS_OF_DATE","20160728")</f>
        <v/>
      </c>
      <c r="CC5">
        <f>BDS("NKLAQ US Equity","SUPPLY_CHAIN_SUPPLIERS","RELATIONSHIP_AS_OF_DATE","20220801")</f>
        <v/>
      </c>
      <c r="CH5">
        <f>BDS("NKLAQ US Equity","SUPPLY_CHAIN_CUSTOMERS","RELATIONSHIP_AS_OF_DATE","20220801")</f>
        <v/>
      </c>
      <c r="CM5">
        <f>BDS("HTBK US Equity","SUPPLY_CHAIN_SUPPLIERS","RELATIONSHIP_AS_OF_DATE","20070209")</f>
        <v/>
      </c>
      <c r="CR5">
        <f>BDS("HTBK US Equity","SUPPLY_CHAIN_CUSTOMERS","RELATIONSHIP_AS_OF_DATE","20070209")</f>
        <v/>
      </c>
      <c r="CW5">
        <f>BDS("MCHB US Equity","SUPPLY_CHAIN_SUPPLIERS","RELATIONSHIP_AS_OF_DATE","20150928")</f>
        <v/>
      </c>
      <c r="DB5">
        <f>BDS("MCHB US Equity","SUPPLY_CHAIN_CUSTOMERS","RELATIONSHIP_AS_OF_DATE","20150928")</f>
        <v/>
      </c>
      <c r="DG5">
        <f>BDS("RVTY US Equity","SUPPLY_CHAIN_SUPPLIERS","RELATIONSHIP_AS_OF_DATE","19991005")</f>
        <v/>
      </c>
      <c r="DL5">
        <f>BDS("RVTY US Equity","SUPPLY_CHAIN_CUSTOMERS","RELATIONSHIP_AS_OF_DATE","19991005")</f>
        <v/>
      </c>
      <c r="DQ5">
        <f>BDS("MFE US Equity","SUPPLY_CHAIN_SUPPLIERS","RELATIONSHIP_AS_OF_DATE","20061003")</f>
        <v/>
      </c>
      <c r="DV5">
        <f>BDS("MFE US Equity","SUPPLY_CHAIN_CUSTOMERS","RELATIONSHIP_AS_OF_DATE","20061003")</f>
        <v/>
      </c>
      <c r="EA5">
        <f>BDS("nan Equity","SUPPLY_CHAIN_SUPPLIERS","RELATIONSHIP_AS_OF_DATE","20000627")</f>
        <v/>
      </c>
      <c r="EF5">
        <f>BDS("nan Equity","SUPPLY_CHAIN_CUSTOMERS","RELATIONSHIP_AS_OF_DATE","20000627")</f>
        <v/>
      </c>
      <c r="EK5">
        <f>BDS("3414924Q US Equity","SUPPLY_CHAIN_SUPPLIERS","RELATIONSHIP_AS_OF_DATE","20010222")</f>
        <v/>
      </c>
      <c r="EP5">
        <f>BDS("3414924Q US Equity","SUPPLY_CHAIN_CUSTOMERS","RELATIONSHIP_AS_OF_DATE","20010222")</f>
        <v/>
      </c>
      <c r="EU5">
        <f>BDS("BMS US Equity","SUPPLY_CHAIN_SUPPLIERS","RELATIONSHIP_AS_OF_DATE","19991220")</f>
        <v/>
      </c>
      <c r="EZ5">
        <f>BDS("BMS US Equity","SUPPLY_CHAIN_CUSTOMERS","RELATIONSHIP_AS_OF_DATE","19991220")</f>
        <v/>
      </c>
      <c r="FE5">
        <f>BDS("PBCT US Equity","SUPPLY_CHAIN_SUPPLIERS","RELATIONSHIP_AS_OF_DATE","20100715")</f>
        <v/>
      </c>
      <c r="FJ5">
        <f>BDS("PBCT US Equity","SUPPLY_CHAIN_CUSTOMERS","RELATIONSHIP_AS_OF_DATE","20100715")</f>
        <v/>
      </c>
      <c r="FO5">
        <f>BDS("FNFG US Equity","SUPPLY_CHAIN_SUPPLIERS","RELATIONSHIP_AS_OF_DATE","20020722")</f>
        <v/>
      </c>
      <c r="FT5">
        <f>BDS("FNFG US Equity","SUPPLY_CHAIN_CUSTOMERS","RELATIONSHIP_AS_OF_DATE","20020722")</f>
        <v/>
      </c>
      <c r="FY5">
        <f>BDS("COLB US Equity","SUPPLY_CHAIN_SUPPLIERS","RELATIONSHIP_AS_OF_DATE","20070328")</f>
        <v/>
      </c>
      <c r="GD5">
        <f>BDS("COLB US Equity","SUPPLY_CHAIN_CUSTOMERS","RELATIONSHIP_AS_OF_DATE","20070328")</f>
        <v/>
      </c>
      <c r="GI5">
        <f>BDS("TMO US Equity","SUPPLY_CHAIN_SUPPLIERS","RELATIONSHIP_AS_OF_DATE","20010821")</f>
        <v/>
      </c>
      <c r="GN5">
        <f>BDS("TMO US Equity","SUPPLY_CHAIN_CUSTOMERS","RELATIONSHIP_AS_OF_DATE","20010821")</f>
        <v/>
      </c>
      <c r="GS5">
        <f>BDS("BCR US Equity","SUPPLY_CHAIN_SUPPLIERS","RELATIONSHIP_AS_OF_DATE","20080310")</f>
        <v/>
      </c>
      <c r="GX5">
        <f>BDS("BCR US Equity","SUPPLY_CHAIN_CUSTOMERS","RELATIONSHIP_AS_OF_DATE","20080310")</f>
        <v/>
      </c>
      <c r="HC5">
        <f>BDS("13620Z US Equity","SUPPLY_CHAIN_SUPPLIERS","RELATIONSHIP_AS_OF_DATE","19990324")</f>
        <v/>
      </c>
      <c r="HH5">
        <f>BDS("13620Z US Equity","SUPPLY_CHAIN_CUSTOMERS","RELATIONSHIP_AS_OF_DATE","19990324")</f>
        <v/>
      </c>
      <c r="HM5">
        <f>BDS("724880Q US Equity","SUPPLY_CHAIN_SUPPLIERS","RELATIONSHIP_AS_OF_DATE","20010523")</f>
        <v/>
      </c>
      <c r="HR5">
        <f>BDS("724880Q US Equity","SUPPLY_CHAIN_CUSTOMERS","RELATIONSHIP_AS_OF_DATE","20010523")</f>
        <v/>
      </c>
      <c r="HW5">
        <f>BDS("BBY US Equity","SUPPLY_CHAIN_SUPPLIERS","RELATIONSHIP_AS_OF_DATE","20080915")</f>
        <v/>
      </c>
      <c r="IB5">
        <f>BDS("BBY US Equity","SUPPLY_CHAIN_CUSTOMERS","RELATIONSHIP_AS_OF_DATE","20080915")</f>
        <v/>
      </c>
      <c r="IG5">
        <f>BDS("NXWXQ US Equity","SUPPLY_CHAIN_SUPPLIERS","RELATIONSHIP_AS_OF_DATE","19990827")</f>
        <v/>
      </c>
      <c r="IL5">
        <f>BDS("NXWXQ US Equity","SUPPLY_CHAIN_CUSTOMERS","RELATIONSHIP_AS_OF_DATE","19990827")</f>
        <v/>
      </c>
      <c r="IQ5">
        <f>BDS("AMNUQ US Equity","SUPPLY_CHAIN_SUPPLIERS","RELATIONSHIP_AS_OF_DATE","19990510")</f>
        <v/>
      </c>
      <c r="IV5">
        <f>BDS("AMNUQ US Equity","SUPPLY_CHAIN_CUSTOMERS","RELATIONSHIP_AS_OF_DATE","19990510")</f>
        <v/>
      </c>
      <c r="JA5">
        <f>BDS("FSBK US Equity","SUPPLY_CHAIN_SUPPLIERS","RELATIONSHIP_AS_OF_DATE","19990809")</f>
        <v/>
      </c>
      <c r="JF5">
        <f>BDS("FSBK US Equity","SUPPLY_CHAIN_CUSTOMERS","RELATIONSHIP_AS_OF_DATE","19990809")</f>
        <v/>
      </c>
      <c r="JK5">
        <f>BDS("SGID US Equity","SUPPLY_CHAIN_SUPPLIERS","RELATIONSHIP_AS_OF_DATE","19960425")</f>
        <v/>
      </c>
      <c r="JP5">
        <f>BDS("SGID US Equity","SUPPLY_CHAIN_CUSTOMERS","RELATIONSHIP_AS_OF_DATE","19960425")</f>
        <v/>
      </c>
      <c r="JU5">
        <f>BDS("PACW US Equity","SUPPLY_CHAIN_SUPPLIERS","RELATIONSHIP_AS_OF_DATE","20050428")</f>
        <v/>
      </c>
      <c r="JZ5">
        <f>BDS("PACW US Equity","SUPPLY_CHAIN_CUSTOMERS","RELATIONSHIP_AS_OF_DATE","20050428")</f>
        <v/>
      </c>
      <c r="KE5">
        <f>BDS("MPB US Equity","SUPPLY_CHAIN_SUPPLIERS","RELATIONSHIP_AS_OF_DATE","20170329")</f>
        <v/>
      </c>
      <c r="KJ5">
        <f>BDS("MPB US Equity","SUPPLY_CHAIN_CUSTOMERS","RELATIONSHIP_AS_OF_DATE","20170329")</f>
        <v/>
      </c>
      <c r="KO5">
        <f>BDS("2674129Q US Equity","SUPPLY_CHAIN_SUPPLIERS","RELATIONSHIP_AS_OF_DATE","19981217")</f>
        <v/>
      </c>
      <c r="KT5">
        <f>BDS("2674129Q US Equity","SUPPLY_CHAIN_CUSTOMERS","RELATIONSHIP_AS_OF_DATE","19981217")</f>
        <v/>
      </c>
      <c r="KY5">
        <f>BDS("BASXQ US Equity","SUPPLY_CHAIN_SUPPLIERS","RELATIONSHIP_AS_OF_DATE","20200309")</f>
        <v/>
      </c>
      <c r="LD5">
        <f>BDS("BASXQ US Equity","SUPPLY_CHAIN_CUSTOMERS","RELATIONSHIP_AS_OF_DATE","20200309")</f>
        <v/>
      </c>
      <c r="LI5">
        <f>BDS("1520415D US Equity","SUPPLY_CHAIN_SUPPLIERS","RELATIONSHIP_AS_OF_DATE","19980813")</f>
        <v/>
      </c>
      <c r="LN5">
        <f>BDS("1520415D US Equity","SUPPLY_CHAIN_CUSTOMERS","RELATIONSHIP_AS_OF_DATE","19980813")</f>
        <v/>
      </c>
      <c r="LS5">
        <f>BDS("PAET US Equity","SUPPLY_CHAIN_SUPPLIERS","RELATIONSHIP_AS_OF_DATE","20110209")</f>
        <v/>
      </c>
      <c r="LX5">
        <f>BDS("PAET US Equity","SUPPLY_CHAIN_CUSTOMERS","RELATIONSHIP_AS_OF_DATE","20110209")</f>
        <v/>
      </c>
      <c r="MC5">
        <f>BDS("PSCXQ US Equity","SUPPLY_CHAIN_SUPPLIERS","RELATIONSHIP_AS_OF_DATE","19991110")</f>
        <v/>
      </c>
      <c r="MH5">
        <f>BDS("PSCXQ US Equity","SUPPLY_CHAIN_CUSTOMERS","RELATIONSHIP_AS_OF_DATE","19991110")</f>
        <v/>
      </c>
      <c r="MM5">
        <f>BDS("CSCO US Equity","SUPPLY_CHAIN_SUPPLIERS","RELATIONSHIP_AS_OF_DATE","20031112")</f>
        <v/>
      </c>
      <c r="MR5">
        <f>BDS("CSCO US Equity","SUPPLY_CHAIN_CUSTOMERS","RELATIONSHIP_AS_OF_DATE","20031112")</f>
        <v/>
      </c>
      <c r="MW5">
        <f>BDS("ITXG US Equity","SUPPLY_CHAIN_SUPPLIERS","RELATIONSHIP_AS_OF_DATE","19981028")</f>
        <v/>
      </c>
      <c r="NB5">
        <f>BDS("ITXG US Equity","SUPPLY_CHAIN_CUSTOMERS","RELATIONSHIP_AS_OF_DATE","19981028")</f>
        <v/>
      </c>
      <c r="NG5">
        <f>BDS("SPB US Equity","SUPPLY_CHAIN_SUPPLIERS","RELATIONSHIP_AS_OF_DATE","20030929")</f>
        <v/>
      </c>
      <c r="NL5">
        <f>BDS("SPB US Equity","SUPPLY_CHAIN_CUSTOMERS","RELATIONSHIP_AS_OF_DATE","20030929")</f>
        <v/>
      </c>
      <c r="NQ5">
        <f>BDS("FCF US Equity","SUPPLY_CHAIN_SUPPLIERS","RELATIONSHIP_AS_OF_DATE","20060427")</f>
        <v/>
      </c>
      <c r="NV5">
        <f>BDS("FCF US Equity","SUPPLY_CHAIN_CUSTOMERS","RELATIONSHIP_AS_OF_DATE","20060427")</f>
        <v/>
      </c>
      <c r="OA5">
        <f>BDS("NEE US Equity","SUPPLY_CHAIN_SUPPLIERS","RELATIONSHIP_AS_OF_DATE","20050328")</f>
        <v/>
      </c>
      <c r="OF5">
        <f>BDS("NEE US Equity","SUPPLY_CHAIN_CUSTOMERS","RELATIONSHIP_AS_OF_DATE","20050328")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3881</t>
        </is>
      </c>
      <c r="K1" s="1" t="inlineStr">
        <is>
          <t>Deal 3882</t>
        </is>
      </c>
      <c r="U1" s="1" t="inlineStr">
        <is>
          <t>Deal 3883</t>
        </is>
      </c>
      <c r="AE1" s="1" t="inlineStr">
        <is>
          <t>Deal 3884</t>
        </is>
      </c>
      <c r="AO1" s="1" t="inlineStr">
        <is>
          <t>Deal 3885</t>
        </is>
      </c>
      <c r="AY1" s="1" t="inlineStr">
        <is>
          <t>Deal 3886</t>
        </is>
      </c>
      <c r="BI1" s="1" t="inlineStr">
        <is>
          <t>Deal 3887</t>
        </is>
      </c>
      <c r="BS1" s="1" t="inlineStr">
        <is>
          <t>Deal 3888</t>
        </is>
      </c>
      <c r="CC1" s="1" t="inlineStr">
        <is>
          <t>Deal 3889</t>
        </is>
      </c>
      <c r="CM1" s="1" t="inlineStr">
        <is>
          <t>Deal 3890</t>
        </is>
      </c>
      <c r="CW1" s="1" t="inlineStr">
        <is>
          <t>Deal 3891</t>
        </is>
      </c>
      <c r="DG1" s="1" t="inlineStr">
        <is>
          <t>Deal 3892</t>
        </is>
      </c>
      <c r="DQ1" s="1" t="inlineStr">
        <is>
          <t>Deal 3893</t>
        </is>
      </c>
      <c r="EA1" s="1" t="inlineStr">
        <is>
          <t>Deal 3894</t>
        </is>
      </c>
      <c r="EK1" s="1" t="inlineStr">
        <is>
          <t>Deal 3895</t>
        </is>
      </c>
      <c r="EU1" s="1" t="inlineStr">
        <is>
          <t>Deal 3896</t>
        </is>
      </c>
      <c r="FE1" s="1" t="inlineStr">
        <is>
          <t>Deal 3897</t>
        </is>
      </c>
      <c r="FO1" s="1" t="inlineStr">
        <is>
          <t>Deal 3898</t>
        </is>
      </c>
      <c r="FY1" s="1" t="inlineStr">
        <is>
          <t>Deal 3899</t>
        </is>
      </c>
      <c r="GI1" s="1" t="inlineStr">
        <is>
          <t>Deal 3900</t>
        </is>
      </c>
      <c r="GS1" s="1" t="inlineStr">
        <is>
          <t>Deal 3901</t>
        </is>
      </c>
      <c r="HC1" s="1" t="inlineStr">
        <is>
          <t>Deal 3902</t>
        </is>
      </c>
      <c r="HM1" s="1" t="inlineStr">
        <is>
          <t>Deal 3903</t>
        </is>
      </c>
      <c r="HW1" s="1" t="inlineStr">
        <is>
          <t>Deal 3904</t>
        </is>
      </c>
      <c r="IG1" s="1" t="inlineStr">
        <is>
          <t>Deal 3905</t>
        </is>
      </c>
      <c r="IQ1" s="1" t="inlineStr">
        <is>
          <t>Deal 3906</t>
        </is>
      </c>
      <c r="JA1" s="1" t="inlineStr">
        <is>
          <t>Deal 3907</t>
        </is>
      </c>
      <c r="JK1" s="1" t="inlineStr">
        <is>
          <t>Deal 3908</t>
        </is>
      </c>
      <c r="JU1" s="1" t="inlineStr">
        <is>
          <t>Deal 3909</t>
        </is>
      </c>
      <c r="KE1" s="1" t="inlineStr">
        <is>
          <t>Deal 3910</t>
        </is>
      </c>
      <c r="KO1" s="1" t="inlineStr">
        <is>
          <t>Deal 3911</t>
        </is>
      </c>
      <c r="KY1" s="1" t="inlineStr">
        <is>
          <t>Deal 3912</t>
        </is>
      </c>
      <c r="LI1" s="1" t="inlineStr">
        <is>
          <t>Deal 3913</t>
        </is>
      </c>
      <c r="LS1" s="1" t="inlineStr">
        <is>
          <t>Deal 3914</t>
        </is>
      </c>
      <c r="MC1" s="1" t="inlineStr">
        <is>
          <t>Deal 3915</t>
        </is>
      </c>
      <c r="MM1" s="1" t="inlineStr">
        <is>
          <t>Deal 3916</t>
        </is>
      </c>
      <c r="MW1" s="1" t="inlineStr">
        <is>
          <t>Deal 3917</t>
        </is>
      </c>
      <c r="NG1" s="1" t="inlineStr">
        <is>
          <t>Deal 3918</t>
        </is>
      </c>
      <c r="NQ1" s="1" t="inlineStr">
        <is>
          <t>Deal 3919</t>
        </is>
      </c>
      <c r="OA1" s="1" t="inlineStr">
        <is>
          <t>Deal 3920</t>
        </is>
      </c>
    </row>
    <row r="2">
      <c r="A2" s="2" t="inlineStr">
        <is>
          <t>NBBC US Equity</t>
        </is>
      </c>
      <c r="K2" s="2" t="inlineStr">
        <is>
          <t>NVI US Equity</t>
        </is>
      </c>
      <c r="U2" s="2" t="inlineStr">
        <is>
          <t>CMCT US Equity</t>
        </is>
      </c>
      <c r="AE2" s="2" t="inlineStr">
        <is>
          <t>PFNS US Equity</t>
        </is>
      </c>
      <c r="AO2" s="2" t="inlineStr">
        <is>
          <t>ACAS US Equity</t>
        </is>
      </c>
      <c r="AY2" s="2" t="inlineStr">
        <is>
          <t>EOG US Equity</t>
        </is>
      </c>
      <c r="BI2" s="2" t="inlineStr">
        <is>
          <t>VNBCQ US Equity</t>
        </is>
      </c>
      <c r="BS2" s="2" t="inlineStr">
        <is>
          <t>MWW US Equity</t>
        </is>
      </c>
      <c r="CC2" s="2" t="inlineStr">
        <is>
          <t>nan Equity</t>
        </is>
      </c>
      <c r="CM2" s="2" t="inlineStr">
        <is>
          <t>MSTI US Equity</t>
        </is>
      </c>
      <c r="CW2" s="2" t="inlineStr">
        <is>
          <t>XBKS US Equity</t>
        </is>
      </c>
      <c r="DG2" s="2" t="inlineStr">
        <is>
          <t>CFBX US Equity</t>
        </is>
      </c>
      <c r="DQ2" s="2" t="inlineStr">
        <is>
          <t>GNMP US Equity</t>
        </is>
      </c>
      <c r="EA2" s="2" t="inlineStr">
        <is>
          <t>NPBC US Equity</t>
        </is>
      </c>
      <c r="EK2" s="2" t="inlineStr">
        <is>
          <t>3026164Q US Equity</t>
        </is>
      </c>
      <c r="EU2" s="2" t="inlineStr">
        <is>
          <t>496112Q US Equity</t>
        </is>
      </c>
      <c r="FE2" s="2" t="inlineStr">
        <is>
          <t>ORRF US Equity</t>
        </is>
      </c>
      <c r="FO2" s="2" t="inlineStr">
        <is>
          <t>MSFG US Equity</t>
        </is>
      </c>
      <c r="FY2" s="2" t="inlineStr">
        <is>
          <t>GBCI US Equity</t>
        </is>
      </c>
      <c r="GI2" s="2" t="inlineStr">
        <is>
          <t>MSFG US Equity</t>
        </is>
      </c>
      <c r="GS2" s="2" t="inlineStr">
        <is>
          <t>OZK US Equity</t>
        </is>
      </c>
      <c r="HC2" s="2" t="inlineStr">
        <is>
          <t>IXYS US Equity</t>
        </is>
      </c>
      <c r="HM2" s="2" t="inlineStr">
        <is>
          <t>CAA US Equity</t>
        </is>
      </c>
      <c r="HW2" s="2" t="inlineStr">
        <is>
          <t>WFM US Equity</t>
        </is>
      </c>
      <c r="IG2" s="2" t="inlineStr">
        <is>
          <t>EBS US Equity</t>
        </is>
      </c>
      <c r="IQ2" s="2" t="inlineStr">
        <is>
          <t>WTTR US Equity</t>
        </is>
      </c>
      <c r="JA2" s="2" t="inlineStr">
        <is>
          <t>AMAT US Equity</t>
        </is>
      </c>
      <c r="JK2" s="2" t="inlineStr">
        <is>
          <t>540721Q US Equity</t>
        </is>
      </c>
      <c r="JU2" s="2" t="inlineStr">
        <is>
          <t>DRYR US Equity</t>
        </is>
      </c>
      <c r="KE2" s="2" t="inlineStr">
        <is>
          <t>ACTRQ US Equity</t>
        </is>
      </c>
      <c r="KO2" s="2" t="inlineStr">
        <is>
          <t>1794548D US Equity</t>
        </is>
      </c>
      <c r="KY2" s="2" t="inlineStr">
        <is>
          <t>CSFL US Equity</t>
        </is>
      </c>
      <c r="LI2" s="2" t="inlineStr">
        <is>
          <t>COV US Equity</t>
        </is>
      </c>
      <c r="LS2" s="2" t="inlineStr">
        <is>
          <t>CBNJ US Equity</t>
        </is>
      </c>
      <c r="MC2" s="2" t="inlineStr">
        <is>
          <t>IDMCQ US Equity</t>
        </is>
      </c>
      <c r="MM2" s="2" t="inlineStr">
        <is>
          <t>BANR US Equity</t>
        </is>
      </c>
      <c r="MW2" s="2" t="inlineStr">
        <is>
          <t>FNSCQ US Equity</t>
        </is>
      </c>
      <c r="NG2" s="2" t="inlineStr">
        <is>
          <t>HEOP US Equity</t>
        </is>
      </c>
      <c r="NQ2" s="2" t="inlineStr">
        <is>
          <t>AMAL US Equity</t>
        </is>
      </c>
      <c r="OA2" s="2" t="inlineStr">
        <is>
          <t>AUB US Equity</t>
        </is>
      </c>
    </row>
    <row r="3">
      <c r="A3" t="inlineStr">
        <is>
          <t>Ann: 2013-11-01</t>
        </is>
      </c>
      <c r="K3" t="inlineStr">
        <is>
          <t>Ann: 1998-07-14</t>
        </is>
      </c>
      <c r="U3" t="inlineStr">
        <is>
          <t>Ann: 2003-03-28</t>
        </is>
      </c>
      <c r="AE3" t="inlineStr">
        <is>
          <t>Ann: 2008-12-05</t>
        </is>
      </c>
      <c r="AO3" t="inlineStr">
        <is>
          <t>Ann: 2003-12-31</t>
        </is>
      </c>
      <c r="AY3" t="inlineStr">
        <is>
          <t>Ann: 2001-05-23</t>
        </is>
      </c>
      <c r="BI3" t="inlineStr">
        <is>
          <t>Ann: 2006-04-20</t>
        </is>
      </c>
      <c r="BS3" t="inlineStr">
        <is>
          <t>Ann: 1999-03-11</t>
        </is>
      </c>
      <c r="CC3" t="inlineStr">
        <is>
          <t>Ann: 2007-11-29</t>
        </is>
      </c>
      <c r="CM3" t="inlineStr">
        <is>
          <t>Ann: 2004-11-08</t>
        </is>
      </c>
      <c r="CW3" t="inlineStr">
        <is>
          <t>Ann: 2008-01-09</t>
        </is>
      </c>
      <c r="DG3" t="inlineStr">
        <is>
          <t>Ann: 1999-05-10</t>
        </is>
      </c>
      <c r="DQ3" t="inlineStr">
        <is>
          <t>Ann: 1999-01-08</t>
        </is>
      </c>
      <c r="EA3" t="inlineStr">
        <is>
          <t>Ann: 2007-06-25</t>
        </is>
      </c>
      <c r="EK3" t="inlineStr">
        <is>
          <t>Ann: 2003-11-26</t>
        </is>
      </c>
      <c r="EU3" t="inlineStr">
        <is>
          <t>Ann: 1998-05-26</t>
        </is>
      </c>
      <c r="FE3" t="inlineStr">
        <is>
          <t>Ann: 2018-10-23</t>
        </is>
      </c>
      <c r="FO3" t="inlineStr">
        <is>
          <t>Ann: 2005-08-23</t>
        </is>
      </c>
      <c r="FY3" t="inlineStr">
        <is>
          <t>Ann: 2016-11-15</t>
        </is>
      </c>
      <c r="GI3" t="inlineStr">
        <is>
          <t>Ann: 2016-12-19</t>
        </is>
      </c>
      <c r="GS3" t="inlineStr">
        <is>
          <t>Ann: 2015-05-06</t>
        </is>
      </c>
      <c r="HC3" t="inlineStr">
        <is>
          <t>Ann: 2008-05-16</t>
        </is>
      </c>
      <c r="HM3" t="inlineStr">
        <is>
          <t>Ann: 2000-01-31</t>
        </is>
      </c>
      <c r="HW3" t="inlineStr">
        <is>
          <t>Ann: 2001-08-09</t>
        </is>
      </c>
      <c r="IG3" t="inlineStr">
        <is>
          <t>Ann: 2010-08-12</t>
        </is>
      </c>
      <c r="IQ3" t="inlineStr">
        <is>
          <t>Ann: 2021-12-13</t>
        </is>
      </c>
      <c r="JA3" t="inlineStr">
        <is>
          <t>Ann: 1998-10-12</t>
        </is>
      </c>
      <c r="JK3" t="inlineStr">
        <is>
          <t>Ann: 1998-07-06</t>
        </is>
      </c>
      <c r="JU3" t="inlineStr">
        <is>
          <t>Ann: 2004-07-26</t>
        </is>
      </c>
      <c r="KE3" t="inlineStr">
        <is>
          <t>Ann: 1999-09-09</t>
        </is>
      </c>
      <c r="KO3" t="inlineStr">
        <is>
          <t>Ann: 2000-11-06</t>
        </is>
      </c>
      <c r="KY3" t="inlineStr">
        <is>
          <t>Ann: 2015-10-05</t>
        </is>
      </c>
      <c r="LI3" t="inlineStr">
        <is>
          <t>Ann: 2009-07-29</t>
        </is>
      </c>
      <c r="LS3" t="inlineStr">
        <is>
          <t>Ann: 2014-09-10</t>
        </is>
      </c>
      <c r="MC3" t="inlineStr">
        <is>
          <t>Ann: 1999-07-13</t>
        </is>
      </c>
      <c r="MM3" t="inlineStr">
        <is>
          <t>Ann: 2014-08-07</t>
        </is>
      </c>
      <c r="MW3" t="inlineStr">
        <is>
          <t>Ann: 2007-08-27</t>
        </is>
      </c>
      <c r="NG3" t="inlineStr">
        <is>
          <t>Ann: 2013-10-21</t>
        </is>
      </c>
      <c r="NQ3" t="inlineStr">
        <is>
          <t>Ann: 2017-12-15</t>
        </is>
      </c>
      <c r="OA3" t="inlineStr">
        <is>
          <t>Ann: 2003-12-19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BDS("NBBC US Equity","SUPPLY_CHAIN_SUPPLIERS","RELATIONSHIP_AS_OF_DATE","20131101")</f>
        <v/>
      </c>
      <c r="F5">
        <f>BDS("NBBC US Equity","SUPPLY_CHAIN_CUSTOMERS","RELATIONSHIP_AS_OF_DATE","20131101")</f>
        <v/>
      </c>
      <c r="K5">
        <f>BDS("NVI US Equity","SUPPLY_CHAIN_SUPPLIERS","RELATIONSHIP_AS_OF_DATE","19980714")</f>
        <v/>
      </c>
      <c r="P5">
        <f>BDS("NVI US Equity","SUPPLY_CHAIN_CUSTOMERS","RELATIONSHIP_AS_OF_DATE","19980714")</f>
        <v/>
      </c>
      <c r="U5">
        <f>BDS("CMCT US Equity","SUPPLY_CHAIN_SUPPLIERS","RELATIONSHIP_AS_OF_DATE","20030328")</f>
        <v/>
      </c>
      <c r="Z5">
        <f>BDS("CMCT US Equity","SUPPLY_CHAIN_CUSTOMERS","RELATIONSHIP_AS_OF_DATE","20030328")</f>
        <v/>
      </c>
      <c r="AE5">
        <f>BDS("PFNS US Equity","SUPPLY_CHAIN_SUPPLIERS","RELATIONSHIP_AS_OF_DATE","20081205")</f>
        <v/>
      </c>
      <c r="AJ5">
        <f>BDS("PFNS US Equity","SUPPLY_CHAIN_CUSTOMERS","RELATIONSHIP_AS_OF_DATE","20081205")</f>
        <v/>
      </c>
      <c r="AO5">
        <f>BDS("ACAS US Equity","SUPPLY_CHAIN_SUPPLIERS","RELATIONSHIP_AS_OF_DATE","20031231")</f>
        <v/>
      </c>
      <c r="AT5">
        <f>BDS("ACAS US Equity","SUPPLY_CHAIN_CUSTOMERS","RELATIONSHIP_AS_OF_DATE","20031231")</f>
        <v/>
      </c>
      <c r="AY5">
        <f>BDS("EOG US Equity","SUPPLY_CHAIN_SUPPLIERS","RELATIONSHIP_AS_OF_DATE","20010523")</f>
        <v/>
      </c>
      <c r="BD5">
        <f>BDS("EOG US Equity","SUPPLY_CHAIN_CUSTOMERS","RELATIONSHIP_AS_OF_DATE","20010523")</f>
        <v/>
      </c>
      <c r="BI5">
        <f>BDS("VNBCQ US Equity","SUPPLY_CHAIN_SUPPLIERS","RELATIONSHIP_AS_OF_DATE","20060420")</f>
        <v/>
      </c>
      <c r="BN5">
        <f>BDS("VNBCQ US Equity","SUPPLY_CHAIN_CUSTOMERS","RELATIONSHIP_AS_OF_DATE","20060420")</f>
        <v/>
      </c>
      <c r="BS5">
        <f>BDS("MWW US Equity","SUPPLY_CHAIN_SUPPLIERS","RELATIONSHIP_AS_OF_DATE","19990311")</f>
        <v/>
      </c>
      <c r="BX5">
        <f>BDS("MWW US Equity","SUPPLY_CHAIN_CUSTOMERS","RELATIONSHIP_AS_OF_DATE","19990311")</f>
        <v/>
      </c>
      <c r="CC5">
        <f>BDS("nan Equity","SUPPLY_CHAIN_SUPPLIERS","RELATIONSHIP_AS_OF_DATE","20071129")</f>
        <v/>
      </c>
      <c r="CH5">
        <f>BDS("nan Equity","SUPPLY_CHAIN_CUSTOMERS","RELATIONSHIP_AS_OF_DATE","20071129")</f>
        <v/>
      </c>
      <c r="CM5">
        <f>BDS("MSTI US Equity","SUPPLY_CHAIN_SUPPLIERS","RELATIONSHIP_AS_OF_DATE","20041108")</f>
        <v/>
      </c>
      <c r="CR5">
        <f>BDS("MSTI US Equity","SUPPLY_CHAIN_CUSTOMERS","RELATIONSHIP_AS_OF_DATE","20041108")</f>
        <v/>
      </c>
      <c r="CW5">
        <f>BDS("XBKS US Equity","SUPPLY_CHAIN_SUPPLIERS","RELATIONSHIP_AS_OF_DATE","20080109")</f>
        <v/>
      </c>
      <c r="DB5">
        <f>BDS("XBKS US Equity","SUPPLY_CHAIN_CUSTOMERS","RELATIONSHIP_AS_OF_DATE","20080109")</f>
        <v/>
      </c>
      <c r="DG5">
        <f>BDS("CFBX US Equity","SUPPLY_CHAIN_SUPPLIERS","RELATIONSHIP_AS_OF_DATE","19990510")</f>
        <v/>
      </c>
      <c r="DL5">
        <f>BDS("CFBX US Equity","SUPPLY_CHAIN_CUSTOMERS","RELATIONSHIP_AS_OF_DATE","19990510")</f>
        <v/>
      </c>
      <c r="DQ5">
        <f>BDS("GNMP US Equity","SUPPLY_CHAIN_SUPPLIERS","RELATIONSHIP_AS_OF_DATE","19990108")</f>
        <v/>
      </c>
      <c r="DV5">
        <f>BDS("GNMP US Equity","SUPPLY_CHAIN_CUSTOMERS","RELATIONSHIP_AS_OF_DATE","19990108")</f>
        <v/>
      </c>
      <c r="EA5">
        <f>BDS("NPBC US Equity","SUPPLY_CHAIN_SUPPLIERS","RELATIONSHIP_AS_OF_DATE","20070625")</f>
        <v/>
      </c>
      <c r="EF5">
        <f>BDS("NPBC US Equity","SUPPLY_CHAIN_CUSTOMERS","RELATIONSHIP_AS_OF_DATE","20070625")</f>
        <v/>
      </c>
      <c r="EK5">
        <f>BDS("3026164Q US Equity","SUPPLY_CHAIN_SUPPLIERS","RELATIONSHIP_AS_OF_DATE","20031126")</f>
        <v/>
      </c>
      <c r="EP5">
        <f>BDS("3026164Q US Equity","SUPPLY_CHAIN_CUSTOMERS","RELATIONSHIP_AS_OF_DATE","20031126")</f>
        <v/>
      </c>
      <c r="EU5">
        <f>BDS("496112Q US Equity","SUPPLY_CHAIN_SUPPLIERS","RELATIONSHIP_AS_OF_DATE","19980526")</f>
        <v/>
      </c>
      <c r="EZ5">
        <f>BDS("496112Q US Equity","SUPPLY_CHAIN_CUSTOMERS","RELATIONSHIP_AS_OF_DATE","19980526")</f>
        <v/>
      </c>
      <c r="FE5">
        <f>BDS("ORRF US Equity","SUPPLY_CHAIN_SUPPLIERS","RELATIONSHIP_AS_OF_DATE","20181023")</f>
        <v/>
      </c>
      <c r="FJ5">
        <f>BDS("ORRF US Equity","SUPPLY_CHAIN_CUSTOMERS","RELATIONSHIP_AS_OF_DATE","20181023")</f>
        <v/>
      </c>
      <c r="FO5">
        <f>BDS("MSFG US Equity","SUPPLY_CHAIN_SUPPLIERS","RELATIONSHIP_AS_OF_DATE","20050823")</f>
        <v/>
      </c>
      <c r="FT5">
        <f>BDS("MSFG US Equity","SUPPLY_CHAIN_CUSTOMERS","RELATIONSHIP_AS_OF_DATE","20050823")</f>
        <v/>
      </c>
      <c r="FY5">
        <f>BDS("GBCI US Equity","SUPPLY_CHAIN_SUPPLIERS","RELATIONSHIP_AS_OF_DATE","20161115")</f>
        <v/>
      </c>
      <c r="GD5">
        <f>BDS("GBCI US Equity","SUPPLY_CHAIN_CUSTOMERS","RELATIONSHIP_AS_OF_DATE","20161115")</f>
        <v/>
      </c>
      <c r="GI5">
        <f>BDS("MSFG US Equity","SUPPLY_CHAIN_SUPPLIERS","RELATIONSHIP_AS_OF_DATE","20161219")</f>
        <v/>
      </c>
      <c r="GN5">
        <f>BDS("MSFG US Equity","SUPPLY_CHAIN_CUSTOMERS","RELATIONSHIP_AS_OF_DATE","20161219")</f>
        <v/>
      </c>
      <c r="GS5">
        <f>BDS("OZK US Equity","SUPPLY_CHAIN_SUPPLIERS","RELATIONSHIP_AS_OF_DATE","20150506")</f>
        <v/>
      </c>
      <c r="GX5">
        <f>BDS("OZK US Equity","SUPPLY_CHAIN_CUSTOMERS","RELATIONSHIP_AS_OF_DATE","20150506")</f>
        <v/>
      </c>
      <c r="HC5">
        <f>BDS("IXYS US Equity","SUPPLY_CHAIN_SUPPLIERS","RELATIONSHIP_AS_OF_DATE","20080516")</f>
        <v/>
      </c>
      <c r="HH5">
        <f>BDS("IXYS US Equity","SUPPLY_CHAIN_CUSTOMERS","RELATIONSHIP_AS_OF_DATE","20080516")</f>
        <v/>
      </c>
      <c r="HM5">
        <f>BDS("CAA US Equity","SUPPLY_CHAIN_SUPPLIERS","RELATIONSHIP_AS_OF_DATE","20000131")</f>
        <v/>
      </c>
      <c r="HR5">
        <f>BDS("CAA US Equity","SUPPLY_CHAIN_CUSTOMERS","RELATIONSHIP_AS_OF_DATE","20000131")</f>
        <v/>
      </c>
      <c r="HW5">
        <f>BDS("WFM US Equity","SUPPLY_CHAIN_SUPPLIERS","RELATIONSHIP_AS_OF_DATE","20010809")</f>
        <v/>
      </c>
      <c r="IB5">
        <f>BDS("WFM US Equity","SUPPLY_CHAIN_CUSTOMERS","RELATIONSHIP_AS_OF_DATE","20010809")</f>
        <v/>
      </c>
      <c r="IG5">
        <f>BDS("EBS US Equity","SUPPLY_CHAIN_SUPPLIERS","RELATIONSHIP_AS_OF_DATE","20100812")</f>
        <v/>
      </c>
      <c r="IL5">
        <f>BDS("EBS US Equity","SUPPLY_CHAIN_CUSTOMERS","RELATIONSHIP_AS_OF_DATE","20100812")</f>
        <v/>
      </c>
      <c r="IQ5">
        <f>BDS("WTTR US Equity","SUPPLY_CHAIN_SUPPLIERS","RELATIONSHIP_AS_OF_DATE","20211213")</f>
        <v/>
      </c>
      <c r="IV5">
        <f>BDS("WTTR US Equity","SUPPLY_CHAIN_CUSTOMERS","RELATIONSHIP_AS_OF_DATE","20211213")</f>
        <v/>
      </c>
      <c r="JA5">
        <f>BDS("AMAT US Equity","SUPPLY_CHAIN_SUPPLIERS","RELATIONSHIP_AS_OF_DATE","19981012")</f>
        <v/>
      </c>
      <c r="JF5">
        <f>BDS("AMAT US Equity","SUPPLY_CHAIN_CUSTOMERS","RELATIONSHIP_AS_OF_DATE","19981012")</f>
        <v/>
      </c>
      <c r="JK5">
        <f>BDS("540721Q US Equity","SUPPLY_CHAIN_SUPPLIERS","RELATIONSHIP_AS_OF_DATE","19980706")</f>
        <v/>
      </c>
      <c r="JP5">
        <f>BDS("540721Q US Equity","SUPPLY_CHAIN_CUSTOMERS","RELATIONSHIP_AS_OF_DATE","19980706")</f>
        <v/>
      </c>
      <c r="JU5">
        <f>BDS("DRYR US Equity","SUPPLY_CHAIN_SUPPLIERS","RELATIONSHIP_AS_OF_DATE","20040726")</f>
        <v/>
      </c>
      <c r="JZ5">
        <f>BDS("DRYR US Equity","SUPPLY_CHAIN_CUSTOMERS","RELATIONSHIP_AS_OF_DATE","20040726")</f>
        <v/>
      </c>
      <c r="KE5">
        <f>BDS("ACTRQ US Equity","SUPPLY_CHAIN_SUPPLIERS","RELATIONSHIP_AS_OF_DATE","19990909")</f>
        <v/>
      </c>
      <c r="KJ5">
        <f>BDS("ACTRQ US Equity","SUPPLY_CHAIN_CUSTOMERS","RELATIONSHIP_AS_OF_DATE","19990909")</f>
        <v/>
      </c>
      <c r="KO5">
        <f>BDS("1794548D US Equity","SUPPLY_CHAIN_SUPPLIERS","RELATIONSHIP_AS_OF_DATE","20001106")</f>
        <v/>
      </c>
      <c r="KT5">
        <f>BDS("1794548D US Equity","SUPPLY_CHAIN_CUSTOMERS","RELATIONSHIP_AS_OF_DATE","20001106")</f>
        <v/>
      </c>
      <c r="KY5">
        <f>BDS("CSFL US Equity","SUPPLY_CHAIN_SUPPLIERS","RELATIONSHIP_AS_OF_DATE","20151005")</f>
        <v/>
      </c>
      <c r="LD5">
        <f>BDS("CSFL US Equity","SUPPLY_CHAIN_CUSTOMERS","RELATIONSHIP_AS_OF_DATE","20151005")</f>
        <v/>
      </c>
      <c r="LI5">
        <f>BDS("COV US Equity","SUPPLY_CHAIN_SUPPLIERS","RELATIONSHIP_AS_OF_DATE","20090729")</f>
        <v/>
      </c>
      <c r="LN5">
        <f>BDS("COV US Equity","SUPPLY_CHAIN_CUSTOMERS","RELATIONSHIP_AS_OF_DATE","20090729")</f>
        <v/>
      </c>
      <c r="LS5">
        <f>BDS("CBNJ US Equity","SUPPLY_CHAIN_SUPPLIERS","RELATIONSHIP_AS_OF_DATE","20140910")</f>
        <v/>
      </c>
      <c r="LX5">
        <f>BDS("CBNJ US Equity","SUPPLY_CHAIN_CUSTOMERS","RELATIONSHIP_AS_OF_DATE","20140910")</f>
        <v/>
      </c>
      <c r="MC5">
        <f>BDS("IDMCQ US Equity","SUPPLY_CHAIN_SUPPLIERS","RELATIONSHIP_AS_OF_DATE","19990713")</f>
        <v/>
      </c>
      <c r="MH5">
        <f>BDS("IDMCQ US Equity","SUPPLY_CHAIN_CUSTOMERS","RELATIONSHIP_AS_OF_DATE","19990713")</f>
        <v/>
      </c>
      <c r="MM5">
        <f>BDS("BANR US Equity","SUPPLY_CHAIN_SUPPLIERS","RELATIONSHIP_AS_OF_DATE","20140807")</f>
        <v/>
      </c>
      <c r="MR5">
        <f>BDS("BANR US Equity","SUPPLY_CHAIN_CUSTOMERS","RELATIONSHIP_AS_OF_DATE","20140807")</f>
        <v/>
      </c>
      <c r="MW5">
        <f>BDS("FNSCQ US Equity","SUPPLY_CHAIN_SUPPLIERS","RELATIONSHIP_AS_OF_DATE","20070827")</f>
        <v/>
      </c>
      <c r="NB5">
        <f>BDS("FNSCQ US Equity","SUPPLY_CHAIN_CUSTOMERS","RELATIONSHIP_AS_OF_DATE","20070827")</f>
        <v/>
      </c>
      <c r="NG5">
        <f>BDS("HEOP US Equity","SUPPLY_CHAIN_SUPPLIERS","RELATIONSHIP_AS_OF_DATE","20131021")</f>
        <v/>
      </c>
      <c r="NL5">
        <f>BDS("HEOP US Equity","SUPPLY_CHAIN_CUSTOMERS","RELATIONSHIP_AS_OF_DATE","20131021")</f>
        <v/>
      </c>
      <c r="NQ5">
        <f>BDS("AMAL US Equity","SUPPLY_CHAIN_SUPPLIERS","RELATIONSHIP_AS_OF_DATE","20171215")</f>
        <v/>
      </c>
      <c r="NV5">
        <f>BDS("AMAL US Equity","SUPPLY_CHAIN_CUSTOMERS","RELATIONSHIP_AS_OF_DATE","20171215")</f>
        <v/>
      </c>
      <c r="OA5">
        <f>BDS("AUB US Equity","SUPPLY_CHAIN_SUPPLIERS","RELATIONSHIP_AS_OF_DATE","20031219")</f>
        <v/>
      </c>
      <c r="OF5">
        <f>BDS("AUB US Equity","SUPPLY_CHAIN_CUSTOMERS","RELATIONSHIP_AS_OF_DATE","20031219")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3921</t>
        </is>
      </c>
      <c r="K1" s="1" t="inlineStr">
        <is>
          <t>Deal 3922</t>
        </is>
      </c>
      <c r="U1" s="1" t="inlineStr">
        <is>
          <t>Deal 3923</t>
        </is>
      </c>
      <c r="AE1" s="1" t="inlineStr">
        <is>
          <t>Deal 3924</t>
        </is>
      </c>
      <c r="AO1" s="1" t="inlineStr">
        <is>
          <t>Deal 3925</t>
        </is>
      </c>
      <c r="AY1" s="1" t="inlineStr">
        <is>
          <t>Deal 3926</t>
        </is>
      </c>
      <c r="BI1" s="1" t="inlineStr">
        <is>
          <t>Deal 3927</t>
        </is>
      </c>
      <c r="BS1" s="1" t="inlineStr">
        <is>
          <t>Deal 3928</t>
        </is>
      </c>
      <c r="CC1" s="1" t="inlineStr">
        <is>
          <t>Deal 3929</t>
        </is>
      </c>
      <c r="CM1" s="1" t="inlineStr">
        <is>
          <t>Deal 3930</t>
        </is>
      </c>
      <c r="CW1" s="1" t="inlineStr">
        <is>
          <t>Deal 3931</t>
        </is>
      </c>
      <c r="DG1" s="1" t="inlineStr">
        <is>
          <t>Deal 3932</t>
        </is>
      </c>
      <c r="DQ1" s="1" t="inlineStr">
        <is>
          <t>Deal 3933</t>
        </is>
      </c>
      <c r="EA1" s="1" t="inlineStr">
        <is>
          <t>Deal 3934</t>
        </is>
      </c>
      <c r="EK1" s="1" t="inlineStr">
        <is>
          <t>Deal 3935</t>
        </is>
      </c>
      <c r="EU1" s="1" t="inlineStr">
        <is>
          <t>Deal 3936</t>
        </is>
      </c>
      <c r="FE1" s="1" t="inlineStr">
        <is>
          <t>Deal 3937</t>
        </is>
      </c>
      <c r="FO1" s="1" t="inlineStr">
        <is>
          <t>Deal 3938</t>
        </is>
      </c>
      <c r="FY1" s="1" t="inlineStr">
        <is>
          <t>Deal 3939</t>
        </is>
      </c>
      <c r="GI1" s="1" t="inlineStr">
        <is>
          <t>Deal 3940</t>
        </is>
      </c>
      <c r="GS1" s="1" t="inlineStr">
        <is>
          <t>Deal 3941</t>
        </is>
      </c>
      <c r="HC1" s="1" t="inlineStr">
        <is>
          <t>Deal 3942</t>
        </is>
      </c>
      <c r="HM1" s="1" t="inlineStr">
        <is>
          <t>Deal 3943</t>
        </is>
      </c>
      <c r="HW1" s="1" t="inlineStr">
        <is>
          <t>Deal 3944</t>
        </is>
      </c>
      <c r="IG1" s="1" t="inlineStr">
        <is>
          <t>Deal 3945</t>
        </is>
      </c>
      <c r="IQ1" s="1" t="inlineStr">
        <is>
          <t>Deal 3946</t>
        </is>
      </c>
      <c r="JA1" s="1" t="inlineStr">
        <is>
          <t>Deal 3947</t>
        </is>
      </c>
      <c r="JK1" s="1" t="inlineStr">
        <is>
          <t>Deal 3948</t>
        </is>
      </c>
      <c r="JU1" s="1" t="inlineStr">
        <is>
          <t>Deal 3949</t>
        </is>
      </c>
      <c r="KE1" s="1" t="inlineStr">
        <is>
          <t>Deal 3950</t>
        </is>
      </c>
      <c r="KO1" s="1" t="inlineStr">
        <is>
          <t>Deal 3951</t>
        </is>
      </c>
      <c r="KY1" s="1" t="inlineStr">
        <is>
          <t>Deal 3952</t>
        </is>
      </c>
      <c r="LI1" s="1" t="inlineStr">
        <is>
          <t>Deal 3953</t>
        </is>
      </c>
      <c r="LS1" s="1" t="inlineStr">
        <is>
          <t>Deal 3954</t>
        </is>
      </c>
      <c r="MC1" s="1" t="inlineStr">
        <is>
          <t>Deal 3955</t>
        </is>
      </c>
      <c r="MM1" s="1" t="inlineStr">
        <is>
          <t>Deal 3956</t>
        </is>
      </c>
      <c r="MW1" s="1" t="inlineStr">
        <is>
          <t>Deal 3957</t>
        </is>
      </c>
      <c r="NG1" s="1" t="inlineStr">
        <is>
          <t>Deal 3958</t>
        </is>
      </c>
      <c r="NQ1" s="1" t="inlineStr">
        <is>
          <t>Deal 3959</t>
        </is>
      </c>
      <c r="OA1" s="1" t="inlineStr">
        <is>
          <t>Deal 3960</t>
        </is>
      </c>
    </row>
    <row r="2">
      <c r="A2" s="2" t="inlineStr">
        <is>
          <t>TQNT US Equity</t>
        </is>
      </c>
      <c r="K2" s="2" t="inlineStr">
        <is>
          <t>IPAS US Equity</t>
        </is>
      </c>
      <c r="U2" s="2" t="inlineStr">
        <is>
          <t>CTS US Equity</t>
        </is>
      </c>
      <c r="AE2" s="2" t="inlineStr">
        <is>
          <t>1255173D US Equity</t>
        </is>
      </c>
      <c r="AO2" s="2" t="inlineStr">
        <is>
          <t>RGS US Equity</t>
        </is>
      </c>
      <c r="AY2" s="2" t="inlineStr">
        <is>
          <t>UMPQ US Equity</t>
        </is>
      </c>
      <c r="BI2" s="2" t="inlineStr">
        <is>
          <t>TCF US Equity</t>
        </is>
      </c>
      <c r="BS2" s="2" t="inlineStr">
        <is>
          <t>FTAR US Equity</t>
        </is>
      </c>
      <c r="CC2" s="2" t="inlineStr">
        <is>
          <t>MDT US Equity</t>
        </is>
      </c>
      <c r="CM2" s="2" t="inlineStr">
        <is>
          <t>KFRC US Equity</t>
        </is>
      </c>
      <c r="CW2" s="2" t="inlineStr">
        <is>
          <t>CBFV US Equity</t>
        </is>
      </c>
      <c r="DG2" s="2" t="inlineStr">
        <is>
          <t>355488Q US Equity</t>
        </is>
      </c>
      <c r="DQ2" s="2" t="inlineStr">
        <is>
          <t>9990822D US Equity</t>
        </is>
      </c>
      <c r="EA2" s="2" t="inlineStr">
        <is>
          <t>PACW US Equity</t>
        </is>
      </c>
      <c r="EK2" s="2" t="inlineStr">
        <is>
          <t>FNBCQ US Equity</t>
        </is>
      </c>
      <c r="EU2" s="2" t="inlineStr">
        <is>
          <t>SCZC US Equity</t>
        </is>
      </c>
      <c r="FE2" s="2" t="inlineStr">
        <is>
          <t>KTOS US Equity</t>
        </is>
      </c>
      <c r="FO2" s="2" t="inlineStr">
        <is>
          <t>PFC US Equity</t>
        </is>
      </c>
      <c r="FY2" s="2" t="inlineStr">
        <is>
          <t>HTB US Equity</t>
        </is>
      </c>
      <c r="GI2" s="2" t="inlineStr">
        <is>
          <t>COLB US Equity</t>
        </is>
      </c>
      <c r="GS2" s="2" t="inlineStr">
        <is>
          <t>WAL US Equity</t>
        </is>
      </c>
      <c r="HC2" s="2" t="inlineStr">
        <is>
          <t>INDB US Equity</t>
        </is>
      </c>
      <c r="HM2" s="2" t="inlineStr">
        <is>
          <t>PRDO US Equity</t>
        </is>
      </c>
      <c r="HW2" s="2" t="inlineStr">
        <is>
          <t>UCB US Equity</t>
        </is>
      </c>
      <c r="IG2" s="2" t="inlineStr">
        <is>
          <t>JEFF US Equity</t>
        </is>
      </c>
      <c r="IQ2" s="2" t="inlineStr">
        <is>
          <t>CDOR US Equity</t>
        </is>
      </c>
      <c r="JA2" s="2" t="inlineStr">
        <is>
          <t>MFSF US Equity</t>
        </is>
      </c>
      <c r="JK2" s="2" t="inlineStr">
        <is>
          <t>BCIC US Equity</t>
        </is>
      </c>
      <c r="JU2" s="2" t="inlineStr">
        <is>
          <t>CALP US Equity</t>
        </is>
      </c>
      <c r="KE2" s="2" t="inlineStr">
        <is>
          <t>CFCB US Equity</t>
        </is>
      </c>
      <c r="KO2" s="2" t="inlineStr">
        <is>
          <t>ARL US Equity</t>
        </is>
      </c>
      <c r="KY2" s="2" t="inlineStr">
        <is>
          <t>BF/B US Equity</t>
        </is>
      </c>
      <c r="LI2" s="2" t="inlineStr">
        <is>
          <t>ZION US Equity</t>
        </is>
      </c>
      <c r="LS2" s="2" t="inlineStr">
        <is>
          <t>CIVB US Equity</t>
        </is>
      </c>
      <c r="MC2" s="2" t="inlineStr">
        <is>
          <t>9980328D US Equity</t>
        </is>
      </c>
      <c r="MM2" s="2" t="inlineStr">
        <is>
          <t>ALNC US Equity</t>
        </is>
      </c>
      <c r="MW2" s="2" t="inlineStr">
        <is>
          <t>UMPQ US Equity</t>
        </is>
      </c>
      <c r="NG2" s="2" t="inlineStr">
        <is>
          <t>DGIT US Equity</t>
        </is>
      </c>
      <c r="NQ2" s="2" t="inlineStr">
        <is>
          <t>SBKK US Equity</t>
        </is>
      </c>
      <c r="OA2" s="2" t="inlineStr">
        <is>
          <t>KTOS US Equity</t>
        </is>
      </c>
    </row>
    <row r="3">
      <c r="A3" t="inlineStr">
        <is>
          <t>Ann: 2008-03-10</t>
        </is>
      </c>
      <c r="K3" t="inlineStr">
        <is>
          <t>Ann: 2005-12-12</t>
        </is>
      </c>
      <c r="U3" t="inlineStr">
        <is>
          <t>Ann: 2004-11-17</t>
        </is>
      </c>
      <c r="AE3" t="inlineStr">
        <is>
          <t>Ann: 2008-02-06</t>
        </is>
      </c>
      <c r="AO3" t="inlineStr">
        <is>
          <t>Ann: 1999-01-25</t>
        </is>
      </c>
      <c r="AY3" t="inlineStr">
        <is>
          <t>Ann: 2000-08-15</t>
        </is>
      </c>
      <c r="BI3" t="inlineStr">
        <is>
          <t>Ann: 2003-09-25</t>
        </is>
      </c>
      <c r="BS3" t="inlineStr">
        <is>
          <t>Ann: 2011-01-04</t>
        </is>
      </c>
      <c r="CC3" t="inlineStr">
        <is>
          <t>Ann: 1996-03-25</t>
        </is>
      </c>
      <c r="CM3" t="inlineStr">
        <is>
          <t>Ann: 2003-12-02</t>
        </is>
      </c>
      <c r="CW3" t="inlineStr">
        <is>
          <t>Ann: 2014-04-14</t>
        </is>
      </c>
      <c r="DG3" t="inlineStr">
        <is>
          <t>Ann: 1998-03-24</t>
        </is>
      </c>
      <c r="DQ3" t="inlineStr">
        <is>
          <t>Ann: 1998-02-11</t>
        </is>
      </c>
      <c r="EA3" t="inlineStr">
        <is>
          <t>Ann: 2012-04-30</t>
        </is>
      </c>
      <c r="EK3" t="inlineStr">
        <is>
          <t>Ann: 2014-12-30</t>
        </is>
      </c>
      <c r="EU3" t="inlineStr">
        <is>
          <t>Ann: 2019-05-28</t>
        </is>
      </c>
      <c r="FE3" t="inlineStr">
        <is>
          <t>Ann: 2010-10-06</t>
        </is>
      </c>
      <c r="FO3" t="inlineStr">
        <is>
          <t>Ann: 2007-10-02</t>
        </is>
      </c>
      <c r="FY3" t="inlineStr">
        <is>
          <t>Ann: 2014-01-23</t>
        </is>
      </c>
      <c r="GI3" t="inlineStr">
        <is>
          <t>Ann: 2014-07-23</t>
        </is>
      </c>
      <c r="GS3" t="inlineStr">
        <is>
          <t>Ann: 2012-08-18</t>
        </is>
      </c>
      <c r="HC3" t="inlineStr">
        <is>
          <t>Ann: 2012-05-01</t>
        </is>
      </c>
      <c r="HM3" t="inlineStr">
        <is>
          <t>Ann: 2000-10-24</t>
        </is>
      </c>
      <c r="HW3" t="inlineStr">
        <is>
          <t>Ann: 2017-04-20</t>
        </is>
      </c>
      <c r="IG3" t="inlineStr">
        <is>
          <t>Ann: 1998-03-19</t>
        </is>
      </c>
      <c r="IQ3" t="inlineStr">
        <is>
          <t>Ann: 1999-06-11</t>
        </is>
      </c>
      <c r="JA3" t="inlineStr">
        <is>
          <t>Ann: 2008-01-08</t>
        </is>
      </c>
      <c r="JK3" t="inlineStr">
        <is>
          <t>Ann: 2020-12-23</t>
        </is>
      </c>
      <c r="JU3" t="inlineStr">
        <is>
          <t>Ann: 2006-02-13</t>
        </is>
      </c>
      <c r="KE3" t="inlineStr">
        <is>
          <t>Ann: 2006-06-30</t>
        </is>
      </c>
      <c r="KO3" t="inlineStr">
        <is>
          <t>Ann: 2001-10-23</t>
        </is>
      </c>
      <c r="KY3" t="inlineStr">
        <is>
          <t>Ann: 1999-02-11</t>
        </is>
      </c>
      <c r="LI3" t="inlineStr">
        <is>
          <t>Ann: 1999-04-28</t>
        </is>
      </c>
      <c r="LS3" t="inlineStr">
        <is>
          <t>Ann: 2022-01-10</t>
        </is>
      </c>
      <c r="MC3" t="inlineStr">
        <is>
          <t>Ann: 2014-09-25</t>
        </is>
      </c>
      <c r="MM3" t="inlineStr">
        <is>
          <t>Ann: 2006-04-24</t>
        </is>
      </c>
      <c r="MW3" t="inlineStr">
        <is>
          <t>Ann: 2001-06-22</t>
        </is>
      </c>
      <c r="NG3" t="inlineStr">
        <is>
          <t>Ann: 2008-05-08</t>
        </is>
      </c>
      <c r="NQ3" t="inlineStr">
        <is>
          <t>Ann: 2017-11-07</t>
        </is>
      </c>
      <c r="OA3" t="inlineStr">
        <is>
          <t>Ann: 2008-02-21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BDS("TQNT US Equity","SUPPLY_CHAIN_SUPPLIERS","RELATIONSHIP_AS_OF_DATE","20080310")</f>
        <v/>
      </c>
      <c r="F5">
        <f>BDS("TQNT US Equity","SUPPLY_CHAIN_CUSTOMERS","RELATIONSHIP_AS_OF_DATE","20080310")</f>
        <v/>
      </c>
      <c r="K5">
        <f>BDS("IPAS US Equity","SUPPLY_CHAIN_SUPPLIERS","RELATIONSHIP_AS_OF_DATE","20051212")</f>
        <v/>
      </c>
      <c r="P5">
        <f>BDS("IPAS US Equity","SUPPLY_CHAIN_CUSTOMERS","RELATIONSHIP_AS_OF_DATE","20051212")</f>
        <v/>
      </c>
      <c r="U5">
        <f>BDS("CTS US Equity","SUPPLY_CHAIN_SUPPLIERS","RELATIONSHIP_AS_OF_DATE","20041117")</f>
        <v/>
      </c>
      <c r="Z5">
        <f>BDS("CTS US Equity","SUPPLY_CHAIN_CUSTOMERS","RELATIONSHIP_AS_OF_DATE","20041117")</f>
        <v/>
      </c>
      <c r="AE5">
        <f>BDS("1255173D US Equity","SUPPLY_CHAIN_SUPPLIERS","RELATIONSHIP_AS_OF_DATE","20080206")</f>
        <v/>
      </c>
      <c r="AJ5">
        <f>BDS("1255173D US Equity","SUPPLY_CHAIN_CUSTOMERS","RELATIONSHIP_AS_OF_DATE","20080206")</f>
        <v/>
      </c>
      <c r="AO5">
        <f>BDS("RGS US Equity","SUPPLY_CHAIN_SUPPLIERS","RELATIONSHIP_AS_OF_DATE","19990125")</f>
        <v/>
      </c>
      <c r="AT5">
        <f>BDS("RGS US Equity","SUPPLY_CHAIN_CUSTOMERS","RELATIONSHIP_AS_OF_DATE","19990125")</f>
        <v/>
      </c>
      <c r="AY5">
        <f>BDS("UMPQ US Equity","SUPPLY_CHAIN_SUPPLIERS","RELATIONSHIP_AS_OF_DATE","20000815")</f>
        <v/>
      </c>
      <c r="BD5">
        <f>BDS("UMPQ US Equity","SUPPLY_CHAIN_CUSTOMERS","RELATIONSHIP_AS_OF_DATE","20000815")</f>
        <v/>
      </c>
      <c r="BI5">
        <f>BDS("TCF US Equity","SUPPLY_CHAIN_SUPPLIERS","RELATIONSHIP_AS_OF_DATE","20030925")</f>
        <v/>
      </c>
      <c r="BN5">
        <f>BDS("TCF US Equity","SUPPLY_CHAIN_CUSTOMERS","RELATIONSHIP_AS_OF_DATE","20030925")</f>
        <v/>
      </c>
      <c r="BS5">
        <f>BDS("FTAR US Equity","SUPPLY_CHAIN_SUPPLIERS","RELATIONSHIP_AS_OF_DATE","20110104")</f>
        <v/>
      </c>
      <c r="BX5">
        <f>BDS("FTAR US Equity","SUPPLY_CHAIN_CUSTOMERS","RELATIONSHIP_AS_OF_DATE","20110104")</f>
        <v/>
      </c>
      <c r="CC5">
        <f>BDS("MDT US Equity","SUPPLY_CHAIN_SUPPLIERS","RELATIONSHIP_AS_OF_DATE","19960325")</f>
        <v/>
      </c>
      <c r="CH5">
        <f>BDS("MDT US Equity","SUPPLY_CHAIN_CUSTOMERS","RELATIONSHIP_AS_OF_DATE","19960325")</f>
        <v/>
      </c>
      <c r="CM5">
        <f>BDS("KFRC US Equity","SUPPLY_CHAIN_SUPPLIERS","RELATIONSHIP_AS_OF_DATE","20031202")</f>
        <v/>
      </c>
      <c r="CR5">
        <f>BDS("KFRC US Equity","SUPPLY_CHAIN_CUSTOMERS","RELATIONSHIP_AS_OF_DATE","20031202")</f>
        <v/>
      </c>
      <c r="CW5">
        <f>BDS("CBFV US Equity","SUPPLY_CHAIN_SUPPLIERS","RELATIONSHIP_AS_OF_DATE","20140414")</f>
        <v/>
      </c>
      <c r="DB5">
        <f>BDS("CBFV US Equity","SUPPLY_CHAIN_CUSTOMERS","RELATIONSHIP_AS_OF_DATE","20140414")</f>
        <v/>
      </c>
      <c r="DG5">
        <f>BDS("355488Q US Equity","SUPPLY_CHAIN_SUPPLIERS","RELATIONSHIP_AS_OF_DATE","19980324")</f>
        <v/>
      </c>
      <c r="DL5">
        <f>BDS("355488Q US Equity","SUPPLY_CHAIN_CUSTOMERS","RELATIONSHIP_AS_OF_DATE","19980324")</f>
        <v/>
      </c>
      <c r="DQ5">
        <f>BDS("9990822D US Equity","SUPPLY_CHAIN_SUPPLIERS","RELATIONSHIP_AS_OF_DATE","19980211")</f>
        <v/>
      </c>
      <c r="DV5">
        <f>BDS("9990822D US Equity","SUPPLY_CHAIN_CUSTOMERS","RELATIONSHIP_AS_OF_DATE","19980211")</f>
        <v/>
      </c>
      <c r="EA5">
        <f>BDS("PACW US Equity","SUPPLY_CHAIN_SUPPLIERS","RELATIONSHIP_AS_OF_DATE","20120430")</f>
        <v/>
      </c>
      <c r="EF5">
        <f>BDS("PACW US Equity","SUPPLY_CHAIN_CUSTOMERS","RELATIONSHIP_AS_OF_DATE","20120430")</f>
        <v/>
      </c>
      <c r="EK5">
        <f>BDS("FNBCQ US Equity","SUPPLY_CHAIN_SUPPLIERS","RELATIONSHIP_AS_OF_DATE","20141230")</f>
        <v/>
      </c>
      <c r="EP5">
        <f>BDS("FNBCQ US Equity","SUPPLY_CHAIN_CUSTOMERS","RELATIONSHIP_AS_OF_DATE","20141230")</f>
        <v/>
      </c>
      <c r="EU5">
        <f>BDS("SCZC US Equity","SUPPLY_CHAIN_SUPPLIERS","RELATIONSHIP_AS_OF_DATE","20190528")</f>
        <v/>
      </c>
      <c r="EZ5">
        <f>BDS("SCZC US Equity","SUPPLY_CHAIN_CUSTOMERS","RELATIONSHIP_AS_OF_DATE","20190528")</f>
        <v/>
      </c>
      <c r="FE5">
        <f>BDS("KTOS US Equity","SUPPLY_CHAIN_SUPPLIERS","RELATIONSHIP_AS_OF_DATE","20101006")</f>
        <v/>
      </c>
      <c r="FJ5">
        <f>BDS("KTOS US Equity","SUPPLY_CHAIN_CUSTOMERS","RELATIONSHIP_AS_OF_DATE","20101006")</f>
        <v/>
      </c>
      <c r="FO5">
        <f>BDS("PFC US Equity","SUPPLY_CHAIN_SUPPLIERS","RELATIONSHIP_AS_OF_DATE","20071002")</f>
        <v/>
      </c>
      <c r="FT5">
        <f>BDS("PFC US Equity","SUPPLY_CHAIN_CUSTOMERS","RELATIONSHIP_AS_OF_DATE","20071002")</f>
        <v/>
      </c>
      <c r="FY5">
        <f>BDS("HTB US Equity","SUPPLY_CHAIN_SUPPLIERS","RELATIONSHIP_AS_OF_DATE","20140123")</f>
        <v/>
      </c>
      <c r="GD5">
        <f>BDS("HTB US Equity","SUPPLY_CHAIN_CUSTOMERS","RELATIONSHIP_AS_OF_DATE","20140123")</f>
        <v/>
      </c>
      <c r="GI5">
        <f>BDS("COLB US Equity","SUPPLY_CHAIN_SUPPLIERS","RELATIONSHIP_AS_OF_DATE","20140723")</f>
        <v/>
      </c>
      <c r="GN5">
        <f>BDS("COLB US Equity","SUPPLY_CHAIN_CUSTOMERS","RELATIONSHIP_AS_OF_DATE","20140723")</f>
        <v/>
      </c>
      <c r="GS5">
        <f>BDS("WAL US Equity","SUPPLY_CHAIN_SUPPLIERS","RELATIONSHIP_AS_OF_DATE","20120818")</f>
        <v/>
      </c>
      <c r="GX5">
        <f>BDS("WAL US Equity","SUPPLY_CHAIN_CUSTOMERS","RELATIONSHIP_AS_OF_DATE","20120818")</f>
        <v/>
      </c>
      <c r="HC5">
        <f>BDS("INDB US Equity","SUPPLY_CHAIN_SUPPLIERS","RELATIONSHIP_AS_OF_DATE","20120501")</f>
        <v/>
      </c>
      <c r="HH5">
        <f>BDS("INDB US Equity","SUPPLY_CHAIN_CUSTOMERS","RELATIONSHIP_AS_OF_DATE","20120501")</f>
        <v/>
      </c>
      <c r="HM5">
        <f>BDS("PRDO US Equity","SUPPLY_CHAIN_SUPPLIERS","RELATIONSHIP_AS_OF_DATE","20001024")</f>
        <v/>
      </c>
      <c r="HR5">
        <f>BDS("PRDO US Equity","SUPPLY_CHAIN_CUSTOMERS","RELATIONSHIP_AS_OF_DATE","20001024")</f>
        <v/>
      </c>
      <c r="HW5">
        <f>BDS("UCB US Equity","SUPPLY_CHAIN_SUPPLIERS","RELATIONSHIP_AS_OF_DATE","20170420")</f>
        <v/>
      </c>
      <c r="IB5">
        <f>BDS("UCB US Equity","SUPPLY_CHAIN_CUSTOMERS","RELATIONSHIP_AS_OF_DATE","20170420")</f>
        <v/>
      </c>
      <c r="IG5">
        <f>BDS("JEFF US Equity","SUPPLY_CHAIN_SUPPLIERS","RELATIONSHIP_AS_OF_DATE","19980319")</f>
        <v/>
      </c>
      <c r="IL5">
        <f>BDS("JEFF US Equity","SUPPLY_CHAIN_CUSTOMERS","RELATIONSHIP_AS_OF_DATE","19980319")</f>
        <v/>
      </c>
      <c r="IQ5">
        <f>BDS("CDOR US Equity","SUPPLY_CHAIN_SUPPLIERS","RELATIONSHIP_AS_OF_DATE","19990611")</f>
        <v/>
      </c>
      <c r="IV5">
        <f>BDS("CDOR US Equity","SUPPLY_CHAIN_CUSTOMERS","RELATIONSHIP_AS_OF_DATE","19990611")</f>
        <v/>
      </c>
      <c r="JA5">
        <f>BDS("MFSF US Equity","SUPPLY_CHAIN_SUPPLIERS","RELATIONSHIP_AS_OF_DATE","20080108")</f>
        <v/>
      </c>
      <c r="JF5">
        <f>BDS("MFSF US Equity","SUPPLY_CHAIN_CUSTOMERS","RELATIONSHIP_AS_OF_DATE","20080108")</f>
        <v/>
      </c>
      <c r="JK5">
        <f>BDS("BCIC US Equity","SUPPLY_CHAIN_SUPPLIERS","RELATIONSHIP_AS_OF_DATE","20201223")</f>
        <v/>
      </c>
      <c r="JP5">
        <f>BDS("BCIC US Equity","SUPPLY_CHAIN_CUSTOMERS","RELATIONSHIP_AS_OF_DATE","20201223")</f>
        <v/>
      </c>
      <c r="JU5">
        <f>BDS("CALP US Equity","SUPPLY_CHAIN_SUPPLIERS","RELATIONSHIP_AS_OF_DATE","20060213")</f>
        <v/>
      </c>
      <c r="JZ5">
        <f>BDS("CALP US Equity","SUPPLY_CHAIN_CUSTOMERS","RELATIONSHIP_AS_OF_DATE","20060213")</f>
        <v/>
      </c>
      <c r="KE5">
        <f>BDS("CFCB US Equity","SUPPLY_CHAIN_SUPPLIERS","RELATIONSHIP_AS_OF_DATE","20060630")</f>
        <v/>
      </c>
      <c r="KJ5">
        <f>BDS("CFCB US Equity","SUPPLY_CHAIN_CUSTOMERS","RELATIONSHIP_AS_OF_DATE","20060630")</f>
        <v/>
      </c>
      <c r="KO5">
        <f>BDS("ARL US Equity","SUPPLY_CHAIN_SUPPLIERS","RELATIONSHIP_AS_OF_DATE","20011023")</f>
        <v/>
      </c>
      <c r="KT5">
        <f>BDS("ARL US Equity","SUPPLY_CHAIN_CUSTOMERS","RELATIONSHIP_AS_OF_DATE","20011023")</f>
        <v/>
      </c>
      <c r="KY5">
        <f>BDS("BF/B US Equity","SUPPLY_CHAIN_SUPPLIERS","RELATIONSHIP_AS_OF_DATE","19990211")</f>
        <v/>
      </c>
      <c r="LD5">
        <f>BDS("BF/B US Equity","SUPPLY_CHAIN_CUSTOMERS","RELATIONSHIP_AS_OF_DATE","19990211")</f>
        <v/>
      </c>
      <c r="LI5">
        <f>BDS("ZION US Equity","SUPPLY_CHAIN_SUPPLIERS","RELATIONSHIP_AS_OF_DATE","19990428")</f>
        <v/>
      </c>
      <c r="LN5">
        <f>BDS("ZION US Equity","SUPPLY_CHAIN_CUSTOMERS","RELATIONSHIP_AS_OF_DATE","19990428")</f>
        <v/>
      </c>
      <c r="LS5">
        <f>BDS("CIVB US Equity","SUPPLY_CHAIN_SUPPLIERS","RELATIONSHIP_AS_OF_DATE","20220110")</f>
        <v/>
      </c>
      <c r="LX5">
        <f>BDS("CIVB US Equity","SUPPLY_CHAIN_CUSTOMERS","RELATIONSHIP_AS_OF_DATE","20220110")</f>
        <v/>
      </c>
      <c r="MC5">
        <f>BDS("9980328D US Equity","SUPPLY_CHAIN_SUPPLIERS","RELATIONSHIP_AS_OF_DATE","20140925")</f>
        <v/>
      </c>
      <c r="MH5">
        <f>BDS("9980328D US Equity","SUPPLY_CHAIN_CUSTOMERS","RELATIONSHIP_AS_OF_DATE","20140925")</f>
        <v/>
      </c>
      <c r="MM5">
        <f>BDS("ALNC US Equity","SUPPLY_CHAIN_SUPPLIERS","RELATIONSHIP_AS_OF_DATE","20060424")</f>
        <v/>
      </c>
      <c r="MR5">
        <f>BDS("ALNC US Equity","SUPPLY_CHAIN_CUSTOMERS","RELATIONSHIP_AS_OF_DATE","20060424")</f>
        <v/>
      </c>
      <c r="MW5">
        <f>BDS("UMPQ US Equity","SUPPLY_CHAIN_SUPPLIERS","RELATIONSHIP_AS_OF_DATE","20010622")</f>
        <v/>
      </c>
      <c r="NB5">
        <f>BDS("UMPQ US Equity","SUPPLY_CHAIN_CUSTOMERS","RELATIONSHIP_AS_OF_DATE","20010622")</f>
        <v/>
      </c>
      <c r="NG5">
        <f>BDS("DGIT US Equity","SUPPLY_CHAIN_SUPPLIERS","RELATIONSHIP_AS_OF_DATE","20080508")</f>
        <v/>
      </c>
      <c r="NL5">
        <f>BDS("DGIT US Equity","SUPPLY_CHAIN_CUSTOMERS","RELATIONSHIP_AS_OF_DATE","20080508")</f>
        <v/>
      </c>
      <c r="NQ5">
        <f>BDS("SBKK US Equity","SUPPLY_CHAIN_SUPPLIERS","RELATIONSHIP_AS_OF_DATE","20171107")</f>
        <v/>
      </c>
      <c r="NV5">
        <f>BDS("SBKK US Equity","SUPPLY_CHAIN_CUSTOMERS","RELATIONSHIP_AS_OF_DATE","20171107")</f>
        <v/>
      </c>
      <c r="OA5">
        <f>BDS("KTOS US Equity","SUPPLY_CHAIN_SUPPLIERS","RELATIONSHIP_AS_OF_DATE","20080221")</f>
        <v/>
      </c>
      <c r="OF5">
        <f>BDS("KTOS US Equity","SUPPLY_CHAIN_CUSTOMERS","RELATIONSHIP_AS_OF_DATE","20080221")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3961</t>
        </is>
      </c>
      <c r="K1" s="1" t="inlineStr">
        <is>
          <t>Deal 3962</t>
        </is>
      </c>
      <c r="U1" s="1" t="inlineStr">
        <is>
          <t>Deal 3963</t>
        </is>
      </c>
      <c r="AE1" s="1" t="inlineStr">
        <is>
          <t>Deal 3964</t>
        </is>
      </c>
      <c r="AO1" s="1" t="inlineStr">
        <is>
          <t>Deal 3965</t>
        </is>
      </c>
      <c r="AY1" s="1" t="inlineStr">
        <is>
          <t>Deal 3966</t>
        </is>
      </c>
      <c r="BI1" s="1" t="inlineStr">
        <is>
          <t>Deal 3967</t>
        </is>
      </c>
      <c r="BS1" s="1" t="inlineStr">
        <is>
          <t>Deal 3968</t>
        </is>
      </c>
      <c r="CC1" s="1" t="inlineStr">
        <is>
          <t>Deal 3969</t>
        </is>
      </c>
      <c r="CM1" s="1" t="inlineStr">
        <is>
          <t>Deal 3970</t>
        </is>
      </c>
      <c r="CW1" s="1" t="inlineStr">
        <is>
          <t>Deal 3971</t>
        </is>
      </c>
      <c r="DG1" s="1" t="inlineStr">
        <is>
          <t>Deal 3972</t>
        </is>
      </c>
      <c r="DQ1" s="1" t="inlineStr">
        <is>
          <t>Deal 3973</t>
        </is>
      </c>
      <c r="EA1" s="1" t="inlineStr">
        <is>
          <t>Deal 3974</t>
        </is>
      </c>
      <c r="EK1" s="1" t="inlineStr">
        <is>
          <t>Deal 3975</t>
        </is>
      </c>
      <c r="EU1" s="1" t="inlineStr">
        <is>
          <t>Deal 3976</t>
        </is>
      </c>
      <c r="FE1" s="1" t="inlineStr">
        <is>
          <t>Deal 3977</t>
        </is>
      </c>
      <c r="FO1" s="1" t="inlineStr">
        <is>
          <t>Deal 3978</t>
        </is>
      </c>
      <c r="FY1" s="1" t="inlineStr">
        <is>
          <t>Deal 3979</t>
        </is>
      </c>
      <c r="GI1" s="1" t="inlineStr">
        <is>
          <t>Deal 3980</t>
        </is>
      </c>
      <c r="GS1" s="1" t="inlineStr">
        <is>
          <t>Deal 3981</t>
        </is>
      </c>
      <c r="HC1" s="1" t="inlineStr">
        <is>
          <t>Deal 3982</t>
        </is>
      </c>
      <c r="HM1" s="1" t="inlineStr">
        <is>
          <t>Deal 3983</t>
        </is>
      </c>
      <c r="HW1" s="1" t="inlineStr">
        <is>
          <t>Deal 3984</t>
        </is>
      </c>
      <c r="IG1" s="1" t="inlineStr">
        <is>
          <t>Deal 3985</t>
        </is>
      </c>
      <c r="IQ1" s="1" t="inlineStr">
        <is>
          <t>Deal 3986</t>
        </is>
      </c>
      <c r="JA1" s="1" t="inlineStr">
        <is>
          <t>Deal 3987</t>
        </is>
      </c>
      <c r="JK1" s="1" t="inlineStr">
        <is>
          <t>Deal 3988</t>
        </is>
      </c>
      <c r="JU1" s="1" t="inlineStr">
        <is>
          <t>Deal 3989</t>
        </is>
      </c>
      <c r="KE1" s="1" t="inlineStr">
        <is>
          <t>Deal 3990</t>
        </is>
      </c>
      <c r="KO1" s="1" t="inlineStr">
        <is>
          <t>Deal 3991</t>
        </is>
      </c>
      <c r="KY1" s="1" t="inlineStr">
        <is>
          <t>Deal 3992</t>
        </is>
      </c>
      <c r="LI1" s="1" t="inlineStr">
        <is>
          <t>Deal 3993</t>
        </is>
      </c>
      <c r="LS1" s="1" t="inlineStr">
        <is>
          <t>Deal 3994</t>
        </is>
      </c>
      <c r="MC1" s="1" t="inlineStr">
        <is>
          <t>Deal 3995</t>
        </is>
      </c>
      <c r="MM1" s="1" t="inlineStr">
        <is>
          <t>Deal 3996</t>
        </is>
      </c>
      <c r="MW1" s="1" t="inlineStr">
        <is>
          <t>Deal 3997</t>
        </is>
      </c>
      <c r="NG1" s="1" t="inlineStr">
        <is>
          <t>Deal 3998</t>
        </is>
      </c>
      <c r="NQ1" s="1" t="inlineStr">
        <is>
          <t>Deal 3999</t>
        </is>
      </c>
      <c r="OA1" s="1" t="inlineStr">
        <is>
          <t>Deal 4000</t>
        </is>
      </c>
    </row>
    <row r="2">
      <c r="A2" s="2" t="inlineStr">
        <is>
          <t>VSB US Equity</t>
        </is>
      </c>
      <c r="K2" s="2" t="inlineStr">
        <is>
          <t>ABCB US Equity</t>
        </is>
      </c>
      <c r="U2" s="2" t="inlineStr">
        <is>
          <t>MKTW US Equity</t>
        </is>
      </c>
      <c r="AE2" s="2" t="inlineStr">
        <is>
          <t>MCYF US Equity</t>
        </is>
      </c>
      <c r="AO2" s="2" t="inlineStr">
        <is>
          <t>CELPQ US Equity</t>
        </is>
      </c>
      <c r="AY2" s="2" t="inlineStr">
        <is>
          <t>ACNB US Equity</t>
        </is>
      </c>
      <c r="BI2" s="2" t="inlineStr">
        <is>
          <t>CBF US Equity</t>
        </is>
      </c>
      <c r="BS2" s="2" t="inlineStr">
        <is>
          <t>BNBN US Equity</t>
        </is>
      </c>
      <c r="CC2" s="2" t="inlineStr">
        <is>
          <t>3029830Q US Equity</t>
        </is>
      </c>
      <c r="CM2" s="2" t="inlineStr">
        <is>
          <t>696119Q US Equity</t>
        </is>
      </c>
      <c r="CW2" s="2" t="inlineStr">
        <is>
          <t>TIBX US Equity</t>
        </is>
      </c>
      <c r="DG2" s="2" t="inlineStr">
        <is>
          <t>SWK US Equity</t>
        </is>
      </c>
      <c r="DQ2" s="2" t="inlineStr">
        <is>
          <t>55148Q US Equity</t>
        </is>
      </c>
      <c r="EA2" s="2" t="inlineStr">
        <is>
          <t>TEG US Equity</t>
        </is>
      </c>
      <c r="EK2" s="2" t="inlineStr">
        <is>
          <t>ALOY US Equity</t>
        </is>
      </c>
      <c r="EU2" s="2" t="inlineStr">
        <is>
          <t>CRXA US Equity</t>
        </is>
      </c>
      <c r="FE2" s="2" t="inlineStr">
        <is>
          <t>1339658D US Equity</t>
        </is>
      </c>
      <c r="FO2" s="2" t="inlineStr">
        <is>
          <t>CBKN US Equity</t>
        </is>
      </c>
      <c r="FY2" s="2" t="inlineStr">
        <is>
          <t>MORN US Equity</t>
        </is>
      </c>
      <c r="GI2" s="2" t="inlineStr">
        <is>
          <t>ACAS US Equity</t>
        </is>
      </c>
      <c r="GS2" s="2" t="inlineStr">
        <is>
          <t>ESCC US Equity</t>
        </is>
      </c>
      <c r="HC2" s="2" t="inlineStr">
        <is>
          <t>TUPBQ US Equity</t>
        </is>
      </c>
      <c r="HM2" s="2" t="inlineStr">
        <is>
          <t>RCAPQ US Equity</t>
        </is>
      </c>
      <c r="HW2" s="2" t="inlineStr">
        <is>
          <t>ESXB US Equity</t>
        </is>
      </c>
      <c r="IG2" s="2" t="inlineStr">
        <is>
          <t>FBMS US Equity</t>
        </is>
      </c>
      <c r="IQ2" s="2" t="inlineStr">
        <is>
          <t>DVINQ US Equity</t>
        </is>
      </c>
      <c r="JA2" s="2" t="inlineStr">
        <is>
          <t>FNB US Equity</t>
        </is>
      </c>
      <c r="JK2" s="2" t="inlineStr">
        <is>
          <t>DAVLE US Equity</t>
        </is>
      </c>
      <c r="JU2" s="2" t="inlineStr">
        <is>
          <t>987200Q US Equity</t>
        </is>
      </c>
      <c r="KE2" s="2" t="inlineStr">
        <is>
          <t>213339Q US Equity</t>
        </is>
      </c>
      <c r="KO2" s="2" t="inlineStr">
        <is>
          <t>FNWD US Equity</t>
        </is>
      </c>
      <c r="KY2" s="2" t="inlineStr">
        <is>
          <t>PICM US Equity</t>
        </is>
      </c>
      <c r="LI2" s="2" t="inlineStr">
        <is>
          <t>GEN US Equity</t>
        </is>
      </c>
      <c r="LS2" s="2" t="inlineStr">
        <is>
          <t>RLH US Equity</t>
        </is>
      </c>
      <c r="MC2" s="2" t="inlineStr">
        <is>
          <t>IBKC US Equity</t>
        </is>
      </c>
      <c r="MM2" s="2" t="inlineStr">
        <is>
          <t>CKR US Equity</t>
        </is>
      </c>
      <c r="MW2" s="2" t="inlineStr">
        <is>
          <t>DVINQ US Equity</t>
        </is>
      </c>
      <c r="NG2" s="2" t="inlineStr">
        <is>
          <t>STND US Equity</t>
        </is>
      </c>
      <c r="NQ2" s="2" t="inlineStr">
        <is>
          <t>SBKCQ US Equity</t>
        </is>
      </c>
      <c r="OA2" s="2" t="inlineStr">
        <is>
          <t>MTCH US Equity</t>
        </is>
      </c>
    </row>
    <row r="3">
      <c r="A3" t="inlineStr">
        <is>
          <t>Ann: 2012-09-25</t>
        </is>
      </c>
      <c r="K3" t="inlineStr">
        <is>
          <t>Ann: 2015-10-01</t>
        </is>
      </c>
      <c r="U3" t="inlineStr">
        <is>
          <t>Ann: 2003-07-23</t>
        </is>
      </c>
      <c r="AE3" t="inlineStr">
        <is>
          <t>Ann: 1999-02-23</t>
        </is>
      </c>
      <c r="AO3" t="inlineStr">
        <is>
          <t>Ann: 2015-02-23</t>
        </is>
      </c>
      <c r="AY3" t="inlineStr">
        <is>
          <t>Ann: 2019-07-02</t>
        </is>
      </c>
      <c r="BI3" t="inlineStr">
        <is>
          <t>Ann: 2012-03-27</t>
        </is>
      </c>
      <c r="BS3" t="inlineStr">
        <is>
          <t>Ann: 2000-09-14</t>
        </is>
      </c>
      <c r="CC3" t="inlineStr">
        <is>
          <t>Ann: 1999-01-19</t>
        </is>
      </c>
      <c r="CM3" t="inlineStr">
        <is>
          <t>Ann: 2000-01-31</t>
        </is>
      </c>
      <c r="CW3" t="inlineStr">
        <is>
          <t>Ann: 2002-01-07</t>
        </is>
      </c>
      <c r="DG3" t="inlineStr">
        <is>
          <t>Ann: 2010-12-15</t>
        </is>
      </c>
      <c r="DQ3" t="inlineStr">
        <is>
          <t>Ann: 2001-07-31</t>
        </is>
      </c>
      <c r="EA3" t="inlineStr">
        <is>
          <t>Ann: 2000-05-30</t>
        </is>
      </c>
      <c r="EK3" t="inlineStr">
        <is>
          <t>Ann: 2003-07-31</t>
        </is>
      </c>
      <c r="EU3" t="inlineStr">
        <is>
          <t>Ann: 1999-06-10</t>
        </is>
      </c>
      <c r="FE3" t="inlineStr">
        <is>
          <t>Ann: 2000-02-03</t>
        </is>
      </c>
      <c r="FO3" t="inlineStr">
        <is>
          <t>Ann: 2001-10-05</t>
        </is>
      </c>
      <c r="FY3" t="inlineStr">
        <is>
          <t>Ann: 2007-12-17</t>
        </is>
      </c>
      <c r="GI3" t="inlineStr">
        <is>
          <t>Ann: 2001-03-12</t>
        </is>
      </c>
      <c r="GS3" t="inlineStr">
        <is>
          <t>Ann: 1998-04-22</t>
        </is>
      </c>
      <c r="HC3" t="inlineStr">
        <is>
          <t>Ann: 2000-09-13</t>
        </is>
      </c>
      <c r="HM3" t="inlineStr">
        <is>
          <t>Ann: 2013-10-02</t>
        </is>
      </c>
      <c r="HW3" t="inlineStr">
        <is>
          <t>Ann: 2007-12-14</t>
        </is>
      </c>
      <c r="IG3" t="inlineStr">
        <is>
          <t>Ann: 2018-11-06</t>
        </is>
      </c>
      <c r="IQ3" t="inlineStr">
        <is>
          <t>Ann: 2001-11-02</t>
        </is>
      </c>
      <c r="JA3" t="inlineStr">
        <is>
          <t>Ann: 2012-10-22</t>
        </is>
      </c>
      <c r="JK3" t="inlineStr">
        <is>
          <t>Ann: 2001-06-13</t>
        </is>
      </c>
      <c r="JU3" t="inlineStr">
        <is>
          <t>Ann: 1999-10-15</t>
        </is>
      </c>
      <c r="KE3" t="inlineStr">
        <is>
          <t>Ann: 1999-04-26</t>
        </is>
      </c>
      <c r="KO3" t="inlineStr">
        <is>
          <t>Ann: 2021-07-29</t>
        </is>
      </c>
      <c r="KY3" t="inlineStr">
        <is>
          <t>Ann: 1999-07-01</t>
        </is>
      </c>
      <c r="LI3" t="inlineStr">
        <is>
          <t>Ann: 1998-10-15</t>
        </is>
      </c>
      <c r="LS3" t="inlineStr">
        <is>
          <t>Ann: 2001-10-18</t>
        </is>
      </c>
      <c r="MC3" t="inlineStr">
        <is>
          <t>Ann: 2002-09-23</t>
        </is>
      </c>
      <c r="MM3" t="inlineStr">
        <is>
          <t>Ann: 2001-11-19</t>
        </is>
      </c>
      <c r="MW3" t="inlineStr">
        <is>
          <t>Ann: 2001-08-16</t>
        </is>
      </c>
      <c r="NG3" t="inlineStr">
        <is>
          <t>Ann: 2016-08-29</t>
        </is>
      </c>
      <c r="NQ3" t="inlineStr">
        <is>
          <t>Ann: 2006-04-19</t>
        </is>
      </c>
      <c r="OA3" t="inlineStr">
        <is>
          <t>Ann: 2000-01-25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BDS("VSB US Equity","SUPPLY_CHAIN_SUPPLIERS","RELATIONSHIP_AS_OF_DATE","20120925")</f>
        <v/>
      </c>
      <c r="F5">
        <f>BDS("VSB US Equity","SUPPLY_CHAIN_CUSTOMERS","RELATIONSHIP_AS_OF_DATE","20120925")</f>
        <v/>
      </c>
      <c r="K5">
        <f>BDS("ABCB US Equity","SUPPLY_CHAIN_SUPPLIERS","RELATIONSHIP_AS_OF_DATE","20151001")</f>
        <v/>
      </c>
      <c r="P5">
        <f>BDS("ABCB US Equity","SUPPLY_CHAIN_CUSTOMERS","RELATIONSHIP_AS_OF_DATE","20151001")</f>
        <v/>
      </c>
      <c r="U5">
        <f>BDS("MKTW US Equity","SUPPLY_CHAIN_SUPPLIERS","RELATIONSHIP_AS_OF_DATE","20030723")</f>
        <v/>
      </c>
      <c r="Z5">
        <f>BDS("MKTW US Equity","SUPPLY_CHAIN_CUSTOMERS","RELATIONSHIP_AS_OF_DATE","20030723")</f>
        <v/>
      </c>
      <c r="AE5">
        <f>BDS("MCYF US Equity","SUPPLY_CHAIN_SUPPLIERS","RELATIONSHIP_AS_OF_DATE","19990223")</f>
        <v/>
      </c>
      <c r="AJ5">
        <f>BDS("MCYF US Equity","SUPPLY_CHAIN_CUSTOMERS","RELATIONSHIP_AS_OF_DATE","19990223")</f>
        <v/>
      </c>
      <c r="AO5">
        <f>BDS("CELPQ US Equity","SUPPLY_CHAIN_SUPPLIERS","RELATIONSHIP_AS_OF_DATE","20150223")</f>
        <v/>
      </c>
      <c r="AT5">
        <f>BDS("CELPQ US Equity","SUPPLY_CHAIN_CUSTOMERS","RELATIONSHIP_AS_OF_DATE","20150223")</f>
        <v/>
      </c>
      <c r="AY5">
        <f>BDS("ACNB US Equity","SUPPLY_CHAIN_SUPPLIERS","RELATIONSHIP_AS_OF_DATE","20190702")</f>
        <v/>
      </c>
      <c r="BD5">
        <f>BDS("ACNB US Equity","SUPPLY_CHAIN_CUSTOMERS","RELATIONSHIP_AS_OF_DATE","20190702")</f>
        <v/>
      </c>
      <c r="BI5">
        <f>BDS("CBF US Equity","SUPPLY_CHAIN_SUPPLIERS","RELATIONSHIP_AS_OF_DATE","20120327")</f>
        <v/>
      </c>
      <c r="BN5">
        <f>BDS("CBF US Equity","SUPPLY_CHAIN_CUSTOMERS","RELATIONSHIP_AS_OF_DATE","20120327")</f>
        <v/>
      </c>
      <c r="BS5">
        <f>BDS("BNBN US Equity","SUPPLY_CHAIN_SUPPLIERS","RELATIONSHIP_AS_OF_DATE","20000914")</f>
        <v/>
      </c>
      <c r="BX5">
        <f>BDS("BNBN US Equity","SUPPLY_CHAIN_CUSTOMERS","RELATIONSHIP_AS_OF_DATE","20000914")</f>
        <v/>
      </c>
      <c r="CC5">
        <f>BDS("3029830Q US Equity","SUPPLY_CHAIN_SUPPLIERS","RELATIONSHIP_AS_OF_DATE","19990119")</f>
        <v/>
      </c>
      <c r="CH5">
        <f>BDS("3029830Q US Equity","SUPPLY_CHAIN_CUSTOMERS","RELATIONSHIP_AS_OF_DATE","19990119")</f>
        <v/>
      </c>
      <c r="CM5">
        <f>BDS("696119Q US Equity","SUPPLY_CHAIN_SUPPLIERS","RELATIONSHIP_AS_OF_DATE","20000131")</f>
        <v/>
      </c>
      <c r="CR5">
        <f>BDS("696119Q US Equity","SUPPLY_CHAIN_CUSTOMERS","RELATIONSHIP_AS_OF_DATE","20000131")</f>
        <v/>
      </c>
      <c r="CW5">
        <f>BDS("TIBX US Equity","SUPPLY_CHAIN_SUPPLIERS","RELATIONSHIP_AS_OF_DATE","20020107")</f>
        <v/>
      </c>
      <c r="DB5">
        <f>BDS("TIBX US Equity","SUPPLY_CHAIN_CUSTOMERS","RELATIONSHIP_AS_OF_DATE","20020107")</f>
        <v/>
      </c>
      <c r="DG5">
        <f>BDS("SWK US Equity","SUPPLY_CHAIN_SUPPLIERS","RELATIONSHIP_AS_OF_DATE","20101215")</f>
        <v/>
      </c>
      <c r="DL5">
        <f>BDS("SWK US Equity","SUPPLY_CHAIN_CUSTOMERS","RELATIONSHIP_AS_OF_DATE","20101215")</f>
        <v/>
      </c>
      <c r="DQ5">
        <f>BDS("55148Q US Equity","SUPPLY_CHAIN_SUPPLIERS","RELATIONSHIP_AS_OF_DATE","20010731")</f>
        <v/>
      </c>
      <c r="DV5">
        <f>BDS("55148Q US Equity","SUPPLY_CHAIN_CUSTOMERS","RELATIONSHIP_AS_OF_DATE","20010731")</f>
        <v/>
      </c>
      <c r="EA5">
        <f>BDS("TEG US Equity","SUPPLY_CHAIN_SUPPLIERS","RELATIONSHIP_AS_OF_DATE","20000530")</f>
        <v/>
      </c>
      <c r="EF5">
        <f>BDS("TEG US Equity","SUPPLY_CHAIN_CUSTOMERS","RELATIONSHIP_AS_OF_DATE","20000530")</f>
        <v/>
      </c>
      <c r="EK5">
        <f>BDS("ALOY US Equity","SUPPLY_CHAIN_SUPPLIERS","RELATIONSHIP_AS_OF_DATE","20030731")</f>
        <v/>
      </c>
      <c r="EP5">
        <f>BDS("ALOY US Equity","SUPPLY_CHAIN_CUSTOMERS","RELATIONSHIP_AS_OF_DATE","20030731")</f>
        <v/>
      </c>
      <c r="EU5">
        <f>BDS("CRXA US Equity","SUPPLY_CHAIN_SUPPLIERS","RELATIONSHIP_AS_OF_DATE","19990610")</f>
        <v/>
      </c>
      <c r="EZ5">
        <f>BDS("CRXA US Equity","SUPPLY_CHAIN_CUSTOMERS","RELATIONSHIP_AS_OF_DATE","19990610")</f>
        <v/>
      </c>
      <c r="FE5">
        <f>BDS("1339658D US Equity","SUPPLY_CHAIN_SUPPLIERS","RELATIONSHIP_AS_OF_DATE","20000203")</f>
        <v/>
      </c>
      <c r="FJ5">
        <f>BDS("1339658D US Equity","SUPPLY_CHAIN_CUSTOMERS","RELATIONSHIP_AS_OF_DATE","20000203")</f>
        <v/>
      </c>
      <c r="FO5">
        <f>BDS("CBKN US Equity","SUPPLY_CHAIN_SUPPLIERS","RELATIONSHIP_AS_OF_DATE","20011005")</f>
        <v/>
      </c>
      <c r="FT5">
        <f>BDS("CBKN US Equity","SUPPLY_CHAIN_CUSTOMERS","RELATIONSHIP_AS_OF_DATE","20011005")</f>
        <v/>
      </c>
      <c r="FY5">
        <f>BDS("MORN US Equity","SUPPLY_CHAIN_SUPPLIERS","RELATIONSHIP_AS_OF_DATE","20071217")</f>
        <v/>
      </c>
      <c r="GD5">
        <f>BDS("MORN US Equity","SUPPLY_CHAIN_CUSTOMERS","RELATIONSHIP_AS_OF_DATE","20071217")</f>
        <v/>
      </c>
      <c r="GI5">
        <f>BDS("ACAS US Equity","SUPPLY_CHAIN_SUPPLIERS","RELATIONSHIP_AS_OF_DATE","20010312")</f>
        <v/>
      </c>
      <c r="GN5">
        <f>BDS("ACAS US Equity","SUPPLY_CHAIN_CUSTOMERS","RELATIONSHIP_AS_OF_DATE","20010312")</f>
        <v/>
      </c>
      <c r="GS5">
        <f>BDS("ESCC US Equity","SUPPLY_CHAIN_SUPPLIERS","RELATIONSHIP_AS_OF_DATE","19980422")</f>
        <v/>
      </c>
      <c r="GX5">
        <f>BDS("ESCC US Equity","SUPPLY_CHAIN_CUSTOMERS","RELATIONSHIP_AS_OF_DATE","19980422")</f>
        <v/>
      </c>
      <c r="HC5">
        <f>BDS("TUPBQ US Equity","SUPPLY_CHAIN_SUPPLIERS","RELATIONSHIP_AS_OF_DATE","20000913")</f>
        <v/>
      </c>
      <c r="HH5">
        <f>BDS("TUPBQ US Equity","SUPPLY_CHAIN_CUSTOMERS","RELATIONSHIP_AS_OF_DATE","20000913")</f>
        <v/>
      </c>
      <c r="HM5">
        <f>BDS("RCAPQ US Equity","SUPPLY_CHAIN_SUPPLIERS","RELATIONSHIP_AS_OF_DATE","20131002")</f>
        <v/>
      </c>
      <c r="HR5">
        <f>BDS("RCAPQ US Equity","SUPPLY_CHAIN_CUSTOMERS","RELATIONSHIP_AS_OF_DATE","20131002")</f>
        <v/>
      </c>
      <c r="HW5">
        <f>BDS("ESXB US Equity","SUPPLY_CHAIN_SUPPLIERS","RELATIONSHIP_AS_OF_DATE","20071214")</f>
        <v/>
      </c>
      <c r="IB5">
        <f>BDS("ESXB US Equity","SUPPLY_CHAIN_CUSTOMERS","RELATIONSHIP_AS_OF_DATE","20071214")</f>
        <v/>
      </c>
      <c r="IG5">
        <f>BDS("FBMS US Equity","SUPPLY_CHAIN_SUPPLIERS","RELATIONSHIP_AS_OF_DATE","20181106")</f>
        <v/>
      </c>
      <c r="IL5">
        <f>BDS("FBMS US Equity","SUPPLY_CHAIN_CUSTOMERS","RELATIONSHIP_AS_OF_DATE","20181106")</f>
        <v/>
      </c>
      <c r="IQ5">
        <f>BDS("DVINQ US Equity","SUPPLY_CHAIN_SUPPLIERS","RELATIONSHIP_AS_OF_DATE","20011102")</f>
        <v/>
      </c>
      <c r="IV5">
        <f>BDS("DVINQ US Equity","SUPPLY_CHAIN_CUSTOMERS","RELATIONSHIP_AS_OF_DATE","20011102")</f>
        <v/>
      </c>
      <c r="JA5">
        <f>BDS("FNB US Equity","SUPPLY_CHAIN_SUPPLIERS","RELATIONSHIP_AS_OF_DATE","20121022")</f>
        <v/>
      </c>
      <c r="JF5">
        <f>BDS("FNB US Equity","SUPPLY_CHAIN_CUSTOMERS","RELATIONSHIP_AS_OF_DATE","20121022")</f>
        <v/>
      </c>
      <c r="JK5">
        <f>BDS("DAVLE US Equity","SUPPLY_CHAIN_SUPPLIERS","RELATIONSHIP_AS_OF_DATE","20010613")</f>
        <v/>
      </c>
      <c r="JP5">
        <f>BDS("DAVLE US Equity","SUPPLY_CHAIN_CUSTOMERS","RELATIONSHIP_AS_OF_DATE","20010613")</f>
        <v/>
      </c>
      <c r="JU5">
        <f>BDS("987200Q US Equity","SUPPLY_CHAIN_SUPPLIERS","RELATIONSHIP_AS_OF_DATE","19991015")</f>
        <v/>
      </c>
      <c r="JZ5">
        <f>BDS("987200Q US Equity","SUPPLY_CHAIN_CUSTOMERS","RELATIONSHIP_AS_OF_DATE","19991015")</f>
        <v/>
      </c>
      <c r="KE5">
        <f>BDS("213339Q US Equity","SUPPLY_CHAIN_SUPPLIERS","RELATIONSHIP_AS_OF_DATE","19990426")</f>
        <v/>
      </c>
      <c r="KJ5">
        <f>BDS("213339Q US Equity","SUPPLY_CHAIN_CUSTOMERS","RELATIONSHIP_AS_OF_DATE","19990426")</f>
        <v/>
      </c>
      <c r="KO5">
        <f>BDS("FNWD US Equity","SUPPLY_CHAIN_SUPPLIERS","RELATIONSHIP_AS_OF_DATE","20210729")</f>
        <v/>
      </c>
      <c r="KT5">
        <f>BDS("FNWD US Equity","SUPPLY_CHAIN_CUSTOMERS","RELATIONSHIP_AS_OF_DATE","20210729")</f>
        <v/>
      </c>
      <c r="KY5">
        <f>BDS("PICM US Equity","SUPPLY_CHAIN_SUPPLIERS","RELATIONSHIP_AS_OF_DATE","19990701")</f>
        <v/>
      </c>
      <c r="LD5">
        <f>BDS("PICM US Equity","SUPPLY_CHAIN_CUSTOMERS","RELATIONSHIP_AS_OF_DATE","19990701")</f>
        <v/>
      </c>
      <c r="LI5">
        <f>BDS("GEN US Equity","SUPPLY_CHAIN_SUPPLIERS","RELATIONSHIP_AS_OF_DATE","19981015")</f>
        <v/>
      </c>
      <c r="LN5">
        <f>BDS("GEN US Equity","SUPPLY_CHAIN_CUSTOMERS","RELATIONSHIP_AS_OF_DATE","19981015")</f>
        <v/>
      </c>
      <c r="LS5">
        <f>BDS("RLH US Equity","SUPPLY_CHAIN_SUPPLIERS","RELATIONSHIP_AS_OF_DATE","20011018")</f>
        <v/>
      </c>
      <c r="LX5">
        <f>BDS("RLH US Equity","SUPPLY_CHAIN_CUSTOMERS","RELATIONSHIP_AS_OF_DATE","20011018")</f>
        <v/>
      </c>
      <c r="MC5">
        <f>BDS("IBKC US Equity","SUPPLY_CHAIN_SUPPLIERS","RELATIONSHIP_AS_OF_DATE","20020923")</f>
        <v/>
      </c>
      <c r="MH5">
        <f>BDS("IBKC US Equity","SUPPLY_CHAIN_CUSTOMERS","RELATIONSHIP_AS_OF_DATE","20020923")</f>
        <v/>
      </c>
      <c r="MM5">
        <f>BDS("CKR US Equity","SUPPLY_CHAIN_SUPPLIERS","RELATIONSHIP_AS_OF_DATE","20011119")</f>
        <v/>
      </c>
      <c r="MR5">
        <f>BDS("CKR US Equity","SUPPLY_CHAIN_CUSTOMERS","RELATIONSHIP_AS_OF_DATE","20011119")</f>
        <v/>
      </c>
      <c r="MW5">
        <f>BDS("DVINQ US Equity","SUPPLY_CHAIN_SUPPLIERS","RELATIONSHIP_AS_OF_DATE","20010816")</f>
        <v/>
      </c>
      <c r="NB5">
        <f>BDS("DVINQ US Equity","SUPPLY_CHAIN_CUSTOMERS","RELATIONSHIP_AS_OF_DATE","20010816")</f>
        <v/>
      </c>
      <c r="NG5">
        <f>BDS("STND US Equity","SUPPLY_CHAIN_SUPPLIERS","RELATIONSHIP_AS_OF_DATE","20160829")</f>
        <v/>
      </c>
      <c r="NL5">
        <f>BDS("STND US Equity","SUPPLY_CHAIN_CUSTOMERS","RELATIONSHIP_AS_OF_DATE","20160829")</f>
        <v/>
      </c>
      <c r="NQ5">
        <f>BDS("SBKCQ US Equity","SUPPLY_CHAIN_SUPPLIERS","RELATIONSHIP_AS_OF_DATE","20060419")</f>
        <v/>
      </c>
      <c r="NV5">
        <f>BDS("SBKCQ US Equity","SUPPLY_CHAIN_CUSTOMERS","RELATIONSHIP_AS_OF_DATE","20060419")</f>
        <v/>
      </c>
      <c r="OA5">
        <f>BDS("MTCH US Equity","SUPPLY_CHAIN_SUPPLIERS","RELATIONSHIP_AS_OF_DATE","20000125")</f>
        <v/>
      </c>
      <c r="OF5">
        <f>BDS("MTCH US Equity","SUPPLY_CHAIN_CUSTOMERS","RELATIONSHIP_AS_OF_DATE","20000125")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4001</t>
        </is>
      </c>
      <c r="K1" s="1" t="inlineStr">
        <is>
          <t>Deal 4002</t>
        </is>
      </c>
      <c r="U1" s="1" t="inlineStr">
        <is>
          <t>Deal 4003</t>
        </is>
      </c>
      <c r="AE1" s="1" t="inlineStr">
        <is>
          <t>Deal 4004</t>
        </is>
      </c>
      <c r="AO1" s="1" t="inlineStr">
        <is>
          <t>Deal 4005</t>
        </is>
      </c>
      <c r="AY1" s="1" t="inlineStr">
        <is>
          <t>Deal 4006</t>
        </is>
      </c>
      <c r="BI1" s="1" t="inlineStr">
        <is>
          <t>Deal 4007</t>
        </is>
      </c>
      <c r="BS1" s="1" t="inlineStr">
        <is>
          <t>Deal 4008</t>
        </is>
      </c>
      <c r="CC1" s="1" t="inlineStr">
        <is>
          <t>Deal 4009</t>
        </is>
      </c>
      <c r="CM1" s="1" t="inlineStr">
        <is>
          <t>Deal 4010</t>
        </is>
      </c>
      <c r="CW1" s="1" t="inlineStr">
        <is>
          <t>Deal 4011</t>
        </is>
      </c>
      <c r="DG1" s="1" t="inlineStr">
        <is>
          <t>Deal 4012</t>
        </is>
      </c>
      <c r="DQ1" s="1" t="inlineStr">
        <is>
          <t>Deal 4013</t>
        </is>
      </c>
      <c r="EA1" s="1" t="inlineStr">
        <is>
          <t>Deal 4014</t>
        </is>
      </c>
      <c r="EK1" s="1" t="inlineStr">
        <is>
          <t>Deal 4015</t>
        </is>
      </c>
      <c r="EU1" s="1" t="inlineStr">
        <is>
          <t>Deal 4016</t>
        </is>
      </c>
      <c r="FE1" s="1" t="inlineStr">
        <is>
          <t>Deal 4017</t>
        </is>
      </c>
      <c r="FO1" s="1" t="inlineStr">
        <is>
          <t>Deal 4018</t>
        </is>
      </c>
      <c r="FY1" s="1" t="inlineStr">
        <is>
          <t>Deal 4019</t>
        </is>
      </c>
      <c r="GI1" s="1" t="inlineStr">
        <is>
          <t>Deal 4020</t>
        </is>
      </c>
      <c r="GS1" s="1" t="inlineStr">
        <is>
          <t>Deal 4021</t>
        </is>
      </c>
      <c r="HC1" s="1" t="inlineStr">
        <is>
          <t>Deal 4022</t>
        </is>
      </c>
      <c r="HM1" s="1" t="inlineStr">
        <is>
          <t>Deal 4023</t>
        </is>
      </c>
      <c r="HW1" s="1" t="inlineStr">
        <is>
          <t>Deal 4024</t>
        </is>
      </c>
      <c r="IG1" s="1" t="inlineStr">
        <is>
          <t>Deal 4025</t>
        </is>
      </c>
      <c r="IQ1" s="1" t="inlineStr">
        <is>
          <t>Deal 4026</t>
        </is>
      </c>
      <c r="JA1" s="1" t="inlineStr">
        <is>
          <t>Deal 4027</t>
        </is>
      </c>
      <c r="JK1" s="1" t="inlineStr">
        <is>
          <t>Deal 4028</t>
        </is>
      </c>
      <c r="JU1" s="1" t="inlineStr">
        <is>
          <t>Deal 4029</t>
        </is>
      </c>
      <c r="KE1" s="1" t="inlineStr">
        <is>
          <t>Deal 4030</t>
        </is>
      </c>
      <c r="KO1" s="1" t="inlineStr">
        <is>
          <t>Deal 4031</t>
        </is>
      </c>
      <c r="KY1" s="1" t="inlineStr">
        <is>
          <t>Deal 4032</t>
        </is>
      </c>
      <c r="LI1" s="1" t="inlineStr">
        <is>
          <t>Deal 4033</t>
        </is>
      </c>
      <c r="LS1" s="1" t="inlineStr">
        <is>
          <t>Deal 4034</t>
        </is>
      </c>
      <c r="MC1" s="1" t="inlineStr">
        <is>
          <t>Deal 4035</t>
        </is>
      </c>
      <c r="MM1" s="1" t="inlineStr">
        <is>
          <t>Deal 4036</t>
        </is>
      </c>
      <c r="MW1" s="1" t="inlineStr">
        <is>
          <t>Deal 4037</t>
        </is>
      </c>
      <c r="NG1" s="1" t="inlineStr">
        <is>
          <t>Deal 4038</t>
        </is>
      </c>
      <c r="NQ1" s="1" t="inlineStr">
        <is>
          <t>Deal 4039</t>
        </is>
      </c>
      <c r="OA1" s="1" t="inlineStr">
        <is>
          <t>Deal 4040</t>
        </is>
      </c>
    </row>
    <row r="2">
      <c r="A2" s="2" t="inlineStr">
        <is>
          <t>BX US Equity</t>
        </is>
      </c>
      <c r="K2" s="2" t="inlineStr">
        <is>
          <t>FBMS US Equity</t>
        </is>
      </c>
      <c r="U2" s="2" t="inlineStr">
        <is>
          <t>SEAP US Equity</t>
        </is>
      </c>
      <c r="AE2" s="2" t="inlineStr">
        <is>
          <t>605018Q US Equity</t>
        </is>
      </c>
      <c r="AO2" s="2" t="inlineStr">
        <is>
          <t>HPOL US Equity</t>
        </is>
      </c>
      <c r="AY2" s="2" t="inlineStr">
        <is>
          <t>355488Q US Equity</t>
        </is>
      </c>
      <c r="BI2" s="2" t="inlineStr">
        <is>
          <t>CKEC US Equity</t>
        </is>
      </c>
      <c r="BS2" s="2" t="inlineStr">
        <is>
          <t>8184843Q US Equity</t>
        </is>
      </c>
      <c r="CC2" s="2" t="inlineStr">
        <is>
          <t>KLAC US Equity</t>
        </is>
      </c>
      <c r="CM2" s="2" t="inlineStr">
        <is>
          <t>BKU US Equity</t>
        </is>
      </c>
      <c r="CW2" s="2" t="inlineStr">
        <is>
          <t>PSD US Equity</t>
        </is>
      </c>
      <c r="DG2" s="2" t="inlineStr">
        <is>
          <t>NAL US Equity</t>
        </is>
      </c>
      <c r="DQ2" s="2" t="inlineStr">
        <is>
          <t>RLR US Equity</t>
        </is>
      </c>
      <c r="EA2" s="2" t="inlineStr">
        <is>
          <t>AXP US Equity</t>
        </is>
      </c>
      <c r="EK2" s="2" t="inlineStr">
        <is>
          <t>CBFV US Equity</t>
        </is>
      </c>
      <c r="EU2" s="2" t="inlineStr">
        <is>
          <t>2676187Q US Equity</t>
        </is>
      </c>
      <c r="FE2" s="2" t="inlineStr">
        <is>
          <t>RCAPQ US Equity</t>
        </is>
      </c>
      <c r="FO2" s="2" t="inlineStr">
        <is>
          <t>9990253D US Equity</t>
        </is>
      </c>
      <c r="FY2" s="2" t="inlineStr">
        <is>
          <t>DGII US Equity</t>
        </is>
      </c>
      <c r="GI2" s="2" t="inlineStr">
        <is>
          <t>CNVR US Equity</t>
        </is>
      </c>
      <c r="GS2" s="2" t="inlineStr">
        <is>
          <t>FBA US Equity</t>
        </is>
      </c>
      <c r="HC2" s="2" t="inlineStr">
        <is>
          <t>OLBK US Equity</t>
        </is>
      </c>
      <c r="HM2" s="2" t="inlineStr">
        <is>
          <t>540513Q US Equity</t>
        </is>
      </c>
      <c r="HW2" s="2" t="inlineStr">
        <is>
          <t>ESXB US Equity</t>
        </is>
      </c>
      <c r="IG2" s="2" t="inlineStr">
        <is>
          <t>KBAL US Equity</t>
        </is>
      </c>
      <c r="IQ2" s="2" t="inlineStr">
        <is>
          <t>TOBC US Equity</t>
        </is>
      </c>
      <c r="JA2" s="2" t="inlineStr">
        <is>
          <t>GFR US Equity</t>
        </is>
      </c>
      <c r="JK2" s="2" t="inlineStr">
        <is>
          <t>MSI US Equity</t>
        </is>
      </c>
      <c r="JU2" s="2" t="inlineStr">
        <is>
          <t>NTUS US Equity</t>
        </is>
      </c>
      <c r="KE2" s="2" t="inlineStr">
        <is>
          <t>GABC US Equity</t>
        </is>
      </c>
      <c r="KO2" s="2" t="inlineStr">
        <is>
          <t>TFC US Equity</t>
        </is>
      </c>
      <c r="KY2" s="2" t="inlineStr">
        <is>
          <t>NFBK US Equity</t>
        </is>
      </c>
      <c r="LI2" s="2" t="inlineStr">
        <is>
          <t>BVH US Equity</t>
        </is>
      </c>
      <c r="LS2" s="2" t="inlineStr">
        <is>
          <t>LKQ US Equity</t>
        </is>
      </c>
      <c r="MC2" s="2" t="inlineStr">
        <is>
          <t>FJCC US Equity</t>
        </is>
      </c>
      <c r="MM2" s="2" t="inlineStr">
        <is>
          <t>HET US Equity</t>
        </is>
      </c>
      <c r="MW2" s="2" t="inlineStr">
        <is>
          <t>LAMR US Equity</t>
        </is>
      </c>
      <c r="NG2" s="2" t="inlineStr">
        <is>
          <t>FCCO US Equity</t>
        </is>
      </c>
      <c r="NQ2" s="2" t="inlineStr">
        <is>
          <t>FTBK US Equity</t>
        </is>
      </c>
      <c r="OA2" s="2" t="inlineStr">
        <is>
          <t>CVOVQ US Equity</t>
        </is>
      </c>
    </row>
    <row r="3">
      <c r="A3" t="inlineStr">
        <is>
          <t>Ann: 2009-11-05</t>
        </is>
      </c>
      <c r="K3" t="inlineStr">
        <is>
          <t>Ann: 2017-12-06</t>
        </is>
      </c>
      <c r="U3" t="inlineStr">
        <is>
          <t>Ann: 1999-02-22</t>
        </is>
      </c>
      <c r="AE3" t="inlineStr">
        <is>
          <t>Ann: 1998-04-24</t>
        </is>
      </c>
      <c r="AO3" t="inlineStr">
        <is>
          <t>Ann: 2001-08-06</t>
        </is>
      </c>
      <c r="AY3" t="inlineStr">
        <is>
          <t>Ann: 2001-06-27</t>
        </is>
      </c>
      <c r="BI3" t="inlineStr">
        <is>
          <t>Ann: 2014-05-15</t>
        </is>
      </c>
      <c r="BS3" t="inlineStr">
        <is>
          <t>Ann: 2004-09-08</t>
        </is>
      </c>
      <c r="CC3" t="inlineStr">
        <is>
          <t>Ann: 2007-01-08</t>
        </is>
      </c>
      <c r="CM3" t="inlineStr">
        <is>
          <t>Ann: 2011-06-02</t>
        </is>
      </c>
      <c r="CW3" t="inlineStr">
        <is>
          <t>Ann: 2000-06-29</t>
        </is>
      </c>
      <c r="DG3" t="inlineStr">
        <is>
          <t>Ann: 2005-04-13</t>
        </is>
      </c>
      <c r="DQ3" t="inlineStr">
        <is>
          <t>Ann: 2000-02-29</t>
        </is>
      </c>
      <c r="EA3" t="inlineStr">
        <is>
          <t>Ann: 1998-11-10</t>
        </is>
      </c>
      <c r="EK3" t="inlineStr">
        <is>
          <t>Ann: 2017-11-16</t>
        </is>
      </c>
      <c r="EU3" t="inlineStr">
        <is>
          <t>Ann: 2000-12-11</t>
        </is>
      </c>
      <c r="FE3" t="inlineStr">
        <is>
          <t>Ann: 2013-11-18</t>
        </is>
      </c>
      <c r="FO3" t="inlineStr">
        <is>
          <t>Ann: 2009-12-23</t>
        </is>
      </c>
      <c r="FY3" t="inlineStr">
        <is>
          <t>Ann: 2001-10-30</t>
        </is>
      </c>
      <c r="GI3" t="inlineStr">
        <is>
          <t>Ann: 2001-07-02</t>
        </is>
      </c>
      <c r="GS3" t="inlineStr">
        <is>
          <t>Ann: 2001-06-22</t>
        </is>
      </c>
      <c r="HC3" t="inlineStr">
        <is>
          <t>Ann: 2012-09-10</t>
        </is>
      </c>
      <c r="HM3" t="inlineStr">
        <is>
          <t>Ann: 2003-09-03</t>
        </is>
      </c>
      <c r="HW3" t="inlineStr">
        <is>
          <t>Ann: 2007-09-06</t>
        </is>
      </c>
      <c r="IG3" t="inlineStr">
        <is>
          <t>Ann: 2006-12-19</t>
        </is>
      </c>
      <c r="IQ3" t="inlineStr">
        <is>
          <t>Ann: 2009-12-28</t>
        </is>
      </c>
      <c r="JA3" t="inlineStr">
        <is>
          <t>Ann: 2002-06-28</t>
        </is>
      </c>
      <c r="JK3" t="inlineStr">
        <is>
          <t>Ann: 2006-12-21</t>
        </is>
      </c>
      <c r="JU3" t="inlineStr">
        <is>
          <t>Ann: 2005-10-17</t>
        </is>
      </c>
      <c r="KE3" t="inlineStr">
        <is>
          <t>Ann: 1998-06-25</t>
        </is>
      </c>
      <c r="KO3" t="inlineStr">
        <is>
          <t>Ann: 2002-09-27</t>
        </is>
      </c>
      <c r="KY3" t="inlineStr">
        <is>
          <t>Ann: 2015-08-26</t>
        </is>
      </c>
      <c r="LI3" t="inlineStr">
        <is>
          <t>Ann: 2021-04-05</t>
        </is>
      </c>
      <c r="LS3" t="inlineStr">
        <is>
          <t>Ann: 2015-07-09</t>
        </is>
      </c>
      <c r="MC3" t="inlineStr">
        <is>
          <t>Ann: 1999-07-13</t>
        </is>
      </c>
      <c r="MM3" t="inlineStr">
        <is>
          <t>Ann: 2002-07-31</t>
        </is>
      </c>
      <c r="MW3" t="inlineStr">
        <is>
          <t>Ann: 2000-10-04</t>
        </is>
      </c>
      <c r="NG3" t="inlineStr">
        <is>
          <t>Ann: 2004-04-13</t>
        </is>
      </c>
      <c r="NQ3" t="inlineStr">
        <is>
          <t>Ann: 2005-09-12</t>
        </is>
      </c>
      <c r="OA3" t="inlineStr">
        <is>
          <t>Ann: 2009-05-07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BDS("BX US Equity","SUPPLY_CHAIN_SUPPLIERS","RELATIONSHIP_AS_OF_DATE","20091105")</f>
        <v/>
      </c>
      <c r="F5">
        <f>BDS("BX US Equity","SUPPLY_CHAIN_CUSTOMERS","RELATIONSHIP_AS_OF_DATE","20091105")</f>
        <v/>
      </c>
      <c r="K5">
        <f>BDS("FBMS US Equity","SUPPLY_CHAIN_SUPPLIERS","RELATIONSHIP_AS_OF_DATE","20171206")</f>
        <v/>
      </c>
      <c r="P5">
        <f>BDS("FBMS US Equity","SUPPLY_CHAIN_CUSTOMERS","RELATIONSHIP_AS_OF_DATE","20171206")</f>
        <v/>
      </c>
      <c r="U5">
        <f>BDS("SEAP US Equity","SUPPLY_CHAIN_SUPPLIERS","RELATIONSHIP_AS_OF_DATE","19990222")</f>
        <v/>
      </c>
      <c r="Z5">
        <f>BDS("SEAP US Equity","SUPPLY_CHAIN_CUSTOMERS","RELATIONSHIP_AS_OF_DATE","19990222")</f>
        <v/>
      </c>
      <c r="AE5">
        <f>BDS("605018Q US Equity","SUPPLY_CHAIN_SUPPLIERS","RELATIONSHIP_AS_OF_DATE","19980424")</f>
        <v/>
      </c>
      <c r="AJ5">
        <f>BDS("605018Q US Equity","SUPPLY_CHAIN_CUSTOMERS","RELATIONSHIP_AS_OF_DATE","19980424")</f>
        <v/>
      </c>
      <c r="AO5">
        <f>BDS("HPOL US Equity","SUPPLY_CHAIN_SUPPLIERS","RELATIONSHIP_AS_OF_DATE","20010806")</f>
        <v/>
      </c>
      <c r="AT5">
        <f>BDS("HPOL US Equity","SUPPLY_CHAIN_CUSTOMERS","RELATIONSHIP_AS_OF_DATE","20010806")</f>
        <v/>
      </c>
      <c r="AY5">
        <f>BDS("355488Q US Equity","SUPPLY_CHAIN_SUPPLIERS","RELATIONSHIP_AS_OF_DATE","20010627")</f>
        <v/>
      </c>
      <c r="BD5">
        <f>BDS("355488Q US Equity","SUPPLY_CHAIN_CUSTOMERS","RELATIONSHIP_AS_OF_DATE","20010627")</f>
        <v/>
      </c>
      <c r="BI5">
        <f>BDS("CKEC US Equity","SUPPLY_CHAIN_SUPPLIERS","RELATIONSHIP_AS_OF_DATE","20140515")</f>
        <v/>
      </c>
      <c r="BN5">
        <f>BDS("CKEC US Equity","SUPPLY_CHAIN_CUSTOMERS","RELATIONSHIP_AS_OF_DATE","20140515")</f>
        <v/>
      </c>
      <c r="BS5">
        <f>BDS("8184843Q US Equity","SUPPLY_CHAIN_SUPPLIERS","RELATIONSHIP_AS_OF_DATE","20040908")</f>
        <v/>
      </c>
      <c r="BX5">
        <f>BDS("8184843Q US Equity","SUPPLY_CHAIN_CUSTOMERS","RELATIONSHIP_AS_OF_DATE","20040908")</f>
        <v/>
      </c>
      <c r="CC5">
        <f>BDS("KLAC US Equity","SUPPLY_CHAIN_SUPPLIERS","RELATIONSHIP_AS_OF_DATE","20070108")</f>
        <v/>
      </c>
      <c r="CH5">
        <f>BDS("KLAC US Equity","SUPPLY_CHAIN_CUSTOMERS","RELATIONSHIP_AS_OF_DATE","20070108")</f>
        <v/>
      </c>
      <c r="CM5">
        <f>BDS("BKU US Equity","SUPPLY_CHAIN_SUPPLIERS","RELATIONSHIP_AS_OF_DATE","20110602")</f>
        <v/>
      </c>
      <c r="CR5">
        <f>BDS("BKU US Equity","SUPPLY_CHAIN_CUSTOMERS","RELATIONSHIP_AS_OF_DATE","20110602")</f>
        <v/>
      </c>
      <c r="CW5">
        <f>BDS("PSD US Equity","SUPPLY_CHAIN_SUPPLIERS","RELATIONSHIP_AS_OF_DATE","20000629")</f>
        <v/>
      </c>
      <c r="DB5">
        <f>BDS("PSD US Equity","SUPPLY_CHAIN_CUSTOMERS","RELATIONSHIP_AS_OF_DATE","20000629")</f>
        <v/>
      </c>
      <c r="DG5">
        <f>BDS("NAL US Equity","SUPPLY_CHAIN_SUPPLIERS","RELATIONSHIP_AS_OF_DATE","20050413")</f>
        <v/>
      </c>
      <c r="DL5">
        <f>BDS("NAL US Equity","SUPPLY_CHAIN_CUSTOMERS","RELATIONSHIP_AS_OF_DATE","20050413")</f>
        <v/>
      </c>
      <c r="DQ5">
        <f>BDS("RLR US Equity","SUPPLY_CHAIN_SUPPLIERS","RELATIONSHIP_AS_OF_DATE","20000229")</f>
        <v/>
      </c>
      <c r="DV5">
        <f>BDS("RLR US Equity","SUPPLY_CHAIN_CUSTOMERS","RELATIONSHIP_AS_OF_DATE","20000229")</f>
        <v/>
      </c>
      <c r="EA5">
        <f>BDS("AXP US Equity","SUPPLY_CHAIN_SUPPLIERS","RELATIONSHIP_AS_OF_DATE","19981110")</f>
        <v/>
      </c>
      <c r="EF5">
        <f>BDS("AXP US Equity","SUPPLY_CHAIN_CUSTOMERS","RELATIONSHIP_AS_OF_DATE","19981110")</f>
        <v/>
      </c>
      <c r="EK5">
        <f>BDS("CBFV US Equity","SUPPLY_CHAIN_SUPPLIERS","RELATIONSHIP_AS_OF_DATE","20171116")</f>
        <v/>
      </c>
      <c r="EP5">
        <f>BDS("CBFV US Equity","SUPPLY_CHAIN_CUSTOMERS","RELATIONSHIP_AS_OF_DATE","20171116")</f>
        <v/>
      </c>
      <c r="EU5">
        <f>BDS("2676187Q US Equity","SUPPLY_CHAIN_SUPPLIERS","RELATIONSHIP_AS_OF_DATE","20001211")</f>
        <v/>
      </c>
      <c r="EZ5">
        <f>BDS("2676187Q US Equity","SUPPLY_CHAIN_CUSTOMERS","RELATIONSHIP_AS_OF_DATE","20001211")</f>
        <v/>
      </c>
      <c r="FE5">
        <f>BDS("RCAPQ US Equity","SUPPLY_CHAIN_SUPPLIERS","RELATIONSHIP_AS_OF_DATE","20131118")</f>
        <v/>
      </c>
      <c r="FJ5">
        <f>BDS("RCAPQ US Equity","SUPPLY_CHAIN_CUSTOMERS","RELATIONSHIP_AS_OF_DATE","20131118")</f>
        <v/>
      </c>
      <c r="FO5">
        <f>BDS("9990253D US Equity","SUPPLY_CHAIN_SUPPLIERS","RELATIONSHIP_AS_OF_DATE","20091223")</f>
        <v/>
      </c>
      <c r="FT5">
        <f>BDS("9990253D US Equity","SUPPLY_CHAIN_CUSTOMERS","RELATIONSHIP_AS_OF_DATE","20091223")</f>
        <v/>
      </c>
      <c r="FY5">
        <f>BDS("DGII US Equity","SUPPLY_CHAIN_SUPPLIERS","RELATIONSHIP_AS_OF_DATE","20011030")</f>
        <v/>
      </c>
      <c r="GD5">
        <f>BDS("DGII US Equity","SUPPLY_CHAIN_CUSTOMERS","RELATIONSHIP_AS_OF_DATE","20011030")</f>
        <v/>
      </c>
      <c r="GI5">
        <f>BDS("CNVR US Equity","SUPPLY_CHAIN_SUPPLIERS","RELATIONSHIP_AS_OF_DATE","20010702")</f>
        <v/>
      </c>
      <c r="GN5">
        <f>BDS("CNVR US Equity","SUPPLY_CHAIN_CUSTOMERS","RELATIONSHIP_AS_OF_DATE","20010702")</f>
        <v/>
      </c>
      <c r="GS5">
        <f>BDS("FBA US Equity","SUPPLY_CHAIN_SUPPLIERS","RELATIONSHIP_AS_OF_DATE","20010622")</f>
        <v/>
      </c>
      <c r="GX5">
        <f>BDS("FBA US Equity","SUPPLY_CHAIN_CUSTOMERS","RELATIONSHIP_AS_OF_DATE","20010622")</f>
        <v/>
      </c>
      <c r="HC5">
        <f>BDS("OLBK US Equity","SUPPLY_CHAIN_SUPPLIERS","RELATIONSHIP_AS_OF_DATE","20120910")</f>
        <v/>
      </c>
      <c r="HH5">
        <f>BDS("OLBK US Equity","SUPPLY_CHAIN_CUSTOMERS","RELATIONSHIP_AS_OF_DATE","20120910")</f>
        <v/>
      </c>
      <c r="HM5">
        <f>BDS("540513Q US Equity","SUPPLY_CHAIN_SUPPLIERS","RELATIONSHIP_AS_OF_DATE","20030903")</f>
        <v/>
      </c>
      <c r="HR5">
        <f>BDS("540513Q US Equity","SUPPLY_CHAIN_CUSTOMERS","RELATIONSHIP_AS_OF_DATE","20030903")</f>
        <v/>
      </c>
      <c r="HW5">
        <f>BDS("ESXB US Equity","SUPPLY_CHAIN_SUPPLIERS","RELATIONSHIP_AS_OF_DATE","20070906")</f>
        <v/>
      </c>
      <c r="IB5">
        <f>BDS("ESXB US Equity","SUPPLY_CHAIN_CUSTOMERS","RELATIONSHIP_AS_OF_DATE","20070906")</f>
        <v/>
      </c>
      <c r="IG5">
        <f>BDS("KBAL US Equity","SUPPLY_CHAIN_SUPPLIERS","RELATIONSHIP_AS_OF_DATE","20061219")</f>
        <v/>
      </c>
      <c r="IL5">
        <f>BDS("KBAL US Equity","SUPPLY_CHAIN_CUSTOMERS","RELATIONSHIP_AS_OF_DATE","20061219")</f>
        <v/>
      </c>
      <c r="IQ5">
        <f>BDS("TOBC US Equity","SUPPLY_CHAIN_SUPPLIERS","RELATIONSHIP_AS_OF_DATE","20091228")</f>
        <v/>
      </c>
      <c r="IV5">
        <f>BDS("TOBC US Equity","SUPPLY_CHAIN_CUSTOMERS","RELATIONSHIP_AS_OF_DATE","20091228")</f>
        <v/>
      </c>
      <c r="JA5">
        <f>BDS("GFR US Equity","SUPPLY_CHAIN_SUPPLIERS","RELATIONSHIP_AS_OF_DATE","20020628")</f>
        <v/>
      </c>
      <c r="JF5">
        <f>BDS("GFR US Equity","SUPPLY_CHAIN_CUSTOMERS","RELATIONSHIP_AS_OF_DATE","20020628")</f>
        <v/>
      </c>
      <c r="JK5">
        <f>BDS("MSI US Equity","SUPPLY_CHAIN_SUPPLIERS","RELATIONSHIP_AS_OF_DATE","20061221")</f>
        <v/>
      </c>
      <c r="JP5">
        <f>BDS("MSI US Equity","SUPPLY_CHAIN_CUSTOMERS","RELATIONSHIP_AS_OF_DATE","20061221")</f>
        <v/>
      </c>
      <c r="JU5">
        <f>BDS("NTUS US Equity","SUPPLY_CHAIN_SUPPLIERS","RELATIONSHIP_AS_OF_DATE","20051017")</f>
        <v/>
      </c>
      <c r="JZ5">
        <f>BDS("NTUS US Equity","SUPPLY_CHAIN_CUSTOMERS","RELATIONSHIP_AS_OF_DATE","20051017")</f>
        <v/>
      </c>
      <c r="KE5">
        <f>BDS("GABC US Equity","SUPPLY_CHAIN_SUPPLIERS","RELATIONSHIP_AS_OF_DATE","19980625")</f>
        <v/>
      </c>
      <c r="KJ5">
        <f>BDS("GABC US Equity","SUPPLY_CHAIN_CUSTOMERS","RELATIONSHIP_AS_OF_DATE","19980625")</f>
        <v/>
      </c>
      <c r="KO5">
        <f>BDS("TFC US Equity","SUPPLY_CHAIN_SUPPLIERS","RELATIONSHIP_AS_OF_DATE","20020927")</f>
        <v/>
      </c>
      <c r="KT5">
        <f>BDS("TFC US Equity","SUPPLY_CHAIN_CUSTOMERS","RELATIONSHIP_AS_OF_DATE","20020927")</f>
        <v/>
      </c>
      <c r="KY5">
        <f>BDS("NFBK US Equity","SUPPLY_CHAIN_SUPPLIERS","RELATIONSHIP_AS_OF_DATE","20150826")</f>
        <v/>
      </c>
      <c r="LD5">
        <f>BDS("NFBK US Equity","SUPPLY_CHAIN_CUSTOMERS","RELATIONSHIP_AS_OF_DATE","20150826")</f>
        <v/>
      </c>
      <c r="LI5">
        <f>BDS("BVH US Equity","SUPPLY_CHAIN_SUPPLIERS","RELATIONSHIP_AS_OF_DATE","20210405")</f>
        <v/>
      </c>
      <c r="LN5">
        <f>BDS("BVH US Equity","SUPPLY_CHAIN_CUSTOMERS","RELATIONSHIP_AS_OF_DATE","20210405")</f>
        <v/>
      </c>
      <c r="LS5">
        <f>BDS("LKQ US Equity","SUPPLY_CHAIN_SUPPLIERS","RELATIONSHIP_AS_OF_DATE","20150709")</f>
        <v/>
      </c>
      <c r="LX5">
        <f>BDS("LKQ US Equity","SUPPLY_CHAIN_CUSTOMERS","RELATIONSHIP_AS_OF_DATE","20150709")</f>
        <v/>
      </c>
      <c r="MC5">
        <f>BDS("FJCC US Equity","SUPPLY_CHAIN_SUPPLIERS","RELATIONSHIP_AS_OF_DATE","19990713")</f>
        <v/>
      </c>
      <c r="MH5">
        <f>BDS("FJCC US Equity","SUPPLY_CHAIN_CUSTOMERS","RELATIONSHIP_AS_OF_DATE","19990713")</f>
        <v/>
      </c>
      <c r="MM5">
        <f>BDS("HET US Equity","SUPPLY_CHAIN_SUPPLIERS","RELATIONSHIP_AS_OF_DATE","20020731")</f>
        <v/>
      </c>
      <c r="MR5">
        <f>BDS("HET US Equity","SUPPLY_CHAIN_CUSTOMERS","RELATIONSHIP_AS_OF_DATE","20020731")</f>
        <v/>
      </c>
      <c r="MW5">
        <f>BDS("LAMR US Equity","SUPPLY_CHAIN_SUPPLIERS","RELATIONSHIP_AS_OF_DATE","20001004")</f>
        <v/>
      </c>
      <c r="NB5">
        <f>BDS("LAMR US Equity","SUPPLY_CHAIN_CUSTOMERS","RELATIONSHIP_AS_OF_DATE","20001004")</f>
        <v/>
      </c>
      <c r="NG5">
        <f>BDS("FCCO US Equity","SUPPLY_CHAIN_SUPPLIERS","RELATIONSHIP_AS_OF_DATE","20040413")</f>
        <v/>
      </c>
      <c r="NL5">
        <f>BDS("FCCO US Equity","SUPPLY_CHAIN_CUSTOMERS","RELATIONSHIP_AS_OF_DATE","20040413")</f>
        <v/>
      </c>
      <c r="NQ5">
        <f>BDS("FTBK US Equity","SUPPLY_CHAIN_SUPPLIERS","RELATIONSHIP_AS_OF_DATE","20050912")</f>
        <v/>
      </c>
      <c r="NV5">
        <f>BDS("FTBK US Equity","SUPPLY_CHAIN_CUSTOMERS","RELATIONSHIP_AS_OF_DATE","20050912")</f>
        <v/>
      </c>
      <c r="OA5">
        <f>BDS("CVOVQ US Equity","SUPPLY_CHAIN_SUPPLIERS","RELATIONSHIP_AS_OF_DATE","20090507")</f>
        <v/>
      </c>
      <c r="OF5">
        <f>BDS("CVOVQ US Equity","SUPPLY_CHAIN_CUSTOMERS","RELATIONSHIP_AS_OF_DATE","20090507")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4041</t>
        </is>
      </c>
      <c r="K1" s="1" t="inlineStr">
        <is>
          <t>Deal 4042</t>
        </is>
      </c>
      <c r="U1" s="1" t="inlineStr">
        <is>
          <t>Deal 4043</t>
        </is>
      </c>
      <c r="AE1" s="1" t="inlineStr">
        <is>
          <t>Deal 4044</t>
        </is>
      </c>
      <c r="AO1" s="1" t="inlineStr">
        <is>
          <t>Deal 4045</t>
        </is>
      </c>
      <c r="AY1" s="1" t="inlineStr">
        <is>
          <t>Deal 4046</t>
        </is>
      </c>
      <c r="BI1" s="1" t="inlineStr">
        <is>
          <t>Deal 4047</t>
        </is>
      </c>
      <c r="BS1" s="1" t="inlineStr">
        <is>
          <t>Deal 4048</t>
        </is>
      </c>
      <c r="CC1" s="1" t="inlineStr">
        <is>
          <t>Deal 4049</t>
        </is>
      </c>
      <c r="CM1" s="1" t="inlineStr">
        <is>
          <t>Deal 4050</t>
        </is>
      </c>
      <c r="CW1" s="1" t="inlineStr">
        <is>
          <t>Deal 4051</t>
        </is>
      </c>
      <c r="DG1" s="1" t="inlineStr">
        <is>
          <t>Deal 4052</t>
        </is>
      </c>
      <c r="DQ1" s="1" t="inlineStr">
        <is>
          <t>Deal 4053</t>
        </is>
      </c>
      <c r="EA1" s="1" t="inlineStr">
        <is>
          <t>Deal 4054</t>
        </is>
      </c>
      <c r="EK1" s="1" t="inlineStr">
        <is>
          <t>Deal 4055</t>
        </is>
      </c>
      <c r="EU1" s="1" t="inlineStr">
        <is>
          <t>Deal 4056</t>
        </is>
      </c>
      <c r="FE1" s="1" t="inlineStr">
        <is>
          <t>Deal 4057</t>
        </is>
      </c>
      <c r="FO1" s="1" t="inlineStr">
        <is>
          <t>Deal 4058</t>
        </is>
      </c>
      <c r="FY1" s="1" t="inlineStr">
        <is>
          <t>Deal 4059</t>
        </is>
      </c>
      <c r="GI1" s="1" t="inlineStr">
        <is>
          <t>Deal 4060</t>
        </is>
      </c>
      <c r="GS1" s="1" t="inlineStr">
        <is>
          <t>Deal 4061</t>
        </is>
      </c>
      <c r="HC1" s="1" t="inlineStr">
        <is>
          <t>Deal 4062</t>
        </is>
      </c>
      <c r="HM1" s="1" t="inlineStr">
        <is>
          <t>Deal 4063</t>
        </is>
      </c>
      <c r="HW1" s="1" t="inlineStr">
        <is>
          <t>Deal 4064</t>
        </is>
      </c>
      <c r="IG1" s="1" t="inlineStr">
        <is>
          <t>Deal 4065</t>
        </is>
      </c>
      <c r="IQ1" s="1" t="inlineStr">
        <is>
          <t>Deal 4066</t>
        </is>
      </c>
      <c r="JA1" s="1" t="inlineStr">
        <is>
          <t>Deal 4067</t>
        </is>
      </c>
      <c r="JK1" s="1" t="inlineStr">
        <is>
          <t>Deal 4068</t>
        </is>
      </c>
      <c r="JU1" s="1" t="inlineStr">
        <is>
          <t>Deal 4069</t>
        </is>
      </c>
      <c r="KE1" s="1" t="inlineStr">
        <is>
          <t>Deal 4070</t>
        </is>
      </c>
      <c r="KO1" s="1" t="inlineStr">
        <is>
          <t>Deal 4071</t>
        </is>
      </c>
      <c r="KY1" s="1" t="inlineStr">
        <is>
          <t>Deal 4072</t>
        </is>
      </c>
      <c r="LI1" s="1" t="inlineStr">
        <is>
          <t>Deal 4073</t>
        </is>
      </c>
      <c r="LS1" s="1" t="inlineStr">
        <is>
          <t>Deal 4074</t>
        </is>
      </c>
      <c r="MC1" s="1" t="inlineStr">
        <is>
          <t>Deal 4075</t>
        </is>
      </c>
      <c r="MM1" s="1" t="inlineStr">
        <is>
          <t>Deal 4076</t>
        </is>
      </c>
      <c r="MW1" s="1" t="inlineStr">
        <is>
          <t>Deal 4077</t>
        </is>
      </c>
      <c r="NG1" s="1" t="inlineStr">
        <is>
          <t>Deal 4078</t>
        </is>
      </c>
      <c r="NQ1" s="1" t="inlineStr">
        <is>
          <t>Deal 4079</t>
        </is>
      </c>
      <c r="OA1" s="1" t="inlineStr">
        <is>
          <t>Deal 4080</t>
        </is>
      </c>
    </row>
    <row r="2">
      <c r="A2" s="2" t="inlineStr">
        <is>
          <t>2310330D US Equity</t>
        </is>
      </c>
      <c r="K2" s="2" t="inlineStr">
        <is>
          <t>PFBI US Equity</t>
        </is>
      </c>
      <c r="U2" s="2" t="inlineStr">
        <is>
          <t>RIVE US Equity</t>
        </is>
      </c>
      <c r="AE2" s="2" t="inlineStr">
        <is>
          <t>SBNC US Equity</t>
        </is>
      </c>
      <c r="AO2" s="2" t="inlineStr">
        <is>
          <t>HAE US Equity</t>
        </is>
      </c>
      <c r="AY2" s="2" t="inlineStr">
        <is>
          <t>RCKT US Equity</t>
        </is>
      </c>
      <c r="BI2" s="2" t="inlineStr">
        <is>
          <t>HTBK US Equity</t>
        </is>
      </c>
      <c r="BS2" s="2" t="inlineStr">
        <is>
          <t>FORR US Equity</t>
        </is>
      </c>
      <c r="CC2" s="2" t="inlineStr">
        <is>
          <t>BCAL US Equity</t>
        </is>
      </c>
      <c r="CM2" s="2" t="inlineStr">
        <is>
          <t>679882Q US Equity</t>
        </is>
      </c>
      <c r="CW2" s="2" t="inlineStr">
        <is>
          <t>FCCY US Equity</t>
        </is>
      </c>
      <c r="DG2" s="2" t="inlineStr">
        <is>
          <t>HILL US Equity</t>
        </is>
      </c>
      <c r="DQ2" s="2" t="inlineStr">
        <is>
          <t>HWC US Equity</t>
        </is>
      </c>
      <c r="EA2" s="2" t="inlineStr">
        <is>
          <t>HU US Equity</t>
        </is>
      </c>
      <c r="EK2" s="2" t="inlineStr">
        <is>
          <t>3470770Q US Equity</t>
        </is>
      </c>
      <c r="EU2" s="2" t="inlineStr">
        <is>
          <t>EQT US Equity</t>
        </is>
      </c>
      <c r="FE2" s="2" t="inlineStr">
        <is>
          <t>UB US Equity</t>
        </is>
      </c>
      <c r="FO2" s="2" t="inlineStr">
        <is>
          <t>VEXPQ US Equity</t>
        </is>
      </c>
      <c r="FY2" s="2" t="inlineStr">
        <is>
          <t>NWKC US Equity</t>
        </is>
      </c>
      <c r="GI2" s="2" t="inlineStr">
        <is>
          <t>ECL US Equity</t>
        </is>
      </c>
      <c r="GS2" s="2" t="inlineStr">
        <is>
          <t>MOFG US Equity</t>
        </is>
      </c>
      <c r="HC2" s="2" t="inlineStr">
        <is>
          <t>RJET US Equity</t>
        </is>
      </c>
      <c r="HM2" s="2" t="inlineStr">
        <is>
          <t>STXN US Equity</t>
        </is>
      </c>
      <c r="HW2" s="2" t="inlineStr">
        <is>
          <t>IART US Equity</t>
        </is>
      </c>
      <c r="IG2" s="2" t="inlineStr">
        <is>
          <t>IBM US Equity</t>
        </is>
      </c>
      <c r="IQ2" s="2" t="inlineStr">
        <is>
          <t>CWLM US Equity</t>
        </is>
      </c>
      <c r="JA2" s="2" t="inlineStr">
        <is>
          <t>PWOD US Equity</t>
        </is>
      </c>
      <c r="JK2" s="2" t="inlineStr">
        <is>
          <t>2598Q US Equity</t>
        </is>
      </c>
      <c r="JU2" s="2" t="inlineStr">
        <is>
          <t>PRK US Equity</t>
        </is>
      </c>
      <c r="KE2" s="2" t="inlineStr">
        <is>
          <t>BCBP US Equity</t>
        </is>
      </c>
      <c r="KO2" s="2" t="inlineStr">
        <is>
          <t>HNBC US Equity</t>
        </is>
      </c>
      <c r="KY2" s="2" t="inlineStr">
        <is>
          <t>COLB US Equity</t>
        </is>
      </c>
      <c r="LI2" s="2" t="inlineStr">
        <is>
          <t>GMST US Equity</t>
        </is>
      </c>
      <c r="LS2" s="2" t="inlineStr">
        <is>
          <t>TTN US Equity</t>
        </is>
      </c>
      <c r="MC2" s="2" t="inlineStr">
        <is>
          <t>PICZQ US Equity</t>
        </is>
      </c>
      <c r="MM2" s="2" t="inlineStr">
        <is>
          <t>SLFI US Equity</t>
        </is>
      </c>
      <c r="MW2" s="2" t="inlineStr">
        <is>
          <t>PCBK US Equity</t>
        </is>
      </c>
      <c r="NG2" s="2" t="inlineStr">
        <is>
          <t>SDAB US Equity</t>
        </is>
      </c>
      <c r="NQ2" s="2" t="inlineStr">
        <is>
          <t>3518429Q US Equity</t>
        </is>
      </c>
      <c r="OA2" s="2" t="inlineStr">
        <is>
          <t>WBS US Equity</t>
        </is>
      </c>
    </row>
    <row r="3">
      <c r="A3" t="inlineStr">
        <is>
          <t>Ann: 1996-02-14</t>
        </is>
      </c>
      <c r="K3" t="inlineStr">
        <is>
          <t>Ann: 2015-07-07</t>
        </is>
      </c>
      <c r="U3" t="inlineStr">
        <is>
          <t>Ann: 2017-04-20</t>
        </is>
      </c>
      <c r="AE3" t="inlineStr">
        <is>
          <t>Ann: 2015-10-21</t>
        </is>
      </c>
      <c r="AO3" t="inlineStr">
        <is>
          <t>Ann: 2010-02-01</t>
        </is>
      </c>
      <c r="AY3" t="inlineStr">
        <is>
          <t>Ann: 2022-09-20</t>
        </is>
      </c>
      <c r="BI3" t="inlineStr">
        <is>
          <t>Ann: 2015-04-23</t>
        </is>
      </c>
      <c r="BS3" t="inlineStr">
        <is>
          <t>Ann: 2003-01-21</t>
        </is>
      </c>
      <c r="CC3" t="inlineStr">
        <is>
          <t>Ann: 2021-04-27</t>
        </is>
      </c>
      <c r="CM3" t="inlineStr">
        <is>
          <t>Ann: 1999-09-07</t>
        </is>
      </c>
      <c r="CW3" t="inlineStr">
        <is>
          <t>Ann: 2019-06-24</t>
        </is>
      </c>
      <c r="DG3" t="inlineStr">
        <is>
          <t>Ann: 1999-04-30</t>
        </is>
      </c>
      <c r="DQ3" t="inlineStr">
        <is>
          <t>Ann: 2001-01-31</t>
        </is>
      </c>
      <c r="EA3" t="inlineStr">
        <is>
          <t>Ann: 1999-06-29</t>
        </is>
      </c>
      <c r="EK3" t="inlineStr">
        <is>
          <t>Ann: 2003-03-21</t>
        </is>
      </c>
      <c r="EU3" t="inlineStr">
        <is>
          <t>Ann: 2016-10-25</t>
        </is>
      </c>
      <c r="FE3" t="inlineStr">
        <is>
          <t>Ann: 2001-12-19</t>
        </is>
      </c>
      <c r="FO3" t="inlineStr">
        <is>
          <t>Ann: 2006-07-05</t>
        </is>
      </c>
      <c r="FY3" t="inlineStr">
        <is>
          <t>Ann: 1999-12-21</t>
        </is>
      </c>
      <c r="GI3" t="inlineStr">
        <is>
          <t>Ann: 2004-03-11</t>
        </is>
      </c>
      <c r="GS3" t="inlineStr">
        <is>
          <t>Ann: 2021-11-01</t>
        </is>
      </c>
      <c r="HC3" t="inlineStr">
        <is>
          <t>Ann: 1998-08-28</t>
        </is>
      </c>
      <c r="HM3" t="inlineStr">
        <is>
          <t>Ann: 1998-07-23</t>
        </is>
      </c>
      <c r="HW3" t="inlineStr">
        <is>
          <t>Ann: 2007-08-07</t>
        </is>
      </c>
      <c r="IG3" t="inlineStr">
        <is>
          <t>Ann: 2001-04-19</t>
        </is>
      </c>
      <c r="IQ3" t="inlineStr">
        <is>
          <t>Ann: 2000-12-20</t>
        </is>
      </c>
      <c r="JA3" t="inlineStr">
        <is>
          <t>Ann: 2012-10-18</t>
        </is>
      </c>
      <c r="JK3" t="inlineStr">
        <is>
          <t>Ann: 1998-07-02</t>
        </is>
      </c>
      <c r="JU3" t="inlineStr">
        <is>
          <t>Ann: 2004-08-03</t>
        </is>
      </c>
      <c r="KE3" t="inlineStr">
        <is>
          <t>Ann: 2009-06-30</t>
        </is>
      </c>
      <c r="KO3" t="inlineStr">
        <is>
          <t>Ann: 2003-10-15</t>
        </is>
      </c>
      <c r="KY3" t="inlineStr">
        <is>
          <t>Ann: 2004-06-07</t>
        </is>
      </c>
      <c r="LI3" t="inlineStr">
        <is>
          <t>Ann: 2001-05-14</t>
        </is>
      </c>
      <c r="LS3" t="inlineStr">
        <is>
          <t>Ann: 2001-06-25</t>
        </is>
      </c>
      <c r="MC3" t="inlineStr">
        <is>
          <t>Ann: 1998-04-23</t>
        </is>
      </c>
      <c r="MM3" t="inlineStr">
        <is>
          <t>Ann: 2004-06-14</t>
        </is>
      </c>
      <c r="MW3" t="inlineStr">
        <is>
          <t>Ann: 2016-04-26</t>
        </is>
      </c>
      <c r="NG3" t="inlineStr">
        <is>
          <t>Ann: 2003-02-06</t>
        </is>
      </c>
      <c r="NQ3" t="inlineStr">
        <is>
          <t>Ann: 2001-01-04</t>
        </is>
      </c>
      <c r="OA3" t="inlineStr">
        <is>
          <t>Ann: 1998-11-11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BDS("2310330D US Equity","SUPPLY_CHAIN_SUPPLIERS","RELATIONSHIP_AS_OF_DATE","19960214")</f>
        <v/>
      </c>
      <c r="F5">
        <f>BDS("2310330D US Equity","SUPPLY_CHAIN_CUSTOMERS","RELATIONSHIP_AS_OF_DATE","19960214")</f>
        <v/>
      </c>
      <c r="K5">
        <f>BDS("PFBI US Equity","SUPPLY_CHAIN_SUPPLIERS","RELATIONSHIP_AS_OF_DATE","20150707")</f>
        <v/>
      </c>
      <c r="P5">
        <f>BDS("PFBI US Equity","SUPPLY_CHAIN_CUSTOMERS","RELATIONSHIP_AS_OF_DATE","20150707")</f>
        <v/>
      </c>
      <c r="U5">
        <f>BDS("RIVE US Equity","SUPPLY_CHAIN_SUPPLIERS","RELATIONSHIP_AS_OF_DATE","20170420")</f>
        <v/>
      </c>
      <c r="Z5">
        <f>BDS("RIVE US Equity","SUPPLY_CHAIN_CUSTOMERS","RELATIONSHIP_AS_OF_DATE","20170420")</f>
        <v/>
      </c>
      <c r="AE5">
        <f>BDS("SBNC US Equity","SUPPLY_CHAIN_SUPPLIERS","RELATIONSHIP_AS_OF_DATE","20151021")</f>
        <v/>
      </c>
      <c r="AJ5">
        <f>BDS("SBNC US Equity","SUPPLY_CHAIN_CUSTOMERS","RELATIONSHIP_AS_OF_DATE","20151021")</f>
        <v/>
      </c>
      <c r="AO5">
        <f>BDS("HAE US Equity","SUPPLY_CHAIN_SUPPLIERS","RELATIONSHIP_AS_OF_DATE","20100201")</f>
        <v/>
      </c>
      <c r="AT5">
        <f>BDS("HAE US Equity","SUPPLY_CHAIN_CUSTOMERS","RELATIONSHIP_AS_OF_DATE","20100201")</f>
        <v/>
      </c>
      <c r="AY5">
        <f>BDS("RCKT US Equity","SUPPLY_CHAIN_SUPPLIERS","RELATIONSHIP_AS_OF_DATE","20220920")</f>
        <v/>
      </c>
      <c r="BD5">
        <f>BDS("RCKT US Equity","SUPPLY_CHAIN_CUSTOMERS","RELATIONSHIP_AS_OF_DATE","20220920")</f>
        <v/>
      </c>
      <c r="BI5">
        <f>BDS("HTBK US Equity","SUPPLY_CHAIN_SUPPLIERS","RELATIONSHIP_AS_OF_DATE","20150423")</f>
        <v/>
      </c>
      <c r="BN5">
        <f>BDS("HTBK US Equity","SUPPLY_CHAIN_CUSTOMERS","RELATIONSHIP_AS_OF_DATE","20150423")</f>
        <v/>
      </c>
      <c r="BS5">
        <f>BDS("FORR US Equity","SUPPLY_CHAIN_SUPPLIERS","RELATIONSHIP_AS_OF_DATE","20030121")</f>
        <v/>
      </c>
      <c r="BX5">
        <f>BDS("FORR US Equity","SUPPLY_CHAIN_CUSTOMERS","RELATIONSHIP_AS_OF_DATE","20030121")</f>
        <v/>
      </c>
      <c r="CC5">
        <f>BDS("BCAL US Equity","SUPPLY_CHAIN_SUPPLIERS","RELATIONSHIP_AS_OF_DATE","20210427")</f>
        <v/>
      </c>
      <c r="CH5">
        <f>BDS("BCAL US Equity","SUPPLY_CHAIN_CUSTOMERS","RELATIONSHIP_AS_OF_DATE","20210427")</f>
        <v/>
      </c>
      <c r="CM5">
        <f>BDS("679882Q US Equity","SUPPLY_CHAIN_SUPPLIERS","RELATIONSHIP_AS_OF_DATE","19990907")</f>
        <v/>
      </c>
      <c r="CR5">
        <f>BDS("679882Q US Equity","SUPPLY_CHAIN_CUSTOMERS","RELATIONSHIP_AS_OF_DATE","19990907")</f>
        <v/>
      </c>
      <c r="CW5">
        <f>BDS("FCCY US Equity","SUPPLY_CHAIN_SUPPLIERS","RELATIONSHIP_AS_OF_DATE","20190624")</f>
        <v/>
      </c>
      <c r="DB5">
        <f>BDS("FCCY US Equity","SUPPLY_CHAIN_CUSTOMERS","RELATIONSHIP_AS_OF_DATE","20190624")</f>
        <v/>
      </c>
      <c r="DG5">
        <f>BDS("HILL US Equity","SUPPLY_CHAIN_SUPPLIERS","RELATIONSHIP_AS_OF_DATE","19990430")</f>
        <v/>
      </c>
      <c r="DL5">
        <f>BDS("HILL US Equity","SUPPLY_CHAIN_CUSTOMERS","RELATIONSHIP_AS_OF_DATE","19990430")</f>
        <v/>
      </c>
      <c r="DQ5">
        <f>BDS("HWC US Equity","SUPPLY_CHAIN_SUPPLIERS","RELATIONSHIP_AS_OF_DATE","20010131")</f>
        <v/>
      </c>
      <c r="DV5">
        <f>BDS("HWC US Equity","SUPPLY_CHAIN_CUSTOMERS","RELATIONSHIP_AS_OF_DATE","20010131")</f>
        <v/>
      </c>
      <c r="EA5">
        <f>BDS("HU US Equity","SUPPLY_CHAIN_SUPPLIERS","RELATIONSHIP_AS_OF_DATE","19990629")</f>
        <v/>
      </c>
      <c r="EF5">
        <f>BDS("HU US Equity","SUPPLY_CHAIN_CUSTOMERS","RELATIONSHIP_AS_OF_DATE","19990629")</f>
        <v/>
      </c>
      <c r="EK5">
        <f>BDS("3470770Q US Equity","SUPPLY_CHAIN_SUPPLIERS","RELATIONSHIP_AS_OF_DATE","20030321")</f>
        <v/>
      </c>
      <c r="EP5">
        <f>BDS("3470770Q US Equity","SUPPLY_CHAIN_CUSTOMERS","RELATIONSHIP_AS_OF_DATE","20030321")</f>
        <v/>
      </c>
      <c r="EU5">
        <f>BDS("EQT US Equity","SUPPLY_CHAIN_SUPPLIERS","RELATIONSHIP_AS_OF_DATE","20161025")</f>
        <v/>
      </c>
      <c r="EZ5">
        <f>BDS("EQT US Equity","SUPPLY_CHAIN_CUSTOMERS","RELATIONSHIP_AS_OF_DATE","20161025")</f>
        <v/>
      </c>
      <c r="FE5">
        <f>BDS("UB US Equity","SUPPLY_CHAIN_SUPPLIERS","RELATIONSHIP_AS_OF_DATE","20011219")</f>
        <v/>
      </c>
      <c r="FJ5">
        <f>BDS("UB US Equity","SUPPLY_CHAIN_CUSTOMERS","RELATIONSHIP_AS_OF_DATE","20011219")</f>
        <v/>
      </c>
      <c r="FO5">
        <f>BDS("VEXPQ US Equity","SUPPLY_CHAIN_SUPPLIERS","RELATIONSHIP_AS_OF_DATE","20060705")</f>
        <v/>
      </c>
      <c r="FT5">
        <f>BDS("VEXPQ US Equity","SUPPLY_CHAIN_CUSTOMERS","RELATIONSHIP_AS_OF_DATE","20060705")</f>
        <v/>
      </c>
      <c r="FY5">
        <f>BDS("NWKC US Equity","SUPPLY_CHAIN_SUPPLIERS","RELATIONSHIP_AS_OF_DATE","19991221")</f>
        <v/>
      </c>
      <c r="GD5">
        <f>BDS("NWKC US Equity","SUPPLY_CHAIN_CUSTOMERS","RELATIONSHIP_AS_OF_DATE","19991221")</f>
        <v/>
      </c>
      <c r="GI5">
        <f>BDS("ECL US Equity","SUPPLY_CHAIN_SUPPLIERS","RELATIONSHIP_AS_OF_DATE","20040311")</f>
        <v/>
      </c>
      <c r="GN5">
        <f>BDS("ECL US Equity","SUPPLY_CHAIN_CUSTOMERS","RELATIONSHIP_AS_OF_DATE","20040311")</f>
        <v/>
      </c>
      <c r="GS5">
        <f>BDS("MOFG US Equity","SUPPLY_CHAIN_SUPPLIERS","RELATIONSHIP_AS_OF_DATE","20211101")</f>
        <v/>
      </c>
      <c r="GX5">
        <f>BDS("MOFG US Equity","SUPPLY_CHAIN_CUSTOMERS","RELATIONSHIP_AS_OF_DATE","20211101")</f>
        <v/>
      </c>
      <c r="HC5">
        <f>BDS("RJET US Equity","SUPPLY_CHAIN_SUPPLIERS","RELATIONSHIP_AS_OF_DATE","19980828")</f>
        <v/>
      </c>
      <c r="HH5">
        <f>BDS("RJET US Equity","SUPPLY_CHAIN_CUSTOMERS","RELATIONSHIP_AS_OF_DATE","19980828")</f>
        <v/>
      </c>
      <c r="HM5">
        <f>BDS("STXN US Equity","SUPPLY_CHAIN_SUPPLIERS","RELATIONSHIP_AS_OF_DATE","19980723")</f>
        <v/>
      </c>
      <c r="HR5">
        <f>BDS("STXN US Equity","SUPPLY_CHAIN_CUSTOMERS","RELATIONSHIP_AS_OF_DATE","19980723")</f>
        <v/>
      </c>
      <c r="HW5">
        <f>BDS("IART US Equity","SUPPLY_CHAIN_SUPPLIERS","RELATIONSHIP_AS_OF_DATE","20070807")</f>
        <v/>
      </c>
      <c r="IB5">
        <f>BDS("IART US Equity","SUPPLY_CHAIN_CUSTOMERS","RELATIONSHIP_AS_OF_DATE","20070807")</f>
        <v/>
      </c>
      <c r="IG5">
        <f>BDS("IBM US Equity","SUPPLY_CHAIN_SUPPLIERS","RELATIONSHIP_AS_OF_DATE","20010419")</f>
        <v/>
      </c>
      <c r="IL5">
        <f>BDS("IBM US Equity","SUPPLY_CHAIN_CUSTOMERS","RELATIONSHIP_AS_OF_DATE","20010419")</f>
        <v/>
      </c>
      <c r="IQ5">
        <f>BDS("CWLM US Equity","SUPPLY_CHAIN_SUPPLIERS","RELATIONSHIP_AS_OF_DATE","20001220")</f>
        <v/>
      </c>
      <c r="IV5">
        <f>BDS("CWLM US Equity","SUPPLY_CHAIN_CUSTOMERS","RELATIONSHIP_AS_OF_DATE","20001220")</f>
        <v/>
      </c>
      <c r="JA5">
        <f>BDS("PWOD US Equity","SUPPLY_CHAIN_SUPPLIERS","RELATIONSHIP_AS_OF_DATE","20121018")</f>
        <v/>
      </c>
      <c r="JF5">
        <f>BDS("PWOD US Equity","SUPPLY_CHAIN_CUSTOMERS","RELATIONSHIP_AS_OF_DATE","20121018")</f>
        <v/>
      </c>
      <c r="JK5">
        <f>BDS("2598Q US Equity","SUPPLY_CHAIN_SUPPLIERS","RELATIONSHIP_AS_OF_DATE","19980702")</f>
        <v/>
      </c>
      <c r="JP5">
        <f>BDS("2598Q US Equity","SUPPLY_CHAIN_CUSTOMERS","RELATIONSHIP_AS_OF_DATE","19980702")</f>
        <v/>
      </c>
      <c r="JU5">
        <f>BDS("PRK US Equity","SUPPLY_CHAIN_SUPPLIERS","RELATIONSHIP_AS_OF_DATE","20040803")</f>
        <v/>
      </c>
      <c r="JZ5">
        <f>BDS("PRK US Equity","SUPPLY_CHAIN_CUSTOMERS","RELATIONSHIP_AS_OF_DATE","20040803")</f>
        <v/>
      </c>
      <c r="KE5">
        <f>BDS("BCBP US Equity","SUPPLY_CHAIN_SUPPLIERS","RELATIONSHIP_AS_OF_DATE","20090630")</f>
        <v/>
      </c>
      <c r="KJ5">
        <f>BDS("BCBP US Equity","SUPPLY_CHAIN_CUSTOMERS","RELATIONSHIP_AS_OF_DATE","20090630")</f>
        <v/>
      </c>
      <c r="KO5">
        <f>BDS("HNBC US Equity","SUPPLY_CHAIN_SUPPLIERS","RELATIONSHIP_AS_OF_DATE","20031015")</f>
        <v/>
      </c>
      <c r="KT5">
        <f>BDS("HNBC US Equity","SUPPLY_CHAIN_CUSTOMERS","RELATIONSHIP_AS_OF_DATE","20031015")</f>
        <v/>
      </c>
      <c r="KY5">
        <f>BDS("COLB US Equity","SUPPLY_CHAIN_SUPPLIERS","RELATIONSHIP_AS_OF_DATE","20040607")</f>
        <v/>
      </c>
      <c r="LD5">
        <f>BDS("COLB US Equity","SUPPLY_CHAIN_CUSTOMERS","RELATIONSHIP_AS_OF_DATE","20040607")</f>
        <v/>
      </c>
      <c r="LI5">
        <f>BDS("GMST US Equity","SUPPLY_CHAIN_SUPPLIERS","RELATIONSHIP_AS_OF_DATE","20010514")</f>
        <v/>
      </c>
      <c r="LN5">
        <f>BDS("GMST US Equity","SUPPLY_CHAIN_CUSTOMERS","RELATIONSHIP_AS_OF_DATE","20010514")</f>
        <v/>
      </c>
      <c r="LS5">
        <f>BDS("TTN US Equity","SUPPLY_CHAIN_SUPPLIERS","RELATIONSHIP_AS_OF_DATE","20010625")</f>
        <v/>
      </c>
      <c r="LX5">
        <f>BDS("TTN US Equity","SUPPLY_CHAIN_CUSTOMERS","RELATIONSHIP_AS_OF_DATE","20010625")</f>
        <v/>
      </c>
      <c r="MC5">
        <f>BDS("PICZQ US Equity","SUPPLY_CHAIN_SUPPLIERS","RELATIONSHIP_AS_OF_DATE","19980423")</f>
        <v/>
      </c>
      <c r="MH5">
        <f>BDS("PICZQ US Equity","SUPPLY_CHAIN_CUSTOMERS","RELATIONSHIP_AS_OF_DATE","19980423")</f>
        <v/>
      </c>
      <c r="MM5">
        <f>BDS("SLFI US Equity","SUPPLY_CHAIN_SUPPLIERS","RELATIONSHIP_AS_OF_DATE","20040614")</f>
        <v/>
      </c>
      <c r="MR5">
        <f>BDS("SLFI US Equity","SUPPLY_CHAIN_CUSTOMERS","RELATIONSHIP_AS_OF_DATE","20040614")</f>
        <v/>
      </c>
      <c r="MW5">
        <f>BDS("PCBK US Equity","SUPPLY_CHAIN_SUPPLIERS","RELATIONSHIP_AS_OF_DATE","20160426")</f>
        <v/>
      </c>
      <c r="NB5">
        <f>BDS("PCBK US Equity","SUPPLY_CHAIN_CUSTOMERS","RELATIONSHIP_AS_OF_DATE","20160426")</f>
        <v/>
      </c>
      <c r="NG5">
        <f>BDS("SDAB US Equity","SUPPLY_CHAIN_SUPPLIERS","RELATIONSHIP_AS_OF_DATE","20030206")</f>
        <v/>
      </c>
      <c r="NL5">
        <f>BDS("SDAB US Equity","SUPPLY_CHAIN_CUSTOMERS","RELATIONSHIP_AS_OF_DATE","20030206")</f>
        <v/>
      </c>
      <c r="NQ5">
        <f>BDS("3518429Q US Equity","SUPPLY_CHAIN_SUPPLIERS","RELATIONSHIP_AS_OF_DATE","20010104")</f>
        <v/>
      </c>
      <c r="NV5">
        <f>BDS("3518429Q US Equity","SUPPLY_CHAIN_CUSTOMERS","RELATIONSHIP_AS_OF_DATE","20010104")</f>
        <v/>
      </c>
      <c r="OA5">
        <f>BDS("WBS US Equity","SUPPLY_CHAIN_SUPPLIERS","RELATIONSHIP_AS_OF_DATE","19981111")</f>
        <v/>
      </c>
      <c r="OF5">
        <f>BDS("WBS US Equity","SUPPLY_CHAIN_CUSTOMERS","RELATIONSHIP_AS_OF_DATE","19981111")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4081</t>
        </is>
      </c>
      <c r="K1" s="1" t="inlineStr">
        <is>
          <t>Deal 4082</t>
        </is>
      </c>
      <c r="U1" s="1" t="inlineStr">
        <is>
          <t>Deal 4083</t>
        </is>
      </c>
      <c r="AE1" s="1" t="inlineStr">
        <is>
          <t>Deal 4084</t>
        </is>
      </c>
      <c r="AO1" s="1" t="inlineStr">
        <is>
          <t>Deal 4085</t>
        </is>
      </c>
      <c r="AY1" s="1" t="inlineStr">
        <is>
          <t>Deal 4086</t>
        </is>
      </c>
      <c r="BI1" s="1" t="inlineStr">
        <is>
          <t>Deal 4087</t>
        </is>
      </c>
      <c r="BS1" s="1" t="inlineStr">
        <is>
          <t>Deal 4088</t>
        </is>
      </c>
      <c r="CC1" s="1" t="inlineStr">
        <is>
          <t>Deal 4089</t>
        </is>
      </c>
      <c r="CM1" s="1" t="inlineStr">
        <is>
          <t>Deal 4090</t>
        </is>
      </c>
      <c r="CW1" s="1" t="inlineStr">
        <is>
          <t>Deal 4091</t>
        </is>
      </c>
      <c r="DG1" s="1" t="inlineStr">
        <is>
          <t>Deal 4092</t>
        </is>
      </c>
      <c r="DQ1" s="1" t="inlineStr">
        <is>
          <t>Deal 4093</t>
        </is>
      </c>
      <c r="EA1" s="1" t="inlineStr">
        <is>
          <t>Deal 4094</t>
        </is>
      </c>
      <c r="EK1" s="1" t="inlineStr">
        <is>
          <t>Deal 4095</t>
        </is>
      </c>
      <c r="EU1" s="1" t="inlineStr">
        <is>
          <t>Deal 4096</t>
        </is>
      </c>
      <c r="FE1" s="1" t="inlineStr">
        <is>
          <t>Deal 4097</t>
        </is>
      </c>
      <c r="FO1" s="1" t="inlineStr">
        <is>
          <t>Deal 4098</t>
        </is>
      </c>
      <c r="FY1" s="1" t="inlineStr">
        <is>
          <t>Deal 4099</t>
        </is>
      </c>
      <c r="GI1" s="1" t="inlineStr">
        <is>
          <t>Deal 4100</t>
        </is>
      </c>
      <c r="GS1" s="1" t="inlineStr">
        <is>
          <t>Deal 4101</t>
        </is>
      </c>
      <c r="HC1" s="1" t="inlineStr">
        <is>
          <t>Deal 4102</t>
        </is>
      </c>
      <c r="HM1" s="1" t="inlineStr">
        <is>
          <t>Deal 4103</t>
        </is>
      </c>
      <c r="HW1" s="1" t="inlineStr">
        <is>
          <t>Deal 4104</t>
        </is>
      </c>
      <c r="IG1" s="1" t="inlineStr">
        <is>
          <t>Deal 4105</t>
        </is>
      </c>
      <c r="IQ1" s="1" t="inlineStr">
        <is>
          <t>Deal 4106</t>
        </is>
      </c>
      <c r="JA1" s="1" t="inlineStr">
        <is>
          <t>Deal 4107</t>
        </is>
      </c>
      <c r="JK1" s="1" t="inlineStr">
        <is>
          <t>Deal 4108</t>
        </is>
      </c>
      <c r="JU1" s="1" t="inlineStr">
        <is>
          <t>Deal 4109</t>
        </is>
      </c>
      <c r="KE1" s="1" t="inlineStr">
        <is>
          <t>Deal 4110</t>
        </is>
      </c>
      <c r="KO1" s="1" t="inlineStr">
        <is>
          <t>Deal 4111</t>
        </is>
      </c>
      <c r="KY1" s="1" t="inlineStr">
        <is>
          <t>Deal 4112</t>
        </is>
      </c>
      <c r="LI1" s="1" t="inlineStr">
        <is>
          <t>Deal 4113</t>
        </is>
      </c>
      <c r="LS1" s="1" t="inlineStr">
        <is>
          <t>Deal 4114</t>
        </is>
      </c>
      <c r="MC1" s="1" t="inlineStr">
        <is>
          <t>Deal 4115</t>
        </is>
      </c>
      <c r="MM1" s="1" t="inlineStr">
        <is>
          <t>Deal 4116</t>
        </is>
      </c>
      <c r="MW1" s="1" t="inlineStr">
        <is>
          <t>Deal 4117</t>
        </is>
      </c>
      <c r="NG1" s="1" t="inlineStr">
        <is>
          <t>Deal 4118</t>
        </is>
      </c>
      <c r="NQ1" s="1" t="inlineStr">
        <is>
          <t>Deal 4119</t>
        </is>
      </c>
      <c r="OA1" s="1" t="inlineStr">
        <is>
          <t>Deal 4120</t>
        </is>
      </c>
    </row>
    <row r="2">
      <c r="A2" s="2" t="inlineStr">
        <is>
          <t>SMMF US Equity</t>
        </is>
      </c>
      <c r="K2" s="2" t="inlineStr">
        <is>
          <t>3075558Q US Equity</t>
        </is>
      </c>
      <c r="U2" s="2" t="inlineStr">
        <is>
          <t>FFOH US Equity</t>
        </is>
      </c>
      <c r="AE2" s="2" t="inlineStr">
        <is>
          <t>IEP US Equity</t>
        </is>
      </c>
      <c r="AO2" s="2" t="inlineStr">
        <is>
          <t>MSFG US Equity</t>
        </is>
      </c>
      <c r="AY2" s="2" t="inlineStr">
        <is>
          <t>SBBX US Equity</t>
        </is>
      </c>
      <c r="BI2" s="2" t="inlineStr">
        <is>
          <t>GBBK US Equity</t>
        </is>
      </c>
      <c r="BS2" s="2" t="inlineStr">
        <is>
          <t>2318580D US Equity</t>
        </is>
      </c>
      <c r="CC2" s="2" t="inlineStr">
        <is>
          <t>CARO US Equity</t>
        </is>
      </c>
      <c r="CM2" s="2" t="inlineStr">
        <is>
          <t>APOL US Equity</t>
        </is>
      </c>
      <c r="CW2" s="2" t="inlineStr">
        <is>
          <t>FNIN US Equity</t>
        </is>
      </c>
      <c r="DG2" s="2" t="inlineStr">
        <is>
          <t>ETFC US Equity</t>
        </is>
      </c>
      <c r="DQ2" s="2" t="inlineStr">
        <is>
          <t>BMRC US Equity</t>
        </is>
      </c>
      <c r="EA2" s="2" t="inlineStr">
        <is>
          <t>ORCL US Equity</t>
        </is>
      </c>
      <c r="EK2" s="2" t="inlineStr">
        <is>
          <t>KGM US Equity</t>
        </is>
      </c>
      <c r="EU2" s="2" t="inlineStr">
        <is>
          <t>SPLP US Equity</t>
        </is>
      </c>
      <c r="FE2" s="2" t="inlineStr">
        <is>
          <t>CLDA US Equity</t>
        </is>
      </c>
      <c r="FO2" s="2" t="inlineStr">
        <is>
          <t>FNLC US Equity</t>
        </is>
      </c>
      <c r="FY2" s="2" t="inlineStr">
        <is>
          <t>CICN US Equity</t>
        </is>
      </c>
      <c r="GI2" s="2" t="inlineStr">
        <is>
          <t>PGI US Equity</t>
        </is>
      </c>
      <c r="GS2" s="2" t="inlineStr">
        <is>
          <t>CJBK US Equity</t>
        </is>
      </c>
      <c r="HC2" s="2" t="inlineStr">
        <is>
          <t>ANLD US Equity</t>
        </is>
      </c>
      <c r="HM2" s="2" t="inlineStr">
        <is>
          <t>HAIN US Equity</t>
        </is>
      </c>
      <c r="HW2" s="2" t="inlineStr">
        <is>
          <t>ENERQ US Equity</t>
        </is>
      </c>
      <c r="IG2" s="2" t="inlineStr">
        <is>
          <t>NGEN US Equity</t>
        </is>
      </c>
      <c r="IQ2" s="2" t="inlineStr">
        <is>
          <t>MCK US Equity</t>
        </is>
      </c>
      <c r="JA2" s="2" t="inlineStr">
        <is>
          <t>NETM US Equity</t>
        </is>
      </c>
      <c r="JK2" s="2" t="inlineStr">
        <is>
          <t>SUSQ US Equity</t>
        </is>
      </c>
      <c r="JU2" s="2" t="inlineStr">
        <is>
          <t>SASR US Equity</t>
        </is>
      </c>
      <c r="KE2" s="2" t="inlineStr">
        <is>
          <t>MCLDQ US Equity</t>
        </is>
      </c>
      <c r="KO2" s="2" t="inlineStr">
        <is>
          <t>ZANYQ US Equity</t>
        </is>
      </c>
      <c r="KY2" s="2" t="inlineStr">
        <is>
          <t>BKH US Equity</t>
        </is>
      </c>
      <c r="LI2" s="2" t="inlineStr">
        <is>
          <t>CNMD US Equity</t>
        </is>
      </c>
      <c r="LS2" s="2" t="inlineStr">
        <is>
          <t>FHI US Equity</t>
        </is>
      </c>
      <c r="MC2" s="2" t="inlineStr">
        <is>
          <t>SJNB US Equity</t>
        </is>
      </c>
      <c r="MM2" s="2" t="inlineStr">
        <is>
          <t>CACI US Equity</t>
        </is>
      </c>
      <c r="MW2" s="2" t="inlineStr">
        <is>
          <t>BSBN US Equity</t>
        </is>
      </c>
      <c r="NG2" s="2" t="inlineStr">
        <is>
          <t>3562186Q US Equity</t>
        </is>
      </c>
      <c r="NQ2" s="2" t="inlineStr">
        <is>
          <t>BLKB US Equity</t>
        </is>
      </c>
      <c r="OA2" s="2" t="inlineStr">
        <is>
          <t>PRGS US Equity</t>
        </is>
      </c>
    </row>
    <row r="3">
      <c r="A3" t="inlineStr">
        <is>
          <t>Ann: 2016-06-01</t>
        </is>
      </c>
      <c r="K3" t="inlineStr">
        <is>
          <t>Ann: 1998-08-25</t>
        </is>
      </c>
      <c r="U3" t="inlineStr">
        <is>
          <t>Ann: 1998-09-29</t>
        </is>
      </c>
      <c r="AE3" t="inlineStr">
        <is>
          <t>Ann: 2002-02-01</t>
        </is>
      </c>
      <c r="AO3" t="inlineStr">
        <is>
          <t>Ann: 2005-09-28</t>
        </is>
      </c>
      <c r="AY3" t="inlineStr">
        <is>
          <t>Ann: 2017-04-11</t>
        </is>
      </c>
      <c r="BI3" t="inlineStr">
        <is>
          <t>Ann: 1999-01-27</t>
        </is>
      </c>
      <c r="BS3" t="inlineStr">
        <is>
          <t>Ann: 2007-04-27</t>
        </is>
      </c>
      <c r="CC3" t="inlineStr">
        <is>
          <t>Ann: 2016-11-08</t>
        </is>
      </c>
      <c r="CM3" t="inlineStr">
        <is>
          <t>Ann: 2007-08-08</t>
        </is>
      </c>
      <c r="CW3" t="inlineStr">
        <is>
          <t>Ann: 2001-01-18</t>
        </is>
      </c>
      <c r="DG3" t="inlineStr">
        <is>
          <t>Ann: 2001-05-21</t>
        </is>
      </c>
      <c r="DQ3" t="inlineStr">
        <is>
          <t>Ann: 2017-07-31</t>
        </is>
      </c>
      <c r="EA3" t="inlineStr">
        <is>
          <t>Ann: 1998-11-10</t>
        </is>
      </c>
      <c r="EK3" t="inlineStr">
        <is>
          <t>Ann: 1998-01-28</t>
        </is>
      </c>
      <c r="EU3" t="inlineStr">
        <is>
          <t>Ann: 2022-01-07</t>
        </is>
      </c>
      <c r="FE3" t="inlineStr">
        <is>
          <t>Ann: 2005-06-21</t>
        </is>
      </c>
      <c r="FO3" t="inlineStr">
        <is>
          <t>Ann: 2004-08-26</t>
        </is>
      </c>
      <c r="FY3" t="inlineStr">
        <is>
          <t>Ann: 1999-10-20</t>
        </is>
      </c>
      <c r="GI3" t="inlineStr">
        <is>
          <t>Ann: 2013-09-04</t>
        </is>
      </c>
      <c r="GS3" t="inlineStr">
        <is>
          <t>Ann: 2004-06-30</t>
        </is>
      </c>
      <c r="HC3" t="inlineStr">
        <is>
          <t>Ann: 1999-08-31</t>
        </is>
      </c>
      <c r="HM3" t="inlineStr">
        <is>
          <t>Ann: 2005-08-23</t>
        </is>
      </c>
      <c r="HW3" t="inlineStr">
        <is>
          <t>Ann: 2009-07-22</t>
        </is>
      </c>
      <c r="IG3" t="inlineStr">
        <is>
          <t>Ann: 2004-09-07</t>
        </is>
      </c>
      <c r="IQ3" t="inlineStr">
        <is>
          <t>Ann: 2004-01-20</t>
        </is>
      </c>
      <c r="JA3" t="inlineStr">
        <is>
          <t>Ann: 1998-06-15</t>
        </is>
      </c>
      <c r="JK3" t="inlineStr">
        <is>
          <t>Ann: 1998-04-14</t>
        </is>
      </c>
      <c r="JU3" t="inlineStr">
        <is>
          <t>Ann: 2006-12-14</t>
        </is>
      </c>
      <c r="KE3" t="inlineStr">
        <is>
          <t>Ann: 2001-03-19</t>
        </is>
      </c>
      <c r="KO3" t="inlineStr">
        <is>
          <t>Ann: 2000-04-24</t>
        </is>
      </c>
      <c r="KY3" t="inlineStr">
        <is>
          <t>Ann: 2002-10-01</t>
        </is>
      </c>
      <c r="LI3" t="inlineStr">
        <is>
          <t>Ann: 2003-01-13</t>
        </is>
      </c>
      <c r="LS3" t="inlineStr">
        <is>
          <t>Ann: 2008-07-15</t>
        </is>
      </c>
      <c r="MC3" t="inlineStr">
        <is>
          <t>Ann: 1999-08-27</t>
        </is>
      </c>
      <c r="MM3" t="inlineStr">
        <is>
          <t>Ann: 1998-05-19</t>
        </is>
      </c>
      <c r="MW3" t="inlineStr">
        <is>
          <t>Ann: 1999-01-25</t>
        </is>
      </c>
      <c r="NG3" t="inlineStr">
        <is>
          <t>Ann: 1998-02-10</t>
        </is>
      </c>
      <c r="NQ3" t="inlineStr">
        <is>
          <t>Ann: 2008-05-29</t>
        </is>
      </c>
      <c r="OA3" t="inlineStr">
        <is>
          <t>Ann: 2005-12-20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BDS("SMMF US Equity","SUPPLY_CHAIN_SUPPLIERS","RELATIONSHIP_AS_OF_DATE","20160601")</f>
        <v/>
      </c>
      <c r="F5">
        <f>BDS("SMMF US Equity","SUPPLY_CHAIN_CUSTOMERS","RELATIONSHIP_AS_OF_DATE","20160601")</f>
        <v/>
      </c>
      <c r="K5">
        <f>BDS("3075558Q US Equity","SUPPLY_CHAIN_SUPPLIERS","RELATIONSHIP_AS_OF_DATE","19980825")</f>
        <v/>
      </c>
      <c r="P5">
        <f>BDS("3075558Q US Equity","SUPPLY_CHAIN_CUSTOMERS","RELATIONSHIP_AS_OF_DATE","19980825")</f>
        <v/>
      </c>
      <c r="U5">
        <f>BDS("FFOH US Equity","SUPPLY_CHAIN_SUPPLIERS","RELATIONSHIP_AS_OF_DATE","19980929")</f>
        <v/>
      </c>
      <c r="Z5">
        <f>BDS("FFOH US Equity","SUPPLY_CHAIN_CUSTOMERS","RELATIONSHIP_AS_OF_DATE","19980929")</f>
        <v/>
      </c>
      <c r="AE5">
        <f>BDS("IEP US Equity","SUPPLY_CHAIN_SUPPLIERS","RELATIONSHIP_AS_OF_DATE","20020201")</f>
        <v/>
      </c>
      <c r="AJ5">
        <f>BDS("IEP US Equity","SUPPLY_CHAIN_CUSTOMERS","RELATIONSHIP_AS_OF_DATE","20020201")</f>
        <v/>
      </c>
      <c r="AO5">
        <f>BDS("MSFG US Equity","SUPPLY_CHAIN_SUPPLIERS","RELATIONSHIP_AS_OF_DATE","20050928")</f>
        <v/>
      </c>
      <c r="AT5">
        <f>BDS("MSFG US Equity","SUPPLY_CHAIN_CUSTOMERS","RELATIONSHIP_AS_OF_DATE","20050928")</f>
        <v/>
      </c>
      <c r="AY5">
        <f>BDS("SBBX US Equity","SUPPLY_CHAIN_SUPPLIERS","RELATIONSHIP_AS_OF_DATE","20170411")</f>
        <v/>
      </c>
      <c r="BD5">
        <f>BDS("SBBX US Equity","SUPPLY_CHAIN_CUSTOMERS","RELATIONSHIP_AS_OF_DATE","20170411")</f>
        <v/>
      </c>
      <c r="BI5">
        <f>BDS("GBBK US Equity","SUPPLY_CHAIN_SUPPLIERS","RELATIONSHIP_AS_OF_DATE","19990127")</f>
        <v/>
      </c>
      <c r="BN5">
        <f>BDS("GBBK US Equity","SUPPLY_CHAIN_CUSTOMERS","RELATIONSHIP_AS_OF_DATE","19990127")</f>
        <v/>
      </c>
      <c r="BS5">
        <f>BDS("2318580D US Equity","SUPPLY_CHAIN_SUPPLIERS","RELATIONSHIP_AS_OF_DATE","20070427")</f>
        <v/>
      </c>
      <c r="BX5">
        <f>BDS("2318580D US Equity","SUPPLY_CHAIN_CUSTOMERS","RELATIONSHIP_AS_OF_DATE","20070427")</f>
        <v/>
      </c>
      <c r="CC5">
        <f>BDS("CARO US Equity","SUPPLY_CHAIN_SUPPLIERS","RELATIONSHIP_AS_OF_DATE","20161108")</f>
        <v/>
      </c>
      <c r="CH5">
        <f>BDS("CARO US Equity","SUPPLY_CHAIN_CUSTOMERS","RELATIONSHIP_AS_OF_DATE","20161108")</f>
        <v/>
      </c>
      <c r="CM5">
        <f>BDS("APOL US Equity","SUPPLY_CHAIN_SUPPLIERS","RELATIONSHIP_AS_OF_DATE","20070808")</f>
        <v/>
      </c>
      <c r="CR5">
        <f>BDS("APOL US Equity","SUPPLY_CHAIN_CUSTOMERS","RELATIONSHIP_AS_OF_DATE","20070808")</f>
        <v/>
      </c>
      <c r="CW5">
        <f>BDS("FNIN US Equity","SUPPLY_CHAIN_SUPPLIERS","RELATIONSHIP_AS_OF_DATE","20010118")</f>
        <v/>
      </c>
      <c r="DB5">
        <f>BDS("FNIN US Equity","SUPPLY_CHAIN_CUSTOMERS","RELATIONSHIP_AS_OF_DATE","20010118")</f>
        <v/>
      </c>
      <c r="DG5">
        <f>BDS("ETFC US Equity","SUPPLY_CHAIN_SUPPLIERS","RELATIONSHIP_AS_OF_DATE","20010521")</f>
        <v/>
      </c>
      <c r="DL5">
        <f>BDS("ETFC US Equity","SUPPLY_CHAIN_CUSTOMERS","RELATIONSHIP_AS_OF_DATE","20010521")</f>
        <v/>
      </c>
      <c r="DQ5">
        <f>BDS("BMRC US Equity","SUPPLY_CHAIN_SUPPLIERS","RELATIONSHIP_AS_OF_DATE","20170731")</f>
        <v/>
      </c>
      <c r="DV5">
        <f>BDS("BMRC US Equity","SUPPLY_CHAIN_CUSTOMERS","RELATIONSHIP_AS_OF_DATE","20170731")</f>
        <v/>
      </c>
      <c r="EA5">
        <f>BDS("ORCL US Equity","SUPPLY_CHAIN_SUPPLIERS","RELATIONSHIP_AS_OF_DATE","19981110")</f>
        <v/>
      </c>
      <c r="EF5">
        <f>BDS("ORCL US Equity","SUPPLY_CHAIN_CUSTOMERS","RELATIONSHIP_AS_OF_DATE","19981110")</f>
        <v/>
      </c>
      <c r="EK5">
        <f>BDS("KGM US Equity","SUPPLY_CHAIN_SUPPLIERS","RELATIONSHIP_AS_OF_DATE","19980128")</f>
        <v/>
      </c>
      <c r="EP5">
        <f>BDS("KGM US Equity","SUPPLY_CHAIN_CUSTOMERS","RELATIONSHIP_AS_OF_DATE","19980128")</f>
        <v/>
      </c>
      <c r="EU5">
        <f>BDS("SPLP US Equity","SUPPLY_CHAIN_SUPPLIERS","RELATIONSHIP_AS_OF_DATE","20220107")</f>
        <v/>
      </c>
      <c r="EZ5">
        <f>BDS("SPLP US Equity","SUPPLY_CHAIN_CUSTOMERS","RELATIONSHIP_AS_OF_DATE","20220107")</f>
        <v/>
      </c>
      <c r="FE5">
        <f>BDS("CLDA US Equity","SUPPLY_CHAIN_SUPPLIERS","RELATIONSHIP_AS_OF_DATE","20050621")</f>
        <v/>
      </c>
      <c r="FJ5">
        <f>BDS("CLDA US Equity","SUPPLY_CHAIN_CUSTOMERS","RELATIONSHIP_AS_OF_DATE","20050621")</f>
        <v/>
      </c>
      <c r="FO5">
        <f>BDS("FNLC US Equity","SUPPLY_CHAIN_SUPPLIERS","RELATIONSHIP_AS_OF_DATE","20040826")</f>
        <v/>
      </c>
      <c r="FT5">
        <f>BDS("FNLC US Equity","SUPPLY_CHAIN_CUSTOMERS","RELATIONSHIP_AS_OF_DATE","20040826")</f>
        <v/>
      </c>
      <c r="FY5">
        <f>BDS("CICN US Equity","SUPPLY_CHAIN_SUPPLIERS","RELATIONSHIP_AS_OF_DATE","19991020")</f>
        <v/>
      </c>
      <c r="GD5">
        <f>BDS("CICN US Equity","SUPPLY_CHAIN_CUSTOMERS","RELATIONSHIP_AS_OF_DATE","19991020")</f>
        <v/>
      </c>
      <c r="GI5">
        <f>BDS("PGI US Equity","SUPPLY_CHAIN_SUPPLIERS","RELATIONSHIP_AS_OF_DATE","20130904")</f>
        <v/>
      </c>
      <c r="GN5">
        <f>BDS("PGI US Equity","SUPPLY_CHAIN_CUSTOMERS","RELATIONSHIP_AS_OF_DATE","20130904")</f>
        <v/>
      </c>
      <c r="GS5">
        <f>BDS("CJBK US Equity","SUPPLY_CHAIN_SUPPLIERS","RELATIONSHIP_AS_OF_DATE","20040630")</f>
        <v/>
      </c>
      <c r="GX5">
        <f>BDS("CJBK US Equity","SUPPLY_CHAIN_CUSTOMERS","RELATIONSHIP_AS_OF_DATE","20040630")</f>
        <v/>
      </c>
      <c r="HC5">
        <f>BDS("ANLD US Equity","SUPPLY_CHAIN_SUPPLIERS","RELATIONSHIP_AS_OF_DATE","19990831")</f>
        <v/>
      </c>
      <c r="HH5">
        <f>BDS("ANLD US Equity","SUPPLY_CHAIN_CUSTOMERS","RELATIONSHIP_AS_OF_DATE","19990831")</f>
        <v/>
      </c>
      <c r="HM5">
        <f>BDS("HAIN US Equity","SUPPLY_CHAIN_SUPPLIERS","RELATIONSHIP_AS_OF_DATE","20050823")</f>
        <v/>
      </c>
      <c r="HR5">
        <f>BDS("HAIN US Equity","SUPPLY_CHAIN_CUSTOMERS","RELATIONSHIP_AS_OF_DATE","20050823")</f>
        <v/>
      </c>
      <c r="HW5">
        <f>BDS("ENERQ US Equity","SUPPLY_CHAIN_SUPPLIERS","RELATIONSHIP_AS_OF_DATE","20090722")</f>
        <v/>
      </c>
      <c r="IB5">
        <f>BDS("ENERQ US Equity","SUPPLY_CHAIN_CUSTOMERS","RELATIONSHIP_AS_OF_DATE","20090722")</f>
        <v/>
      </c>
      <c r="IG5">
        <f>BDS("NGEN US Equity","SUPPLY_CHAIN_SUPPLIERS","RELATIONSHIP_AS_OF_DATE","20040907")</f>
        <v/>
      </c>
      <c r="IL5">
        <f>BDS("NGEN US Equity","SUPPLY_CHAIN_CUSTOMERS","RELATIONSHIP_AS_OF_DATE","20040907")</f>
        <v/>
      </c>
      <c r="IQ5">
        <f>BDS("MCK US Equity","SUPPLY_CHAIN_SUPPLIERS","RELATIONSHIP_AS_OF_DATE","20040120")</f>
        <v/>
      </c>
      <c r="IV5">
        <f>BDS("MCK US Equity","SUPPLY_CHAIN_CUSTOMERS","RELATIONSHIP_AS_OF_DATE","20040120")</f>
        <v/>
      </c>
      <c r="JA5">
        <f>BDS("NETM US Equity","SUPPLY_CHAIN_SUPPLIERS","RELATIONSHIP_AS_OF_DATE","19980615")</f>
        <v/>
      </c>
      <c r="JF5">
        <f>BDS("NETM US Equity","SUPPLY_CHAIN_CUSTOMERS","RELATIONSHIP_AS_OF_DATE","19980615")</f>
        <v/>
      </c>
      <c r="JK5">
        <f>BDS("SUSQ US Equity","SUPPLY_CHAIN_SUPPLIERS","RELATIONSHIP_AS_OF_DATE","19980414")</f>
        <v/>
      </c>
      <c r="JP5">
        <f>BDS("SUSQ US Equity","SUPPLY_CHAIN_CUSTOMERS","RELATIONSHIP_AS_OF_DATE","19980414")</f>
        <v/>
      </c>
      <c r="JU5">
        <f>BDS("SASR US Equity","SUPPLY_CHAIN_SUPPLIERS","RELATIONSHIP_AS_OF_DATE","20061214")</f>
        <v/>
      </c>
      <c r="JZ5">
        <f>BDS("SASR US Equity","SUPPLY_CHAIN_CUSTOMERS","RELATIONSHIP_AS_OF_DATE","20061214")</f>
        <v/>
      </c>
      <c r="KE5">
        <f>BDS("MCLDQ US Equity","SUPPLY_CHAIN_SUPPLIERS","RELATIONSHIP_AS_OF_DATE","20010319")</f>
        <v/>
      </c>
      <c r="KJ5">
        <f>BDS("MCLDQ US Equity","SUPPLY_CHAIN_CUSTOMERS","RELATIONSHIP_AS_OF_DATE","20010319")</f>
        <v/>
      </c>
      <c r="KO5">
        <f>BDS("ZANYQ US Equity","SUPPLY_CHAIN_SUPPLIERS","RELATIONSHIP_AS_OF_DATE","20000424")</f>
        <v/>
      </c>
      <c r="KT5">
        <f>BDS("ZANYQ US Equity","SUPPLY_CHAIN_CUSTOMERS","RELATIONSHIP_AS_OF_DATE","20000424")</f>
        <v/>
      </c>
      <c r="KY5">
        <f>BDS("BKH US Equity","SUPPLY_CHAIN_SUPPLIERS","RELATIONSHIP_AS_OF_DATE","20021001")</f>
        <v/>
      </c>
      <c r="LD5">
        <f>BDS("BKH US Equity","SUPPLY_CHAIN_CUSTOMERS","RELATIONSHIP_AS_OF_DATE","20021001")</f>
        <v/>
      </c>
      <c r="LI5">
        <f>BDS("CNMD US Equity","SUPPLY_CHAIN_SUPPLIERS","RELATIONSHIP_AS_OF_DATE","20030113")</f>
        <v/>
      </c>
      <c r="LN5">
        <f>BDS("CNMD US Equity","SUPPLY_CHAIN_CUSTOMERS","RELATIONSHIP_AS_OF_DATE","20030113")</f>
        <v/>
      </c>
      <c r="LS5">
        <f>BDS("FHI US Equity","SUPPLY_CHAIN_SUPPLIERS","RELATIONSHIP_AS_OF_DATE","20080715")</f>
        <v/>
      </c>
      <c r="LX5">
        <f>BDS("FHI US Equity","SUPPLY_CHAIN_CUSTOMERS","RELATIONSHIP_AS_OF_DATE","20080715")</f>
        <v/>
      </c>
      <c r="MC5">
        <f>BDS("SJNB US Equity","SUPPLY_CHAIN_SUPPLIERS","RELATIONSHIP_AS_OF_DATE","19990827")</f>
        <v/>
      </c>
      <c r="MH5">
        <f>BDS("SJNB US Equity","SUPPLY_CHAIN_CUSTOMERS","RELATIONSHIP_AS_OF_DATE","19990827")</f>
        <v/>
      </c>
      <c r="MM5">
        <f>BDS("CACI US Equity","SUPPLY_CHAIN_SUPPLIERS","RELATIONSHIP_AS_OF_DATE","19980519")</f>
        <v/>
      </c>
      <c r="MR5">
        <f>BDS("CACI US Equity","SUPPLY_CHAIN_CUSTOMERS","RELATIONSHIP_AS_OF_DATE","19980519")</f>
        <v/>
      </c>
      <c r="MW5">
        <f>BDS("BSBN US Equity","SUPPLY_CHAIN_SUPPLIERS","RELATIONSHIP_AS_OF_DATE","19990125")</f>
        <v/>
      </c>
      <c r="NB5">
        <f>BDS("BSBN US Equity","SUPPLY_CHAIN_CUSTOMERS","RELATIONSHIP_AS_OF_DATE","19990125")</f>
        <v/>
      </c>
      <c r="NG5">
        <f>BDS("3562186Q US Equity","SUPPLY_CHAIN_SUPPLIERS","RELATIONSHIP_AS_OF_DATE","19980210")</f>
        <v/>
      </c>
      <c r="NL5">
        <f>BDS("3562186Q US Equity","SUPPLY_CHAIN_CUSTOMERS","RELATIONSHIP_AS_OF_DATE","19980210")</f>
        <v/>
      </c>
      <c r="NQ5">
        <f>BDS("BLKB US Equity","SUPPLY_CHAIN_SUPPLIERS","RELATIONSHIP_AS_OF_DATE","20080529")</f>
        <v/>
      </c>
      <c r="NV5">
        <f>BDS("BLKB US Equity","SUPPLY_CHAIN_CUSTOMERS","RELATIONSHIP_AS_OF_DATE","20080529")</f>
        <v/>
      </c>
      <c r="OA5">
        <f>BDS("PRGS US Equity","SUPPLY_CHAIN_SUPPLIERS","RELATIONSHIP_AS_OF_DATE","20051220")</f>
        <v/>
      </c>
      <c r="OF5">
        <f>BDS("PRGS US Equity","SUPPLY_CHAIN_CUSTOMERS","RELATIONSHIP_AS_OF_DATE","20051220")</f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4121</t>
        </is>
      </c>
      <c r="K1" s="1" t="inlineStr">
        <is>
          <t>Deal 4122</t>
        </is>
      </c>
      <c r="U1" s="1" t="inlineStr">
        <is>
          <t>Deal 4123</t>
        </is>
      </c>
      <c r="AE1" s="1" t="inlineStr">
        <is>
          <t>Deal 4124</t>
        </is>
      </c>
      <c r="AO1" s="1" t="inlineStr">
        <is>
          <t>Deal 4125</t>
        </is>
      </c>
      <c r="AY1" s="1" t="inlineStr">
        <is>
          <t>Deal 4126</t>
        </is>
      </c>
      <c r="BI1" s="1" t="inlineStr">
        <is>
          <t>Deal 4127</t>
        </is>
      </c>
      <c r="BS1" s="1" t="inlineStr">
        <is>
          <t>Deal 4128</t>
        </is>
      </c>
      <c r="CC1" s="1" t="inlineStr">
        <is>
          <t>Deal 4129</t>
        </is>
      </c>
      <c r="CM1" s="1" t="inlineStr">
        <is>
          <t>Deal 4130</t>
        </is>
      </c>
      <c r="CW1" s="1" t="inlineStr">
        <is>
          <t>Deal 4131</t>
        </is>
      </c>
      <c r="DG1" s="1" t="inlineStr">
        <is>
          <t>Deal 4132</t>
        </is>
      </c>
      <c r="DQ1" s="1" t="inlineStr">
        <is>
          <t>Deal 4133</t>
        </is>
      </c>
      <c r="EA1" s="1" t="inlineStr">
        <is>
          <t>Deal 4134</t>
        </is>
      </c>
      <c r="EK1" s="1" t="inlineStr">
        <is>
          <t>Deal 4135</t>
        </is>
      </c>
      <c r="EU1" s="1" t="inlineStr">
        <is>
          <t>Deal 4136</t>
        </is>
      </c>
      <c r="FE1" s="1" t="inlineStr">
        <is>
          <t>Deal 4137</t>
        </is>
      </c>
      <c r="FO1" s="1" t="inlineStr">
        <is>
          <t>Deal 4138</t>
        </is>
      </c>
      <c r="FY1" s="1" t="inlineStr">
        <is>
          <t>Deal 4139</t>
        </is>
      </c>
      <c r="GI1" s="1" t="inlineStr">
        <is>
          <t>Deal 4140</t>
        </is>
      </c>
      <c r="GS1" s="1" t="inlineStr">
        <is>
          <t>Deal 4141</t>
        </is>
      </c>
      <c r="HC1" s="1" t="inlineStr">
        <is>
          <t>Deal 4142</t>
        </is>
      </c>
      <c r="HM1" s="1" t="inlineStr">
        <is>
          <t>Deal 4143</t>
        </is>
      </c>
      <c r="HW1" s="1" t="inlineStr">
        <is>
          <t>Deal 4144</t>
        </is>
      </c>
      <c r="IG1" s="1" t="inlineStr">
        <is>
          <t>Deal 4145</t>
        </is>
      </c>
      <c r="IQ1" s="1" t="inlineStr">
        <is>
          <t>Deal 4146</t>
        </is>
      </c>
      <c r="JA1" s="1" t="inlineStr">
        <is>
          <t>Deal 4147</t>
        </is>
      </c>
      <c r="JK1" s="1" t="inlineStr">
        <is>
          <t>Deal 4148</t>
        </is>
      </c>
      <c r="JU1" s="1" t="inlineStr">
        <is>
          <t>Deal 4149</t>
        </is>
      </c>
      <c r="KE1" s="1" t="inlineStr">
        <is>
          <t>Deal 4150</t>
        </is>
      </c>
      <c r="KO1" s="1" t="inlineStr">
        <is>
          <t>Deal 4151</t>
        </is>
      </c>
      <c r="KY1" s="1" t="inlineStr">
        <is>
          <t>Deal 4152</t>
        </is>
      </c>
      <c r="LI1" s="1" t="inlineStr">
        <is>
          <t>Deal 4153</t>
        </is>
      </c>
      <c r="LS1" s="1" t="inlineStr">
        <is>
          <t>Deal 4154</t>
        </is>
      </c>
      <c r="MC1" s="1" t="inlineStr">
        <is>
          <t>Deal 4155</t>
        </is>
      </c>
      <c r="MM1" s="1" t="inlineStr">
        <is>
          <t>Deal 4156</t>
        </is>
      </c>
      <c r="MW1" s="1" t="inlineStr">
        <is>
          <t>Deal 4157</t>
        </is>
      </c>
      <c r="NG1" s="1" t="inlineStr">
        <is>
          <t>Deal 4158</t>
        </is>
      </c>
      <c r="NQ1" s="1" t="inlineStr">
        <is>
          <t>Deal 4159</t>
        </is>
      </c>
      <c r="OA1" s="1" t="inlineStr">
        <is>
          <t>Deal 4160</t>
        </is>
      </c>
    </row>
    <row r="2">
      <c r="A2" s="2" t="inlineStr">
        <is>
          <t>1448062D US Equity</t>
        </is>
      </c>
      <c r="K2" s="2" t="inlineStr">
        <is>
          <t>MBCRQ US Equity</t>
        </is>
      </c>
      <c r="U2" s="2" t="inlineStr">
        <is>
          <t>COHR US Equity</t>
        </is>
      </c>
      <c r="AE2" s="2" t="inlineStr">
        <is>
          <t>UCB US Equity</t>
        </is>
      </c>
      <c r="AO2" s="2" t="inlineStr">
        <is>
          <t>TYPE US Equity</t>
        </is>
      </c>
      <c r="AY2" s="2" t="inlineStr">
        <is>
          <t>RBBN US Equity</t>
        </is>
      </c>
      <c r="BI2" s="2" t="inlineStr">
        <is>
          <t>WTFC US Equity</t>
        </is>
      </c>
      <c r="BS2" s="2" t="inlineStr">
        <is>
          <t>1763635D US Equity</t>
        </is>
      </c>
      <c r="CC2" s="2" t="inlineStr">
        <is>
          <t>ILA US Equity</t>
        </is>
      </c>
      <c r="CM2" s="2" t="inlineStr">
        <is>
          <t>3470770Q US Equity</t>
        </is>
      </c>
      <c r="CW2" s="2" t="inlineStr">
        <is>
          <t>CFR US Equity</t>
        </is>
      </c>
      <c r="DG2" s="2" t="inlineStr">
        <is>
          <t>INVA US Equity</t>
        </is>
      </c>
      <c r="DQ2" s="2" t="inlineStr">
        <is>
          <t>CBU US Equity</t>
        </is>
      </c>
      <c r="EA2" s="2" t="inlineStr">
        <is>
          <t>VRSOQ US Equity</t>
        </is>
      </c>
      <c r="EK2" s="2" t="inlineStr">
        <is>
          <t>TLSW US Equity</t>
        </is>
      </c>
      <c r="EU2" s="2" t="inlineStr">
        <is>
          <t>SSB US Equity</t>
        </is>
      </c>
      <c r="FE2" s="2" t="inlineStr">
        <is>
          <t>539355Q US Equity</t>
        </is>
      </c>
      <c r="FO2" s="2" t="inlineStr">
        <is>
          <t>DHMS US Equity</t>
        </is>
      </c>
      <c r="FY2" s="2" t="inlineStr">
        <is>
          <t>NNN US Equity</t>
        </is>
      </c>
      <c r="GI2" s="2" t="inlineStr">
        <is>
          <t>NBTB US Equity</t>
        </is>
      </c>
      <c r="GS2" s="2" t="inlineStr">
        <is>
          <t>COLB US Equity</t>
        </is>
      </c>
      <c r="HC2" s="2" t="inlineStr">
        <is>
          <t>MNAT US Equity</t>
        </is>
      </c>
      <c r="HM2" s="2" t="inlineStr">
        <is>
          <t>CFNL US Equity</t>
        </is>
      </c>
      <c r="HW2" s="2" t="inlineStr">
        <is>
          <t>BERK US Equity</t>
        </is>
      </c>
      <c r="IG2" s="2" t="inlineStr">
        <is>
          <t>WASH US Equity</t>
        </is>
      </c>
      <c r="IQ2" s="2" t="inlineStr">
        <is>
          <t>AGEN US Equity</t>
        </is>
      </c>
      <c r="JA2" s="2" t="inlineStr">
        <is>
          <t>540513Q US Equity</t>
        </is>
      </c>
      <c r="JK2" s="2" t="inlineStr">
        <is>
          <t>JKHY US Equity</t>
        </is>
      </c>
      <c r="JU2" s="2" t="inlineStr">
        <is>
          <t>CVBF US Equity</t>
        </is>
      </c>
      <c r="KE2" s="2" t="inlineStr">
        <is>
          <t>QVDX US Equity</t>
        </is>
      </c>
      <c r="KO2" s="2" t="inlineStr">
        <is>
          <t>SFTGQ US Equity</t>
        </is>
      </c>
      <c r="KY2" s="2" t="inlineStr">
        <is>
          <t>SBCF US Equity</t>
        </is>
      </c>
      <c r="LI2" s="2" t="inlineStr">
        <is>
          <t>GBBK US Equity</t>
        </is>
      </c>
      <c r="LS2" s="2" t="inlineStr">
        <is>
          <t>ISRG US Equity</t>
        </is>
      </c>
      <c r="MC2" s="2" t="inlineStr">
        <is>
          <t>PCBK US Equity</t>
        </is>
      </c>
      <c r="MM2" s="2" t="inlineStr">
        <is>
          <t>AURU US Equity</t>
        </is>
      </c>
      <c r="MW2" s="2" t="inlineStr">
        <is>
          <t>YDKN US Equity</t>
        </is>
      </c>
      <c r="NG2" s="2" t="inlineStr">
        <is>
          <t>OLBK US Equity</t>
        </is>
      </c>
      <c r="NQ2" s="2" t="inlineStr">
        <is>
          <t>3195391Z US Equity</t>
        </is>
      </c>
      <c r="OA2" s="2" t="inlineStr">
        <is>
          <t>ABCWQ US Equity</t>
        </is>
      </c>
    </row>
    <row r="3">
      <c r="A3" t="inlineStr">
        <is>
          <t>Ann: 2008-04-18</t>
        </is>
      </c>
      <c r="K3" t="inlineStr">
        <is>
          <t>Ann: 2006-05-31</t>
        </is>
      </c>
      <c r="U3" t="inlineStr">
        <is>
          <t>Ann: 2000-06-05</t>
        </is>
      </c>
      <c r="AE3" t="inlineStr">
        <is>
          <t>Ann: 2003-01-23</t>
        </is>
      </c>
      <c r="AO3" t="inlineStr">
        <is>
          <t>Ann: 2011-11-10</t>
        </is>
      </c>
      <c r="AY3" t="inlineStr">
        <is>
          <t>Ann: 2012-06-19</t>
        </is>
      </c>
      <c r="BI3" t="inlineStr">
        <is>
          <t>Ann: 2015-03-02</t>
        </is>
      </c>
      <c r="BS3" t="inlineStr">
        <is>
          <t>Ann: 2006-10-04</t>
        </is>
      </c>
      <c r="CC3" t="inlineStr">
        <is>
          <t>Ann: 1998-11-12</t>
        </is>
      </c>
      <c r="CM3" t="inlineStr">
        <is>
          <t>Ann: 2001-08-01</t>
        </is>
      </c>
      <c r="CW3" t="inlineStr">
        <is>
          <t>Ann: 1999-02-17</t>
        </is>
      </c>
      <c r="DG3" t="inlineStr">
        <is>
          <t>Ann: 2022-05-23</t>
        </is>
      </c>
      <c r="DQ3" t="inlineStr">
        <is>
          <t>Ann: 2006-04-21</t>
        </is>
      </c>
      <c r="EA3" t="inlineStr">
        <is>
          <t>Ann: 1998-11-12</t>
        </is>
      </c>
      <c r="EK3" t="inlineStr">
        <is>
          <t>Ann: 1998-06-12</t>
        </is>
      </c>
      <c r="EU3" t="inlineStr">
        <is>
          <t>Ann: 2007-08-30</t>
        </is>
      </c>
      <c r="FE3" t="inlineStr">
        <is>
          <t>Ann: 1998-03-12</t>
        </is>
      </c>
      <c r="FO3" t="inlineStr">
        <is>
          <t>Ann: 1998-03-06</t>
        </is>
      </c>
      <c r="FY3" t="inlineStr">
        <is>
          <t>Ann: 2005-01-18</t>
        </is>
      </c>
      <c r="GI3" t="inlineStr">
        <is>
          <t>Ann: 2011-11-16</t>
        </is>
      </c>
      <c r="GS3" t="inlineStr">
        <is>
          <t>Ann: 2007-03-28</t>
        </is>
      </c>
      <c r="HC3" t="inlineStr">
        <is>
          <t>Ann: 2005-12-29</t>
        </is>
      </c>
      <c r="HM3" t="inlineStr">
        <is>
          <t>Ann: 2013-09-09</t>
        </is>
      </c>
      <c r="HW3" t="inlineStr">
        <is>
          <t>Ann: 2000-08-16</t>
        </is>
      </c>
      <c r="IG3" t="inlineStr">
        <is>
          <t>Ann: 2001-11-13</t>
        </is>
      </c>
      <c r="IQ3" t="inlineStr">
        <is>
          <t>Ann: 2000-08-21</t>
        </is>
      </c>
      <c r="JA3" t="inlineStr">
        <is>
          <t>Ann: 2002-02-27</t>
        </is>
      </c>
      <c r="JK3" t="inlineStr">
        <is>
          <t>Ann: 1998-08-19</t>
        </is>
      </c>
      <c r="JU3" t="inlineStr">
        <is>
          <t>Ann: 2015-10-14</t>
        </is>
      </c>
      <c r="KE3" t="inlineStr">
        <is>
          <t>Ann: 2003-11-04</t>
        </is>
      </c>
      <c r="KO3" t="inlineStr">
        <is>
          <t>Ann: 2022-08-09</t>
        </is>
      </c>
      <c r="KY3" t="inlineStr">
        <is>
          <t>Ann: 2005-11-22</t>
        </is>
      </c>
      <c r="LI3" t="inlineStr">
        <is>
          <t>Ann: 2000-03-21</t>
        </is>
      </c>
      <c r="LS3" t="inlineStr">
        <is>
          <t>Ann: 2003-03-07</t>
        </is>
      </c>
      <c r="MC3" t="inlineStr">
        <is>
          <t>Ann: 2014-11-19</t>
        </is>
      </c>
      <c r="MM3" t="inlineStr">
        <is>
          <t>Ann: 1998-02-02</t>
        </is>
      </c>
      <c r="MW3" t="inlineStr">
        <is>
          <t>Ann: 2003-05-28</t>
        </is>
      </c>
      <c r="NG3" t="inlineStr">
        <is>
          <t>Ann: 2017-02-01</t>
        </is>
      </c>
      <c r="NQ3" t="inlineStr">
        <is>
          <t>Ann: 1998-02-12</t>
        </is>
      </c>
      <c r="OA3" t="inlineStr">
        <is>
          <t>Ann: 2001-06-15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BDS("1448062D US Equity","SUPPLY_CHAIN_SUPPLIERS","RELATIONSHIP_AS_OF_DATE","20080418")</f>
        <v/>
      </c>
      <c r="F5">
        <f>BDS("1448062D US Equity","SUPPLY_CHAIN_CUSTOMERS","RELATIONSHIP_AS_OF_DATE","20080418")</f>
        <v/>
      </c>
      <c r="K5">
        <f>BDS("MBCRQ US Equity","SUPPLY_CHAIN_SUPPLIERS","RELATIONSHIP_AS_OF_DATE","20060531")</f>
        <v/>
      </c>
      <c r="P5">
        <f>BDS("MBCRQ US Equity","SUPPLY_CHAIN_CUSTOMERS","RELATIONSHIP_AS_OF_DATE","20060531")</f>
        <v/>
      </c>
      <c r="U5">
        <f>BDS("COHR US Equity","SUPPLY_CHAIN_SUPPLIERS","RELATIONSHIP_AS_OF_DATE","20000605")</f>
        <v/>
      </c>
      <c r="Z5">
        <f>BDS("COHR US Equity","SUPPLY_CHAIN_CUSTOMERS","RELATIONSHIP_AS_OF_DATE","20000605")</f>
        <v/>
      </c>
      <c r="AE5">
        <f>BDS("UCB US Equity","SUPPLY_CHAIN_SUPPLIERS","RELATIONSHIP_AS_OF_DATE","20030123")</f>
        <v/>
      </c>
      <c r="AJ5">
        <f>BDS("UCB US Equity","SUPPLY_CHAIN_CUSTOMERS","RELATIONSHIP_AS_OF_DATE","20030123")</f>
        <v/>
      </c>
      <c r="AO5">
        <f>BDS("TYPE US Equity","SUPPLY_CHAIN_SUPPLIERS","RELATIONSHIP_AS_OF_DATE","20111110")</f>
        <v/>
      </c>
      <c r="AT5">
        <f>BDS("TYPE US Equity","SUPPLY_CHAIN_CUSTOMERS","RELATIONSHIP_AS_OF_DATE","20111110")</f>
        <v/>
      </c>
      <c r="AY5">
        <f>BDS("RBBN US Equity","SUPPLY_CHAIN_SUPPLIERS","RELATIONSHIP_AS_OF_DATE","20120619")</f>
        <v/>
      </c>
      <c r="BD5">
        <f>BDS("RBBN US Equity","SUPPLY_CHAIN_CUSTOMERS","RELATIONSHIP_AS_OF_DATE","20120619")</f>
        <v/>
      </c>
      <c r="BI5">
        <f>BDS("WTFC US Equity","SUPPLY_CHAIN_SUPPLIERS","RELATIONSHIP_AS_OF_DATE","20150302")</f>
        <v/>
      </c>
      <c r="BN5">
        <f>BDS("WTFC US Equity","SUPPLY_CHAIN_CUSTOMERS","RELATIONSHIP_AS_OF_DATE","20150302")</f>
        <v/>
      </c>
      <c r="BS5">
        <f>BDS("1763635D US Equity","SUPPLY_CHAIN_SUPPLIERS","RELATIONSHIP_AS_OF_DATE","20061004")</f>
        <v/>
      </c>
      <c r="BX5">
        <f>BDS("1763635D US Equity","SUPPLY_CHAIN_CUSTOMERS","RELATIONSHIP_AS_OF_DATE","20061004")</f>
        <v/>
      </c>
      <c r="CC5">
        <f>BDS("ILA US Equity","SUPPLY_CHAIN_SUPPLIERS","RELATIONSHIP_AS_OF_DATE","19981112")</f>
        <v/>
      </c>
      <c r="CH5">
        <f>BDS("ILA US Equity","SUPPLY_CHAIN_CUSTOMERS","RELATIONSHIP_AS_OF_DATE","19981112")</f>
        <v/>
      </c>
      <c r="CM5">
        <f>BDS("3470770Q US Equity","SUPPLY_CHAIN_SUPPLIERS","RELATIONSHIP_AS_OF_DATE","20010801")</f>
        <v/>
      </c>
      <c r="CR5">
        <f>BDS("3470770Q US Equity","SUPPLY_CHAIN_CUSTOMERS","RELATIONSHIP_AS_OF_DATE","20010801")</f>
        <v/>
      </c>
      <c r="CW5">
        <f>BDS("CFR US Equity","SUPPLY_CHAIN_SUPPLIERS","RELATIONSHIP_AS_OF_DATE","19990217")</f>
        <v/>
      </c>
      <c r="DB5">
        <f>BDS("CFR US Equity","SUPPLY_CHAIN_CUSTOMERS","RELATIONSHIP_AS_OF_DATE","19990217")</f>
        <v/>
      </c>
      <c r="DG5">
        <f>BDS("INVA US Equity","SUPPLY_CHAIN_SUPPLIERS","RELATIONSHIP_AS_OF_DATE","20220523")</f>
        <v/>
      </c>
      <c r="DL5">
        <f>BDS("INVA US Equity","SUPPLY_CHAIN_CUSTOMERS","RELATIONSHIP_AS_OF_DATE","20220523")</f>
        <v/>
      </c>
      <c r="DQ5">
        <f>BDS("CBU US Equity","SUPPLY_CHAIN_SUPPLIERS","RELATIONSHIP_AS_OF_DATE","20060421")</f>
        <v/>
      </c>
      <c r="DV5">
        <f>BDS("CBU US Equity","SUPPLY_CHAIN_CUSTOMERS","RELATIONSHIP_AS_OF_DATE","20060421")</f>
        <v/>
      </c>
      <c r="EA5">
        <f>BDS("VRSOQ US Equity","SUPPLY_CHAIN_SUPPLIERS","RELATIONSHIP_AS_OF_DATE","19981112")</f>
        <v/>
      </c>
      <c r="EF5">
        <f>BDS("VRSOQ US Equity","SUPPLY_CHAIN_CUSTOMERS","RELATIONSHIP_AS_OF_DATE","19981112")</f>
        <v/>
      </c>
      <c r="EK5">
        <f>BDS("TLSW US Equity","SUPPLY_CHAIN_SUPPLIERS","RELATIONSHIP_AS_OF_DATE","19980612")</f>
        <v/>
      </c>
      <c r="EP5">
        <f>BDS("TLSW US Equity","SUPPLY_CHAIN_CUSTOMERS","RELATIONSHIP_AS_OF_DATE","19980612")</f>
        <v/>
      </c>
      <c r="EU5">
        <f>BDS("SSB US Equity","SUPPLY_CHAIN_SUPPLIERS","RELATIONSHIP_AS_OF_DATE","20070830")</f>
        <v/>
      </c>
      <c r="EZ5">
        <f>BDS("SSB US Equity","SUPPLY_CHAIN_CUSTOMERS","RELATIONSHIP_AS_OF_DATE","20070830")</f>
        <v/>
      </c>
      <c r="FE5">
        <f>BDS("539355Q US Equity","SUPPLY_CHAIN_SUPPLIERS","RELATIONSHIP_AS_OF_DATE","19980312")</f>
        <v/>
      </c>
      <c r="FJ5">
        <f>BDS("539355Q US Equity","SUPPLY_CHAIN_CUSTOMERS","RELATIONSHIP_AS_OF_DATE","19980312")</f>
        <v/>
      </c>
      <c r="FO5">
        <f>BDS("DHMS US Equity","SUPPLY_CHAIN_SUPPLIERS","RELATIONSHIP_AS_OF_DATE","19980306")</f>
        <v/>
      </c>
      <c r="FT5">
        <f>BDS("DHMS US Equity","SUPPLY_CHAIN_CUSTOMERS","RELATIONSHIP_AS_OF_DATE","19980306")</f>
        <v/>
      </c>
      <c r="FY5">
        <f>BDS("NNN US Equity","SUPPLY_CHAIN_SUPPLIERS","RELATIONSHIP_AS_OF_DATE","20050118")</f>
        <v/>
      </c>
      <c r="GD5">
        <f>BDS("NNN US Equity","SUPPLY_CHAIN_CUSTOMERS","RELATIONSHIP_AS_OF_DATE","20050118")</f>
        <v/>
      </c>
      <c r="GI5">
        <f>BDS("NBTB US Equity","SUPPLY_CHAIN_SUPPLIERS","RELATIONSHIP_AS_OF_DATE","20111116")</f>
        <v/>
      </c>
      <c r="GN5">
        <f>BDS("NBTB US Equity","SUPPLY_CHAIN_CUSTOMERS","RELATIONSHIP_AS_OF_DATE","20111116")</f>
        <v/>
      </c>
      <c r="GS5">
        <f>BDS("COLB US Equity","SUPPLY_CHAIN_SUPPLIERS","RELATIONSHIP_AS_OF_DATE","20070328")</f>
        <v/>
      </c>
      <c r="GX5">
        <f>BDS("COLB US Equity","SUPPLY_CHAIN_CUSTOMERS","RELATIONSHIP_AS_OF_DATE","20070328")</f>
        <v/>
      </c>
      <c r="HC5">
        <f>BDS("MNAT US Equity","SUPPLY_CHAIN_SUPPLIERS","RELATIONSHIP_AS_OF_DATE","20051229")</f>
        <v/>
      </c>
      <c r="HH5">
        <f>BDS("MNAT US Equity","SUPPLY_CHAIN_CUSTOMERS","RELATIONSHIP_AS_OF_DATE","20051229")</f>
        <v/>
      </c>
      <c r="HM5">
        <f>BDS("CFNL US Equity","SUPPLY_CHAIN_SUPPLIERS","RELATIONSHIP_AS_OF_DATE","20130909")</f>
        <v/>
      </c>
      <c r="HR5">
        <f>BDS("CFNL US Equity","SUPPLY_CHAIN_CUSTOMERS","RELATIONSHIP_AS_OF_DATE","20130909")</f>
        <v/>
      </c>
      <c r="HW5">
        <f>BDS("BERK US Equity","SUPPLY_CHAIN_SUPPLIERS","RELATIONSHIP_AS_OF_DATE","20000816")</f>
        <v/>
      </c>
      <c r="IB5">
        <f>BDS("BERK US Equity","SUPPLY_CHAIN_CUSTOMERS","RELATIONSHIP_AS_OF_DATE","20000816")</f>
        <v/>
      </c>
      <c r="IG5">
        <f>BDS("WASH US Equity","SUPPLY_CHAIN_SUPPLIERS","RELATIONSHIP_AS_OF_DATE","20011113")</f>
        <v/>
      </c>
      <c r="IL5">
        <f>BDS("WASH US Equity","SUPPLY_CHAIN_CUSTOMERS","RELATIONSHIP_AS_OF_DATE","20011113")</f>
        <v/>
      </c>
      <c r="IQ5">
        <f>BDS("AGEN US Equity","SUPPLY_CHAIN_SUPPLIERS","RELATIONSHIP_AS_OF_DATE","20000821")</f>
        <v/>
      </c>
      <c r="IV5">
        <f>BDS("AGEN US Equity","SUPPLY_CHAIN_CUSTOMERS","RELATIONSHIP_AS_OF_DATE","20000821")</f>
        <v/>
      </c>
      <c r="JA5">
        <f>BDS("540513Q US Equity","SUPPLY_CHAIN_SUPPLIERS","RELATIONSHIP_AS_OF_DATE","20020227")</f>
        <v/>
      </c>
      <c r="JF5">
        <f>BDS("540513Q US Equity","SUPPLY_CHAIN_CUSTOMERS","RELATIONSHIP_AS_OF_DATE","20020227")</f>
        <v/>
      </c>
      <c r="JK5">
        <f>BDS("JKHY US Equity","SUPPLY_CHAIN_SUPPLIERS","RELATIONSHIP_AS_OF_DATE","19980819")</f>
        <v/>
      </c>
      <c r="JP5">
        <f>BDS("JKHY US Equity","SUPPLY_CHAIN_CUSTOMERS","RELATIONSHIP_AS_OF_DATE","19980819")</f>
        <v/>
      </c>
      <c r="JU5">
        <f>BDS("CVBF US Equity","SUPPLY_CHAIN_SUPPLIERS","RELATIONSHIP_AS_OF_DATE","20151014")</f>
        <v/>
      </c>
      <c r="JZ5">
        <f>BDS("CVBF US Equity","SUPPLY_CHAIN_CUSTOMERS","RELATIONSHIP_AS_OF_DATE","20151014")</f>
        <v/>
      </c>
      <c r="KE5">
        <f>BDS("QVDX US Equity","SUPPLY_CHAIN_SUPPLIERS","RELATIONSHIP_AS_OF_DATE","20031104")</f>
        <v/>
      </c>
      <c r="KJ5">
        <f>BDS("QVDX US Equity","SUPPLY_CHAIN_CUSTOMERS","RELATIONSHIP_AS_OF_DATE","20031104")</f>
        <v/>
      </c>
      <c r="KO5">
        <f>BDS("SFTGQ US Equity","SUPPLY_CHAIN_SUPPLIERS","RELATIONSHIP_AS_OF_DATE","20220809")</f>
        <v/>
      </c>
      <c r="KT5">
        <f>BDS("SFTGQ US Equity","SUPPLY_CHAIN_CUSTOMERS","RELATIONSHIP_AS_OF_DATE","20220809")</f>
        <v/>
      </c>
      <c r="KY5">
        <f>BDS("SBCF US Equity","SUPPLY_CHAIN_SUPPLIERS","RELATIONSHIP_AS_OF_DATE","20051122")</f>
        <v/>
      </c>
      <c r="LD5">
        <f>BDS("SBCF US Equity","SUPPLY_CHAIN_CUSTOMERS","RELATIONSHIP_AS_OF_DATE","20051122")</f>
        <v/>
      </c>
      <c r="LI5">
        <f>BDS("GBBK US Equity","SUPPLY_CHAIN_SUPPLIERS","RELATIONSHIP_AS_OF_DATE","20000321")</f>
        <v/>
      </c>
      <c r="LN5">
        <f>BDS("GBBK US Equity","SUPPLY_CHAIN_CUSTOMERS","RELATIONSHIP_AS_OF_DATE","20000321")</f>
        <v/>
      </c>
      <c r="LS5">
        <f>BDS("ISRG US Equity","SUPPLY_CHAIN_SUPPLIERS","RELATIONSHIP_AS_OF_DATE","20030307")</f>
        <v/>
      </c>
      <c r="LX5">
        <f>BDS("ISRG US Equity","SUPPLY_CHAIN_CUSTOMERS","RELATIONSHIP_AS_OF_DATE","20030307")</f>
        <v/>
      </c>
      <c r="MC5">
        <f>BDS("PCBK US Equity","SUPPLY_CHAIN_SUPPLIERS","RELATIONSHIP_AS_OF_DATE","20141119")</f>
        <v/>
      </c>
      <c r="MH5">
        <f>BDS("PCBK US Equity","SUPPLY_CHAIN_CUSTOMERS","RELATIONSHIP_AS_OF_DATE","20141119")</f>
        <v/>
      </c>
      <c r="MM5">
        <f>BDS("AURU US Equity","SUPPLY_CHAIN_SUPPLIERS","RELATIONSHIP_AS_OF_DATE","19980202")</f>
        <v/>
      </c>
      <c r="MR5">
        <f>BDS("AURU US Equity","SUPPLY_CHAIN_CUSTOMERS","RELATIONSHIP_AS_OF_DATE","19980202")</f>
        <v/>
      </c>
      <c r="MW5">
        <f>BDS("YDKN US Equity","SUPPLY_CHAIN_SUPPLIERS","RELATIONSHIP_AS_OF_DATE","20030528")</f>
        <v/>
      </c>
      <c r="NB5">
        <f>BDS("YDKN US Equity","SUPPLY_CHAIN_CUSTOMERS","RELATIONSHIP_AS_OF_DATE","20030528")</f>
        <v/>
      </c>
      <c r="NG5">
        <f>BDS("OLBK US Equity","SUPPLY_CHAIN_SUPPLIERS","RELATIONSHIP_AS_OF_DATE","20170201")</f>
        <v/>
      </c>
      <c r="NL5">
        <f>BDS("OLBK US Equity","SUPPLY_CHAIN_CUSTOMERS","RELATIONSHIP_AS_OF_DATE","20170201")</f>
        <v/>
      </c>
      <c r="NQ5">
        <f>BDS("3195391Z US Equity","SUPPLY_CHAIN_SUPPLIERS","RELATIONSHIP_AS_OF_DATE","19980212")</f>
        <v/>
      </c>
      <c r="NV5">
        <f>BDS("3195391Z US Equity","SUPPLY_CHAIN_CUSTOMERS","RELATIONSHIP_AS_OF_DATE","19980212")</f>
        <v/>
      </c>
      <c r="OA5">
        <f>BDS("ABCWQ US Equity","SUPPLY_CHAIN_SUPPLIERS","RELATIONSHIP_AS_OF_DATE","20010615")</f>
        <v/>
      </c>
      <c r="OF5">
        <f>BDS("ABCWQ US Equity","SUPPLY_CHAIN_CUSTOMERS","RELATIONSHIP_AS_OF_DATE","20010615")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4161</t>
        </is>
      </c>
      <c r="K1" s="1" t="inlineStr">
        <is>
          <t>Deal 4162</t>
        </is>
      </c>
      <c r="U1" s="1" t="inlineStr">
        <is>
          <t>Deal 4163</t>
        </is>
      </c>
      <c r="AE1" s="1" t="inlineStr">
        <is>
          <t>Deal 4164</t>
        </is>
      </c>
      <c r="AO1" s="1" t="inlineStr">
        <is>
          <t>Deal 4165</t>
        </is>
      </c>
      <c r="AY1" s="1" t="inlineStr">
        <is>
          <t>Deal 4166</t>
        </is>
      </c>
      <c r="BI1" s="1" t="inlineStr">
        <is>
          <t>Deal 4167</t>
        </is>
      </c>
      <c r="BS1" s="1" t="inlineStr">
        <is>
          <t>Deal 4168</t>
        </is>
      </c>
      <c r="CC1" s="1" t="inlineStr">
        <is>
          <t>Deal 4169</t>
        </is>
      </c>
      <c r="CM1" s="1" t="inlineStr">
        <is>
          <t>Deal 4170</t>
        </is>
      </c>
      <c r="CW1" s="1" t="inlineStr">
        <is>
          <t>Deal 4171</t>
        </is>
      </c>
      <c r="DG1" s="1" t="inlineStr">
        <is>
          <t>Deal 4172</t>
        </is>
      </c>
      <c r="DQ1" s="1" t="inlineStr">
        <is>
          <t>Deal 4173</t>
        </is>
      </c>
      <c r="EA1" s="1" t="inlineStr">
        <is>
          <t>Deal 4174</t>
        </is>
      </c>
      <c r="EK1" s="1" t="inlineStr">
        <is>
          <t>Deal 4175</t>
        </is>
      </c>
      <c r="EU1" s="1" t="inlineStr">
        <is>
          <t>Deal 4176</t>
        </is>
      </c>
      <c r="FE1" s="1" t="inlineStr">
        <is>
          <t>Deal 4177</t>
        </is>
      </c>
      <c r="FO1" s="1" t="inlineStr">
        <is>
          <t>Deal 4178</t>
        </is>
      </c>
      <c r="FY1" s="1" t="inlineStr">
        <is>
          <t>Deal 4179</t>
        </is>
      </c>
      <c r="GI1" s="1" t="inlineStr">
        <is>
          <t>Deal 4180</t>
        </is>
      </c>
      <c r="GS1" s="1" t="inlineStr">
        <is>
          <t>Deal 4181</t>
        </is>
      </c>
      <c r="HC1" s="1" t="inlineStr">
        <is>
          <t>Deal 4182</t>
        </is>
      </c>
      <c r="HM1" s="1" t="inlineStr">
        <is>
          <t>Deal 4183</t>
        </is>
      </c>
      <c r="HW1" s="1" t="inlineStr">
        <is>
          <t>Deal 4184</t>
        </is>
      </c>
      <c r="IG1" s="1" t="inlineStr">
        <is>
          <t>Deal 4185</t>
        </is>
      </c>
      <c r="IQ1" s="1" t="inlineStr">
        <is>
          <t>Deal 4186</t>
        </is>
      </c>
      <c r="JA1" s="1" t="inlineStr">
        <is>
          <t>Deal 4187</t>
        </is>
      </c>
      <c r="JK1" s="1" t="inlineStr">
        <is>
          <t>Deal 4188</t>
        </is>
      </c>
      <c r="JU1" s="1" t="inlineStr">
        <is>
          <t>Deal 4189</t>
        </is>
      </c>
      <c r="KE1" s="1" t="inlineStr">
        <is>
          <t>Deal 4190</t>
        </is>
      </c>
      <c r="KO1" s="1" t="inlineStr">
        <is>
          <t>Deal 4191</t>
        </is>
      </c>
      <c r="KY1" s="1" t="inlineStr">
        <is>
          <t>Deal 4192</t>
        </is>
      </c>
      <c r="LI1" s="1" t="inlineStr">
        <is>
          <t>Deal 4193</t>
        </is>
      </c>
      <c r="LS1" s="1" t="inlineStr">
        <is>
          <t>Deal 4194</t>
        </is>
      </c>
      <c r="MC1" s="1" t="inlineStr">
        <is>
          <t>Deal 4195</t>
        </is>
      </c>
      <c r="MM1" s="1" t="inlineStr">
        <is>
          <t>Deal 4196</t>
        </is>
      </c>
      <c r="MW1" s="1" t="inlineStr">
        <is>
          <t>Deal 4197</t>
        </is>
      </c>
      <c r="NG1" s="1" t="inlineStr">
        <is>
          <t>Deal 4198</t>
        </is>
      </c>
      <c r="NQ1" s="1" t="inlineStr">
        <is>
          <t>Deal 4199</t>
        </is>
      </c>
      <c r="OA1" s="1" t="inlineStr">
        <is>
          <t>Deal 4200</t>
        </is>
      </c>
    </row>
    <row r="2">
      <c r="A2" s="2" t="inlineStr">
        <is>
          <t>EBF US Equity</t>
        </is>
      </c>
      <c r="K2" s="2" t="inlineStr">
        <is>
          <t>RTHM LN Equity</t>
        </is>
      </c>
      <c r="U2" s="2" t="inlineStr">
        <is>
          <t>FFIC US Equity</t>
        </is>
      </c>
      <c r="AE2" s="2" t="inlineStr">
        <is>
          <t>229195Q US Equity</t>
        </is>
      </c>
      <c r="AO2" s="2" t="inlineStr">
        <is>
          <t>PARA US Equity</t>
        </is>
      </c>
      <c r="AY2" s="2" t="inlineStr">
        <is>
          <t>STL US Equity</t>
        </is>
      </c>
      <c r="BI2" s="2" t="inlineStr">
        <is>
          <t>CZWI US Equity</t>
        </is>
      </c>
      <c r="BS2" s="2" t="inlineStr">
        <is>
          <t>OK US Equity</t>
        </is>
      </c>
      <c r="CC2" s="2" t="inlineStr">
        <is>
          <t>GBBK US Equity</t>
        </is>
      </c>
      <c r="CM2" s="2" t="inlineStr">
        <is>
          <t>2452714D US Equity</t>
        </is>
      </c>
      <c r="CW2" s="2" t="inlineStr">
        <is>
          <t>1740293D US Equity</t>
        </is>
      </c>
      <c r="DG2" s="2" t="inlineStr">
        <is>
          <t>IBKC US Equity</t>
        </is>
      </c>
      <c r="DQ2" s="2" t="inlineStr">
        <is>
          <t>URGP US Equity</t>
        </is>
      </c>
      <c r="EA2" s="2" t="inlineStr">
        <is>
          <t>DDD US Equity</t>
        </is>
      </c>
      <c r="EK2" s="2" t="inlineStr">
        <is>
          <t>2740937Q US Equity</t>
        </is>
      </c>
      <c r="EU2" s="2" t="inlineStr">
        <is>
          <t>SLCT US Equity</t>
        </is>
      </c>
      <c r="FE2" s="2" t="inlineStr">
        <is>
          <t>375689Q US Equity</t>
        </is>
      </c>
      <c r="FO2" s="2" t="inlineStr">
        <is>
          <t>TWRV US Equity</t>
        </is>
      </c>
      <c r="FY2" s="2" t="inlineStr">
        <is>
          <t>SFFS US Equity</t>
        </is>
      </c>
      <c r="GI2" s="2" t="inlineStr">
        <is>
          <t>SEVN US Equity</t>
        </is>
      </c>
      <c r="GS2" s="2" t="inlineStr">
        <is>
          <t>BCAL US Equity</t>
        </is>
      </c>
      <c r="HC2" s="2" t="inlineStr">
        <is>
          <t>YDKN US Equity</t>
        </is>
      </c>
      <c r="HM2" s="2" t="inlineStr">
        <is>
          <t>SFNC US Equity</t>
        </is>
      </c>
      <c r="HW2" s="2" t="inlineStr">
        <is>
          <t>3489Q US Equity</t>
        </is>
      </c>
      <c r="IG2" s="2" t="inlineStr">
        <is>
          <t>JAKK US Equity</t>
        </is>
      </c>
      <c r="IQ2" s="2" t="inlineStr">
        <is>
          <t>FFWM US Equity</t>
        </is>
      </c>
      <c r="JA2" s="2" t="inlineStr">
        <is>
          <t>FINB US Equity</t>
        </is>
      </c>
      <c r="JK2" s="2" t="inlineStr">
        <is>
          <t>FBMI US Equity</t>
        </is>
      </c>
      <c r="JU2" s="2" t="inlineStr">
        <is>
          <t>41018Q US Equity</t>
        </is>
      </c>
      <c r="KE2" s="2" t="inlineStr">
        <is>
          <t>ARBA US Equity</t>
        </is>
      </c>
      <c r="KO2" s="2" t="inlineStr">
        <is>
          <t>GS US Equity</t>
        </is>
      </c>
      <c r="KY2" s="2" t="inlineStr">
        <is>
          <t>JNJ US Equity</t>
        </is>
      </c>
      <c r="LI2" s="2" t="inlineStr">
        <is>
          <t>TMD US Equity</t>
        </is>
      </c>
      <c r="LS2" s="2" t="inlineStr">
        <is>
          <t>CCBI US Equity</t>
        </is>
      </c>
      <c r="MC2" s="2" t="inlineStr">
        <is>
          <t>NUE US Equity</t>
        </is>
      </c>
      <c r="MM2" s="2" t="inlineStr">
        <is>
          <t>CUNB US Equity</t>
        </is>
      </c>
      <c r="MW2" s="2" t="inlineStr">
        <is>
          <t>2674129Q US Equity</t>
        </is>
      </c>
      <c r="NG2" s="2" t="inlineStr">
        <is>
          <t>KODK US Equity</t>
        </is>
      </c>
      <c r="NQ2" s="2" t="inlineStr">
        <is>
          <t>HBEK US Equity</t>
        </is>
      </c>
      <c r="OA2" s="2" t="inlineStr">
        <is>
          <t>PFC US Equity</t>
        </is>
      </c>
    </row>
    <row r="3">
      <c r="A3" t="inlineStr">
        <is>
          <t>Ann: 2000-02-21</t>
        </is>
      </c>
      <c r="K3" t="inlineStr">
        <is>
          <t>Ann: 2016-12-05</t>
        </is>
      </c>
      <c r="U3" t="inlineStr">
        <is>
          <t>Ann: 2005-12-21</t>
        </is>
      </c>
      <c r="AE3" t="inlineStr">
        <is>
          <t>Ann: 1999-08-25</t>
        </is>
      </c>
      <c r="AO3" t="inlineStr">
        <is>
          <t>Ann: 2004-07-01</t>
        </is>
      </c>
      <c r="AY3" t="inlineStr">
        <is>
          <t>Ann: 2012-01-18</t>
        </is>
      </c>
      <c r="BI3" t="inlineStr">
        <is>
          <t>Ann: 2017-03-17</t>
        </is>
      </c>
      <c r="BS3" t="inlineStr">
        <is>
          <t>Ann: 2000-06-16</t>
        </is>
      </c>
      <c r="CC3" t="inlineStr">
        <is>
          <t>Ann: 1999-09-16</t>
        </is>
      </c>
      <c r="CM3" t="inlineStr">
        <is>
          <t>Ann: 2011-01-18</t>
        </is>
      </c>
      <c r="CW3" t="inlineStr">
        <is>
          <t>Ann: 2013-05-02</t>
        </is>
      </c>
      <c r="DG3" t="inlineStr">
        <is>
          <t>Ann: 2011-02-22</t>
        </is>
      </c>
      <c r="DQ3" t="inlineStr">
        <is>
          <t>Ann: 1998-10-26</t>
        </is>
      </c>
      <c r="EA3" t="inlineStr">
        <is>
          <t>Ann: 2001-04-03</t>
        </is>
      </c>
      <c r="EK3" t="inlineStr">
        <is>
          <t>Ann: 1999-04-19</t>
        </is>
      </c>
      <c r="EU3" t="inlineStr">
        <is>
          <t>Ann: 2017-07-21</t>
        </is>
      </c>
      <c r="FE3" t="inlineStr">
        <is>
          <t>Ann: 1998-04-27</t>
        </is>
      </c>
      <c r="FO3" t="inlineStr">
        <is>
          <t>Ann: 2005-08-17</t>
        </is>
      </c>
      <c r="FY3" t="inlineStr">
        <is>
          <t>Ann: 2000-02-17</t>
        </is>
      </c>
      <c r="GI3" t="inlineStr">
        <is>
          <t>Ann: 2021-04-26</t>
        </is>
      </c>
      <c r="GS3" t="inlineStr">
        <is>
          <t>Ann: 2018-02-22</t>
        </is>
      </c>
      <c r="HC3" t="inlineStr">
        <is>
          <t>Ann: 2007-06-14</t>
        </is>
      </c>
      <c r="HM3" t="inlineStr">
        <is>
          <t>Ann: 2018-11-13</t>
        </is>
      </c>
      <c r="HW3" t="inlineStr">
        <is>
          <t>Ann: 1998-11-19</t>
        </is>
      </c>
      <c r="IG3" t="inlineStr">
        <is>
          <t>Ann: 2000-05-23</t>
        </is>
      </c>
      <c r="IQ3" t="inlineStr">
        <is>
          <t>Ann: 2017-06-15</t>
        </is>
      </c>
      <c r="JA3" t="inlineStr">
        <is>
          <t>Ann: 2002-09-04</t>
        </is>
      </c>
      <c r="JK3" t="inlineStr">
        <is>
          <t>Ann: 2007-02-01</t>
        </is>
      </c>
      <c r="JU3" t="inlineStr">
        <is>
          <t>Ann: 2000-03-03</t>
        </is>
      </c>
      <c r="KE3" t="inlineStr">
        <is>
          <t>Ann: 2004-01-23</t>
        </is>
      </c>
      <c r="KO3" t="inlineStr">
        <is>
          <t>Ann: 1999-05-05</t>
        </is>
      </c>
      <c r="KY3" t="inlineStr">
        <is>
          <t>Ann: 2008-06-11</t>
        </is>
      </c>
      <c r="LI3" t="inlineStr">
        <is>
          <t>Ann: 2000-01-31</t>
        </is>
      </c>
      <c r="LS3" t="inlineStr">
        <is>
          <t>Ann: 2005-10-20</t>
        </is>
      </c>
      <c r="MC3" t="inlineStr">
        <is>
          <t>Ann: 2019-08-19</t>
        </is>
      </c>
      <c r="MM3" t="inlineStr">
        <is>
          <t>Ann: 2011-12-09</t>
        </is>
      </c>
      <c r="MW3" t="inlineStr">
        <is>
          <t>Ann: 2003-07-16</t>
        </is>
      </c>
      <c r="NG3" t="inlineStr">
        <is>
          <t>Ann: 2000-11-09</t>
        </is>
      </c>
      <c r="NQ3" t="inlineStr">
        <is>
          <t>Ann: 2000-09-20</t>
        </is>
      </c>
      <c r="OA3" t="inlineStr">
        <is>
          <t>Ann: 2004-08-04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BDS("EBF US Equity","SUPPLY_CHAIN_SUPPLIERS","RELATIONSHIP_AS_OF_DATE","20000221")</f>
        <v/>
      </c>
      <c r="F5">
        <f>BDS("EBF US Equity","SUPPLY_CHAIN_CUSTOMERS","RELATIONSHIP_AS_OF_DATE","20000221")</f>
        <v/>
      </c>
      <c r="K5">
        <f>BDS("RTHM LN Equity","SUPPLY_CHAIN_SUPPLIERS","RELATIONSHIP_AS_OF_DATE","20161205")</f>
        <v/>
      </c>
      <c r="P5">
        <f>BDS("RTHM LN Equity","SUPPLY_CHAIN_CUSTOMERS","RELATIONSHIP_AS_OF_DATE","20161205")</f>
        <v/>
      </c>
      <c r="U5">
        <f>BDS("FFIC US Equity","SUPPLY_CHAIN_SUPPLIERS","RELATIONSHIP_AS_OF_DATE","20051221")</f>
        <v/>
      </c>
      <c r="Z5">
        <f>BDS("FFIC US Equity","SUPPLY_CHAIN_CUSTOMERS","RELATIONSHIP_AS_OF_DATE","20051221")</f>
        <v/>
      </c>
      <c r="AE5">
        <f>BDS("229195Q US Equity","SUPPLY_CHAIN_SUPPLIERS","RELATIONSHIP_AS_OF_DATE","19990825")</f>
        <v/>
      </c>
      <c r="AJ5">
        <f>BDS("229195Q US Equity","SUPPLY_CHAIN_CUSTOMERS","RELATIONSHIP_AS_OF_DATE","19990825")</f>
        <v/>
      </c>
      <c r="AO5">
        <f>BDS("PARA US Equity","SUPPLY_CHAIN_SUPPLIERS","RELATIONSHIP_AS_OF_DATE","20040701")</f>
        <v/>
      </c>
      <c r="AT5">
        <f>BDS("PARA US Equity","SUPPLY_CHAIN_CUSTOMERS","RELATIONSHIP_AS_OF_DATE","20040701")</f>
        <v/>
      </c>
      <c r="AY5">
        <f>BDS("STL US Equity","SUPPLY_CHAIN_SUPPLIERS","RELATIONSHIP_AS_OF_DATE","20120118")</f>
        <v/>
      </c>
      <c r="BD5">
        <f>BDS("STL US Equity","SUPPLY_CHAIN_CUSTOMERS","RELATIONSHIP_AS_OF_DATE","20120118")</f>
        <v/>
      </c>
      <c r="BI5">
        <f>BDS("CZWI US Equity","SUPPLY_CHAIN_SUPPLIERS","RELATIONSHIP_AS_OF_DATE","20170317")</f>
        <v/>
      </c>
      <c r="BN5">
        <f>BDS("CZWI US Equity","SUPPLY_CHAIN_CUSTOMERS","RELATIONSHIP_AS_OF_DATE","20170317")</f>
        <v/>
      </c>
      <c r="BS5">
        <f>BDS("OK US Equity","SUPPLY_CHAIN_SUPPLIERS","RELATIONSHIP_AS_OF_DATE","20000616")</f>
        <v/>
      </c>
      <c r="BX5">
        <f>BDS("OK US Equity","SUPPLY_CHAIN_CUSTOMERS","RELATIONSHIP_AS_OF_DATE","20000616")</f>
        <v/>
      </c>
      <c r="CC5">
        <f>BDS("GBBK US Equity","SUPPLY_CHAIN_SUPPLIERS","RELATIONSHIP_AS_OF_DATE","19990916")</f>
        <v/>
      </c>
      <c r="CH5">
        <f>BDS("GBBK US Equity","SUPPLY_CHAIN_CUSTOMERS","RELATIONSHIP_AS_OF_DATE","19990916")</f>
        <v/>
      </c>
      <c r="CM5">
        <f>BDS("2452714D US Equity","SUPPLY_CHAIN_SUPPLIERS","RELATIONSHIP_AS_OF_DATE","20110118")</f>
        <v/>
      </c>
      <c r="CR5">
        <f>BDS("2452714D US Equity","SUPPLY_CHAIN_CUSTOMERS","RELATIONSHIP_AS_OF_DATE","20110118")</f>
        <v/>
      </c>
      <c r="CW5">
        <f>BDS("1740293D US Equity","SUPPLY_CHAIN_SUPPLIERS","RELATIONSHIP_AS_OF_DATE","20130502")</f>
        <v/>
      </c>
      <c r="DB5">
        <f>BDS("1740293D US Equity","SUPPLY_CHAIN_CUSTOMERS","RELATIONSHIP_AS_OF_DATE","20130502")</f>
        <v/>
      </c>
      <c r="DG5">
        <f>BDS("IBKC US Equity","SUPPLY_CHAIN_SUPPLIERS","RELATIONSHIP_AS_OF_DATE","20110222")</f>
        <v/>
      </c>
      <c r="DL5">
        <f>BDS("IBKC US Equity","SUPPLY_CHAIN_CUSTOMERS","RELATIONSHIP_AS_OF_DATE","20110222")</f>
        <v/>
      </c>
      <c r="DQ5">
        <f>BDS("URGP US Equity","SUPPLY_CHAIN_SUPPLIERS","RELATIONSHIP_AS_OF_DATE","19981026")</f>
        <v/>
      </c>
      <c r="DV5">
        <f>BDS("URGP US Equity","SUPPLY_CHAIN_CUSTOMERS","RELATIONSHIP_AS_OF_DATE","19981026")</f>
        <v/>
      </c>
      <c r="EA5">
        <f>BDS("DDD US Equity","SUPPLY_CHAIN_SUPPLIERS","RELATIONSHIP_AS_OF_DATE","20010403")</f>
        <v/>
      </c>
      <c r="EF5">
        <f>BDS("DDD US Equity","SUPPLY_CHAIN_CUSTOMERS","RELATIONSHIP_AS_OF_DATE","20010403")</f>
        <v/>
      </c>
      <c r="EK5">
        <f>BDS("2740937Q US Equity","SUPPLY_CHAIN_SUPPLIERS","RELATIONSHIP_AS_OF_DATE","19990419")</f>
        <v/>
      </c>
      <c r="EP5">
        <f>BDS("2740937Q US Equity","SUPPLY_CHAIN_CUSTOMERS","RELATIONSHIP_AS_OF_DATE","19990419")</f>
        <v/>
      </c>
      <c r="EU5">
        <f>BDS("SLCT US Equity","SUPPLY_CHAIN_SUPPLIERS","RELATIONSHIP_AS_OF_DATE","20170721")</f>
        <v/>
      </c>
      <c r="EZ5">
        <f>BDS("SLCT US Equity","SUPPLY_CHAIN_CUSTOMERS","RELATIONSHIP_AS_OF_DATE","20170721")</f>
        <v/>
      </c>
      <c r="FE5">
        <f>BDS("375689Q US Equity","SUPPLY_CHAIN_SUPPLIERS","RELATIONSHIP_AS_OF_DATE","19980427")</f>
        <v/>
      </c>
      <c r="FJ5">
        <f>BDS("375689Q US Equity","SUPPLY_CHAIN_CUSTOMERS","RELATIONSHIP_AS_OF_DATE","19980427")</f>
        <v/>
      </c>
      <c r="FO5">
        <f>BDS("TWRV US Equity","SUPPLY_CHAIN_SUPPLIERS","RELATIONSHIP_AS_OF_DATE","20050817")</f>
        <v/>
      </c>
      <c r="FT5">
        <f>BDS("TWRV US Equity","SUPPLY_CHAIN_CUSTOMERS","RELATIONSHIP_AS_OF_DATE","20050817")</f>
        <v/>
      </c>
      <c r="FY5">
        <f>BDS("SFFS US Equity","SUPPLY_CHAIN_SUPPLIERS","RELATIONSHIP_AS_OF_DATE","20000217")</f>
        <v/>
      </c>
      <c r="GD5">
        <f>BDS("SFFS US Equity","SUPPLY_CHAIN_CUSTOMERS","RELATIONSHIP_AS_OF_DATE","20000217")</f>
        <v/>
      </c>
      <c r="GI5">
        <f>BDS("SEVN US Equity","SUPPLY_CHAIN_SUPPLIERS","RELATIONSHIP_AS_OF_DATE","20210426")</f>
        <v/>
      </c>
      <c r="GN5">
        <f>BDS("SEVN US Equity","SUPPLY_CHAIN_CUSTOMERS","RELATIONSHIP_AS_OF_DATE","20210426")</f>
        <v/>
      </c>
      <c r="GS5">
        <f>BDS("BCAL US Equity","SUPPLY_CHAIN_SUPPLIERS","RELATIONSHIP_AS_OF_DATE","20180222")</f>
        <v/>
      </c>
      <c r="GX5">
        <f>BDS("BCAL US Equity","SUPPLY_CHAIN_CUSTOMERS","RELATIONSHIP_AS_OF_DATE","20180222")</f>
        <v/>
      </c>
      <c r="HC5">
        <f>BDS("YDKN US Equity","SUPPLY_CHAIN_SUPPLIERS","RELATIONSHIP_AS_OF_DATE","20070614")</f>
        <v/>
      </c>
      <c r="HH5">
        <f>BDS("YDKN US Equity","SUPPLY_CHAIN_CUSTOMERS","RELATIONSHIP_AS_OF_DATE","20070614")</f>
        <v/>
      </c>
      <c r="HM5">
        <f>BDS("SFNC US Equity","SUPPLY_CHAIN_SUPPLIERS","RELATIONSHIP_AS_OF_DATE","20181113")</f>
        <v/>
      </c>
      <c r="HR5">
        <f>BDS("SFNC US Equity","SUPPLY_CHAIN_CUSTOMERS","RELATIONSHIP_AS_OF_DATE","20181113")</f>
        <v/>
      </c>
      <c r="HW5">
        <f>BDS("3489Q US Equity","SUPPLY_CHAIN_SUPPLIERS","RELATIONSHIP_AS_OF_DATE","19981119")</f>
        <v/>
      </c>
      <c r="IB5">
        <f>BDS("3489Q US Equity","SUPPLY_CHAIN_CUSTOMERS","RELATIONSHIP_AS_OF_DATE","19981119")</f>
        <v/>
      </c>
      <c r="IG5">
        <f>BDS("JAKK US Equity","SUPPLY_CHAIN_SUPPLIERS","RELATIONSHIP_AS_OF_DATE","20000523")</f>
        <v/>
      </c>
      <c r="IL5">
        <f>BDS("JAKK US Equity","SUPPLY_CHAIN_CUSTOMERS","RELATIONSHIP_AS_OF_DATE","20000523")</f>
        <v/>
      </c>
      <c r="IQ5">
        <f>BDS("FFWM US Equity","SUPPLY_CHAIN_SUPPLIERS","RELATIONSHIP_AS_OF_DATE","20170615")</f>
        <v/>
      </c>
      <c r="IV5">
        <f>BDS("FFWM US Equity","SUPPLY_CHAIN_CUSTOMERS","RELATIONSHIP_AS_OF_DATE","20170615")</f>
        <v/>
      </c>
      <c r="JA5">
        <f>BDS("FINB US Equity","SUPPLY_CHAIN_SUPPLIERS","RELATIONSHIP_AS_OF_DATE","20020904")</f>
        <v/>
      </c>
      <c r="JF5">
        <f>BDS("FINB US Equity","SUPPLY_CHAIN_CUSTOMERS","RELATIONSHIP_AS_OF_DATE","20020904")</f>
        <v/>
      </c>
      <c r="JK5">
        <f>BDS("FBMI US Equity","SUPPLY_CHAIN_SUPPLIERS","RELATIONSHIP_AS_OF_DATE","20070201")</f>
        <v/>
      </c>
      <c r="JP5">
        <f>BDS("FBMI US Equity","SUPPLY_CHAIN_CUSTOMERS","RELATIONSHIP_AS_OF_DATE","20070201")</f>
        <v/>
      </c>
      <c r="JU5">
        <f>BDS("41018Q US Equity","SUPPLY_CHAIN_SUPPLIERS","RELATIONSHIP_AS_OF_DATE","20000303")</f>
        <v/>
      </c>
      <c r="JZ5">
        <f>BDS("41018Q US Equity","SUPPLY_CHAIN_CUSTOMERS","RELATIONSHIP_AS_OF_DATE","20000303")</f>
        <v/>
      </c>
      <c r="KE5">
        <f>BDS("ARBA US Equity","SUPPLY_CHAIN_SUPPLIERS","RELATIONSHIP_AS_OF_DATE","20040123")</f>
        <v/>
      </c>
      <c r="KJ5">
        <f>BDS("ARBA US Equity","SUPPLY_CHAIN_CUSTOMERS","RELATIONSHIP_AS_OF_DATE","20040123")</f>
        <v/>
      </c>
      <c r="KO5">
        <f>BDS("GS US Equity","SUPPLY_CHAIN_SUPPLIERS","RELATIONSHIP_AS_OF_DATE","19990505")</f>
        <v/>
      </c>
      <c r="KT5">
        <f>BDS("GS US Equity","SUPPLY_CHAIN_CUSTOMERS","RELATIONSHIP_AS_OF_DATE","19990505")</f>
        <v/>
      </c>
      <c r="KY5">
        <f>BDS("JNJ US Equity","SUPPLY_CHAIN_SUPPLIERS","RELATIONSHIP_AS_OF_DATE","20080611")</f>
        <v/>
      </c>
      <c r="LD5">
        <f>BDS("JNJ US Equity","SUPPLY_CHAIN_CUSTOMERS","RELATIONSHIP_AS_OF_DATE","20080611")</f>
        <v/>
      </c>
      <c r="LI5">
        <f>BDS("TMD US Equity","SUPPLY_CHAIN_SUPPLIERS","RELATIONSHIP_AS_OF_DATE","20000131")</f>
        <v/>
      </c>
      <c r="LN5">
        <f>BDS("TMD US Equity","SUPPLY_CHAIN_CUSTOMERS","RELATIONSHIP_AS_OF_DATE","20000131")</f>
        <v/>
      </c>
      <c r="LS5">
        <f>BDS("CCBI US Equity","SUPPLY_CHAIN_SUPPLIERS","RELATIONSHIP_AS_OF_DATE","20051020")</f>
        <v/>
      </c>
      <c r="LX5">
        <f>BDS("CCBI US Equity","SUPPLY_CHAIN_CUSTOMERS","RELATIONSHIP_AS_OF_DATE","20051020")</f>
        <v/>
      </c>
      <c r="MC5">
        <f>BDS("NUE US Equity","SUPPLY_CHAIN_SUPPLIERS","RELATIONSHIP_AS_OF_DATE","20190819")</f>
        <v/>
      </c>
      <c r="MH5">
        <f>BDS("NUE US Equity","SUPPLY_CHAIN_CUSTOMERS","RELATIONSHIP_AS_OF_DATE","20190819")</f>
        <v/>
      </c>
      <c r="MM5">
        <f>BDS("CUNB US Equity","SUPPLY_CHAIN_SUPPLIERS","RELATIONSHIP_AS_OF_DATE","20111209")</f>
        <v/>
      </c>
      <c r="MR5">
        <f>BDS("CUNB US Equity","SUPPLY_CHAIN_CUSTOMERS","RELATIONSHIP_AS_OF_DATE","20111209")</f>
        <v/>
      </c>
      <c r="MW5">
        <f>BDS("2674129Q US Equity","SUPPLY_CHAIN_SUPPLIERS","RELATIONSHIP_AS_OF_DATE","20030716")</f>
        <v/>
      </c>
      <c r="NB5">
        <f>BDS("2674129Q US Equity","SUPPLY_CHAIN_CUSTOMERS","RELATIONSHIP_AS_OF_DATE","20030716")</f>
        <v/>
      </c>
      <c r="NG5">
        <f>BDS("KODK US Equity","SUPPLY_CHAIN_SUPPLIERS","RELATIONSHIP_AS_OF_DATE","20001109")</f>
        <v/>
      </c>
      <c r="NL5">
        <f>BDS("KODK US Equity","SUPPLY_CHAIN_CUSTOMERS","RELATIONSHIP_AS_OF_DATE","20001109")</f>
        <v/>
      </c>
      <c r="NQ5">
        <f>BDS("HBEK US Equity","SUPPLY_CHAIN_SUPPLIERS","RELATIONSHIP_AS_OF_DATE","20000920")</f>
        <v/>
      </c>
      <c r="NV5">
        <f>BDS("HBEK US Equity","SUPPLY_CHAIN_CUSTOMERS","RELATIONSHIP_AS_OF_DATE","20000920")</f>
        <v/>
      </c>
      <c r="OA5">
        <f>BDS("PFC US Equity","SUPPLY_CHAIN_SUPPLIERS","RELATIONSHIP_AS_OF_DATE","20040804")</f>
        <v/>
      </c>
      <c r="OF5">
        <f>BDS("PFC US Equity","SUPPLY_CHAIN_CUSTOMERS","RELATIONSHIP_AS_OF_DATE","20040804")</f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4201</t>
        </is>
      </c>
      <c r="K1" s="1" t="inlineStr">
        <is>
          <t>Deal 4202</t>
        </is>
      </c>
      <c r="U1" s="1" t="inlineStr">
        <is>
          <t>Deal 4203</t>
        </is>
      </c>
      <c r="AE1" s="1" t="inlineStr">
        <is>
          <t>Deal 4204</t>
        </is>
      </c>
      <c r="AO1" s="1" t="inlineStr">
        <is>
          <t>Deal 4205</t>
        </is>
      </c>
      <c r="AY1" s="1" t="inlineStr">
        <is>
          <t>Deal 4206</t>
        </is>
      </c>
      <c r="BI1" s="1" t="inlineStr">
        <is>
          <t>Deal 4207</t>
        </is>
      </c>
      <c r="BS1" s="1" t="inlineStr">
        <is>
          <t>Deal 4208</t>
        </is>
      </c>
      <c r="CC1" s="1" t="inlineStr">
        <is>
          <t>Deal 4209</t>
        </is>
      </c>
      <c r="CM1" s="1" t="inlineStr">
        <is>
          <t>Deal 4210</t>
        </is>
      </c>
      <c r="CW1" s="1" t="inlineStr">
        <is>
          <t>Deal 4211</t>
        </is>
      </c>
      <c r="DG1" s="1" t="inlineStr">
        <is>
          <t>Deal 4212</t>
        </is>
      </c>
      <c r="DQ1" s="1" t="inlineStr">
        <is>
          <t>Deal 4213</t>
        </is>
      </c>
      <c r="EA1" s="1" t="inlineStr">
        <is>
          <t>Deal 4214</t>
        </is>
      </c>
      <c r="EK1" s="1" t="inlineStr">
        <is>
          <t>Deal 4215</t>
        </is>
      </c>
      <c r="EU1" s="1" t="inlineStr">
        <is>
          <t>Deal 4216</t>
        </is>
      </c>
      <c r="FE1" s="1" t="inlineStr">
        <is>
          <t>Deal 4217</t>
        </is>
      </c>
      <c r="FO1" s="1" t="inlineStr">
        <is>
          <t>Deal 4218</t>
        </is>
      </c>
      <c r="FY1" s="1" t="inlineStr">
        <is>
          <t>Deal 4219</t>
        </is>
      </c>
      <c r="GI1" s="1" t="inlineStr">
        <is>
          <t>Deal 4220</t>
        </is>
      </c>
      <c r="GS1" s="1" t="inlineStr">
        <is>
          <t>Deal 4221</t>
        </is>
      </c>
      <c r="HC1" s="1" t="inlineStr">
        <is>
          <t>Deal 4222</t>
        </is>
      </c>
      <c r="HM1" s="1" t="inlineStr">
        <is>
          <t>Deal 4223</t>
        </is>
      </c>
      <c r="HW1" s="1" t="inlineStr">
        <is>
          <t>Deal 4224</t>
        </is>
      </c>
      <c r="IG1" s="1" t="inlineStr">
        <is>
          <t>Deal 4225</t>
        </is>
      </c>
      <c r="IQ1" s="1" t="inlineStr">
        <is>
          <t>Deal 4226</t>
        </is>
      </c>
      <c r="JA1" s="1" t="inlineStr">
        <is>
          <t>Deal 4227</t>
        </is>
      </c>
      <c r="JK1" s="1" t="inlineStr">
        <is>
          <t>Deal 4228</t>
        </is>
      </c>
      <c r="JU1" s="1" t="inlineStr">
        <is>
          <t>Deal 4229</t>
        </is>
      </c>
      <c r="KE1" s="1" t="inlineStr">
        <is>
          <t>Deal 4230</t>
        </is>
      </c>
      <c r="KO1" s="1" t="inlineStr">
        <is>
          <t>Deal 4231</t>
        </is>
      </c>
      <c r="KY1" s="1" t="inlineStr">
        <is>
          <t>Deal 4232</t>
        </is>
      </c>
      <c r="LI1" s="1" t="inlineStr">
        <is>
          <t>Deal 4233</t>
        </is>
      </c>
      <c r="LS1" s="1" t="inlineStr">
        <is>
          <t>Deal 4234</t>
        </is>
      </c>
      <c r="MC1" s="1" t="inlineStr">
        <is>
          <t>Deal 4235</t>
        </is>
      </c>
      <c r="MM1" s="1" t="inlineStr">
        <is>
          <t>Deal 4236</t>
        </is>
      </c>
      <c r="MW1" s="1" t="inlineStr">
        <is>
          <t>Deal 4237</t>
        </is>
      </c>
      <c r="NG1" s="1" t="inlineStr">
        <is>
          <t>Deal 4238</t>
        </is>
      </c>
      <c r="NQ1" s="1" t="inlineStr">
        <is>
          <t>Deal 4239</t>
        </is>
      </c>
      <c r="OA1" s="1" t="inlineStr">
        <is>
          <t>Deal 4240</t>
        </is>
      </c>
    </row>
    <row r="2">
      <c r="A2" s="2" t="inlineStr">
        <is>
          <t>AEGN US Equity</t>
        </is>
      </c>
      <c r="K2" s="2" t="inlineStr">
        <is>
          <t>PBIP US Equity</t>
        </is>
      </c>
      <c r="U2" s="2" t="inlineStr">
        <is>
          <t>AYTU US Equity</t>
        </is>
      </c>
      <c r="AE2" s="2" t="inlineStr">
        <is>
          <t>DCLK US Equity</t>
        </is>
      </c>
      <c r="AO2" s="2" t="inlineStr">
        <is>
          <t>PMRY US Equity</t>
        </is>
      </c>
      <c r="AY2" s="2" t="inlineStr">
        <is>
          <t>DRTE US Equity</t>
        </is>
      </c>
      <c r="BI2" s="2" t="inlineStr">
        <is>
          <t>PEBO US Equity</t>
        </is>
      </c>
      <c r="BS2" s="2" t="inlineStr">
        <is>
          <t>FCNB US Equity</t>
        </is>
      </c>
      <c r="CC2" s="2" t="inlineStr">
        <is>
          <t>KROL US Equity</t>
        </is>
      </c>
      <c r="CM2" s="2" t="inlineStr">
        <is>
          <t>BANC US Equity</t>
        </is>
      </c>
      <c r="CW2" s="2" t="inlineStr">
        <is>
          <t>FNB US Equity</t>
        </is>
      </c>
      <c r="DG2" s="2" t="inlineStr">
        <is>
          <t>BKS US Equity</t>
        </is>
      </c>
      <c r="DQ2" s="2" t="inlineStr">
        <is>
          <t>2714244Q US Equity</t>
        </is>
      </c>
      <c r="EA2" s="2" t="inlineStr">
        <is>
          <t>NCOG US Equity</t>
        </is>
      </c>
      <c r="EK2" s="2" t="inlineStr">
        <is>
          <t>RBNC US Equity</t>
        </is>
      </c>
      <c r="EU2" s="2" t="inlineStr">
        <is>
          <t>INDB US Equity</t>
        </is>
      </c>
      <c r="FE2" s="2" t="inlineStr">
        <is>
          <t>AMNB US Equity</t>
        </is>
      </c>
      <c r="FO2" s="2" t="inlineStr">
        <is>
          <t>1683351D US Equity</t>
        </is>
      </c>
      <c r="FY2" s="2" t="inlineStr">
        <is>
          <t>IEP US Equity</t>
        </is>
      </c>
      <c r="GI2" s="2" t="inlineStr">
        <is>
          <t>IRF US Equity</t>
        </is>
      </c>
      <c r="GS2" s="2" t="inlineStr">
        <is>
          <t>SRCL US Equity</t>
        </is>
      </c>
      <c r="HC2" s="2" t="inlineStr">
        <is>
          <t>GSIC US Equity</t>
        </is>
      </c>
      <c r="HM2" s="2" t="inlineStr">
        <is>
          <t>NEB US Equity</t>
        </is>
      </c>
      <c r="HW2" s="2" t="inlineStr">
        <is>
          <t>TTN US Equity</t>
        </is>
      </c>
      <c r="IG2" s="2" t="inlineStr">
        <is>
          <t>PCBK US Equity</t>
        </is>
      </c>
      <c r="IQ2" s="2" t="inlineStr">
        <is>
          <t>PACW US Equity</t>
        </is>
      </c>
      <c r="JA2" s="2" t="inlineStr">
        <is>
          <t>MCOAQ US Equity</t>
        </is>
      </c>
      <c r="JK2" s="2" t="inlineStr">
        <is>
          <t>DRS US Equity</t>
        </is>
      </c>
      <c r="JU2" s="2" t="inlineStr">
        <is>
          <t>RRD US Equity</t>
        </is>
      </c>
      <c r="KE2" s="2" t="inlineStr">
        <is>
          <t>CSBC US Equity</t>
        </is>
      </c>
      <c r="KO2" s="2" t="inlineStr">
        <is>
          <t>UCBHQ US Equity</t>
        </is>
      </c>
      <c r="KY2" s="2" t="inlineStr">
        <is>
          <t>FLXS US Equity</t>
        </is>
      </c>
      <c r="LI2" s="2" t="inlineStr">
        <is>
          <t>WTTR US Equity</t>
        </is>
      </c>
      <c r="LS2" s="2" t="inlineStr">
        <is>
          <t>PVSA US Equity</t>
        </is>
      </c>
      <c r="MC2" s="2" t="inlineStr">
        <is>
          <t>896649Q US Equity</t>
        </is>
      </c>
      <c r="MM2" s="2" t="inlineStr">
        <is>
          <t>LLY US Equity</t>
        </is>
      </c>
      <c r="MW2" s="2" t="inlineStr">
        <is>
          <t>EPAY US Equity</t>
        </is>
      </c>
      <c r="NG2" s="2" t="inlineStr">
        <is>
          <t>MSFG US Equity</t>
        </is>
      </c>
      <c r="NQ2" s="2" t="inlineStr">
        <is>
          <t>INDB US Equity</t>
        </is>
      </c>
      <c r="OA2" s="2" t="inlineStr">
        <is>
          <t>TCFC US Equity</t>
        </is>
      </c>
    </row>
    <row r="3">
      <c r="A3" t="inlineStr">
        <is>
          <t>Ann: 2009-02-02</t>
        </is>
      </c>
      <c r="K3" t="inlineStr">
        <is>
          <t>Ann: 2016-06-02</t>
        </is>
      </c>
      <c r="U3" t="inlineStr">
        <is>
          <t>Ann: 2020-12-10</t>
        </is>
      </c>
      <c r="AE3" t="inlineStr">
        <is>
          <t>Ann: 2000-09-25</t>
        </is>
      </c>
      <c r="AO3" t="inlineStr">
        <is>
          <t>Ann: 2004-05-11</t>
        </is>
      </c>
      <c r="AY3" t="inlineStr">
        <is>
          <t>Ann: 2003-04-21</t>
        </is>
      </c>
      <c r="BI3" t="inlineStr">
        <is>
          <t>Ann: 2014-04-04</t>
        </is>
      </c>
      <c r="BS3" t="inlineStr">
        <is>
          <t>Ann: 1999-03-12</t>
        </is>
      </c>
      <c r="CC3" t="inlineStr">
        <is>
          <t>Ann: 1998-10-22</t>
        </is>
      </c>
      <c r="CM3" t="inlineStr">
        <is>
          <t>Ann: 2011-08-31</t>
        </is>
      </c>
      <c r="CW3" t="inlineStr">
        <is>
          <t>Ann: 2000-12-18</t>
        </is>
      </c>
      <c r="DG3" t="inlineStr">
        <is>
          <t>Ann: 2003-11-07</t>
        </is>
      </c>
      <c r="DQ3" t="inlineStr">
        <is>
          <t>Ann: 2004-01-12</t>
        </is>
      </c>
      <c r="EA3" t="inlineStr">
        <is>
          <t>Ann: 2003-10-22</t>
        </is>
      </c>
      <c r="EK3" t="inlineStr">
        <is>
          <t>Ann: 2019-09-16</t>
        </is>
      </c>
      <c r="EU3" t="inlineStr">
        <is>
          <t>Ann: 2004-01-09</t>
        </is>
      </c>
      <c r="FE3" t="inlineStr">
        <is>
          <t>Ann: 2010-12-16</t>
        </is>
      </c>
      <c r="FO3" t="inlineStr">
        <is>
          <t>Ann: 2002-01-07</t>
        </is>
      </c>
      <c r="FY3" t="inlineStr">
        <is>
          <t>Ann: 2017-06-02</t>
        </is>
      </c>
      <c r="GI3" t="inlineStr">
        <is>
          <t>Ann: 2000-01-28</t>
        </is>
      </c>
      <c r="GS3" t="inlineStr">
        <is>
          <t>Ann: 2002-10-21</t>
        </is>
      </c>
      <c r="HC3" t="inlineStr">
        <is>
          <t>Ann: 2000-10-24</t>
        </is>
      </c>
      <c r="HM3" t="inlineStr">
        <is>
          <t>Ann: 2000-05-30</t>
        </is>
      </c>
      <c r="HW3" t="inlineStr">
        <is>
          <t>Ann: 1998-01-06</t>
        </is>
      </c>
      <c r="IG3" t="inlineStr">
        <is>
          <t>Ann: 2005-08-17</t>
        </is>
      </c>
      <c r="IQ3" t="inlineStr">
        <is>
          <t>Ann: 2005-06-09</t>
        </is>
      </c>
      <c r="JA3" t="inlineStr">
        <is>
          <t>Ann: 2001-06-25</t>
        </is>
      </c>
      <c r="JK3" t="inlineStr">
        <is>
          <t>Ann: 1998-04-08</t>
        </is>
      </c>
      <c r="JU3" t="inlineStr">
        <is>
          <t>Ann: 2012-05-22</t>
        </is>
      </c>
      <c r="KE3" t="inlineStr">
        <is>
          <t>Ann: 2001-07-16</t>
        </is>
      </c>
      <c r="KO3" t="inlineStr">
        <is>
          <t>Ann: 2005-08-03</t>
        </is>
      </c>
      <c r="KY3" t="inlineStr">
        <is>
          <t>Ann: 2003-08-13</t>
        </is>
      </c>
      <c r="LI3" t="inlineStr">
        <is>
          <t>Ann: 2021-07-12</t>
        </is>
      </c>
      <c r="LS3" t="inlineStr">
        <is>
          <t>Ann: 2004-09-01</t>
        </is>
      </c>
      <c r="MC3" t="inlineStr">
        <is>
          <t>Ann: 2000-06-09</t>
        </is>
      </c>
      <c r="MM3" t="inlineStr">
        <is>
          <t>Ann: 2008-07-08</t>
        </is>
      </c>
      <c r="MW3" t="inlineStr">
        <is>
          <t>Ann: 2008-03-03</t>
        </is>
      </c>
      <c r="NG3" t="inlineStr">
        <is>
          <t>Ann: 2005-10-26</t>
        </is>
      </c>
      <c r="NQ3" t="inlineStr">
        <is>
          <t>Ann: 2013-05-14</t>
        </is>
      </c>
      <c r="OA3" t="inlineStr">
        <is>
          <t>Ann: 2017-07-31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BDS("AEGN US Equity","SUPPLY_CHAIN_SUPPLIERS","RELATIONSHIP_AS_OF_DATE","20090202")</f>
        <v/>
      </c>
      <c r="F5">
        <f>BDS("AEGN US Equity","SUPPLY_CHAIN_CUSTOMERS","RELATIONSHIP_AS_OF_DATE","20090202")</f>
        <v/>
      </c>
      <c r="K5">
        <f>BDS("PBIP US Equity","SUPPLY_CHAIN_SUPPLIERS","RELATIONSHIP_AS_OF_DATE","20160602")</f>
        <v/>
      </c>
      <c r="P5">
        <f>BDS("PBIP US Equity","SUPPLY_CHAIN_CUSTOMERS","RELATIONSHIP_AS_OF_DATE","20160602")</f>
        <v/>
      </c>
      <c r="U5">
        <f>BDS("AYTU US Equity","SUPPLY_CHAIN_SUPPLIERS","RELATIONSHIP_AS_OF_DATE","20201210")</f>
        <v/>
      </c>
      <c r="Z5">
        <f>BDS("AYTU US Equity","SUPPLY_CHAIN_CUSTOMERS","RELATIONSHIP_AS_OF_DATE","20201210")</f>
        <v/>
      </c>
      <c r="AE5">
        <f>BDS("DCLK US Equity","SUPPLY_CHAIN_SUPPLIERS","RELATIONSHIP_AS_OF_DATE","20000925")</f>
        <v/>
      </c>
      <c r="AJ5">
        <f>BDS("DCLK US Equity","SUPPLY_CHAIN_CUSTOMERS","RELATIONSHIP_AS_OF_DATE","20000925")</f>
        <v/>
      </c>
      <c r="AO5">
        <f>BDS("PMRY US Equity","SUPPLY_CHAIN_SUPPLIERS","RELATIONSHIP_AS_OF_DATE","20040511")</f>
        <v/>
      </c>
      <c r="AT5">
        <f>BDS("PMRY US Equity","SUPPLY_CHAIN_CUSTOMERS","RELATIONSHIP_AS_OF_DATE","20040511")</f>
        <v/>
      </c>
      <c r="AY5">
        <f>BDS("DRTE US Equity","SUPPLY_CHAIN_SUPPLIERS","RELATIONSHIP_AS_OF_DATE","20030421")</f>
        <v/>
      </c>
      <c r="BD5">
        <f>BDS("DRTE US Equity","SUPPLY_CHAIN_CUSTOMERS","RELATIONSHIP_AS_OF_DATE","20030421")</f>
        <v/>
      </c>
      <c r="BI5">
        <f>BDS("PEBO US Equity","SUPPLY_CHAIN_SUPPLIERS","RELATIONSHIP_AS_OF_DATE","20140404")</f>
        <v/>
      </c>
      <c r="BN5">
        <f>BDS("PEBO US Equity","SUPPLY_CHAIN_CUSTOMERS","RELATIONSHIP_AS_OF_DATE","20140404")</f>
        <v/>
      </c>
      <c r="BS5">
        <f>BDS("FCNB US Equity","SUPPLY_CHAIN_SUPPLIERS","RELATIONSHIP_AS_OF_DATE","19990312")</f>
        <v/>
      </c>
      <c r="BX5">
        <f>BDS("FCNB US Equity","SUPPLY_CHAIN_CUSTOMERS","RELATIONSHIP_AS_OF_DATE","19990312")</f>
        <v/>
      </c>
      <c r="CC5">
        <f>BDS("KROL US Equity","SUPPLY_CHAIN_SUPPLIERS","RELATIONSHIP_AS_OF_DATE","19981022")</f>
        <v/>
      </c>
      <c r="CH5">
        <f>BDS("KROL US Equity","SUPPLY_CHAIN_CUSTOMERS","RELATIONSHIP_AS_OF_DATE","19981022")</f>
        <v/>
      </c>
      <c r="CM5">
        <f>BDS("BANC US Equity","SUPPLY_CHAIN_SUPPLIERS","RELATIONSHIP_AS_OF_DATE","20110831")</f>
        <v/>
      </c>
      <c r="CR5">
        <f>BDS("BANC US Equity","SUPPLY_CHAIN_CUSTOMERS","RELATIONSHIP_AS_OF_DATE","20110831")</f>
        <v/>
      </c>
      <c r="CW5">
        <f>BDS("FNB US Equity","SUPPLY_CHAIN_SUPPLIERS","RELATIONSHIP_AS_OF_DATE","20001218")</f>
        <v/>
      </c>
      <c r="DB5">
        <f>BDS("FNB US Equity","SUPPLY_CHAIN_CUSTOMERS","RELATIONSHIP_AS_OF_DATE","20001218")</f>
        <v/>
      </c>
      <c r="DG5">
        <f>BDS("BKS US Equity","SUPPLY_CHAIN_SUPPLIERS","RELATIONSHIP_AS_OF_DATE","20031107")</f>
        <v/>
      </c>
      <c r="DL5">
        <f>BDS("BKS US Equity","SUPPLY_CHAIN_CUSTOMERS","RELATIONSHIP_AS_OF_DATE","20031107")</f>
        <v/>
      </c>
      <c r="DQ5">
        <f>BDS("2714244Q US Equity","SUPPLY_CHAIN_SUPPLIERS","RELATIONSHIP_AS_OF_DATE","20040112")</f>
        <v/>
      </c>
      <c r="DV5">
        <f>BDS("2714244Q US Equity","SUPPLY_CHAIN_CUSTOMERS","RELATIONSHIP_AS_OF_DATE","20040112")</f>
        <v/>
      </c>
      <c r="EA5">
        <f>BDS("NCOG US Equity","SUPPLY_CHAIN_SUPPLIERS","RELATIONSHIP_AS_OF_DATE","20031022")</f>
        <v/>
      </c>
      <c r="EF5">
        <f>BDS("NCOG US Equity","SUPPLY_CHAIN_CUSTOMERS","RELATIONSHIP_AS_OF_DATE","20031022")</f>
        <v/>
      </c>
      <c r="EK5">
        <f>BDS("RBNC US Equity","SUPPLY_CHAIN_SUPPLIERS","RELATIONSHIP_AS_OF_DATE","20190916")</f>
        <v/>
      </c>
      <c r="EP5">
        <f>BDS("RBNC US Equity","SUPPLY_CHAIN_CUSTOMERS","RELATIONSHIP_AS_OF_DATE","20190916")</f>
        <v/>
      </c>
      <c r="EU5">
        <f>BDS("INDB US Equity","SUPPLY_CHAIN_SUPPLIERS","RELATIONSHIP_AS_OF_DATE","20040109")</f>
        <v/>
      </c>
      <c r="EZ5">
        <f>BDS("INDB US Equity","SUPPLY_CHAIN_CUSTOMERS","RELATIONSHIP_AS_OF_DATE","20040109")</f>
        <v/>
      </c>
      <c r="FE5">
        <f>BDS("AMNB US Equity","SUPPLY_CHAIN_SUPPLIERS","RELATIONSHIP_AS_OF_DATE","20101216")</f>
        <v/>
      </c>
      <c r="FJ5">
        <f>BDS("AMNB US Equity","SUPPLY_CHAIN_CUSTOMERS","RELATIONSHIP_AS_OF_DATE","20101216")</f>
        <v/>
      </c>
      <c r="FO5">
        <f>BDS("1683351D US Equity","SUPPLY_CHAIN_SUPPLIERS","RELATIONSHIP_AS_OF_DATE","20020107")</f>
        <v/>
      </c>
      <c r="FT5">
        <f>BDS("1683351D US Equity","SUPPLY_CHAIN_CUSTOMERS","RELATIONSHIP_AS_OF_DATE","20020107")</f>
        <v/>
      </c>
      <c r="FY5">
        <f>BDS("IEP US Equity","SUPPLY_CHAIN_SUPPLIERS","RELATIONSHIP_AS_OF_DATE","20170602")</f>
        <v/>
      </c>
      <c r="GD5">
        <f>BDS("IEP US Equity","SUPPLY_CHAIN_CUSTOMERS","RELATIONSHIP_AS_OF_DATE","20170602")</f>
        <v/>
      </c>
      <c r="GI5">
        <f>BDS("IRF US Equity","SUPPLY_CHAIN_SUPPLIERS","RELATIONSHIP_AS_OF_DATE","20000128")</f>
        <v/>
      </c>
      <c r="GN5">
        <f>BDS("IRF US Equity","SUPPLY_CHAIN_CUSTOMERS","RELATIONSHIP_AS_OF_DATE","20000128")</f>
        <v/>
      </c>
      <c r="GS5">
        <f>BDS("SRCL US Equity","SUPPLY_CHAIN_SUPPLIERS","RELATIONSHIP_AS_OF_DATE","20021021")</f>
        <v/>
      </c>
      <c r="GX5">
        <f>BDS("SRCL US Equity","SUPPLY_CHAIN_CUSTOMERS","RELATIONSHIP_AS_OF_DATE","20021021")</f>
        <v/>
      </c>
      <c r="HC5">
        <f>BDS("GSIC US Equity","SUPPLY_CHAIN_SUPPLIERS","RELATIONSHIP_AS_OF_DATE","20001024")</f>
        <v/>
      </c>
      <c r="HH5">
        <f>BDS("GSIC US Equity","SUPPLY_CHAIN_CUSTOMERS","RELATIONSHIP_AS_OF_DATE","20001024")</f>
        <v/>
      </c>
      <c r="HM5">
        <f>BDS("NEB US Equity","SUPPLY_CHAIN_SUPPLIERS","RELATIONSHIP_AS_OF_DATE","20000530")</f>
        <v/>
      </c>
      <c r="HR5">
        <f>BDS("NEB US Equity","SUPPLY_CHAIN_CUSTOMERS","RELATIONSHIP_AS_OF_DATE","20000530")</f>
        <v/>
      </c>
      <c r="HW5">
        <f>BDS("TTN US Equity","SUPPLY_CHAIN_SUPPLIERS","RELATIONSHIP_AS_OF_DATE","19980106")</f>
        <v/>
      </c>
      <c r="IB5">
        <f>BDS("TTN US Equity","SUPPLY_CHAIN_CUSTOMERS","RELATIONSHIP_AS_OF_DATE","19980106")</f>
        <v/>
      </c>
      <c r="IG5">
        <f>BDS("PCBK US Equity","SUPPLY_CHAIN_SUPPLIERS","RELATIONSHIP_AS_OF_DATE","20050817")</f>
        <v/>
      </c>
      <c r="IL5">
        <f>BDS("PCBK US Equity","SUPPLY_CHAIN_CUSTOMERS","RELATIONSHIP_AS_OF_DATE","20050817")</f>
        <v/>
      </c>
      <c r="IQ5">
        <f>BDS("PACW US Equity","SUPPLY_CHAIN_SUPPLIERS","RELATIONSHIP_AS_OF_DATE","20050609")</f>
        <v/>
      </c>
      <c r="IV5">
        <f>BDS("PACW US Equity","SUPPLY_CHAIN_CUSTOMERS","RELATIONSHIP_AS_OF_DATE","20050609")</f>
        <v/>
      </c>
      <c r="JA5">
        <f>BDS("MCOAQ US Equity","SUPPLY_CHAIN_SUPPLIERS","RELATIONSHIP_AS_OF_DATE","20010625")</f>
        <v/>
      </c>
      <c r="JF5">
        <f>BDS("MCOAQ US Equity","SUPPLY_CHAIN_CUSTOMERS","RELATIONSHIP_AS_OF_DATE","20010625")</f>
        <v/>
      </c>
      <c r="JK5">
        <f>BDS("DRS US Equity","SUPPLY_CHAIN_SUPPLIERS","RELATIONSHIP_AS_OF_DATE","19980408")</f>
        <v/>
      </c>
      <c r="JP5">
        <f>BDS("DRS US Equity","SUPPLY_CHAIN_CUSTOMERS","RELATIONSHIP_AS_OF_DATE","19980408")</f>
        <v/>
      </c>
      <c r="JU5">
        <f>BDS("RRD US Equity","SUPPLY_CHAIN_SUPPLIERS","RELATIONSHIP_AS_OF_DATE","20120522")</f>
        <v/>
      </c>
      <c r="JZ5">
        <f>BDS("RRD US Equity","SUPPLY_CHAIN_CUSTOMERS","RELATIONSHIP_AS_OF_DATE","20120522")</f>
        <v/>
      </c>
      <c r="KE5">
        <f>BDS("CSBC US Equity","SUPPLY_CHAIN_SUPPLIERS","RELATIONSHIP_AS_OF_DATE","20010716")</f>
        <v/>
      </c>
      <c r="KJ5">
        <f>BDS("CSBC US Equity","SUPPLY_CHAIN_CUSTOMERS","RELATIONSHIP_AS_OF_DATE","20010716")</f>
        <v/>
      </c>
      <c r="KO5">
        <f>BDS("UCBHQ US Equity","SUPPLY_CHAIN_SUPPLIERS","RELATIONSHIP_AS_OF_DATE","20050803")</f>
        <v/>
      </c>
      <c r="KT5">
        <f>BDS("UCBHQ US Equity","SUPPLY_CHAIN_CUSTOMERS","RELATIONSHIP_AS_OF_DATE","20050803")</f>
        <v/>
      </c>
      <c r="KY5">
        <f>BDS("FLXS US Equity","SUPPLY_CHAIN_SUPPLIERS","RELATIONSHIP_AS_OF_DATE","20030813")</f>
        <v/>
      </c>
      <c r="LD5">
        <f>BDS("FLXS US Equity","SUPPLY_CHAIN_CUSTOMERS","RELATIONSHIP_AS_OF_DATE","20030813")</f>
        <v/>
      </c>
      <c r="LI5">
        <f>BDS("WTTR US Equity","SUPPLY_CHAIN_SUPPLIERS","RELATIONSHIP_AS_OF_DATE","20210712")</f>
        <v/>
      </c>
      <c r="LN5">
        <f>BDS("WTTR US Equity","SUPPLY_CHAIN_CUSTOMERS","RELATIONSHIP_AS_OF_DATE","20210712")</f>
        <v/>
      </c>
      <c r="LS5">
        <f>BDS("PVSA US Equity","SUPPLY_CHAIN_SUPPLIERS","RELATIONSHIP_AS_OF_DATE","20040901")</f>
        <v/>
      </c>
      <c r="LX5">
        <f>BDS("PVSA US Equity","SUPPLY_CHAIN_CUSTOMERS","RELATIONSHIP_AS_OF_DATE","20040901")</f>
        <v/>
      </c>
      <c r="MC5">
        <f>BDS("896649Q US Equity","SUPPLY_CHAIN_SUPPLIERS","RELATIONSHIP_AS_OF_DATE","20000609")</f>
        <v/>
      </c>
      <c r="MH5">
        <f>BDS("896649Q US Equity","SUPPLY_CHAIN_CUSTOMERS","RELATIONSHIP_AS_OF_DATE","20000609")</f>
        <v/>
      </c>
      <c r="MM5">
        <f>BDS("LLY US Equity","SUPPLY_CHAIN_SUPPLIERS","RELATIONSHIP_AS_OF_DATE","20080708")</f>
        <v/>
      </c>
      <c r="MR5">
        <f>BDS("LLY US Equity","SUPPLY_CHAIN_CUSTOMERS","RELATIONSHIP_AS_OF_DATE","20080708")</f>
        <v/>
      </c>
      <c r="MW5">
        <f>BDS("EPAY US Equity","SUPPLY_CHAIN_SUPPLIERS","RELATIONSHIP_AS_OF_DATE","20080303")</f>
        <v/>
      </c>
      <c r="NB5">
        <f>BDS("EPAY US Equity","SUPPLY_CHAIN_CUSTOMERS","RELATIONSHIP_AS_OF_DATE","20080303")</f>
        <v/>
      </c>
      <c r="NG5">
        <f>BDS("MSFG US Equity","SUPPLY_CHAIN_SUPPLIERS","RELATIONSHIP_AS_OF_DATE","20051026")</f>
        <v/>
      </c>
      <c r="NL5">
        <f>BDS("MSFG US Equity","SUPPLY_CHAIN_CUSTOMERS","RELATIONSHIP_AS_OF_DATE","20051026")</f>
        <v/>
      </c>
      <c r="NQ5">
        <f>BDS("INDB US Equity","SUPPLY_CHAIN_SUPPLIERS","RELATIONSHIP_AS_OF_DATE","20130514")</f>
        <v/>
      </c>
      <c r="NV5">
        <f>BDS("INDB US Equity","SUPPLY_CHAIN_CUSTOMERS","RELATIONSHIP_AS_OF_DATE","20130514")</f>
        <v/>
      </c>
      <c r="OA5">
        <f>BDS("TCFC US Equity","SUPPLY_CHAIN_SUPPLIERS","RELATIONSHIP_AS_OF_DATE","20170731")</f>
        <v/>
      </c>
      <c r="OF5">
        <f>BDS("TCFC US Equity","SUPPLY_CHAIN_CUSTOMERS","RELATIONSHIP_AS_OF_DATE","20170731")</f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4241</t>
        </is>
      </c>
      <c r="K1" s="1" t="inlineStr">
        <is>
          <t>Deal 4242</t>
        </is>
      </c>
      <c r="U1" s="1" t="inlineStr">
        <is>
          <t>Deal 4243</t>
        </is>
      </c>
      <c r="AE1" s="1" t="inlineStr">
        <is>
          <t>Deal 4244</t>
        </is>
      </c>
      <c r="AO1" s="1" t="inlineStr">
        <is>
          <t>Deal 4245</t>
        </is>
      </c>
      <c r="AY1" s="1" t="inlineStr">
        <is>
          <t>Deal 4246</t>
        </is>
      </c>
      <c r="BI1" s="1" t="inlineStr">
        <is>
          <t>Deal 4247</t>
        </is>
      </c>
      <c r="BS1" s="1" t="inlineStr">
        <is>
          <t>Deal 4248</t>
        </is>
      </c>
      <c r="CC1" s="1" t="inlineStr">
        <is>
          <t>Deal 4249</t>
        </is>
      </c>
      <c r="CM1" s="1" t="inlineStr">
        <is>
          <t>Deal 4250</t>
        </is>
      </c>
      <c r="CW1" s="1" t="inlineStr">
        <is>
          <t>Deal 4251</t>
        </is>
      </c>
      <c r="DG1" s="1" t="inlineStr">
        <is>
          <t>Deal 4252</t>
        </is>
      </c>
      <c r="DQ1" s="1" t="inlineStr">
        <is>
          <t>Deal 4253</t>
        </is>
      </c>
      <c r="EA1" s="1" t="inlineStr">
        <is>
          <t>Deal 4254</t>
        </is>
      </c>
      <c r="EK1" s="1" t="inlineStr">
        <is>
          <t>Deal 4255</t>
        </is>
      </c>
      <c r="EU1" s="1" t="inlineStr">
        <is>
          <t>Deal 4256</t>
        </is>
      </c>
      <c r="FE1" s="1" t="inlineStr">
        <is>
          <t>Deal 4257</t>
        </is>
      </c>
      <c r="FO1" s="1" t="inlineStr">
        <is>
          <t>Deal 4258</t>
        </is>
      </c>
      <c r="FY1" s="1" t="inlineStr">
        <is>
          <t>Deal 4259</t>
        </is>
      </c>
      <c r="GI1" s="1" t="inlineStr">
        <is>
          <t>Deal 4260</t>
        </is>
      </c>
      <c r="GS1" s="1" t="inlineStr">
        <is>
          <t>Deal 4261</t>
        </is>
      </c>
      <c r="HC1" s="1" t="inlineStr">
        <is>
          <t>Deal 4262</t>
        </is>
      </c>
      <c r="HM1" s="1" t="inlineStr">
        <is>
          <t>Deal 4263</t>
        </is>
      </c>
      <c r="HW1" s="1" t="inlineStr">
        <is>
          <t>Deal 4264</t>
        </is>
      </c>
      <c r="IG1" s="1" t="inlineStr">
        <is>
          <t>Deal 4265</t>
        </is>
      </c>
      <c r="IQ1" s="1" t="inlineStr">
        <is>
          <t>Deal 4266</t>
        </is>
      </c>
      <c r="JA1" s="1" t="inlineStr">
        <is>
          <t>Deal 4267</t>
        </is>
      </c>
      <c r="JK1" s="1" t="inlineStr">
        <is>
          <t>Deal 4268</t>
        </is>
      </c>
      <c r="JU1" s="1" t="inlineStr">
        <is>
          <t>Deal 4269</t>
        </is>
      </c>
      <c r="KE1" s="1" t="inlineStr">
        <is>
          <t>Deal 4270</t>
        </is>
      </c>
      <c r="KO1" s="1" t="inlineStr">
        <is>
          <t>Deal 4271</t>
        </is>
      </c>
      <c r="KY1" s="1" t="inlineStr">
        <is>
          <t>Deal 4272</t>
        </is>
      </c>
      <c r="LI1" s="1" t="inlineStr">
        <is>
          <t>Deal 4273</t>
        </is>
      </c>
      <c r="LS1" s="1" t="inlineStr">
        <is>
          <t>Deal 4274</t>
        </is>
      </c>
      <c r="MC1" s="1" t="inlineStr">
        <is>
          <t>Deal 4275</t>
        </is>
      </c>
      <c r="MM1" s="1" t="inlineStr">
        <is>
          <t>Deal 4276</t>
        </is>
      </c>
      <c r="MW1" s="1" t="inlineStr">
        <is>
          <t>Deal 4277</t>
        </is>
      </c>
      <c r="NG1" s="1" t="inlineStr">
        <is>
          <t>Deal 4278</t>
        </is>
      </c>
      <c r="NQ1" s="1" t="inlineStr">
        <is>
          <t>Deal 4279</t>
        </is>
      </c>
      <c r="OA1" s="1" t="inlineStr">
        <is>
          <t>Deal 4280</t>
        </is>
      </c>
    </row>
    <row r="2">
      <c r="A2" s="2" t="inlineStr">
        <is>
          <t>2464209D US Equity</t>
        </is>
      </c>
      <c r="K2" s="2" t="inlineStr">
        <is>
          <t>BNCN US Equity</t>
        </is>
      </c>
      <c r="U2" s="2" t="inlineStr">
        <is>
          <t>AUB US Equity</t>
        </is>
      </c>
      <c r="AE2" s="2" t="inlineStr">
        <is>
          <t>BNCN US Equity</t>
        </is>
      </c>
      <c r="AO2" s="2" t="inlineStr">
        <is>
          <t>SNA US Equity</t>
        </is>
      </c>
      <c r="AY2" s="2" t="inlineStr">
        <is>
          <t>45445Q US Equity</t>
        </is>
      </c>
      <c r="BI2" s="2" t="inlineStr">
        <is>
          <t>VSB US Equity</t>
        </is>
      </c>
      <c r="BS2" s="2" t="inlineStr">
        <is>
          <t>FCBC US Equity</t>
        </is>
      </c>
      <c r="CC2" s="2" t="inlineStr">
        <is>
          <t>355488Q US Equity</t>
        </is>
      </c>
      <c r="CM2" s="2" t="inlineStr">
        <is>
          <t>BSX US Equity</t>
        </is>
      </c>
      <c r="CW2" s="2" t="inlineStr">
        <is>
          <t>CIVB US Equity</t>
        </is>
      </c>
      <c r="DG2" s="2" t="inlineStr">
        <is>
          <t>PACW US Equity</t>
        </is>
      </c>
      <c r="DQ2" s="2" t="inlineStr">
        <is>
          <t>UCFC US Equity</t>
        </is>
      </c>
      <c r="EA2" s="2" t="inlineStr">
        <is>
          <t>FCHDQ US Equity</t>
        </is>
      </c>
      <c r="EK2" s="2" t="inlineStr">
        <is>
          <t>DHR US Equity</t>
        </is>
      </c>
      <c r="EU2" s="2" t="inlineStr">
        <is>
          <t>FMAO US Equity</t>
        </is>
      </c>
      <c r="FE2" s="2" t="inlineStr">
        <is>
          <t>FCBN US Equity</t>
        </is>
      </c>
      <c r="FO2" s="2" t="inlineStr">
        <is>
          <t>TDG US Equity</t>
        </is>
      </c>
      <c r="FY2" s="2" t="inlineStr">
        <is>
          <t>LBAI US Equity</t>
        </is>
      </c>
      <c r="GI2" s="2" t="inlineStr">
        <is>
          <t>KKD US Equity</t>
        </is>
      </c>
      <c r="GS2" s="2" t="inlineStr">
        <is>
          <t>SPPI US Equity</t>
        </is>
      </c>
      <c r="HC2" s="2" t="inlineStr">
        <is>
          <t>2860436Q US Equity</t>
        </is>
      </c>
      <c r="HM2" s="2" t="inlineStr">
        <is>
          <t>BFOH US Equity</t>
        </is>
      </c>
      <c r="HW2" s="2" t="inlineStr">
        <is>
          <t>FCNCA US Equity</t>
        </is>
      </c>
      <c r="IG2" s="2" t="inlineStr">
        <is>
          <t>3111Q US Equity</t>
        </is>
      </c>
      <c r="IQ2" s="2" t="inlineStr">
        <is>
          <t>GGG US Equity</t>
        </is>
      </c>
      <c r="JA2" s="2" t="inlineStr">
        <is>
          <t>PDFS US Equity</t>
        </is>
      </c>
      <c r="JK2" s="2" t="inlineStr">
        <is>
          <t>PACW US Equity</t>
        </is>
      </c>
      <c r="JU2" s="2" t="inlineStr">
        <is>
          <t>ABCB US Equity</t>
        </is>
      </c>
      <c r="KE2" s="2" t="inlineStr">
        <is>
          <t>1523873D US Equity</t>
        </is>
      </c>
      <c r="KO2" s="2" t="inlineStr">
        <is>
          <t>IHR US Equity</t>
        </is>
      </c>
      <c r="KY2" s="2" t="inlineStr">
        <is>
          <t>UCB US Equity</t>
        </is>
      </c>
      <c r="LI2" s="2" t="inlineStr">
        <is>
          <t>EVBN US Equity</t>
        </is>
      </c>
      <c r="LS2" s="2" t="inlineStr">
        <is>
          <t>RVSB US Equity</t>
        </is>
      </c>
      <c r="MC2" s="2" t="inlineStr">
        <is>
          <t>HBCP US Equity</t>
        </is>
      </c>
      <c r="MM2" s="2" t="inlineStr">
        <is>
          <t>1608358D US Equity</t>
        </is>
      </c>
      <c r="MW2" s="2" t="inlineStr">
        <is>
          <t>FCBC US Equity</t>
        </is>
      </c>
      <c r="NG2" s="2" t="inlineStr">
        <is>
          <t>MBHIQ US Equity</t>
        </is>
      </c>
      <c r="NQ2" s="2" t="inlineStr">
        <is>
          <t>SNBC US Equity</t>
        </is>
      </c>
      <c r="OA2" s="2" t="inlineStr">
        <is>
          <t>IXYS US Equity</t>
        </is>
      </c>
    </row>
    <row r="3">
      <c r="A3" t="inlineStr">
        <is>
          <t>Ann: 2003-08-21</t>
        </is>
      </c>
      <c r="K3" t="inlineStr">
        <is>
          <t>Ann: 2012-06-04</t>
        </is>
      </c>
      <c r="U3" t="inlineStr">
        <is>
          <t>Ann: 2005-10-31</t>
        </is>
      </c>
      <c r="AE3" t="inlineStr">
        <is>
          <t>Ann: 2006-02-06</t>
        </is>
      </c>
      <c r="AO3" t="inlineStr">
        <is>
          <t>Ann: 1998-04-28</t>
        </is>
      </c>
      <c r="AY3" t="inlineStr">
        <is>
          <t>Ann: 2000-05-15</t>
        </is>
      </c>
      <c r="BI3" t="inlineStr">
        <is>
          <t>Ann: 2006-04-06</t>
        </is>
      </c>
      <c r="BS3" t="inlineStr">
        <is>
          <t>Ann: 2003-12-31</t>
        </is>
      </c>
      <c r="CC3" t="inlineStr">
        <is>
          <t>Ann: 1998-07-17</t>
        </is>
      </c>
      <c r="CM3" t="inlineStr">
        <is>
          <t>Ann: 2001-06-29</t>
        </is>
      </c>
      <c r="CW3" t="inlineStr">
        <is>
          <t>Ann: 2004-03-04</t>
        </is>
      </c>
      <c r="DG3" t="inlineStr">
        <is>
          <t>Ann: 2003-12-01</t>
        </is>
      </c>
      <c r="DQ3" t="inlineStr">
        <is>
          <t>Ann: 2016-09-08</t>
        </is>
      </c>
      <c r="EA3" t="inlineStr">
        <is>
          <t>Ann: 1998-12-03</t>
        </is>
      </c>
      <c r="EK3" t="inlineStr">
        <is>
          <t>Ann: 2015-06-22</t>
        </is>
      </c>
      <c r="EU3" t="inlineStr">
        <is>
          <t>Ann: 2022-06-14</t>
        </is>
      </c>
      <c r="FE3" t="inlineStr">
        <is>
          <t>Ann: 2004-10-18</t>
        </is>
      </c>
      <c r="FO3" t="inlineStr">
        <is>
          <t>Ann: 2013-04-22</t>
        </is>
      </c>
      <c r="FY3" t="inlineStr">
        <is>
          <t>Ann: 2018-08-23</t>
        </is>
      </c>
      <c r="GI3" t="inlineStr">
        <is>
          <t>Ann: 2003-01-24</t>
        </is>
      </c>
      <c r="GS3" t="inlineStr">
        <is>
          <t>Ann: 2013-07-17</t>
        </is>
      </c>
      <c r="HC3" t="inlineStr">
        <is>
          <t>Ann: 2002-06-24</t>
        </is>
      </c>
      <c r="HM3" t="inlineStr">
        <is>
          <t>Ann: 2000-01-13</t>
        </is>
      </c>
      <c r="HW3" t="inlineStr">
        <is>
          <t>Ann: 2016-05-20</t>
        </is>
      </c>
      <c r="IG3" t="inlineStr">
        <is>
          <t>Ann: 1999-04-14</t>
        </is>
      </c>
      <c r="IQ3" t="inlineStr">
        <is>
          <t>Ann: 2007-12-03</t>
        </is>
      </c>
      <c r="JA3" t="inlineStr">
        <is>
          <t>Ann: 2020-11-17</t>
        </is>
      </c>
      <c r="JK3" t="inlineStr">
        <is>
          <t>Ann: 2003-04-17</t>
        </is>
      </c>
      <c r="JU3" t="inlineStr">
        <is>
          <t>Ann: 2005-07-01</t>
        </is>
      </c>
      <c r="KE3" t="inlineStr">
        <is>
          <t>Ann: 1998-02-10</t>
        </is>
      </c>
      <c r="KO3" t="inlineStr">
        <is>
          <t>Ann: 2000-03-24</t>
        </is>
      </c>
      <c r="KY3" t="inlineStr">
        <is>
          <t>Ann: 2004-08-26</t>
        </is>
      </c>
      <c r="LI3" t="inlineStr">
        <is>
          <t>Ann: 2019-12-19</t>
        </is>
      </c>
      <c r="LS3" t="inlineStr">
        <is>
          <t>Ann: 2004-11-09</t>
        </is>
      </c>
      <c r="MC3" t="inlineStr">
        <is>
          <t>Ann: 2013-11-05</t>
        </is>
      </c>
      <c r="MM3" t="inlineStr">
        <is>
          <t>Ann: 1998-05-19</t>
        </is>
      </c>
      <c r="MW3" t="inlineStr">
        <is>
          <t>Ann: 2012-03-01</t>
        </is>
      </c>
      <c r="NG3" t="inlineStr">
        <is>
          <t>Ann: 2002-07-22</t>
        </is>
      </c>
      <c r="NQ3" t="inlineStr">
        <is>
          <t>Ann: 2005-08-26</t>
        </is>
      </c>
      <c r="OA3" t="inlineStr">
        <is>
          <t>Ann: 2002-04-23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BDS("2464209D US Equity","SUPPLY_CHAIN_SUPPLIERS","RELATIONSHIP_AS_OF_DATE","20030821")</f>
        <v/>
      </c>
      <c r="F5">
        <f>BDS("2464209D US Equity","SUPPLY_CHAIN_CUSTOMERS","RELATIONSHIP_AS_OF_DATE","20030821")</f>
        <v/>
      </c>
      <c r="K5">
        <f>BDS("BNCN US Equity","SUPPLY_CHAIN_SUPPLIERS","RELATIONSHIP_AS_OF_DATE","20120604")</f>
        <v/>
      </c>
      <c r="P5">
        <f>BDS("BNCN US Equity","SUPPLY_CHAIN_CUSTOMERS","RELATIONSHIP_AS_OF_DATE","20120604")</f>
        <v/>
      </c>
      <c r="U5">
        <f>BDS("AUB US Equity","SUPPLY_CHAIN_SUPPLIERS","RELATIONSHIP_AS_OF_DATE","20051031")</f>
        <v/>
      </c>
      <c r="Z5">
        <f>BDS("AUB US Equity","SUPPLY_CHAIN_CUSTOMERS","RELATIONSHIP_AS_OF_DATE","20051031")</f>
        <v/>
      </c>
      <c r="AE5">
        <f>BDS("BNCN US Equity","SUPPLY_CHAIN_SUPPLIERS","RELATIONSHIP_AS_OF_DATE","20060206")</f>
        <v/>
      </c>
      <c r="AJ5">
        <f>BDS("BNCN US Equity","SUPPLY_CHAIN_CUSTOMERS","RELATIONSHIP_AS_OF_DATE","20060206")</f>
        <v/>
      </c>
      <c r="AO5">
        <f>BDS("SNA US Equity","SUPPLY_CHAIN_SUPPLIERS","RELATIONSHIP_AS_OF_DATE","19980428")</f>
        <v/>
      </c>
      <c r="AT5">
        <f>BDS("SNA US Equity","SUPPLY_CHAIN_CUSTOMERS","RELATIONSHIP_AS_OF_DATE","19980428")</f>
        <v/>
      </c>
      <c r="AY5">
        <f>BDS("45445Q US Equity","SUPPLY_CHAIN_SUPPLIERS","RELATIONSHIP_AS_OF_DATE","20000515")</f>
        <v/>
      </c>
      <c r="BD5">
        <f>BDS("45445Q US Equity","SUPPLY_CHAIN_CUSTOMERS","RELATIONSHIP_AS_OF_DATE","20000515")</f>
        <v/>
      </c>
      <c r="BI5">
        <f>BDS("VSB US Equity","SUPPLY_CHAIN_SUPPLIERS","RELATIONSHIP_AS_OF_DATE","20060406")</f>
        <v/>
      </c>
      <c r="BN5">
        <f>BDS("VSB US Equity","SUPPLY_CHAIN_CUSTOMERS","RELATIONSHIP_AS_OF_DATE","20060406")</f>
        <v/>
      </c>
      <c r="BS5">
        <f>BDS("FCBC US Equity","SUPPLY_CHAIN_SUPPLIERS","RELATIONSHIP_AS_OF_DATE","20031231")</f>
        <v/>
      </c>
      <c r="BX5">
        <f>BDS("FCBC US Equity","SUPPLY_CHAIN_CUSTOMERS","RELATIONSHIP_AS_OF_DATE","20031231")</f>
        <v/>
      </c>
      <c r="CC5">
        <f>BDS("355488Q US Equity","SUPPLY_CHAIN_SUPPLIERS","RELATIONSHIP_AS_OF_DATE","19980717")</f>
        <v/>
      </c>
      <c r="CH5">
        <f>BDS("355488Q US Equity","SUPPLY_CHAIN_CUSTOMERS","RELATIONSHIP_AS_OF_DATE","19980717")</f>
        <v/>
      </c>
      <c r="CM5">
        <f>BDS("BSX US Equity","SUPPLY_CHAIN_SUPPLIERS","RELATIONSHIP_AS_OF_DATE","20010629")</f>
        <v/>
      </c>
      <c r="CR5">
        <f>BDS("BSX US Equity","SUPPLY_CHAIN_CUSTOMERS","RELATIONSHIP_AS_OF_DATE","20010629")</f>
        <v/>
      </c>
      <c r="CW5">
        <f>BDS("CIVB US Equity","SUPPLY_CHAIN_SUPPLIERS","RELATIONSHIP_AS_OF_DATE","20040304")</f>
        <v/>
      </c>
      <c r="DB5">
        <f>BDS("CIVB US Equity","SUPPLY_CHAIN_CUSTOMERS","RELATIONSHIP_AS_OF_DATE","20040304")</f>
        <v/>
      </c>
      <c r="DG5">
        <f>BDS("PACW US Equity","SUPPLY_CHAIN_SUPPLIERS","RELATIONSHIP_AS_OF_DATE","20031201")</f>
        <v/>
      </c>
      <c r="DL5">
        <f>BDS("PACW US Equity","SUPPLY_CHAIN_CUSTOMERS","RELATIONSHIP_AS_OF_DATE","20031201")</f>
        <v/>
      </c>
      <c r="DQ5">
        <f>BDS("UCFC US Equity","SUPPLY_CHAIN_SUPPLIERS","RELATIONSHIP_AS_OF_DATE","20160908")</f>
        <v/>
      </c>
      <c r="DV5">
        <f>BDS("UCFC US Equity","SUPPLY_CHAIN_CUSTOMERS","RELATIONSHIP_AS_OF_DATE","20160908")</f>
        <v/>
      </c>
      <c r="EA5">
        <f>BDS("FCHDQ US Equity","SUPPLY_CHAIN_SUPPLIERS","RELATIONSHIP_AS_OF_DATE","19981203")</f>
        <v/>
      </c>
      <c r="EF5">
        <f>BDS("FCHDQ US Equity","SUPPLY_CHAIN_CUSTOMERS","RELATIONSHIP_AS_OF_DATE","19981203")</f>
        <v/>
      </c>
      <c r="EK5">
        <f>BDS("DHR US Equity","SUPPLY_CHAIN_SUPPLIERS","RELATIONSHIP_AS_OF_DATE","20150622")</f>
        <v/>
      </c>
      <c r="EP5">
        <f>BDS("DHR US Equity","SUPPLY_CHAIN_CUSTOMERS","RELATIONSHIP_AS_OF_DATE","20150622")</f>
        <v/>
      </c>
      <c r="EU5">
        <f>BDS("FMAO US Equity","SUPPLY_CHAIN_SUPPLIERS","RELATIONSHIP_AS_OF_DATE","20220614")</f>
        <v/>
      </c>
      <c r="EZ5">
        <f>BDS("FMAO US Equity","SUPPLY_CHAIN_CUSTOMERS","RELATIONSHIP_AS_OF_DATE","20220614")</f>
        <v/>
      </c>
      <c r="FE5">
        <f>BDS("FCBN US Equity","SUPPLY_CHAIN_SUPPLIERS","RELATIONSHIP_AS_OF_DATE","20041018")</f>
        <v/>
      </c>
      <c r="FJ5">
        <f>BDS("FCBN US Equity","SUPPLY_CHAIN_CUSTOMERS","RELATIONSHIP_AS_OF_DATE","20041018")</f>
        <v/>
      </c>
      <c r="FO5">
        <f>BDS("TDG US Equity","SUPPLY_CHAIN_SUPPLIERS","RELATIONSHIP_AS_OF_DATE","20130422")</f>
        <v/>
      </c>
      <c r="FT5">
        <f>BDS("TDG US Equity","SUPPLY_CHAIN_CUSTOMERS","RELATIONSHIP_AS_OF_DATE","20130422")</f>
        <v/>
      </c>
      <c r="FY5">
        <f>BDS("LBAI US Equity","SUPPLY_CHAIN_SUPPLIERS","RELATIONSHIP_AS_OF_DATE","20180823")</f>
        <v/>
      </c>
      <c r="GD5">
        <f>BDS("LBAI US Equity","SUPPLY_CHAIN_CUSTOMERS","RELATIONSHIP_AS_OF_DATE","20180823")</f>
        <v/>
      </c>
      <c r="GI5">
        <f>BDS("KKD US Equity","SUPPLY_CHAIN_SUPPLIERS","RELATIONSHIP_AS_OF_DATE","20030124")</f>
        <v/>
      </c>
      <c r="GN5">
        <f>BDS("KKD US Equity","SUPPLY_CHAIN_CUSTOMERS","RELATIONSHIP_AS_OF_DATE","20030124")</f>
        <v/>
      </c>
      <c r="GS5">
        <f>BDS("SPPI US Equity","SUPPLY_CHAIN_SUPPLIERS","RELATIONSHIP_AS_OF_DATE","20130717")</f>
        <v/>
      </c>
      <c r="GX5">
        <f>BDS("SPPI US Equity","SUPPLY_CHAIN_CUSTOMERS","RELATIONSHIP_AS_OF_DATE","20130717")</f>
        <v/>
      </c>
      <c r="HC5">
        <f>BDS("2860436Q US Equity","SUPPLY_CHAIN_SUPPLIERS","RELATIONSHIP_AS_OF_DATE","20020624")</f>
        <v/>
      </c>
      <c r="HH5">
        <f>BDS("2860436Q US Equity","SUPPLY_CHAIN_CUSTOMERS","RELATIONSHIP_AS_OF_DATE","20020624")</f>
        <v/>
      </c>
      <c r="HM5">
        <f>BDS("BFOH US Equity","SUPPLY_CHAIN_SUPPLIERS","RELATIONSHIP_AS_OF_DATE","20000113")</f>
        <v/>
      </c>
      <c r="HR5">
        <f>BDS("BFOH US Equity","SUPPLY_CHAIN_CUSTOMERS","RELATIONSHIP_AS_OF_DATE","20000113")</f>
        <v/>
      </c>
      <c r="HW5">
        <f>BDS("FCNCA US Equity","SUPPLY_CHAIN_SUPPLIERS","RELATIONSHIP_AS_OF_DATE","20160520")</f>
        <v/>
      </c>
      <c r="IB5">
        <f>BDS("FCNCA US Equity","SUPPLY_CHAIN_CUSTOMERS","RELATIONSHIP_AS_OF_DATE","20160520")</f>
        <v/>
      </c>
      <c r="IG5">
        <f>BDS("3111Q US Equity","SUPPLY_CHAIN_SUPPLIERS","RELATIONSHIP_AS_OF_DATE","19990414")</f>
        <v/>
      </c>
      <c r="IL5">
        <f>BDS("3111Q US Equity","SUPPLY_CHAIN_CUSTOMERS","RELATIONSHIP_AS_OF_DATE","19990414")</f>
        <v/>
      </c>
      <c r="IQ5">
        <f>BDS("GGG US Equity","SUPPLY_CHAIN_SUPPLIERS","RELATIONSHIP_AS_OF_DATE","20071203")</f>
        <v/>
      </c>
      <c r="IV5">
        <f>BDS("GGG US Equity","SUPPLY_CHAIN_CUSTOMERS","RELATIONSHIP_AS_OF_DATE","20071203")</f>
        <v/>
      </c>
      <c r="JA5">
        <f>BDS("PDFS US Equity","SUPPLY_CHAIN_SUPPLIERS","RELATIONSHIP_AS_OF_DATE","20201117")</f>
        <v/>
      </c>
      <c r="JF5">
        <f>BDS("PDFS US Equity","SUPPLY_CHAIN_CUSTOMERS","RELATIONSHIP_AS_OF_DATE","20201117")</f>
        <v/>
      </c>
      <c r="JK5">
        <f>BDS("PACW US Equity","SUPPLY_CHAIN_SUPPLIERS","RELATIONSHIP_AS_OF_DATE","20030417")</f>
        <v/>
      </c>
      <c r="JP5">
        <f>BDS("PACW US Equity","SUPPLY_CHAIN_CUSTOMERS","RELATIONSHIP_AS_OF_DATE","20030417")</f>
        <v/>
      </c>
      <c r="JU5">
        <f>BDS("ABCB US Equity","SUPPLY_CHAIN_SUPPLIERS","RELATIONSHIP_AS_OF_DATE","20050701")</f>
        <v/>
      </c>
      <c r="JZ5">
        <f>BDS("ABCB US Equity","SUPPLY_CHAIN_CUSTOMERS","RELATIONSHIP_AS_OF_DATE","20050701")</f>
        <v/>
      </c>
      <c r="KE5">
        <f>BDS("1523873D US Equity","SUPPLY_CHAIN_SUPPLIERS","RELATIONSHIP_AS_OF_DATE","19980210")</f>
        <v/>
      </c>
      <c r="KJ5">
        <f>BDS("1523873D US Equity","SUPPLY_CHAIN_CUSTOMERS","RELATIONSHIP_AS_OF_DATE","19980210")</f>
        <v/>
      </c>
      <c r="KO5">
        <f>BDS("IHR US Equity","SUPPLY_CHAIN_SUPPLIERS","RELATIONSHIP_AS_OF_DATE","20000324")</f>
        <v/>
      </c>
      <c r="KT5">
        <f>BDS("IHR US Equity","SUPPLY_CHAIN_CUSTOMERS","RELATIONSHIP_AS_OF_DATE","20000324")</f>
        <v/>
      </c>
      <c r="KY5">
        <f>BDS("UCB US Equity","SUPPLY_CHAIN_SUPPLIERS","RELATIONSHIP_AS_OF_DATE","20040826")</f>
        <v/>
      </c>
      <c r="LD5">
        <f>BDS("UCB US Equity","SUPPLY_CHAIN_CUSTOMERS","RELATIONSHIP_AS_OF_DATE","20040826")</f>
        <v/>
      </c>
      <c r="LI5">
        <f>BDS("EVBN US Equity","SUPPLY_CHAIN_SUPPLIERS","RELATIONSHIP_AS_OF_DATE","20191219")</f>
        <v/>
      </c>
      <c r="LN5">
        <f>BDS("EVBN US Equity","SUPPLY_CHAIN_CUSTOMERS","RELATIONSHIP_AS_OF_DATE","20191219")</f>
        <v/>
      </c>
      <c r="LS5">
        <f>BDS("RVSB US Equity","SUPPLY_CHAIN_SUPPLIERS","RELATIONSHIP_AS_OF_DATE","20041109")</f>
        <v/>
      </c>
      <c r="LX5">
        <f>BDS("RVSB US Equity","SUPPLY_CHAIN_CUSTOMERS","RELATIONSHIP_AS_OF_DATE","20041109")</f>
        <v/>
      </c>
      <c r="MC5">
        <f>BDS("HBCP US Equity","SUPPLY_CHAIN_SUPPLIERS","RELATIONSHIP_AS_OF_DATE","20131105")</f>
        <v/>
      </c>
      <c r="MH5">
        <f>BDS("HBCP US Equity","SUPPLY_CHAIN_CUSTOMERS","RELATIONSHIP_AS_OF_DATE","20131105")</f>
        <v/>
      </c>
      <c r="MM5">
        <f>BDS("1608358D US Equity","SUPPLY_CHAIN_SUPPLIERS","RELATIONSHIP_AS_OF_DATE","19980519")</f>
        <v/>
      </c>
      <c r="MR5">
        <f>BDS("1608358D US Equity","SUPPLY_CHAIN_CUSTOMERS","RELATIONSHIP_AS_OF_DATE","19980519")</f>
        <v/>
      </c>
      <c r="MW5">
        <f>BDS("FCBC US Equity","SUPPLY_CHAIN_SUPPLIERS","RELATIONSHIP_AS_OF_DATE","20120301")</f>
        <v/>
      </c>
      <c r="NB5">
        <f>BDS("FCBC US Equity","SUPPLY_CHAIN_CUSTOMERS","RELATIONSHIP_AS_OF_DATE","20120301")</f>
        <v/>
      </c>
      <c r="NG5">
        <f>BDS("MBHIQ US Equity","SUPPLY_CHAIN_SUPPLIERS","RELATIONSHIP_AS_OF_DATE","20020722")</f>
        <v/>
      </c>
      <c r="NL5">
        <f>BDS("MBHIQ US Equity","SUPPLY_CHAIN_CUSTOMERS","RELATIONSHIP_AS_OF_DATE","20020722")</f>
        <v/>
      </c>
      <c r="NQ5">
        <f>BDS("SNBC US Equity","SUPPLY_CHAIN_SUPPLIERS","RELATIONSHIP_AS_OF_DATE","20050826")</f>
        <v/>
      </c>
      <c r="NV5">
        <f>BDS("SNBC US Equity","SUPPLY_CHAIN_CUSTOMERS","RELATIONSHIP_AS_OF_DATE","20050826")</f>
        <v/>
      </c>
      <c r="OA5">
        <f>BDS("IXYS US Equity","SUPPLY_CHAIN_SUPPLIERS","RELATIONSHIP_AS_OF_DATE","20020423")</f>
        <v/>
      </c>
      <c r="OF5">
        <f>BDS("IXYS US Equity","SUPPLY_CHAIN_CUSTOMERS","RELATIONSHIP_AS_OF_DATE","20020423")</f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4281</t>
        </is>
      </c>
      <c r="K1" s="1" t="inlineStr">
        <is>
          <t>Deal 4282</t>
        </is>
      </c>
      <c r="U1" s="1" t="inlineStr">
        <is>
          <t>Deal 4283</t>
        </is>
      </c>
      <c r="AE1" s="1" t="inlineStr">
        <is>
          <t>Deal 4284</t>
        </is>
      </c>
      <c r="AO1" s="1" t="inlineStr">
        <is>
          <t>Deal 4285</t>
        </is>
      </c>
      <c r="AY1" s="1" t="inlineStr">
        <is>
          <t>Deal 4286</t>
        </is>
      </c>
      <c r="BI1" s="1" t="inlineStr">
        <is>
          <t>Deal 4287</t>
        </is>
      </c>
      <c r="BS1" s="1" t="inlineStr">
        <is>
          <t>Deal 4288</t>
        </is>
      </c>
      <c r="CC1" s="1" t="inlineStr">
        <is>
          <t>Deal 4289</t>
        </is>
      </c>
      <c r="CM1" s="1" t="inlineStr">
        <is>
          <t>Deal 4290</t>
        </is>
      </c>
      <c r="CW1" s="1" t="inlineStr">
        <is>
          <t>Deal 4291</t>
        </is>
      </c>
      <c r="DG1" s="1" t="inlineStr">
        <is>
          <t>Deal 4292</t>
        </is>
      </c>
      <c r="DQ1" s="1" t="inlineStr">
        <is>
          <t>Deal 4293</t>
        </is>
      </c>
      <c r="EA1" s="1" t="inlineStr">
        <is>
          <t>Deal 4294</t>
        </is>
      </c>
      <c r="EK1" s="1" t="inlineStr">
        <is>
          <t>Deal 4295</t>
        </is>
      </c>
      <c r="EU1" s="1" t="inlineStr">
        <is>
          <t>Deal 4296</t>
        </is>
      </c>
      <c r="FE1" s="1" t="inlineStr">
        <is>
          <t>Deal 4297</t>
        </is>
      </c>
      <c r="FO1" s="1" t="inlineStr">
        <is>
          <t>Deal 4298</t>
        </is>
      </c>
      <c r="FY1" s="1" t="inlineStr">
        <is>
          <t>Deal 4299</t>
        </is>
      </c>
      <c r="GI1" s="1" t="inlineStr">
        <is>
          <t>Deal 4300</t>
        </is>
      </c>
      <c r="GS1" s="1" t="inlineStr">
        <is>
          <t>Deal 4301</t>
        </is>
      </c>
      <c r="HC1" s="1" t="inlineStr">
        <is>
          <t>Deal 4302</t>
        </is>
      </c>
      <c r="HM1" s="1" t="inlineStr">
        <is>
          <t>Deal 4303</t>
        </is>
      </c>
      <c r="HW1" s="1" t="inlineStr">
        <is>
          <t>Deal 4304</t>
        </is>
      </c>
      <c r="IG1" s="1" t="inlineStr">
        <is>
          <t>Deal 4305</t>
        </is>
      </c>
      <c r="IQ1" s="1" t="inlineStr">
        <is>
          <t>Deal 4306</t>
        </is>
      </c>
      <c r="JA1" s="1" t="inlineStr">
        <is>
          <t>Deal 4307</t>
        </is>
      </c>
      <c r="JK1" s="1" t="inlineStr">
        <is>
          <t>Deal 4308</t>
        </is>
      </c>
      <c r="JU1" s="1" t="inlineStr">
        <is>
          <t>Deal 4309</t>
        </is>
      </c>
      <c r="KE1" s="1" t="inlineStr">
        <is>
          <t>Deal 4310</t>
        </is>
      </c>
      <c r="KO1" s="1" t="inlineStr">
        <is>
          <t>Deal 4311</t>
        </is>
      </c>
      <c r="KY1" s="1" t="inlineStr">
        <is>
          <t>Deal 4312</t>
        </is>
      </c>
      <c r="LI1" s="1" t="inlineStr">
        <is>
          <t>Deal 4313</t>
        </is>
      </c>
      <c r="LS1" s="1" t="inlineStr">
        <is>
          <t>Deal 4314</t>
        </is>
      </c>
      <c r="MC1" s="1" t="inlineStr">
        <is>
          <t>Deal 4315</t>
        </is>
      </c>
      <c r="MM1" s="1" t="inlineStr">
        <is>
          <t>Deal 4316</t>
        </is>
      </c>
      <c r="MW1" s="1" t="inlineStr">
        <is>
          <t>Deal 4317</t>
        </is>
      </c>
      <c r="NG1" s="1" t="inlineStr">
        <is>
          <t>Deal 4318</t>
        </is>
      </c>
      <c r="NQ1" s="1" t="inlineStr">
        <is>
          <t>Deal 4319</t>
        </is>
      </c>
      <c r="OA1" s="1" t="inlineStr">
        <is>
          <t>Deal 4320</t>
        </is>
      </c>
    </row>
    <row r="2">
      <c r="A2" s="2" t="inlineStr">
        <is>
          <t>2347450D US Equity</t>
        </is>
      </c>
      <c r="K2" s="2" t="inlineStr">
        <is>
          <t>355488Q US Equity</t>
        </is>
      </c>
      <c r="U2" s="2" t="inlineStr">
        <is>
          <t>CYT US Equity</t>
        </is>
      </c>
      <c r="AE2" s="2" t="inlineStr">
        <is>
          <t>FNWD US Equity</t>
        </is>
      </c>
      <c r="AO2" s="2" t="inlineStr">
        <is>
          <t>ORRF US Equity</t>
        </is>
      </c>
      <c r="AY2" s="2" t="inlineStr">
        <is>
          <t>AREN US Equity</t>
        </is>
      </c>
      <c r="BI2" s="2" t="inlineStr">
        <is>
          <t>INVX US Equity</t>
        </is>
      </c>
      <c r="BS2" s="2" t="inlineStr">
        <is>
          <t>1040983D US Equity</t>
        </is>
      </c>
      <c r="CC2" s="2" t="inlineStr">
        <is>
          <t>1368189D US Equity</t>
        </is>
      </c>
      <c r="CM2" s="2" t="inlineStr">
        <is>
          <t>EFII US Equity</t>
        </is>
      </c>
      <c r="CW2" s="2" t="inlineStr">
        <is>
          <t>0544749D US Equity</t>
        </is>
      </c>
      <c r="DG2" s="2" t="inlineStr">
        <is>
          <t>KNXA US Equity</t>
        </is>
      </c>
      <c r="DQ2" s="2" t="inlineStr">
        <is>
          <t>AW US Equity</t>
        </is>
      </c>
      <c r="EA2" s="2" t="inlineStr">
        <is>
          <t>CNR US Equity</t>
        </is>
      </c>
      <c r="EK2" s="2" t="inlineStr">
        <is>
          <t>THFF US Equity</t>
        </is>
      </c>
      <c r="EU2" s="2" t="inlineStr">
        <is>
          <t>CBMD US Equity</t>
        </is>
      </c>
      <c r="FE2" s="2" t="inlineStr">
        <is>
          <t>PCBI US Equity</t>
        </is>
      </c>
      <c r="FO2" s="2" t="inlineStr">
        <is>
          <t>57552Q US Equity</t>
        </is>
      </c>
      <c r="FY2" s="2" t="inlineStr">
        <is>
          <t>IFCB US Equity</t>
        </is>
      </c>
      <c r="GI2" s="2" t="inlineStr">
        <is>
          <t>EWBC US Equity</t>
        </is>
      </c>
      <c r="GS2" s="2" t="inlineStr">
        <is>
          <t>KODK US Equity</t>
        </is>
      </c>
      <c r="HC2" s="2" t="inlineStr">
        <is>
          <t>FSNMQ US Equity</t>
        </is>
      </c>
      <c r="HM2" s="2" t="inlineStr">
        <is>
          <t>PEBO US Equity</t>
        </is>
      </c>
      <c r="HW2" s="2" t="inlineStr">
        <is>
          <t>MFNC US Equity</t>
        </is>
      </c>
      <c r="IG2" s="2" t="inlineStr">
        <is>
          <t>WAFD US Equity</t>
        </is>
      </c>
      <c r="IQ2" s="2" t="inlineStr">
        <is>
          <t>DGIT US Equity</t>
        </is>
      </c>
      <c r="JA2" s="2" t="inlineStr">
        <is>
          <t>VTEQ US Equity</t>
        </is>
      </c>
      <c r="JK2" s="2" t="inlineStr">
        <is>
          <t>FULT US Equity</t>
        </is>
      </c>
      <c r="JU2" s="2" t="inlineStr">
        <is>
          <t>HBNC US Equity</t>
        </is>
      </c>
      <c r="KE2" s="2" t="inlineStr">
        <is>
          <t>CSBC US Equity</t>
        </is>
      </c>
      <c r="KO2" s="2" t="inlineStr">
        <is>
          <t>1367809D US Equity</t>
        </is>
      </c>
      <c r="KY2" s="2" t="inlineStr">
        <is>
          <t>PMORQ US Equity</t>
        </is>
      </c>
      <c r="LI2" s="2" t="inlineStr">
        <is>
          <t>1667208D US Equity</t>
        </is>
      </c>
      <c r="LS2" s="2" t="inlineStr">
        <is>
          <t>FVCB US Equity</t>
        </is>
      </c>
      <c r="MC2" s="2" t="inlineStr">
        <is>
          <t>ACNB US Equity</t>
        </is>
      </c>
      <c r="MM2" s="2" t="inlineStr">
        <is>
          <t>AIV US Equity</t>
        </is>
      </c>
      <c r="MW2" s="2" t="inlineStr">
        <is>
          <t>UNH US Equity</t>
        </is>
      </c>
      <c r="NG2" s="2" t="inlineStr">
        <is>
          <t>BPFH US Equity</t>
        </is>
      </c>
      <c r="NQ2" s="2" t="inlineStr">
        <is>
          <t>1348098D US Equity</t>
        </is>
      </c>
      <c r="OA2" s="2" t="inlineStr">
        <is>
          <t>TTWO US Equity</t>
        </is>
      </c>
    </row>
    <row r="3">
      <c r="A3" t="inlineStr">
        <is>
          <t>Ann: 2005-10-06</t>
        </is>
      </c>
      <c r="K3" t="inlineStr">
        <is>
          <t>Ann: 1998-02-10</t>
        </is>
      </c>
      <c r="U3" t="inlineStr">
        <is>
          <t>Ann: 1998-01-09</t>
        </is>
      </c>
      <c r="AE3" t="inlineStr">
        <is>
          <t>Ann: 2018-07-31</t>
        </is>
      </c>
      <c r="AO3" t="inlineStr">
        <is>
          <t>Ann: 2005-11-22</t>
        </is>
      </c>
      <c r="AY3" t="inlineStr">
        <is>
          <t>Ann: 2019-06-12</t>
        </is>
      </c>
      <c r="BI3" t="inlineStr">
        <is>
          <t>Ann: 1999-07-01</t>
        </is>
      </c>
      <c r="BS3" t="inlineStr">
        <is>
          <t>Ann: 2004-03-01</t>
        </is>
      </c>
      <c r="CC3" t="inlineStr">
        <is>
          <t>Ann: 2004-04-16</t>
        </is>
      </c>
      <c r="CM3" t="inlineStr">
        <is>
          <t>Ann: 2003-01-23</t>
        </is>
      </c>
      <c r="CW3" t="inlineStr">
        <is>
          <t>Ann: 1999-03-09</t>
        </is>
      </c>
      <c r="DG3" t="inlineStr">
        <is>
          <t>Ann: 2005-12-21</t>
        </is>
      </c>
      <c r="DQ3" t="inlineStr">
        <is>
          <t>Ann: 2001-05-29</t>
        </is>
      </c>
      <c r="EA3" t="inlineStr">
        <is>
          <t>Ann: 2020-10-23</t>
        </is>
      </c>
      <c r="EK3" t="inlineStr">
        <is>
          <t>Ann: 2001-03-30</t>
        </is>
      </c>
      <c r="EU3" t="inlineStr">
        <is>
          <t>Ann: 1999-09-28</t>
        </is>
      </c>
      <c r="FE3" t="inlineStr">
        <is>
          <t>Ann: 2005-05-04</t>
        </is>
      </c>
      <c r="FO3" t="inlineStr">
        <is>
          <t>Ann: 2000-10-04</t>
        </is>
      </c>
      <c r="FY3" t="inlineStr">
        <is>
          <t>Ann: 2002-08-05</t>
        </is>
      </c>
      <c r="GI3" t="inlineStr">
        <is>
          <t>Ann: 1999-09-17</t>
        </is>
      </c>
      <c r="GS3" t="inlineStr">
        <is>
          <t>Ann: 2003-08-01</t>
        </is>
      </c>
      <c r="HC3" t="inlineStr">
        <is>
          <t>Ann: 2005-01-31</t>
        </is>
      </c>
      <c r="HM3" t="inlineStr">
        <is>
          <t>Ann: 2017-10-24</t>
        </is>
      </c>
      <c r="HW3" t="inlineStr">
        <is>
          <t>Ann: 2018-01-16</t>
        </is>
      </c>
      <c r="IG3" t="inlineStr">
        <is>
          <t>Ann: 2012-04-04</t>
        </is>
      </c>
      <c r="IQ3" t="inlineStr">
        <is>
          <t>Ann: 2007-04-16</t>
        </is>
      </c>
      <c r="JA3" t="inlineStr">
        <is>
          <t>Ann: 2007-08-09</t>
        </is>
      </c>
      <c r="JK3" t="inlineStr">
        <is>
          <t>Ann: 2000-02-23</t>
        </is>
      </c>
      <c r="JU3" t="inlineStr">
        <is>
          <t>Ann: 2017-05-23</t>
        </is>
      </c>
      <c r="KE3" t="inlineStr">
        <is>
          <t>Ann: 2005-05-25</t>
        </is>
      </c>
      <c r="KO3" t="inlineStr">
        <is>
          <t>Ann: 2011-10-11</t>
        </is>
      </c>
      <c r="KY3" t="inlineStr">
        <is>
          <t>Ann: 1998-12-17</t>
        </is>
      </c>
      <c r="LI3" t="inlineStr">
        <is>
          <t>Ann: 2004-02-04</t>
        </is>
      </c>
      <c r="LS3" t="inlineStr">
        <is>
          <t>Ann: 2018-05-03</t>
        </is>
      </c>
      <c r="MC3" t="inlineStr">
        <is>
          <t>Ann: 2016-11-22</t>
        </is>
      </c>
      <c r="MM3" t="inlineStr">
        <is>
          <t>Ann: 2005-02-16</t>
        </is>
      </c>
      <c r="MW3" t="inlineStr">
        <is>
          <t>Ann: 2006-05-25</t>
        </is>
      </c>
      <c r="NG3" t="inlineStr">
        <is>
          <t>Ann: 2004-06-15</t>
        </is>
      </c>
      <c r="NQ3" t="inlineStr">
        <is>
          <t>Ann: 1999-03-08</t>
        </is>
      </c>
      <c r="OA3" t="inlineStr">
        <is>
          <t>Ann: 2003-09-03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BDS("2347450D US Equity","SUPPLY_CHAIN_SUPPLIERS","RELATIONSHIP_AS_OF_DATE","20051006")</f>
        <v/>
      </c>
      <c r="F5">
        <f>BDS("2347450D US Equity","SUPPLY_CHAIN_CUSTOMERS","RELATIONSHIP_AS_OF_DATE","20051006")</f>
        <v/>
      </c>
      <c r="K5">
        <f>BDS("355488Q US Equity","SUPPLY_CHAIN_SUPPLIERS","RELATIONSHIP_AS_OF_DATE","19980210")</f>
        <v/>
      </c>
      <c r="P5">
        <f>BDS("355488Q US Equity","SUPPLY_CHAIN_CUSTOMERS","RELATIONSHIP_AS_OF_DATE","19980210")</f>
        <v/>
      </c>
      <c r="U5">
        <f>BDS("CYT US Equity","SUPPLY_CHAIN_SUPPLIERS","RELATIONSHIP_AS_OF_DATE","19980109")</f>
        <v/>
      </c>
      <c r="Z5">
        <f>BDS("CYT US Equity","SUPPLY_CHAIN_CUSTOMERS","RELATIONSHIP_AS_OF_DATE","19980109")</f>
        <v/>
      </c>
      <c r="AE5">
        <f>BDS("FNWD US Equity","SUPPLY_CHAIN_SUPPLIERS","RELATIONSHIP_AS_OF_DATE","20180731")</f>
        <v/>
      </c>
      <c r="AJ5">
        <f>BDS("FNWD US Equity","SUPPLY_CHAIN_CUSTOMERS","RELATIONSHIP_AS_OF_DATE","20180731")</f>
        <v/>
      </c>
      <c r="AO5">
        <f>BDS("ORRF US Equity","SUPPLY_CHAIN_SUPPLIERS","RELATIONSHIP_AS_OF_DATE","20051122")</f>
        <v/>
      </c>
      <c r="AT5">
        <f>BDS("ORRF US Equity","SUPPLY_CHAIN_CUSTOMERS","RELATIONSHIP_AS_OF_DATE","20051122")</f>
        <v/>
      </c>
      <c r="AY5">
        <f>BDS("AREN US Equity","SUPPLY_CHAIN_SUPPLIERS","RELATIONSHIP_AS_OF_DATE","20190612")</f>
        <v/>
      </c>
      <c r="BD5">
        <f>BDS("AREN US Equity","SUPPLY_CHAIN_CUSTOMERS","RELATIONSHIP_AS_OF_DATE","20190612")</f>
        <v/>
      </c>
      <c r="BI5">
        <f>BDS("INVX US Equity","SUPPLY_CHAIN_SUPPLIERS","RELATIONSHIP_AS_OF_DATE","19990701")</f>
        <v/>
      </c>
      <c r="BN5">
        <f>BDS("INVX US Equity","SUPPLY_CHAIN_CUSTOMERS","RELATIONSHIP_AS_OF_DATE","19990701")</f>
        <v/>
      </c>
      <c r="BS5">
        <f>BDS("1040983D US Equity","SUPPLY_CHAIN_SUPPLIERS","RELATIONSHIP_AS_OF_DATE","20040301")</f>
        <v/>
      </c>
      <c r="BX5">
        <f>BDS("1040983D US Equity","SUPPLY_CHAIN_CUSTOMERS","RELATIONSHIP_AS_OF_DATE","20040301")</f>
        <v/>
      </c>
      <c r="CC5">
        <f>BDS("1368189D US Equity","SUPPLY_CHAIN_SUPPLIERS","RELATIONSHIP_AS_OF_DATE","20040416")</f>
        <v/>
      </c>
      <c r="CH5">
        <f>BDS("1368189D US Equity","SUPPLY_CHAIN_CUSTOMERS","RELATIONSHIP_AS_OF_DATE","20040416")</f>
        <v/>
      </c>
      <c r="CM5">
        <f>BDS("EFII US Equity","SUPPLY_CHAIN_SUPPLIERS","RELATIONSHIP_AS_OF_DATE","20030123")</f>
        <v/>
      </c>
      <c r="CR5">
        <f>BDS("EFII US Equity","SUPPLY_CHAIN_CUSTOMERS","RELATIONSHIP_AS_OF_DATE","20030123")</f>
        <v/>
      </c>
      <c r="CW5">
        <f>BDS("0544749D US Equity","SUPPLY_CHAIN_SUPPLIERS","RELATIONSHIP_AS_OF_DATE","19990309")</f>
        <v/>
      </c>
      <c r="DB5">
        <f>BDS("0544749D US Equity","SUPPLY_CHAIN_CUSTOMERS","RELATIONSHIP_AS_OF_DATE","19990309")</f>
        <v/>
      </c>
      <c r="DG5">
        <f>BDS("KNXA US Equity","SUPPLY_CHAIN_SUPPLIERS","RELATIONSHIP_AS_OF_DATE","20051221")</f>
        <v/>
      </c>
      <c r="DL5">
        <f>BDS("KNXA US Equity","SUPPLY_CHAIN_CUSTOMERS","RELATIONSHIP_AS_OF_DATE","20051221")</f>
        <v/>
      </c>
      <c r="DQ5">
        <f>BDS("AW US Equity","SUPPLY_CHAIN_SUPPLIERS","RELATIONSHIP_AS_OF_DATE","20010529")</f>
        <v/>
      </c>
      <c r="DV5">
        <f>BDS("AW US Equity","SUPPLY_CHAIN_CUSTOMERS","RELATIONSHIP_AS_OF_DATE","20010529")</f>
        <v/>
      </c>
      <c r="EA5">
        <f>BDS("CNR US Equity","SUPPLY_CHAIN_SUPPLIERS","RELATIONSHIP_AS_OF_DATE","20201023")</f>
        <v/>
      </c>
      <c r="EF5">
        <f>BDS("CNR US Equity","SUPPLY_CHAIN_CUSTOMERS","RELATIONSHIP_AS_OF_DATE","20201023")</f>
        <v/>
      </c>
      <c r="EK5">
        <f>BDS("THFF US Equity","SUPPLY_CHAIN_SUPPLIERS","RELATIONSHIP_AS_OF_DATE","20010330")</f>
        <v/>
      </c>
      <c r="EP5">
        <f>BDS("THFF US Equity","SUPPLY_CHAIN_CUSTOMERS","RELATIONSHIP_AS_OF_DATE","20010330")</f>
        <v/>
      </c>
      <c r="EU5">
        <f>BDS("CBMD US Equity","SUPPLY_CHAIN_SUPPLIERS","RELATIONSHIP_AS_OF_DATE","19990928")</f>
        <v/>
      </c>
      <c r="EZ5">
        <f>BDS("CBMD US Equity","SUPPLY_CHAIN_CUSTOMERS","RELATIONSHIP_AS_OF_DATE","19990928")</f>
        <v/>
      </c>
      <c r="FE5">
        <f>BDS("PCBI US Equity","SUPPLY_CHAIN_SUPPLIERS","RELATIONSHIP_AS_OF_DATE","20050504")</f>
        <v/>
      </c>
      <c r="FJ5">
        <f>BDS("PCBI US Equity","SUPPLY_CHAIN_CUSTOMERS","RELATIONSHIP_AS_OF_DATE","20050504")</f>
        <v/>
      </c>
      <c r="FO5">
        <f>BDS("57552Q US Equity","SUPPLY_CHAIN_SUPPLIERS","RELATIONSHIP_AS_OF_DATE","20001004")</f>
        <v/>
      </c>
      <c r="FT5">
        <f>BDS("57552Q US Equity","SUPPLY_CHAIN_CUSTOMERS","RELATIONSHIP_AS_OF_DATE","20001004")</f>
        <v/>
      </c>
      <c r="FY5">
        <f>BDS("IFCB US Equity","SUPPLY_CHAIN_SUPPLIERS","RELATIONSHIP_AS_OF_DATE","20020805")</f>
        <v/>
      </c>
      <c r="GD5">
        <f>BDS("IFCB US Equity","SUPPLY_CHAIN_CUSTOMERS","RELATIONSHIP_AS_OF_DATE","20020805")</f>
        <v/>
      </c>
      <c r="GI5">
        <f>BDS("EWBC US Equity","SUPPLY_CHAIN_SUPPLIERS","RELATIONSHIP_AS_OF_DATE","19990917")</f>
        <v/>
      </c>
      <c r="GN5">
        <f>BDS("EWBC US Equity","SUPPLY_CHAIN_CUSTOMERS","RELATIONSHIP_AS_OF_DATE","19990917")</f>
        <v/>
      </c>
      <c r="GS5">
        <f>BDS("KODK US Equity","SUPPLY_CHAIN_SUPPLIERS","RELATIONSHIP_AS_OF_DATE","20030801")</f>
        <v/>
      </c>
      <c r="GX5">
        <f>BDS("KODK US Equity","SUPPLY_CHAIN_CUSTOMERS","RELATIONSHIP_AS_OF_DATE","20030801")</f>
        <v/>
      </c>
      <c r="HC5">
        <f>BDS("FSNMQ US Equity","SUPPLY_CHAIN_SUPPLIERS","RELATIONSHIP_AS_OF_DATE","20050131")</f>
        <v/>
      </c>
      <c r="HH5">
        <f>BDS("FSNMQ US Equity","SUPPLY_CHAIN_CUSTOMERS","RELATIONSHIP_AS_OF_DATE","20050131")</f>
        <v/>
      </c>
      <c r="HM5">
        <f>BDS("PEBO US Equity","SUPPLY_CHAIN_SUPPLIERS","RELATIONSHIP_AS_OF_DATE","20171024")</f>
        <v/>
      </c>
      <c r="HR5">
        <f>BDS("PEBO US Equity","SUPPLY_CHAIN_CUSTOMERS","RELATIONSHIP_AS_OF_DATE","20171024")</f>
        <v/>
      </c>
      <c r="HW5">
        <f>BDS("MFNC US Equity","SUPPLY_CHAIN_SUPPLIERS","RELATIONSHIP_AS_OF_DATE","20180116")</f>
        <v/>
      </c>
      <c r="IB5">
        <f>BDS("MFNC US Equity","SUPPLY_CHAIN_CUSTOMERS","RELATIONSHIP_AS_OF_DATE","20180116")</f>
        <v/>
      </c>
      <c r="IG5">
        <f>BDS("WAFD US Equity","SUPPLY_CHAIN_SUPPLIERS","RELATIONSHIP_AS_OF_DATE","20120404")</f>
        <v/>
      </c>
      <c r="IL5">
        <f>BDS("WAFD US Equity","SUPPLY_CHAIN_CUSTOMERS","RELATIONSHIP_AS_OF_DATE","20120404")</f>
        <v/>
      </c>
      <c r="IQ5">
        <f>BDS("DGIT US Equity","SUPPLY_CHAIN_SUPPLIERS","RELATIONSHIP_AS_OF_DATE","20070416")</f>
        <v/>
      </c>
      <c r="IV5">
        <f>BDS("DGIT US Equity","SUPPLY_CHAIN_CUSTOMERS","RELATIONSHIP_AS_OF_DATE","20070416")</f>
        <v/>
      </c>
      <c r="JA5">
        <f>BDS("VTEQ US Equity","SUPPLY_CHAIN_SUPPLIERS","RELATIONSHIP_AS_OF_DATE","20070809")</f>
        <v/>
      </c>
      <c r="JF5">
        <f>BDS("VTEQ US Equity","SUPPLY_CHAIN_CUSTOMERS","RELATIONSHIP_AS_OF_DATE","20070809")</f>
        <v/>
      </c>
      <c r="JK5">
        <f>BDS("FULT US Equity","SUPPLY_CHAIN_SUPPLIERS","RELATIONSHIP_AS_OF_DATE","20000223")</f>
        <v/>
      </c>
      <c r="JP5">
        <f>BDS("FULT US Equity","SUPPLY_CHAIN_CUSTOMERS","RELATIONSHIP_AS_OF_DATE","20000223")</f>
        <v/>
      </c>
      <c r="JU5">
        <f>BDS("HBNC US Equity","SUPPLY_CHAIN_SUPPLIERS","RELATIONSHIP_AS_OF_DATE","20170523")</f>
        <v/>
      </c>
      <c r="JZ5">
        <f>BDS("HBNC US Equity","SUPPLY_CHAIN_CUSTOMERS","RELATIONSHIP_AS_OF_DATE","20170523")</f>
        <v/>
      </c>
      <c r="KE5">
        <f>BDS("CSBC US Equity","SUPPLY_CHAIN_SUPPLIERS","RELATIONSHIP_AS_OF_DATE","20050525")</f>
        <v/>
      </c>
      <c r="KJ5">
        <f>BDS("CSBC US Equity","SUPPLY_CHAIN_CUSTOMERS","RELATIONSHIP_AS_OF_DATE","20050525")</f>
        <v/>
      </c>
      <c r="KO5">
        <f>BDS("1367809D US Equity","SUPPLY_CHAIN_SUPPLIERS","RELATIONSHIP_AS_OF_DATE","20111011")</f>
        <v/>
      </c>
      <c r="KT5">
        <f>BDS("1367809D US Equity","SUPPLY_CHAIN_CUSTOMERS","RELATIONSHIP_AS_OF_DATE","20111011")</f>
        <v/>
      </c>
      <c r="KY5">
        <f>BDS("PMORQ US Equity","SUPPLY_CHAIN_SUPPLIERS","RELATIONSHIP_AS_OF_DATE","19981217")</f>
        <v/>
      </c>
      <c r="LD5">
        <f>BDS("PMORQ US Equity","SUPPLY_CHAIN_CUSTOMERS","RELATIONSHIP_AS_OF_DATE","19981217")</f>
        <v/>
      </c>
      <c r="LI5">
        <f>BDS("1667208D US Equity","SUPPLY_CHAIN_SUPPLIERS","RELATIONSHIP_AS_OF_DATE","20040204")</f>
        <v/>
      </c>
      <c r="LN5">
        <f>BDS("1667208D US Equity","SUPPLY_CHAIN_CUSTOMERS","RELATIONSHIP_AS_OF_DATE","20040204")</f>
        <v/>
      </c>
      <c r="LS5">
        <f>BDS("FVCB US Equity","SUPPLY_CHAIN_SUPPLIERS","RELATIONSHIP_AS_OF_DATE","20180503")</f>
        <v/>
      </c>
      <c r="LX5">
        <f>BDS("FVCB US Equity","SUPPLY_CHAIN_CUSTOMERS","RELATIONSHIP_AS_OF_DATE","20180503")</f>
        <v/>
      </c>
      <c r="MC5">
        <f>BDS("ACNB US Equity","SUPPLY_CHAIN_SUPPLIERS","RELATIONSHIP_AS_OF_DATE","20161122")</f>
        <v/>
      </c>
      <c r="MH5">
        <f>BDS("ACNB US Equity","SUPPLY_CHAIN_CUSTOMERS","RELATIONSHIP_AS_OF_DATE","20161122")</f>
        <v/>
      </c>
      <c r="MM5">
        <f>BDS("AIV US Equity","SUPPLY_CHAIN_SUPPLIERS","RELATIONSHIP_AS_OF_DATE","20050216")</f>
        <v/>
      </c>
      <c r="MR5">
        <f>BDS("AIV US Equity","SUPPLY_CHAIN_CUSTOMERS","RELATIONSHIP_AS_OF_DATE","20050216")</f>
        <v/>
      </c>
      <c r="MW5">
        <f>BDS("UNH US Equity","SUPPLY_CHAIN_SUPPLIERS","RELATIONSHIP_AS_OF_DATE","20060525")</f>
        <v/>
      </c>
      <c r="NB5">
        <f>BDS("UNH US Equity","SUPPLY_CHAIN_CUSTOMERS","RELATIONSHIP_AS_OF_DATE","20060525")</f>
        <v/>
      </c>
      <c r="NG5">
        <f>BDS("BPFH US Equity","SUPPLY_CHAIN_SUPPLIERS","RELATIONSHIP_AS_OF_DATE","20040615")</f>
        <v/>
      </c>
      <c r="NL5">
        <f>BDS("BPFH US Equity","SUPPLY_CHAIN_CUSTOMERS","RELATIONSHIP_AS_OF_DATE","20040615")</f>
        <v/>
      </c>
      <c r="NQ5">
        <f>BDS("1348098D US Equity","SUPPLY_CHAIN_SUPPLIERS","RELATIONSHIP_AS_OF_DATE","19990308")</f>
        <v/>
      </c>
      <c r="NV5">
        <f>BDS("1348098D US Equity","SUPPLY_CHAIN_CUSTOMERS","RELATIONSHIP_AS_OF_DATE","19990308")</f>
        <v/>
      </c>
      <c r="OA5">
        <f>BDS("TTWO US Equity","SUPPLY_CHAIN_SUPPLIERS","RELATIONSHIP_AS_OF_DATE","20030903")</f>
        <v/>
      </c>
      <c r="OF5">
        <f>BDS("TTWO US Equity","SUPPLY_CHAIN_CUSTOMERS","RELATIONSHIP_AS_OF_DATE","20030903")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4321</t>
        </is>
      </c>
      <c r="K1" s="1" t="inlineStr">
        <is>
          <t>Deal 4322</t>
        </is>
      </c>
      <c r="U1" s="1" t="inlineStr">
        <is>
          <t>Deal 4323</t>
        </is>
      </c>
      <c r="AE1" s="1" t="inlineStr">
        <is>
          <t>Deal 4324</t>
        </is>
      </c>
      <c r="AO1" s="1" t="inlineStr">
        <is>
          <t>Deal 4325</t>
        </is>
      </c>
      <c r="AY1" s="1" t="inlineStr">
        <is>
          <t>Deal 4326</t>
        </is>
      </c>
      <c r="BI1" s="1" t="inlineStr">
        <is>
          <t>Deal 4327</t>
        </is>
      </c>
      <c r="BS1" s="1" t="inlineStr">
        <is>
          <t>Deal 4328</t>
        </is>
      </c>
      <c r="CC1" s="1" t="inlineStr">
        <is>
          <t>Deal 4329</t>
        </is>
      </c>
      <c r="CM1" s="1" t="inlineStr">
        <is>
          <t>Deal 4330</t>
        </is>
      </c>
      <c r="CW1" s="1" t="inlineStr">
        <is>
          <t>Deal 4331</t>
        </is>
      </c>
      <c r="DG1" s="1" t="inlineStr">
        <is>
          <t>Deal 4332</t>
        </is>
      </c>
      <c r="DQ1" s="1" t="inlineStr">
        <is>
          <t>Deal 4333</t>
        </is>
      </c>
      <c r="EA1" s="1" t="inlineStr">
        <is>
          <t>Deal 4334</t>
        </is>
      </c>
      <c r="EK1" s="1" t="inlineStr">
        <is>
          <t>Deal 4335</t>
        </is>
      </c>
      <c r="EU1" s="1" t="inlineStr">
        <is>
          <t>Deal 4336</t>
        </is>
      </c>
      <c r="FE1" s="1" t="inlineStr">
        <is>
          <t>Deal 4337</t>
        </is>
      </c>
      <c r="FO1" s="1" t="inlineStr">
        <is>
          <t>Deal 4338</t>
        </is>
      </c>
      <c r="FY1" s="1" t="inlineStr">
        <is>
          <t>Deal 4339</t>
        </is>
      </c>
      <c r="GI1" s="1" t="inlineStr">
        <is>
          <t>Deal 4340</t>
        </is>
      </c>
      <c r="GS1" s="1" t="inlineStr">
        <is>
          <t>Deal 4341</t>
        </is>
      </c>
      <c r="HC1" s="1" t="inlineStr">
        <is>
          <t>Deal 4342</t>
        </is>
      </c>
      <c r="HM1" s="1" t="inlineStr">
        <is>
          <t>Deal 4343</t>
        </is>
      </c>
      <c r="HW1" s="1" t="inlineStr">
        <is>
          <t>Deal 4344</t>
        </is>
      </c>
      <c r="IG1" s="1" t="inlineStr">
        <is>
          <t>Deal 4345</t>
        </is>
      </c>
      <c r="IQ1" s="1" t="inlineStr">
        <is>
          <t>Deal 4346</t>
        </is>
      </c>
      <c r="JA1" s="1" t="inlineStr">
        <is>
          <t>Deal 4347</t>
        </is>
      </c>
      <c r="JK1" s="1" t="inlineStr">
        <is>
          <t>Deal 4348</t>
        </is>
      </c>
      <c r="JU1" s="1" t="inlineStr">
        <is>
          <t>Deal 4349</t>
        </is>
      </c>
      <c r="KE1" s="1" t="inlineStr">
        <is>
          <t>Deal 4350</t>
        </is>
      </c>
      <c r="KO1" s="1" t="inlineStr">
        <is>
          <t>Deal 4351</t>
        </is>
      </c>
      <c r="KY1" s="1" t="inlineStr">
        <is>
          <t>Deal 4352</t>
        </is>
      </c>
      <c r="LI1" s="1" t="inlineStr">
        <is>
          <t>Deal 4353</t>
        </is>
      </c>
      <c r="LS1" s="1" t="inlineStr">
        <is>
          <t>Deal 4354</t>
        </is>
      </c>
      <c r="MC1" s="1" t="inlineStr">
        <is>
          <t>Deal 4355</t>
        </is>
      </c>
      <c r="MM1" s="1" t="inlineStr">
        <is>
          <t>Deal 4356</t>
        </is>
      </c>
      <c r="MW1" s="1" t="inlineStr">
        <is>
          <t>Deal 4357</t>
        </is>
      </c>
      <c r="NG1" s="1" t="inlineStr">
        <is>
          <t>Deal 4358</t>
        </is>
      </c>
      <c r="NQ1" s="1" t="inlineStr">
        <is>
          <t>Deal 4359</t>
        </is>
      </c>
      <c r="OA1" s="1" t="inlineStr">
        <is>
          <t>Deal 4360</t>
        </is>
      </c>
    </row>
    <row r="2">
      <c r="A2" s="2" t="inlineStr">
        <is>
          <t>AREMQ US Equity</t>
        </is>
      </c>
      <c r="K2" s="2" t="inlineStr">
        <is>
          <t>PBKS US Equity</t>
        </is>
      </c>
      <c r="U2" s="2" t="inlineStr">
        <is>
          <t>PSTB US Equity</t>
        </is>
      </c>
      <c r="AE2" s="2" t="inlineStr">
        <is>
          <t>CY US Equity</t>
        </is>
      </c>
      <c r="AO2" s="2" t="inlineStr">
        <is>
          <t>BUSE US Equity</t>
        </is>
      </c>
      <c r="AY2" s="2" t="inlineStr">
        <is>
          <t>2096692D US Equity</t>
        </is>
      </c>
      <c r="BI2" s="2" t="inlineStr">
        <is>
          <t>OPLK US Equity</t>
        </is>
      </c>
      <c r="BS2" s="2" t="inlineStr">
        <is>
          <t>244630Q US Equity</t>
        </is>
      </c>
      <c r="CC2" s="2" t="inlineStr">
        <is>
          <t>SNPS US Equity</t>
        </is>
      </c>
      <c r="CM2" s="2" t="inlineStr">
        <is>
          <t>NWBI US Equity</t>
        </is>
      </c>
      <c r="CW2" s="2" t="inlineStr">
        <is>
          <t>BMRC US Equity</t>
        </is>
      </c>
      <c r="DG2" s="2" t="inlineStr">
        <is>
          <t>PACW US Equity</t>
        </is>
      </c>
      <c r="DQ2" s="2" t="inlineStr">
        <is>
          <t>FMNB US Equity</t>
        </is>
      </c>
      <c r="EA2" s="2" t="inlineStr">
        <is>
          <t>NFG US Equity</t>
        </is>
      </c>
      <c r="EK2" s="2" t="inlineStr">
        <is>
          <t>1339658D US Equity</t>
        </is>
      </c>
      <c r="EU2" s="2" t="inlineStr">
        <is>
          <t>MCCK US Equity</t>
        </is>
      </c>
      <c r="FE2" s="2" t="inlineStr">
        <is>
          <t>598014Q US Equity</t>
        </is>
      </c>
      <c r="FO2" s="2" t="inlineStr">
        <is>
          <t>TTN US Equity</t>
        </is>
      </c>
      <c r="FY2" s="2" t="inlineStr">
        <is>
          <t>CBCRQ US Equity</t>
        </is>
      </c>
      <c r="GI2" s="2" t="inlineStr">
        <is>
          <t>GBTB US Equity</t>
        </is>
      </c>
      <c r="GS2" s="2" t="inlineStr">
        <is>
          <t>RBCAA US Equity</t>
        </is>
      </c>
      <c r="HC2" s="2" t="inlineStr">
        <is>
          <t>JLL US Equity</t>
        </is>
      </c>
      <c r="HM2" s="2" t="inlineStr">
        <is>
          <t>DDRX US Equity</t>
        </is>
      </c>
      <c r="HW2" s="2" t="inlineStr">
        <is>
          <t>RBI US Equity</t>
        </is>
      </c>
      <c r="IG2" s="2" t="inlineStr">
        <is>
          <t>1506328D US Equity</t>
        </is>
      </c>
      <c r="IQ2" s="2" t="inlineStr">
        <is>
          <t>LBAI US Equity</t>
        </is>
      </c>
      <c r="JA2" s="2" t="inlineStr">
        <is>
          <t>TMO US Equity</t>
        </is>
      </c>
      <c r="JK2" s="2" t="inlineStr">
        <is>
          <t>GBBK US Equity</t>
        </is>
      </c>
      <c r="JU2" s="2" t="inlineStr">
        <is>
          <t>LBAI US Equity</t>
        </is>
      </c>
      <c r="KE2" s="2" t="inlineStr">
        <is>
          <t>BORL US Equity</t>
        </is>
      </c>
      <c r="KO2" s="2" t="inlineStr">
        <is>
          <t>COHM US Equity</t>
        </is>
      </c>
      <c r="KY2" s="2" t="inlineStr">
        <is>
          <t>CBC US Equity</t>
        </is>
      </c>
      <c r="LI2" s="2" t="inlineStr">
        <is>
          <t>75158Q US Equity</t>
        </is>
      </c>
      <c r="LS2" s="2" t="inlineStr">
        <is>
          <t>761407Q US Equity</t>
        </is>
      </c>
      <c r="MC2" s="2" t="inlineStr">
        <is>
          <t>TOBC US Equity</t>
        </is>
      </c>
      <c r="MM2" s="2" t="inlineStr">
        <is>
          <t>KFFB US Equity</t>
        </is>
      </c>
      <c r="MW2" s="2" t="inlineStr">
        <is>
          <t>8277875Q US Equity</t>
        </is>
      </c>
      <c r="NG2" s="2" t="inlineStr">
        <is>
          <t>NCF US Equity</t>
        </is>
      </c>
      <c r="NQ2" s="2" t="inlineStr">
        <is>
          <t>UIS US Equity</t>
        </is>
      </c>
      <c r="OA2" s="2" t="inlineStr">
        <is>
          <t>MSFG US Equity</t>
        </is>
      </c>
    </row>
    <row r="3">
      <c r="A3" t="inlineStr">
        <is>
          <t>Ann: 2001-02-26</t>
        </is>
      </c>
      <c r="K3" t="inlineStr">
        <is>
          <t>Ann: 2000-05-04</t>
        </is>
      </c>
      <c r="U3" t="inlineStr">
        <is>
          <t>Ann: 2011-03-31</t>
        </is>
      </c>
      <c r="AE3" t="inlineStr">
        <is>
          <t>Ann: 2008-04-11</t>
        </is>
      </c>
      <c r="AO3" t="inlineStr">
        <is>
          <t>Ann: 2005-02-24</t>
        </is>
      </c>
      <c r="AY3" t="inlineStr">
        <is>
          <t>Ann: 2001-01-08</t>
        </is>
      </c>
      <c r="BI3" t="inlineStr">
        <is>
          <t>Ann: 2007-06-20</t>
        </is>
      </c>
      <c r="BS3" t="inlineStr">
        <is>
          <t>Ann: 1998-07-20</t>
        </is>
      </c>
      <c r="CC3" t="inlineStr">
        <is>
          <t>Ann: 2002-07-23</t>
        </is>
      </c>
      <c r="CM3" t="inlineStr">
        <is>
          <t>Ann: 2007-01-05</t>
        </is>
      </c>
      <c r="CW3" t="inlineStr">
        <is>
          <t>Ann: 2013-07-01</t>
        </is>
      </c>
      <c r="DG3" t="inlineStr">
        <is>
          <t>Ann: 2001-08-22</t>
        </is>
      </c>
      <c r="DQ3" t="inlineStr">
        <is>
          <t>Ann: 2000-05-26</t>
        </is>
      </c>
      <c r="EA3" t="inlineStr">
        <is>
          <t>Ann: 1998-01-23</t>
        </is>
      </c>
      <c r="EK3" t="inlineStr">
        <is>
          <t>Ann: 2000-03-23</t>
        </is>
      </c>
      <c r="EU3" t="inlineStr">
        <is>
          <t>Ann: 2000-03-14</t>
        </is>
      </c>
      <c r="FE3" t="inlineStr">
        <is>
          <t>Ann: 2000-02-10</t>
        </is>
      </c>
      <c r="FO3" t="inlineStr">
        <is>
          <t>Ann: 2002-01-07</t>
        </is>
      </c>
      <c r="FY3" t="inlineStr">
        <is>
          <t>Ann: 2001-11-16</t>
        </is>
      </c>
      <c r="GI3" t="inlineStr">
        <is>
          <t>Ann: 2001-02-02</t>
        </is>
      </c>
      <c r="GS3" t="inlineStr">
        <is>
          <t>Ann: 2015-10-07</t>
        </is>
      </c>
      <c r="HC3" t="inlineStr">
        <is>
          <t>Ann: 2021-06-30</t>
        </is>
      </c>
      <c r="HM3" t="inlineStr">
        <is>
          <t>Ann: 1999-02-09</t>
        </is>
      </c>
      <c r="HW3" t="inlineStr">
        <is>
          <t>Ann: 2005-07-01</t>
        </is>
      </c>
      <c r="IG3" t="inlineStr">
        <is>
          <t>Ann: 1998-04-15</t>
        </is>
      </c>
      <c r="IQ3" t="inlineStr">
        <is>
          <t>Ann: 2016-02-18</t>
        </is>
      </c>
      <c r="JA3" t="inlineStr">
        <is>
          <t>Ann: 1999-05-05</t>
        </is>
      </c>
      <c r="JK3" t="inlineStr">
        <is>
          <t>Ann: 1999-05-03</t>
        </is>
      </c>
      <c r="JU3" t="inlineStr">
        <is>
          <t>Ann: 2003-03-31</t>
        </is>
      </c>
      <c r="KE3" t="inlineStr">
        <is>
          <t>Ann: 2002-10-09</t>
        </is>
      </c>
      <c r="KO3" t="inlineStr">
        <is>
          <t>Ann: 2000-08-23</t>
        </is>
      </c>
      <c r="KY3" t="inlineStr">
        <is>
          <t>Ann: 1999-05-19</t>
        </is>
      </c>
      <c r="LI3" t="inlineStr">
        <is>
          <t>Ann: 1998-05-12</t>
        </is>
      </c>
      <c r="LS3" t="inlineStr">
        <is>
          <t>Ann: 1998-03-19</t>
        </is>
      </c>
      <c r="MC3" t="inlineStr">
        <is>
          <t>Ann: 2005-09-22</t>
        </is>
      </c>
      <c r="MM3" t="inlineStr">
        <is>
          <t>Ann: 2004-07-16</t>
        </is>
      </c>
      <c r="MW3" t="inlineStr">
        <is>
          <t>Ann: 1998-07-01</t>
        </is>
      </c>
      <c r="NG3" t="inlineStr">
        <is>
          <t>Ann: 1999-12-28</t>
        </is>
      </c>
      <c r="NQ3" t="inlineStr">
        <is>
          <t>Ann: 1999-06-15</t>
        </is>
      </c>
      <c r="OA3" t="inlineStr">
        <is>
          <t>Ann: 2008-02-27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BDS("AREMQ US Equity","SUPPLY_CHAIN_SUPPLIERS","RELATIONSHIP_AS_OF_DATE","20010226")</f>
        <v/>
      </c>
      <c r="F5">
        <f>BDS("AREMQ US Equity","SUPPLY_CHAIN_CUSTOMERS","RELATIONSHIP_AS_OF_DATE","20010226")</f>
        <v/>
      </c>
      <c r="K5">
        <f>BDS("PBKS US Equity","SUPPLY_CHAIN_SUPPLIERS","RELATIONSHIP_AS_OF_DATE","20000504")</f>
        <v/>
      </c>
      <c r="P5">
        <f>BDS("PBKS US Equity","SUPPLY_CHAIN_CUSTOMERS","RELATIONSHIP_AS_OF_DATE","20000504")</f>
        <v/>
      </c>
      <c r="U5">
        <f>BDS("PSTB US Equity","SUPPLY_CHAIN_SUPPLIERS","RELATIONSHIP_AS_OF_DATE","20110331")</f>
        <v/>
      </c>
      <c r="Z5">
        <f>BDS("PSTB US Equity","SUPPLY_CHAIN_CUSTOMERS","RELATIONSHIP_AS_OF_DATE","20110331")</f>
        <v/>
      </c>
      <c r="AE5">
        <f>BDS("CY US Equity","SUPPLY_CHAIN_SUPPLIERS","RELATIONSHIP_AS_OF_DATE","20080411")</f>
        <v/>
      </c>
      <c r="AJ5">
        <f>BDS("CY US Equity","SUPPLY_CHAIN_CUSTOMERS","RELATIONSHIP_AS_OF_DATE","20080411")</f>
        <v/>
      </c>
      <c r="AO5">
        <f>BDS("BUSE US Equity","SUPPLY_CHAIN_SUPPLIERS","RELATIONSHIP_AS_OF_DATE","20050224")</f>
        <v/>
      </c>
      <c r="AT5">
        <f>BDS("BUSE US Equity","SUPPLY_CHAIN_CUSTOMERS","RELATIONSHIP_AS_OF_DATE","20050224")</f>
        <v/>
      </c>
      <c r="AY5">
        <f>BDS("2096692D US Equity","SUPPLY_CHAIN_SUPPLIERS","RELATIONSHIP_AS_OF_DATE","20010108")</f>
        <v/>
      </c>
      <c r="BD5">
        <f>BDS("2096692D US Equity","SUPPLY_CHAIN_CUSTOMERS","RELATIONSHIP_AS_OF_DATE","20010108")</f>
        <v/>
      </c>
      <c r="BI5">
        <f>BDS("OPLK US Equity","SUPPLY_CHAIN_SUPPLIERS","RELATIONSHIP_AS_OF_DATE","20070620")</f>
        <v/>
      </c>
      <c r="BN5">
        <f>BDS("OPLK US Equity","SUPPLY_CHAIN_CUSTOMERS","RELATIONSHIP_AS_OF_DATE","20070620")</f>
        <v/>
      </c>
      <c r="BS5">
        <f>BDS("244630Q US Equity","SUPPLY_CHAIN_SUPPLIERS","RELATIONSHIP_AS_OF_DATE","19980720")</f>
        <v/>
      </c>
      <c r="BX5">
        <f>BDS("244630Q US Equity","SUPPLY_CHAIN_CUSTOMERS","RELATIONSHIP_AS_OF_DATE","19980720")</f>
        <v/>
      </c>
      <c r="CC5">
        <f>BDS("SNPS US Equity","SUPPLY_CHAIN_SUPPLIERS","RELATIONSHIP_AS_OF_DATE","20020723")</f>
        <v/>
      </c>
      <c r="CH5">
        <f>BDS("SNPS US Equity","SUPPLY_CHAIN_CUSTOMERS","RELATIONSHIP_AS_OF_DATE","20020723")</f>
        <v/>
      </c>
      <c r="CM5">
        <f>BDS("NWBI US Equity","SUPPLY_CHAIN_SUPPLIERS","RELATIONSHIP_AS_OF_DATE","20070105")</f>
        <v/>
      </c>
      <c r="CR5">
        <f>BDS("NWBI US Equity","SUPPLY_CHAIN_CUSTOMERS","RELATIONSHIP_AS_OF_DATE","20070105")</f>
        <v/>
      </c>
      <c r="CW5">
        <f>BDS("BMRC US Equity","SUPPLY_CHAIN_SUPPLIERS","RELATIONSHIP_AS_OF_DATE","20130701")</f>
        <v/>
      </c>
      <c r="DB5">
        <f>BDS("BMRC US Equity","SUPPLY_CHAIN_CUSTOMERS","RELATIONSHIP_AS_OF_DATE","20130701")</f>
        <v/>
      </c>
      <c r="DG5">
        <f>BDS("PACW US Equity","SUPPLY_CHAIN_SUPPLIERS","RELATIONSHIP_AS_OF_DATE","20010822")</f>
        <v/>
      </c>
      <c r="DL5">
        <f>BDS("PACW US Equity","SUPPLY_CHAIN_CUSTOMERS","RELATIONSHIP_AS_OF_DATE","20010822")</f>
        <v/>
      </c>
      <c r="DQ5">
        <f>BDS("FMNB US Equity","SUPPLY_CHAIN_SUPPLIERS","RELATIONSHIP_AS_OF_DATE","20000526")</f>
        <v/>
      </c>
      <c r="DV5">
        <f>BDS("FMNB US Equity","SUPPLY_CHAIN_CUSTOMERS","RELATIONSHIP_AS_OF_DATE","20000526")</f>
        <v/>
      </c>
      <c r="EA5">
        <f>BDS("NFG US Equity","SUPPLY_CHAIN_SUPPLIERS","RELATIONSHIP_AS_OF_DATE","19980123")</f>
        <v/>
      </c>
      <c r="EF5">
        <f>BDS("NFG US Equity","SUPPLY_CHAIN_CUSTOMERS","RELATIONSHIP_AS_OF_DATE","19980123")</f>
        <v/>
      </c>
      <c r="EK5">
        <f>BDS("1339658D US Equity","SUPPLY_CHAIN_SUPPLIERS","RELATIONSHIP_AS_OF_DATE","20000323")</f>
        <v/>
      </c>
      <c r="EP5">
        <f>BDS("1339658D US Equity","SUPPLY_CHAIN_CUSTOMERS","RELATIONSHIP_AS_OF_DATE","20000323")</f>
        <v/>
      </c>
      <c r="EU5">
        <f>BDS("MCCK US Equity","SUPPLY_CHAIN_SUPPLIERS","RELATIONSHIP_AS_OF_DATE","20000314")</f>
        <v/>
      </c>
      <c r="EZ5">
        <f>BDS("MCCK US Equity","SUPPLY_CHAIN_CUSTOMERS","RELATIONSHIP_AS_OF_DATE","20000314")</f>
        <v/>
      </c>
      <c r="FE5">
        <f>BDS("598014Q US Equity","SUPPLY_CHAIN_SUPPLIERS","RELATIONSHIP_AS_OF_DATE","20000210")</f>
        <v/>
      </c>
      <c r="FJ5">
        <f>BDS("598014Q US Equity","SUPPLY_CHAIN_CUSTOMERS","RELATIONSHIP_AS_OF_DATE","20000210")</f>
        <v/>
      </c>
      <c r="FO5">
        <f>BDS("TTN US Equity","SUPPLY_CHAIN_SUPPLIERS","RELATIONSHIP_AS_OF_DATE","20020107")</f>
        <v/>
      </c>
      <c r="FT5">
        <f>BDS("TTN US Equity","SUPPLY_CHAIN_CUSTOMERS","RELATIONSHIP_AS_OF_DATE","20020107")</f>
        <v/>
      </c>
      <c r="FY5">
        <f>BDS("CBCRQ US Equity","SUPPLY_CHAIN_SUPPLIERS","RELATIONSHIP_AS_OF_DATE","20011116")</f>
        <v/>
      </c>
      <c r="GD5">
        <f>BDS("CBCRQ US Equity","SUPPLY_CHAIN_CUSTOMERS","RELATIONSHIP_AS_OF_DATE","20011116")</f>
        <v/>
      </c>
      <c r="GI5">
        <f>BDS("GBTB US Equity","SUPPLY_CHAIN_SUPPLIERS","RELATIONSHIP_AS_OF_DATE","20010202")</f>
        <v/>
      </c>
      <c r="GN5">
        <f>BDS("GBTB US Equity","SUPPLY_CHAIN_CUSTOMERS","RELATIONSHIP_AS_OF_DATE","20010202")</f>
        <v/>
      </c>
      <c r="GS5">
        <f>BDS("RBCAA US Equity","SUPPLY_CHAIN_SUPPLIERS","RELATIONSHIP_AS_OF_DATE","20151007")</f>
        <v/>
      </c>
      <c r="GX5">
        <f>BDS("RBCAA US Equity","SUPPLY_CHAIN_CUSTOMERS","RELATIONSHIP_AS_OF_DATE","20151007")</f>
        <v/>
      </c>
      <c r="HC5">
        <f>BDS("JLL US Equity","SUPPLY_CHAIN_SUPPLIERS","RELATIONSHIP_AS_OF_DATE","20210630")</f>
        <v/>
      </c>
      <c r="HH5">
        <f>BDS("JLL US Equity","SUPPLY_CHAIN_CUSTOMERS","RELATIONSHIP_AS_OF_DATE","20210630")</f>
        <v/>
      </c>
      <c r="HM5">
        <f>BDS("DDRX US Equity","SUPPLY_CHAIN_SUPPLIERS","RELATIONSHIP_AS_OF_DATE","19990209")</f>
        <v/>
      </c>
      <c r="HR5">
        <f>BDS("DDRX US Equity","SUPPLY_CHAIN_CUSTOMERS","RELATIONSHIP_AS_OF_DATE","19990209")</f>
        <v/>
      </c>
      <c r="HW5">
        <f>BDS("RBI US Equity","SUPPLY_CHAIN_SUPPLIERS","RELATIONSHIP_AS_OF_DATE","20050701")</f>
        <v/>
      </c>
      <c r="IB5">
        <f>BDS("RBI US Equity","SUPPLY_CHAIN_CUSTOMERS","RELATIONSHIP_AS_OF_DATE","20050701")</f>
        <v/>
      </c>
      <c r="IG5">
        <f>BDS("1506328D US Equity","SUPPLY_CHAIN_SUPPLIERS","RELATIONSHIP_AS_OF_DATE","19980415")</f>
        <v/>
      </c>
      <c r="IL5">
        <f>BDS("1506328D US Equity","SUPPLY_CHAIN_CUSTOMERS","RELATIONSHIP_AS_OF_DATE","19980415")</f>
        <v/>
      </c>
      <c r="IQ5">
        <f>BDS("LBAI US Equity","SUPPLY_CHAIN_SUPPLIERS","RELATIONSHIP_AS_OF_DATE","20160218")</f>
        <v/>
      </c>
      <c r="IV5">
        <f>BDS("LBAI US Equity","SUPPLY_CHAIN_CUSTOMERS","RELATIONSHIP_AS_OF_DATE","20160218")</f>
        <v/>
      </c>
      <c r="JA5">
        <f>BDS("TMO US Equity","SUPPLY_CHAIN_SUPPLIERS","RELATIONSHIP_AS_OF_DATE","19990505")</f>
        <v/>
      </c>
      <c r="JF5">
        <f>BDS("TMO US Equity","SUPPLY_CHAIN_CUSTOMERS","RELATIONSHIP_AS_OF_DATE","19990505")</f>
        <v/>
      </c>
      <c r="JK5">
        <f>BDS("GBBK US Equity","SUPPLY_CHAIN_SUPPLIERS","RELATIONSHIP_AS_OF_DATE","19990503")</f>
        <v/>
      </c>
      <c r="JP5">
        <f>BDS("GBBK US Equity","SUPPLY_CHAIN_CUSTOMERS","RELATIONSHIP_AS_OF_DATE","19990503")</f>
        <v/>
      </c>
      <c r="JU5">
        <f>BDS("LBAI US Equity","SUPPLY_CHAIN_SUPPLIERS","RELATIONSHIP_AS_OF_DATE","20030331")</f>
        <v/>
      </c>
      <c r="JZ5">
        <f>BDS("LBAI US Equity","SUPPLY_CHAIN_CUSTOMERS","RELATIONSHIP_AS_OF_DATE","20030331")</f>
        <v/>
      </c>
      <c r="KE5">
        <f>BDS("BORL US Equity","SUPPLY_CHAIN_SUPPLIERS","RELATIONSHIP_AS_OF_DATE","20021009")</f>
        <v/>
      </c>
      <c r="KJ5">
        <f>BDS("BORL US Equity","SUPPLY_CHAIN_CUSTOMERS","RELATIONSHIP_AS_OF_DATE","20021009")</f>
        <v/>
      </c>
      <c r="KO5">
        <f>BDS("COHM US Equity","SUPPLY_CHAIN_SUPPLIERS","RELATIONSHIP_AS_OF_DATE","20000823")</f>
        <v/>
      </c>
      <c r="KT5">
        <f>BDS("COHM US Equity","SUPPLY_CHAIN_CUSTOMERS","RELATIONSHIP_AS_OF_DATE","20000823")</f>
        <v/>
      </c>
      <c r="KY5">
        <f>BDS("CBC US Equity","SUPPLY_CHAIN_SUPPLIERS","RELATIONSHIP_AS_OF_DATE","19990519")</f>
        <v/>
      </c>
      <c r="LD5">
        <f>BDS("CBC US Equity","SUPPLY_CHAIN_CUSTOMERS","RELATIONSHIP_AS_OF_DATE","19990519")</f>
        <v/>
      </c>
      <c r="LI5">
        <f>BDS("75158Q US Equity","SUPPLY_CHAIN_SUPPLIERS","RELATIONSHIP_AS_OF_DATE","19980512")</f>
        <v/>
      </c>
      <c r="LN5">
        <f>BDS("75158Q US Equity","SUPPLY_CHAIN_CUSTOMERS","RELATIONSHIP_AS_OF_DATE","19980512")</f>
        <v/>
      </c>
      <c r="LS5">
        <f>BDS("761407Q US Equity","SUPPLY_CHAIN_SUPPLIERS","RELATIONSHIP_AS_OF_DATE","19980319")</f>
        <v/>
      </c>
      <c r="LX5">
        <f>BDS("761407Q US Equity","SUPPLY_CHAIN_CUSTOMERS","RELATIONSHIP_AS_OF_DATE","19980319")</f>
        <v/>
      </c>
      <c r="MC5">
        <f>BDS("TOBC US Equity","SUPPLY_CHAIN_SUPPLIERS","RELATIONSHIP_AS_OF_DATE","20050922")</f>
        <v/>
      </c>
      <c r="MH5">
        <f>BDS("TOBC US Equity","SUPPLY_CHAIN_CUSTOMERS","RELATIONSHIP_AS_OF_DATE","20050922")</f>
        <v/>
      </c>
      <c r="MM5">
        <f>BDS("KFFB US Equity","SUPPLY_CHAIN_SUPPLIERS","RELATIONSHIP_AS_OF_DATE","20040716")</f>
        <v/>
      </c>
      <c r="MR5">
        <f>BDS("KFFB US Equity","SUPPLY_CHAIN_CUSTOMERS","RELATIONSHIP_AS_OF_DATE","20040716")</f>
        <v/>
      </c>
      <c r="MW5">
        <f>BDS("8277875Q US Equity","SUPPLY_CHAIN_SUPPLIERS","RELATIONSHIP_AS_OF_DATE","19980701")</f>
        <v/>
      </c>
      <c r="NB5">
        <f>BDS("8277875Q US Equity","SUPPLY_CHAIN_CUSTOMERS","RELATIONSHIP_AS_OF_DATE","19980701")</f>
        <v/>
      </c>
      <c r="NG5">
        <f>BDS("NCF US Equity","SUPPLY_CHAIN_SUPPLIERS","RELATIONSHIP_AS_OF_DATE","19991228")</f>
        <v/>
      </c>
      <c r="NL5">
        <f>BDS("NCF US Equity","SUPPLY_CHAIN_CUSTOMERS","RELATIONSHIP_AS_OF_DATE","19991228")</f>
        <v/>
      </c>
      <c r="NQ5">
        <f>BDS("UIS US Equity","SUPPLY_CHAIN_SUPPLIERS","RELATIONSHIP_AS_OF_DATE","19990615")</f>
        <v/>
      </c>
      <c r="NV5">
        <f>BDS("UIS US Equity","SUPPLY_CHAIN_CUSTOMERS","RELATIONSHIP_AS_OF_DATE","19990615")</f>
        <v/>
      </c>
      <c r="OA5">
        <f>BDS("MSFG US Equity","SUPPLY_CHAIN_SUPPLIERS","RELATIONSHIP_AS_OF_DATE","20080227")</f>
        <v/>
      </c>
      <c r="OF5">
        <f>BDS("MSFG US Equity","SUPPLY_CHAIN_CUSTOMERS","RELATIONSHIP_AS_OF_DATE","20080227")</f>
        <v/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4361</t>
        </is>
      </c>
      <c r="K1" s="1" t="inlineStr">
        <is>
          <t>Deal 4362</t>
        </is>
      </c>
      <c r="U1" s="1" t="inlineStr">
        <is>
          <t>Deal 4363</t>
        </is>
      </c>
      <c r="AE1" s="1" t="inlineStr">
        <is>
          <t>Deal 4364</t>
        </is>
      </c>
      <c r="AO1" s="1" t="inlineStr">
        <is>
          <t>Deal 4365</t>
        </is>
      </c>
      <c r="AY1" s="1" t="inlineStr">
        <is>
          <t>Deal 4366</t>
        </is>
      </c>
      <c r="BI1" s="1" t="inlineStr">
        <is>
          <t>Deal 4367</t>
        </is>
      </c>
      <c r="BS1" s="1" t="inlineStr">
        <is>
          <t>Deal 4368</t>
        </is>
      </c>
      <c r="CC1" s="1" t="inlineStr">
        <is>
          <t>Deal 4369</t>
        </is>
      </c>
      <c r="CM1" s="1" t="inlineStr">
        <is>
          <t>Deal 4370</t>
        </is>
      </c>
      <c r="CW1" s="1" t="inlineStr">
        <is>
          <t>Deal 4371</t>
        </is>
      </c>
      <c r="DG1" s="1" t="inlineStr">
        <is>
          <t>Deal 4372</t>
        </is>
      </c>
      <c r="DQ1" s="1" t="inlineStr">
        <is>
          <t>Deal 4373</t>
        </is>
      </c>
      <c r="EA1" s="1" t="inlineStr">
        <is>
          <t>Deal 4374</t>
        </is>
      </c>
      <c r="EK1" s="1" t="inlineStr">
        <is>
          <t>Deal 4375</t>
        </is>
      </c>
      <c r="EU1" s="1" t="inlineStr">
        <is>
          <t>Deal 4376</t>
        </is>
      </c>
      <c r="FE1" s="1" t="inlineStr">
        <is>
          <t>Deal 4377</t>
        </is>
      </c>
      <c r="FO1" s="1" t="inlineStr">
        <is>
          <t>Deal 4378</t>
        </is>
      </c>
      <c r="FY1" s="1" t="inlineStr">
        <is>
          <t>Deal 4379</t>
        </is>
      </c>
      <c r="GI1" s="1" t="inlineStr">
        <is>
          <t>Deal 4380</t>
        </is>
      </c>
      <c r="GS1" s="1" t="inlineStr">
        <is>
          <t>Deal 4381</t>
        </is>
      </c>
      <c r="HC1" s="1" t="inlineStr">
        <is>
          <t>Deal 4382</t>
        </is>
      </c>
      <c r="HM1" s="1" t="inlineStr">
        <is>
          <t>Deal 4383</t>
        </is>
      </c>
      <c r="HW1" s="1" t="inlineStr">
        <is>
          <t>Deal 4384</t>
        </is>
      </c>
      <c r="IG1" s="1" t="inlineStr">
        <is>
          <t>Deal 4385</t>
        </is>
      </c>
      <c r="IQ1" s="1" t="inlineStr">
        <is>
          <t>Deal 4386</t>
        </is>
      </c>
      <c r="JA1" s="1" t="inlineStr">
        <is>
          <t>Deal 4387</t>
        </is>
      </c>
      <c r="JK1" s="1" t="inlineStr">
        <is>
          <t>Deal 4388</t>
        </is>
      </c>
      <c r="JU1" s="1" t="inlineStr">
        <is>
          <t>Deal 4389</t>
        </is>
      </c>
      <c r="KE1" s="1" t="inlineStr">
        <is>
          <t>Deal 4390</t>
        </is>
      </c>
      <c r="KO1" s="1" t="inlineStr">
        <is>
          <t>Deal 4391</t>
        </is>
      </c>
      <c r="KY1" s="1" t="inlineStr">
        <is>
          <t>Deal 4392</t>
        </is>
      </c>
      <c r="LI1" s="1" t="inlineStr">
        <is>
          <t>Deal 4393</t>
        </is>
      </c>
      <c r="LS1" s="1" t="inlineStr">
        <is>
          <t>Deal 4394</t>
        </is>
      </c>
      <c r="MC1" s="1" t="inlineStr">
        <is>
          <t>Deal 4395</t>
        </is>
      </c>
      <c r="MM1" s="1" t="inlineStr">
        <is>
          <t>Deal 4396</t>
        </is>
      </c>
      <c r="MW1" s="1" t="inlineStr">
        <is>
          <t>Deal 4397</t>
        </is>
      </c>
      <c r="NG1" s="1" t="inlineStr">
        <is>
          <t>Deal 4398</t>
        </is>
      </c>
      <c r="NQ1" s="1" t="inlineStr">
        <is>
          <t>Deal 4399</t>
        </is>
      </c>
      <c r="OA1" s="1" t="inlineStr">
        <is>
          <t>Deal 4400</t>
        </is>
      </c>
    </row>
    <row r="2">
      <c r="A2" s="2" t="inlineStr">
        <is>
          <t>AEIS US Equity</t>
        </is>
      </c>
      <c r="K2" s="2" t="inlineStr">
        <is>
          <t>FICO US Equity</t>
        </is>
      </c>
      <c r="U2" s="2" t="inlineStr">
        <is>
          <t>COB US Equity</t>
        </is>
      </c>
      <c r="AE2" s="2" t="inlineStr">
        <is>
          <t>BVFL US Equity</t>
        </is>
      </c>
      <c r="AO2" s="2" t="inlineStr">
        <is>
          <t>PHSB US Equity</t>
        </is>
      </c>
      <c r="AY2" s="2" t="inlineStr">
        <is>
          <t>1477687D US Equity</t>
        </is>
      </c>
      <c r="BI2" s="2" t="inlineStr">
        <is>
          <t>HTLF US Equity</t>
        </is>
      </c>
      <c r="BS2" s="2" t="inlineStr">
        <is>
          <t>BGTHQ US Equity</t>
        </is>
      </c>
      <c r="CC2" s="2" t="inlineStr">
        <is>
          <t>HRBT US Equity</t>
        </is>
      </c>
      <c r="CM2" s="2" t="inlineStr">
        <is>
          <t>PRA US Equity</t>
        </is>
      </c>
      <c r="CW2" s="2" t="inlineStr">
        <is>
          <t>SBCP US Equity</t>
        </is>
      </c>
      <c r="DG2" s="2" t="inlineStr">
        <is>
          <t>TCBK US Equity</t>
        </is>
      </c>
      <c r="DQ2" s="2" t="inlineStr">
        <is>
          <t>UBH US Equity</t>
        </is>
      </c>
      <c r="EA2" s="2" t="inlineStr">
        <is>
          <t>IHR US Equity</t>
        </is>
      </c>
      <c r="EK2" s="2" t="inlineStr">
        <is>
          <t>LCTX US Equity</t>
        </is>
      </c>
      <c r="EU2" s="2" t="inlineStr">
        <is>
          <t>AEIS US Equity</t>
        </is>
      </c>
      <c r="FE2" s="2" t="inlineStr">
        <is>
          <t>1893883D US Equity</t>
        </is>
      </c>
      <c r="FO2" s="2" t="inlineStr">
        <is>
          <t>BSRR US Equity</t>
        </is>
      </c>
      <c r="FY2" s="2" t="inlineStr">
        <is>
          <t>1492800D US Equity</t>
        </is>
      </c>
      <c r="GI2" s="2" t="inlineStr">
        <is>
          <t>RBBN US Equity</t>
        </is>
      </c>
      <c r="GS2" s="2" t="inlineStr">
        <is>
          <t>AMRB US Equity</t>
        </is>
      </c>
      <c r="HC2" s="2" t="inlineStr">
        <is>
          <t>MSA US Equity</t>
        </is>
      </c>
      <c r="HM2" s="2" t="inlineStr">
        <is>
          <t>1978022D US Equity</t>
        </is>
      </c>
      <c r="HW2" s="2" t="inlineStr">
        <is>
          <t>HL US Equity</t>
        </is>
      </c>
      <c r="IG2" s="2" t="inlineStr">
        <is>
          <t>CXDO US Equity</t>
        </is>
      </c>
      <c r="IQ2" s="2" t="inlineStr">
        <is>
          <t>CVA US Equity</t>
        </is>
      </c>
      <c r="JA2" s="2" t="inlineStr">
        <is>
          <t>LGND US Equity</t>
        </is>
      </c>
      <c r="JK2" s="2" t="inlineStr">
        <is>
          <t>2894314Q US Equity</t>
        </is>
      </c>
      <c r="JU2" s="2" t="inlineStr">
        <is>
          <t>9474176Q US Equity</t>
        </is>
      </c>
      <c r="KE2" s="2" t="inlineStr">
        <is>
          <t>HNBC US Equity</t>
        </is>
      </c>
      <c r="KO2" s="2" t="inlineStr">
        <is>
          <t>CLPA US Equity</t>
        </is>
      </c>
      <c r="KY2" s="2" t="inlineStr">
        <is>
          <t>AOILQ US Equity</t>
        </is>
      </c>
      <c r="LI2" s="2" t="inlineStr">
        <is>
          <t>FTNT US Equity</t>
        </is>
      </c>
      <c r="LS2" s="2" t="inlineStr">
        <is>
          <t>1413542D US Equity</t>
        </is>
      </c>
      <c r="MC2" s="2" t="inlineStr">
        <is>
          <t>1518080D US Equity</t>
        </is>
      </c>
      <c r="MM2" s="2" t="inlineStr">
        <is>
          <t>AWBCQ US Equity</t>
        </is>
      </c>
      <c r="MW2" s="2" t="inlineStr">
        <is>
          <t>1500616D US Equity</t>
        </is>
      </c>
      <c r="NG2" s="2" t="inlineStr">
        <is>
          <t>VATE US Equity</t>
        </is>
      </c>
      <c r="NQ2" s="2" t="inlineStr">
        <is>
          <t>TCF US Equity</t>
        </is>
      </c>
      <c r="OA2" s="2" t="inlineStr">
        <is>
          <t>TDY US Equity</t>
        </is>
      </c>
    </row>
    <row r="3">
      <c r="A3" t="inlineStr">
        <is>
          <t>Ann: 1998-06-02</t>
        </is>
      </c>
      <c r="K3" t="inlineStr">
        <is>
          <t>Ann: 2004-09-21</t>
        </is>
      </c>
      <c r="U3" t="inlineStr">
        <is>
          <t>Ann: 1999-10-18</t>
        </is>
      </c>
      <c r="AE3" t="inlineStr">
        <is>
          <t>Ann: 2019-09-05</t>
        </is>
      </c>
      <c r="AO3" t="inlineStr">
        <is>
          <t>Ann: 2001-08-16</t>
        </is>
      </c>
      <c r="AY3" t="inlineStr">
        <is>
          <t>Ann: 2011-06-06</t>
        </is>
      </c>
      <c r="BI3" t="inlineStr">
        <is>
          <t>Ann: 2015-05-29</t>
        </is>
      </c>
      <c r="BS3" t="inlineStr">
        <is>
          <t>Ann: 2007-03-05</t>
        </is>
      </c>
      <c r="CC3" t="inlineStr">
        <is>
          <t>Ann: 1999-05-17</t>
        </is>
      </c>
      <c r="CM3" t="inlineStr">
        <is>
          <t>Ann: 2002-07-09</t>
        </is>
      </c>
      <c r="CW3" t="inlineStr">
        <is>
          <t>Ann: 2015-02-05</t>
        </is>
      </c>
      <c r="DG3" t="inlineStr">
        <is>
          <t>Ann: 2002-10-07</t>
        </is>
      </c>
      <c r="DQ3" t="inlineStr">
        <is>
          <t>Ann: 1998-03-06</t>
        </is>
      </c>
      <c r="EA3" t="inlineStr">
        <is>
          <t>Ann: 2002-05-02</t>
        </is>
      </c>
      <c r="EK3" t="inlineStr">
        <is>
          <t>Ann: 2018-11-08</t>
        </is>
      </c>
      <c r="EU3" t="inlineStr">
        <is>
          <t>Ann: 2000-07-06</t>
        </is>
      </c>
      <c r="FE3" t="inlineStr">
        <is>
          <t>Ann: 2000-02-15</t>
        </is>
      </c>
      <c r="FO3" t="inlineStr">
        <is>
          <t>Ann: 2017-04-24</t>
        </is>
      </c>
      <c r="FY3" t="inlineStr">
        <is>
          <t>Ann: 2003-06-18</t>
        </is>
      </c>
      <c r="GI3" t="inlineStr">
        <is>
          <t>Ann: 2013-12-13</t>
        </is>
      </c>
      <c r="GS3" t="inlineStr">
        <is>
          <t>Ann: 2004-07-09</t>
        </is>
      </c>
      <c r="HC3" t="inlineStr">
        <is>
          <t>Ann: 2019-03-29</t>
        </is>
      </c>
      <c r="HM3" t="inlineStr">
        <is>
          <t>Ann: 2007-06-28</t>
        </is>
      </c>
      <c r="HW3" t="inlineStr">
        <is>
          <t>Ann: 2016-05-24</t>
        </is>
      </c>
      <c r="IG3" t="inlineStr">
        <is>
          <t>Ann: 1999-12-13</t>
        </is>
      </c>
      <c r="IQ3" t="inlineStr">
        <is>
          <t>Ann: 2003-12-02</t>
        </is>
      </c>
      <c r="JA3" t="inlineStr">
        <is>
          <t>Ann: 1998-05-11</t>
        </is>
      </c>
      <c r="JK3" t="inlineStr">
        <is>
          <t>Ann: 2006-08-15</t>
        </is>
      </c>
      <c r="JU3" t="inlineStr">
        <is>
          <t>Ann: 1999-01-29</t>
        </is>
      </c>
      <c r="KE3" t="inlineStr">
        <is>
          <t>Ann: 1999-12-29</t>
        </is>
      </c>
      <c r="KO3" t="inlineStr">
        <is>
          <t>Ann: 1998-06-24</t>
        </is>
      </c>
      <c r="KY3" t="inlineStr">
        <is>
          <t>Ann: 2012-10-03</t>
        </is>
      </c>
      <c r="LI3" t="inlineStr">
        <is>
          <t>Ann: 2015-05-27</t>
        </is>
      </c>
      <c r="LS3" t="inlineStr">
        <is>
          <t>Ann: 2001-06-05</t>
        </is>
      </c>
      <c r="MC3" t="inlineStr">
        <is>
          <t>Ann: 2001-07-20</t>
        </is>
      </c>
      <c r="MM3" t="inlineStr">
        <is>
          <t>Ann: 2002-03-28</t>
        </is>
      </c>
      <c r="MW3" t="inlineStr">
        <is>
          <t>Ann: 2004-03-02</t>
        </is>
      </c>
      <c r="NG3" t="inlineStr">
        <is>
          <t>Ann: 2010-11-11</t>
        </is>
      </c>
      <c r="NQ3" t="inlineStr">
        <is>
          <t>Ann: 2001-05-01</t>
        </is>
      </c>
      <c r="OA3" t="inlineStr">
        <is>
          <t>Ann: 2005-11-02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BDS("AEIS US Equity","SUPPLY_CHAIN_SUPPLIERS","RELATIONSHIP_AS_OF_DATE","19980602")</f>
        <v/>
      </c>
      <c r="F5">
        <f>BDS("AEIS US Equity","SUPPLY_CHAIN_CUSTOMERS","RELATIONSHIP_AS_OF_DATE","19980602")</f>
        <v/>
      </c>
      <c r="K5">
        <f>BDS("FICO US Equity","SUPPLY_CHAIN_SUPPLIERS","RELATIONSHIP_AS_OF_DATE","20040921")</f>
        <v/>
      </c>
      <c r="P5">
        <f>BDS("FICO US Equity","SUPPLY_CHAIN_CUSTOMERS","RELATIONSHIP_AS_OF_DATE","20040921")</f>
        <v/>
      </c>
      <c r="U5">
        <f>BDS("COB US Equity","SUPPLY_CHAIN_SUPPLIERS","RELATIONSHIP_AS_OF_DATE","19991018")</f>
        <v/>
      </c>
      <c r="Z5">
        <f>BDS("COB US Equity","SUPPLY_CHAIN_CUSTOMERS","RELATIONSHIP_AS_OF_DATE","19991018")</f>
        <v/>
      </c>
      <c r="AE5">
        <f>BDS("BVFL US Equity","SUPPLY_CHAIN_SUPPLIERS","RELATIONSHIP_AS_OF_DATE","20190905")</f>
        <v/>
      </c>
      <c r="AJ5">
        <f>BDS("BVFL US Equity","SUPPLY_CHAIN_CUSTOMERS","RELATIONSHIP_AS_OF_DATE","20190905")</f>
        <v/>
      </c>
      <c r="AO5">
        <f>BDS("PHSB US Equity","SUPPLY_CHAIN_SUPPLIERS","RELATIONSHIP_AS_OF_DATE","20010816")</f>
        <v/>
      </c>
      <c r="AT5">
        <f>BDS("PHSB US Equity","SUPPLY_CHAIN_CUSTOMERS","RELATIONSHIP_AS_OF_DATE","20010816")</f>
        <v/>
      </c>
      <c r="AY5">
        <f>BDS("1477687D US Equity","SUPPLY_CHAIN_SUPPLIERS","RELATIONSHIP_AS_OF_DATE","20110606")</f>
        <v/>
      </c>
      <c r="BD5">
        <f>BDS("1477687D US Equity","SUPPLY_CHAIN_CUSTOMERS","RELATIONSHIP_AS_OF_DATE","20110606")</f>
        <v/>
      </c>
      <c r="BI5">
        <f>BDS("HTLF US Equity","SUPPLY_CHAIN_SUPPLIERS","RELATIONSHIP_AS_OF_DATE","20150529")</f>
        <v/>
      </c>
      <c r="BN5">
        <f>BDS("HTLF US Equity","SUPPLY_CHAIN_CUSTOMERS","RELATIONSHIP_AS_OF_DATE","20150529")</f>
        <v/>
      </c>
      <c r="BS5">
        <f>BDS("BGTHQ US Equity","SUPPLY_CHAIN_SUPPLIERS","RELATIONSHIP_AS_OF_DATE","20070305")</f>
        <v/>
      </c>
      <c r="BX5">
        <f>BDS("BGTHQ US Equity","SUPPLY_CHAIN_CUSTOMERS","RELATIONSHIP_AS_OF_DATE","20070305")</f>
        <v/>
      </c>
      <c r="CC5">
        <f>BDS("HRBT US Equity","SUPPLY_CHAIN_SUPPLIERS","RELATIONSHIP_AS_OF_DATE","19990517")</f>
        <v/>
      </c>
      <c r="CH5">
        <f>BDS("HRBT US Equity","SUPPLY_CHAIN_CUSTOMERS","RELATIONSHIP_AS_OF_DATE","19990517")</f>
        <v/>
      </c>
      <c r="CM5">
        <f>BDS("PRA US Equity","SUPPLY_CHAIN_SUPPLIERS","RELATIONSHIP_AS_OF_DATE","20020709")</f>
        <v/>
      </c>
      <c r="CR5">
        <f>BDS("PRA US Equity","SUPPLY_CHAIN_CUSTOMERS","RELATIONSHIP_AS_OF_DATE","20020709")</f>
        <v/>
      </c>
      <c r="CW5">
        <f>BDS("SBCP US Equity","SUPPLY_CHAIN_SUPPLIERS","RELATIONSHIP_AS_OF_DATE","20150205")</f>
        <v/>
      </c>
      <c r="DB5">
        <f>BDS("SBCP US Equity","SUPPLY_CHAIN_CUSTOMERS","RELATIONSHIP_AS_OF_DATE","20150205")</f>
        <v/>
      </c>
      <c r="DG5">
        <f>BDS("TCBK US Equity","SUPPLY_CHAIN_SUPPLIERS","RELATIONSHIP_AS_OF_DATE","20021007")</f>
        <v/>
      </c>
      <c r="DL5">
        <f>BDS("TCBK US Equity","SUPPLY_CHAIN_CUSTOMERS","RELATIONSHIP_AS_OF_DATE","20021007")</f>
        <v/>
      </c>
      <c r="DQ5">
        <f>BDS("UBH US Equity","SUPPLY_CHAIN_SUPPLIERS","RELATIONSHIP_AS_OF_DATE","19980306")</f>
        <v/>
      </c>
      <c r="DV5">
        <f>BDS("UBH US Equity","SUPPLY_CHAIN_CUSTOMERS","RELATIONSHIP_AS_OF_DATE","19980306")</f>
        <v/>
      </c>
      <c r="EA5">
        <f>BDS("IHR US Equity","SUPPLY_CHAIN_SUPPLIERS","RELATIONSHIP_AS_OF_DATE","20020502")</f>
        <v/>
      </c>
      <c r="EF5">
        <f>BDS("IHR US Equity","SUPPLY_CHAIN_CUSTOMERS","RELATIONSHIP_AS_OF_DATE","20020502")</f>
        <v/>
      </c>
      <c r="EK5">
        <f>BDS("LCTX US Equity","SUPPLY_CHAIN_SUPPLIERS","RELATIONSHIP_AS_OF_DATE","20181108")</f>
        <v/>
      </c>
      <c r="EP5">
        <f>BDS("LCTX US Equity","SUPPLY_CHAIN_CUSTOMERS","RELATIONSHIP_AS_OF_DATE","20181108")</f>
        <v/>
      </c>
      <c r="EU5">
        <f>BDS("AEIS US Equity","SUPPLY_CHAIN_SUPPLIERS","RELATIONSHIP_AS_OF_DATE","20000706")</f>
        <v/>
      </c>
      <c r="EZ5">
        <f>BDS("AEIS US Equity","SUPPLY_CHAIN_CUSTOMERS","RELATIONSHIP_AS_OF_DATE","20000706")</f>
        <v/>
      </c>
      <c r="FE5">
        <f>BDS("1893883D US Equity","SUPPLY_CHAIN_SUPPLIERS","RELATIONSHIP_AS_OF_DATE","20000215")</f>
        <v/>
      </c>
      <c r="FJ5">
        <f>BDS("1893883D US Equity","SUPPLY_CHAIN_CUSTOMERS","RELATIONSHIP_AS_OF_DATE","20000215")</f>
        <v/>
      </c>
      <c r="FO5">
        <f>BDS("BSRR US Equity","SUPPLY_CHAIN_SUPPLIERS","RELATIONSHIP_AS_OF_DATE","20170424")</f>
        <v/>
      </c>
      <c r="FT5">
        <f>BDS("BSRR US Equity","SUPPLY_CHAIN_CUSTOMERS","RELATIONSHIP_AS_OF_DATE","20170424")</f>
        <v/>
      </c>
      <c r="FY5">
        <f>BDS("1492800D US Equity","SUPPLY_CHAIN_SUPPLIERS","RELATIONSHIP_AS_OF_DATE","20030618")</f>
        <v/>
      </c>
      <c r="GD5">
        <f>BDS("1492800D US Equity","SUPPLY_CHAIN_CUSTOMERS","RELATIONSHIP_AS_OF_DATE","20030618")</f>
        <v/>
      </c>
      <c r="GI5">
        <f>BDS("RBBN US Equity","SUPPLY_CHAIN_SUPPLIERS","RELATIONSHIP_AS_OF_DATE","20131213")</f>
        <v/>
      </c>
      <c r="GN5">
        <f>BDS("RBBN US Equity","SUPPLY_CHAIN_CUSTOMERS","RELATIONSHIP_AS_OF_DATE","20131213")</f>
        <v/>
      </c>
      <c r="GS5">
        <f>BDS("AMRB US Equity","SUPPLY_CHAIN_SUPPLIERS","RELATIONSHIP_AS_OF_DATE","20040709")</f>
        <v/>
      </c>
      <c r="GX5">
        <f>BDS("AMRB US Equity","SUPPLY_CHAIN_CUSTOMERS","RELATIONSHIP_AS_OF_DATE","20040709")</f>
        <v/>
      </c>
      <c r="HC5">
        <f>BDS("MSA US Equity","SUPPLY_CHAIN_SUPPLIERS","RELATIONSHIP_AS_OF_DATE","20190329")</f>
        <v/>
      </c>
      <c r="HH5">
        <f>BDS("MSA US Equity","SUPPLY_CHAIN_CUSTOMERS","RELATIONSHIP_AS_OF_DATE","20190329")</f>
        <v/>
      </c>
      <c r="HM5">
        <f>BDS("1978022D US Equity","SUPPLY_CHAIN_SUPPLIERS","RELATIONSHIP_AS_OF_DATE","20070628")</f>
        <v/>
      </c>
      <c r="HR5">
        <f>BDS("1978022D US Equity","SUPPLY_CHAIN_CUSTOMERS","RELATIONSHIP_AS_OF_DATE","20070628")</f>
        <v/>
      </c>
      <c r="HW5">
        <f>BDS("HL US Equity","SUPPLY_CHAIN_SUPPLIERS","RELATIONSHIP_AS_OF_DATE","20160524")</f>
        <v/>
      </c>
      <c r="IB5">
        <f>BDS("HL US Equity","SUPPLY_CHAIN_CUSTOMERS","RELATIONSHIP_AS_OF_DATE","20160524")</f>
        <v/>
      </c>
      <c r="IG5">
        <f>BDS("CXDO US Equity","SUPPLY_CHAIN_SUPPLIERS","RELATIONSHIP_AS_OF_DATE","19991213")</f>
        <v/>
      </c>
      <c r="IL5">
        <f>BDS("CXDO US Equity","SUPPLY_CHAIN_CUSTOMERS","RELATIONSHIP_AS_OF_DATE","19991213")</f>
        <v/>
      </c>
      <c r="IQ5">
        <f>BDS("CVA US Equity","SUPPLY_CHAIN_SUPPLIERS","RELATIONSHIP_AS_OF_DATE","20031202")</f>
        <v/>
      </c>
      <c r="IV5">
        <f>BDS("CVA US Equity","SUPPLY_CHAIN_CUSTOMERS","RELATIONSHIP_AS_OF_DATE","20031202")</f>
        <v/>
      </c>
      <c r="JA5">
        <f>BDS("LGND US Equity","SUPPLY_CHAIN_SUPPLIERS","RELATIONSHIP_AS_OF_DATE","19980511")</f>
        <v/>
      </c>
      <c r="JF5">
        <f>BDS("LGND US Equity","SUPPLY_CHAIN_CUSTOMERS","RELATIONSHIP_AS_OF_DATE","19980511")</f>
        <v/>
      </c>
      <c r="JK5">
        <f>BDS("2894314Q US Equity","SUPPLY_CHAIN_SUPPLIERS","RELATIONSHIP_AS_OF_DATE","20060815")</f>
        <v/>
      </c>
      <c r="JP5">
        <f>BDS("2894314Q US Equity","SUPPLY_CHAIN_CUSTOMERS","RELATIONSHIP_AS_OF_DATE","20060815")</f>
        <v/>
      </c>
      <c r="JU5">
        <f>BDS("9474176Q US Equity","SUPPLY_CHAIN_SUPPLIERS","RELATIONSHIP_AS_OF_DATE","19990129")</f>
        <v/>
      </c>
      <c r="JZ5">
        <f>BDS("9474176Q US Equity","SUPPLY_CHAIN_CUSTOMERS","RELATIONSHIP_AS_OF_DATE","19990129")</f>
        <v/>
      </c>
      <c r="KE5">
        <f>BDS("HNBC US Equity","SUPPLY_CHAIN_SUPPLIERS","RELATIONSHIP_AS_OF_DATE","19991229")</f>
        <v/>
      </c>
      <c r="KJ5">
        <f>BDS("HNBC US Equity","SUPPLY_CHAIN_CUSTOMERS","RELATIONSHIP_AS_OF_DATE","19991229")</f>
        <v/>
      </c>
      <c r="KO5">
        <f>BDS("CLPA US Equity","SUPPLY_CHAIN_SUPPLIERS","RELATIONSHIP_AS_OF_DATE","19980624")</f>
        <v/>
      </c>
      <c r="KT5">
        <f>BDS("CLPA US Equity","SUPPLY_CHAIN_CUSTOMERS","RELATIONSHIP_AS_OF_DATE","19980624")</f>
        <v/>
      </c>
      <c r="KY5">
        <f>BDS("AOILQ US Equity","SUPPLY_CHAIN_SUPPLIERS","RELATIONSHIP_AS_OF_DATE","20121003")</f>
        <v/>
      </c>
      <c r="LD5">
        <f>BDS("AOILQ US Equity","SUPPLY_CHAIN_CUSTOMERS","RELATIONSHIP_AS_OF_DATE","20121003")</f>
        <v/>
      </c>
      <c r="LI5">
        <f>BDS("FTNT US Equity","SUPPLY_CHAIN_SUPPLIERS","RELATIONSHIP_AS_OF_DATE","20150527")</f>
        <v/>
      </c>
      <c r="LN5">
        <f>BDS("FTNT US Equity","SUPPLY_CHAIN_CUSTOMERS","RELATIONSHIP_AS_OF_DATE","20150527")</f>
        <v/>
      </c>
      <c r="LS5">
        <f>BDS("1413542D US Equity","SUPPLY_CHAIN_SUPPLIERS","RELATIONSHIP_AS_OF_DATE","20010605")</f>
        <v/>
      </c>
      <c r="LX5">
        <f>BDS("1413542D US Equity","SUPPLY_CHAIN_CUSTOMERS","RELATIONSHIP_AS_OF_DATE","20010605")</f>
        <v/>
      </c>
      <c r="MC5">
        <f>BDS("1518080D US Equity","SUPPLY_CHAIN_SUPPLIERS","RELATIONSHIP_AS_OF_DATE","20010720")</f>
        <v/>
      </c>
      <c r="MH5">
        <f>BDS("1518080D US Equity","SUPPLY_CHAIN_CUSTOMERS","RELATIONSHIP_AS_OF_DATE","20010720")</f>
        <v/>
      </c>
      <c r="MM5">
        <f>BDS("AWBCQ US Equity","SUPPLY_CHAIN_SUPPLIERS","RELATIONSHIP_AS_OF_DATE","20020328")</f>
        <v/>
      </c>
      <c r="MR5">
        <f>BDS("AWBCQ US Equity","SUPPLY_CHAIN_CUSTOMERS","RELATIONSHIP_AS_OF_DATE","20020328")</f>
        <v/>
      </c>
      <c r="MW5">
        <f>BDS("1500616D US Equity","SUPPLY_CHAIN_SUPPLIERS","RELATIONSHIP_AS_OF_DATE","20040302")</f>
        <v/>
      </c>
      <c r="NB5">
        <f>BDS("1500616D US Equity","SUPPLY_CHAIN_CUSTOMERS","RELATIONSHIP_AS_OF_DATE","20040302")</f>
        <v/>
      </c>
      <c r="NG5">
        <f>BDS("VATE US Equity","SUPPLY_CHAIN_SUPPLIERS","RELATIONSHIP_AS_OF_DATE","20101111")</f>
        <v/>
      </c>
      <c r="NL5">
        <f>BDS("VATE US Equity","SUPPLY_CHAIN_CUSTOMERS","RELATIONSHIP_AS_OF_DATE","20101111")</f>
        <v/>
      </c>
      <c r="NQ5">
        <f>BDS("TCF US Equity","SUPPLY_CHAIN_SUPPLIERS","RELATIONSHIP_AS_OF_DATE","20010501")</f>
        <v/>
      </c>
      <c r="NV5">
        <f>BDS("TCF US Equity","SUPPLY_CHAIN_CUSTOMERS","RELATIONSHIP_AS_OF_DATE","20010501")</f>
        <v/>
      </c>
      <c r="OA5">
        <f>BDS("TDY US Equity","SUPPLY_CHAIN_SUPPLIERS","RELATIONSHIP_AS_OF_DATE","20051102")</f>
        <v/>
      </c>
      <c r="OF5">
        <f>BDS("TDY US Equity","SUPPLY_CHAIN_CUSTOMERS","RELATIONSHIP_AS_OF_DATE","20051102")</f>
        <v/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4401</t>
        </is>
      </c>
      <c r="K1" s="1" t="inlineStr">
        <is>
          <t>Deal 4402</t>
        </is>
      </c>
      <c r="U1" s="1" t="inlineStr">
        <is>
          <t>Deal 4403</t>
        </is>
      </c>
      <c r="AE1" s="1" t="inlineStr">
        <is>
          <t>Deal 4404</t>
        </is>
      </c>
      <c r="AO1" s="1" t="inlineStr">
        <is>
          <t>Deal 4405</t>
        </is>
      </c>
      <c r="AY1" s="1" t="inlineStr">
        <is>
          <t>Deal 4406</t>
        </is>
      </c>
      <c r="BI1" s="1" t="inlineStr">
        <is>
          <t>Deal 4407</t>
        </is>
      </c>
      <c r="BS1" s="1" t="inlineStr">
        <is>
          <t>Deal 4408</t>
        </is>
      </c>
      <c r="CC1" s="1" t="inlineStr">
        <is>
          <t>Deal 4409</t>
        </is>
      </c>
      <c r="CM1" s="1" t="inlineStr">
        <is>
          <t>Deal 4410</t>
        </is>
      </c>
      <c r="CW1" s="1" t="inlineStr">
        <is>
          <t>Deal 4411</t>
        </is>
      </c>
      <c r="DG1" s="1" t="inlineStr">
        <is>
          <t>Deal 4412</t>
        </is>
      </c>
      <c r="DQ1" s="1" t="inlineStr">
        <is>
          <t>Deal 4413</t>
        </is>
      </c>
      <c r="EA1" s="1" t="inlineStr">
        <is>
          <t>Deal 4414</t>
        </is>
      </c>
      <c r="EK1" s="1" t="inlineStr">
        <is>
          <t>Deal 4415</t>
        </is>
      </c>
      <c r="EU1" s="1" t="inlineStr">
        <is>
          <t>Deal 4416</t>
        </is>
      </c>
      <c r="FE1" s="1" t="inlineStr">
        <is>
          <t>Deal 4417</t>
        </is>
      </c>
      <c r="FO1" s="1" t="inlineStr">
        <is>
          <t>Deal 4418</t>
        </is>
      </c>
      <c r="FY1" s="1" t="inlineStr">
        <is>
          <t>Deal 4419</t>
        </is>
      </c>
      <c r="GI1" s="1" t="inlineStr">
        <is>
          <t>Deal 4420</t>
        </is>
      </c>
      <c r="GS1" s="1" t="inlineStr">
        <is>
          <t>Deal 4421</t>
        </is>
      </c>
      <c r="HC1" s="1" t="inlineStr">
        <is>
          <t>Deal 4422</t>
        </is>
      </c>
      <c r="HM1" s="1" t="inlineStr">
        <is>
          <t>Deal 4423</t>
        </is>
      </c>
      <c r="HW1" s="1" t="inlineStr">
        <is>
          <t>Deal 4424</t>
        </is>
      </c>
      <c r="IG1" s="1" t="inlineStr">
        <is>
          <t>Deal 4425</t>
        </is>
      </c>
      <c r="IQ1" s="1" t="inlineStr">
        <is>
          <t>Deal 4426</t>
        </is>
      </c>
      <c r="JA1" s="1" t="inlineStr">
        <is>
          <t>Deal 4427</t>
        </is>
      </c>
      <c r="JK1" s="1" t="inlineStr">
        <is>
          <t>Deal 4428</t>
        </is>
      </c>
      <c r="JU1" s="1" t="inlineStr">
        <is>
          <t>Deal 4429</t>
        </is>
      </c>
      <c r="KE1" s="1" t="inlineStr">
        <is>
          <t>Deal 4430</t>
        </is>
      </c>
      <c r="KO1" s="1" t="inlineStr">
        <is>
          <t>Deal 4431</t>
        </is>
      </c>
      <c r="KY1" s="1" t="inlineStr">
        <is>
          <t>Deal 4432</t>
        </is>
      </c>
      <c r="LI1" s="1" t="inlineStr">
        <is>
          <t>Deal 4433</t>
        </is>
      </c>
      <c r="LS1" s="1" t="inlineStr">
        <is>
          <t>Deal 4434</t>
        </is>
      </c>
      <c r="MC1" s="1" t="inlineStr">
        <is>
          <t>Deal 4435</t>
        </is>
      </c>
      <c r="MM1" s="1" t="inlineStr">
        <is>
          <t>Deal 4436</t>
        </is>
      </c>
      <c r="MW1" s="1" t="inlineStr">
        <is>
          <t>Deal 4437</t>
        </is>
      </c>
      <c r="NG1" s="1" t="inlineStr">
        <is>
          <t>Deal 4438</t>
        </is>
      </c>
      <c r="NQ1" s="1" t="inlineStr">
        <is>
          <t>Deal 4439</t>
        </is>
      </c>
      <c r="OA1" s="1" t="inlineStr">
        <is>
          <t>Deal 4440</t>
        </is>
      </c>
    </row>
    <row r="2">
      <c r="A2" s="2" t="inlineStr">
        <is>
          <t>FRBA US Equity</t>
        </is>
      </c>
      <c r="K2" s="2" t="inlineStr">
        <is>
          <t>BPFH US Equity</t>
        </is>
      </c>
      <c r="U2" s="2" t="inlineStr">
        <is>
          <t>FBA US Equity</t>
        </is>
      </c>
      <c r="AE2" s="2" t="inlineStr">
        <is>
          <t>UVSP US Equity</t>
        </is>
      </c>
      <c r="AO2" s="2" t="inlineStr">
        <is>
          <t>1740293D US Equity</t>
        </is>
      </c>
      <c r="AY2" s="2" t="inlineStr">
        <is>
          <t>PFE US Equity</t>
        </is>
      </c>
      <c r="BI2" s="2" t="inlineStr">
        <is>
          <t>DHR US Equity</t>
        </is>
      </c>
      <c r="BS2" s="2" t="inlineStr">
        <is>
          <t>CAC US Equity</t>
        </is>
      </c>
      <c r="CC2" s="2" t="inlineStr">
        <is>
          <t>ASYS US Equity</t>
        </is>
      </c>
      <c r="CM2" s="2" t="inlineStr">
        <is>
          <t>BCIC US Equity</t>
        </is>
      </c>
      <c r="CW2" s="2" t="inlineStr">
        <is>
          <t>CTRE US Equity</t>
        </is>
      </c>
      <c r="DG2" s="2" t="inlineStr">
        <is>
          <t>CZNC US Equity</t>
        </is>
      </c>
      <c r="DQ2" s="2" t="inlineStr">
        <is>
          <t>PEBO US Equity</t>
        </is>
      </c>
      <c r="EA2" s="2" t="inlineStr">
        <is>
          <t>HTLF US Equity</t>
        </is>
      </c>
      <c r="EK2" s="2" t="inlineStr">
        <is>
          <t>VSH US Equity</t>
        </is>
      </c>
      <c r="EU2" s="2" t="inlineStr">
        <is>
          <t>170874Q US Equity</t>
        </is>
      </c>
      <c r="FE2" s="2" t="inlineStr">
        <is>
          <t>BURCA US Equity</t>
        </is>
      </c>
      <c r="FO2" s="2" t="inlineStr">
        <is>
          <t>WBS US Equity</t>
        </is>
      </c>
      <c r="FY2" s="2" t="inlineStr">
        <is>
          <t>KTOS US Equity</t>
        </is>
      </c>
      <c r="GI2" s="2" t="inlineStr">
        <is>
          <t>BMTC US Equity</t>
        </is>
      </c>
      <c r="GS2" s="2" t="inlineStr">
        <is>
          <t>1022726D US Equity</t>
        </is>
      </c>
      <c r="HC2" s="2" t="inlineStr">
        <is>
          <t>WBS US Equity</t>
        </is>
      </c>
      <c r="HM2" s="2" t="inlineStr">
        <is>
          <t>107436Q US Equity</t>
        </is>
      </c>
      <c r="HW2" s="2" t="inlineStr">
        <is>
          <t>UNTD US Equity</t>
        </is>
      </c>
      <c r="IG2" s="2" t="inlineStr">
        <is>
          <t>UFCS US Equity</t>
        </is>
      </c>
      <c r="IQ2" s="2" t="inlineStr">
        <is>
          <t>BUSE US Equity</t>
        </is>
      </c>
      <c r="JA2" s="2" t="inlineStr">
        <is>
          <t>PBOC US Equity</t>
        </is>
      </c>
      <c r="JK2" s="2" t="inlineStr">
        <is>
          <t>229195Q US Equity</t>
        </is>
      </c>
      <c r="JU2" s="2" t="inlineStr">
        <is>
          <t>PHWDQ US Equity</t>
        </is>
      </c>
      <c r="KE2" s="2" t="inlineStr">
        <is>
          <t>FCF US Equity</t>
        </is>
      </c>
      <c r="KO2" s="2" t="inlineStr">
        <is>
          <t>SAKL US Equity</t>
        </is>
      </c>
      <c r="KY2" s="2" t="inlineStr">
        <is>
          <t>CMBC US Equity</t>
        </is>
      </c>
      <c r="LI2" s="2" t="inlineStr">
        <is>
          <t>FSCO US Equity</t>
        </is>
      </c>
      <c r="LS2" s="2" t="inlineStr">
        <is>
          <t>BOKF US Equity</t>
        </is>
      </c>
      <c r="MC2" s="2" t="inlineStr">
        <is>
          <t>FTFC US Equity</t>
        </is>
      </c>
      <c r="MM2" s="2" t="inlineStr">
        <is>
          <t>PCBC US Equity</t>
        </is>
      </c>
      <c r="MW2" s="2" t="inlineStr">
        <is>
          <t>TEUM US Equity</t>
        </is>
      </c>
      <c r="NG2" s="2" t="inlineStr">
        <is>
          <t>IDTI US Equity</t>
        </is>
      </c>
      <c r="NQ2" s="2" t="inlineStr">
        <is>
          <t>IDT US Equity</t>
        </is>
      </c>
      <c r="OA2" s="2" t="inlineStr">
        <is>
          <t>GWR US Equity</t>
        </is>
      </c>
    </row>
    <row r="3">
      <c r="A3" t="inlineStr">
        <is>
          <t>Ann: 2017-03-29</t>
        </is>
      </c>
      <c r="K3" t="inlineStr">
        <is>
          <t>Ann: 2003-07-10</t>
        </is>
      </c>
      <c r="U3" t="inlineStr">
        <is>
          <t>Ann: 2000-06-28</t>
        </is>
      </c>
      <c r="AE3" t="inlineStr">
        <is>
          <t>Ann: 2003-01-10</t>
        </is>
      </c>
      <c r="AO3" t="inlineStr">
        <is>
          <t>Ann: 2002-09-19</t>
        </is>
      </c>
      <c r="AY3" t="inlineStr">
        <is>
          <t>Ann: 2011-07-20</t>
        </is>
      </c>
      <c r="BI3" t="inlineStr">
        <is>
          <t>Ann: 2001-05-16</t>
        </is>
      </c>
      <c r="BS3" t="inlineStr">
        <is>
          <t>Ann: 1999-07-27</t>
        </is>
      </c>
      <c r="CC3" t="inlineStr">
        <is>
          <t>Ann: 2014-10-22</t>
        </is>
      </c>
      <c r="CM3" t="inlineStr">
        <is>
          <t>Ann: 2019-08-01</t>
        </is>
      </c>
      <c r="CW3" t="inlineStr">
        <is>
          <t>Ann: 2017-03-02</t>
        </is>
      </c>
      <c r="DG3" t="inlineStr">
        <is>
          <t>Ann: 2006-12-21</t>
        </is>
      </c>
      <c r="DQ3" t="inlineStr">
        <is>
          <t>Ann: 2002-12-02</t>
        </is>
      </c>
      <c r="EA3" t="inlineStr">
        <is>
          <t>Ann: 2016-10-31</t>
        </is>
      </c>
      <c r="EK3" t="inlineStr">
        <is>
          <t>Ann: 2004-10-06</t>
        </is>
      </c>
      <c r="EU3" t="inlineStr">
        <is>
          <t>Ann: 1996-03-18</t>
        </is>
      </c>
      <c r="FE3" t="inlineStr">
        <is>
          <t>Ann: 1998-09-23</t>
        </is>
      </c>
      <c r="FO3" t="inlineStr">
        <is>
          <t>Ann: 2003-06-05</t>
        </is>
      </c>
      <c r="FY3" t="inlineStr">
        <is>
          <t>Ann: 2008-11-24</t>
        </is>
      </c>
      <c r="GI3" t="inlineStr">
        <is>
          <t>Ann: 2009-11-03</t>
        </is>
      </c>
      <c r="GS3" t="inlineStr">
        <is>
          <t>Ann: 1999-06-03</t>
        </is>
      </c>
      <c r="HC3" t="inlineStr">
        <is>
          <t>Ann: 2004-07-19</t>
        </is>
      </c>
      <c r="HM3" t="inlineStr">
        <is>
          <t>Ann: 2000-10-06</t>
        </is>
      </c>
      <c r="HW3" t="inlineStr">
        <is>
          <t>Ann: 2001-06-07</t>
        </is>
      </c>
      <c r="IG3" t="inlineStr">
        <is>
          <t>Ann: 1999-03-04</t>
        </is>
      </c>
      <c r="IQ3" t="inlineStr">
        <is>
          <t>Ann: 1999-06-30</t>
        </is>
      </c>
      <c r="JA3" t="inlineStr">
        <is>
          <t>Ann: 1999-06-23</t>
        </is>
      </c>
      <c r="JK3" t="inlineStr">
        <is>
          <t>Ann: 1999-08-06</t>
        </is>
      </c>
      <c r="JU3" t="inlineStr">
        <is>
          <t>Ann: 2008-08-05</t>
        </is>
      </c>
      <c r="KE3" t="inlineStr">
        <is>
          <t>Ann: 2003-08-08</t>
        </is>
      </c>
      <c r="KO3" t="inlineStr">
        <is>
          <t>Ann: 2002-02-15</t>
        </is>
      </c>
      <c r="KY3" t="inlineStr">
        <is>
          <t>Ann: 2005-04-22</t>
        </is>
      </c>
      <c r="LI3" t="inlineStr">
        <is>
          <t>Ann: 1998-12-30</t>
        </is>
      </c>
      <c r="LS3" t="inlineStr">
        <is>
          <t>Ann: 2004-12-21</t>
        </is>
      </c>
      <c r="MC3" t="inlineStr">
        <is>
          <t>Ann: 2001-05-23</t>
        </is>
      </c>
      <c r="MM3" t="inlineStr">
        <is>
          <t>Ann: 2015-12-17</t>
        </is>
      </c>
      <c r="MW3" t="inlineStr">
        <is>
          <t>Ann: 2018-11-12</t>
        </is>
      </c>
      <c r="NG3" t="inlineStr">
        <is>
          <t>Ann: 1998-11-02</t>
        </is>
      </c>
      <c r="NQ3" t="inlineStr">
        <is>
          <t>Ann: 2006-02-17</t>
        </is>
      </c>
      <c r="OA3" t="inlineStr">
        <is>
          <t>Ann: 2001-12-03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BDS("FRBA US Equity","SUPPLY_CHAIN_SUPPLIERS","RELATIONSHIP_AS_OF_DATE","20170329")</f>
        <v/>
      </c>
      <c r="F5">
        <f>BDS("FRBA US Equity","SUPPLY_CHAIN_CUSTOMERS","RELATIONSHIP_AS_OF_DATE","20170329")</f>
        <v/>
      </c>
      <c r="K5">
        <f>BDS("BPFH US Equity","SUPPLY_CHAIN_SUPPLIERS","RELATIONSHIP_AS_OF_DATE","20030710")</f>
        <v/>
      </c>
      <c r="P5">
        <f>BDS("BPFH US Equity","SUPPLY_CHAIN_CUSTOMERS","RELATIONSHIP_AS_OF_DATE","20030710")</f>
        <v/>
      </c>
      <c r="U5">
        <f>BDS("FBA US Equity","SUPPLY_CHAIN_SUPPLIERS","RELATIONSHIP_AS_OF_DATE","20000628")</f>
        <v/>
      </c>
      <c r="Z5">
        <f>BDS("FBA US Equity","SUPPLY_CHAIN_CUSTOMERS","RELATIONSHIP_AS_OF_DATE","20000628")</f>
        <v/>
      </c>
      <c r="AE5">
        <f>BDS("UVSP US Equity","SUPPLY_CHAIN_SUPPLIERS","RELATIONSHIP_AS_OF_DATE","20030110")</f>
        <v/>
      </c>
      <c r="AJ5">
        <f>BDS("UVSP US Equity","SUPPLY_CHAIN_CUSTOMERS","RELATIONSHIP_AS_OF_DATE","20030110")</f>
        <v/>
      </c>
      <c r="AO5">
        <f>BDS("1740293D US Equity","SUPPLY_CHAIN_SUPPLIERS","RELATIONSHIP_AS_OF_DATE","20020919")</f>
        <v/>
      </c>
      <c r="AT5">
        <f>BDS("1740293D US Equity","SUPPLY_CHAIN_CUSTOMERS","RELATIONSHIP_AS_OF_DATE","20020919")</f>
        <v/>
      </c>
      <c r="AY5">
        <f>BDS("PFE US Equity","SUPPLY_CHAIN_SUPPLIERS","RELATIONSHIP_AS_OF_DATE","20110720")</f>
        <v/>
      </c>
      <c r="BD5">
        <f>BDS("PFE US Equity","SUPPLY_CHAIN_CUSTOMERS","RELATIONSHIP_AS_OF_DATE","20110720")</f>
        <v/>
      </c>
      <c r="BI5">
        <f>BDS("DHR US Equity","SUPPLY_CHAIN_SUPPLIERS","RELATIONSHIP_AS_OF_DATE","20010516")</f>
        <v/>
      </c>
      <c r="BN5">
        <f>BDS("DHR US Equity","SUPPLY_CHAIN_CUSTOMERS","RELATIONSHIP_AS_OF_DATE","20010516")</f>
        <v/>
      </c>
      <c r="BS5">
        <f>BDS("CAC US Equity","SUPPLY_CHAIN_SUPPLIERS","RELATIONSHIP_AS_OF_DATE","19990727")</f>
        <v/>
      </c>
      <c r="BX5">
        <f>BDS("CAC US Equity","SUPPLY_CHAIN_CUSTOMERS","RELATIONSHIP_AS_OF_DATE","19990727")</f>
        <v/>
      </c>
      <c r="CC5">
        <f>BDS("ASYS US Equity","SUPPLY_CHAIN_SUPPLIERS","RELATIONSHIP_AS_OF_DATE","20141022")</f>
        <v/>
      </c>
      <c r="CH5">
        <f>BDS("ASYS US Equity","SUPPLY_CHAIN_CUSTOMERS","RELATIONSHIP_AS_OF_DATE","20141022")</f>
        <v/>
      </c>
      <c r="CM5">
        <f>BDS("BCIC US Equity","SUPPLY_CHAIN_SUPPLIERS","RELATIONSHIP_AS_OF_DATE","20190801")</f>
        <v/>
      </c>
      <c r="CR5">
        <f>BDS("BCIC US Equity","SUPPLY_CHAIN_CUSTOMERS","RELATIONSHIP_AS_OF_DATE","20190801")</f>
        <v/>
      </c>
      <c r="CW5">
        <f>BDS("CTRE US Equity","SUPPLY_CHAIN_SUPPLIERS","RELATIONSHIP_AS_OF_DATE","20170302")</f>
        <v/>
      </c>
      <c r="DB5">
        <f>BDS("CTRE US Equity","SUPPLY_CHAIN_CUSTOMERS","RELATIONSHIP_AS_OF_DATE","20170302")</f>
        <v/>
      </c>
      <c r="DG5">
        <f>BDS("CZNC US Equity","SUPPLY_CHAIN_SUPPLIERS","RELATIONSHIP_AS_OF_DATE","20061221")</f>
        <v/>
      </c>
      <c r="DL5">
        <f>BDS("CZNC US Equity","SUPPLY_CHAIN_CUSTOMERS","RELATIONSHIP_AS_OF_DATE","20061221")</f>
        <v/>
      </c>
      <c r="DQ5">
        <f>BDS("PEBO US Equity","SUPPLY_CHAIN_SUPPLIERS","RELATIONSHIP_AS_OF_DATE","20021202")</f>
        <v/>
      </c>
      <c r="DV5">
        <f>BDS("PEBO US Equity","SUPPLY_CHAIN_CUSTOMERS","RELATIONSHIP_AS_OF_DATE","20021202")</f>
        <v/>
      </c>
      <c r="EA5">
        <f>BDS("HTLF US Equity","SUPPLY_CHAIN_SUPPLIERS","RELATIONSHIP_AS_OF_DATE","20161031")</f>
        <v/>
      </c>
      <c r="EF5">
        <f>BDS("HTLF US Equity","SUPPLY_CHAIN_CUSTOMERS","RELATIONSHIP_AS_OF_DATE","20161031")</f>
        <v/>
      </c>
      <c r="EK5">
        <f>BDS("VSH US Equity","SUPPLY_CHAIN_SUPPLIERS","RELATIONSHIP_AS_OF_DATE","20041006")</f>
        <v/>
      </c>
      <c r="EP5">
        <f>BDS("VSH US Equity","SUPPLY_CHAIN_CUSTOMERS","RELATIONSHIP_AS_OF_DATE","20041006")</f>
        <v/>
      </c>
      <c r="EU5">
        <f>BDS("170874Q US Equity","SUPPLY_CHAIN_SUPPLIERS","RELATIONSHIP_AS_OF_DATE","19960318")</f>
        <v/>
      </c>
      <c r="EZ5">
        <f>BDS("170874Q US Equity","SUPPLY_CHAIN_CUSTOMERS","RELATIONSHIP_AS_OF_DATE","19960318")</f>
        <v/>
      </c>
      <c r="FE5">
        <f>BDS("BURCA US Equity","SUPPLY_CHAIN_SUPPLIERS","RELATIONSHIP_AS_OF_DATE","19980923")</f>
        <v/>
      </c>
      <c r="FJ5">
        <f>BDS("BURCA US Equity","SUPPLY_CHAIN_CUSTOMERS","RELATIONSHIP_AS_OF_DATE","19980923")</f>
        <v/>
      </c>
      <c r="FO5">
        <f>BDS("WBS US Equity","SUPPLY_CHAIN_SUPPLIERS","RELATIONSHIP_AS_OF_DATE","20030605")</f>
        <v/>
      </c>
      <c r="FT5">
        <f>BDS("WBS US Equity","SUPPLY_CHAIN_CUSTOMERS","RELATIONSHIP_AS_OF_DATE","20030605")</f>
        <v/>
      </c>
      <c r="FY5">
        <f>BDS("KTOS US Equity","SUPPLY_CHAIN_SUPPLIERS","RELATIONSHIP_AS_OF_DATE","20081124")</f>
        <v/>
      </c>
      <c r="GD5">
        <f>BDS("KTOS US Equity","SUPPLY_CHAIN_CUSTOMERS","RELATIONSHIP_AS_OF_DATE","20081124")</f>
        <v/>
      </c>
      <c r="GI5">
        <f>BDS("BMTC US Equity","SUPPLY_CHAIN_SUPPLIERS","RELATIONSHIP_AS_OF_DATE","20091103")</f>
        <v/>
      </c>
      <c r="GN5">
        <f>BDS("BMTC US Equity","SUPPLY_CHAIN_CUSTOMERS","RELATIONSHIP_AS_OF_DATE","20091103")</f>
        <v/>
      </c>
      <c r="GS5">
        <f>BDS("1022726D US Equity","SUPPLY_CHAIN_SUPPLIERS","RELATIONSHIP_AS_OF_DATE","19990603")</f>
        <v/>
      </c>
      <c r="GX5">
        <f>BDS("1022726D US Equity","SUPPLY_CHAIN_CUSTOMERS","RELATIONSHIP_AS_OF_DATE","19990603")</f>
        <v/>
      </c>
      <c r="HC5">
        <f>BDS("WBS US Equity","SUPPLY_CHAIN_SUPPLIERS","RELATIONSHIP_AS_OF_DATE","20040719")</f>
        <v/>
      </c>
      <c r="HH5">
        <f>BDS("WBS US Equity","SUPPLY_CHAIN_CUSTOMERS","RELATIONSHIP_AS_OF_DATE","20040719")</f>
        <v/>
      </c>
      <c r="HM5">
        <f>BDS("107436Q US Equity","SUPPLY_CHAIN_SUPPLIERS","RELATIONSHIP_AS_OF_DATE","20001006")</f>
        <v/>
      </c>
      <c r="HR5">
        <f>BDS("107436Q US Equity","SUPPLY_CHAIN_CUSTOMERS","RELATIONSHIP_AS_OF_DATE","20001006")</f>
        <v/>
      </c>
      <c r="HW5">
        <f>BDS("UNTD US Equity","SUPPLY_CHAIN_SUPPLIERS","RELATIONSHIP_AS_OF_DATE","20010607")</f>
        <v/>
      </c>
      <c r="IB5">
        <f>BDS("UNTD US Equity","SUPPLY_CHAIN_CUSTOMERS","RELATIONSHIP_AS_OF_DATE","20010607")</f>
        <v/>
      </c>
      <c r="IG5">
        <f>BDS("UFCS US Equity","SUPPLY_CHAIN_SUPPLIERS","RELATIONSHIP_AS_OF_DATE","19990304")</f>
        <v/>
      </c>
      <c r="IL5">
        <f>BDS("UFCS US Equity","SUPPLY_CHAIN_CUSTOMERS","RELATIONSHIP_AS_OF_DATE","19990304")</f>
        <v/>
      </c>
      <c r="IQ5">
        <f>BDS("BUSE US Equity","SUPPLY_CHAIN_SUPPLIERS","RELATIONSHIP_AS_OF_DATE","19990630")</f>
        <v/>
      </c>
      <c r="IV5">
        <f>BDS("BUSE US Equity","SUPPLY_CHAIN_CUSTOMERS","RELATIONSHIP_AS_OF_DATE","19990630")</f>
        <v/>
      </c>
      <c r="JA5">
        <f>BDS("PBOC US Equity","SUPPLY_CHAIN_SUPPLIERS","RELATIONSHIP_AS_OF_DATE","19990623")</f>
        <v/>
      </c>
      <c r="JF5">
        <f>BDS("PBOC US Equity","SUPPLY_CHAIN_CUSTOMERS","RELATIONSHIP_AS_OF_DATE","19990623")</f>
        <v/>
      </c>
      <c r="JK5">
        <f>BDS("229195Q US Equity","SUPPLY_CHAIN_SUPPLIERS","RELATIONSHIP_AS_OF_DATE","19990806")</f>
        <v/>
      </c>
      <c r="JP5">
        <f>BDS("229195Q US Equity","SUPPLY_CHAIN_CUSTOMERS","RELATIONSHIP_AS_OF_DATE","19990806")</f>
        <v/>
      </c>
      <c r="JU5">
        <f>BDS("PHWDQ US Equity","SUPPLY_CHAIN_SUPPLIERS","RELATIONSHIP_AS_OF_DATE","20080805")</f>
        <v/>
      </c>
      <c r="JZ5">
        <f>BDS("PHWDQ US Equity","SUPPLY_CHAIN_CUSTOMERS","RELATIONSHIP_AS_OF_DATE","20080805")</f>
        <v/>
      </c>
      <c r="KE5">
        <f>BDS("FCF US Equity","SUPPLY_CHAIN_SUPPLIERS","RELATIONSHIP_AS_OF_DATE","20030808")</f>
        <v/>
      </c>
      <c r="KJ5">
        <f>BDS("FCF US Equity","SUPPLY_CHAIN_CUSTOMERS","RELATIONSHIP_AS_OF_DATE","20030808")</f>
        <v/>
      </c>
      <c r="KO5">
        <f>BDS("SAKL US Equity","SUPPLY_CHAIN_SUPPLIERS","RELATIONSHIP_AS_OF_DATE","20020215")</f>
        <v/>
      </c>
      <c r="KT5">
        <f>BDS("SAKL US Equity","SUPPLY_CHAIN_CUSTOMERS","RELATIONSHIP_AS_OF_DATE","20020215")</f>
        <v/>
      </c>
      <c r="KY5">
        <f>BDS("CMBC US Equity","SUPPLY_CHAIN_SUPPLIERS","RELATIONSHIP_AS_OF_DATE","20050422")</f>
        <v/>
      </c>
      <c r="LD5">
        <f>BDS("CMBC US Equity","SUPPLY_CHAIN_CUSTOMERS","RELATIONSHIP_AS_OF_DATE","20050422")</f>
        <v/>
      </c>
      <c r="LI5">
        <f>BDS("FSCO US Equity","SUPPLY_CHAIN_SUPPLIERS","RELATIONSHIP_AS_OF_DATE","19981230")</f>
        <v/>
      </c>
      <c r="LN5">
        <f>BDS("FSCO US Equity","SUPPLY_CHAIN_CUSTOMERS","RELATIONSHIP_AS_OF_DATE","19981230")</f>
        <v/>
      </c>
      <c r="LS5">
        <f>BDS("BOKF US Equity","SUPPLY_CHAIN_SUPPLIERS","RELATIONSHIP_AS_OF_DATE","20041221")</f>
        <v/>
      </c>
      <c r="LX5">
        <f>BDS("BOKF US Equity","SUPPLY_CHAIN_CUSTOMERS","RELATIONSHIP_AS_OF_DATE","20041221")</f>
        <v/>
      </c>
      <c r="MC5">
        <f>BDS("FTFC US Equity","SUPPLY_CHAIN_SUPPLIERS","RELATIONSHIP_AS_OF_DATE","20010523")</f>
        <v/>
      </c>
      <c r="MH5">
        <f>BDS("FTFC US Equity","SUPPLY_CHAIN_CUSTOMERS","RELATIONSHIP_AS_OF_DATE","20010523")</f>
        <v/>
      </c>
      <c r="MM5">
        <f>BDS("PCBC US Equity","SUPPLY_CHAIN_SUPPLIERS","RELATIONSHIP_AS_OF_DATE","20151217")</f>
        <v/>
      </c>
      <c r="MR5">
        <f>BDS("PCBC US Equity","SUPPLY_CHAIN_CUSTOMERS","RELATIONSHIP_AS_OF_DATE","20151217")</f>
        <v/>
      </c>
      <c r="MW5">
        <f>BDS("TEUM US Equity","SUPPLY_CHAIN_SUPPLIERS","RELATIONSHIP_AS_OF_DATE","20181112")</f>
        <v/>
      </c>
      <c r="NB5">
        <f>BDS("TEUM US Equity","SUPPLY_CHAIN_CUSTOMERS","RELATIONSHIP_AS_OF_DATE","20181112")</f>
        <v/>
      </c>
      <c r="NG5">
        <f>BDS("IDTI US Equity","SUPPLY_CHAIN_SUPPLIERS","RELATIONSHIP_AS_OF_DATE","19981102")</f>
        <v/>
      </c>
      <c r="NL5">
        <f>BDS("IDTI US Equity","SUPPLY_CHAIN_CUSTOMERS","RELATIONSHIP_AS_OF_DATE","19981102")</f>
        <v/>
      </c>
      <c r="NQ5">
        <f>BDS("IDT US Equity","SUPPLY_CHAIN_SUPPLIERS","RELATIONSHIP_AS_OF_DATE","20060217")</f>
        <v/>
      </c>
      <c r="NV5">
        <f>BDS("IDT US Equity","SUPPLY_CHAIN_CUSTOMERS","RELATIONSHIP_AS_OF_DATE","20060217")</f>
        <v/>
      </c>
      <c r="OA5">
        <f>BDS("GWR US Equity","SUPPLY_CHAIN_SUPPLIERS","RELATIONSHIP_AS_OF_DATE","20011203")</f>
        <v/>
      </c>
      <c r="OF5">
        <f>BDS("GWR US Equity","SUPPLY_CHAIN_CUSTOMERS","RELATIONSHIP_AS_OF_DATE","20011203")</f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4441</t>
        </is>
      </c>
      <c r="K1" s="1" t="inlineStr">
        <is>
          <t>Deal 4442</t>
        </is>
      </c>
      <c r="U1" s="1" t="inlineStr">
        <is>
          <t>Deal 4443</t>
        </is>
      </c>
      <c r="AE1" s="1" t="inlineStr">
        <is>
          <t>Deal 4444</t>
        </is>
      </c>
      <c r="AO1" s="1" t="inlineStr">
        <is>
          <t>Deal 4445</t>
        </is>
      </c>
      <c r="AY1" s="1" t="inlineStr">
        <is>
          <t>Deal 4446</t>
        </is>
      </c>
      <c r="BI1" s="1" t="inlineStr">
        <is>
          <t>Deal 4447</t>
        </is>
      </c>
      <c r="BS1" s="1" t="inlineStr">
        <is>
          <t>Deal 4448</t>
        </is>
      </c>
      <c r="CC1" s="1" t="inlineStr">
        <is>
          <t>Deal 4449</t>
        </is>
      </c>
      <c r="CM1" s="1" t="inlineStr">
        <is>
          <t>Deal 4450</t>
        </is>
      </c>
      <c r="CW1" s="1" t="inlineStr">
        <is>
          <t>Deal 4451</t>
        </is>
      </c>
      <c r="DG1" s="1" t="inlineStr">
        <is>
          <t>Deal 4452</t>
        </is>
      </c>
      <c r="DQ1" s="1" t="inlineStr">
        <is>
          <t>Deal 4453</t>
        </is>
      </c>
      <c r="EA1" s="1" t="inlineStr">
        <is>
          <t>Deal 4454</t>
        </is>
      </c>
      <c r="EK1" s="1" t="inlineStr">
        <is>
          <t>Deal 4455</t>
        </is>
      </c>
      <c r="EU1" s="1" t="inlineStr">
        <is>
          <t>Deal 4456</t>
        </is>
      </c>
      <c r="FE1" s="1" t="inlineStr">
        <is>
          <t>Deal 4457</t>
        </is>
      </c>
      <c r="FO1" s="1" t="inlineStr">
        <is>
          <t>Deal 4458</t>
        </is>
      </c>
      <c r="FY1" s="1" t="inlineStr">
        <is>
          <t>Deal 4459</t>
        </is>
      </c>
      <c r="GI1" s="1" t="inlineStr">
        <is>
          <t>Deal 4460</t>
        </is>
      </c>
      <c r="GS1" s="1" t="inlineStr">
        <is>
          <t>Deal 4461</t>
        </is>
      </c>
      <c r="HC1" s="1" t="inlineStr">
        <is>
          <t>Deal 4462</t>
        </is>
      </c>
      <c r="HM1" s="1" t="inlineStr">
        <is>
          <t>Deal 4463</t>
        </is>
      </c>
      <c r="HW1" s="1" t="inlineStr">
        <is>
          <t>Deal 4464</t>
        </is>
      </c>
      <c r="IG1" s="1" t="inlineStr">
        <is>
          <t>Deal 4465</t>
        </is>
      </c>
      <c r="IQ1" s="1" t="inlineStr">
        <is>
          <t>Deal 4466</t>
        </is>
      </c>
      <c r="JA1" s="1" t="inlineStr">
        <is>
          <t>Deal 4467</t>
        </is>
      </c>
      <c r="JK1" s="1" t="inlineStr">
        <is>
          <t>Deal 4468</t>
        </is>
      </c>
      <c r="JU1" s="1" t="inlineStr">
        <is>
          <t>Deal 4469</t>
        </is>
      </c>
      <c r="KE1" s="1" t="inlineStr">
        <is>
          <t>Deal 4470</t>
        </is>
      </c>
      <c r="KO1" s="1" t="inlineStr">
        <is>
          <t>Deal 4471</t>
        </is>
      </c>
      <c r="KY1" s="1" t="inlineStr">
        <is>
          <t>Deal 4472</t>
        </is>
      </c>
      <c r="LI1" s="1" t="inlineStr">
        <is>
          <t>Deal 4473</t>
        </is>
      </c>
      <c r="LS1" s="1" t="inlineStr">
        <is>
          <t>Deal 4474</t>
        </is>
      </c>
      <c r="MC1" s="1" t="inlineStr">
        <is>
          <t>Deal 4475</t>
        </is>
      </c>
      <c r="MM1" s="1" t="inlineStr">
        <is>
          <t>Deal 4476</t>
        </is>
      </c>
      <c r="MW1" s="1" t="inlineStr">
        <is>
          <t>Deal 4477</t>
        </is>
      </c>
      <c r="NG1" s="1" t="inlineStr">
        <is>
          <t>Deal 4478</t>
        </is>
      </c>
      <c r="NQ1" s="1" t="inlineStr">
        <is>
          <t>Deal 4479</t>
        </is>
      </c>
      <c r="OA1" s="1" t="inlineStr">
        <is>
          <t>Deal 4480</t>
        </is>
      </c>
    </row>
    <row r="2">
      <c r="A2" s="2" t="inlineStr">
        <is>
          <t>ACPIQ US Equity</t>
        </is>
      </c>
      <c r="K2" s="2" t="inlineStr">
        <is>
          <t>304352Q US Equity</t>
        </is>
      </c>
      <c r="U2" s="2" t="inlineStr">
        <is>
          <t>COFS US Equity</t>
        </is>
      </c>
      <c r="AE2" s="2" t="inlineStr">
        <is>
          <t>STL US Equity</t>
        </is>
      </c>
      <c r="AO2" s="2" t="inlineStr">
        <is>
          <t>EVRI US Equity</t>
        </is>
      </c>
      <c r="AY2" s="2" t="inlineStr">
        <is>
          <t>3542013Q US Equity</t>
        </is>
      </c>
      <c r="BI2" s="2" t="inlineStr">
        <is>
          <t>MNKTQ US Equity</t>
        </is>
      </c>
      <c r="BS2" s="2" t="inlineStr">
        <is>
          <t>1919709D US Equity</t>
        </is>
      </c>
      <c r="CC2" s="2" t="inlineStr">
        <is>
          <t>CMHDA US Equity</t>
        </is>
      </c>
      <c r="CM2" s="2" t="inlineStr">
        <is>
          <t>LGND US Equity</t>
        </is>
      </c>
      <c r="CW2" s="2" t="inlineStr">
        <is>
          <t>STMH US Equity</t>
        </is>
      </c>
      <c r="DG2" s="2" t="inlineStr">
        <is>
          <t>FCBC US Equity</t>
        </is>
      </c>
      <c r="DQ2" s="2" t="inlineStr">
        <is>
          <t>BAC US Equity</t>
        </is>
      </c>
      <c r="EA2" s="2" t="inlineStr">
        <is>
          <t>FFSX US Equity</t>
        </is>
      </c>
      <c r="EK2" s="2" t="inlineStr">
        <is>
          <t>2071296D US Equity</t>
        </is>
      </c>
      <c r="EU2" s="2" t="inlineStr">
        <is>
          <t>LFGRQ US Equity</t>
        </is>
      </c>
      <c r="FE2" s="2" t="inlineStr">
        <is>
          <t>BBT US Equity</t>
        </is>
      </c>
      <c r="FO2" s="2" t="inlineStr">
        <is>
          <t>2636831Q US Equity</t>
        </is>
      </c>
      <c r="FY2" s="2" t="inlineStr">
        <is>
          <t>724309Q US Equity</t>
        </is>
      </c>
      <c r="GI2" s="2" t="inlineStr">
        <is>
          <t>LUCK US Equity</t>
        </is>
      </c>
      <c r="GS2" s="2" t="inlineStr">
        <is>
          <t>ATBA AV Equity</t>
        </is>
      </c>
      <c r="HC2" s="2" t="inlineStr">
        <is>
          <t>PRK US Equity</t>
        </is>
      </c>
      <c r="HM2" s="2" t="inlineStr">
        <is>
          <t>OPAY US Equity</t>
        </is>
      </c>
      <c r="HW2" s="2" t="inlineStr">
        <is>
          <t>SSB US Equity</t>
        </is>
      </c>
      <c r="IG2" s="2" t="inlineStr">
        <is>
          <t>CLKS US Equity</t>
        </is>
      </c>
      <c r="IQ2" s="2" t="inlineStr">
        <is>
          <t>SBN US Equity</t>
        </is>
      </c>
      <c r="JA2" s="2" t="inlineStr">
        <is>
          <t>RPTP US Equity</t>
        </is>
      </c>
      <c r="JK2" s="2" t="inlineStr">
        <is>
          <t>ANIP US Equity</t>
        </is>
      </c>
      <c r="JU2" s="2" t="inlineStr">
        <is>
          <t>BHC CN Equity</t>
        </is>
      </c>
      <c r="KE2" s="2" t="inlineStr">
        <is>
          <t>PREM US Equity</t>
        </is>
      </c>
      <c r="KO2" s="2" t="inlineStr">
        <is>
          <t>FCCO US Equity</t>
        </is>
      </c>
      <c r="KY2" s="2" t="inlineStr">
        <is>
          <t>BNCL US Equity</t>
        </is>
      </c>
      <c r="LI2" s="2" t="inlineStr">
        <is>
          <t>CVBF US Equity</t>
        </is>
      </c>
      <c r="LS2" s="2" t="inlineStr">
        <is>
          <t>215254Q US Equity</t>
        </is>
      </c>
      <c r="MC2" s="2" t="inlineStr">
        <is>
          <t>KODK US Equity</t>
        </is>
      </c>
      <c r="MM2" s="2" t="inlineStr">
        <is>
          <t>COBZ US Equity</t>
        </is>
      </c>
      <c r="MW2" s="2" t="inlineStr">
        <is>
          <t>1619175D US Equity</t>
        </is>
      </c>
      <c r="NG2" s="2" t="inlineStr">
        <is>
          <t>MSI US Equity</t>
        </is>
      </c>
      <c r="NQ2" s="2" t="inlineStr">
        <is>
          <t>YDKN US Equity</t>
        </is>
      </c>
      <c r="OA2" s="2" t="inlineStr">
        <is>
          <t>CVBF US Equity</t>
        </is>
      </c>
    </row>
    <row r="3">
      <c r="A3" t="inlineStr">
        <is>
          <t>Ann: 2000-02-09</t>
        </is>
      </c>
      <c r="K3" t="inlineStr">
        <is>
          <t>Ann: 1998-04-24</t>
        </is>
      </c>
      <c r="U3" t="inlineStr">
        <is>
          <t>Ann: 2006-04-26</t>
        </is>
      </c>
      <c r="AE3" t="inlineStr">
        <is>
          <t>Ann: 2001-11-02</t>
        </is>
      </c>
      <c r="AO3" t="inlineStr">
        <is>
          <t>Ann: 2008-06-16</t>
        </is>
      </c>
      <c r="AY3" t="inlineStr">
        <is>
          <t>Ann: 1998-09-23</t>
        </is>
      </c>
      <c r="BI3" t="inlineStr">
        <is>
          <t>Ann: 2017-11-02</t>
        </is>
      </c>
      <c r="BS3" t="inlineStr">
        <is>
          <t>Ann: 2012-05-11</t>
        </is>
      </c>
      <c r="CC3" t="inlineStr">
        <is>
          <t>Ann: 1998-06-04</t>
        </is>
      </c>
      <c r="CM3" t="inlineStr">
        <is>
          <t>Ann: 2008-09-24</t>
        </is>
      </c>
      <c r="CW3" t="inlineStr">
        <is>
          <t>Ann: 2020-10-06</t>
        </is>
      </c>
      <c r="DG3" t="inlineStr">
        <is>
          <t>Ann: 2008-07-31</t>
        </is>
      </c>
      <c r="DQ3" t="inlineStr">
        <is>
          <t>Ann: 1996-02-15</t>
        </is>
      </c>
      <c r="EA3" t="inlineStr">
        <is>
          <t>Ann: 1998-08-18</t>
        </is>
      </c>
      <c r="EK3" t="inlineStr">
        <is>
          <t>Ann: 2009-08-27</t>
        </is>
      </c>
      <c r="EU3" t="inlineStr">
        <is>
          <t>Ann: 2003-04-25</t>
        </is>
      </c>
      <c r="FE3" t="inlineStr">
        <is>
          <t>Ann: 2011-10-25</t>
        </is>
      </c>
      <c r="FO3" t="inlineStr">
        <is>
          <t>Ann: 1999-11-04</t>
        </is>
      </c>
      <c r="FY3" t="inlineStr">
        <is>
          <t>Ann: 2001-11-14</t>
        </is>
      </c>
      <c r="GI3" t="inlineStr">
        <is>
          <t>Ann: 2021-05-28</t>
        </is>
      </c>
      <c r="GS3" t="inlineStr">
        <is>
          <t>Ann: 2011-05-18</t>
        </is>
      </c>
      <c r="HC3" t="inlineStr">
        <is>
          <t>Ann: 2018-09-13</t>
        </is>
      </c>
      <c r="HM3" t="inlineStr">
        <is>
          <t>Ann: 2002-05-31</t>
        </is>
      </c>
      <c r="HW3" t="inlineStr">
        <is>
          <t>Ann: 2011-12-20</t>
        </is>
      </c>
      <c r="IG3" t="inlineStr">
        <is>
          <t>Ann: 2003-10-21</t>
        </is>
      </c>
      <c r="IQ3" t="inlineStr">
        <is>
          <t>Ann: 2006-08-03</t>
        </is>
      </c>
      <c r="JA3" t="inlineStr">
        <is>
          <t>Ann: 2009-07-28</t>
        </is>
      </c>
      <c r="JK3" t="inlineStr">
        <is>
          <t>Ann: 2009-06-30</t>
        </is>
      </c>
      <c r="JU3" t="inlineStr">
        <is>
          <t>Ann: 2015-07-13</t>
        </is>
      </c>
      <c r="KE3" t="inlineStr">
        <is>
          <t>Ann: 2006-01-13</t>
        </is>
      </c>
      <c r="KO3" t="inlineStr">
        <is>
          <t>Ann: 2017-04-12</t>
        </is>
      </c>
      <c r="KY3" t="inlineStr">
        <is>
          <t>Ann: 2011-12-05</t>
        </is>
      </c>
      <c r="LI3" t="inlineStr">
        <is>
          <t>Ann: 2004-10-21</t>
        </is>
      </c>
      <c r="LS3" t="inlineStr">
        <is>
          <t>Ann: 2001-01-18</t>
        </is>
      </c>
      <c r="MC3" t="inlineStr">
        <is>
          <t>Ann: 2001-11-15</t>
        </is>
      </c>
      <c r="MM3" t="inlineStr">
        <is>
          <t>Ann: 2000-10-24</t>
        </is>
      </c>
      <c r="MW3" t="inlineStr">
        <is>
          <t>Ann: 2000-08-29</t>
        </is>
      </c>
      <c r="NG3" t="inlineStr">
        <is>
          <t>Ann: 2003-01-13</t>
        </is>
      </c>
      <c r="NQ3" t="inlineStr">
        <is>
          <t>Ann: 2002-01-23</t>
        </is>
      </c>
      <c r="OA3" t="inlineStr">
        <is>
          <t>Ann: 2016-09-22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BDS("ACPIQ US Equity","SUPPLY_CHAIN_SUPPLIERS","RELATIONSHIP_AS_OF_DATE","20000209")</f>
        <v/>
      </c>
      <c r="F5">
        <f>BDS("ACPIQ US Equity","SUPPLY_CHAIN_CUSTOMERS","RELATIONSHIP_AS_OF_DATE","20000209")</f>
        <v/>
      </c>
      <c r="K5">
        <f>BDS("304352Q US Equity","SUPPLY_CHAIN_SUPPLIERS","RELATIONSHIP_AS_OF_DATE","19980424")</f>
        <v/>
      </c>
      <c r="P5">
        <f>BDS("304352Q US Equity","SUPPLY_CHAIN_CUSTOMERS","RELATIONSHIP_AS_OF_DATE","19980424")</f>
        <v/>
      </c>
      <c r="U5">
        <f>BDS("COFS US Equity","SUPPLY_CHAIN_SUPPLIERS","RELATIONSHIP_AS_OF_DATE","20060426")</f>
        <v/>
      </c>
      <c r="Z5">
        <f>BDS("COFS US Equity","SUPPLY_CHAIN_CUSTOMERS","RELATIONSHIP_AS_OF_DATE","20060426")</f>
        <v/>
      </c>
      <c r="AE5">
        <f>BDS("STL US Equity","SUPPLY_CHAIN_SUPPLIERS","RELATIONSHIP_AS_OF_DATE","20011102")</f>
        <v/>
      </c>
      <c r="AJ5">
        <f>BDS("STL US Equity","SUPPLY_CHAIN_CUSTOMERS","RELATIONSHIP_AS_OF_DATE","20011102")</f>
        <v/>
      </c>
      <c r="AO5">
        <f>BDS("EVRI US Equity","SUPPLY_CHAIN_SUPPLIERS","RELATIONSHIP_AS_OF_DATE","20080616")</f>
        <v/>
      </c>
      <c r="AT5">
        <f>BDS("EVRI US Equity","SUPPLY_CHAIN_CUSTOMERS","RELATIONSHIP_AS_OF_DATE","20080616")</f>
        <v/>
      </c>
      <c r="AY5">
        <f>BDS("3542013Q US Equity","SUPPLY_CHAIN_SUPPLIERS","RELATIONSHIP_AS_OF_DATE","19980923")</f>
        <v/>
      </c>
      <c r="BD5">
        <f>BDS("3542013Q US Equity","SUPPLY_CHAIN_CUSTOMERS","RELATIONSHIP_AS_OF_DATE","19980923")</f>
        <v/>
      </c>
      <c r="BI5">
        <f>BDS("MNKTQ US Equity","SUPPLY_CHAIN_SUPPLIERS","RELATIONSHIP_AS_OF_DATE","20171102")</f>
        <v/>
      </c>
      <c r="BN5">
        <f>BDS("MNKTQ US Equity","SUPPLY_CHAIN_CUSTOMERS","RELATIONSHIP_AS_OF_DATE","20171102")</f>
        <v/>
      </c>
      <c r="BS5">
        <f>BDS("1919709D US Equity","SUPPLY_CHAIN_SUPPLIERS","RELATIONSHIP_AS_OF_DATE","20120511")</f>
        <v/>
      </c>
      <c r="BX5">
        <f>BDS("1919709D US Equity","SUPPLY_CHAIN_CUSTOMERS","RELATIONSHIP_AS_OF_DATE","20120511")</f>
        <v/>
      </c>
      <c r="CC5">
        <f>BDS("CMHDA US Equity","SUPPLY_CHAIN_SUPPLIERS","RELATIONSHIP_AS_OF_DATE","19980604")</f>
        <v/>
      </c>
      <c r="CH5">
        <f>BDS("CMHDA US Equity","SUPPLY_CHAIN_CUSTOMERS","RELATIONSHIP_AS_OF_DATE","19980604")</f>
        <v/>
      </c>
      <c r="CM5">
        <f>BDS("LGND US Equity","SUPPLY_CHAIN_SUPPLIERS","RELATIONSHIP_AS_OF_DATE","20080924")</f>
        <v/>
      </c>
      <c r="CR5">
        <f>BDS("LGND US Equity","SUPPLY_CHAIN_CUSTOMERS","RELATIONSHIP_AS_OF_DATE","20080924")</f>
        <v/>
      </c>
      <c r="CW5">
        <f>BDS("STMH US Equity","SUPPLY_CHAIN_SUPPLIERS","RELATIONSHIP_AS_OF_DATE","20201006")</f>
        <v/>
      </c>
      <c r="DB5">
        <f>BDS("STMH US Equity","SUPPLY_CHAIN_CUSTOMERS","RELATIONSHIP_AS_OF_DATE","20201006")</f>
        <v/>
      </c>
      <c r="DG5">
        <f>BDS("FCBC US Equity","SUPPLY_CHAIN_SUPPLIERS","RELATIONSHIP_AS_OF_DATE","20080731")</f>
        <v/>
      </c>
      <c r="DL5">
        <f>BDS("FCBC US Equity","SUPPLY_CHAIN_CUSTOMERS","RELATIONSHIP_AS_OF_DATE","20080731")</f>
        <v/>
      </c>
      <c r="DQ5">
        <f>BDS("BAC US Equity","SUPPLY_CHAIN_SUPPLIERS","RELATIONSHIP_AS_OF_DATE","19960215")</f>
        <v/>
      </c>
      <c r="DV5">
        <f>BDS("BAC US Equity","SUPPLY_CHAIN_CUSTOMERS","RELATIONSHIP_AS_OF_DATE","19960215")</f>
        <v/>
      </c>
      <c r="EA5">
        <f>BDS("FFSX US Equity","SUPPLY_CHAIN_SUPPLIERS","RELATIONSHIP_AS_OF_DATE","19980818")</f>
        <v/>
      </c>
      <c r="EF5">
        <f>BDS("FFSX US Equity","SUPPLY_CHAIN_CUSTOMERS","RELATIONSHIP_AS_OF_DATE","19980818")</f>
        <v/>
      </c>
      <c r="EK5">
        <f>BDS("2071296D US Equity","SUPPLY_CHAIN_SUPPLIERS","RELATIONSHIP_AS_OF_DATE","20090827")</f>
        <v/>
      </c>
      <c r="EP5">
        <f>BDS("2071296D US Equity","SUPPLY_CHAIN_CUSTOMERS","RELATIONSHIP_AS_OF_DATE","20090827")</f>
        <v/>
      </c>
      <c r="EU5">
        <f>BDS("LFGRQ US Equity","SUPPLY_CHAIN_SUPPLIERS","RELATIONSHIP_AS_OF_DATE","20030425")</f>
        <v/>
      </c>
      <c r="EZ5">
        <f>BDS("LFGRQ US Equity","SUPPLY_CHAIN_CUSTOMERS","RELATIONSHIP_AS_OF_DATE","20030425")</f>
        <v/>
      </c>
      <c r="FE5">
        <f>BDS("BBT US Equity","SUPPLY_CHAIN_SUPPLIERS","RELATIONSHIP_AS_OF_DATE","20111025")</f>
        <v/>
      </c>
      <c r="FJ5">
        <f>BDS("BBT US Equity","SUPPLY_CHAIN_CUSTOMERS","RELATIONSHIP_AS_OF_DATE","20111025")</f>
        <v/>
      </c>
      <c r="FO5">
        <f>BDS("2636831Q US Equity","SUPPLY_CHAIN_SUPPLIERS","RELATIONSHIP_AS_OF_DATE","19991104")</f>
        <v/>
      </c>
      <c r="FT5">
        <f>BDS("2636831Q US Equity","SUPPLY_CHAIN_CUSTOMERS","RELATIONSHIP_AS_OF_DATE","19991104")</f>
        <v/>
      </c>
      <c r="FY5">
        <f>BDS("724309Q US Equity","SUPPLY_CHAIN_SUPPLIERS","RELATIONSHIP_AS_OF_DATE","20011114")</f>
        <v/>
      </c>
      <c r="GD5">
        <f>BDS("724309Q US Equity","SUPPLY_CHAIN_CUSTOMERS","RELATIONSHIP_AS_OF_DATE","20011114")</f>
        <v/>
      </c>
      <c r="GI5">
        <f>BDS("LUCK US Equity","SUPPLY_CHAIN_SUPPLIERS","RELATIONSHIP_AS_OF_DATE","20210528")</f>
        <v/>
      </c>
      <c r="GN5">
        <f>BDS("LUCK US Equity","SUPPLY_CHAIN_CUSTOMERS","RELATIONSHIP_AS_OF_DATE","20210528")</f>
        <v/>
      </c>
      <c r="GS5">
        <f>BDS("ATBA AV Equity","SUPPLY_CHAIN_SUPPLIERS","RELATIONSHIP_AS_OF_DATE","20110518")</f>
        <v/>
      </c>
      <c r="GX5">
        <f>BDS("ATBA AV Equity","SUPPLY_CHAIN_CUSTOMERS","RELATIONSHIP_AS_OF_DATE","20110518")</f>
        <v/>
      </c>
      <c r="HC5">
        <f>BDS("PRK US Equity","SUPPLY_CHAIN_SUPPLIERS","RELATIONSHIP_AS_OF_DATE","20180913")</f>
        <v/>
      </c>
      <c r="HH5">
        <f>BDS("PRK US Equity","SUPPLY_CHAIN_CUSTOMERS","RELATIONSHIP_AS_OF_DATE","20180913")</f>
        <v/>
      </c>
      <c r="HM5">
        <f>BDS("OPAY US Equity","SUPPLY_CHAIN_SUPPLIERS","RELATIONSHIP_AS_OF_DATE","20020531")</f>
        <v/>
      </c>
      <c r="HR5">
        <f>BDS("OPAY US Equity","SUPPLY_CHAIN_CUSTOMERS","RELATIONSHIP_AS_OF_DATE","20020531")</f>
        <v/>
      </c>
      <c r="HW5">
        <f>BDS("SSB US Equity","SUPPLY_CHAIN_SUPPLIERS","RELATIONSHIP_AS_OF_DATE","20111220")</f>
        <v/>
      </c>
      <c r="IB5">
        <f>BDS("SSB US Equity","SUPPLY_CHAIN_CUSTOMERS","RELATIONSHIP_AS_OF_DATE","20111220")</f>
        <v/>
      </c>
      <c r="IG5">
        <f>BDS("CLKS US Equity","SUPPLY_CHAIN_SUPPLIERS","RELATIONSHIP_AS_OF_DATE","20031021")</f>
        <v/>
      </c>
      <c r="IL5">
        <f>BDS("CLKS US Equity","SUPPLY_CHAIN_CUSTOMERS","RELATIONSHIP_AS_OF_DATE","20031021")</f>
        <v/>
      </c>
      <c r="IQ5">
        <f>BDS("SBN US Equity","SUPPLY_CHAIN_SUPPLIERS","RELATIONSHIP_AS_OF_DATE","20060803")</f>
        <v/>
      </c>
      <c r="IV5">
        <f>BDS("SBN US Equity","SUPPLY_CHAIN_CUSTOMERS","RELATIONSHIP_AS_OF_DATE","20060803")</f>
        <v/>
      </c>
      <c r="JA5">
        <f>BDS("RPTP US Equity","SUPPLY_CHAIN_SUPPLIERS","RELATIONSHIP_AS_OF_DATE","20090728")</f>
        <v/>
      </c>
      <c r="JF5">
        <f>BDS("RPTP US Equity","SUPPLY_CHAIN_CUSTOMERS","RELATIONSHIP_AS_OF_DATE","20090728")</f>
        <v/>
      </c>
      <c r="JK5">
        <f>BDS("ANIP US Equity","SUPPLY_CHAIN_SUPPLIERS","RELATIONSHIP_AS_OF_DATE","20090630")</f>
        <v/>
      </c>
      <c r="JP5">
        <f>BDS("ANIP US Equity","SUPPLY_CHAIN_CUSTOMERS","RELATIONSHIP_AS_OF_DATE","20090630")</f>
        <v/>
      </c>
      <c r="JU5">
        <f>BDS("BHC CN Equity","SUPPLY_CHAIN_SUPPLIERS","RELATIONSHIP_AS_OF_DATE","20150713")</f>
        <v/>
      </c>
      <c r="JZ5">
        <f>BDS("BHC CN Equity","SUPPLY_CHAIN_CUSTOMERS","RELATIONSHIP_AS_OF_DATE","20150713")</f>
        <v/>
      </c>
      <c r="KE5">
        <f>BDS("PREM US Equity","SUPPLY_CHAIN_SUPPLIERS","RELATIONSHIP_AS_OF_DATE","20060113")</f>
        <v/>
      </c>
      <c r="KJ5">
        <f>BDS("PREM US Equity","SUPPLY_CHAIN_CUSTOMERS","RELATIONSHIP_AS_OF_DATE","20060113")</f>
        <v/>
      </c>
      <c r="KO5">
        <f>BDS("FCCO US Equity","SUPPLY_CHAIN_SUPPLIERS","RELATIONSHIP_AS_OF_DATE","20170412")</f>
        <v/>
      </c>
      <c r="KT5">
        <f>BDS("FCCO US Equity","SUPPLY_CHAIN_CUSTOMERS","RELATIONSHIP_AS_OF_DATE","20170412")</f>
        <v/>
      </c>
      <c r="KY5">
        <f>BDS("BNCL US Equity","SUPPLY_CHAIN_SUPPLIERS","RELATIONSHIP_AS_OF_DATE","20111205")</f>
        <v/>
      </c>
      <c r="LD5">
        <f>BDS("BNCL US Equity","SUPPLY_CHAIN_CUSTOMERS","RELATIONSHIP_AS_OF_DATE","20111205")</f>
        <v/>
      </c>
      <c r="LI5">
        <f>BDS("CVBF US Equity","SUPPLY_CHAIN_SUPPLIERS","RELATIONSHIP_AS_OF_DATE","20041021")</f>
        <v/>
      </c>
      <c r="LN5">
        <f>BDS("CVBF US Equity","SUPPLY_CHAIN_CUSTOMERS","RELATIONSHIP_AS_OF_DATE","20041021")</f>
        <v/>
      </c>
      <c r="LS5">
        <f>BDS("215254Q US Equity","SUPPLY_CHAIN_SUPPLIERS","RELATIONSHIP_AS_OF_DATE","20010118")</f>
        <v/>
      </c>
      <c r="LX5">
        <f>BDS("215254Q US Equity","SUPPLY_CHAIN_CUSTOMERS","RELATIONSHIP_AS_OF_DATE","20010118")</f>
        <v/>
      </c>
      <c r="MC5">
        <f>BDS("KODK US Equity","SUPPLY_CHAIN_SUPPLIERS","RELATIONSHIP_AS_OF_DATE","20011115")</f>
        <v/>
      </c>
      <c r="MH5">
        <f>BDS("KODK US Equity","SUPPLY_CHAIN_CUSTOMERS","RELATIONSHIP_AS_OF_DATE","20011115")</f>
        <v/>
      </c>
      <c r="MM5">
        <f>BDS("COBZ US Equity","SUPPLY_CHAIN_SUPPLIERS","RELATIONSHIP_AS_OF_DATE","20001024")</f>
        <v/>
      </c>
      <c r="MR5">
        <f>BDS("COBZ US Equity","SUPPLY_CHAIN_CUSTOMERS","RELATIONSHIP_AS_OF_DATE","20001024")</f>
        <v/>
      </c>
      <c r="MW5">
        <f>BDS("1619175D US Equity","SUPPLY_CHAIN_SUPPLIERS","RELATIONSHIP_AS_OF_DATE","20000829")</f>
        <v/>
      </c>
      <c r="NB5">
        <f>BDS("1619175D US Equity","SUPPLY_CHAIN_CUSTOMERS","RELATIONSHIP_AS_OF_DATE","20000829")</f>
        <v/>
      </c>
      <c r="NG5">
        <f>BDS("MSI US Equity","SUPPLY_CHAIN_SUPPLIERS","RELATIONSHIP_AS_OF_DATE","20030113")</f>
        <v/>
      </c>
      <c r="NL5">
        <f>BDS("MSI US Equity","SUPPLY_CHAIN_CUSTOMERS","RELATIONSHIP_AS_OF_DATE","20030113")</f>
        <v/>
      </c>
      <c r="NQ5">
        <f>BDS("YDKN US Equity","SUPPLY_CHAIN_SUPPLIERS","RELATIONSHIP_AS_OF_DATE","20020123")</f>
        <v/>
      </c>
      <c r="NV5">
        <f>BDS("YDKN US Equity","SUPPLY_CHAIN_CUSTOMERS","RELATIONSHIP_AS_OF_DATE","20020123")</f>
        <v/>
      </c>
      <c r="OA5">
        <f>BDS("CVBF US Equity","SUPPLY_CHAIN_SUPPLIERS","RELATIONSHIP_AS_OF_DATE","20160922")</f>
        <v/>
      </c>
      <c r="OF5">
        <f>BDS("CVBF US Equity","SUPPLY_CHAIN_CUSTOMERS","RELATIONSHIP_AS_OF_DATE","20160922")</f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4481</t>
        </is>
      </c>
      <c r="K1" s="1" t="inlineStr">
        <is>
          <t>Deal 4482</t>
        </is>
      </c>
      <c r="U1" s="1" t="inlineStr">
        <is>
          <t>Deal 4483</t>
        </is>
      </c>
      <c r="AE1" s="1" t="inlineStr">
        <is>
          <t>Deal 4484</t>
        </is>
      </c>
      <c r="AO1" s="1" t="inlineStr">
        <is>
          <t>Deal 4485</t>
        </is>
      </c>
      <c r="AY1" s="1" t="inlineStr">
        <is>
          <t>Deal 4486</t>
        </is>
      </c>
      <c r="BI1" s="1" t="inlineStr">
        <is>
          <t>Deal 4487</t>
        </is>
      </c>
      <c r="BS1" s="1" t="inlineStr">
        <is>
          <t>Deal 4488</t>
        </is>
      </c>
      <c r="CC1" s="1" t="inlineStr">
        <is>
          <t>Deal 4489</t>
        </is>
      </c>
      <c r="CM1" s="1" t="inlineStr">
        <is>
          <t>Deal 4490</t>
        </is>
      </c>
      <c r="CW1" s="1" t="inlineStr">
        <is>
          <t>Deal 4491</t>
        </is>
      </c>
      <c r="DG1" s="1" t="inlineStr">
        <is>
          <t>Deal 4492</t>
        </is>
      </c>
      <c r="DQ1" s="1" t="inlineStr">
        <is>
          <t>Deal 4493</t>
        </is>
      </c>
      <c r="EA1" s="1" t="inlineStr">
        <is>
          <t>Deal 4494</t>
        </is>
      </c>
      <c r="EK1" s="1" t="inlineStr">
        <is>
          <t>Deal 4495</t>
        </is>
      </c>
      <c r="EU1" s="1" t="inlineStr">
        <is>
          <t>Deal 4496</t>
        </is>
      </c>
      <c r="FE1" s="1" t="inlineStr">
        <is>
          <t>Deal 4497</t>
        </is>
      </c>
      <c r="FO1" s="1" t="inlineStr">
        <is>
          <t>Deal 4498</t>
        </is>
      </c>
      <c r="FY1" s="1" t="inlineStr">
        <is>
          <t>Deal 4499</t>
        </is>
      </c>
      <c r="GI1" s="1" t="inlineStr">
        <is>
          <t>Deal 4500</t>
        </is>
      </c>
      <c r="GS1" s="1" t="inlineStr">
        <is>
          <t>Deal 4501</t>
        </is>
      </c>
      <c r="HC1" s="1" t="inlineStr">
        <is>
          <t>Deal 4502</t>
        </is>
      </c>
      <c r="HM1" s="1" t="inlineStr">
        <is>
          <t>Deal 4503</t>
        </is>
      </c>
      <c r="HW1" s="1" t="inlineStr">
        <is>
          <t>Deal 4504</t>
        </is>
      </c>
      <c r="IG1" s="1" t="inlineStr">
        <is>
          <t>Deal 4505</t>
        </is>
      </c>
      <c r="IQ1" s="1" t="inlineStr">
        <is>
          <t>Deal 4506</t>
        </is>
      </c>
      <c r="JA1" s="1" t="inlineStr">
        <is>
          <t>Deal 4507</t>
        </is>
      </c>
      <c r="JK1" s="1" t="inlineStr">
        <is>
          <t>Deal 4508</t>
        </is>
      </c>
      <c r="JU1" s="1" t="inlineStr">
        <is>
          <t>Deal 4509</t>
        </is>
      </c>
      <c r="KE1" s="1" t="inlineStr">
        <is>
          <t>Deal 4510</t>
        </is>
      </c>
      <c r="KO1" s="1" t="inlineStr">
        <is>
          <t>Deal 4511</t>
        </is>
      </c>
      <c r="KY1" s="1" t="inlineStr">
        <is>
          <t>Deal 4512</t>
        </is>
      </c>
      <c r="LI1" s="1" t="inlineStr">
        <is>
          <t>Deal 4513</t>
        </is>
      </c>
      <c r="LS1" s="1" t="inlineStr">
        <is>
          <t>Deal 4514</t>
        </is>
      </c>
      <c r="MC1" s="1" t="inlineStr">
        <is>
          <t>Deal 4515</t>
        </is>
      </c>
      <c r="MM1" s="1" t="inlineStr">
        <is>
          <t>Deal 4516</t>
        </is>
      </c>
      <c r="MW1" s="1" t="inlineStr">
        <is>
          <t>Deal 4517</t>
        </is>
      </c>
      <c r="NG1" s="1" t="inlineStr">
        <is>
          <t>Deal 4518</t>
        </is>
      </c>
      <c r="NQ1" s="1" t="inlineStr">
        <is>
          <t>Deal 4519</t>
        </is>
      </c>
      <c r="OA1" s="1" t="inlineStr">
        <is>
          <t>Deal 4520</t>
        </is>
      </c>
    </row>
    <row r="2">
      <c r="A2" s="2" t="inlineStr">
        <is>
          <t>FCLF US Equity</t>
        </is>
      </c>
      <c r="K2" s="2" t="inlineStr">
        <is>
          <t>CMTV US Equity</t>
        </is>
      </c>
      <c r="U2" s="2" t="inlineStr">
        <is>
          <t>HBK US Equity</t>
        </is>
      </c>
      <c r="AE2" s="2" t="inlineStr">
        <is>
          <t>8144537Q US Equity</t>
        </is>
      </c>
      <c r="AO2" s="2" t="inlineStr">
        <is>
          <t>1436513D US Equity</t>
        </is>
      </c>
      <c r="AY2" s="2" t="inlineStr">
        <is>
          <t>HU US Equity</t>
        </is>
      </c>
      <c r="BI2" s="2" t="inlineStr">
        <is>
          <t>HBCP US Equity</t>
        </is>
      </c>
      <c r="BS2" s="2" t="inlineStr">
        <is>
          <t>IXYS US Equity</t>
        </is>
      </c>
      <c r="CC2" s="2" t="inlineStr">
        <is>
          <t>GE US Equity</t>
        </is>
      </c>
      <c r="CM2" s="2" t="inlineStr">
        <is>
          <t>BNCN US Equity</t>
        </is>
      </c>
      <c r="CW2" s="2" t="inlineStr">
        <is>
          <t>MSCC US Equity</t>
        </is>
      </c>
      <c r="DG2" s="2" t="inlineStr">
        <is>
          <t>SFNC US Equity</t>
        </is>
      </c>
      <c r="DQ2" s="2" t="inlineStr">
        <is>
          <t>LHX US Equity</t>
        </is>
      </c>
      <c r="EA2" s="2" t="inlineStr">
        <is>
          <t>VIZY US Equity</t>
        </is>
      </c>
      <c r="EK2" s="2" t="inlineStr">
        <is>
          <t>BCAL US Equity</t>
        </is>
      </c>
      <c r="EU2" s="2" t="inlineStr">
        <is>
          <t>CHCO US Equity</t>
        </is>
      </c>
      <c r="FE2" s="2" t="inlineStr">
        <is>
          <t>NEBS US Equity</t>
        </is>
      </c>
      <c r="FO2" s="2" t="inlineStr">
        <is>
          <t>HTBK US Equity</t>
        </is>
      </c>
      <c r="FY2" s="2" t="inlineStr">
        <is>
          <t>0897262D US Equity</t>
        </is>
      </c>
      <c r="GI2" s="2" t="inlineStr">
        <is>
          <t>VFC US Equity</t>
        </is>
      </c>
      <c r="GS2" s="2" t="inlineStr">
        <is>
          <t>STTX US Equity</t>
        </is>
      </c>
      <c r="HC2" s="2" t="inlineStr">
        <is>
          <t>AGN US Equity</t>
        </is>
      </c>
      <c r="HM2" s="2" t="inlineStr">
        <is>
          <t>2966Q US Equity</t>
        </is>
      </c>
      <c r="HW2" s="2" t="inlineStr">
        <is>
          <t>MFSF US Equity</t>
        </is>
      </c>
      <c r="IG2" s="2" t="inlineStr">
        <is>
          <t>1413542D US Equity</t>
        </is>
      </c>
      <c r="IQ2" s="2" t="inlineStr">
        <is>
          <t>SYY US Equity</t>
        </is>
      </c>
      <c r="JA2" s="2" t="inlineStr">
        <is>
          <t>QCOM US Equity</t>
        </is>
      </c>
      <c r="JK2" s="2" t="inlineStr">
        <is>
          <t>0977894D US Equity</t>
        </is>
      </c>
      <c r="JU2" s="2" t="inlineStr">
        <is>
          <t>696119Q US Equity</t>
        </is>
      </c>
      <c r="KE2" s="2" t="inlineStr">
        <is>
          <t>AMZGQ US Equity</t>
        </is>
      </c>
      <c r="KO2" s="2" t="inlineStr">
        <is>
          <t>BRK/A US Equity</t>
        </is>
      </c>
      <c r="KY2" s="2" t="inlineStr">
        <is>
          <t>TMD US Equity</t>
        </is>
      </c>
      <c r="LI2" s="2" t="inlineStr">
        <is>
          <t>CWBC US Equity</t>
        </is>
      </c>
      <c r="LS2" s="2" t="inlineStr">
        <is>
          <t>IVIL US Equity</t>
        </is>
      </c>
      <c r="MC2" s="2" t="inlineStr">
        <is>
          <t>DVINQ US Equity</t>
        </is>
      </c>
      <c r="MM2" s="2" t="inlineStr">
        <is>
          <t>SMBC US Equity</t>
        </is>
      </c>
      <c r="MW2" s="2" t="inlineStr">
        <is>
          <t>IHRC US Equity</t>
        </is>
      </c>
      <c r="NG2" s="2" t="inlineStr">
        <is>
          <t>BZBC US Equity</t>
        </is>
      </c>
      <c r="NQ2" s="2" t="inlineStr">
        <is>
          <t>MCBF US Equity</t>
        </is>
      </c>
      <c r="OA2" s="2" t="inlineStr">
        <is>
          <t>TGEN US Equity</t>
        </is>
      </c>
    </row>
    <row r="3">
      <c r="A3" t="inlineStr">
        <is>
          <t>Ann: 2006-02-03</t>
        </is>
      </c>
      <c r="K3" t="inlineStr">
        <is>
          <t>Ann: 2007-08-01</t>
        </is>
      </c>
      <c r="U3" t="inlineStr">
        <is>
          <t>Ann: 2015-10-13</t>
        </is>
      </c>
      <c r="AE3" t="inlineStr">
        <is>
          <t>Ann: 2002-11-25</t>
        </is>
      </c>
      <c r="AO3" t="inlineStr">
        <is>
          <t>Ann: 2011-03-03</t>
        </is>
      </c>
      <c r="AY3" t="inlineStr">
        <is>
          <t>Ann: 1998-03-03</t>
        </is>
      </c>
      <c r="BI3" t="inlineStr">
        <is>
          <t>Ann: 2011-03-30</t>
        </is>
      </c>
      <c r="BS3" t="inlineStr">
        <is>
          <t>Ann: 2009-12-07</t>
        </is>
      </c>
      <c r="CC3" t="inlineStr">
        <is>
          <t>Ann: 2001-07-19</t>
        </is>
      </c>
      <c r="CM3" t="inlineStr">
        <is>
          <t>Ann: 2013-12-18</t>
        </is>
      </c>
      <c r="CW3" t="inlineStr">
        <is>
          <t>Ann: 2011-04-06</t>
        </is>
      </c>
      <c r="DG3" t="inlineStr">
        <is>
          <t>Ann: 1999-03-23</t>
        </is>
      </c>
      <c r="DQ3" t="inlineStr">
        <is>
          <t>Ann: 2001-04-03</t>
        </is>
      </c>
      <c r="EA3" t="inlineStr">
        <is>
          <t>Ann: 1996-10-02</t>
        </is>
      </c>
      <c r="EK3" t="inlineStr">
        <is>
          <t>Ann: 2019-10-21</t>
        </is>
      </c>
      <c r="EU3" t="inlineStr">
        <is>
          <t>Ann: 2012-08-02</t>
        </is>
      </c>
      <c r="FE3" t="inlineStr">
        <is>
          <t>Ann: 2006-11-21</t>
        </is>
      </c>
      <c r="FO3" t="inlineStr">
        <is>
          <t>Ann: 2017-12-20</t>
        </is>
      </c>
      <c r="FY3" t="inlineStr">
        <is>
          <t>Ann: 2000-07-26</t>
        </is>
      </c>
      <c r="GI3" t="inlineStr">
        <is>
          <t>Ann: 2000-04-07</t>
        </is>
      </c>
      <c r="GS3" t="inlineStr">
        <is>
          <t>Ann: 2014-05-07</t>
        </is>
      </c>
      <c r="HC3" t="inlineStr">
        <is>
          <t>Ann: 2017-12-12</t>
        </is>
      </c>
      <c r="HM3" t="inlineStr">
        <is>
          <t>Ann: 1998-10-29</t>
        </is>
      </c>
      <c r="HW3" t="inlineStr">
        <is>
          <t>Ann: 2000-06-08</t>
        </is>
      </c>
      <c r="IG3" t="inlineStr">
        <is>
          <t>Ann: 1999-08-06</t>
        </is>
      </c>
      <c r="IQ3" t="inlineStr">
        <is>
          <t>Ann: 1999-02-17</t>
        </is>
      </c>
      <c r="JA3" t="inlineStr">
        <is>
          <t>Ann: 2015-08-06</t>
        </is>
      </c>
      <c r="JK3" t="inlineStr">
        <is>
          <t>Ann: 2009-05-13</t>
        </is>
      </c>
      <c r="JU3" t="inlineStr">
        <is>
          <t>Ann: 2000-01-31</t>
        </is>
      </c>
      <c r="KE3" t="inlineStr">
        <is>
          <t>Ann: 2011-02-23</t>
        </is>
      </c>
      <c r="KO3" t="inlineStr">
        <is>
          <t>Ann: 2001-08-22</t>
        </is>
      </c>
      <c r="KY3" t="inlineStr">
        <is>
          <t>Ann: 2000-01-31</t>
        </is>
      </c>
      <c r="LI3" t="inlineStr">
        <is>
          <t>Ann: 2017-04-27</t>
        </is>
      </c>
      <c r="LS3" t="inlineStr">
        <is>
          <t>Ann: 2001-02-05</t>
        </is>
      </c>
      <c r="MC3" t="inlineStr">
        <is>
          <t>Ann: 2001-05-24</t>
        </is>
      </c>
      <c r="MM3" t="inlineStr">
        <is>
          <t>Ann: 2020-01-17</t>
        </is>
      </c>
      <c r="MW3" t="inlineStr">
        <is>
          <t>Ann: 2000-01-04</t>
        </is>
      </c>
      <c r="NG3" t="inlineStr">
        <is>
          <t>Ann: 2001-08-15</t>
        </is>
      </c>
      <c r="NQ3" t="inlineStr">
        <is>
          <t>Ann: 2003-09-02</t>
        </is>
      </c>
      <c r="OA3" t="inlineStr">
        <is>
          <t>Ann: 2016-11-02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BDS("FCLF US Equity","SUPPLY_CHAIN_SUPPLIERS","RELATIONSHIP_AS_OF_DATE","20060203")</f>
        <v/>
      </c>
      <c r="F5">
        <f>BDS("FCLF US Equity","SUPPLY_CHAIN_CUSTOMERS","RELATIONSHIP_AS_OF_DATE","20060203")</f>
        <v/>
      </c>
      <c r="K5">
        <f>BDS("CMTV US Equity","SUPPLY_CHAIN_SUPPLIERS","RELATIONSHIP_AS_OF_DATE","20070801")</f>
        <v/>
      </c>
      <c r="P5">
        <f>BDS("CMTV US Equity","SUPPLY_CHAIN_CUSTOMERS","RELATIONSHIP_AS_OF_DATE","20070801")</f>
        <v/>
      </c>
      <c r="U5">
        <f>BDS("HBK US Equity","SUPPLY_CHAIN_SUPPLIERS","RELATIONSHIP_AS_OF_DATE","20151013")</f>
        <v/>
      </c>
      <c r="Z5">
        <f>BDS("HBK US Equity","SUPPLY_CHAIN_CUSTOMERS","RELATIONSHIP_AS_OF_DATE","20151013")</f>
        <v/>
      </c>
      <c r="AE5">
        <f>BDS("8144537Q US Equity","SUPPLY_CHAIN_SUPPLIERS","RELATIONSHIP_AS_OF_DATE","20021125")</f>
        <v/>
      </c>
      <c r="AJ5">
        <f>BDS("8144537Q US Equity","SUPPLY_CHAIN_CUSTOMERS","RELATIONSHIP_AS_OF_DATE","20021125")</f>
        <v/>
      </c>
      <c r="AO5">
        <f>BDS("1436513D US Equity","SUPPLY_CHAIN_SUPPLIERS","RELATIONSHIP_AS_OF_DATE","20110303")</f>
        <v/>
      </c>
      <c r="AT5">
        <f>BDS("1436513D US Equity","SUPPLY_CHAIN_CUSTOMERS","RELATIONSHIP_AS_OF_DATE","20110303")</f>
        <v/>
      </c>
      <c r="AY5">
        <f>BDS("HU US Equity","SUPPLY_CHAIN_SUPPLIERS","RELATIONSHIP_AS_OF_DATE","19980303")</f>
        <v/>
      </c>
      <c r="BD5">
        <f>BDS("HU US Equity","SUPPLY_CHAIN_CUSTOMERS","RELATIONSHIP_AS_OF_DATE","19980303")</f>
        <v/>
      </c>
      <c r="BI5">
        <f>BDS("HBCP US Equity","SUPPLY_CHAIN_SUPPLIERS","RELATIONSHIP_AS_OF_DATE","20110330")</f>
        <v/>
      </c>
      <c r="BN5">
        <f>BDS("HBCP US Equity","SUPPLY_CHAIN_CUSTOMERS","RELATIONSHIP_AS_OF_DATE","20110330")</f>
        <v/>
      </c>
      <c r="BS5">
        <f>BDS("IXYS US Equity","SUPPLY_CHAIN_SUPPLIERS","RELATIONSHIP_AS_OF_DATE","20091207")</f>
        <v/>
      </c>
      <c r="BX5">
        <f>BDS("IXYS US Equity","SUPPLY_CHAIN_CUSTOMERS","RELATIONSHIP_AS_OF_DATE","20091207")</f>
        <v/>
      </c>
      <c r="CC5">
        <f>BDS("GE US Equity","SUPPLY_CHAIN_SUPPLIERS","RELATIONSHIP_AS_OF_DATE","20010719")</f>
        <v/>
      </c>
      <c r="CH5">
        <f>BDS("GE US Equity","SUPPLY_CHAIN_CUSTOMERS","RELATIONSHIP_AS_OF_DATE","20010719")</f>
        <v/>
      </c>
      <c r="CM5">
        <f>BDS("BNCN US Equity","SUPPLY_CHAIN_SUPPLIERS","RELATIONSHIP_AS_OF_DATE","20131218")</f>
        <v/>
      </c>
      <c r="CR5">
        <f>BDS("BNCN US Equity","SUPPLY_CHAIN_CUSTOMERS","RELATIONSHIP_AS_OF_DATE","20131218")</f>
        <v/>
      </c>
      <c r="CW5">
        <f>BDS("MSCC US Equity","SUPPLY_CHAIN_SUPPLIERS","RELATIONSHIP_AS_OF_DATE","20110406")</f>
        <v/>
      </c>
      <c r="DB5">
        <f>BDS("MSCC US Equity","SUPPLY_CHAIN_CUSTOMERS","RELATIONSHIP_AS_OF_DATE","20110406")</f>
        <v/>
      </c>
      <c r="DG5">
        <f>BDS("SFNC US Equity","SUPPLY_CHAIN_SUPPLIERS","RELATIONSHIP_AS_OF_DATE","19990323")</f>
        <v/>
      </c>
      <c r="DL5">
        <f>BDS("SFNC US Equity","SUPPLY_CHAIN_CUSTOMERS","RELATIONSHIP_AS_OF_DATE","19990323")</f>
        <v/>
      </c>
      <c r="DQ5">
        <f>BDS("LHX US Equity","SUPPLY_CHAIN_SUPPLIERS","RELATIONSHIP_AS_OF_DATE","20010403")</f>
        <v/>
      </c>
      <c r="DV5">
        <f>BDS("LHX US Equity","SUPPLY_CHAIN_CUSTOMERS","RELATIONSHIP_AS_OF_DATE","20010403")</f>
        <v/>
      </c>
      <c r="EA5">
        <f>BDS("VIZY US Equity","SUPPLY_CHAIN_SUPPLIERS","RELATIONSHIP_AS_OF_DATE","19961002")</f>
        <v/>
      </c>
      <c r="EF5">
        <f>BDS("VIZY US Equity","SUPPLY_CHAIN_CUSTOMERS","RELATIONSHIP_AS_OF_DATE","19961002")</f>
        <v/>
      </c>
      <c r="EK5">
        <f>BDS("BCAL US Equity","SUPPLY_CHAIN_SUPPLIERS","RELATIONSHIP_AS_OF_DATE","20191021")</f>
        <v/>
      </c>
      <c r="EP5">
        <f>BDS("BCAL US Equity","SUPPLY_CHAIN_CUSTOMERS","RELATIONSHIP_AS_OF_DATE","20191021")</f>
        <v/>
      </c>
      <c r="EU5">
        <f>BDS("CHCO US Equity","SUPPLY_CHAIN_SUPPLIERS","RELATIONSHIP_AS_OF_DATE","20120802")</f>
        <v/>
      </c>
      <c r="EZ5">
        <f>BDS("CHCO US Equity","SUPPLY_CHAIN_CUSTOMERS","RELATIONSHIP_AS_OF_DATE","20120802")</f>
        <v/>
      </c>
      <c r="FE5">
        <f>BDS("NEBS US Equity","SUPPLY_CHAIN_SUPPLIERS","RELATIONSHIP_AS_OF_DATE","20061121")</f>
        <v/>
      </c>
      <c r="FJ5">
        <f>BDS("NEBS US Equity","SUPPLY_CHAIN_CUSTOMERS","RELATIONSHIP_AS_OF_DATE","20061121")</f>
        <v/>
      </c>
      <c r="FO5">
        <f>BDS("HTBK US Equity","SUPPLY_CHAIN_SUPPLIERS","RELATIONSHIP_AS_OF_DATE","20171220")</f>
        <v/>
      </c>
      <c r="FT5">
        <f>BDS("HTBK US Equity","SUPPLY_CHAIN_CUSTOMERS","RELATIONSHIP_AS_OF_DATE","20171220")</f>
        <v/>
      </c>
      <c r="FY5">
        <f>BDS("0897262D US Equity","SUPPLY_CHAIN_SUPPLIERS","RELATIONSHIP_AS_OF_DATE","20000726")</f>
        <v/>
      </c>
      <c r="GD5">
        <f>BDS("0897262D US Equity","SUPPLY_CHAIN_CUSTOMERS","RELATIONSHIP_AS_OF_DATE","20000726")</f>
        <v/>
      </c>
      <c r="GI5">
        <f>BDS("VFC US Equity","SUPPLY_CHAIN_SUPPLIERS","RELATIONSHIP_AS_OF_DATE","20000407")</f>
        <v/>
      </c>
      <c r="GN5">
        <f>BDS("VFC US Equity","SUPPLY_CHAIN_CUSTOMERS","RELATIONSHIP_AS_OF_DATE","20000407")</f>
        <v/>
      </c>
      <c r="GS5">
        <f>BDS("STTX US Equity","SUPPLY_CHAIN_SUPPLIERS","RELATIONSHIP_AS_OF_DATE","20140507")</f>
        <v/>
      </c>
      <c r="GX5">
        <f>BDS("STTX US Equity","SUPPLY_CHAIN_CUSTOMERS","RELATIONSHIP_AS_OF_DATE","20140507")</f>
        <v/>
      </c>
      <c r="HC5">
        <f>BDS("AGN US Equity","SUPPLY_CHAIN_SUPPLIERS","RELATIONSHIP_AS_OF_DATE","20171212")</f>
        <v/>
      </c>
      <c r="HH5">
        <f>BDS("AGN US Equity","SUPPLY_CHAIN_CUSTOMERS","RELATIONSHIP_AS_OF_DATE","20171212")</f>
        <v/>
      </c>
      <c r="HM5">
        <f>BDS("2966Q US Equity","SUPPLY_CHAIN_SUPPLIERS","RELATIONSHIP_AS_OF_DATE","19981029")</f>
        <v/>
      </c>
      <c r="HR5">
        <f>BDS("2966Q US Equity","SUPPLY_CHAIN_CUSTOMERS","RELATIONSHIP_AS_OF_DATE","19981029")</f>
        <v/>
      </c>
      <c r="HW5">
        <f>BDS("MFSF US Equity","SUPPLY_CHAIN_SUPPLIERS","RELATIONSHIP_AS_OF_DATE","20000608")</f>
        <v/>
      </c>
      <c r="IB5">
        <f>BDS("MFSF US Equity","SUPPLY_CHAIN_CUSTOMERS","RELATIONSHIP_AS_OF_DATE","20000608")</f>
        <v/>
      </c>
      <c r="IG5">
        <f>BDS("1413542D US Equity","SUPPLY_CHAIN_SUPPLIERS","RELATIONSHIP_AS_OF_DATE","19990806")</f>
        <v/>
      </c>
      <c r="IL5">
        <f>BDS("1413542D US Equity","SUPPLY_CHAIN_CUSTOMERS","RELATIONSHIP_AS_OF_DATE","19990806")</f>
        <v/>
      </c>
      <c r="IQ5">
        <f>BDS("SYY US Equity","SUPPLY_CHAIN_SUPPLIERS","RELATIONSHIP_AS_OF_DATE","19990217")</f>
        <v/>
      </c>
      <c r="IV5">
        <f>BDS("SYY US Equity","SUPPLY_CHAIN_CUSTOMERS","RELATIONSHIP_AS_OF_DATE","19990217")</f>
        <v/>
      </c>
      <c r="JA5">
        <f>BDS("QCOM US Equity","SUPPLY_CHAIN_SUPPLIERS","RELATIONSHIP_AS_OF_DATE","20150806")</f>
        <v/>
      </c>
      <c r="JF5">
        <f>BDS("QCOM US Equity","SUPPLY_CHAIN_CUSTOMERS","RELATIONSHIP_AS_OF_DATE","20150806")</f>
        <v/>
      </c>
      <c r="JK5">
        <f>BDS("0977894D US Equity","SUPPLY_CHAIN_SUPPLIERS","RELATIONSHIP_AS_OF_DATE","20090513")</f>
        <v/>
      </c>
      <c r="JP5">
        <f>BDS("0977894D US Equity","SUPPLY_CHAIN_CUSTOMERS","RELATIONSHIP_AS_OF_DATE","20090513")</f>
        <v/>
      </c>
      <c r="JU5">
        <f>BDS("696119Q US Equity","SUPPLY_CHAIN_SUPPLIERS","RELATIONSHIP_AS_OF_DATE","20000131")</f>
        <v/>
      </c>
      <c r="JZ5">
        <f>BDS("696119Q US Equity","SUPPLY_CHAIN_CUSTOMERS","RELATIONSHIP_AS_OF_DATE","20000131")</f>
        <v/>
      </c>
      <c r="KE5">
        <f>BDS("AMZGQ US Equity","SUPPLY_CHAIN_SUPPLIERS","RELATIONSHIP_AS_OF_DATE","20110223")</f>
        <v/>
      </c>
      <c r="KJ5">
        <f>BDS("AMZGQ US Equity","SUPPLY_CHAIN_CUSTOMERS","RELATIONSHIP_AS_OF_DATE","20110223")</f>
        <v/>
      </c>
      <c r="KO5">
        <f>BDS("BRK/A US Equity","SUPPLY_CHAIN_SUPPLIERS","RELATIONSHIP_AS_OF_DATE","20010822")</f>
        <v/>
      </c>
      <c r="KT5">
        <f>BDS("BRK/A US Equity","SUPPLY_CHAIN_CUSTOMERS","RELATIONSHIP_AS_OF_DATE","20010822")</f>
        <v/>
      </c>
      <c r="KY5">
        <f>BDS("TMD US Equity","SUPPLY_CHAIN_SUPPLIERS","RELATIONSHIP_AS_OF_DATE","20000131")</f>
        <v/>
      </c>
      <c r="LD5">
        <f>BDS("TMD US Equity","SUPPLY_CHAIN_CUSTOMERS","RELATIONSHIP_AS_OF_DATE","20000131")</f>
        <v/>
      </c>
      <c r="LI5">
        <f>BDS("CWBC US Equity","SUPPLY_CHAIN_SUPPLIERS","RELATIONSHIP_AS_OF_DATE","20170427")</f>
        <v/>
      </c>
      <c r="LN5">
        <f>BDS("CWBC US Equity","SUPPLY_CHAIN_CUSTOMERS","RELATIONSHIP_AS_OF_DATE","20170427")</f>
        <v/>
      </c>
      <c r="LS5">
        <f>BDS("IVIL US Equity","SUPPLY_CHAIN_SUPPLIERS","RELATIONSHIP_AS_OF_DATE","20010205")</f>
        <v/>
      </c>
      <c r="LX5">
        <f>BDS("IVIL US Equity","SUPPLY_CHAIN_CUSTOMERS","RELATIONSHIP_AS_OF_DATE","20010205")</f>
        <v/>
      </c>
      <c r="MC5">
        <f>BDS("DVINQ US Equity","SUPPLY_CHAIN_SUPPLIERS","RELATIONSHIP_AS_OF_DATE","20010524")</f>
        <v/>
      </c>
      <c r="MH5">
        <f>BDS("DVINQ US Equity","SUPPLY_CHAIN_CUSTOMERS","RELATIONSHIP_AS_OF_DATE","20010524")</f>
        <v/>
      </c>
      <c r="MM5">
        <f>BDS("SMBC US Equity","SUPPLY_CHAIN_SUPPLIERS","RELATIONSHIP_AS_OF_DATE","20200117")</f>
        <v/>
      </c>
      <c r="MR5">
        <f>BDS("SMBC US Equity","SUPPLY_CHAIN_CUSTOMERS","RELATIONSHIP_AS_OF_DATE","20200117")</f>
        <v/>
      </c>
      <c r="MW5">
        <f>BDS("IHRC US Equity","SUPPLY_CHAIN_SUPPLIERS","RELATIONSHIP_AS_OF_DATE","20000104")</f>
        <v/>
      </c>
      <c r="NB5">
        <f>BDS("IHRC US Equity","SUPPLY_CHAIN_CUSTOMERS","RELATIONSHIP_AS_OF_DATE","20000104")</f>
        <v/>
      </c>
      <c r="NG5">
        <f>BDS("BZBC US Equity","SUPPLY_CHAIN_SUPPLIERS","RELATIONSHIP_AS_OF_DATE","20010815")</f>
        <v/>
      </c>
      <c r="NL5">
        <f>BDS("BZBC US Equity","SUPPLY_CHAIN_CUSTOMERS","RELATIONSHIP_AS_OF_DATE","20010815")</f>
        <v/>
      </c>
      <c r="NQ5">
        <f>BDS("MCBF US Equity","SUPPLY_CHAIN_SUPPLIERS","RELATIONSHIP_AS_OF_DATE","20030902")</f>
        <v/>
      </c>
      <c r="NV5">
        <f>BDS("MCBF US Equity","SUPPLY_CHAIN_CUSTOMERS","RELATIONSHIP_AS_OF_DATE","20030902")</f>
        <v/>
      </c>
      <c r="OA5">
        <f>BDS("TGEN US Equity","SUPPLY_CHAIN_SUPPLIERS","RELATIONSHIP_AS_OF_DATE","20161102")</f>
        <v/>
      </c>
      <c r="OF5">
        <f>BDS("TGEN US Equity","SUPPLY_CHAIN_CUSTOMERS","RELATIONSHIP_AS_OF_DATE","20161102")</f>
        <v/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4521</t>
        </is>
      </c>
      <c r="K1" s="1" t="inlineStr">
        <is>
          <t>Deal 4522</t>
        </is>
      </c>
      <c r="U1" s="1" t="inlineStr">
        <is>
          <t>Deal 4523</t>
        </is>
      </c>
      <c r="AE1" s="1" t="inlineStr">
        <is>
          <t>Deal 4524</t>
        </is>
      </c>
      <c r="AO1" s="1" t="inlineStr">
        <is>
          <t>Deal 4525</t>
        </is>
      </c>
      <c r="AY1" s="1" t="inlineStr">
        <is>
          <t>Deal 4526</t>
        </is>
      </c>
      <c r="BI1" s="1" t="inlineStr">
        <is>
          <t>Deal 4527</t>
        </is>
      </c>
      <c r="BS1" s="1" t="inlineStr">
        <is>
          <t>Deal 4528</t>
        </is>
      </c>
      <c r="CC1" s="1" t="inlineStr">
        <is>
          <t>Deal 4529</t>
        </is>
      </c>
      <c r="CM1" s="1" t="inlineStr">
        <is>
          <t>Deal 4530</t>
        </is>
      </c>
      <c r="CW1" s="1" t="inlineStr">
        <is>
          <t>Deal 4531</t>
        </is>
      </c>
      <c r="DG1" s="1" t="inlineStr">
        <is>
          <t>Deal 4532</t>
        </is>
      </c>
      <c r="DQ1" s="1" t="inlineStr">
        <is>
          <t>Deal 4533</t>
        </is>
      </c>
      <c r="EA1" s="1" t="inlineStr">
        <is>
          <t>Deal 4534</t>
        </is>
      </c>
      <c r="EK1" s="1" t="inlineStr">
        <is>
          <t>Deal 4535</t>
        </is>
      </c>
      <c r="EU1" s="1" t="inlineStr">
        <is>
          <t>Deal 4536</t>
        </is>
      </c>
      <c r="FE1" s="1" t="inlineStr">
        <is>
          <t>Deal 4537</t>
        </is>
      </c>
      <c r="FO1" s="1" t="inlineStr">
        <is>
          <t>Deal 4538</t>
        </is>
      </c>
      <c r="FY1" s="1" t="inlineStr">
        <is>
          <t>Deal 4539</t>
        </is>
      </c>
      <c r="GI1" s="1" t="inlineStr">
        <is>
          <t>Deal 4540</t>
        </is>
      </c>
      <c r="GS1" s="1" t="inlineStr">
        <is>
          <t>Deal 4541</t>
        </is>
      </c>
      <c r="HC1" s="1" t="inlineStr">
        <is>
          <t>Deal 4542</t>
        </is>
      </c>
      <c r="HM1" s="1" t="inlineStr">
        <is>
          <t>Deal 4543</t>
        </is>
      </c>
      <c r="HW1" s="1" t="inlineStr">
        <is>
          <t>Deal 4544</t>
        </is>
      </c>
      <c r="IG1" s="1" t="inlineStr">
        <is>
          <t>Deal 4545</t>
        </is>
      </c>
      <c r="IQ1" s="1" t="inlineStr">
        <is>
          <t>Deal 4546</t>
        </is>
      </c>
      <c r="JA1" s="1" t="inlineStr">
        <is>
          <t>Deal 4547</t>
        </is>
      </c>
      <c r="JK1" s="1" t="inlineStr">
        <is>
          <t>Deal 4548</t>
        </is>
      </c>
      <c r="JU1" s="1" t="inlineStr">
        <is>
          <t>Deal 4549</t>
        </is>
      </c>
      <c r="KE1" s="1" t="inlineStr">
        <is>
          <t>Deal 4550</t>
        </is>
      </c>
      <c r="KO1" s="1" t="inlineStr">
        <is>
          <t>Deal 4551</t>
        </is>
      </c>
      <c r="KY1" s="1" t="inlineStr">
        <is>
          <t>Deal 4552</t>
        </is>
      </c>
      <c r="LI1" s="1" t="inlineStr">
        <is>
          <t>Deal 4553</t>
        </is>
      </c>
      <c r="LS1" s="1" t="inlineStr">
        <is>
          <t>Deal 4554</t>
        </is>
      </c>
      <c r="MC1" s="1" t="inlineStr">
        <is>
          <t>Deal 4555</t>
        </is>
      </c>
      <c r="MM1" s="1" t="inlineStr">
        <is>
          <t>Deal 4556</t>
        </is>
      </c>
      <c r="MW1" s="1" t="inlineStr">
        <is>
          <t>Deal 4557</t>
        </is>
      </c>
      <c r="NG1" s="1" t="inlineStr">
        <is>
          <t>Deal 4558</t>
        </is>
      </c>
      <c r="NQ1" s="1" t="inlineStr">
        <is>
          <t>Deal 4559</t>
        </is>
      </c>
      <c r="OA1" s="1" t="inlineStr">
        <is>
          <t>Deal 4560</t>
        </is>
      </c>
    </row>
    <row r="2">
      <c r="A2" s="2" t="inlineStr">
        <is>
          <t>CNOB US Equity</t>
        </is>
      </c>
      <c r="K2" s="2" t="inlineStr">
        <is>
          <t>NWFL US Equity</t>
        </is>
      </c>
      <c r="U2" s="2" t="inlineStr">
        <is>
          <t>WCGRQ US Equity</t>
        </is>
      </c>
      <c r="AE2" s="2" t="inlineStr">
        <is>
          <t>AWBCQ US Equity</t>
        </is>
      </c>
      <c r="AO2" s="2" t="inlineStr">
        <is>
          <t>RRHI US Equity</t>
        </is>
      </c>
      <c r="AY2" s="2" t="inlineStr">
        <is>
          <t>PRWT US Equity</t>
        </is>
      </c>
      <c r="BI2" s="2" t="inlineStr">
        <is>
          <t>1838147D US Equity</t>
        </is>
      </c>
      <c r="BS2" s="2" t="inlineStr">
        <is>
          <t>CHEV US Equity</t>
        </is>
      </c>
      <c r="CC2" s="2" t="inlineStr">
        <is>
          <t>SPXC US Equity</t>
        </is>
      </c>
      <c r="CM2" s="2" t="inlineStr">
        <is>
          <t>CATM US Equity</t>
        </is>
      </c>
      <c r="CW2" s="2" t="inlineStr">
        <is>
          <t>FCBC US Equity</t>
        </is>
      </c>
      <c r="DG2" s="2" t="inlineStr">
        <is>
          <t>SASR US Equity</t>
        </is>
      </c>
      <c r="DQ2" s="2" t="inlineStr">
        <is>
          <t>SBBX US Equity</t>
        </is>
      </c>
      <c r="EA2" s="2" t="inlineStr">
        <is>
          <t>nan Equity</t>
        </is>
      </c>
      <c r="EK2" s="2" t="inlineStr">
        <is>
          <t>LNCB US Equity</t>
        </is>
      </c>
      <c r="EU2" s="2" t="inlineStr">
        <is>
          <t>STC US Equity</t>
        </is>
      </c>
      <c r="FE2" s="2" t="inlineStr">
        <is>
          <t>0948669D US Equity</t>
        </is>
      </c>
      <c r="FO2" s="2" t="inlineStr">
        <is>
          <t>WCOEQ US Equity</t>
        </is>
      </c>
      <c r="FY2" s="2" t="inlineStr">
        <is>
          <t>VRCC US Equity</t>
        </is>
      </c>
      <c r="GI2" s="2" t="inlineStr">
        <is>
          <t>623366Q US Equity</t>
        </is>
      </c>
      <c r="GS2" s="2" t="inlineStr">
        <is>
          <t>AMNB US Equity</t>
        </is>
      </c>
      <c r="HC2" s="2" t="inlineStr">
        <is>
          <t>BANC US Equity</t>
        </is>
      </c>
      <c r="HM2" s="2" t="inlineStr">
        <is>
          <t>BRK/A US Equity</t>
        </is>
      </c>
      <c r="HW2" s="2" t="inlineStr">
        <is>
          <t>967617Z US Equity</t>
        </is>
      </c>
      <c r="IG2" s="2" t="inlineStr">
        <is>
          <t>DBAI US Equity</t>
        </is>
      </c>
      <c r="IQ2" s="2" t="inlineStr">
        <is>
          <t>RILY US Equity</t>
        </is>
      </c>
      <c r="JA2" s="2" t="inlineStr">
        <is>
          <t>BKYF US Equity</t>
        </is>
      </c>
      <c r="JK2" s="2" t="inlineStr">
        <is>
          <t>FMFG US Equity</t>
        </is>
      </c>
      <c r="JU2" s="2" t="inlineStr">
        <is>
          <t>CMBC US Equity</t>
        </is>
      </c>
      <c r="KE2" s="2" t="inlineStr">
        <is>
          <t>CTED US Equity</t>
        </is>
      </c>
      <c r="KO2" s="2" t="inlineStr">
        <is>
          <t>RBI US Equity</t>
        </is>
      </c>
      <c r="KY2" s="2" t="inlineStr">
        <is>
          <t>WFBI US Equity</t>
        </is>
      </c>
      <c r="LI2" s="2" t="inlineStr">
        <is>
          <t>GE US Equity</t>
        </is>
      </c>
      <c r="LS2" s="2" t="inlineStr">
        <is>
          <t>ARTG US Equity</t>
        </is>
      </c>
      <c r="MC2" s="2" t="inlineStr">
        <is>
          <t>CALB US Equity</t>
        </is>
      </c>
      <c r="MM2" s="2" t="inlineStr">
        <is>
          <t>AMNB US Equity</t>
        </is>
      </c>
      <c r="MW2" s="2" t="inlineStr">
        <is>
          <t>AMCX US Equity</t>
        </is>
      </c>
      <c r="NG2" s="2" t="inlineStr">
        <is>
          <t>NEPF US Equity</t>
        </is>
      </c>
      <c r="NQ2" s="2" t="inlineStr">
        <is>
          <t>PSBI US Equity</t>
        </is>
      </c>
      <c r="OA2" s="2" t="inlineStr">
        <is>
          <t>EXAR US Equity</t>
        </is>
      </c>
    </row>
    <row r="3">
      <c r="A3" t="inlineStr">
        <is>
          <t>Ann: 2004-12-20</t>
        </is>
      </c>
      <c r="K3" t="inlineStr">
        <is>
          <t>Ann: 2010-12-15</t>
        </is>
      </c>
      <c r="U3" t="inlineStr">
        <is>
          <t>Ann: 2001-10-11</t>
        </is>
      </c>
      <c r="AE3" t="inlineStr">
        <is>
          <t>Ann: 2012-07-19</t>
        </is>
      </c>
      <c r="AO3" t="inlineStr">
        <is>
          <t>Ann: 2011-12-21</t>
        </is>
      </c>
      <c r="AY3" t="inlineStr">
        <is>
          <t>Ann: 2003-09-16</t>
        </is>
      </c>
      <c r="BI3" t="inlineStr">
        <is>
          <t>Ann: 1998-06-30</t>
        </is>
      </c>
      <c r="BS3" t="inlineStr">
        <is>
          <t>Ann: 2010-10-13</t>
        </is>
      </c>
      <c r="CC3" t="inlineStr">
        <is>
          <t>Ann: 2001-01-26</t>
        </is>
      </c>
      <c r="CM3" t="inlineStr">
        <is>
          <t>Ann: 2011-08-15</t>
        </is>
      </c>
      <c r="CW3" t="inlineStr">
        <is>
          <t>Ann: 2003-01-27</t>
        </is>
      </c>
      <c r="DG3" t="inlineStr">
        <is>
          <t>Ann: 2011-12-20</t>
        </is>
      </c>
      <c r="DQ3" t="inlineStr">
        <is>
          <t>Ann: 2018-06-20</t>
        </is>
      </c>
      <c r="EA3" t="inlineStr">
        <is>
          <t>Ann: 2013-09-30</t>
        </is>
      </c>
      <c r="EK3" t="inlineStr">
        <is>
          <t>Ann: 2004-03-11</t>
        </is>
      </c>
      <c r="EU3" t="inlineStr">
        <is>
          <t>Ann: 2005-07-27</t>
        </is>
      </c>
      <c r="FE3" t="inlineStr">
        <is>
          <t>Ann: 2001-02-05</t>
        </is>
      </c>
      <c r="FO3" t="inlineStr">
        <is>
          <t>Ann: 2003-07-25</t>
        </is>
      </c>
      <c r="FY3" t="inlineStr">
        <is>
          <t>Ann: 2006-10-18</t>
        </is>
      </c>
      <c r="GI3" t="inlineStr">
        <is>
          <t>Ann: 1998-04-10</t>
        </is>
      </c>
      <c r="GS3" t="inlineStr">
        <is>
          <t>Ann: 2005-10-19</t>
        </is>
      </c>
      <c r="HC3" t="inlineStr">
        <is>
          <t>Ann: 2012-08-22</t>
        </is>
      </c>
      <c r="HM3" t="inlineStr">
        <is>
          <t>Ann: 2009-06-15</t>
        </is>
      </c>
      <c r="HW3" t="inlineStr">
        <is>
          <t>Ann: 2008-09-09</t>
        </is>
      </c>
      <c r="IG3" t="inlineStr">
        <is>
          <t>Ann: 2007-05-15</t>
        </is>
      </c>
      <c r="IQ3" t="inlineStr">
        <is>
          <t>Ann: 2021-01-11</t>
        </is>
      </c>
      <c r="JA3" t="inlineStr">
        <is>
          <t>Ann: 1999-12-21</t>
        </is>
      </c>
      <c r="JK3" t="inlineStr">
        <is>
          <t>Ann: 2020-03-06</t>
        </is>
      </c>
      <c r="JU3" t="inlineStr">
        <is>
          <t>Ann: 2004-06-29</t>
        </is>
      </c>
      <c r="KE3" t="inlineStr">
        <is>
          <t>Ann: 1998-01-12</t>
        </is>
      </c>
      <c r="KO3" t="inlineStr">
        <is>
          <t>Ann: 2006-09-21</t>
        </is>
      </c>
      <c r="KY3" t="inlineStr">
        <is>
          <t>Ann: 2012-05-03</t>
        </is>
      </c>
      <c r="LI3" t="inlineStr">
        <is>
          <t>Ann: 1999-12-20</t>
        </is>
      </c>
      <c r="LS3" t="inlineStr">
        <is>
          <t>Ann: 2004-08-10</t>
        </is>
      </c>
      <c r="MC3" t="inlineStr">
        <is>
          <t>Ann: 2015-09-19</t>
        </is>
      </c>
      <c r="MM3" t="inlineStr">
        <is>
          <t>Ann: 2014-08-25</t>
        </is>
      </c>
      <c r="MW3" t="inlineStr">
        <is>
          <t>Ann: 2018-02-26</t>
        </is>
      </c>
      <c r="NG3" t="inlineStr">
        <is>
          <t>Ann: 2000-06-02</t>
        </is>
      </c>
      <c r="NQ3" t="inlineStr">
        <is>
          <t>Ann: 2000-11-02</t>
        </is>
      </c>
      <c r="OA3" t="inlineStr">
        <is>
          <t>Ann: 2009-02-23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BDS("CNOB US Equity","SUPPLY_CHAIN_SUPPLIERS","RELATIONSHIP_AS_OF_DATE","20041220")</f>
        <v/>
      </c>
      <c r="F5">
        <f>BDS("CNOB US Equity","SUPPLY_CHAIN_CUSTOMERS","RELATIONSHIP_AS_OF_DATE","20041220")</f>
        <v/>
      </c>
      <c r="K5">
        <f>BDS("NWFL US Equity","SUPPLY_CHAIN_SUPPLIERS","RELATIONSHIP_AS_OF_DATE","20101215")</f>
        <v/>
      </c>
      <c r="P5">
        <f>BDS("NWFL US Equity","SUPPLY_CHAIN_CUSTOMERS","RELATIONSHIP_AS_OF_DATE","20101215")</f>
        <v/>
      </c>
      <c r="U5">
        <f>BDS("WCGRQ US Equity","SUPPLY_CHAIN_SUPPLIERS","RELATIONSHIP_AS_OF_DATE","20011011")</f>
        <v/>
      </c>
      <c r="Z5">
        <f>BDS("WCGRQ US Equity","SUPPLY_CHAIN_CUSTOMERS","RELATIONSHIP_AS_OF_DATE","20011011")</f>
        <v/>
      </c>
      <c r="AE5">
        <f>BDS("AWBCQ US Equity","SUPPLY_CHAIN_SUPPLIERS","RELATIONSHIP_AS_OF_DATE","20120719")</f>
        <v/>
      </c>
      <c r="AJ5">
        <f>BDS("AWBCQ US Equity","SUPPLY_CHAIN_CUSTOMERS","RELATIONSHIP_AS_OF_DATE","20120719")</f>
        <v/>
      </c>
      <c r="AO5">
        <f>BDS("RRHI US Equity","SUPPLY_CHAIN_SUPPLIERS","RELATIONSHIP_AS_OF_DATE","20111221")</f>
        <v/>
      </c>
      <c r="AT5">
        <f>BDS("RRHI US Equity","SUPPLY_CHAIN_CUSTOMERS","RELATIONSHIP_AS_OF_DATE","20111221")</f>
        <v/>
      </c>
      <c r="AY5">
        <f>BDS("PRWT US Equity","SUPPLY_CHAIN_SUPPLIERS","RELATIONSHIP_AS_OF_DATE","20030916")</f>
        <v/>
      </c>
      <c r="BD5">
        <f>BDS("PRWT US Equity","SUPPLY_CHAIN_CUSTOMERS","RELATIONSHIP_AS_OF_DATE","20030916")</f>
        <v/>
      </c>
      <c r="BI5">
        <f>BDS("1838147D US Equity","SUPPLY_CHAIN_SUPPLIERS","RELATIONSHIP_AS_OF_DATE","19980630")</f>
        <v/>
      </c>
      <c r="BN5">
        <f>BDS("1838147D US Equity","SUPPLY_CHAIN_CUSTOMERS","RELATIONSHIP_AS_OF_DATE","19980630")</f>
        <v/>
      </c>
      <c r="BS5">
        <f>BDS("CHEV US Equity","SUPPLY_CHAIN_SUPPLIERS","RELATIONSHIP_AS_OF_DATE","20101013")</f>
        <v/>
      </c>
      <c r="BX5">
        <f>BDS("CHEV US Equity","SUPPLY_CHAIN_CUSTOMERS","RELATIONSHIP_AS_OF_DATE","20101013")</f>
        <v/>
      </c>
      <c r="CC5">
        <f>BDS("SPXC US Equity","SUPPLY_CHAIN_SUPPLIERS","RELATIONSHIP_AS_OF_DATE","20010126")</f>
        <v/>
      </c>
      <c r="CH5">
        <f>BDS("SPXC US Equity","SUPPLY_CHAIN_CUSTOMERS","RELATIONSHIP_AS_OF_DATE","20010126")</f>
        <v/>
      </c>
      <c r="CM5">
        <f>BDS("CATM US Equity","SUPPLY_CHAIN_SUPPLIERS","RELATIONSHIP_AS_OF_DATE","20110815")</f>
        <v/>
      </c>
      <c r="CR5">
        <f>BDS("CATM US Equity","SUPPLY_CHAIN_CUSTOMERS","RELATIONSHIP_AS_OF_DATE","20110815")</f>
        <v/>
      </c>
      <c r="CW5">
        <f>BDS("FCBC US Equity","SUPPLY_CHAIN_SUPPLIERS","RELATIONSHIP_AS_OF_DATE","20030127")</f>
        <v/>
      </c>
      <c r="DB5">
        <f>BDS("FCBC US Equity","SUPPLY_CHAIN_CUSTOMERS","RELATIONSHIP_AS_OF_DATE","20030127")</f>
        <v/>
      </c>
      <c r="DG5">
        <f>BDS("SASR US Equity","SUPPLY_CHAIN_SUPPLIERS","RELATIONSHIP_AS_OF_DATE","20111220")</f>
        <v/>
      </c>
      <c r="DL5">
        <f>BDS("SASR US Equity","SUPPLY_CHAIN_CUSTOMERS","RELATIONSHIP_AS_OF_DATE","20111220")</f>
        <v/>
      </c>
      <c r="DQ5">
        <f>BDS("SBBX US Equity","SUPPLY_CHAIN_SUPPLIERS","RELATIONSHIP_AS_OF_DATE","20180620")</f>
        <v/>
      </c>
      <c r="DV5">
        <f>BDS("SBBX US Equity","SUPPLY_CHAIN_CUSTOMERS","RELATIONSHIP_AS_OF_DATE","20180620")</f>
        <v/>
      </c>
      <c r="EA5">
        <f>BDS("nan Equity","SUPPLY_CHAIN_SUPPLIERS","RELATIONSHIP_AS_OF_DATE","20130930")</f>
        <v/>
      </c>
      <c r="EF5">
        <f>BDS("nan Equity","SUPPLY_CHAIN_CUSTOMERS","RELATIONSHIP_AS_OF_DATE","20130930")</f>
        <v/>
      </c>
      <c r="EK5">
        <f>BDS("LNCB US Equity","SUPPLY_CHAIN_SUPPLIERS","RELATIONSHIP_AS_OF_DATE","20040311")</f>
        <v/>
      </c>
      <c r="EP5">
        <f>BDS("LNCB US Equity","SUPPLY_CHAIN_CUSTOMERS","RELATIONSHIP_AS_OF_DATE","20040311")</f>
        <v/>
      </c>
      <c r="EU5">
        <f>BDS("STC US Equity","SUPPLY_CHAIN_SUPPLIERS","RELATIONSHIP_AS_OF_DATE","20050727")</f>
        <v/>
      </c>
      <c r="EZ5">
        <f>BDS("STC US Equity","SUPPLY_CHAIN_CUSTOMERS","RELATIONSHIP_AS_OF_DATE","20050727")</f>
        <v/>
      </c>
      <c r="FE5">
        <f>BDS("0948669D US Equity","SUPPLY_CHAIN_SUPPLIERS","RELATIONSHIP_AS_OF_DATE","20010205")</f>
        <v/>
      </c>
      <c r="FJ5">
        <f>BDS("0948669D US Equity","SUPPLY_CHAIN_CUSTOMERS","RELATIONSHIP_AS_OF_DATE","20010205")</f>
        <v/>
      </c>
      <c r="FO5">
        <f>BDS("WCOEQ US Equity","SUPPLY_CHAIN_SUPPLIERS","RELATIONSHIP_AS_OF_DATE","20030725")</f>
        <v/>
      </c>
      <c r="FT5">
        <f>BDS("WCOEQ US Equity","SUPPLY_CHAIN_CUSTOMERS","RELATIONSHIP_AS_OF_DATE","20030725")</f>
        <v/>
      </c>
      <c r="FY5">
        <f>BDS("VRCC US Equity","SUPPLY_CHAIN_SUPPLIERS","RELATIONSHIP_AS_OF_DATE","20061018")</f>
        <v/>
      </c>
      <c r="GD5">
        <f>BDS("VRCC US Equity","SUPPLY_CHAIN_CUSTOMERS","RELATIONSHIP_AS_OF_DATE","20061018")</f>
        <v/>
      </c>
      <c r="GI5">
        <f>BDS("623366Q US Equity","SUPPLY_CHAIN_SUPPLIERS","RELATIONSHIP_AS_OF_DATE","19980410")</f>
        <v/>
      </c>
      <c r="GN5">
        <f>BDS("623366Q US Equity","SUPPLY_CHAIN_CUSTOMERS","RELATIONSHIP_AS_OF_DATE","19980410")</f>
        <v/>
      </c>
      <c r="GS5">
        <f>BDS("AMNB US Equity","SUPPLY_CHAIN_SUPPLIERS","RELATIONSHIP_AS_OF_DATE","20051019")</f>
        <v/>
      </c>
      <c r="GX5">
        <f>BDS("AMNB US Equity","SUPPLY_CHAIN_CUSTOMERS","RELATIONSHIP_AS_OF_DATE","20051019")</f>
        <v/>
      </c>
      <c r="HC5">
        <f>BDS("BANC US Equity","SUPPLY_CHAIN_SUPPLIERS","RELATIONSHIP_AS_OF_DATE","20120822")</f>
        <v/>
      </c>
      <c r="HH5">
        <f>BDS("BANC US Equity","SUPPLY_CHAIN_CUSTOMERS","RELATIONSHIP_AS_OF_DATE","20120822")</f>
        <v/>
      </c>
      <c r="HM5">
        <f>BDS("BRK/A US Equity","SUPPLY_CHAIN_SUPPLIERS","RELATIONSHIP_AS_OF_DATE","20090615")</f>
        <v/>
      </c>
      <c r="HR5">
        <f>BDS("BRK/A US Equity","SUPPLY_CHAIN_CUSTOMERS","RELATIONSHIP_AS_OF_DATE","20090615")</f>
        <v/>
      </c>
      <c r="HW5">
        <f>BDS("967617Z US Equity","SUPPLY_CHAIN_SUPPLIERS","RELATIONSHIP_AS_OF_DATE","20080909")</f>
        <v/>
      </c>
      <c r="IB5">
        <f>BDS("967617Z US Equity","SUPPLY_CHAIN_CUSTOMERS","RELATIONSHIP_AS_OF_DATE","20080909")</f>
        <v/>
      </c>
      <c r="IG5">
        <f>BDS("DBAI US Equity","SUPPLY_CHAIN_SUPPLIERS","RELATIONSHIP_AS_OF_DATE","20070515")</f>
        <v/>
      </c>
      <c r="IL5">
        <f>BDS("DBAI US Equity","SUPPLY_CHAIN_CUSTOMERS","RELATIONSHIP_AS_OF_DATE","20070515")</f>
        <v/>
      </c>
      <c r="IQ5">
        <f>BDS("RILY US Equity","SUPPLY_CHAIN_SUPPLIERS","RELATIONSHIP_AS_OF_DATE","20210111")</f>
        <v/>
      </c>
      <c r="IV5">
        <f>BDS("RILY US Equity","SUPPLY_CHAIN_CUSTOMERS","RELATIONSHIP_AS_OF_DATE","20210111")</f>
        <v/>
      </c>
      <c r="JA5">
        <f>BDS("BKYF US Equity","SUPPLY_CHAIN_SUPPLIERS","RELATIONSHIP_AS_OF_DATE","19991221")</f>
        <v/>
      </c>
      <c r="JF5">
        <f>BDS("BKYF US Equity","SUPPLY_CHAIN_CUSTOMERS","RELATIONSHIP_AS_OF_DATE","19991221")</f>
        <v/>
      </c>
      <c r="JK5">
        <f>BDS("FMFG US Equity","SUPPLY_CHAIN_SUPPLIERS","RELATIONSHIP_AS_OF_DATE","20200306")</f>
        <v/>
      </c>
      <c r="JP5">
        <f>BDS("FMFG US Equity","SUPPLY_CHAIN_CUSTOMERS","RELATIONSHIP_AS_OF_DATE","20200306")</f>
        <v/>
      </c>
      <c r="JU5">
        <f>BDS("CMBC US Equity","SUPPLY_CHAIN_SUPPLIERS","RELATIONSHIP_AS_OF_DATE","20040629")</f>
        <v/>
      </c>
      <c r="JZ5">
        <f>BDS("CMBC US Equity","SUPPLY_CHAIN_CUSTOMERS","RELATIONSHIP_AS_OF_DATE","20040629")</f>
        <v/>
      </c>
      <c r="KE5">
        <f>BDS("CTED US Equity","SUPPLY_CHAIN_SUPPLIERS","RELATIONSHIP_AS_OF_DATE","19980112")</f>
        <v/>
      </c>
      <c r="KJ5">
        <f>BDS("CTED US Equity","SUPPLY_CHAIN_CUSTOMERS","RELATIONSHIP_AS_OF_DATE","19980112")</f>
        <v/>
      </c>
      <c r="KO5">
        <f>BDS("RBI US Equity","SUPPLY_CHAIN_SUPPLIERS","RELATIONSHIP_AS_OF_DATE","20060921")</f>
        <v/>
      </c>
      <c r="KT5">
        <f>BDS("RBI US Equity","SUPPLY_CHAIN_CUSTOMERS","RELATIONSHIP_AS_OF_DATE","20060921")</f>
        <v/>
      </c>
      <c r="KY5">
        <f>BDS("WFBI US Equity","SUPPLY_CHAIN_SUPPLIERS","RELATIONSHIP_AS_OF_DATE","20120503")</f>
        <v/>
      </c>
      <c r="LD5">
        <f>BDS("WFBI US Equity","SUPPLY_CHAIN_CUSTOMERS","RELATIONSHIP_AS_OF_DATE","20120503")</f>
        <v/>
      </c>
      <c r="LI5">
        <f>BDS("GE US Equity","SUPPLY_CHAIN_SUPPLIERS","RELATIONSHIP_AS_OF_DATE","19991220")</f>
        <v/>
      </c>
      <c r="LN5">
        <f>BDS("GE US Equity","SUPPLY_CHAIN_CUSTOMERS","RELATIONSHIP_AS_OF_DATE","19991220")</f>
        <v/>
      </c>
      <c r="LS5">
        <f>BDS("ARTG US Equity","SUPPLY_CHAIN_SUPPLIERS","RELATIONSHIP_AS_OF_DATE","20040810")</f>
        <v/>
      </c>
      <c r="LX5">
        <f>BDS("ARTG US Equity","SUPPLY_CHAIN_CUSTOMERS","RELATIONSHIP_AS_OF_DATE","20040810")</f>
        <v/>
      </c>
      <c r="MC5">
        <f>BDS("CALB US Equity","SUPPLY_CHAIN_SUPPLIERS","RELATIONSHIP_AS_OF_DATE","20150919")</f>
        <v/>
      </c>
      <c r="MH5">
        <f>BDS("CALB US Equity","SUPPLY_CHAIN_CUSTOMERS","RELATIONSHIP_AS_OF_DATE","20150919")</f>
        <v/>
      </c>
      <c r="MM5">
        <f>BDS("AMNB US Equity","SUPPLY_CHAIN_SUPPLIERS","RELATIONSHIP_AS_OF_DATE","20140825")</f>
        <v/>
      </c>
      <c r="MR5">
        <f>BDS("AMNB US Equity","SUPPLY_CHAIN_CUSTOMERS","RELATIONSHIP_AS_OF_DATE","20140825")</f>
        <v/>
      </c>
      <c r="MW5">
        <f>BDS("AMCX US Equity","SUPPLY_CHAIN_SUPPLIERS","RELATIONSHIP_AS_OF_DATE","20180226")</f>
        <v/>
      </c>
      <c r="NB5">
        <f>BDS("AMCX US Equity","SUPPLY_CHAIN_CUSTOMERS","RELATIONSHIP_AS_OF_DATE","20180226")</f>
        <v/>
      </c>
      <c r="NG5">
        <f>BDS("NEPF US Equity","SUPPLY_CHAIN_SUPPLIERS","RELATIONSHIP_AS_OF_DATE","20000602")</f>
        <v/>
      </c>
      <c r="NL5">
        <f>BDS("NEPF US Equity","SUPPLY_CHAIN_CUSTOMERS","RELATIONSHIP_AS_OF_DATE","20000602")</f>
        <v/>
      </c>
      <c r="NQ5">
        <f>BDS("PSBI US Equity","SUPPLY_CHAIN_SUPPLIERS","RELATIONSHIP_AS_OF_DATE","20001102")</f>
        <v/>
      </c>
      <c r="NV5">
        <f>BDS("PSBI US Equity","SUPPLY_CHAIN_CUSTOMERS","RELATIONSHIP_AS_OF_DATE","20001102")</f>
        <v/>
      </c>
      <c r="OA5">
        <f>BDS("EXAR US Equity","SUPPLY_CHAIN_SUPPLIERS","RELATIONSHIP_AS_OF_DATE","20090223")</f>
        <v/>
      </c>
      <c r="OF5">
        <f>BDS("EXAR US Equity","SUPPLY_CHAIN_CUSTOMERS","RELATIONSHIP_AS_OF_DATE","20090223")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4561</t>
        </is>
      </c>
      <c r="K1" s="1" t="inlineStr">
        <is>
          <t>Deal 4562</t>
        </is>
      </c>
      <c r="U1" s="1" t="inlineStr">
        <is>
          <t>Deal 4563</t>
        </is>
      </c>
      <c r="AE1" s="1" t="inlineStr">
        <is>
          <t>Deal 4564</t>
        </is>
      </c>
      <c r="AO1" s="1" t="inlineStr">
        <is>
          <t>Deal 4565</t>
        </is>
      </c>
      <c r="AY1" s="1" t="inlineStr">
        <is>
          <t>Deal 4566</t>
        </is>
      </c>
      <c r="BI1" s="1" t="inlineStr">
        <is>
          <t>Deal 4567</t>
        </is>
      </c>
      <c r="BS1" s="1" t="inlineStr">
        <is>
          <t>Deal 4568</t>
        </is>
      </c>
      <c r="CC1" s="1" t="inlineStr">
        <is>
          <t>Deal 4569</t>
        </is>
      </c>
      <c r="CM1" s="1" t="inlineStr">
        <is>
          <t>Deal 4570</t>
        </is>
      </c>
      <c r="CW1" s="1" t="inlineStr">
        <is>
          <t>Deal 4571</t>
        </is>
      </c>
      <c r="DG1" s="1" t="inlineStr">
        <is>
          <t>Deal 4572</t>
        </is>
      </c>
      <c r="DQ1" s="1" t="inlineStr">
        <is>
          <t>Deal 4573</t>
        </is>
      </c>
      <c r="EA1" s="1" t="inlineStr">
        <is>
          <t>Deal 4574</t>
        </is>
      </c>
      <c r="EK1" s="1" t="inlineStr">
        <is>
          <t>Deal 4575</t>
        </is>
      </c>
      <c r="EU1" s="1" t="inlineStr">
        <is>
          <t>Deal 4576</t>
        </is>
      </c>
      <c r="FE1" s="1" t="inlineStr">
        <is>
          <t>Deal 4577</t>
        </is>
      </c>
      <c r="FO1" s="1" t="inlineStr">
        <is>
          <t>Deal 4578</t>
        </is>
      </c>
      <c r="FY1" s="1" t="inlineStr">
        <is>
          <t>Deal 4579</t>
        </is>
      </c>
      <c r="GI1" s="1" t="inlineStr">
        <is>
          <t>Deal 4580</t>
        </is>
      </c>
      <c r="GS1" s="1" t="inlineStr">
        <is>
          <t>Deal 4581</t>
        </is>
      </c>
      <c r="HC1" s="1" t="inlineStr">
        <is>
          <t>Deal 4582</t>
        </is>
      </c>
      <c r="HM1" s="1" t="inlineStr">
        <is>
          <t>Deal 4583</t>
        </is>
      </c>
      <c r="HW1" s="1" t="inlineStr">
        <is>
          <t>Deal 4584</t>
        </is>
      </c>
      <c r="IG1" s="1" t="inlineStr">
        <is>
          <t>Deal 4585</t>
        </is>
      </c>
      <c r="IQ1" s="1" t="inlineStr">
        <is>
          <t>Deal 4586</t>
        </is>
      </c>
      <c r="JA1" s="1" t="inlineStr">
        <is>
          <t>Deal 4587</t>
        </is>
      </c>
      <c r="JK1" s="1" t="inlineStr">
        <is>
          <t>Deal 4588</t>
        </is>
      </c>
      <c r="JU1" s="1" t="inlineStr">
        <is>
          <t>Deal 4589</t>
        </is>
      </c>
      <c r="KE1" s="1" t="inlineStr">
        <is>
          <t>Deal 4590</t>
        </is>
      </c>
      <c r="KO1" s="1" t="inlineStr">
        <is>
          <t>Deal 4591</t>
        </is>
      </c>
      <c r="KY1" s="1" t="inlineStr">
        <is>
          <t>Deal 4592</t>
        </is>
      </c>
      <c r="LI1" s="1" t="inlineStr">
        <is>
          <t>Deal 4593</t>
        </is>
      </c>
      <c r="LS1" s="1" t="inlineStr">
        <is>
          <t>Deal 4594</t>
        </is>
      </c>
      <c r="MC1" s="1" t="inlineStr">
        <is>
          <t>Deal 4595</t>
        </is>
      </c>
      <c r="MM1" s="1" t="inlineStr">
        <is>
          <t>Deal 4596</t>
        </is>
      </c>
      <c r="MW1" s="1" t="inlineStr">
        <is>
          <t>Deal 4597</t>
        </is>
      </c>
      <c r="NG1" s="1" t="inlineStr">
        <is>
          <t>Deal 4598</t>
        </is>
      </c>
      <c r="NQ1" s="1" t="inlineStr">
        <is>
          <t>Deal 4599</t>
        </is>
      </c>
      <c r="OA1" s="1" t="inlineStr">
        <is>
          <t>Deal 4600</t>
        </is>
      </c>
    </row>
    <row r="2">
      <c r="A2" s="2" t="inlineStr">
        <is>
          <t>FRAF US Equity</t>
        </is>
      </c>
      <c r="K2" s="2" t="inlineStr">
        <is>
          <t>SBIB US Equity</t>
        </is>
      </c>
      <c r="U2" s="2" t="inlineStr">
        <is>
          <t>SMLE US Equity</t>
        </is>
      </c>
      <c r="AE2" s="2" t="inlineStr">
        <is>
          <t>9876552D US Equity</t>
        </is>
      </c>
      <c r="AO2" s="2" t="inlineStr">
        <is>
          <t>PII US Equity</t>
        </is>
      </c>
      <c r="AY2" s="2" t="inlineStr">
        <is>
          <t>PPBI US Equity</t>
        </is>
      </c>
      <c r="BI2" s="2" t="inlineStr">
        <is>
          <t>MFA US Equity</t>
        </is>
      </c>
      <c r="BS2" s="2" t="inlineStr">
        <is>
          <t>BLUD US Equity</t>
        </is>
      </c>
      <c r="CC2" s="2" t="inlineStr">
        <is>
          <t>COB US Equity</t>
        </is>
      </c>
      <c r="CM2" s="2" t="inlineStr">
        <is>
          <t>MRVC US Equity</t>
        </is>
      </c>
      <c r="CW2" s="2" t="inlineStr">
        <is>
          <t>TCF US Equity</t>
        </is>
      </c>
      <c r="DG2" s="2" t="inlineStr">
        <is>
          <t>UCFC US Equity</t>
        </is>
      </c>
      <c r="DQ2" s="2" t="inlineStr">
        <is>
          <t>AIV US Equity</t>
        </is>
      </c>
      <c r="EA2" s="2" t="inlineStr">
        <is>
          <t>GABC US Equity</t>
        </is>
      </c>
      <c r="EK2" s="2" t="inlineStr">
        <is>
          <t>CIVB US Equity</t>
        </is>
      </c>
      <c r="EU2" s="2" t="inlineStr">
        <is>
          <t>0838460D US Equity</t>
        </is>
      </c>
      <c r="FE2" s="2" t="inlineStr">
        <is>
          <t>DGICA US Equity</t>
        </is>
      </c>
      <c r="FO2" s="2" t="inlineStr">
        <is>
          <t>THG US Equity</t>
        </is>
      </c>
      <c r="FY2" s="2" t="inlineStr">
        <is>
          <t>NKTR US Equity</t>
        </is>
      </c>
      <c r="GI2" s="2" t="inlineStr">
        <is>
          <t>PRDO US Equity</t>
        </is>
      </c>
      <c r="GS2" s="2" t="inlineStr">
        <is>
          <t>388103Q US Equity</t>
        </is>
      </c>
      <c r="HC2" s="2" t="inlineStr">
        <is>
          <t>UBOH US Equity</t>
        </is>
      </c>
      <c r="HM2" s="2" t="inlineStr">
        <is>
          <t>CDTI US Equity</t>
        </is>
      </c>
      <c r="HW2" s="2" t="inlineStr">
        <is>
          <t>9990527D US Equity</t>
        </is>
      </c>
      <c r="IG2" s="2" t="inlineStr">
        <is>
          <t>CACI US Equity</t>
        </is>
      </c>
      <c r="IQ2" s="2" t="inlineStr">
        <is>
          <t>MTSC US Equity</t>
        </is>
      </c>
      <c r="JA2" s="2" t="inlineStr">
        <is>
          <t>ABCB US Equity</t>
        </is>
      </c>
      <c r="JK2" s="2" t="inlineStr">
        <is>
          <t>CLRO US Equity</t>
        </is>
      </c>
      <c r="JU2" s="2" t="inlineStr">
        <is>
          <t>0948669D US Equity</t>
        </is>
      </c>
      <c r="KE2" s="2" t="inlineStr">
        <is>
          <t>78651Q US Equity</t>
        </is>
      </c>
      <c r="KO2" s="2" t="inlineStr">
        <is>
          <t>SUSQ US Equity</t>
        </is>
      </c>
      <c r="KY2" s="2" t="inlineStr">
        <is>
          <t>1986522D US Equity</t>
        </is>
      </c>
      <c r="LI2" s="2" t="inlineStr">
        <is>
          <t>KTYB US Equity</t>
        </is>
      </c>
      <c r="LS2" s="2" t="inlineStr">
        <is>
          <t>NOVB US Equity</t>
        </is>
      </c>
      <c r="MC2" s="2" t="inlineStr">
        <is>
          <t>HRLY US Equity</t>
        </is>
      </c>
      <c r="MM2" s="2" t="inlineStr">
        <is>
          <t>PVLY US Equity</t>
        </is>
      </c>
      <c r="MW2" s="2" t="inlineStr">
        <is>
          <t>1927294D US Equity</t>
        </is>
      </c>
      <c r="NG2" s="2" t="inlineStr">
        <is>
          <t>3129880Q US Equity</t>
        </is>
      </c>
      <c r="NQ2" s="2" t="inlineStr">
        <is>
          <t>1850925D US Equity</t>
        </is>
      </c>
      <c r="OA2" s="2" t="inlineStr">
        <is>
          <t>COFS US Equity</t>
        </is>
      </c>
    </row>
    <row r="3">
      <c r="A3" t="inlineStr">
        <is>
          <t>Ann: 2006-01-23</t>
        </is>
      </c>
      <c r="K3" t="inlineStr">
        <is>
          <t>Ann: 1999-06-02</t>
        </is>
      </c>
      <c r="U3" t="inlineStr">
        <is>
          <t>Ann: 2000-12-22</t>
        </is>
      </c>
      <c r="AE3" t="inlineStr">
        <is>
          <t>Ann: 2010-09-14</t>
        </is>
      </c>
      <c r="AO3" t="inlineStr">
        <is>
          <t>Ann: 2018-09-06</t>
        </is>
      </c>
      <c r="AY3" t="inlineStr">
        <is>
          <t>Ann: 2013-03-06</t>
        </is>
      </c>
      <c r="BI3" t="inlineStr">
        <is>
          <t>Ann: 1998-03-02</t>
        </is>
      </c>
      <c r="BS3" t="inlineStr">
        <is>
          <t>Ann: 1998-09-21</t>
        </is>
      </c>
      <c r="CC3" t="inlineStr">
        <is>
          <t>Ann: 2005-05-10</t>
        </is>
      </c>
      <c r="CM3" t="inlineStr">
        <is>
          <t>Ann: 2001-09-13</t>
        </is>
      </c>
      <c r="CW3" t="inlineStr">
        <is>
          <t>Ann: 2014-11-03</t>
        </is>
      </c>
      <c r="DG3" t="inlineStr">
        <is>
          <t>Ann: 2001-09-06</t>
        </is>
      </c>
      <c r="DQ3" t="inlineStr">
        <is>
          <t>Ann: 2005-02-16</t>
        </is>
      </c>
      <c r="EA3" t="inlineStr">
        <is>
          <t>Ann: 2010-10-04</t>
        </is>
      </c>
      <c r="EK3" t="inlineStr">
        <is>
          <t>Ann: 2001-11-01</t>
        </is>
      </c>
      <c r="EU3" t="inlineStr">
        <is>
          <t>Ann: 2001-03-14</t>
        </is>
      </c>
      <c r="FE3" t="inlineStr">
        <is>
          <t>Ann: 2010-04-20</t>
        </is>
      </c>
      <c r="FO3" t="inlineStr">
        <is>
          <t>Ann: 2007-06-25</t>
        </is>
      </c>
      <c r="FY3" t="inlineStr">
        <is>
          <t>Ann: 2005-08-15</t>
        </is>
      </c>
      <c r="GI3" t="inlineStr">
        <is>
          <t>Ann: 1999-08-02</t>
        </is>
      </c>
      <c r="GS3" t="inlineStr">
        <is>
          <t>Ann: 1998-07-17</t>
        </is>
      </c>
      <c r="HC3" t="inlineStr">
        <is>
          <t>Ann: 2000-08-28</t>
        </is>
      </c>
      <c r="HM3" t="inlineStr">
        <is>
          <t>Ann: 2010-05-14</t>
        </is>
      </c>
      <c r="HW3" t="inlineStr">
        <is>
          <t>Ann: 1999-06-07</t>
        </is>
      </c>
      <c r="IG3" t="inlineStr">
        <is>
          <t>Ann: 2011-07-25</t>
        </is>
      </c>
      <c r="IQ3" t="inlineStr">
        <is>
          <t>Ann: 1999-03-24</t>
        </is>
      </c>
      <c r="JA3" t="inlineStr">
        <is>
          <t>Ann: 2001-02-21</t>
        </is>
      </c>
      <c r="JK3" t="inlineStr">
        <is>
          <t>Ann: 2002-01-22</t>
        </is>
      </c>
      <c r="JU3" t="inlineStr">
        <is>
          <t>Ann: 2007-11-28</t>
        </is>
      </c>
      <c r="KE3" t="inlineStr">
        <is>
          <t>Ann: 1998-08-26</t>
        </is>
      </c>
      <c r="KO3" t="inlineStr">
        <is>
          <t>Ann: 1998-04-16</t>
        </is>
      </c>
      <c r="KY3" t="inlineStr">
        <is>
          <t>Ann: 2002-09-09</t>
        </is>
      </c>
      <c r="LI3" t="inlineStr">
        <is>
          <t>Ann: 2003-07-08</t>
        </is>
      </c>
      <c r="LS3" t="inlineStr">
        <is>
          <t>Ann: 1999-10-04</t>
        </is>
      </c>
      <c r="MC3" t="inlineStr">
        <is>
          <t>Ann: 1998-08-24</t>
        </is>
      </c>
      <c r="MM3" t="inlineStr">
        <is>
          <t>Ann: 2004-10-22</t>
        </is>
      </c>
      <c r="MW3" t="inlineStr">
        <is>
          <t>Ann: 2002-08-09</t>
        </is>
      </c>
      <c r="NG3" t="inlineStr">
        <is>
          <t>Ann: 2001-02-01</t>
        </is>
      </c>
      <c r="NQ3" t="inlineStr">
        <is>
          <t>Ann: 2010-06-02</t>
        </is>
      </c>
      <c r="OA3" t="inlineStr">
        <is>
          <t>Ann: 2020-01-06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BDS("FRAF US Equity","SUPPLY_CHAIN_SUPPLIERS","RELATIONSHIP_AS_OF_DATE","20060123")</f>
        <v/>
      </c>
      <c r="F5">
        <f>BDS("FRAF US Equity","SUPPLY_CHAIN_CUSTOMERS","RELATIONSHIP_AS_OF_DATE","20060123")</f>
        <v/>
      </c>
      <c r="K5">
        <f>BDS("SBIB US Equity","SUPPLY_CHAIN_SUPPLIERS","RELATIONSHIP_AS_OF_DATE","19990602")</f>
        <v/>
      </c>
      <c r="P5">
        <f>BDS("SBIB US Equity","SUPPLY_CHAIN_CUSTOMERS","RELATIONSHIP_AS_OF_DATE","19990602")</f>
        <v/>
      </c>
      <c r="U5">
        <f>BDS("SMLE US Equity","SUPPLY_CHAIN_SUPPLIERS","RELATIONSHIP_AS_OF_DATE","20001222")</f>
        <v/>
      </c>
      <c r="Z5">
        <f>BDS("SMLE US Equity","SUPPLY_CHAIN_CUSTOMERS","RELATIONSHIP_AS_OF_DATE","20001222")</f>
        <v/>
      </c>
      <c r="AE5">
        <f>BDS("9876552D US Equity","SUPPLY_CHAIN_SUPPLIERS","RELATIONSHIP_AS_OF_DATE","20100914")</f>
        <v/>
      </c>
      <c r="AJ5">
        <f>BDS("9876552D US Equity","SUPPLY_CHAIN_CUSTOMERS","RELATIONSHIP_AS_OF_DATE","20100914")</f>
        <v/>
      </c>
      <c r="AO5">
        <f>BDS("PII US Equity","SUPPLY_CHAIN_SUPPLIERS","RELATIONSHIP_AS_OF_DATE","20180906")</f>
        <v/>
      </c>
      <c r="AT5">
        <f>BDS("PII US Equity","SUPPLY_CHAIN_CUSTOMERS","RELATIONSHIP_AS_OF_DATE","20180906")</f>
        <v/>
      </c>
      <c r="AY5">
        <f>BDS("PPBI US Equity","SUPPLY_CHAIN_SUPPLIERS","RELATIONSHIP_AS_OF_DATE","20130306")</f>
        <v/>
      </c>
      <c r="BD5">
        <f>BDS("PPBI US Equity","SUPPLY_CHAIN_CUSTOMERS","RELATIONSHIP_AS_OF_DATE","20130306")</f>
        <v/>
      </c>
      <c r="BI5">
        <f>BDS("MFA US Equity","SUPPLY_CHAIN_SUPPLIERS","RELATIONSHIP_AS_OF_DATE","19980302")</f>
        <v/>
      </c>
      <c r="BN5">
        <f>BDS("MFA US Equity","SUPPLY_CHAIN_CUSTOMERS","RELATIONSHIP_AS_OF_DATE","19980302")</f>
        <v/>
      </c>
      <c r="BS5">
        <f>BDS("BLUD US Equity","SUPPLY_CHAIN_SUPPLIERS","RELATIONSHIP_AS_OF_DATE","19980921")</f>
        <v/>
      </c>
      <c r="BX5">
        <f>BDS("BLUD US Equity","SUPPLY_CHAIN_CUSTOMERS","RELATIONSHIP_AS_OF_DATE","19980921")</f>
        <v/>
      </c>
      <c r="CC5">
        <f>BDS("COB US Equity","SUPPLY_CHAIN_SUPPLIERS","RELATIONSHIP_AS_OF_DATE","20050510")</f>
        <v/>
      </c>
      <c r="CH5">
        <f>BDS("COB US Equity","SUPPLY_CHAIN_CUSTOMERS","RELATIONSHIP_AS_OF_DATE","20050510")</f>
        <v/>
      </c>
      <c r="CM5">
        <f>BDS("MRVC US Equity","SUPPLY_CHAIN_SUPPLIERS","RELATIONSHIP_AS_OF_DATE","20010913")</f>
        <v/>
      </c>
      <c r="CR5">
        <f>BDS("MRVC US Equity","SUPPLY_CHAIN_CUSTOMERS","RELATIONSHIP_AS_OF_DATE","20010913")</f>
        <v/>
      </c>
      <c r="CW5">
        <f>BDS("TCF US Equity","SUPPLY_CHAIN_SUPPLIERS","RELATIONSHIP_AS_OF_DATE","20141103")</f>
        <v/>
      </c>
      <c r="DB5">
        <f>BDS("TCF US Equity","SUPPLY_CHAIN_CUSTOMERS","RELATIONSHIP_AS_OF_DATE","20141103")</f>
        <v/>
      </c>
      <c r="DG5">
        <f>BDS("UCFC US Equity","SUPPLY_CHAIN_SUPPLIERS","RELATIONSHIP_AS_OF_DATE","20010906")</f>
        <v/>
      </c>
      <c r="DL5">
        <f>BDS("UCFC US Equity","SUPPLY_CHAIN_CUSTOMERS","RELATIONSHIP_AS_OF_DATE","20010906")</f>
        <v/>
      </c>
      <c r="DQ5">
        <f>BDS("AIV US Equity","SUPPLY_CHAIN_SUPPLIERS","RELATIONSHIP_AS_OF_DATE","20050216")</f>
        <v/>
      </c>
      <c r="DV5">
        <f>BDS("AIV US Equity","SUPPLY_CHAIN_CUSTOMERS","RELATIONSHIP_AS_OF_DATE","20050216")</f>
        <v/>
      </c>
      <c r="EA5">
        <f>BDS("GABC US Equity","SUPPLY_CHAIN_SUPPLIERS","RELATIONSHIP_AS_OF_DATE","20101004")</f>
        <v/>
      </c>
      <c r="EF5">
        <f>BDS("GABC US Equity","SUPPLY_CHAIN_CUSTOMERS","RELATIONSHIP_AS_OF_DATE","20101004")</f>
        <v/>
      </c>
      <c r="EK5">
        <f>BDS("CIVB US Equity","SUPPLY_CHAIN_SUPPLIERS","RELATIONSHIP_AS_OF_DATE","20011101")</f>
        <v/>
      </c>
      <c r="EP5">
        <f>BDS("CIVB US Equity","SUPPLY_CHAIN_CUSTOMERS","RELATIONSHIP_AS_OF_DATE","20011101")</f>
        <v/>
      </c>
      <c r="EU5">
        <f>BDS("0838460D US Equity","SUPPLY_CHAIN_SUPPLIERS","RELATIONSHIP_AS_OF_DATE","20010314")</f>
        <v/>
      </c>
      <c r="EZ5">
        <f>BDS("0838460D US Equity","SUPPLY_CHAIN_CUSTOMERS","RELATIONSHIP_AS_OF_DATE","20010314")</f>
        <v/>
      </c>
      <c r="FE5">
        <f>BDS("DGICA US Equity","SUPPLY_CHAIN_SUPPLIERS","RELATIONSHIP_AS_OF_DATE","20100420")</f>
        <v/>
      </c>
      <c r="FJ5">
        <f>BDS("DGICA US Equity","SUPPLY_CHAIN_CUSTOMERS","RELATIONSHIP_AS_OF_DATE","20100420")</f>
        <v/>
      </c>
      <c r="FO5">
        <f>BDS("THG US Equity","SUPPLY_CHAIN_SUPPLIERS","RELATIONSHIP_AS_OF_DATE","20070625")</f>
        <v/>
      </c>
      <c r="FT5">
        <f>BDS("THG US Equity","SUPPLY_CHAIN_CUSTOMERS","RELATIONSHIP_AS_OF_DATE","20070625")</f>
        <v/>
      </c>
      <c r="FY5">
        <f>BDS("NKTR US Equity","SUPPLY_CHAIN_SUPPLIERS","RELATIONSHIP_AS_OF_DATE","20050815")</f>
        <v/>
      </c>
      <c r="GD5">
        <f>BDS("NKTR US Equity","SUPPLY_CHAIN_CUSTOMERS","RELATIONSHIP_AS_OF_DATE","20050815")</f>
        <v/>
      </c>
      <c r="GI5">
        <f>BDS("PRDO US Equity","SUPPLY_CHAIN_SUPPLIERS","RELATIONSHIP_AS_OF_DATE","19990802")</f>
        <v/>
      </c>
      <c r="GN5">
        <f>BDS("PRDO US Equity","SUPPLY_CHAIN_CUSTOMERS","RELATIONSHIP_AS_OF_DATE","19990802")</f>
        <v/>
      </c>
      <c r="GS5">
        <f>BDS("388103Q US Equity","SUPPLY_CHAIN_SUPPLIERS","RELATIONSHIP_AS_OF_DATE","19980717")</f>
        <v/>
      </c>
      <c r="GX5">
        <f>BDS("388103Q US Equity","SUPPLY_CHAIN_CUSTOMERS","RELATIONSHIP_AS_OF_DATE","19980717")</f>
        <v/>
      </c>
      <c r="HC5">
        <f>BDS("UBOH US Equity","SUPPLY_CHAIN_SUPPLIERS","RELATIONSHIP_AS_OF_DATE","20000828")</f>
        <v/>
      </c>
      <c r="HH5">
        <f>BDS("UBOH US Equity","SUPPLY_CHAIN_CUSTOMERS","RELATIONSHIP_AS_OF_DATE","20000828")</f>
        <v/>
      </c>
      <c r="HM5">
        <f>BDS("CDTI US Equity","SUPPLY_CHAIN_SUPPLIERS","RELATIONSHIP_AS_OF_DATE","20100514")</f>
        <v/>
      </c>
      <c r="HR5">
        <f>BDS("CDTI US Equity","SUPPLY_CHAIN_CUSTOMERS","RELATIONSHIP_AS_OF_DATE","20100514")</f>
        <v/>
      </c>
      <c r="HW5">
        <f>BDS("9990527D US Equity","SUPPLY_CHAIN_SUPPLIERS","RELATIONSHIP_AS_OF_DATE","19990607")</f>
        <v/>
      </c>
      <c r="IB5">
        <f>BDS("9990527D US Equity","SUPPLY_CHAIN_CUSTOMERS","RELATIONSHIP_AS_OF_DATE","19990607")</f>
        <v/>
      </c>
      <c r="IG5">
        <f>BDS("CACI US Equity","SUPPLY_CHAIN_SUPPLIERS","RELATIONSHIP_AS_OF_DATE","20110725")</f>
        <v/>
      </c>
      <c r="IL5">
        <f>BDS("CACI US Equity","SUPPLY_CHAIN_CUSTOMERS","RELATIONSHIP_AS_OF_DATE","20110725")</f>
        <v/>
      </c>
      <c r="IQ5">
        <f>BDS("MTSC US Equity","SUPPLY_CHAIN_SUPPLIERS","RELATIONSHIP_AS_OF_DATE","19990324")</f>
        <v/>
      </c>
      <c r="IV5">
        <f>BDS("MTSC US Equity","SUPPLY_CHAIN_CUSTOMERS","RELATIONSHIP_AS_OF_DATE","19990324")</f>
        <v/>
      </c>
      <c r="JA5">
        <f>BDS("ABCB US Equity","SUPPLY_CHAIN_SUPPLIERS","RELATIONSHIP_AS_OF_DATE","20010221")</f>
        <v/>
      </c>
      <c r="JF5">
        <f>BDS("ABCB US Equity","SUPPLY_CHAIN_CUSTOMERS","RELATIONSHIP_AS_OF_DATE","20010221")</f>
        <v/>
      </c>
      <c r="JK5">
        <f>BDS("CLRO US Equity","SUPPLY_CHAIN_SUPPLIERS","RELATIONSHIP_AS_OF_DATE","20020122")</f>
        <v/>
      </c>
      <c r="JP5">
        <f>BDS("CLRO US Equity","SUPPLY_CHAIN_CUSTOMERS","RELATIONSHIP_AS_OF_DATE","20020122")</f>
        <v/>
      </c>
      <c r="JU5">
        <f>BDS("0948669D US Equity","SUPPLY_CHAIN_SUPPLIERS","RELATIONSHIP_AS_OF_DATE","20071128")</f>
        <v/>
      </c>
      <c r="JZ5">
        <f>BDS("0948669D US Equity","SUPPLY_CHAIN_CUSTOMERS","RELATIONSHIP_AS_OF_DATE","20071128")</f>
        <v/>
      </c>
      <c r="KE5">
        <f>BDS("78651Q US Equity","SUPPLY_CHAIN_SUPPLIERS","RELATIONSHIP_AS_OF_DATE","19980826")</f>
        <v/>
      </c>
      <c r="KJ5">
        <f>BDS("78651Q US Equity","SUPPLY_CHAIN_CUSTOMERS","RELATIONSHIP_AS_OF_DATE","19980826")</f>
        <v/>
      </c>
      <c r="KO5">
        <f>BDS("SUSQ US Equity","SUPPLY_CHAIN_SUPPLIERS","RELATIONSHIP_AS_OF_DATE","19980416")</f>
        <v/>
      </c>
      <c r="KT5">
        <f>BDS("SUSQ US Equity","SUPPLY_CHAIN_CUSTOMERS","RELATIONSHIP_AS_OF_DATE","19980416")</f>
        <v/>
      </c>
      <c r="KY5">
        <f>BDS("1986522D US Equity","SUPPLY_CHAIN_SUPPLIERS","RELATIONSHIP_AS_OF_DATE","20020909")</f>
        <v/>
      </c>
      <c r="LD5">
        <f>BDS("1986522D US Equity","SUPPLY_CHAIN_CUSTOMERS","RELATIONSHIP_AS_OF_DATE","20020909")</f>
        <v/>
      </c>
      <c r="LI5">
        <f>BDS("KTYB US Equity","SUPPLY_CHAIN_SUPPLIERS","RELATIONSHIP_AS_OF_DATE","20030708")</f>
        <v/>
      </c>
      <c r="LN5">
        <f>BDS("KTYB US Equity","SUPPLY_CHAIN_CUSTOMERS","RELATIONSHIP_AS_OF_DATE","20030708")</f>
        <v/>
      </c>
      <c r="LS5">
        <f>BDS("NOVB US Equity","SUPPLY_CHAIN_SUPPLIERS","RELATIONSHIP_AS_OF_DATE","19991004")</f>
        <v/>
      </c>
      <c r="LX5">
        <f>BDS("NOVB US Equity","SUPPLY_CHAIN_CUSTOMERS","RELATIONSHIP_AS_OF_DATE","19991004")</f>
        <v/>
      </c>
      <c r="MC5">
        <f>BDS("HRLY US Equity","SUPPLY_CHAIN_SUPPLIERS","RELATIONSHIP_AS_OF_DATE","19980824")</f>
        <v/>
      </c>
      <c r="MH5">
        <f>BDS("HRLY US Equity","SUPPLY_CHAIN_CUSTOMERS","RELATIONSHIP_AS_OF_DATE","19980824")</f>
        <v/>
      </c>
      <c r="MM5">
        <f>BDS("PVLY US Equity","SUPPLY_CHAIN_SUPPLIERS","RELATIONSHIP_AS_OF_DATE","20041022")</f>
        <v/>
      </c>
      <c r="MR5">
        <f>BDS("PVLY US Equity","SUPPLY_CHAIN_CUSTOMERS","RELATIONSHIP_AS_OF_DATE","20041022")</f>
        <v/>
      </c>
      <c r="MW5">
        <f>BDS("1927294D US Equity","SUPPLY_CHAIN_SUPPLIERS","RELATIONSHIP_AS_OF_DATE","20020809")</f>
        <v/>
      </c>
      <c r="NB5">
        <f>BDS("1927294D US Equity","SUPPLY_CHAIN_CUSTOMERS","RELATIONSHIP_AS_OF_DATE","20020809")</f>
        <v/>
      </c>
      <c r="NG5">
        <f>BDS("3129880Q US Equity","SUPPLY_CHAIN_SUPPLIERS","RELATIONSHIP_AS_OF_DATE","20010201")</f>
        <v/>
      </c>
      <c r="NL5">
        <f>BDS("3129880Q US Equity","SUPPLY_CHAIN_CUSTOMERS","RELATIONSHIP_AS_OF_DATE","20010201")</f>
        <v/>
      </c>
      <c r="NQ5">
        <f>BDS("1850925D US Equity","SUPPLY_CHAIN_SUPPLIERS","RELATIONSHIP_AS_OF_DATE","20100602")</f>
        <v/>
      </c>
      <c r="NV5">
        <f>BDS("1850925D US Equity","SUPPLY_CHAIN_CUSTOMERS","RELATIONSHIP_AS_OF_DATE","20100602")</f>
        <v/>
      </c>
      <c r="OA5">
        <f>BDS("COFS US Equity","SUPPLY_CHAIN_SUPPLIERS","RELATIONSHIP_AS_OF_DATE","20200106")</f>
        <v/>
      </c>
      <c r="OF5">
        <f>BDS("COFS US Equity","SUPPLY_CHAIN_CUSTOMERS","RELATIONSHIP_AS_OF_DATE","20200106")</f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4601</t>
        </is>
      </c>
      <c r="K1" s="1" t="inlineStr">
        <is>
          <t>Deal 4602</t>
        </is>
      </c>
      <c r="U1" s="1" t="inlineStr">
        <is>
          <t>Deal 4603</t>
        </is>
      </c>
      <c r="AE1" s="1" t="inlineStr">
        <is>
          <t>Deal 4604</t>
        </is>
      </c>
      <c r="AO1" s="1" t="inlineStr">
        <is>
          <t>Deal 4605</t>
        </is>
      </c>
      <c r="AY1" s="1" t="inlineStr">
        <is>
          <t>Deal 4606</t>
        </is>
      </c>
      <c r="BI1" s="1" t="inlineStr">
        <is>
          <t>Deal 4607</t>
        </is>
      </c>
      <c r="BS1" s="1" t="inlineStr">
        <is>
          <t>Deal 4608</t>
        </is>
      </c>
      <c r="CC1" s="1" t="inlineStr">
        <is>
          <t>Deal 4609</t>
        </is>
      </c>
      <c r="CM1" s="1" t="inlineStr">
        <is>
          <t>Deal 4610</t>
        </is>
      </c>
      <c r="CW1" s="1" t="inlineStr">
        <is>
          <t>Deal 4611</t>
        </is>
      </c>
      <c r="DG1" s="1" t="inlineStr">
        <is>
          <t>Deal 4612</t>
        </is>
      </c>
      <c r="DQ1" s="1" t="inlineStr">
        <is>
          <t>Deal 4613</t>
        </is>
      </c>
      <c r="EA1" s="1" t="inlineStr">
        <is>
          <t>Deal 4614</t>
        </is>
      </c>
      <c r="EK1" s="1" t="inlineStr">
        <is>
          <t>Deal 4615</t>
        </is>
      </c>
      <c r="EU1" s="1" t="inlineStr">
        <is>
          <t>Deal 4616</t>
        </is>
      </c>
      <c r="FE1" s="1" t="inlineStr">
        <is>
          <t>Deal 4617</t>
        </is>
      </c>
      <c r="FO1" s="1" t="inlineStr">
        <is>
          <t>Deal 4618</t>
        </is>
      </c>
      <c r="FY1" s="1" t="inlineStr">
        <is>
          <t>Deal 4619</t>
        </is>
      </c>
      <c r="GI1" s="1" t="inlineStr">
        <is>
          <t>Deal 4620</t>
        </is>
      </c>
      <c r="GS1" s="1" t="inlineStr">
        <is>
          <t>Deal 4621</t>
        </is>
      </c>
      <c r="HC1" s="1" t="inlineStr">
        <is>
          <t>Deal 4622</t>
        </is>
      </c>
      <c r="HM1" s="1" t="inlineStr">
        <is>
          <t>Deal 4623</t>
        </is>
      </c>
      <c r="HW1" s="1" t="inlineStr">
        <is>
          <t>Deal 4624</t>
        </is>
      </c>
      <c r="IG1" s="1" t="inlineStr">
        <is>
          <t>Deal 4625</t>
        </is>
      </c>
      <c r="IQ1" s="1" t="inlineStr">
        <is>
          <t>Deal 4626</t>
        </is>
      </c>
      <c r="JA1" s="1" t="inlineStr">
        <is>
          <t>Deal 4627</t>
        </is>
      </c>
      <c r="JK1" s="1" t="inlineStr">
        <is>
          <t>Deal 4628</t>
        </is>
      </c>
      <c r="JU1" s="1" t="inlineStr">
        <is>
          <t>Deal 4629</t>
        </is>
      </c>
      <c r="KE1" s="1" t="inlineStr">
        <is>
          <t>Deal 4630</t>
        </is>
      </c>
      <c r="KO1" s="1" t="inlineStr">
        <is>
          <t>Deal 4631</t>
        </is>
      </c>
      <c r="KY1" s="1" t="inlineStr">
        <is>
          <t>Deal 4632</t>
        </is>
      </c>
      <c r="LI1" s="1" t="inlineStr">
        <is>
          <t>Deal 4633</t>
        </is>
      </c>
      <c r="LS1" s="1" t="inlineStr">
        <is>
          <t>Deal 4634</t>
        </is>
      </c>
      <c r="MC1" s="1" t="inlineStr">
        <is>
          <t>Deal 4635</t>
        </is>
      </c>
      <c r="MM1" s="1" t="inlineStr">
        <is>
          <t>Deal 4636</t>
        </is>
      </c>
      <c r="MW1" s="1" t="inlineStr">
        <is>
          <t>Deal 4637</t>
        </is>
      </c>
      <c r="NG1" s="1" t="inlineStr">
        <is>
          <t>Deal 4638</t>
        </is>
      </c>
      <c r="NQ1" s="1" t="inlineStr">
        <is>
          <t>Deal 4639</t>
        </is>
      </c>
      <c r="OA1" s="1" t="inlineStr">
        <is>
          <t>Deal 4640</t>
        </is>
      </c>
    </row>
    <row r="2">
      <c r="A2" s="2" t="inlineStr">
        <is>
          <t>RSFC US Equity</t>
        </is>
      </c>
      <c r="K2" s="2" t="inlineStr">
        <is>
          <t>FBNC US Equity</t>
        </is>
      </c>
      <c r="U2" s="2" t="inlineStr">
        <is>
          <t>CWBC US Equity</t>
        </is>
      </c>
      <c r="AE2" s="2" t="inlineStr">
        <is>
          <t>CZFS US Equity</t>
        </is>
      </c>
      <c r="AO2" s="2" t="inlineStr">
        <is>
          <t>HBOS US Equity</t>
        </is>
      </c>
      <c r="AY2" s="2" t="inlineStr">
        <is>
          <t>NCOG US Equity</t>
        </is>
      </c>
      <c r="BI2" s="2" t="inlineStr">
        <is>
          <t>NUI US Equity</t>
        </is>
      </c>
      <c r="BS2" s="2" t="inlineStr">
        <is>
          <t>WCBO US Equity</t>
        </is>
      </c>
      <c r="CC2" s="2" t="inlineStr">
        <is>
          <t>ABVV US Equity</t>
        </is>
      </c>
      <c r="CM2" s="2" t="inlineStr">
        <is>
          <t>2078185D US Equity</t>
        </is>
      </c>
      <c r="CW2" s="2" t="inlineStr">
        <is>
          <t>GNSC US Equity</t>
        </is>
      </c>
      <c r="DG2" s="2" t="inlineStr">
        <is>
          <t>MSFG US Equity</t>
        </is>
      </c>
      <c r="DQ2" s="2" t="inlineStr">
        <is>
          <t>FBNC US Equity</t>
        </is>
      </c>
      <c r="EA2" s="2" t="inlineStr">
        <is>
          <t>UBFO US Equity</t>
        </is>
      </c>
      <c r="EK2" s="2" t="inlineStr">
        <is>
          <t>JH US Equity</t>
        </is>
      </c>
      <c r="EU2" s="2" t="inlineStr">
        <is>
          <t>1495307D US Equity</t>
        </is>
      </c>
      <c r="FE2" s="2" t="inlineStr">
        <is>
          <t>CPSS US Equity</t>
        </is>
      </c>
      <c r="FO2" s="2" t="inlineStr">
        <is>
          <t>ATVI US Equity</t>
        </is>
      </c>
      <c r="FY2" s="2" t="inlineStr">
        <is>
          <t>0203524D US Equity</t>
        </is>
      </c>
      <c r="GI2" s="2" t="inlineStr">
        <is>
          <t>SFFB US Equity</t>
        </is>
      </c>
      <c r="GS2" s="2" t="inlineStr">
        <is>
          <t>PFSW US Equity</t>
        </is>
      </c>
      <c r="HC2" s="2" t="inlineStr">
        <is>
          <t>STBA US Equity</t>
        </is>
      </c>
      <c r="HM2" s="2" t="inlineStr">
        <is>
          <t>MNTG US Equity</t>
        </is>
      </c>
      <c r="HW2" s="2" t="inlineStr">
        <is>
          <t>NASB US Equity</t>
        </is>
      </c>
      <c r="IG2" s="2" t="inlineStr">
        <is>
          <t>FVCCQ US Equity</t>
        </is>
      </c>
      <c r="IQ2" s="2" t="inlineStr">
        <is>
          <t>LSBG US Equity</t>
        </is>
      </c>
      <c r="JA2" s="2" t="inlineStr">
        <is>
          <t>CMTY US Equity</t>
        </is>
      </c>
      <c r="JK2" s="2" t="inlineStr">
        <is>
          <t>AAME US Equity</t>
        </is>
      </c>
      <c r="JU2" s="2" t="inlineStr">
        <is>
          <t>MCSIQ US Equity</t>
        </is>
      </c>
      <c r="KE2" s="2" t="inlineStr">
        <is>
          <t>CHMG US Equity</t>
        </is>
      </c>
      <c r="KO2" s="2" t="inlineStr">
        <is>
          <t>WBS US Equity</t>
        </is>
      </c>
      <c r="KY2" s="2" t="inlineStr">
        <is>
          <t>FCCY US Equity</t>
        </is>
      </c>
      <c r="LI2" s="2" t="inlineStr">
        <is>
          <t>LUNA US Equity</t>
        </is>
      </c>
      <c r="LS2" s="2" t="inlineStr">
        <is>
          <t>NVTAQ US Equity</t>
        </is>
      </c>
      <c r="MC2" s="2" t="inlineStr">
        <is>
          <t>250642Q US Equity</t>
        </is>
      </c>
      <c r="MM2" s="2" t="inlineStr">
        <is>
          <t>TMO US Equity</t>
        </is>
      </c>
      <c r="MW2" s="2" t="inlineStr">
        <is>
          <t>SSB US Equity</t>
        </is>
      </c>
      <c r="NG2" s="2" t="inlineStr">
        <is>
          <t>RIBT US Equity</t>
        </is>
      </c>
      <c r="NQ2" s="2" t="inlineStr">
        <is>
          <t>HWBK US Equity</t>
        </is>
      </c>
      <c r="OA2" s="2" t="inlineStr">
        <is>
          <t>UVSP US Equity</t>
        </is>
      </c>
    </row>
    <row r="3">
      <c r="A3" t="inlineStr">
        <is>
          <t>Ann: 1998-09-14</t>
        </is>
      </c>
      <c r="K3" t="inlineStr">
        <is>
          <t>Ann: 2000-10-20</t>
        </is>
      </c>
      <c r="U3" t="inlineStr">
        <is>
          <t>Ann: 2012-12-20</t>
        </is>
      </c>
      <c r="AE3" t="inlineStr">
        <is>
          <t>Ann: 2015-06-30</t>
        </is>
      </c>
      <c r="AO3" t="inlineStr">
        <is>
          <t>Ann: 2014-04-22</t>
        </is>
      </c>
      <c r="AY3" t="inlineStr">
        <is>
          <t>Ann: 2000-10-05</t>
        </is>
      </c>
      <c r="BI3" t="inlineStr">
        <is>
          <t>Ann: 2000-06-14</t>
        </is>
      </c>
      <c r="BS3" t="inlineStr">
        <is>
          <t>Ann: 2006-02-01</t>
        </is>
      </c>
      <c r="CC3" t="inlineStr">
        <is>
          <t>Ann: 1999-10-22</t>
        </is>
      </c>
      <c r="CM3" t="inlineStr">
        <is>
          <t>Ann: 2002-08-12</t>
        </is>
      </c>
      <c r="CW3" t="inlineStr">
        <is>
          <t>Ann: 2003-12-19</t>
        </is>
      </c>
      <c r="DG3" t="inlineStr">
        <is>
          <t>Ann: 2002-11-20</t>
        </is>
      </c>
      <c r="DQ3" t="inlineStr">
        <is>
          <t>Ann: 2007-07-12</t>
        </is>
      </c>
      <c r="EA3" t="inlineStr">
        <is>
          <t>Ann: 2006-10-09</t>
        </is>
      </c>
      <c r="EK3" t="inlineStr">
        <is>
          <t>Ann: 2002-08-06</t>
        </is>
      </c>
      <c r="EU3" t="inlineStr">
        <is>
          <t>Ann: 2006-03-16</t>
        </is>
      </c>
      <c r="FE3" t="inlineStr">
        <is>
          <t>Ann: 2003-04-01</t>
        </is>
      </c>
      <c r="FO3" t="inlineStr">
        <is>
          <t>Ann: 1999-03-04</t>
        </is>
      </c>
      <c r="FY3" t="inlineStr">
        <is>
          <t>Ann: 1999-12-16</t>
        </is>
      </c>
      <c r="GI3" t="inlineStr">
        <is>
          <t>Ann: 1999-03-18</t>
        </is>
      </c>
      <c r="GS3" t="inlineStr">
        <is>
          <t>Ann: 2005-11-10</t>
        </is>
      </c>
      <c r="HC3" t="inlineStr">
        <is>
          <t>Ann: 2011-09-14</t>
        </is>
      </c>
      <c r="HM3" t="inlineStr">
        <is>
          <t>Ann: 2002-12-24</t>
        </is>
      </c>
      <c r="HW3" t="inlineStr">
        <is>
          <t>Ann: 2016-02-23</t>
        </is>
      </c>
      <c r="IG3" t="inlineStr">
        <is>
          <t>Ann: 2001-03-22</t>
        </is>
      </c>
      <c r="IQ3" t="inlineStr">
        <is>
          <t>Ann: 2006-12-15</t>
        </is>
      </c>
      <c r="JA3" t="inlineStr">
        <is>
          <t>Ann: 2006-09-06</t>
        </is>
      </c>
      <c r="JK3" t="inlineStr">
        <is>
          <t>Ann: 1999-04-22</t>
        </is>
      </c>
      <c r="JU3" t="inlineStr">
        <is>
          <t>Ann: 2001-10-05</t>
        </is>
      </c>
      <c r="KE3" t="inlineStr">
        <is>
          <t>Ann: 2010-10-18</t>
        </is>
      </c>
      <c r="KO3" t="inlineStr">
        <is>
          <t>Ann: 1998-11-04</t>
        </is>
      </c>
      <c r="KY3" t="inlineStr">
        <is>
          <t>Ann: 2013-08-15</t>
        </is>
      </c>
      <c r="LI3" t="inlineStr">
        <is>
          <t>Ann: 2015-02-02</t>
        </is>
      </c>
      <c r="LS3" t="inlineStr">
        <is>
          <t>Ann: 2017-07-31</t>
        </is>
      </c>
      <c r="MC3" t="inlineStr">
        <is>
          <t>Ann: 1999-04-27</t>
        </is>
      </c>
      <c r="MM3" t="inlineStr">
        <is>
          <t>Ann: 1999-10-20</t>
        </is>
      </c>
      <c r="MW3" t="inlineStr">
        <is>
          <t>Ann: 2005-07-22</t>
        </is>
      </c>
      <c r="NG3" t="inlineStr">
        <is>
          <t>Ann: 2005-04-04</t>
        </is>
      </c>
      <c r="NQ3" t="inlineStr">
        <is>
          <t>Ann: 1999-10-27</t>
        </is>
      </c>
      <c r="OA3" t="inlineStr">
        <is>
          <t>Ann: 2003-05-16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BDS("RSFC US Equity","SUPPLY_CHAIN_SUPPLIERS","RELATIONSHIP_AS_OF_DATE","19980914")</f>
        <v/>
      </c>
      <c r="F5">
        <f>BDS("RSFC US Equity","SUPPLY_CHAIN_CUSTOMERS","RELATIONSHIP_AS_OF_DATE","19980914")</f>
        <v/>
      </c>
      <c r="K5">
        <f>BDS("FBNC US Equity","SUPPLY_CHAIN_SUPPLIERS","RELATIONSHIP_AS_OF_DATE","20001020")</f>
        <v/>
      </c>
      <c r="P5">
        <f>BDS("FBNC US Equity","SUPPLY_CHAIN_CUSTOMERS","RELATIONSHIP_AS_OF_DATE","20001020")</f>
        <v/>
      </c>
      <c r="U5">
        <f>BDS("CWBC US Equity","SUPPLY_CHAIN_SUPPLIERS","RELATIONSHIP_AS_OF_DATE","20121220")</f>
        <v/>
      </c>
      <c r="Z5">
        <f>BDS("CWBC US Equity","SUPPLY_CHAIN_CUSTOMERS","RELATIONSHIP_AS_OF_DATE","20121220")</f>
        <v/>
      </c>
      <c r="AE5">
        <f>BDS("CZFS US Equity","SUPPLY_CHAIN_SUPPLIERS","RELATIONSHIP_AS_OF_DATE","20150630")</f>
        <v/>
      </c>
      <c r="AJ5">
        <f>BDS("CZFS US Equity","SUPPLY_CHAIN_CUSTOMERS","RELATIONSHIP_AS_OF_DATE","20150630")</f>
        <v/>
      </c>
      <c r="AO5">
        <f>BDS("HBOS US Equity","SUPPLY_CHAIN_SUPPLIERS","RELATIONSHIP_AS_OF_DATE","20140422")</f>
        <v/>
      </c>
      <c r="AT5">
        <f>BDS("HBOS US Equity","SUPPLY_CHAIN_CUSTOMERS","RELATIONSHIP_AS_OF_DATE","20140422")</f>
        <v/>
      </c>
      <c r="AY5">
        <f>BDS("NCOG US Equity","SUPPLY_CHAIN_SUPPLIERS","RELATIONSHIP_AS_OF_DATE","20001005")</f>
        <v/>
      </c>
      <c r="BD5">
        <f>BDS("NCOG US Equity","SUPPLY_CHAIN_CUSTOMERS","RELATIONSHIP_AS_OF_DATE","20001005")</f>
        <v/>
      </c>
      <c r="BI5">
        <f>BDS("NUI US Equity","SUPPLY_CHAIN_SUPPLIERS","RELATIONSHIP_AS_OF_DATE","20000614")</f>
        <v/>
      </c>
      <c r="BN5">
        <f>BDS("NUI US Equity","SUPPLY_CHAIN_CUSTOMERS","RELATIONSHIP_AS_OF_DATE","20000614")</f>
        <v/>
      </c>
      <c r="BS5">
        <f>BDS("WCBO US Equity","SUPPLY_CHAIN_SUPPLIERS","RELATIONSHIP_AS_OF_DATE","20060201")</f>
        <v/>
      </c>
      <c r="BX5">
        <f>BDS("WCBO US Equity","SUPPLY_CHAIN_CUSTOMERS","RELATIONSHIP_AS_OF_DATE","20060201")</f>
        <v/>
      </c>
      <c r="CC5">
        <f>BDS("ABVV US Equity","SUPPLY_CHAIN_SUPPLIERS","RELATIONSHIP_AS_OF_DATE","19991022")</f>
        <v/>
      </c>
      <c r="CH5">
        <f>BDS("ABVV US Equity","SUPPLY_CHAIN_CUSTOMERS","RELATIONSHIP_AS_OF_DATE","19991022")</f>
        <v/>
      </c>
      <c r="CM5">
        <f>BDS("2078185D US Equity","SUPPLY_CHAIN_SUPPLIERS","RELATIONSHIP_AS_OF_DATE","20020812")</f>
        <v/>
      </c>
      <c r="CR5">
        <f>BDS("2078185D US Equity","SUPPLY_CHAIN_CUSTOMERS","RELATIONSHIP_AS_OF_DATE","20020812")</f>
        <v/>
      </c>
      <c r="CW5">
        <f>BDS("GNSC US Equity","SUPPLY_CHAIN_SUPPLIERS","RELATIONSHIP_AS_OF_DATE","20031219")</f>
        <v/>
      </c>
      <c r="DB5">
        <f>BDS("GNSC US Equity","SUPPLY_CHAIN_CUSTOMERS","RELATIONSHIP_AS_OF_DATE","20031219")</f>
        <v/>
      </c>
      <c r="DG5">
        <f>BDS("MSFG US Equity","SUPPLY_CHAIN_SUPPLIERS","RELATIONSHIP_AS_OF_DATE","20021120")</f>
        <v/>
      </c>
      <c r="DL5">
        <f>BDS("MSFG US Equity","SUPPLY_CHAIN_CUSTOMERS","RELATIONSHIP_AS_OF_DATE","20021120")</f>
        <v/>
      </c>
      <c r="DQ5">
        <f>BDS("FBNC US Equity","SUPPLY_CHAIN_SUPPLIERS","RELATIONSHIP_AS_OF_DATE","20070712")</f>
        <v/>
      </c>
      <c r="DV5">
        <f>BDS("FBNC US Equity","SUPPLY_CHAIN_CUSTOMERS","RELATIONSHIP_AS_OF_DATE","20070712")</f>
        <v/>
      </c>
      <c r="EA5">
        <f>BDS("UBFO US Equity","SUPPLY_CHAIN_SUPPLIERS","RELATIONSHIP_AS_OF_DATE","20061009")</f>
        <v/>
      </c>
      <c r="EF5">
        <f>BDS("UBFO US Equity","SUPPLY_CHAIN_CUSTOMERS","RELATIONSHIP_AS_OF_DATE","20061009")</f>
        <v/>
      </c>
      <c r="EK5">
        <f>BDS("JH US Equity","SUPPLY_CHAIN_SUPPLIERS","RELATIONSHIP_AS_OF_DATE","20020806")</f>
        <v/>
      </c>
      <c r="EP5">
        <f>BDS("JH US Equity","SUPPLY_CHAIN_CUSTOMERS","RELATIONSHIP_AS_OF_DATE","20020806")</f>
        <v/>
      </c>
      <c r="EU5">
        <f>BDS("1495307D US Equity","SUPPLY_CHAIN_SUPPLIERS","RELATIONSHIP_AS_OF_DATE","20060316")</f>
        <v/>
      </c>
      <c r="EZ5">
        <f>BDS("1495307D US Equity","SUPPLY_CHAIN_CUSTOMERS","RELATIONSHIP_AS_OF_DATE","20060316")</f>
        <v/>
      </c>
      <c r="FE5">
        <f>BDS("CPSS US Equity","SUPPLY_CHAIN_SUPPLIERS","RELATIONSHIP_AS_OF_DATE","20030401")</f>
        <v/>
      </c>
      <c r="FJ5">
        <f>BDS("CPSS US Equity","SUPPLY_CHAIN_CUSTOMERS","RELATIONSHIP_AS_OF_DATE","20030401")</f>
        <v/>
      </c>
      <c r="FO5">
        <f>BDS("ATVI US Equity","SUPPLY_CHAIN_SUPPLIERS","RELATIONSHIP_AS_OF_DATE","19990304")</f>
        <v/>
      </c>
      <c r="FT5">
        <f>BDS("ATVI US Equity","SUPPLY_CHAIN_CUSTOMERS","RELATIONSHIP_AS_OF_DATE","19990304")</f>
        <v/>
      </c>
      <c r="FY5">
        <f>BDS("0203524D US Equity","SUPPLY_CHAIN_SUPPLIERS","RELATIONSHIP_AS_OF_DATE","19991216")</f>
        <v/>
      </c>
      <c r="GD5">
        <f>BDS("0203524D US Equity","SUPPLY_CHAIN_CUSTOMERS","RELATIONSHIP_AS_OF_DATE","19991216")</f>
        <v/>
      </c>
      <c r="GI5">
        <f>BDS("SFFB US Equity","SUPPLY_CHAIN_SUPPLIERS","RELATIONSHIP_AS_OF_DATE","19990318")</f>
        <v/>
      </c>
      <c r="GN5">
        <f>BDS("SFFB US Equity","SUPPLY_CHAIN_CUSTOMERS","RELATIONSHIP_AS_OF_DATE","19990318")</f>
        <v/>
      </c>
      <c r="GS5">
        <f>BDS("PFSW US Equity","SUPPLY_CHAIN_SUPPLIERS","RELATIONSHIP_AS_OF_DATE","20051110")</f>
        <v/>
      </c>
      <c r="GX5">
        <f>BDS("PFSW US Equity","SUPPLY_CHAIN_CUSTOMERS","RELATIONSHIP_AS_OF_DATE","20051110")</f>
        <v/>
      </c>
      <c r="HC5">
        <f>BDS("STBA US Equity","SUPPLY_CHAIN_SUPPLIERS","RELATIONSHIP_AS_OF_DATE","20110914")</f>
        <v/>
      </c>
      <c r="HH5">
        <f>BDS("STBA US Equity","SUPPLY_CHAIN_CUSTOMERS","RELATIONSHIP_AS_OF_DATE","20110914")</f>
        <v/>
      </c>
      <c r="HM5">
        <f>BDS("MNTG US Equity","SUPPLY_CHAIN_SUPPLIERS","RELATIONSHIP_AS_OF_DATE","20021224")</f>
        <v/>
      </c>
      <c r="HR5">
        <f>BDS("MNTG US Equity","SUPPLY_CHAIN_CUSTOMERS","RELATIONSHIP_AS_OF_DATE","20021224")</f>
        <v/>
      </c>
      <c r="HW5">
        <f>BDS("NASB US Equity","SUPPLY_CHAIN_SUPPLIERS","RELATIONSHIP_AS_OF_DATE","20160223")</f>
        <v/>
      </c>
      <c r="IB5">
        <f>BDS("NASB US Equity","SUPPLY_CHAIN_CUSTOMERS","RELATIONSHIP_AS_OF_DATE","20160223")</f>
        <v/>
      </c>
      <c r="IG5">
        <f>BDS("FVCCQ US Equity","SUPPLY_CHAIN_SUPPLIERS","RELATIONSHIP_AS_OF_DATE","20010322")</f>
        <v/>
      </c>
      <c r="IL5">
        <f>BDS("FVCCQ US Equity","SUPPLY_CHAIN_CUSTOMERS","RELATIONSHIP_AS_OF_DATE","20010322")</f>
        <v/>
      </c>
      <c r="IQ5">
        <f>BDS("LSBG US Equity","SUPPLY_CHAIN_SUPPLIERS","RELATIONSHIP_AS_OF_DATE","20061215")</f>
        <v/>
      </c>
      <c r="IV5">
        <f>BDS("LSBG US Equity","SUPPLY_CHAIN_CUSTOMERS","RELATIONSHIP_AS_OF_DATE","20061215")</f>
        <v/>
      </c>
      <c r="JA5">
        <f>BDS("CMTY US Equity","SUPPLY_CHAIN_SUPPLIERS","RELATIONSHIP_AS_OF_DATE","20060906")</f>
        <v/>
      </c>
      <c r="JF5">
        <f>BDS("CMTY US Equity","SUPPLY_CHAIN_CUSTOMERS","RELATIONSHIP_AS_OF_DATE","20060906")</f>
        <v/>
      </c>
      <c r="JK5">
        <f>BDS("AAME US Equity","SUPPLY_CHAIN_SUPPLIERS","RELATIONSHIP_AS_OF_DATE","19990422")</f>
        <v/>
      </c>
      <c r="JP5">
        <f>BDS("AAME US Equity","SUPPLY_CHAIN_CUSTOMERS","RELATIONSHIP_AS_OF_DATE","19990422")</f>
        <v/>
      </c>
      <c r="JU5">
        <f>BDS("MCSIQ US Equity","SUPPLY_CHAIN_SUPPLIERS","RELATIONSHIP_AS_OF_DATE","20011005")</f>
        <v/>
      </c>
      <c r="JZ5">
        <f>BDS("MCSIQ US Equity","SUPPLY_CHAIN_CUSTOMERS","RELATIONSHIP_AS_OF_DATE","20011005")</f>
        <v/>
      </c>
      <c r="KE5">
        <f>BDS("CHMG US Equity","SUPPLY_CHAIN_SUPPLIERS","RELATIONSHIP_AS_OF_DATE","20101018")</f>
        <v/>
      </c>
      <c r="KJ5">
        <f>BDS("CHMG US Equity","SUPPLY_CHAIN_CUSTOMERS","RELATIONSHIP_AS_OF_DATE","20101018")</f>
        <v/>
      </c>
      <c r="KO5">
        <f>BDS("WBS US Equity","SUPPLY_CHAIN_SUPPLIERS","RELATIONSHIP_AS_OF_DATE","19981104")</f>
        <v/>
      </c>
      <c r="KT5">
        <f>BDS("WBS US Equity","SUPPLY_CHAIN_CUSTOMERS","RELATIONSHIP_AS_OF_DATE","19981104")</f>
        <v/>
      </c>
      <c r="KY5">
        <f>BDS("FCCY US Equity","SUPPLY_CHAIN_SUPPLIERS","RELATIONSHIP_AS_OF_DATE","20130815")</f>
        <v/>
      </c>
      <c r="LD5">
        <f>BDS("FCCY US Equity","SUPPLY_CHAIN_CUSTOMERS","RELATIONSHIP_AS_OF_DATE","20130815")</f>
        <v/>
      </c>
      <c r="LI5">
        <f>BDS("LUNA US Equity","SUPPLY_CHAIN_SUPPLIERS","RELATIONSHIP_AS_OF_DATE","20150202")</f>
        <v/>
      </c>
      <c r="LN5">
        <f>BDS("LUNA US Equity","SUPPLY_CHAIN_CUSTOMERS","RELATIONSHIP_AS_OF_DATE","20150202")</f>
        <v/>
      </c>
      <c r="LS5">
        <f>BDS("NVTAQ US Equity","SUPPLY_CHAIN_SUPPLIERS","RELATIONSHIP_AS_OF_DATE","20170731")</f>
        <v/>
      </c>
      <c r="LX5">
        <f>BDS("NVTAQ US Equity","SUPPLY_CHAIN_CUSTOMERS","RELATIONSHIP_AS_OF_DATE","20170731")</f>
        <v/>
      </c>
      <c r="MC5">
        <f>BDS("250642Q US Equity","SUPPLY_CHAIN_SUPPLIERS","RELATIONSHIP_AS_OF_DATE","19990427")</f>
        <v/>
      </c>
      <c r="MH5">
        <f>BDS("250642Q US Equity","SUPPLY_CHAIN_CUSTOMERS","RELATIONSHIP_AS_OF_DATE","19990427")</f>
        <v/>
      </c>
      <c r="MM5">
        <f>BDS("TMO US Equity","SUPPLY_CHAIN_SUPPLIERS","RELATIONSHIP_AS_OF_DATE","19991020")</f>
        <v/>
      </c>
      <c r="MR5">
        <f>BDS("TMO US Equity","SUPPLY_CHAIN_CUSTOMERS","RELATIONSHIP_AS_OF_DATE","19991020")</f>
        <v/>
      </c>
      <c r="MW5">
        <f>BDS("SSB US Equity","SUPPLY_CHAIN_SUPPLIERS","RELATIONSHIP_AS_OF_DATE","20050722")</f>
        <v/>
      </c>
      <c r="NB5">
        <f>BDS("SSB US Equity","SUPPLY_CHAIN_CUSTOMERS","RELATIONSHIP_AS_OF_DATE","20050722")</f>
        <v/>
      </c>
      <c r="NG5">
        <f>BDS("RIBT US Equity","SUPPLY_CHAIN_SUPPLIERS","RELATIONSHIP_AS_OF_DATE","20050404")</f>
        <v/>
      </c>
      <c r="NL5">
        <f>BDS("RIBT US Equity","SUPPLY_CHAIN_CUSTOMERS","RELATIONSHIP_AS_OF_DATE","20050404")</f>
        <v/>
      </c>
      <c r="NQ5">
        <f>BDS("HWBK US Equity","SUPPLY_CHAIN_SUPPLIERS","RELATIONSHIP_AS_OF_DATE","19991027")</f>
        <v/>
      </c>
      <c r="NV5">
        <f>BDS("HWBK US Equity","SUPPLY_CHAIN_CUSTOMERS","RELATIONSHIP_AS_OF_DATE","19991027")</f>
        <v/>
      </c>
      <c r="OA5">
        <f>BDS("UVSP US Equity","SUPPLY_CHAIN_SUPPLIERS","RELATIONSHIP_AS_OF_DATE","20030516")</f>
        <v/>
      </c>
      <c r="OF5">
        <f>BDS("UVSP US Equity","SUPPLY_CHAIN_CUSTOMERS","RELATIONSHIP_AS_OF_DATE","20030516")</f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4641</t>
        </is>
      </c>
      <c r="K1" s="1" t="inlineStr">
        <is>
          <t>Deal 4642</t>
        </is>
      </c>
      <c r="U1" s="1" t="inlineStr">
        <is>
          <t>Deal 4643</t>
        </is>
      </c>
      <c r="AE1" s="1" t="inlineStr">
        <is>
          <t>Deal 4644</t>
        </is>
      </c>
      <c r="AO1" s="1" t="inlineStr">
        <is>
          <t>Deal 4645</t>
        </is>
      </c>
      <c r="AY1" s="1" t="inlineStr">
        <is>
          <t>Deal 4646</t>
        </is>
      </c>
      <c r="BI1" s="1" t="inlineStr">
        <is>
          <t>Deal 4647</t>
        </is>
      </c>
      <c r="BS1" s="1" t="inlineStr">
        <is>
          <t>Deal 4648</t>
        </is>
      </c>
      <c r="CC1" s="1" t="inlineStr">
        <is>
          <t>Deal 4649</t>
        </is>
      </c>
      <c r="CM1" s="1" t="inlineStr">
        <is>
          <t>Deal 4650</t>
        </is>
      </c>
      <c r="CW1" s="1" t="inlineStr">
        <is>
          <t>Deal 4651</t>
        </is>
      </c>
      <c r="DG1" s="1" t="inlineStr">
        <is>
          <t>Deal 4652</t>
        </is>
      </c>
      <c r="DQ1" s="1" t="inlineStr">
        <is>
          <t>Deal 4653</t>
        </is>
      </c>
      <c r="EA1" s="1" t="inlineStr">
        <is>
          <t>Deal 4654</t>
        </is>
      </c>
      <c r="EK1" s="1" t="inlineStr">
        <is>
          <t>Deal 4655</t>
        </is>
      </c>
      <c r="EU1" s="1" t="inlineStr">
        <is>
          <t>Deal 4656</t>
        </is>
      </c>
      <c r="FE1" s="1" t="inlineStr">
        <is>
          <t>Deal 4657</t>
        </is>
      </c>
      <c r="FO1" s="1" t="inlineStr">
        <is>
          <t>Deal 4658</t>
        </is>
      </c>
      <c r="FY1" s="1" t="inlineStr">
        <is>
          <t>Deal 4659</t>
        </is>
      </c>
      <c r="GI1" s="1" t="inlineStr">
        <is>
          <t>Deal 4660</t>
        </is>
      </c>
      <c r="GS1" s="1" t="inlineStr">
        <is>
          <t>Deal 4661</t>
        </is>
      </c>
      <c r="HC1" s="1" t="inlineStr">
        <is>
          <t>Deal 4662</t>
        </is>
      </c>
      <c r="HM1" s="1" t="inlineStr">
        <is>
          <t>Deal 4663</t>
        </is>
      </c>
      <c r="HW1" s="1" t="inlineStr">
        <is>
          <t>Deal 4664</t>
        </is>
      </c>
      <c r="IG1" s="1" t="inlineStr">
        <is>
          <t>Deal 4665</t>
        </is>
      </c>
      <c r="IQ1" s="1" t="inlineStr">
        <is>
          <t>Deal 4666</t>
        </is>
      </c>
      <c r="JA1" s="1" t="inlineStr">
        <is>
          <t>Deal 4667</t>
        </is>
      </c>
      <c r="JK1" s="1" t="inlineStr">
        <is>
          <t>Deal 4668</t>
        </is>
      </c>
      <c r="JU1" s="1" t="inlineStr">
        <is>
          <t>Deal 4669</t>
        </is>
      </c>
      <c r="KE1" s="1" t="inlineStr">
        <is>
          <t>Deal 4670</t>
        </is>
      </c>
      <c r="KO1" s="1" t="inlineStr">
        <is>
          <t>Deal 4671</t>
        </is>
      </c>
      <c r="KY1" s="1" t="inlineStr">
        <is>
          <t>Deal 4672</t>
        </is>
      </c>
      <c r="LI1" s="1" t="inlineStr">
        <is>
          <t>Deal 4673</t>
        </is>
      </c>
      <c r="LS1" s="1" t="inlineStr">
        <is>
          <t>Deal 4674</t>
        </is>
      </c>
      <c r="MC1" s="1" t="inlineStr">
        <is>
          <t>Deal 4675</t>
        </is>
      </c>
      <c r="MM1" s="1" t="inlineStr">
        <is>
          <t>Deal 4676</t>
        </is>
      </c>
      <c r="MW1" s="1" t="inlineStr">
        <is>
          <t>Deal 4677</t>
        </is>
      </c>
      <c r="NG1" s="1" t="inlineStr">
        <is>
          <t>Deal 4678</t>
        </is>
      </c>
      <c r="NQ1" s="1" t="inlineStr">
        <is>
          <t>Deal 4679</t>
        </is>
      </c>
      <c r="OA1" s="1" t="inlineStr">
        <is>
          <t>Deal 4680</t>
        </is>
      </c>
    </row>
    <row r="2">
      <c r="A2" s="2" t="inlineStr">
        <is>
          <t>IOTS US Equity</t>
        </is>
      </c>
      <c r="K2" s="2" t="inlineStr">
        <is>
          <t>SBLUQ US Equity</t>
        </is>
      </c>
      <c r="U2" s="2" t="inlineStr">
        <is>
          <t>IHWY US Equity</t>
        </is>
      </c>
      <c r="AE2" s="2" t="inlineStr">
        <is>
          <t>FBA US Equity</t>
        </is>
      </c>
      <c r="AO2" s="2" t="inlineStr">
        <is>
          <t>PBCO US Equity</t>
        </is>
      </c>
      <c r="AY2" s="2" t="inlineStr">
        <is>
          <t>TMD US Equity</t>
        </is>
      </c>
      <c r="BI2" s="2" t="inlineStr">
        <is>
          <t>WSBA US Equity</t>
        </is>
      </c>
      <c r="BS2" s="2" t="inlineStr">
        <is>
          <t>FPIC US Equity</t>
        </is>
      </c>
      <c r="CC2" s="2" t="inlineStr">
        <is>
          <t>MSBK US Equity</t>
        </is>
      </c>
      <c r="CM2" s="2" t="inlineStr">
        <is>
          <t>CEFC US Equity</t>
        </is>
      </c>
      <c r="CW2" s="2" t="inlineStr">
        <is>
          <t>IESC US Equity</t>
        </is>
      </c>
      <c r="DG2" s="2" t="inlineStr">
        <is>
          <t>MMBI US Equity</t>
        </is>
      </c>
      <c r="DQ2" s="2" t="inlineStr">
        <is>
          <t>FISV US Equity</t>
        </is>
      </c>
      <c r="EA2" s="2" t="inlineStr">
        <is>
          <t>797725Q US Equity</t>
        </is>
      </c>
      <c r="EK2" s="2" t="inlineStr">
        <is>
          <t>PB US Equity</t>
        </is>
      </c>
      <c r="EU2" s="2" t="inlineStr">
        <is>
          <t>TNB US Equity</t>
        </is>
      </c>
      <c r="FE2" s="2" t="inlineStr">
        <is>
          <t>ORCL US Equity</t>
        </is>
      </c>
      <c r="FO2" s="2" t="inlineStr">
        <is>
          <t>SMG US Equity</t>
        </is>
      </c>
      <c r="FY2" s="2" t="inlineStr">
        <is>
          <t>GELX US Equity</t>
        </is>
      </c>
      <c r="GI2" s="2" t="inlineStr">
        <is>
          <t>1255459D US Equity</t>
        </is>
      </c>
      <c r="GS2" s="2" t="inlineStr">
        <is>
          <t>ALB US Equity</t>
        </is>
      </c>
      <c r="HC2" s="2" t="inlineStr">
        <is>
          <t>BAGL US Equity</t>
        </is>
      </c>
      <c r="HM2" s="2" t="inlineStr">
        <is>
          <t>RVLT US Equity</t>
        </is>
      </c>
      <c r="HW2" s="2" t="inlineStr">
        <is>
          <t>OLBK US Equity</t>
        </is>
      </c>
      <c r="IG2" s="2" t="inlineStr">
        <is>
          <t>BRC US Equity</t>
        </is>
      </c>
      <c r="IQ2" s="2" t="inlineStr">
        <is>
          <t>CICN US Equity</t>
        </is>
      </c>
      <c r="JA2" s="2" t="inlineStr">
        <is>
          <t>VBFC US Equity</t>
        </is>
      </c>
      <c r="JK2" s="2" t="inlineStr">
        <is>
          <t>CERN US Equity</t>
        </is>
      </c>
      <c r="JU2" s="2" t="inlineStr">
        <is>
          <t>CWBC US Equity</t>
        </is>
      </c>
      <c r="KE2" s="2" t="inlineStr">
        <is>
          <t>HIND US Equity</t>
        </is>
      </c>
      <c r="KO2" s="2" t="inlineStr">
        <is>
          <t>PABK US Equity</t>
        </is>
      </c>
      <c r="KY2" s="2" t="inlineStr">
        <is>
          <t>BCML US Equity</t>
        </is>
      </c>
      <c r="LI2" s="2" t="inlineStr">
        <is>
          <t>696119Q US Equity</t>
        </is>
      </c>
      <c r="LS2" s="2" t="inlineStr">
        <is>
          <t>696119Q US Equity</t>
        </is>
      </c>
      <c r="MC2" s="2" t="inlineStr">
        <is>
          <t>1920486D US Equity</t>
        </is>
      </c>
      <c r="MM2" s="2" t="inlineStr">
        <is>
          <t>AMCS US Equity</t>
        </is>
      </c>
      <c r="MW2" s="2" t="inlineStr">
        <is>
          <t>PGEN US Equity</t>
        </is>
      </c>
      <c r="NG2" s="2" t="inlineStr">
        <is>
          <t>LCNB US Equity</t>
        </is>
      </c>
      <c r="NQ2" s="2" t="inlineStr">
        <is>
          <t>2860436Q US Equity</t>
        </is>
      </c>
      <c r="OA2" s="2" t="inlineStr">
        <is>
          <t>235982Q US Equity</t>
        </is>
      </c>
    </row>
    <row r="3">
      <c r="A3" t="inlineStr">
        <is>
          <t>Ann: 2018-06-29</t>
        </is>
      </c>
      <c r="K3" t="inlineStr">
        <is>
          <t>Ann: 2001-02-01</t>
        </is>
      </c>
      <c r="U3" t="inlineStr">
        <is>
          <t>Ann: 1999-02-24</t>
        </is>
      </c>
      <c r="AE3" t="inlineStr">
        <is>
          <t>Ann: 2000-08-25</t>
        </is>
      </c>
      <c r="AO3" t="inlineStr">
        <is>
          <t>Ann: 2020-11-05</t>
        </is>
      </c>
      <c r="AY3" t="inlineStr">
        <is>
          <t>Ann: 1998-03-31</t>
        </is>
      </c>
      <c r="BI3" t="inlineStr">
        <is>
          <t>Ann: 2003-03-13</t>
        </is>
      </c>
      <c r="BS3" t="inlineStr">
        <is>
          <t>Ann: 1998-10-07</t>
        </is>
      </c>
      <c r="CC3" t="inlineStr">
        <is>
          <t>Ann: 1998-12-30</t>
        </is>
      </c>
      <c r="CM3" t="inlineStr">
        <is>
          <t>Ann: 2016-06-16</t>
        </is>
      </c>
      <c r="CW3" t="inlineStr">
        <is>
          <t>Ann: 2013-03-13</t>
        </is>
      </c>
      <c r="DG3" t="inlineStr">
        <is>
          <t>Ann: 2002-06-03</t>
        </is>
      </c>
      <c r="DQ3" t="inlineStr">
        <is>
          <t>Ann: 2003-04-09</t>
        </is>
      </c>
      <c r="EA3" t="inlineStr">
        <is>
          <t>Ann: 1998-02-19</t>
        </is>
      </c>
      <c r="EK3" t="inlineStr">
        <is>
          <t>Ann: 2011-12-09</t>
        </is>
      </c>
      <c r="EU3" t="inlineStr">
        <is>
          <t>Ann: 1998-10-07</t>
        </is>
      </c>
      <c r="FE3" t="inlineStr">
        <is>
          <t>Ann: 1998-08-21</t>
        </is>
      </c>
      <c r="FO3" t="inlineStr">
        <is>
          <t>Ann: 2020-11-11</t>
        </is>
      </c>
      <c r="FY3" t="inlineStr">
        <is>
          <t>Ann: 1999-08-16</t>
        </is>
      </c>
      <c r="GI3" t="inlineStr">
        <is>
          <t>Ann: 2005-05-16</t>
        </is>
      </c>
      <c r="GS3" t="inlineStr">
        <is>
          <t>Ann: 2008-06-06</t>
        </is>
      </c>
      <c r="HC3" t="inlineStr">
        <is>
          <t>Ann: 1998-07-29</t>
        </is>
      </c>
      <c r="HM3" t="inlineStr">
        <is>
          <t>Ann: 2012-12-03</t>
        </is>
      </c>
      <c r="HW3" t="inlineStr">
        <is>
          <t>Ann: 2010-09-02</t>
        </is>
      </c>
      <c r="IG3" t="inlineStr">
        <is>
          <t>Ann: 2000-02-11</t>
        </is>
      </c>
      <c r="IQ3" t="inlineStr">
        <is>
          <t>Ann: 1998-11-24</t>
        </is>
      </c>
      <c r="JA3" t="inlineStr">
        <is>
          <t>Ann: 2008-03-10</t>
        </is>
      </c>
      <c r="JK3" t="inlineStr">
        <is>
          <t>Ann: 2001-09-06</t>
        </is>
      </c>
      <c r="JU3" t="inlineStr">
        <is>
          <t>Ann: 2008-05-28</t>
        </is>
      </c>
      <c r="KE3" t="inlineStr">
        <is>
          <t>Ann: 2021-01-20</t>
        </is>
      </c>
      <c r="KO3" t="inlineStr">
        <is>
          <t>Ann: 1999-06-04</t>
        </is>
      </c>
      <c r="KY3" t="inlineStr">
        <is>
          <t>Ann: 2018-12-10</t>
        </is>
      </c>
      <c r="LI3" t="inlineStr">
        <is>
          <t>Ann: 2000-01-31</t>
        </is>
      </c>
      <c r="LS3" t="inlineStr">
        <is>
          <t>Ann: 1999-05-21</t>
        </is>
      </c>
      <c r="MC3" t="inlineStr">
        <is>
          <t>Ann: 2005-05-10</t>
        </is>
      </c>
      <c r="MM3" t="inlineStr">
        <is>
          <t>Ann: 2009-02-23</t>
        </is>
      </c>
      <c r="MW3" t="inlineStr">
        <is>
          <t>Ann: 2013-12-20</t>
        </is>
      </c>
      <c r="NG3" t="inlineStr">
        <is>
          <t>Ann: 2012-10-09</t>
        </is>
      </c>
      <c r="NQ3" t="inlineStr">
        <is>
          <t>Ann: 2003-04-02</t>
        </is>
      </c>
      <c r="OA3" t="inlineStr">
        <is>
          <t>Ann: 1998-08-17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BDS("IOTS US Equity","SUPPLY_CHAIN_SUPPLIERS","RELATIONSHIP_AS_OF_DATE","20180629")</f>
        <v/>
      </c>
      <c r="F5">
        <f>BDS("IOTS US Equity","SUPPLY_CHAIN_CUSTOMERS","RELATIONSHIP_AS_OF_DATE","20180629")</f>
        <v/>
      </c>
      <c r="K5">
        <f>BDS("SBLUQ US Equity","SUPPLY_CHAIN_SUPPLIERS","RELATIONSHIP_AS_OF_DATE","20010201")</f>
        <v/>
      </c>
      <c r="P5">
        <f>BDS("SBLUQ US Equity","SUPPLY_CHAIN_CUSTOMERS","RELATIONSHIP_AS_OF_DATE","20010201")</f>
        <v/>
      </c>
      <c r="U5">
        <f>BDS("IHWY US Equity","SUPPLY_CHAIN_SUPPLIERS","RELATIONSHIP_AS_OF_DATE","19990224")</f>
        <v/>
      </c>
      <c r="Z5">
        <f>BDS("IHWY US Equity","SUPPLY_CHAIN_CUSTOMERS","RELATIONSHIP_AS_OF_DATE","19990224")</f>
        <v/>
      </c>
      <c r="AE5">
        <f>BDS("FBA US Equity","SUPPLY_CHAIN_SUPPLIERS","RELATIONSHIP_AS_OF_DATE","20000825")</f>
        <v/>
      </c>
      <c r="AJ5">
        <f>BDS("FBA US Equity","SUPPLY_CHAIN_CUSTOMERS","RELATIONSHIP_AS_OF_DATE","20000825")</f>
        <v/>
      </c>
      <c r="AO5">
        <f>BDS("PBCO US Equity","SUPPLY_CHAIN_SUPPLIERS","RELATIONSHIP_AS_OF_DATE","20201105")</f>
        <v/>
      </c>
      <c r="AT5">
        <f>BDS("PBCO US Equity","SUPPLY_CHAIN_CUSTOMERS","RELATIONSHIP_AS_OF_DATE","20201105")</f>
        <v/>
      </c>
      <c r="AY5">
        <f>BDS("TMD US Equity","SUPPLY_CHAIN_SUPPLIERS","RELATIONSHIP_AS_OF_DATE","19980331")</f>
        <v/>
      </c>
      <c r="BD5">
        <f>BDS("TMD US Equity","SUPPLY_CHAIN_CUSTOMERS","RELATIONSHIP_AS_OF_DATE","19980331")</f>
        <v/>
      </c>
      <c r="BI5">
        <f>BDS("WSBA US Equity","SUPPLY_CHAIN_SUPPLIERS","RELATIONSHIP_AS_OF_DATE","20030313")</f>
        <v/>
      </c>
      <c r="BN5">
        <f>BDS("WSBA US Equity","SUPPLY_CHAIN_CUSTOMERS","RELATIONSHIP_AS_OF_DATE","20030313")</f>
        <v/>
      </c>
      <c r="BS5">
        <f>BDS("FPIC US Equity","SUPPLY_CHAIN_SUPPLIERS","RELATIONSHIP_AS_OF_DATE","19981007")</f>
        <v/>
      </c>
      <c r="BX5">
        <f>BDS("FPIC US Equity","SUPPLY_CHAIN_CUSTOMERS","RELATIONSHIP_AS_OF_DATE","19981007")</f>
        <v/>
      </c>
      <c r="CC5">
        <f>BDS("MSBK US Equity","SUPPLY_CHAIN_SUPPLIERS","RELATIONSHIP_AS_OF_DATE","19981230")</f>
        <v/>
      </c>
      <c r="CH5">
        <f>BDS("MSBK US Equity","SUPPLY_CHAIN_CUSTOMERS","RELATIONSHIP_AS_OF_DATE","19981230")</f>
        <v/>
      </c>
      <c r="CM5">
        <f>BDS("CEFC US Equity","SUPPLY_CHAIN_SUPPLIERS","RELATIONSHIP_AS_OF_DATE","20160616")</f>
        <v/>
      </c>
      <c r="CR5">
        <f>BDS("CEFC US Equity","SUPPLY_CHAIN_CUSTOMERS","RELATIONSHIP_AS_OF_DATE","20160616")</f>
        <v/>
      </c>
      <c r="CW5">
        <f>BDS("IESC US Equity","SUPPLY_CHAIN_SUPPLIERS","RELATIONSHIP_AS_OF_DATE","20130313")</f>
        <v/>
      </c>
      <c r="DB5">
        <f>BDS("IESC US Equity","SUPPLY_CHAIN_CUSTOMERS","RELATIONSHIP_AS_OF_DATE","20130313")</f>
        <v/>
      </c>
      <c r="DG5">
        <f>BDS("MMBI US Equity","SUPPLY_CHAIN_SUPPLIERS","RELATIONSHIP_AS_OF_DATE","20020603")</f>
        <v/>
      </c>
      <c r="DL5">
        <f>BDS("MMBI US Equity","SUPPLY_CHAIN_CUSTOMERS","RELATIONSHIP_AS_OF_DATE","20020603")</f>
        <v/>
      </c>
      <c r="DQ5">
        <f>BDS("FISV US Equity","SUPPLY_CHAIN_SUPPLIERS","RELATIONSHIP_AS_OF_DATE","20030409")</f>
        <v/>
      </c>
      <c r="DV5">
        <f>BDS("FISV US Equity","SUPPLY_CHAIN_CUSTOMERS","RELATIONSHIP_AS_OF_DATE","20030409")</f>
        <v/>
      </c>
      <c r="EA5">
        <f>BDS("797725Q US Equity","SUPPLY_CHAIN_SUPPLIERS","RELATIONSHIP_AS_OF_DATE","19980219")</f>
        <v/>
      </c>
      <c r="EF5">
        <f>BDS("797725Q US Equity","SUPPLY_CHAIN_CUSTOMERS","RELATIONSHIP_AS_OF_DATE","19980219")</f>
        <v/>
      </c>
      <c r="EK5">
        <f>BDS("PB US Equity","SUPPLY_CHAIN_SUPPLIERS","RELATIONSHIP_AS_OF_DATE","20111209")</f>
        <v/>
      </c>
      <c r="EP5">
        <f>BDS("PB US Equity","SUPPLY_CHAIN_CUSTOMERS","RELATIONSHIP_AS_OF_DATE","20111209")</f>
        <v/>
      </c>
      <c r="EU5">
        <f>BDS("TNB US Equity","SUPPLY_CHAIN_SUPPLIERS","RELATIONSHIP_AS_OF_DATE","19981007")</f>
        <v/>
      </c>
      <c r="EZ5">
        <f>BDS("TNB US Equity","SUPPLY_CHAIN_CUSTOMERS","RELATIONSHIP_AS_OF_DATE","19981007")</f>
        <v/>
      </c>
      <c r="FE5">
        <f>BDS("ORCL US Equity","SUPPLY_CHAIN_SUPPLIERS","RELATIONSHIP_AS_OF_DATE","19980821")</f>
        <v/>
      </c>
      <c r="FJ5">
        <f>BDS("ORCL US Equity","SUPPLY_CHAIN_CUSTOMERS","RELATIONSHIP_AS_OF_DATE","19980821")</f>
        <v/>
      </c>
      <c r="FO5">
        <f>BDS("SMG US Equity","SUPPLY_CHAIN_SUPPLIERS","RELATIONSHIP_AS_OF_DATE","20201111")</f>
        <v/>
      </c>
      <c r="FT5">
        <f>BDS("SMG US Equity","SUPPLY_CHAIN_CUSTOMERS","RELATIONSHIP_AS_OF_DATE","20201111")</f>
        <v/>
      </c>
      <c r="FY5">
        <f>BDS("GELX US Equity","SUPPLY_CHAIN_SUPPLIERS","RELATIONSHIP_AS_OF_DATE","19990816")</f>
        <v/>
      </c>
      <c r="GD5">
        <f>BDS("GELX US Equity","SUPPLY_CHAIN_CUSTOMERS","RELATIONSHIP_AS_OF_DATE","19990816")</f>
        <v/>
      </c>
      <c r="GI5">
        <f>BDS("1255459D US Equity","SUPPLY_CHAIN_SUPPLIERS","RELATIONSHIP_AS_OF_DATE","20050516")</f>
        <v/>
      </c>
      <c r="GN5">
        <f>BDS("1255459D US Equity","SUPPLY_CHAIN_CUSTOMERS","RELATIONSHIP_AS_OF_DATE","20050516")</f>
        <v/>
      </c>
      <c r="GS5">
        <f>BDS("ALB US Equity","SUPPLY_CHAIN_SUPPLIERS","RELATIONSHIP_AS_OF_DATE","20080606")</f>
        <v/>
      </c>
      <c r="GX5">
        <f>BDS("ALB US Equity","SUPPLY_CHAIN_CUSTOMERS","RELATIONSHIP_AS_OF_DATE","20080606")</f>
        <v/>
      </c>
      <c r="HC5">
        <f>BDS("BAGL US Equity","SUPPLY_CHAIN_SUPPLIERS","RELATIONSHIP_AS_OF_DATE","19980729")</f>
        <v/>
      </c>
      <c r="HH5">
        <f>BDS("BAGL US Equity","SUPPLY_CHAIN_CUSTOMERS","RELATIONSHIP_AS_OF_DATE","19980729")</f>
        <v/>
      </c>
      <c r="HM5">
        <f>BDS("RVLT US Equity","SUPPLY_CHAIN_SUPPLIERS","RELATIONSHIP_AS_OF_DATE","20121203")</f>
        <v/>
      </c>
      <c r="HR5">
        <f>BDS("RVLT US Equity","SUPPLY_CHAIN_CUSTOMERS","RELATIONSHIP_AS_OF_DATE","20121203")</f>
        <v/>
      </c>
      <c r="HW5">
        <f>BDS("OLBK US Equity","SUPPLY_CHAIN_SUPPLIERS","RELATIONSHIP_AS_OF_DATE","20100902")</f>
        <v/>
      </c>
      <c r="IB5">
        <f>BDS("OLBK US Equity","SUPPLY_CHAIN_CUSTOMERS","RELATIONSHIP_AS_OF_DATE","20100902")</f>
        <v/>
      </c>
      <c r="IG5">
        <f>BDS("BRC US Equity","SUPPLY_CHAIN_SUPPLIERS","RELATIONSHIP_AS_OF_DATE","20000211")</f>
        <v/>
      </c>
      <c r="IL5">
        <f>BDS("BRC US Equity","SUPPLY_CHAIN_CUSTOMERS","RELATIONSHIP_AS_OF_DATE","20000211")</f>
        <v/>
      </c>
      <c r="IQ5">
        <f>BDS("CICN US Equity","SUPPLY_CHAIN_SUPPLIERS","RELATIONSHIP_AS_OF_DATE","19981124")</f>
        <v/>
      </c>
      <c r="IV5">
        <f>BDS("CICN US Equity","SUPPLY_CHAIN_CUSTOMERS","RELATIONSHIP_AS_OF_DATE","19981124")</f>
        <v/>
      </c>
      <c r="JA5">
        <f>BDS("VBFC US Equity","SUPPLY_CHAIN_SUPPLIERS","RELATIONSHIP_AS_OF_DATE","20080310")</f>
        <v/>
      </c>
      <c r="JF5">
        <f>BDS("VBFC US Equity","SUPPLY_CHAIN_CUSTOMERS","RELATIONSHIP_AS_OF_DATE","20080310")</f>
        <v/>
      </c>
      <c r="JK5">
        <f>BDS("CERN US Equity","SUPPLY_CHAIN_SUPPLIERS","RELATIONSHIP_AS_OF_DATE","20010906")</f>
        <v/>
      </c>
      <c r="JP5">
        <f>BDS("CERN US Equity","SUPPLY_CHAIN_CUSTOMERS","RELATIONSHIP_AS_OF_DATE","20010906")</f>
        <v/>
      </c>
      <c r="JU5">
        <f>BDS("CWBC US Equity","SUPPLY_CHAIN_SUPPLIERS","RELATIONSHIP_AS_OF_DATE","20080528")</f>
        <v/>
      </c>
      <c r="JZ5">
        <f>BDS("CWBC US Equity","SUPPLY_CHAIN_CUSTOMERS","RELATIONSHIP_AS_OF_DATE","20080528")</f>
        <v/>
      </c>
      <c r="KE5">
        <f>BDS("HIND US Equity","SUPPLY_CHAIN_SUPPLIERS","RELATIONSHIP_AS_OF_DATE","20210120")</f>
        <v/>
      </c>
      <c r="KJ5">
        <f>BDS("HIND US Equity","SUPPLY_CHAIN_CUSTOMERS","RELATIONSHIP_AS_OF_DATE","20210120")</f>
        <v/>
      </c>
      <c r="KO5">
        <f>BDS("PABK US Equity","SUPPLY_CHAIN_SUPPLIERS","RELATIONSHIP_AS_OF_DATE","19990604")</f>
        <v/>
      </c>
      <c r="KT5">
        <f>BDS("PABK US Equity","SUPPLY_CHAIN_CUSTOMERS","RELATIONSHIP_AS_OF_DATE","19990604")</f>
        <v/>
      </c>
      <c r="KY5">
        <f>BDS("BCML US Equity","SUPPLY_CHAIN_SUPPLIERS","RELATIONSHIP_AS_OF_DATE","20181210")</f>
        <v/>
      </c>
      <c r="LD5">
        <f>BDS("BCML US Equity","SUPPLY_CHAIN_CUSTOMERS","RELATIONSHIP_AS_OF_DATE","20181210")</f>
        <v/>
      </c>
      <c r="LI5">
        <f>BDS("696119Q US Equity","SUPPLY_CHAIN_SUPPLIERS","RELATIONSHIP_AS_OF_DATE","20000131")</f>
        <v/>
      </c>
      <c r="LN5">
        <f>BDS("696119Q US Equity","SUPPLY_CHAIN_CUSTOMERS","RELATIONSHIP_AS_OF_DATE","20000131")</f>
        <v/>
      </c>
      <c r="LS5">
        <f>BDS("696119Q US Equity","SUPPLY_CHAIN_SUPPLIERS","RELATIONSHIP_AS_OF_DATE","19990521")</f>
        <v/>
      </c>
      <c r="LX5">
        <f>BDS("696119Q US Equity","SUPPLY_CHAIN_CUSTOMERS","RELATIONSHIP_AS_OF_DATE","19990521")</f>
        <v/>
      </c>
      <c r="MC5">
        <f>BDS("1920486D US Equity","SUPPLY_CHAIN_SUPPLIERS","RELATIONSHIP_AS_OF_DATE","20050510")</f>
        <v/>
      </c>
      <c r="MH5">
        <f>BDS("1920486D US Equity","SUPPLY_CHAIN_CUSTOMERS","RELATIONSHIP_AS_OF_DATE","20050510")</f>
        <v/>
      </c>
      <c r="MM5">
        <f>BDS("AMCS US Equity","SUPPLY_CHAIN_SUPPLIERS","RELATIONSHIP_AS_OF_DATE","20090223")</f>
        <v/>
      </c>
      <c r="MR5">
        <f>BDS("AMCS US Equity","SUPPLY_CHAIN_CUSTOMERS","RELATIONSHIP_AS_OF_DATE","20090223")</f>
        <v/>
      </c>
      <c r="MW5">
        <f>BDS("PGEN US Equity","SUPPLY_CHAIN_SUPPLIERS","RELATIONSHIP_AS_OF_DATE","20131220")</f>
        <v/>
      </c>
      <c r="NB5">
        <f>BDS("PGEN US Equity","SUPPLY_CHAIN_CUSTOMERS","RELATIONSHIP_AS_OF_DATE","20131220")</f>
        <v/>
      </c>
      <c r="NG5">
        <f>BDS("LCNB US Equity","SUPPLY_CHAIN_SUPPLIERS","RELATIONSHIP_AS_OF_DATE","20121009")</f>
        <v/>
      </c>
      <c r="NL5">
        <f>BDS("LCNB US Equity","SUPPLY_CHAIN_CUSTOMERS","RELATIONSHIP_AS_OF_DATE","20121009")</f>
        <v/>
      </c>
      <c r="NQ5">
        <f>BDS("2860436Q US Equity","SUPPLY_CHAIN_SUPPLIERS","RELATIONSHIP_AS_OF_DATE","20030402")</f>
        <v/>
      </c>
      <c r="NV5">
        <f>BDS("2860436Q US Equity","SUPPLY_CHAIN_CUSTOMERS","RELATIONSHIP_AS_OF_DATE","20030402")</f>
        <v/>
      </c>
      <c r="OA5">
        <f>BDS("235982Q US Equity","SUPPLY_CHAIN_SUPPLIERS","RELATIONSHIP_AS_OF_DATE","19980817")</f>
        <v/>
      </c>
      <c r="OF5">
        <f>BDS("235982Q US Equity","SUPPLY_CHAIN_CUSTOMERS","RELATIONSHIP_AS_OF_DATE","19980817")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4681</t>
        </is>
      </c>
      <c r="K1" s="1" t="inlineStr">
        <is>
          <t>Deal 4682</t>
        </is>
      </c>
      <c r="U1" s="1" t="inlineStr">
        <is>
          <t>Deal 4683</t>
        </is>
      </c>
      <c r="AE1" s="1" t="inlineStr">
        <is>
          <t>Deal 4684</t>
        </is>
      </c>
      <c r="AO1" s="1" t="inlineStr">
        <is>
          <t>Deal 4685</t>
        </is>
      </c>
      <c r="AY1" s="1" t="inlineStr">
        <is>
          <t>Deal 4686</t>
        </is>
      </c>
      <c r="BI1" s="1" t="inlineStr">
        <is>
          <t>Deal 4687</t>
        </is>
      </c>
      <c r="BS1" s="1" t="inlineStr">
        <is>
          <t>Deal 4688</t>
        </is>
      </c>
      <c r="CC1" s="1" t="inlineStr">
        <is>
          <t>Deal 4689</t>
        </is>
      </c>
      <c r="CM1" s="1" t="inlineStr">
        <is>
          <t>Deal 4690</t>
        </is>
      </c>
      <c r="CW1" s="1" t="inlineStr">
        <is>
          <t>Deal 4691</t>
        </is>
      </c>
      <c r="DG1" s="1" t="inlineStr">
        <is>
          <t>Deal 4692</t>
        </is>
      </c>
      <c r="DQ1" s="1" t="inlineStr">
        <is>
          <t>Deal 4693</t>
        </is>
      </c>
      <c r="EA1" s="1" t="inlineStr">
        <is>
          <t>Deal 4694</t>
        </is>
      </c>
      <c r="EK1" s="1" t="inlineStr">
        <is>
          <t>Deal 4695</t>
        </is>
      </c>
      <c r="EU1" s="1" t="inlineStr">
        <is>
          <t>Deal 4696</t>
        </is>
      </c>
      <c r="FE1" s="1" t="inlineStr">
        <is>
          <t>Deal 4697</t>
        </is>
      </c>
      <c r="FO1" s="1" t="inlineStr">
        <is>
          <t>Deal 4698</t>
        </is>
      </c>
      <c r="FY1" s="1" t="inlineStr">
        <is>
          <t>Deal 4699</t>
        </is>
      </c>
      <c r="GI1" s="1" t="inlineStr">
        <is>
          <t>Deal 4700</t>
        </is>
      </c>
      <c r="GS1" s="1" t="inlineStr">
        <is>
          <t>Deal 4701</t>
        </is>
      </c>
      <c r="HC1" s="1" t="inlineStr">
        <is>
          <t>Deal 4702</t>
        </is>
      </c>
      <c r="HM1" s="1" t="inlineStr">
        <is>
          <t>Deal 4703</t>
        </is>
      </c>
      <c r="HW1" s="1" t="inlineStr">
        <is>
          <t>Deal 4704</t>
        </is>
      </c>
      <c r="IG1" s="1" t="inlineStr">
        <is>
          <t>Deal 4705</t>
        </is>
      </c>
      <c r="IQ1" s="1" t="inlineStr">
        <is>
          <t>Deal 4706</t>
        </is>
      </c>
      <c r="JA1" s="1" t="inlineStr">
        <is>
          <t>Deal 4707</t>
        </is>
      </c>
      <c r="JK1" s="1" t="inlineStr">
        <is>
          <t>Deal 4708</t>
        </is>
      </c>
      <c r="JU1" s="1" t="inlineStr">
        <is>
          <t>Deal 4709</t>
        </is>
      </c>
      <c r="KE1" s="1" t="inlineStr">
        <is>
          <t>Deal 4710</t>
        </is>
      </c>
      <c r="KO1" s="1" t="inlineStr">
        <is>
          <t>Deal 4711</t>
        </is>
      </c>
      <c r="KY1" s="1" t="inlineStr">
        <is>
          <t>Deal 4712</t>
        </is>
      </c>
      <c r="LI1" s="1" t="inlineStr">
        <is>
          <t>Deal 4713</t>
        </is>
      </c>
      <c r="LS1" s="1" t="inlineStr">
        <is>
          <t>Deal 4714</t>
        </is>
      </c>
      <c r="MC1" s="1" t="inlineStr">
        <is>
          <t>Deal 4715</t>
        </is>
      </c>
      <c r="MM1" s="1" t="inlineStr">
        <is>
          <t>Deal 4716</t>
        </is>
      </c>
      <c r="MW1" s="1" t="inlineStr">
        <is>
          <t>Deal 4717</t>
        </is>
      </c>
      <c r="NG1" s="1" t="inlineStr">
        <is>
          <t>Deal 4718</t>
        </is>
      </c>
      <c r="NQ1" s="1" t="inlineStr">
        <is>
          <t>Deal 4719</t>
        </is>
      </c>
      <c r="OA1" s="1" t="inlineStr">
        <is>
          <t>Deal 4720</t>
        </is>
      </c>
    </row>
    <row r="2">
      <c r="A2" s="2" t="inlineStr">
        <is>
          <t>GEN US Equity</t>
        </is>
      </c>
      <c r="K2" s="2" t="inlineStr">
        <is>
          <t>SORCQ US Equity</t>
        </is>
      </c>
      <c r="U2" s="2" t="inlineStr">
        <is>
          <t>0959089D US Equity</t>
        </is>
      </c>
      <c r="AE2" s="2" t="inlineStr">
        <is>
          <t>SNV US Equity</t>
        </is>
      </c>
      <c r="AO2" s="2" t="inlineStr">
        <is>
          <t>SLI US Equity</t>
        </is>
      </c>
      <c r="AY2" s="2" t="inlineStr">
        <is>
          <t>CBKN US Equity</t>
        </is>
      </c>
      <c r="BI2" s="2" t="inlineStr">
        <is>
          <t>NPBC US Equity</t>
        </is>
      </c>
      <c r="BS2" s="2" t="inlineStr">
        <is>
          <t>INHX US Equity</t>
        </is>
      </c>
      <c r="CC2" s="2" t="inlineStr">
        <is>
          <t>KTO US Equity</t>
        </is>
      </c>
      <c r="CM2" s="2" t="inlineStr">
        <is>
          <t>UPLD US Equity</t>
        </is>
      </c>
      <c r="CW2" s="2" t="inlineStr">
        <is>
          <t>CBRI US Equity</t>
        </is>
      </c>
      <c r="DG2" s="2" t="inlineStr">
        <is>
          <t>MCTIQ US Equity</t>
        </is>
      </c>
      <c r="DQ2" s="2" t="inlineStr">
        <is>
          <t>GRAN US Equity</t>
        </is>
      </c>
      <c r="EA2" s="2" t="inlineStr">
        <is>
          <t>BCSB US Equity</t>
        </is>
      </c>
      <c r="EK2" s="2" t="inlineStr">
        <is>
          <t>DAEG US Equity</t>
        </is>
      </c>
      <c r="EU2" s="2" t="inlineStr">
        <is>
          <t>CNMD US Equity</t>
        </is>
      </c>
      <c r="FE2" s="2" t="inlineStr">
        <is>
          <t>TLAG US Equity</t>
        </is>
      </c>
      <c r="FO2" s="2" t="inlineStr">
        <is>
          <t>EXEL US Equity</t>
        </is>
      </c>
      <c r="FY2" s="2" t="inlineStr">
        <is>
          <t>BRKL US Equity</t>
        </is>
      </c>
      <c r="GI2" s="2" t="inlineStr">
        <is>
          <t>OSKY US Equity</t>
        </is>
      </c>
      <c r="GS2" s="2" t="inlineStr">
        <is>
          <t>QCOR US Equity</t>
        </is>
      </c>
      <c r="HC2" s="2" t="inlineStr">
        <is>
          <t>CFOK US Equity</t>
        </is>
      </c>
      <c r="HM2" s="2" t="inlineStr">
        <is>
          <t>ELED US Equity</t>
        </is>
      </c>
      <c r="HW2" s="2" t="inlineStr">
        <is>
          <t>RSYS US Equity</t>
        </is>
      </c>
      <c r="IG2" s="2" t="inlineStr">
        <is>
          <t>PGICQ US Equity</t>
        </is>
      </c>
      <c r="IQ2" s="2" t="inlineStr">
        <is>
          <t>PACW US Equity</t>
        </is>
      </c>
      <c r="JA2" s="2" t="inlineStr">
        <is>
          <t>DRMO US Equity</t>
        </is>
      </c>
      <c r="JK2" s="2" t="inlineStr">
        <is>
          <t>FIBK US Equity</t>
        </is>
      </c>
      <c r="JU2" s="2" t="inlineStr">
        <is>
          <t>CTWS US Equity</t>
        </is>
      </c>
      <c r="KE2" s="2" t="inlineStr">
        <is>
          <t>HSP US Equity</t>
        </is>
      </c>
      <c r="KO2" s="2" t="inlineStr">
        <is>
          <t>UCBC US Equity</t>
        </is>
      </c>
      <c r="KY2" s="2" t="inlineStr">
        <is>
          <t>0852980D US Equity</t>
        </is>
      </c>
      <c r="LI2" s="2" t="inlineStr">
        <is>
          <t>FBA US Equity</t>
        </is>
      </c>
      <c r="LS2" s="2" t="inlineStr">
        <is>
          <t>PDCE US Equity</t>
        </is>
      </c>
      <c r="MC2" s="2" t="inlineStr">
        <is>
          <t>GSON US Equity</t>
        </is>
      </c>
      <c r="MM2" s="2" t="inlineStr">
        <is>
          <t>TIBX US Equity</t>
        </is>
      </c>
      <c r="MW2" s="2" t="inlineStr">
        <is>
          <t>MDT US Equity</t>
        </is>
      </c>
      <c r="NG2" s="2" t="inlineStr">
        <is>
          <t>FCEC US Equity</t>
        </is>
      </c>
      <c r="NQ2" s="2" t="inlineStr">
        <is>
          <t>LNCB US Equity</t>
        </is>
      </c>
      <c r="OA2" s="2" t="inlineStr">
        <is>
          <t>MROI US Equity</t>
        </is>
      </c>
    </row>
    <row r="3">
      <c r="A3" t="inlineStr">
        <is>
          <t>Ann: 2003-05-14</t>
        </is>
      </c>
      <c r="K3" t="inlineStr">
        <is>
          <t>Ann: 1998-12-15</t>
        </is>
      </c>
      <c r="U3" t="inlineStr">
        <is>
          <t>Ann: 2005-03-31</t>
        </is>
      </c>
      <c r="AE3" t="inlineStr">
        <is>
          <t>Ann: 1999-08-20</t>
        </is>
      </c>
      <c r="AO3" t="inlineStr">
        <is>
          <t>Ann: 2005-12-19</t>
        </is>
      </c>
      <c r="AY3" t="inlineStr">
        <is>
          <t>Ann: 2002-05-01</t>
        </is>
      </c>
      <c r="BI3" t="inlineStr">
        <is>
          <t>Ann: 2000-02-14</t>
        </is>
      </c>
      <c r="BS3" t="inlineStr">
        <is>
          <t>Ann: 2007-04-10</t>
        </is>
      </c>
      <c r="CC3" t="inlineStr">
        <is>
          <t>Ann: 1999-07-23</t>
        </is>
      </c>
      <c r="CM3" t="inlineStr">
        <is>
          <t>Ann: 2016-12-20</t>
        </is>
      </c>
      <c r="CW3" t="inlineStr">
        <is>
          <t>Ann: 2001-06-14</t>
        </is>
      </c>
      <c r="DG3" t="inlineStr">
        <is>
          <t>Ann: 1999-09-20</t>
        </is>
      </c>
      <c r="DQ3" t="inlineStr">
        <is>
          <t>Ann: 2002-12-18</t>
        </is>
      </c>
      <c r="EA3" t="inlineStr">
        <is>
          <t>Ann: 2002-02-27</t>
        </is>
      </c>
      <c r="EK3" t="inlineStr">
        <is>
          <t>Ann: 2009-04-16</t>
        </is>
      </c>
      <c r="EU3" t="inlineStr">
        <is>
          <t>Ann: 2012-08-14</t>
        </is>
      </c>
      <c r="FE3" t="inlineStr">
        <is>
          <t>Ann: 2008-03-10</t>
        </is>
      </c>
      <c r="FO3" t="inlineStr">
        <is>
          <t>Ann: 2001-11-19</t>
        </is>
      </c>
      <c r="FY3" t="inlineStr">
        <is>
          <t>Ann: 2010-10-27</t>
        </is>
      </c>
      <c r="GI3" t="inlineStr">
        <is>
          <t>Ann: 1999-02-02</t>
        </is>
      </c>
      <c r="GS3" t="inlineStr">
        <is>
          <t>Ann: 1999-08-05</t>
        </is>
      </c>
      <c r="HC3" t="inlineStr">
        <is>
          <t>Ann: 2020-10-09</t>
        </is>
      </c>
      <c r="HM3" t="inlineStr">
        <is>
          <t>Ann: 2004-04-29</t>
        </is>
      </c>
      <c r="HW3" t="inlineStr">
        <is>
          <t>Ann: 2001-07-02</t>
        </is>
      </c>
      <c r="IG3" t="inlineStr">
        <is>
          <t>Ann: 2005-02-22</t>
        </is>
      </c>
      <c r="IQ3" t="inlineStr">
        <is>
          <t>Ann: 2002-05-14</t>
        </is>
      </c>
      <c r="JA3" t="inlineStr">
        <is>
          <t>Ann: 2008-01-31</t>
        </is>
      </c>
      <c r="JK3" t="inlineStr">
        <is>
          <t>Ann: 2018-10-11</t>
        </is>
      </c>
      <c r="JU3" t="inlineStr">
        <is>
          <t>Ann: 2012-07-19</t>
        </is>
      </c>
      <c r="KE3" t="inlineStr">
        <is>
          <t>Ann: 2005-06-01</t>
        </is>
      </c>
      <c r="KO3" t="inlineStr">
        <is>
          <t>Ann: 2001-07-24</t>
        </is>
      </c>
      <c r="KY3" t="inlineStr">
        <is>
          <t>Ann: 2000-05-11</t>
        </is>
      </c>
      <c r="LI3" t="inlineStr">
        <is>
          <t>Ann: 2001-05-23</t>
        </is>
      </c>
      <c r="LS3" t="inlineStr">
        <is>
          <t>Ann: 2006-10-20</t>
        </is>
      </c>
      <c r="MC3" t="inlineStr">
        <is>
          <t>Ann: 2015-11-08</t>
        </is>
      </c>
      <c r="MM3" t="inlineStr">
        <is>
          <t>Ann: 2010-06-22</t>
        </is>
      </c>
      <c r="MW3" t="inlineStr">
        <is>
          <t>Ann: 2008-04-22</t>
        </is>
      </c>
      <c r="NG3" t="inlineStr">
        <is>
          <t>Ann: 2008-09-19</t>
        </is>
      </c>
      <c r="NQ3" t="inlineStr">
        <is>
          <t>Ann: 2000-03-21</t>
        </is>
      </c>
      <c r="OA3" t="inlineStr">
        <is>
          <t>Ann: 2002-05-28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BDS("GEN US Equity","SUPPLY_CHAIN_SUPPLIERS","RELATIONSHIP_AS_OF_DATE","20030514")</f>
        <v/>
      </c>
      <c r="F5">
        <f>BDS("GEN US Equity","SUPPLY_CHAIN_CUSTOMERS","RELATIONSHIP_AS_OF_DATE","20030514")</f>
        <v/>
      </c>
      <c r="K5">
        <f>BDS("SORCQ US Equity","SUPPLY_CHAIN_SUPPLIERS","RELATIONSHIP_AS_OF_DATE","19981215")</f>
        <v/>
      </c>
      <c r="P5">
        <f>BDS("SORCQ US Equity","SUPPLY_CHAIN_CUSTOMERS","RELATIONSHIP_AS_OF_DATE","19981215")</f>
        <v/>
      </c>
      <c r="U5">
        <f>BDS("0959089D US Equity","SUPPLY_CHAIN_SUPPLIERS","RELATIONSHIP_AS_OF_DATE","20050331")</f>
        <v/>
      </c>
      <c r="Z5">
        <f>BDS("0959089D US Equity","SUPPLY_CHAIN_CUSTOMERS","RELATIONSHIP_AS_OF_DATE","20050331")</f>
        <v/>
      </c>
      <c r="AE5">
        <f>BDS("SNV US Equity","SUPPLY_CHAIN_SUPPLIERS","RELATIONSHIP_AS_OF_DATE","19990820")</f>
        <v/>
      </c>
      <c r="AJ5">
        <f>BDS("SNV US Equity","SUPPLY_CHAIN_CUSTOMERS","RELATIONSHIP_AS_OF_DATE","19990820")</f>
        <v/>
      </c>
      <c r="AO5">
        <f>BDS("SLI US Equity","SUPPLY_CHAIN_SUPPLIERS","RELATIONSHIP_AS_OF_DATE","20051219")</f>
        <v/>
      </c>
      <c r="AT5">
        <f>BDS("SLI US Equity","SUPPLY_CHAIN_CUSTOMERS","RELATIONSHIP_AS_OF_DATE","20051219")</f>
        <v/>
      </c>
      <c r="AY5">
        <f>BDS("CBKN US Equity","SUPPLY_CHAIN_SUPPLIERS","RELATIONSHIP_AS_OF_DATE","20020501")</f>
        <v/>
      </c>
      <c r="BD5">
        <f>BDS("CBKN US Equity","SUPPLY_CHAIN_CUSTOMERS","RELATIONSHIP_AS_OF_DATE","20020501")</f>
        <v/>
      </c>
      <c r="BI5">
        <f>BDS("NPBC US Equity","SUPPLY_CHAIN_SUPPLIERS","RELATIONSHIP_AS_OF_DATE","20000214")</f>
        <v/>
      </c>
      <c r="BN5">
        <f>BDS("NPBC US Equity","SUPPLY_CHAIN_CUSTOMERS","RELATIONSHIP_AS_OF_DATE","20000214")</f>
        <v/>
      </c>
      <c r="BS5">
        <f>BDS("INHX US Equity","SUPPLY_CHAIN_SUPPLIERS","RELATIONSHIP_AS_OF_DATE","20070410")</f>
        <v/>
      </c>
      <c r="BX5">
        <f>BDS("INHX US Equity","SUPPLY_CHAIN_CUSTOMERS","RELATIONSHIP_AS_OF_DATE","20070410")</f>
        <v/>
      </c>
      <c r="CC5">
        <f>BDS("KTO US Equity","SUPPLY_CHAIN_SUPPLIERS","RELATIONSHIP_AS_OF_DATE","19990723")</f>
        <v/>
      </c>
      <c r="CH5">
        <f>BDS("KTO US Equity","SUPPLY_CHAIN_CUSTOMERS","RELATIONSHIP_AS_OF_DATE","19990723")</f>
        <v/>
      </c>
      <c r="CM5">
        <f>BDS("UPLD US Equity","SUPPLY_CHAIN_SUPPLIERS","RELATIONSHIP_AS_OF_DATE","20161220")</f>
        <v/>
      </c>
      <c r="CR5">
        <f>BDS("UPLD US Equity","SUPPLY_CHAIN_CUSTOMERS","RELATIONSHIP_AS_OF_DATE","20161220")</f>
        <v/>
      </c>
      <c r="CW5">
        <f>BDS("CBRI US Equity","SUPPLY_CHAIN_SUPPLIERS","RELATIONSHIP_AS_OF_DATE","20010614")</f>
        <v/>
      </c>
      <c r="DB5">
        <f>BDS("CBRI US Equity","SUPPLY_CHAIN_CUSTOMERS","RELATIONSHIP_AS_OF_DATE","20010614")</f>
        <v/>
      </c>
      <c r="DG5">
        <f>BDS("MCTIQ US Equity","SUPPLY_CHAIN_SUPPLIERS","RELATIONSHIP_AS_OF_DATE","19990920")</f>
        <v/>
      </c>
      <c r="DL5">
        <f>BDS("MCTIQ US Equity","SUPPLY_CHAIN_CUSTOMERS","RELATIONSHIP_AS_OF_DATE","19990920")</f>
        <v/>
      </c>
      <c r="DQ5">
        <f>BDS("GRAN US Equity","SUPPLY_CHAIN_SUPPLIERS","RELATIONSHIP_AS_OF_DATE","20021218")</f>
        <v/>
      </c>
      <c r="DV5">
        <f>BDS("GRAN US Equity","SUPPLY_CHAIN_CUSTOMERS","RELATIONSHIP_AS_OF_DATE","20021218")</f>
        <v/>
      </c>
      <c r="EA5">
        <f>BDS("BCSB US Equity","SUPPLY_CHAIN_SUPPLIERS","RELATIONSHIP_AS_OF_DATE","20020227")</f>
        <v/>
      </c>
      <c r="EF5">
        <f>BDS("BCSB US Equity","SUPPLY_CHAIN_CUSTOMERS","RELATIONSHIP_AS_OF_DATE","20020227")</f>
        <v/>
      </c>
      <c r="EK5">
        <f>BDS("DAEG US Equity","SUPPLY_CHAIN_SUPPLIERS","RELATIONSHIP_AS_OF_DATE","20090416")</f>
        <v/>
      </c>
      <c r="EP5">
        <f>BDS("DAEG US Equity","SUPPLY_CHAIN_CUSTOMERS","RELATIONSHIP_AS_OF_DATE","20090416")</f>
        <v/>
      </c>
      <c r="EU5">
        <f>BDS("CNMD US Equity","SUPPLY_CHAIN_SUPPLIERS","RELATIONSHIP_AS_OF_DATE","20120814")</f>
        <v/>
      </c>
      <c r="EZ5">
        <f>BDS("CNMD US Equity","SUPPLY_CHAIN_CUSTOMERS","RELATIONSHIP_AS_OF_DATE","20120814")</f>
        <v/>
      </c>
      <c r="FE5">
        <f>BDS("TLAG US Equity","SUPPLY_CHAIN_SUPPLIERS","RELATIONSHIP_AS_OF_DATE","20080310")</f>
        <v/>
      </c>
      <c r="FJ5">
        <f>BDS("TLAG US Equity","SUPPLY_CHAIN_CUSTOMERS","RELATIONSHIP_AS_OF_DATE","20080310")</f>
        <v/>
      </c>
      <c r="FO5">
        <f>BDS("EXEL US Equity","SUPPLY_CHAIN_SUPPLIERS","RELATIONSHIP_AS_OF_DATE","20011119")</f>
        <v/>
      </c>
      <c r="FT5">
        <f>BDS("EXEL US Equity","SUPPLY_CHAIN_CUSTOMERS","RELATIONSHIP_AS_OF_DATE","20011119")</f>
        <v/>
      </c>
      <c r="FY5">
        <f>BDS("BRKL US Equity","SUPPLY_CHAIN_SUPPLIERS","RELATIONSHIP_AS_OF_DATE","20101027")</f>
        <v/>
      </c>
      <c r="GD5">
        <f>BDS("BRKL US Equity","SUPPLY_CHAIN_CUSTOMERS","RELATIONSHIP_AS_OF_DATE","20101027")</f>
        <v/>
      </c>
      <c r="GI5">
        <f>BDS("OSKY US Equity","SUPPLY_CHAIN_SUPPLIERS","RELATIONSHIP_AS_OF_DATE","19990202")</f>
        <v/>
      </c>
      <c r="GN5">
        <f>BDS("OSKY US Equity","SUPPLY_CHAIN_CUSTOMERS","RELATIONSHIP_AS_OF_DATE","19990202")</f>
        <v/>
      </c>
      <c r="GS5">
        <f>BDS("QCOR US Equity","SUPPLY_CHAIN_SUPPLIERS","RELATIONSHIP_AS_OF_DATE","19990805")</f>
        <v/>
      </c>
      <c r="GX5">
        <f>BDS("QCOR US Equity","SUPPLY_CHAIN_CUSTOMERS","RELATIONSHIP_AS_OF_DATE","19990805")</f>
        <v/>
      </c>
      <c r="HC5">
        <f>BDS("CFOK US Equity","SUPPLY_CHAIN_SUPPLIERS","RELATIONSHIP_AS_OF_DATE","20201009")</f>
        <v/>
      </c>
      <c r="HH5">
        <f>BDS("CFOK US Equity","SUPPLY_CHAIN_CUSTOMERS","RELATIONSHIP_AS_OF_DATE","20201009")</f>
        <v/>
      </c>
      <c r="HM5">
        <f>BDS("ELED US Equity","SUPPLY_CHAIN_SUPPLIERS","RELATIONSHIP_AS_OF_DATE","20040429")</f>
        <v/>
      </c>
      <c r="HR5">
        <f>BDS("ELED US Equity","SUPPLY_CHAIN_CUSTOMERS","RELATIONSHIP_AS_OF_DATE","20040429")</f>
        <v/>
      </c>
      <c r="HW5">
        <f>BDS("RSYS US Equity","SUPPLY_CHAIN_SUPPLIERS","RELATIONSHIP_AS_OF_DATE","20010702")</f>
        <v/>
      </c>
      <c r="IB5">
        <f>BDS("RSYS US Equity","SUPPLY_CHAIN_CUSTOMERS","RELATIONSHIP_AS_OF_DATE","20010702")</f>
        <v/>
      </c>
      <c r="IG5">
        <f>BDS("PGICQ US Equity","SUPPLY_CHAIN_SUPPLIERS","RELATIONSHIP_AS_OF_DATE","20050222")</f>
        <v/>
      </c>
      <c r="IL5">
        <f>BDS("PGICQ US Equity","SUPPLY_CHAIN_CUSTOMERS","RELATIONSHIP_AS_OF_DATE","20050222")</f>
        <v/>
      </c>
      <c r="IQ5">
        <f>BDS("PACW US Equity","SUPPLY_CHAIN_SUPPLIERS","RELATIONSHIP_AS_OF_DATE","20020514")</f>
        <v/>
      </c>
      <c r="IV5">
        <f>BDS("PACW US Equity","SUPPLY_CHAIN_CUSTOMERS","RELATIONSHIP_AS_OF_DATE","20020514")</f>
        <v/>
      </c>
      <c r="JA5">
        <f>BDS("DRMO US Equity","SUPPLY_CHAIN_SUPPLIERS","RELATIONSHIP_AS_OF_DATE","20080131")</f>
        <v/>
      </c>
      <c r="JF5">
        <f>BDS("DRMO US Equity","SUPPLY_CHAIN_CUSTOMERS","RELATIONSHIP_AS_OF_DATE","20080131")</f>
        <v/>
      </c>
      <c r="JK5">
        <f>BDS("FIBK US Equity","SUPPLY_CHAIN_SUPPLIERS","RELATIONSHIP_AS_OF_DATE","20181011")</f>
        <v/>
      </c>
      <c r="JP5">
        <f>BDS("FIBK US Equity","SUPPLY_CHAIN_CUSTOMERS","RELATIONSHIP_AS_OF_DATE","20181011")</f>
        <v/>
      </c>
      <c r="JU5">
        <f>BDS("CTWS US Equity","SUPPLY_CHAIN_SUPPLIERS","RELATIONSHIP_AS_OF_DATE","20120719")</f>
        <v/>
      </c>
      <c r="JZ5">
        <f>BDS("CTWS US Equity","SUPPLY_CHAIN_CUSTOMERS","RELATIONSHIP_AS_OF_DATE","20120719")</f>
        <v/>
      </c>
      <c r="KE5">
        <f>BDS("HSP US Equity","SUPPLY_CHAIN_SUPPLIERS","RELATIONSHIP_AS_OF_DATE","20050601")</f>
        <v/>
      </c>
      <c r="KJ5">
        <f>BDS("HSP US Equity","SUPPLY_CHAIN_CUSTOMERS","RELATIONSHIP_AS_OF_DATE","20050601")</f>
        <v/>
      </c>
      <c r="KO5">
        <f>BDS("UCBC US Equity","SUPPLY_CHAIN_SUPPLIERS","RELATIONSHIP_AS_OF_DATE","20010724")</f>
        <v/>
      </c>
      <c r="KT5">
        <f>BDS("UCBC US Equity","SUPPLY_CHAIN_CUSTOMERS","RELATIONSHIP_AS_OF_DATE","20010724")</f>
        <v/>
      </c>
      <c r="KY5">
        <f>BDS("0852980D US Equity","SUPPLY_CHAIN_SUPPLIERS","RELATIONSHIP_AS_OF_DATE","20000511")</f>
        <v/>
      </c>
      <c r="LD5">
        <f>BDS("0852980D US Equity","SUPPLY_CHAIN_CUSTOMERS","RELATIONSHIP_AS_OF_DATE","20000511")</f>
        <v/>
      </c>
      <c r="LI5">
        <f>BDS("FBA US Equity","SUPPLY_CHAIN_SUPPLIERS","RELATIONSHIP_AS_OF_DATE","20010523")</f>
        <v/>
      </c>
      <c r="LN5">
        <f>BDS("FBA US Equity","SUPPLY_CHAIN_CUSTOMERS","RELATIONSHIP_AS_OF_DATE","20010523")</f>
        <v/>
      </c>
      <c r="LS5">
        <f>BDS("PDCE US Equity","SUPPLY_CHAIN_SUPPLIERS","RELATIONSHIP_AS_OF_DATE","20061020")</f>
        <v/>
      </c>
      <c r="LX5">
        <f>BDS("PDCE US Equity","SUPPLY_CHAIN_CUSTOMERS","RELATIONSHIP_AS_OF_DATE","20061020")</f>
        <v/>
      </c>
      <c r="MC5">
        <f>BDS("GSON US Equity","SUPPLY_CHAIN_SUPPLIERS","RELATIONSHIP_AS_OF_DATE","20151108")</f>
        <v/>
      </c>
      <c r="MH5">
        <f>BDS("GSON US Equity","SUPPLY_CHAIN_CUSTOMERS","RELATIONSHIP_AS_OF_DATE","20151108")</f>
        <v/>
      </c>
      <c r="MM5">
        <f>BDS("TIBX US Equity","SUPPLY_CHAIN_SUPPLIERS","RELATIONSHIP_AS_OF_DATE","20100622")</f>
        <v/>
      </c>
      <c r="MR5">
        <f>BDS("TIBX US Equity","SUPPLY_CHAIN_CUSTOMERS","RELATIONSHIP_AS_OF_DATE","20100622")</f>
        <v/>
      </c>
      <c r="MW5">
        <f>BDS("MDT US Equity","SUPPLY_CHAIN_SUPPLIERS","RELATIONSHIP_AS_OF_DATE","20080422")</f>
        <v/>
      </c>
      <c r="NB5">
        <f>BDS("MDT US Equity","SUPPLY_CHAIN_CUSTOMERS","RELATIONSHIP_AS_OF_DATE","20080422")</f>
        <v/>
      </c>
      <c r="NG5">
        <f>BDS("FCEC US Equity","SUPPLY_CHAIN_SUPPLIERS","RELATIONSHIP_AS_OF_DATE","20080919")</f>
        <v/>
      </c>
      <c r="NL5">
        <f>BDS("FCEC US Equity","SUPPLY_CHAIN_CUSTOMERS","RELATIONSHIP_AS_OF_DATE","20080919")</f>
        <v/>
      </c>
      <c r="NQ5">
        <f>BDS("LNCB US Equity","SUPPLY_CHAIN_SUPPLIERS","RELATIONSHIP_AS_OF_DATE","20000321")</f>
        <v/>
      </c>
      <c r="NV5">
        <f>BDS("LNCB US Equity","SUPPLY_CHAIN_CUSTOMERS","RELATIONSHIP_AS_OF_DATE","20000321")</f>
        <v/>
      </c>
      <c r="OA5">
        <f>BDS("MROI US Equity","SUPPLY_CHAIN_SUPPLIERS","RELATIONSHIP_AS_OF_DATE","20020528")</f>
        <v/>
      </c>
      <c r="OF5">
        <f>BDS("MROI US Equity","SUPPLY_CHAIN_CUSTOMERS","RELATIONSHIP_AS_OF_DATE","20020528")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4721</t>
        </is>
      </c>
      <c r="K1" s="1" t="inlineStr">
        <is>
          <t>Deal 4722</t>
        </is>
      </c>
      <c r="U1" s="1" t="inlineStr">
        <is>
          <t>Deal 4723</t>
        </is>
      </c>
      <c r="AE1" s="1" t="inlineStr">
        <is>
          <t>Deal 4724</t>
        </is>
      </c>
      <c r="AO1" s="1" t="inlineStr">
        <is>
          <t>Deal 4725</t>
        </is>
      </c>
      <c r="AY1" s="1" t="inlineStr">
        <is>
          <t>Deal 4726</t>
        </is>
      </c>
      <c r="BI1" s="1" t="inlineStr">
        <is>
          <t>Deal 4727</t>
        </is>
      </c>
      <c r="BS1" s="1" t="inlineStr">
        <is>
          <t>Deal 4728</t>
        </is>
      </c>
      <c r="CC1" s="1" t="inlineStr">
        <is>
          <t>Deal 4729</t>
        </is>
      </c>
      <c r="CM1" s="1" t="inlineStr">
        <is>
          <t>Deal 4730</t>
        </is>
      </c>
      <c r="CW1" s="1" t="inlineStr">
        <is>
          <t>Deal 4731</t>
        </is>
      </c>
      <c r="DG1" s="1" t="inlineStr">
        <is>
          <t>Deal 4732</t>
        </is>
      </c>
      <c r="DQ1" s="1" t="inlineStr">
        <is>
          <t>Deal 4733</t>
        </is>
      </c>
      <c r="EA1" s="1" t="inlineStr">
        <is>
          <t>Deal 4734</t>
        </is>
      </c>
      <c r="EK1" s="1" t="inlineStr">
        <is>
          <t>Deal 4735</t>
        </is>
      </c>
      <c r="EU1" s="1" t="inlineStr">
        <is>
          <t>Deal 4736</t>
        </is>
      </c>
      <c r="FE1" s="1" t="inlineStr">
        <is>
          <t>Deal 4737</t>
        </is>
      </c>
      <c r="FO1" s="1" t="inlineStr">
        <is>
          <t>Deal 4738</t>
        </is>
      </c>
      <c r="FY1" s="1" t="inlineStr">
        <is>
          <t>Deal 4739</t>
        </is>
      </c>
      <c r="GI1" s="1" t="inlineStr">
        <is>
          <t>Deal 4740</t>
        </is>
      </c>
      <c r="GS1" s="1" t="inlineStr">
        <is>
          <t>Deal 4741</t>
        </is>
      </c>
      <c r="HC1" s="1" t="inlineStr">
        <is>
          <t>Deal 4742</t>
        </is>
      </c>
      <c r="HM1" s="1" t="inlineStr">
        <is>
          <t>Deal 4743</t>
        </is>
      </c>
      <c r="HW1" s="1" t="inlineStr">
        <is>
          <t>Deal 4744</t>
        </is>
      </c>
      <c r="IG1" s="1" t="inlineStr">
        <is>
          <t>Deal 4745</t>
        </is>
      </c>
      <c r="IQ1" s="1" t="inlineStr">
        <is>
          <t>Deal 4746</t>
        </is>
      </c>
      <c r="JA1" s="1" t="inlineStr">
        <is>
          <t>Deal 4747</t>
        </is>
      </c>
      <c r="JK1" s="1" t="inlineStr">
        <is>
          <t>Deal 4748</t>
        </is>
      </c>
      <c r="JU1" s="1" t="inlineStr">
        <is>
          <t>Deal 4749</t>
        </is>
      </c>
      <c r="KE1" s="1" t="inlineStr">
        <is>
          <t>Deal 4750</t>
        </is>
      </c>
      <c r="KO1" s="1" t="inlineStr">
        <is>
          <t>Deal 4751</t>
        </is>
      </c>
      <c r="KY1" s="1" t="inlineStr">
        <is>
          <t>Deal 4752</t>
        </is>
      </c>
      <c r="LI1" s="1" t="inlineStr">
        <is>
          <t>Deal 4753</t>
        </is>
      </c>
      <c r="LS1" s="1" t="inlineStr">
        <is>
          <t>Deal 4754</t>
        </is>
      </c>
      <c r="MC1" s="1" t="inlineStr">
        <is>
          <t>Deal 4755</t>
        </is>
      </c>
      <c r="MM1" s="1" t="inlineStr">
        <is>
          <t>Deal 4756</t>
        </is>
      </c>
      <c r="MW1" s="1" t="inlineStr">
        <is>
          <t>Deal 4757</t>
        </is>
      </c>
      <c r="NG1" s="1" t="inlineStr">
        <is>
          <t>Deal 4758</t>
        </is>
      </c>
      <c r="NQ1" s="1" t="inlineStr">
        <is>
          <t>Deal 4759</t>
        </is>
      </c>
      <c r="OA1" s="1" t="inlineStr">
        <is>
          <t>Deal 4760</t>
        </is>
      </c>
    </row>
    <row r="2">
      <c r="A2" s="2" t="inlineStr">
        <is>
          <t>HRL US Equity</t>
        </is>
      </c>
      <c r="K2" s="2" t="inlineStr">
        <is>
          <t>NUAN US Equity</t>
        </is>
      </c>
      <c r="U2" s="2" t="inlineStr">
        <is>
          <t>AGEN US Equity</t>
        </is>
      </c>
      <c r="AE2" s="2" t="inlineStr">
        <is>
          <t>ZD US Equity</t>
        </is>
      </c>
      <c r="AO2" s="2" t="inlineStr">
        <is>
          <t>355488Q US Equity</t>
        </is>
      </c>
      <c r="AY2" s="2" t="inlineStr">
        <is>
          <t>NFBK US Equity</t>
        </is>
      </c>
      <c r="BI2" s="2" t="inlineStr">
        <is>
          <t>PACW US Equity</t>
        </is>
      </c>
      <c r="BS2" s="2" t="inlineStr">
        <is>
          <t>LRNS US Equity</t>
        </is>
      </c>
      <c r="CC2" s="2" t="inlineStr">
        <is>
          <t>VIVO US Equity</t>
        </is>
      </c>
      <c r="CM2" s="2" t="inlineStr">
        <is>
          <t>FDC US Equity</t>
        </is>
      </c>
      <c r="CW2" s="2" t="inlineStr">
        <is>
          <t>BTFG US Equity</t>
        </is>
      </c>
      <c r="DG2" s="2" t="inlineStr">
        <is>
          <t>ADRX US Equity</t>
        </is>
      </c>
      <c r="DQ2" s="2" t="inlineStr">
        <is>
          <t>OSIP US Equity</t>
        </is>
      </c>
      <c r="EA2" s="2" t="inlineStr">
        <is>
          <t>CRMT US Equity</t>
        </is>
      </c>
      <c r="EK2" s="2" t="inlineStr">
        <is>
          <t>TSICQ US Equity</t>
        </is>
      </c>
      <c r="EU2" s="2" t="inlineStr">
        <is>
          <t>VSNT US Equity</t>
        </is>
      </c>
      <c r="FE2" s="2" t="inlineStr">
        <is>
          <t>UMPQ US Equity</t>
        </is>
      </c>
      <c r="FO2" s="2" t="inlineStr">
        <is>
          <t>PXFG US Equity</t>
        </is>
      </c>
      <c r="FY2" s="2" t="inlineStr">
        <is>
          <t>AVT US Equity</t>
        </is>
      </c>
      <c r="GI2" s="2" t="inlineStr">
        <is>
          <t>HCMC US Equity</t>
        </is>
      </c>
      <c r="GS2" s="2" t="inlineStr">
        <is>
          <t>PRK US Equity</t>
        </is>
      </c>
      <c r="HC2" s="2" t="inlineStr">
        <is>
          <t>CBU US Equity</t>
        </is>
      </c>
      <c r="HM2" s="2" t="inlineStr">
        <is>
          <t>AUTO US Equity</t>
        </is>
      </c>
      <c r="HW2" s="2" t="inlineStr">
        <is>
          <t>9990253D US Equity</t>
        </is>
      </c>
      <c r="IG2" s="2" t="inlineStr">
        <is>
          <t>LARK US Equity</t>
        </is>
      </c>
      <c r="IQ2" s="2" t="inlineStr">
        <is>
          <t>PFCI US Equity</t>
        </is>
      </c>
      <c r="JA2" s="2" t="inlineStr">
        <is>
          <t>ABNK US Equity</t>
        </is>
      </c>
      <c r="JK2" s="2" t="inlineStr">
        <is>
          <t>EBSB US Equity</t>
        </is>
      </c>
      <c r="JU2" s="2" t="inlineStr">
        <is>
          <t>DHR US Equity</t>
        </is>
      </c>
      <c r="KE2" s="2" t="inlineStr">
        <is>
          <t>LARK US Equity</t>
        </is>
      </c>
      <c r="KO2" s="2" t="inlineStr">
        <is>
          <t>623366Q US Equity</t>
        </is>
      </c>
      <c r="KY2" s="2" t="inlineStr">
        <is>
          <t>OAKF US Equity</t>
        </is>
      </c>
      <c r="LI2" s="2" t="inlineStr">
        <is>
          <t>CIA US Equity</t>
        </is>
      </c>
      <c r="LS2" s="2" t="inlineStr">
        <is>
          <t>SFNT US Equity</t>
        </is>
      </c>
      <c r="MC2" s="2" t="inlineStr">
        <is>
          <t>2228652D US Equity</t>
        </is>
      </c>
      <c r="MM2" s="2" t="inlineStr">
        <is>
          <t>EMCF US Equity</t>
        </is>
      </c>
      <c r="MW2" s="2" t="inlineStr">
        <is>
          <t>FWBN US Equity</t>
        </is>
      </c>
      <c r="NG2" s="2" t="inlineStr">
        <is>
          <t>PRGS US Equity</t>
        </is>
      </c>
      <c r="NQ2" s="2" t="inlineStr">
        <is>
          <t>LNWO US Equity</t>
        </is>
      </c>
      <c r="OA2" s="2" t="inlineStr">
        <is>
          <t>PCBI US Equity</t>
        </is>
      </c>
    </row>
    <row r="3">
      <c r="A3" t="inlineStr">
        <is>
          <t>Ann: 2006-09-06</t>
        </is>
      </c>
      <c r="K3" t="inlineStr">
        <is>
          <t>Ann: 2012-09-18</t>
        </is>
      </c>
      <c r="U3" t="inlineStr">
        <is>
          <t>Ann: 2001-04-24</t>
        </is>
      </c>
      <c r="AE3" t="inlineStr">
        <is>
          <t>Ann: 2000-04-06</t>
        </is>
      </c>
      <c r="AO3" t="inlineStr">
        <is>
          <t>Ann: 1998-05-15</t>
        </is>
      </c>
      <c r="AY3" t="inlineStr">
        <is>
          <t>Ann: 2012-03-13</t>
        </is>
      </c>
      <c r="BI3" t="inlineStr">
        <is>
          <t>Ann: 2002-04-19</t>
        </is>
      </c>
      <c r="BS3" t="inlineStr">
        <is>
          <t>Ann: 2000-11-15</t>
        </is>
      </c>
      <c r="CC3" t="inlineStr">
        <is>
          <t>Ann: 1998-09-16</t>
        </is>
      </c>
      <c r="CM3" t="inlineStr">
        <is>
          <t>Ann: 2001-03-17</t>
        </is>
      </c>
      <c r="CW3" t="inlineStr">
        <is>
          <t>Ann: 1998-06-09</t>
        </is>
      </c>
      <c r="DG3" t="inlineStr">
        <is>
          <t>Ann: 2001-02-12</t>
        </is>
      </c>
      <c r="DQ3" t="inlineStr">
        <is>
          <t>Ann: 2003-02-10</t>
        </is>
      </c>
      <c r="EA3" t="inlineStr">
        <is>
          <t>Ann: 1998-11-18</t>
        </is>
      </c>
      <c r="EK3" t="inlineStr">
        <is>
          <t>Ann: 2001-06-27</t>
        </is>
      </c>
      <c r="EU3" t="inlineStr">
        <is>
          <t>Ann: 2003-09-29</t>
        </is>
      </c>
      <c r="FE3" t="inlineStr">
        <is>
          <t>Ann: 2001-08-21</t>
        </is>
      </c>
      <c r="FO3" t="inlineStr">
        <is>
          <t>Ann: 2000-02-15</t>
        </is>
      </c>
      <c r="FY3" t="inlineStr">
        <is>
          <t>Ann: 2011-11-10</t>
        </is>
      </c>
      <c r="GI3" t="inlineStr">
        <is>
          <t>Ann: 2014-11-06</t>
        </is>
      </c>
      <c r="GS3" t="inlineStr">
        <is>
          <t>Ann: 2006-08-14</t>
        </is>
      </c>
      <c r="HC3" t="inlineStr">
        <is>
          <t>Ann: 2007-01-09</t>
        </is>
      </c>
      <c r="HM3" t="inlineStr">
        <is>
          <t>Ann: 2001-04-11</t>
        </is>
      </c>
      <c r="HW3" t="inlineStr">
        <is>
          <t>Ann: 1998-08-12</t>
        </is>
      </c>
      <c r="IG3" t="inlineStr">
        <is>
          <t>Ann: 2001-04-20</t>
        </is>
      </c>
      <c r="IQ3" t="inlineStr">
        <is>
          <t>Ann: 2014-10-30</t>
        </is>
      </c>
      <c r="JA3" t="inlineStr">
        <is>
          <t>Ann: 2011-09-15</t>
        </is>
      </c>
      <c r="JK3" t="inlineStr">
        <is>
          <t>Ann: 2017-06-26</t>
        </is>
      </c>
      <c r="JU3" t="inlineStr">
        <is>
          <t>Ann: 2000-06-06</t>
        </is>
      </c>
      <c r="KE3" t="inlineStr">
        <is>
          <t>Ann: 2003-11-13</t>
        </is>
      </c>
      <c r="KO3" t="inlineStr">
        <is>
          <t>Ann: 1998-03-19</t>
        </is>
      </c>
      <c r="KY3" t="inlineStr">
        <is>
          <t>Ann: 1999-03-11</t>
        </is>
      </c>
      <c r="LI3" t="inlineStr">
        <is>
          <t>Ann: 2002-11-11</t>
        </is>
      </c>
      <c r="LS3" t="inlineStr">
        <is>
          <t>Ann: 2002-10-30</t>
        </is>
      </c>
      <c r="MC3" t="inlineStr">
        <is>
          <t>Ann: 2008-04-10</t>
        </is>
      </c>
      <c r="MM3" t="inlineStr">
        <is>
          <t>Ann: 2018-05-25</t>
        </is>
      </c>
      <c r="MW3" t="inlineStr">
        <is>
          <t>Ann: 1998-08-13</t>
        </is>
      </c>
      <c r="NG3" t="inlineStr">
        <is>
          <t>Ann: 2002-10-21</t>
        </is>
      </c>
      <c r="NQ3" t="inlineStr">
        <is>
          <t>Ann: 2002-11-19</t>
        </is>
      </c>
      <c r="OA3" t="inlineStr">
        <is>
          <t>Ann: 2000-09-19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BDS("HRL US Equity","SUPPLY_CHAIN_SUPPLIERS","RELATIONSHIP_AS_OF_DATE","20060906")</f>
        <v/>
      </c>
      <c r="F5">
        <f>BDS("HRL US Equity","SUPPLY_CHAIN_CUSTOMERS","RELATIONSHIP_AS_OF_DATE","20060906")</f>
        <v/>
      </c>
      <c r="K5">
        <f>BDS("NUAN US Equity","SUPPLY_CHAIN_SUPPLIERS","RELATIONSHIP_AS_OF_DATE","20120918")</f>
        <v/>
      </c>
      <c r="P5">
        <f>BDS("NUAN US Equity","SUPPLY_CHAIN_CUSTOMERS","RELATIONSHIP_AS_OF_DATE","20120918")</f>
        <v/>
      </c>
      <c r="U5">
        <f>BDS("AGEN US Equity","SUPPLY_CHAIN_SUPPLIERS","RELATIONSHIP_AS_OF_DATE","20010424")</f>
        <v/>
      </c>
      <c r="Z5">
        <f>BDS("AGEN US Equity","SUPPLY_CHAIN_CUSTOMERS","RELATIONSHIP_AS_OF_DATE","20010424")</f>
        <v/>
      </c>
      <c r="AE5">
        <f>BDS("ZD US Equity","SUPPLY_CHAIN_SUPPLIERS","RELATIONSHIP_AS_OF_DATE","20000406")</f>
        <v/>
      </c>
      <c r="AJ5">
        <f>BDS("ZD US Equity","SUPPLY_CHAIN_CUSTOMERS","RELATIONSHIP_AS_OF_DATE","20000406")</f>
        <v/>
      </c>
      <c r="AO5">
        <f>BDS("355488Q US Equity","SUPPLY_CHAIN_SUPPLIERS","RELATIONSHIP_AS_OF_DATE","19980515")</f>
        <v/>
      </c>
      <c r="AT5">
        <f>BDS("355488Q US Equity","SUPPLY_CHAIN_CUSTOMERS","RELATIONSHIP_AS_OF_DATE","19980515")</f>
        <v/>
      </c>
      <c r="AY5">
        <f>BDS("NFBK US Equity","SUPPLY_CHAIN_SUPPLIERS","RELATIONSHIP_AS_OF_DATE","20120313")</f>
        <v/>
      </c>
      <c r="BD5">
        <f>BDS("NFBK US Equity","SUPPLY_CHAIN_CUSTOMERS","RELATIONSHIP_AS_OF_DATE","20120313")</f>
        <v/>
      </c>
      <c r="BI5">
        <f>BDS("PACW US Equity","SUPPLY_CHAIN_SUPPLIERS","RELATIONSHIP_AS_OF_DATE","20020419")</f>
        <v/>
      </c>
      <c r="BN5">
        <f>BDS("PACW US Equity","SUPPLY_CHAIN_CUSTOMERS","RELATIONSHIP_AS_OF_DATE","20020419")</f>
        <v/>
      </c>
      <c r="BS5">
        <f>BDS("LRNS US Equity","SUPPLY_CHAIN_SUPPLIERS","RELATIONSHIP_AS_OF_DATE","20001115")</f>
        <v/>
      </c>
      <c r="BX5">
        <f>BDS("LRNS US Equity","SUPPLY_CHAIN_CUSTOMERS","RELATIONSHIP_AS_OF_DATE","20001115")</f>
        <v/>
      </c>
      <c r="CC5">
        <f>BDS("VIVO US Equity","SUPPLY_CHAIN_SUPPLIERS","RELATIONSHIP_AS_OF_DATE","19980916")</f>
        <v/>
      </c>
      <c r="CH5">
        <f>BDS("VIVO US Equity","SUPPLY_CHAIN_CUSTOMERS","RELATIONSHIP_AS_OF_DATE","19980916")</f>
        <v/>
      </c>
      <c r="CM5">
        <f>BDS("FDC US Equity","SUPPLY_CHAIN_SUPPLIERS","RELATIONSHIP_AS_OF_DATE","20010317")</f>
        <v/>
      </c>
      <c r="CR5">
        <f>BDS("FDC US Equity","SUPPLY_CHAIN_CUSTOMERS","RELATIONSHIP_AS_OF_DATE","20010317")</f>
        <v/>
      </c>
      <c r="CW5">
        <f>BDS("BTFG US Equity","SUPPLY_CHAIN_SUPPLIERS","RELATIONSHIP_AS_OF_DATE","19980609")</f>
        <v/>
      </c>
      <c r="DB5">
        <f>BDS("BTFG US Equity","SUPPLY_CHAIN_CUSTOMERS","RELATIONSHIP_AS_OF_DATE","19980609")</f>
        <v/>
      </c>
      <c r="DG5">
        <f>BDS("ADRX US Equity","SUPPLY_CHAIN_SUPPLIERS","RELATIONSHIP_AS_OF_DATE","20010212")</f>
        <v/>
      </c>
      <c r="DL5">
        <f>BDS("ADRX US Equity","SUPPLY_CHAIN_CUSTOMERS","RELATIONSHIP_AS_OF_DATE","20010212")</f>
        <v/>
      </c>
      <c r="DQ5">
        <f>BDS("OSIP US Equity","SUPPLY_CHAIN_SUPPLIERS","RELATIONSHIP_AS_OF_DATE","20030210")</f>
        <v/>
      </c>
      <c r="DV5">
        <f>BDS("OSIP US Equity","SUPPLY_CHAIN_CUSTOMERS","RELATIONSHIP_AS_OF_DATE","20030210")</f>
        <v/>
      </c>
      <c r="EA5">
        <f>BDS("CRMT US Equity","SUPPLY_CHAIN_SUPPLIERS","RELATIONSHIP_AS_OF_DATE","19981118")</f>
        <v/>
      </c>
      <c r="EF5">
        <f>BDS("CRMT US Equity","SUPPLY_CHAIN_CUSTOMERS","RELATIONSHIP_AS_OF_DATE","19981118")</f>
        <v/>
      </c>
      <c r="EK5">
        <f>BDS("TSICQ US Equity","SUPPLY_CHAIN_SUPPLIERS","RELATIONSHIP_AS_OF_DATE","20010627")</f>
        <v/>
      </c>
      <c r="EP5">
        <f>BDS("TSICQ US Equity","SUPPLY_CHAIN_CUSTOMERS","RELATIONSHIP_AS_OF_DATE","20010627")</f>
        <v/>
      </c>
      <c r="EU5">
        <f>BDS("VSNT US Equity","SUPPLY_CHAIN_SUPPLIERS","RELATIONSHIP_AS_OF_DATE","20030929")</f>
        <v/>
      </c>
      <c r="EZ5">
        <f>BDS("VSNT US Equity","SUPPLY_CHAIN_CUSTOMERS","RELATIONSHIP_AS_OF_DATE","20030929")</f>
        <v/>
      </c>
      <c r="FE5">
        <f>BDS("UMPQ US Equity","SUPPLY_CHAIN_SUPPLIERS","RELATIONSHIP_AS_OF_DATE","20010821")</f>
        <v/>
      </c>
      <c r="FJ5">
        <f>BDS("UMPQ US Equity","SUPPLY_CHAIN_CUSTOMERS","RELATIONSHIP_AS_OF_DATE","20010821")</f>
        <v/>
      </c>
      <c r="FO5">
        <f>BDS("PXFG US Equity","SUPPLY_CHAIN_SUPPLIERS","RELATIONSHIP_AS_OF_DATE","20000215")</f>
        <v/>
      </c>
      <c r="FT5">
        <f>BDS("PXFG US Equity","SUPPLY_CHAIN_CUSTOMERS","RELATIONSHIP_AS_OF_DATE","20000215")</f>
        <v/>
      </c>
      <c r="FY5">
        <f>BDS("AVT US Equity","SUPPLY_CHAIN_SUPPLIERS","RELATIONSHIP_AS_OF_DATE","20111110")</f>
        <v/>
      </c>
      <c r="GD5">
        <f>BDS("AVT US Equity","SUPPLY_CHAIN_CUSTOMERS","RELATIONSHIP_AS_OF_DATE","20111110")</f>
        <v/>
      </c>
      <c r="GI5">
        <f>BDS("HCMC US Equity","SUPPLY_CHAIN_SUPPLIERS","RELATIONSHIP_AS_OF_DATE","20141106")</f>
        <v/>
      </c>
      <c r="GN5">
        <f>BDS("HCMC US Equity","SUPPLY_CHAIN_CUSTOMERS","RELATIONSHIP_AS_OF_DATE","20141106")</f>
        <v/>
      </c>
      <c r="GS5">
        <f>BDS("PRK US Equity","SUPPLY_CHAIN_SUPPLIERS","RELATIONSHIP_AS_OF_DATE","20060814")</f>
        <v/>
      </c>
      <c r="GX5">
        <f>BDS("PRK US Equity","SUPPLY_CHAIN_CUSTOMERS","RELATIONSHIP_AS_OF_DATE","20060814")</f>
        <v/>
      </c>
      <c r="HC5">
        <f>BDS("CBU US Equity","SUPPLY_CHAIN_SUPPLIERS","RELATIONSHIP_AS_OF_DATE","20070109")</f>
        <v/>
      </c>
      <c r="HH5">
        <f>BDS("CBU US Equity","SUPPLY_CHAIN_CUSTOMERS","RELATIONSHIP_AS_OF_DATE","20070109")</f>
        <v/>
      </c>
      <c r="HM5">
        <f>BDS("AUTO US Equity","SUPPLY_CHAIN_SUPPLIERS","RELATIONSHIP_AS_OF_DATE","20010411")</f>
        <v/>
      </c>
      <c r="HR5">
        <f>BDS("AUTO US Equity","SUPPLY_CHAIN_CUSTOMERS","RELATIONSHIP_AS_OF_DATE","20010411")</f>
        <v/>
      </c>
      <c r="HW5">
        <f>BDS("9990253D US Equity","SUPPLY_CHAIN_SUPPLIERS","RELATIONSHIP_AS_OF_DATE","19980812")</f>
        <v/>
      </c>
      <c r="IB5">
        <f>BDS("9990253D US Equity","SUPPLY_CHAIN_CUSTOMERS","RELATIONSHIP_AS_OF_DATE","19980812")</f>
        <v/>
      </c>
      <c r="IG5">
        <f>BDS("LARK US Equity","SUPPLY_CHAIN_SUPPLIERS","RELATIONSHIP_AS_OF_DATE","20010420")</f>
        <v/>
      </c>
      <c r="IL5">
        <f>BDS("LARK US Equity","SUPPLY_CHAIN_CUSTOMERS","RELATIONSHIP_AS_OF_DATE","20010420")</f>
        <v/>
      </c>
      <c r="IQ5">
        <f>BDS("PFCI US Equity","SUPPLY_CHAIN_SUPPLIERS","RELATIONSHIP_AS_OF_DATE","20141030")</f>
        <v/>
      </c>
      <c r="IV5">
        <f>BDS("PFCI US Equity","SUPPLY_CHAIN_CUSTOMERS","RELATIONSHIP_AS_OF_DATE","20141030")</f>
        <v/>
      </c>
      <c r="JA5">
        <f>BDS("ABNK US Equity","SUPPLY_CHAIN_SUPPLIERS","RELATIONSHIP_AS_OF_DATE","20110915")</f>
        <v/>
      </c>
      <c r="JF5">
        <f>BDS("ABNK US Equity","SUPPLY_CHAIN_CUSTOMERS","RELATIONSHIP_AS_OF_DATE","20110915")</f>
        <v/>
      </c>
      <c r="JK5">
        <f>BDS("EBSB US Equity","SUPPLY_CHAIN_SUPPLIERS","RELATIONSHIP_AS_OF_DATE","20170626")</f>
        <v/>
      </c>
      <c r="JP5">
        <f>BDS("EBSB US Equity","SUPPLY_CHAIN_CUSTOMERS","RELATIONSHIP_AS_OF_DATE","20170626")</f>
        <v/>
      </c>
      <c r="JU5">
        <f>BDS("DHR US Equity","SUPPLY_CHAIN_SUPPLIERS","RELATIONSHIP_AS_OF_DATE","20000606")</f>
        <v/>
      </c>
      <c r="JZ5">
        <f>BDS("DHR US Equity","SUPPLY_CHAIN_CUSTOMERS","RELATIONSHIP_AS_OF_DATE","20000606")</f>
        <v/>
      </c>
      <c r="KE5">
        <f>BDS("LARK US Equity","SUPPLY_CHAIN_SUPPLIERS","RELATIONSHIP_AS_OF_DATE","20031113")</f>
        <v/>
      </c>
      <c r="KJ5">
        <f>BDS("LARK US Equity","SUPPLY_CHAIN_CUSTOMERS","RELATIONSHIP_AS_OF_DATE","20031113")</f>
        <v/>
      </c>
      <c r="KO5">
        <f>BDS("623366Q US Equity","SUPPLY_CHAIN_SUPPLIERS","RELATIONSHIP_AS_OF_DATE","19980319")</f>
        <v/>
      </c>
      <c r="KT5">
        <f>BDS("623366Q US Equity","SUPPLY_CHAIN_CUSTOMERS","RELATIONSHIP_AS_OF_DATE","19980319")</f>
        <v/>
      </c>
      <c r="KY5">
        <f>BDS("OAKF US Equity","SUPPLY_CHAIN_SUPPLIERS","RELATIONSHIP_AS_OF_DATE","19990311")</f>
        <v/>
      </c>
      <c r="LD5">
        <f>BDS("OAKF US Equity","SUPPLY_CHAIN_CUSTOMERS","RELATIONSHIP_AS_OF_DATE","19990311")</f>
        <v/>
      </c>
      <c r="LI5">
        <f>BDS("CIA US Equity","SUPPLY_CHAIN_SUPPLIERS","RELATIONSHIP_AS_OF_DATE","20021111")</f>
        <v/>
      </c>
      <c r="LN5">
        <f>BDS("CIA US Equity","SUPPLY_CHAIN_CUSTOMERS","RELATIONSHIP_AS_OF_DATE","20021111")</f>
        <v/>
      </c>
      <c r="LS5">
        <f>BDS("SFNT US Equity","SUPPLY_CHAIN_SUPPLIERS","RELATIONSHIP_AS_OF_DATE","20021030")</f>
        <v/>
      </c>
      <c r="LX5">
        <f>BDS("SFNT US Equity","SUPPLY_CHAIN_CUSTOMERS","RELATIONSHIP_AS_OF_DATE","20021030")</f>
        <v/>
      </c>
      <c r="MC5">
        <f>BDS("2228652D US Equity","SUPPLY_CHAIN_SUPPLIERS","RELATIONSHIP_AS_OF_DATE","20080410")</f>
        <v/>
      </c>
      <c r="MH5">
        <f>BDS("2228652D US Equity","SUPPLY_CHAIN_CUSTOMERS","RELATIONSHIP_AS_OF_DATE","20080410")</f>
        <v/>
      </c>
      <c r="MM5">
        <f>BDS("EMCF US Equity","SUPPLY_CHAIN_SUPPLIERS","RELATIONSHIP_AS_OF_DATE","20180525")</f>
        <v/>
      </c>
      <c r="MR5">
        <f>BDS("EMCF US Equity","SUPPLY_CHAIN_CUSTOMERS","RELATIONSHIP_AS_OF_DATE","20180525")</f>
        <v/>
      </c>
      <c r="MW5">
        <f>BDS("FWBN US Equity","SUPPLY_CHAIN_SUPPLIERS","RELATIONSHIP_AS_OF_DATE","19980813")</f>
        <v/>
      </c>
      <c r="NB5">
        <f>BDS("FWBN US Equity","SUPPLY_CHAIN_CUSTOMERS","RELATIONSHIP_AS_OF_DATE","19980813")</f>
        <v/>
      </c>
      <c r="NG5">
        <f>BDS("PRGS US Equity","SUPPLY_CHAIN_SUPPLIERS","RELATIONSHIP_AS_OF_DATE","20021021")</f>
        <v/>
      </c>
      <c r="NL5">
        <f>BDS("PRGS US Equity","SUPPLY_CHAIN_CUSTOMERS","RELATIONSHIP_AS_OF_DATE","20021021")</f>
        <v/>
      </c>
      <c r="NQ5">
        <f>BDS("LNWO US Equity","SUPPLY_CHAIN_SUPPLIERS","RELATIONSHIP_AS_OF_DATE","20021119")</f>
        <v/>
      </c>
      <c r="NV5">
        <f>BDS("LNWO US Equity","SUPPLY_CHAIN_CUSTOMERS","RELATIONSHIP_AS_OF_DATE","20021119")</f>
        <v/>
      </c>
      <c r="OA5">
        <f>BDS("PCBI US Equity","SUPPLY_CHAIN_SUPPLIERS","RELATIONSHIP_AS_OF_DATE","20000919")</f>
        <v/>
      </c>
      <c r="OF5">
        <f>BDS("PCBI US Equity","SUPPLY_CHAIN_CUSTOMERS","RELATIONSHIP_AS_OF_DATE","20000919")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4761</t>
        </is>
      </c>
      <c r="K1" s="1" t="inlineStr">
        <is>
          <t>Deal 4762</t>
        </is>
      </c>
      <c r="U1" s="1" t="inlineStr">
        <is>
          <t>Deal 4763</t>
        </is>
      </c>
      <c r="AE1" s="1" t="inlineStr">
        <is>
          <t>Deal 4764</t>
        </is>
      </c>
      <c r="AO1" s="1" t="inlineStr">
        <is>
          <t>Deal 4765</t>
        </is>
      </c>
      <c r="AY1" s="1" t="inlineStr">
        <is>
          <t>Deal 4766</t>
        </is>
      </c>
      <c r="BI1" s="1" t="inlineStr">
        <is>
          <t>Deal 4767</t>
        </is>
      </c>
      <c r="BS1" s="1" t="inlineStr">
        <is>
          <t>Deal 4768</t>
        </is>
      </c>
      <c r="CC1" s="1" t="inlineStr">
        <is>
          <t>Deal 4769</t>
        </is>
      </c>
      <c r="CM1" s="1" t="inlineStr">
        <is>
          <t>Deal 4770</t>
        </is>
      </c>
      <c r="CW1" s="1" t="inlineStr">
        <is>
          <t>Deal 4771</t>
        </is>
      </c>
      <c r="DG1" s="1" t="inlineStr">
        <is>
          <t>Deal 4772</t>
        </is>
      </c>
      <c r="DQ1" s="1" t="inlineStr">
        <is>
          <t>Deal 4773</t>
        </is>
      </c>
      <c r="EA1" s="1" t="inlineStr">
        <is>
          <t>Deal 4774</t>
        </is>
      </c>
      <c r="EK1" s="1" t="inlineStr">
        <is>
          <t>Deal 4775</t>
        </is>
      </c>
      <c r="EU1" s="1" t="inlineStr">
        <is>
          <t>Deal 4776</t>
        </is>
      </c>
      <c r="FE1" s="1" t="inlineStr">
        <is>
          <t>Deal 4777</t>
        </is>
      </c>
      <c r="FO1" s="1" t="inlineStr">
        <is>
          <t>Deal 4778</t>
        </is>
      </c>
      <c r="FY1" s="1" t="inlineStr">
        <is>
          <t>Deal 4779</t>
        </is>
      </c>
      <c r="GI1" s="1" t="inlineStr">
        <is>
          <t>Deal 4780</t>
        </is>
      </c>
      <c r="GS1" s="1" t="inlineStr">
        <is>
          <t>Deal 4781</t>
        </is>
      </c>
      <c r="HC1" s="1" t="inlineStr">
        <is>
          <t>Deal 4782</t>
        </is>
      </c>
      <c r="HM1" s="1" t="inlineStr">
        <is>
          <t>Deal 4783</t>
        </is>
      </c>
      <c r="HW1" s="1" t="inlineStr">
        <is>
          <t>Deal 4784</t>
        </is>
      </c>
      <c r="IG1" s="1" t="inlineStr">
        <is>
          <t>Deal 4785</t>
        </is>
      </c>
      <c r="IQ1" s="1" t="inlineStr">
        <is>
          <t>Deal 4786</t>
        </is>
      </c>
      <c r="JA1" s="1" t="inlineStr">
        <is>
          <t>Deal 4787</t>
        </is>
      </c>
      <c r="JK1" s="1" t="inlineStr">
        <is>
          <t>Deal 4788</t>
        </is>
      </c>
      <c r="JU1" s="1" t="inlineStr">
        <is>
          <t>Deal 4789</t>
        </is>
      </c>
      <c r="KE1" s="1" t="inlineStr">
        <is>
          <t>Deal 4790</t>
        </is>
      </c>
      <c r="KO1" s="1" t="inlineStr">
        <is>
          <t>Deal 4791</t>
        </is>
      </c>
      <c r="KY1" s="1" t="inlineStr">
        <is>
          <t>Deal 4792</t>
        </is>
      </c>
      <c r="LI1" s="1" t="inlineStr">
        <is>
          <t>Deal 4793</t>
        </is>
      </c>
      <c r="LS1" s="1" t="inlineStr">
        <is>
          <t>Deal 4794</t>
        </is>
      </c>
      <c r="MC1" s="1" t="inlineStr">
        <is>
          <t>Deal 4795</t>
        </is>
      </c>
      <c r="MM1" s="1" t="inlineStr">
        <is>
          <t>Deal 4796</t>
        </is>
      </c>
      <c r="MW1" s="1" t="inlineStr">
        <is>
          <t>Deal 4797</t>
        </is>
      </c>
      <c r="NG1" s="1" t="inlineStr">
        <is>
          <t>Deal 4798</t>
        </is>
      </c>
      <c r="NQ1" s="1" t="inlineStr">
        <is>
          <t>Deal 4799</t>
        </is>
      </c>
      <c r="OA1" s="1" t="inlineStr">
        <is>
          <t>Deal 4800</t>
        </is>
      </c>
    </row>
    <row r="2">
      <c r="A2" s="2" t="inlineStr">
        <is>
          <t>QCRH US Equity</t>
        </is>
      </c>
      <c r="K2" s="2" t="inlineStr">
        <is>
          <t>CUNB US Equity</t>
        </is>
      </c>
      <c r="U2" s="2" t="inlineStr">
        <is>
          <t>1822785D US Equity</t>
        </is>
      </c>
      <c r="AE2" s="2" t="inlineStr">
        <is>
          <t>YCB US Equity</t>
        </is>
      </c>
      <c r="AO2" s="2" t="inlineStr">
        <is>
          <t>PCBI US Equity</t>
        </is>
      </c>
      <c r="AY2" s="2" t="inlineStr">
        <is>
          <t>BX US Equity</t>
        </is>
      </c>
      <c r="BI2" s="2" t="inlineStr">
        <is>
          <t>GADS US Equity</t>
        </is>
      </c>
      <c r="BS2" s="2" t="inlineStr">
        <is>
          <t>WABC US Equity</t>
        </is>
      </c>
      <c r="CC2" s="2" t="inlineStr">
        <is>
          <t>ULB US Equity</t>
        </is>
      </c>
      <c r="CM2" s="2" t="inlineStr">
        <is>
          <t>PCTI US Equity</t>
        </is>
      </c>
      <c r="CW2" s="2" t="inlineStr">
        <is>
          <t>IHC US Equity</t>
        </is>
      </c>
      <c r="DG2" s="2" t="inlineStr">
        <is>
          <t>2860436Q US Equity</t>
        </is>
      </c>
      <c r="DQ2" s="2" t="inlineStr">
        <is>
          <t>GRA US Equity</t>
        </is>
      </c>
      <c r="EA2" s="2" t="inlineStr">
        <is>
          <t>IFCJ US Equity</t>
        </is>
      </c>
      <c r="EK2" s="2" t="inlineStr">
        <is>
          <t>CBKN US Equity</t>
        </is>
      </c>
      <c r="EU2" s="2" t="inlineStr">
        <is>
          <t>CARO US Equity</t>
        </is>
      </c>
      <c r="FE2" s="2" t="inlineStr">
        <is>
          <t>FGBI US Equity</t>
        </is>
      </c>
      <c r="FO2" s="2" t="inlineStr">
        <is>
          <t>PACW US Equity</t>
        </is>
      </c>
      <c r="FY2" s="2" t="inlineStr">
        <is>
          <t>AVLY US Equity</t>
        </is>
      </c>
      <c r="GI2" s="2" t="inlineStr">
        <is>
          <t>FXNC US Equity</t>
        </is>
      </c>
      <c r="GS2" s="2" t="inlineStr">
        <is>
          <t>ALAB US Equity</t>
        </is>
      </c>
      <c r="HC2" s="2" t="inlineStr">
        <is>
          <t>CERN US Equity</t>
        </is>
      </c>
      <c r="HM2" s="2" t="inlineStr">
        <is>
          <t>1284849D US Equity</t>
        </is>
      </c>
      <c r="HW2" s="2" t="inlineStr">
        <is>
          <t>SPGZ US Equity</t>
        </is>
      </c>
      <c r="IG2" s="2" t="inlineStr">
        <is>
          <t>ABBK US Equity</t>
        </is>
      </c>
      <c r="IQ2" s="2" t="inlineStr">
        <is>
          <t>GABC US Equity</t>
        </is>
      </c>
      <c r="JA2" s="2" t="inlineStr">
        <is>
          <t>LVCI US Equity</t>
        </is>
      </c>
      <c r="JK2" s="2" t="inlineStr">
        <is>
          <t>HBIO US Equity</t>
        </is>
      </c>
      <c r="JU2" s="2" t="inlineStr">
        <is>
          <t>JEF US Equity</t>
        </is>
      </c>
      <c r="KE2" s="2" t="inlineStr">
        <is>
          <t>WABC US Equity</t>
        </is>
      </c>
      <c r="KO2" s="2" t="inlineStr">
        <is>
          <t>8184823Q US Equity</t>
        </is>
      </c>
      <c r="KY2" s="2" t="inlineStr">
        <is>
          <t>1368189D US Equity</t>
        </is>
      </c>
      <c r="LI2" s="2" t="inlineStr">
        <is>
          <t>CTS US Equity</t>
        </is>
      </c>
      <c r="LS2" s="2" t="inlineStr">
        <is>
          <t>FNB US Equity</t>
        </is>
      </c>
      <c r="MC2" s="2" t="inlineStr">
        <is>
          <t>CAH US Equity</t>
        </is>
      </c>
      <c r="MM2" s="2" t="inlineStr">
        <is>
          <t>CVBF US Equity</t>
        </is>
      </c>
      <c r="MW2" s="2" t="inlineStr">
        <is>
          <t>NWFL US Equity</t>
        </is>
      </c>
      <c r="NG2" s="2" t="inlineStr">
        <is>
          <t>OAKF US Equity</t>
        </is>
      </c>
      <c r="NQ2" s="2" t="inlineStr">
        <is>
          <t>1255459D US Equity</t>
        </is>
      </c>
      <c r="OA2" s="2" t="inlineStr">
        <is>
          <t>ORXE US Equity</t>
        </is>
      </c>
    </row>
    <row r="3">
      <c r="A3" t="inlineStr">
        <is>
          <t>Ann: 2021-11-09</t>
        </is>
      </c>
      <c r="K3" t="inlineStr">
        <is>
          <t>Ann: 2010-08-25</t>
        </is>
      </c>
      <c r="U3" t="inlineStr">
        <is>
          <t>Ann: 1998-10-21</t>
        </is>
      </c>
      <c r="AE3" t="inlineStr">
        <is>
          <t>Ann: 2014-04-22</t>
        </is>
      </c>
      <c r="AO3" t="inlineStr">
        <is>
          <t>Ann: 1999-10-01</t>
        </is>
      </c>
      <c r="AY3" t="inlineStr">
        <is>
          <t>Ann: 2007-05-18</t>
        </is>
      </c>
      <c r="BI3" t="inlineStr">
        <is>
          <t>Ann: 2004-12-01</t>
        </is>
      </c>
      <c r="BS3" t="inlineStr">
        <is>
          <t>Ann: 2000-03-15</t>
        </is>
      </c>
      <c r="CC3" t="inlineStr">
        <is>
          <t>Ann: 1998-09-17</t>
        </is>
      </c>
      <c r="CM3" t="inlineStr">
        <is>
          <t>Ann: 2012-07-09</t>
        </is>
      </c>
      <c r="CW3" t="inlineStr">
        <is>
          <t>Ann: 2016-01-05</t>
        </is>
      </c>
      <c r="DG3" t="inlineStr">
        <is>
          <t>Ann: 2003-09-09</t>
        </is>
      </c>
      <c r="DQ3" t="inlineStr">
        <is>
          <t>Ann: 2010-09-14</t>
        </is>
      </c>
      <c r="EA3" t="inlineStr">
        <is>
          <t>Ann: 1998-01-28</t>
        </is>
      </c>
      <c r="EK3" t="inlineStr">
        <is>
          <t>Ann: 1998-09-30</t>
        </is>
      </c>
      <c r="EU3" t="inlineStr">
        <is>
          <t>Ann: 2016-01-06</t>
        </is>
      </c>
      <c r="FE3" t="inlineStr">
        <is>
          <t>Ann: 2007-01-05</t>
        </is>
      </c>
      <c r="FO3" t="inlineStr">
        <is>
          <t>Ann: 2000-08-07</t>
        </is>
      </c>
      <c r="FY3" t="inlineStr">
        <is>
          <t>Ann: 2006-04-17</t>
        </is>
      </c>
      <c r="GI3" t="inlineStr">
        <is>
          <t>Ann: 2021-02-18</t>
        </is>
      </c>
      <c r="GS3" t="inlineStr">
        <is>
          <t>Ann: 2000-10-10</t>
        </is>
      </c>
      <c r="HC3" t="inlineStr">
        <is>
          <t>Ann: 2000-05-15</t>
        </is>
      </c>
      <c r="HM3" t="inlineStr">
        <is>
          <t>Ann: 2013-04-12</t>
        </is>
      </c>
      <c r="HW3" t="inlineStr">
        <is>
          <t>Ann: 2005-07-15</t>
        </is>
      </c>
      <c r="IG3" t="inlineStr">
        <is>
          <t>Ann: 2002-04-10</t>
        </is>
      </c>
      <c r="IQ3" t="inlineStr">
        <is>
          <t>Ann: 2000-03-24</t>
        </is>
      </c>
      <c r="JA3" t="inlineStr">
        <is>
          <t>Ann: 2002-05-16</t>
        </is>
      </c>
      <c r="JK3" t="inlineStr">
        <is>
          <t>Ann: 2002-07-18</t>
        </is>
      </c>
      <c r="JU3" t="inlineStr">
        <is>
          <t>Ann: 1999-09-01</t>
        </is>
      </c>
      <c r="KE3" t="inlineStr">
        <is>
          <t>Ann: 2002-02-26</t>
        </is>
      </c>
      <c r="KO3" t="inlineStr">
        <is>
          <t>Ann: 1998-07-28</t>
        </is>
      </c>
      <c r="KY3" t="inlineStr">
        <is>
          <t>Ann: 1999-05-13</t>
        </is>
      </c>
      <c r="LI3" t="inlineStr">
        <is>
          <t>Ann: 2011-11-17</t>
        </is>
      </c>
      <c r="LS3" t="inlineStr">
        <is>
          <t>Ann: 2005-04-25</t>
        </is>
      </c>
      <c r="MC3" t="inlineStr">
        <is>
          <t>Ann: 2003-10-02</t>
        </is>
      </c>
      <c r="MM3" t="inlineStr">
        <is>
          <t>Ann: 2003-05-12</t>
        </is>
      </c>
      <c r="MW3" t="inlineStr">
        <is>
          <t>Ann: 2016-03-10</t>
        </is>
      </c>
      <c r="NG3" t="inlineStr">
        <is>
          <t>Ann: 2004-10-12</t>
        </is>
      </c>
      <c r="NQ3" t="inlineStr">
        <is>
          <t>Ann: 2006-09-01</t>
        </is>
      </c>
      <c r="OA3" t="inlineStr">
        <is>
          <t>Ann: 1998-07-07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BDS("QCRH US Equity","SUPPLY_CHAIN_SUPPLIERS","RELATIONSHIP_AS_OF_DATE","20211109")</f>
        <v/>
      </c>
      <c r="F5">
        <f>BDS("QCRH US Equity","SUPPLY_CHAIN_CUSTOMERS","RELATIONSHIP_AS_OF_DATE","20211109")</f>
        <v/>
      </c>
      <c r="K5">
        <f>BDS("CUNB US Equity","SUPPLY_CHAIN_SUPPLIERS","RELATIONSHIP_AS_OF_DATE","20100825")</f>
        <v/>
      </c>
      <c r="P5">
        <f>BDS("CUNB US Equity","SUPPLY_CHAIN_CUSTOMERS","RELATIONSHIP_AS_OF_DATE","20100825")</f>
        <v/>
      </c>
      <c r="U5">
        <f>BDS("1822785D US Equity","SUPPLY_CHAIN_SUPPLIERS","RELATIONSHIP_AS_OF_DATE","19981021")</f>
        <v/>
      </c>
      <c r="Z5">
        <f>BDS("1822785D US Equity","SUPPLY_CHAIN_CUSTOMERS","RELATIONSHIP_AS_OF_DATE","19981021")</f>
        <v/>
      </c>
      <c r="AE5">
        <f>BDS("YCB US Equity","SUPPLY_CHAIN_SUPPLIERS","RELATIONSHIP_AS_OF_DATE","20140422")</f>
        <v/>
      </c>
      <c r="AJ5">
        <f>BDS("YCB US Equity","SUPPLY_CHAIN_CUSTOMERS","RELATIONSHIP_AS_OF_DATE","20140422")</f>
        <v/>
      </c>
      <c r="AO5">
        <f>BDS("PCBI US Equity","SUPPLY_CHAIN_SUPPLIERS","RELATIONSHIP_AS_OF_DATE","19991001")</f>
        <v/>
      </c>
      <c r="AT5">
        <f>BDS("PCBI US Equity","SUPPLY_CHAIN_CUSTOMERS","RELATIONSHIP_AS_OF_DATE","19991001")</f>
        <v/>
      </c>
      <c r="AY5">
        <f>BDS("BX US Equity","SUPPLY_CHAIN_SUPPLIERS","RELATIONSHIP_AS_OF_DATE","20070518")</f>
        <v/>
      </c>
      <c r="BD5">
        <f>BDS("BX US Equity","SUPPLY_CHAIN_CUSTOMERS","RELATIONSHIP_AS_OF_DATE","20070518")</f>
        <v/>
      </c>
      <c r="BI5">
        <f>BDS("GADS US Equity","SUPPLY_CHAIN_SUPPLIERS","RELATIONSHIP_AS_OF_DATE","20041201")</f>
        <v/>
      </c>
      <c r="BN5">
        <f>BDS("GADS US Equity","SUPPLY_CHAIN_CUSTOMERS","RELATIONSHIP_AS_OF_DATE","20041201")</f>
        <v/>
      </c>
      <c r="BS5">
        <f>BDS("WABC US Equity","SUPPLY_CHAIN_SUPPLIERS","RELATIONSHIP_AS_OF_DATE","20000315")</f>
        <v/>
      </c>
      <c r="BX5">
        <f>BDS("WABC US Equity","SUPPLY_CHAIN_CUSTOMERS","RELATIONSHIP_AS_OF_DATE","20000315")</f>
        <v/>
      </c>
      <c r="CC5">
        <f>BDS("ULB US Equity","SUPPLY_CHAIN_SUPPLIERS","RELATIONSHIP_AS_OF_DATE","19980917")</f>
        <v/>
      </c>
      <c r="CH5">
        <f>BDS("ULB US Equity","SUPPLY_CHAIN_CUSTOMERS","RELATIONSHIP_AS_OF_DATE","19980917")</f>
        <v/>
      </c>
      <c r="CM5">
        <f>BDS("PCTI US Equity","SUPPLY_CHAIN_SUPPLIERS","RELATIONSHIP_AS_OF_DATE","20120709")</f>
        <v/>
      </c>
      <c r="CR5">
        <f>BDS("PCTI US Equity","SUPPLY_CHAIN_CUSTOMERS","RELATIONSHIP_AS_OF_DATE","20120709")</f>
        <v/>
      </c>
      <c r="CW5">
        <f>BDS("IHC US Equity","SUPPLY_CHAIN_SUPPLIERS","RELATIONSHIP_AS_OF_DATE","20160105")</f>
        <v/>
      </c>
      <c r="DB5">
        <f>BDS("IHC US Equity","SUPPLY_CHAIN_CUSTOMERS","RELATIONSHIP_AS_OF_DATE","20160105")</f>
        <v/>
      </c>
      <c r="DG5">
        <f>BDS("2860436Q US Equity","SUPPLY_CHAIN_SUPPLIERS","RELATIONSHIP_AS_OF_DATE","20030909")</f>
        <v/>
      </c>
      <c r="DL5">
        <f>BDS("2860436Q US Equity","SUPPLY_CHAIN_CUSTOMERS","RELATIONSHIP_AS_OF_DATE","20030909")</f>
        <v/>
      </c>
      <c r="DQ5">
        <f>BDS("GRA US Equity","SUPPLY_CHAIN_SUPPLIERS","RELATIONSHIP_AS_OF_DATE","20100914")</f>
        <v/>
      </c>
      <c r="DV5">
        <f>BDS("GRA US Equity","SUPPLY_CHAIN_CUSTOMERS","RELATIONSHIP_AS_OF_DATE","20100914")</f>
        <v/>
      </c>
      <c r="EA5">
        <f>BDS("IFCJ US Equity","SUPPLY_CHAIN_SUPPLIERS","RELATIONSHIP_AS_OF_DATE","19980128")</f>
        <v/>
      </c>
      <c r="EF5">
        <f>BDS("IFCJ US Equity","SUPPLY_CHAIN_CUSTOMERS","RELATIONSHIP_AS_OF_DATE","19980128")</f>
        <v/>
      </c>
      <c r="EK5">
        <f>BDS("CBKN US Equity","SUPPLY_CHAIN_SUPPLIERS","RELATIONSHIP_AS_OF_DATE","19980930")</f>
        <v/>
      </c>
      <c r="EP5">
        <f>BDS("CBKN US Equity","SUPPLY_CHAIN_CUSTOMERS","RELATIONSHIP_AS_OF_DATE","19980930")</f>
        <v/>
      </c>
      <c r="EU5">
        <f>BDS("CARO US Equity","SUPPLY_CHAIN_SUPPLIERS","RELATIONSHIP_AS_OF_DATE","20160106")</f>
        <v/>
      </c>
      <c r="EZ5">
        <f>BDS("CARO US Equity","SUPPLY_CHAIN_CUSTOMERS","RELATIONSHIP_AS_OF_DATE","20160106")</f>
        <v/>
      </c>
      <c r="FE5">
        <f>BDS("FGBI US Equity","SUPPLY_CHAIN_SUPPLIERS","RELATIONSHIP_AS_OF_DATE","20070105")</f>
        <v/>
      </c>
      <c r="FJ5">
        <f>BDS("FGBI US Equity","SUPPLY_CHAIN_CUSTOMERS","RELATIONSHIP_AS_OF_DATE","20070105")</f>
        <v/>
      </c>
   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     <c r="FY5">
        <f>BDS("AVLY US Equity","SUPPLY_CHAIN_SUPPLIERS","RELATIONSHIP_AS_OF_DATE","20060417")</f>
        <v/>
      </c>
      <c r="GD5">
        <f>BDS("AVLY US Equity","SUPPLY_CHAIN_CUSTOMERS","RELATIONSHIP_AS_OF_DATE","20060417")</f>
        <v/>
      </c>
      <c r="GI5">
        <f>BDS("FXNC US Equity","SUPPLY_CHAIN_SUPPLIERS","RELATIONSHIP_AS_OF_DATE","20210218")</f>
        <v/>
      </c>
      <c r="GN5">
        <f>BDS("FXNC US Equity","SUPPLY_CHAIN_CUSTOMERS","RELATIONSHIP_AS_OF_DATE","20210218")</f>
        <v/>
      </c>
      <c r="GS5">
        <f>BDS("ALAB US Equity","SUPPLY_CHAIN_SUPPLIERS","RELATIONSHIP_AS_OF_DATE","20001010")</f>
        <v/>
      </c>
      <c r="GX5">
        <f>BDS("ALAB US Equity","SUPPLY_CHAIN_CUSTOMERS","RELATIONSHIP_AS_OF_DATE","20001010")</f>
        <v/>
      </c>
      <c r="HC5">
        <f>BDS("CERN US Equity","SUPPLY_CHAIN_SUPPLIERS","RELATIONSHIP_AS_OF_DATE","20000515")</f>
        <v/>
      </c>
      <c r="HH5">
        <f>BDS("CERN US Equity","SUPPLY_CHAIN_CUSTOMERS","RELATIONSHIP_AS_OF_DATE","20000515")</f>
        <v/>
      </c>
      <c r="HM5">
        <f>BDS("1284849D US Equity","SUPPLY_CHAIN_SUPPLIERS","RELATIONSHIP_AS_OF_DATE","20130412")</f>
        <v/>
      </c>
      <c r="HR5">
        <f>BDS("1284849D US Equity","SUPPLY_CHAIN_CUSTOMERS","RELATIONSHIP_AS_OF_DATE","20130412")</f>
        <v/>
      </c>
      <c r="HW5">
        <f>BDS("SPGZ US Equity","SUPPLY_CHAIN_SUPPLIERS","RELATIONSHIP_AS_OF_DATE","20050715")</f>
        <v/>
      </c>
      <c r="IB5">
        <f>BDS("SPGZ US Equity","SUPPLY_CHAIN_CUSTOMERS","RELATIONSHIP_AS_OF_DATE","20050715")</f>
        <v/>
      </c>
      <c r="IG5">
        <f>BDS("ABBK US Equity","SUPPLY_CHAIN_SUPPLIERS","RELATIONSHIP_AS_OF_DATE","20020410")</f>
        <v/>
      </c>
      <c r="IL5">
        <f>BDS("ABBK US Equity","SUPPLY_CHAIN_CUSTOMERS","RELATIONSHIP_AS_OF_DATE","20020410")</f>
        <v/>
      </c>
      <c r="IQ5">
        <f>BDS("GABC US Equity","SUPPLY_CHAIN_SUPPLIERS","RELATIONSHIP_AS_OF_DATE","20000324")</f>
        <v/>
      </c>
      <c r="IV5">
        <f>BDS("GABC US Equity","SUPPLY_CHAIN_CUSTOMERS","RELATIONSHIP_AS_OF_DATE","20000324")</f>
        <v/>
      </c>
      <c r="JA5">
        <f>BDS("LVCI US Equity","SUPPLY_CHAIN_SUPPLIERS","RELATIONSHIP_AS_OF_DATE","20020516")</f>
        <v/>
      </c>
      <c r="JF5">
        <f>BDS("LVCI US Equity","SUPPLY_CHAIN_CUSTOMERS","RELATIONSHIP_AS_OF_DATE","20020516")</f>
        <v/>
      </c>
      <c r="JK5">
        <f>BDS("HBIO US Equity","SUPPLY_CHAIN_SUPPLIERS","RELATIONSHIP_AS_OF_DATE","20020718")</f>
        <v/>
      </c>
      <c r="JP5">
        <f>BDS("HBIO US Equity","SUPPLY_CHAIN_CUSTOMERS","RELATIONSHIP_AS_OF_DATE","20020718")</f>
        <v/>
      </c>
      <c r="JU5">
        <f>BDS("JEF US Equity","SUPPLY_CHAIN_SUPPLIERS","RELATIONSHIP_AS_OF_DATE","19990901")</f>
        <v/>
      </c>
      <c r="JZ5">
        <f>BDS("JEF US Equity","SUPPLY_CHAIN_CUSTOMERS","RELATIONSHIP_AS_OF_DATE","19990901")</f>
        <v/>
      </c>
      <c r="KE5">
        <f>BDS("WABC US Equity","SUPPLY_CHAIN_SUPPLIERS","RELATIONSHIP_AS_OF_DATE","20020226")</f>
        <v/>
      </c>
      <c r="KJ5">
        <f>BDS("WABC US Equity","SUPPLY_CHAIN_CUSTOMERS","RELATIONSHIP_AS_OF_DATE","20020226")</f>
        <v/>
      </c>
      <c r="KO5">
        <f>BDS("8184823Q US Equity","SUPPLY_CHAIN_SUPPLIERS","RELATIONSHIP_AS_OF_DATE","19980728")</f>
        <v/>
      </c>
      <c r="KT5">
        <f>BDS("8184823Q US Equity","SUPPLY_CHAIN_CUSTOMERS","RELATIONSHIP_AS_OF_DATE","19980728")</f>
        <v/>
      </c>
      <c r="KY5">
        <f>BDS("1368189D US Equity","SUPPLY_CHAIN_SUPPLIERS","RELATIONSHIP_AS_OF_DATE","19990513")</f>
        <v/>
      </c>
      <c r="LD5">
        <f>BDS("1368189D US Equity","SUPPLY_CHAIN_CUSTOMERS","RELATIONSHIP_AS_OF_DATE","19990513")</f>
        <v/>
      </c>
      <c r="LI5">
        <f>BDS("CTS US Equity","SUPPLY_CHAIN_SUPPLIERS","RELATIONSHIP_AS_OF_DATE","20111117")</f>
        <v/>
      </c>
      <c r="LN5">
        <f>BDS("CTS US Equity","SUPPLY_CHAIN_CUSTOMERS","RELATIONSHIP_AS_OF_DATE","20111117")</f>
        <v/>
      </c>
      <c r="LS5">
        <f>BDS("FNB US Equity","SUPPLY_CHAIN_SUPPLIERS","RELATIONSHIP_AS_OF_DATE","20050425")</f>
        <v/>
      </c>
      <c r="LX5">
        <f>BDS("FNB US Equity","SUPPLY_CHAIN_CUSTOMERS","RELATIONSHIP_AS_OF_DATE","20050425")</f>
        <v/>
      </c>
      <c r="MC5">
        <f>BDS("CAH US Equity","SUPPLY_CHAIN_SUPPLIERS","RELATIONSHIP_AS_OF_DATE","20031002")</f>
        <v/>
      </c>
      <c r="MH5">
        <f>BDS("CAH US Equity","SUPPLY_CHAIN_CUSTOMERS","RELATIONSHIP_AS_OF_DATE","20031002")</f>
        <v/>
      </c>
      <c r="MM5">
        <f>BDS("CVBF US Equity","SUPPLY_CHAIN_SUPPLIERS","RELATIONSHIP_AS_OF_DATE","20030512")</f>
        <v/>
      </c>
      <c r="MR5">
        <f>BDS("CVBF US Equity","SUPPLY_CHAIN_CUSTOMERS","RELATIONSHIP_AS_OF_DATE","20030512")</f>
        <v/>
      </c>
      <c r="MW5">
        <f>BDS("NWFL US Equity","SUPPLY_CHAIN_SUPPLIERS","RELATIONSHIP_AS_OF_DATE","20160310")</f>
        <v/>
      </c>
      <c r="NB5">
        <f>BDS("NWFL US Equity","SUPPLY_CHAIN_CUSTOMERS","RELATIONSHIP_AS_OF_DATE","20160310")</f>
        <v/>
      </c>
      <c r="NG5">
        <f>BDS("OAKF US Equity","SUPPLY_CHAIN_SUPPLIERS","RELATIONSHIP_AS_OF_DATE","20041012")</f>
        <v/>
      </c>
      <c r="NL5">
        <f>BDS("OAKF US Equity","SUPPLY_CHAIN_CUSTOMERS","RELATIONSHIP_AS_OF_DATE","20041012")</f>
        <v/>
      </c>
      <c r="NQ5">
        <f>BDS("1255459D US Equity","SUPPLY_CHAIN_SUPPLIERS","RELATIONSHIP_AS_OF_DATE","20060901")</f>
        <v/>
      </c>
      <c r="NV5">
        <f>BDS("1255459D US Equity","SUPPLY_CHAIN_CUSTOMERS","RELATIONSHIP_AS_OF_DATE","20060901")</f>
        <v/>
      </c>
      <c r="OA5">
        <f>BDS("ORXE US Equity","SUPPLY_CHAIN_SUPPLIERS","RELATIONSHIP_AS_OF_DATE","19980707")</f>
        <v/>
      </c>
      <c r="OF5">
        <f>BDS("ORXE US Equity","SUPPLY_CHAIN_CUSTOMERS","RELATIONSHIP_AS_OF_DATE","19980707")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4801</t>
        </is>
      </c>
      <c r="K1" s="1" t="inlineStr">
        <is>
          <t>Deal 4802</t>
        </is>
      </c>
      <c r="U1" s="1" t="inlineStr">
        <is>
          <t>Deal 4803</t>
        </is>
      </c>
      <c r="AE1" s="1" t="inlineStr">
        <is>
          <t>Deal 4804</t>
        </is>
      </c>
      <c r="AO1" s="1" t="inlineStr">
        <is>
          <t>Deal 4805</t>
        </is>
      </c>
      <c r="AY1" s="1" t="inlineStr">
        <is>
          <t>Deal 4806</t>
        </is>
      </c>
      <c r="BI1" s="1" t="inlineStr">
        <is>
          <t>Deal 4807</t>
        </is>
      </c>
      <c r="BS1" s="1" t="inlineStr">
        <is>
          <t>Deal 4808</t>
        </is>
      </c>
      <c r="CC1" s="1" t="inlineStr">
        <is>
          <t>Deal 4809</t>
        </is>
      </c>
      <c r="CM1" s="1" t="inlineStr">
        <is>
          <t>Deal 4810</t>
        </is>
      </c>
      <c r="CW1" s="1" t="inlineStr">
        <is>
          <t>Deal 4811</t>
        </is>
      </c>
      <c r="DG1" s="1" t="inlineStr">
        <is>
          <t>Deal 4812</t>
        </is>
      </c>
      <c r="DQ1" s="1" t="inlineStr">
        <is>
          <t>Deal 4813</t>
        </is>
      </c>
      <c r="EA1" s="1" t="inlineStr">
        <is>
          <t>Deal 4814</t>
        </is>
      </c>
      <c r="EK1" s="1" t="inlineStr">
        <is>
          <t>Deal 4815</t>
        </is>
      </c>
      <c r="EU1" s="1" t="inlineStr">
        <is>
          <t>Deal 4816</t>
        </is>
      </c>
      <c r="FE1" s="1" t="inlineStr">
        <is>
          <t>Deal 4817</t>
        </is>
      </c>
      <c r="FO1" s="1" t="inlineStr">
        <is>
          <t>Deal 4818</t>
        </is>
      </c>
      <c r="FY1" s="1" t="inlineStr">
        <is>
          <t>Deal 4819</t>
        </is>
      </c>
      <c r="GI1" s="1" t="inlineStr">
        <is>
          <t>Deal 4820</t>
        </is>
      </c>
      <c r="GS1" s="1" t="inlineStr">
        <is>
          <t>Deal 4821</t>
        </is>
      </c>
      <c r="HC1" s="1" t="inlineStr">
        <is>
          <t>Deal 4822</t>
        </is>
      </c>
      <c r="HM1" s="1" t="inlineStr">
        <is>
          <t>Deal 4823</t>
        </is>
      </c>
      <c r="HW1" s="1" t="inlineStr">
        <is>
          <t>Deal 4824</t>
        </is>
      </c>
      <c r="IG1" s="1" t="inlineStr">
        <is>
          <t>Deal 4825</t>
        </is>
      </c>
      <c r="IQ1" s="1" t="inlineStr">
        <is>
          <t>Deal 4826</t>
        </is>
      </c>
      <c r="JA1" s="1" t="inlineStr">
        <is>
          <t>Deal 4827</t>
        </is>
      </c>
      <c r="JK1" s="1" t="inlineStr">
        <is>
          <t>Deal 4828</t>
        </is>
      </c>
      <c r="JU1" s="1" t="inlineStr">
        <is>
          <t>Deal 4829</t>
        </is>
      </c>
      <c r="KE1" s="1" t="inlineStr">
        <is>
          <t>Deal 4830</t>
        </is>
      </c>
      <c r="KO1" s="1" t="inlineStr">
        <is>
          <t>Deal 4831</t>
        </is>
      </c>
      <c r="KY1" s="1" t="inlineStr">
        <is>
          <t>Deal 4832</t>
        </is>
      </c>
      <c r="LI1" s="1" t="inlineStr">
        <is>
          <t>Deal 4833</t>
        </is>
      </c>
      <c r="LS1" s="1" t="inlineStr">
        <is>
          <t>Deal 4834</t>
        </is>
      </c>
      <c r="MC1" s="1" t="inlineStr">
        <is>
          <t>Deal 4835</t>
        </is>
      </c>
      <c r="MM1" s="1" t="inlineStr">
        <is>
          <t>Deal 4836</t>
        </is>
      </c>
      <c r="MW1" s="1" t="inlineStr">
        <is>
          <t>Deal 4837</t>
        </is>
      </c>
      <c r="NG1" s="1" t="inlineStr">
        <is>
          <t>Deal 4838</t>
        </is>
      </c>
      <c r="NQ1" s="1" t="inlineStr">
        <is>
          <t>Deal 4839</t>
        </is>
      </c>
      <c r="OA1" s="1" t="inlineStr">
        <is>
          <t>Deal 4840</t>
        </is>
      </c>
    </row>
    <row r="2">
      <c r="A2" s="2" t="inlineStr">
        <is>
          <t>NASB US Equity</t>
        </is>
      </c>
      <c r="K2" s="2" t="inlineStr">
        <is>
          <t>MDCO US Equity</t>
        </is>
      </c>
      <c r="U2" s="2" t="inlineStr">
        <is>
          <t>2447428D US Equity</t>
        </is>
      </c>
      <c r="AE2" s="2" t="inlineStr">
        <is>
          <t>BDX US Equity</t>
        </is>
      </c>
      <c r="AO2" s="2" t="inlineStr">
        <is>
          <t>HTRN US Equity</t>
        </is>
      </c>
      <c r="AY2" s="2" t="inlineStr">
        <is>
          <t>IFHI US Equity</t>
        </is>
      </c>
      <c r="BI2" s="2" t="inlineStr">
        <is>
          <t>FMNB US Equity</t>
        </is>
      </c>
      <c r="BS2" s="2" t="inlineStr">
        <is>
          <t>SFFB US Equity</t>
        </is>
      </c>
      <c r="CC2" s="2" t="inlineStr">
        <is>
          <t>NBOH US Equity</t>
        </is>
      </c>
      <c r="CM2" s="2" t="inlineStr">
        <is>
          <t>0569919D LN Equity</t>
        </is>
      </c>
      <c r="CW2" s="2" t="inlineStr">
        <is>
          <t>3523914Q US Equity</t>
        </is>
      </c>
      <c r="DG2" s="2" t="inlineStr">
        <is>
          <t>SYMM US Equity</t>
        </is>
      </c>
      <c r="DQ2" s="2" t="inlineStr">
        <is>
          <t>HL US Equity</t>
        </is>
      </c>
      <c r="EA2" s="2" t="inlineStr">
        <is>
          <t>1927294D US Equity</t>
        </is>
      </c>
      <c r="EK2" s="2" t="inlineStr">
        <is>
          <t>MSBK US Equity</t>
        </is>
      </c>
      <c r="EU2" s="2" t="inlineStr">
        <is>
          <t>3077Q US Equity</t>
        </is>
      </c>
      <c r="FE2" s="2" t="inlineStr">
        <is>
          <t>9856660D US Equity</t>
        </is>
      </c>
      <c r="FO2" s="2" t="inlineStr">
        <is>
          <t>FSII US Equity</t>
        </is>
      </c>
      <c r="FY2" s="2" t="inlineStr">
        <is>
          <t>ASTV US Equity</t>
        </is>
      </c>
      <c r="GI2" s="2" t="inlineStr">
        <is>
          <t>JFBI US Equity</t>
        </is>
      </c>
      <c r="GS2" s="2" t="inlineStr">
        <is>
          <t>NWBI US Equity</t>
        </is>
      </c>
      <c r="HC2" s="2" t="inlineStr">
        <is>
          <t>GE US Equity</t>
        </is>
      </c>
      <c r="HM2" s="2" t="inlineStr">
        <is>
          <t>ROMA US Equity</t>
        </is>
      </c>
      <c r="HW2" s="2" t="inlineStr">
        <is>
          <t>PCLE US Equity</t>
        </is>
      </c>
      <c r="IG2" s="2" t="inlineStr">
        <is>
          <t>SCUR US Equity</t>
        </is>
      </c>
      <c r="IQ2" s="2" t="inlineStr">
        <is>
          <t>OSIS US Equity</t>
        </is>
      </c>
      <c r="JA2" s="2" t="inlineStr">
        <is>
          <t>NWBI US Equity</t>
        </is>
      </c>
      <c r="JK2" s="2" t="inlineStr">
        <is>
          <t>FBPI US Equity</t>
        </is>
      </c>
      <c r="JU2" s="2" t="inlineStr">
        <is>
          <t>HBK US Equity</t>
        </is>
      </c>
      <c r="KE2" s="2" t="inlineStr">
        <is>
          <t>TIBX US Equity</t>
        </is>
      </c>
      <c r="KO2" s="2" t="inlineStr">
        <is>
          <t>PREM US Equity</t>
        </is>
      </c>
      <c r="KY2" s="2" t="inlineStr">
        <is>
          <t>THRD US Equity</t>
        </is>
      </c>
      <c r="LI2" s="2" t="inlineStr">
        <is>
          <t>ENMC US Equity</t>
        </is>
      </c>
      <c r="LS2" s="2" t="inlineStr">
        <is>
          <t>SLBK US Equity</t>
        </is>
      </c>
      <c r="MC2" s="2" t="inlineStr">
        <is>
          <t>MPB US Equity</t>
        </is>
      </c>
      <c r="MM2" s="2" t="inlineStr">
        <is>
          <t>TMO US Equity</t>
        </is>
      </c>
      <c r="MW2" s="2" t="inlineStr">
        <is>
          <t>9876544D US Equity</t>
        </is>
      </c>
      <c r="NG2" s="2" t="inlineStr">
        <is>
          <t>COB US Equity</t>
        </is>
      </c>
      <c r="NQ2" s="2" t="inlineStr">
        <is>
          <t>LEBC US Equity</t>
        </is>
      </c>
      <c r="OA2" s="2" t="inlineStr">
        <is>
          <t>IEX US Equity</t>
        </is>
      </c>
    </row>
    <row r="3">
      <c r="A3" t="inlineStr">
        <is>
          <t>Ann: 2002-09-06</t>
        </is>
      </c>
      <c r="K3" t="inlineStr">
        <is>
          <t>Ann: 2009-01-12</t>
        </is>
      </c>
      <c r="U3" t="inlineStr">
        <is>
          <t>Ann: 1998-01-30</t>
        </is>
      </c>
      <c r="AE3" t="inlineStr">
        <is>
          <t>Ann: 1998-10-14</t>
        </is>
      </c>
      <c r="AO3" t="inlineStr">
        <is>
          <t>Ann: 2009-04-21</t>
        </is>
      </c>
      <c r="AY3" t="inlineStr">
        <is>
          <t>Ann: 2017-02-17</t>
        </is>
      </c>
      <c r="BI3" t="inlineStr">
        <is>
          <t>Ann: 2015-06-24</t>
        </is>
      </c>
      <c r="BS3" t="inlineStr">
        <is>
          <t>Ann: 2002-04-25</t>
        </is>
      </c>
      <c r="CC3" t="inlineStr">
        <is>
          <t>Ann: 2001-10-02</t>
        </is>
      </c>
      <c r="CM3" t="inlineStr">
        <is>
          <t>Ann: 1998-04-17</t>
        </is>
      </c>
      <c r="CW3" t="inlineStr">
        <is>
          <t>Ann: 1999-01-25</t>
        </is>
      </c>
      <c r="DG3" t="inlineStr">
        <is>
          <t>Ann: 2002-03-27</t>
        </is>
      </c>
      <c r="DQ3" t="inlineStr">
        <is>
          <t>Ann: 2015-03-27</t>
        </is>
      </c>
      <c r="EA3" t="inlineStr">
        <is>
          <t>Ann: 2000-07-13</t>
        </is>
      </c>
      <c r="EK3" t="inlineStr">
        <is>
          <t>Ann: 2000-09-26</t>
        </is>
      </c>
      <c r="EU3" t="inlineStr">
        <is>
          <t>Ann: 1999-09-13</t>
        </is>
      </c>
      <c r="FE3" t="inlineStr">
        <is>
          <t>Ann: 2019-01-31</t>
        </is>
      </c>
      <c r="FO3" t="inlineStr">
        <is>
          <t>Ann: 1999-01-22</t>
        </is>
      </c>
      <c r="FY3" t="inlineStr">
        <is>
          <t>Ann: 2012-08-10</t>
        </is>
      </c>
      <c r="GI3" t="inlineStr">
        <is>
          <t>Ann: 2008-09-04</t>
        </is>
      </c>
      <c r="GS3" t="inlineStr">
        <is>
          <t>Ann: 2005-11-14</t>
        </is>
      </c>
      <c r="HC3" t="inlineStr">
        <is>
          <t>Ann: 1998-05-20</t>
        </is>
      </c>
      <c r="HM3" t="inlineStr">
        <is>
          <t>Ann: 2010-03-18</t>
        </is>
      </c>
      <c r="HW3" t="inlineStr">
        <is>
          <t>Ann: 1998-12-16</t>
        </is>
      </c>
      <c r="IG3" t="inlineStr">
        <is>
          <t>Ann: 2003-07-29</t>
        </is>
      </c>
      <c r="IQ3" t="inlineStr">
        <is>
          <t>Ann: 2007-12-05</t>
        </is>
      </c>
      <c r="JA3" t="inlineStr">
        <is>
          <t>Ann: 2002-02-07</t>
        </is>
      </c>
      <c r="JK3" t="inlineStr">
        <is>
          <t>Ann: 2006-04-25</t>
        </is>
      </c>
      <c r="JU3" t="inlineStr">
        <is>
          <t>Ann: 2015-04-16</t>
        </is>
      </c>
      <c r="KE3" t="inlineStr">
        <is>
          <t>Ann: 2008-06-19</t>
        </is>
      </c>
      <c r="KO3" t="inlineStr">
        <is>
          <t>Ann: 2000-04-20</t>
        </is>
      </c>
      <c r="KY3" t="inlineStr">
        <is>
          <t>Ann: 2012-12-28</t>
        </is>
      </c>
      <c r="LI3" t="inlineStr">
        <is>
          <t>Ann: 2005-02-03</t>
        </is>
      </c>
      <c r="LS3" t="inlineStr">
        <is>
          <t>Ann: 2018-03-01</t>
        </is>
      </c>
      <c r="MC3" t="inlineStr">
        <is>
          <t>Ann: 2014-08-27</t>
        </is>
      </c>
      <c r="MM3" t="inlineStr">
        <is>
          <t>Ann: 2000-01-31</t>
        </is>
      </c>
      <c r="MW3" t="inlineStr">
        <is>
          <t>Ann: 2006-06-15</t>
        </is>
      </c>
      <c r="NG3" t="inlineStr">
        <is>
          <t>Ann: 2011-04-27</t>
        </is>
      </c>
      <c r="NQ3" t="inlineStr">
        <is>
          <t>Ann: 1999-01-20</t>
        </is>
      </c>
      <c r="OA3" t="inlineStr">
        <is>
          <t>Ann: 2011-01-11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BDS("NASB US Equity","SUPPLY_CHAIN_SUPPLIERS","RELATIONSHIP_AS_OF_DATE","20020906")</f>
        <v/>
      </c>
      <c r="F5">
        <f>BDS("NASB US Equity","SUPPLY_CHAIN_CUSTOMERS","RELATIONSHIP_AS_OF_DATE","20020906")</f>
        <v/>
      </c>
      <c r="K5">
        <f>BDS("MDCO US Equity","SUPPLY_CHAIN_SUPPLIERS","RELATIONSHIP_AS_OF_DATE","20090112")</f>
        <v/>
      </c>
      <c r="P5">
        <f>BDS("MDCO US Equity","SUPPLY_CHAIN_CUSTOMERS","RELATIONSHIP_AS_OF_DATE","20090112")</f>
        <v/>
      </c>
      <c r="U5">
        <f>BDS("2447428D US Equity","SUPPLY_CHAIN_SUPPLIERS","RELATIONSHIP_AS_OF_DATE","19980130")</f>
        <v/>
      </c>
      <c r="Z5">
        <f>BDS("2447428D US Equity","SUPPLY_CHAIN_CUSTOMERS","RELATIONSHIP_AS_OF_DATE","19980130")</f>
        <v/>
      </c>
      <c r="AE5">
        <f>BDS("BDX US Equity","SUPPLY_CHAIN_SUPPLIERS","RELATIONSHIP_AS_OF_DATE","19981014")</f>
        <v/>
      </c>
      <c r="AJ5">
        <f>BDS("BDX US Equity","SUPPLY_CHAIN_CUSTOMERS","RELATIONSHIP_AS_OF_DATE","19981014")</f>
        <v/>
      </c>
      <c r="AO5">
        <f>BDS("HTRN US Equity","SUPPLY_CHAIN_SUPPLIERS","RELATIONSHIP_AS_OF_DATE","20090421")</f>
        <v/>
      </c>
      <c r="AT5">
        <f>BDS("HTRN US Equity","SUPPLY_CHAIN_CUSTOMERS","RELATIONSHIP_AS_OF_DATE","20090421")</f>
        <v/>
      </c>
      <c r="AY5">
        <f>BDS("IFHI US Equity","SUPPLY_CHAIN_SUPPLIERS","RELATIONSHIP_AS_OF_DATE","20170217")</f>
        <v/>
      </c>
      <c r="BD5">
        <f>BDS("IFHI US Equity","SUPPLY_CHAIN_CUSTOMERS","RELATIONSHIP_AS_OF_DATE","20170217")</f>
        <v/>
      </c>
      <c r="BI5">
        <f>BDS("FMNB US Equity","SUPPLY_CHAIN_SUPPLIERS","RELATIONSHIP_AS_OF_DATE","20150624")</f>
        <v/>
      </c>
      <c r="BN5">
        <f>BDS("FMNB US Equity","SUPPLY_CHAIN_CUSTOMERS","RELATIONSHIP_AS_OF_DATE","20150624")</f>
        <v/>
      </c>
      <c r="BS5">
        <f>BDS("SFFB US Equity","SUPPLY_CHAIN_SUPPLIERS","RELATIONSHIP_AS_OF_DATE","20020425")</f>
        <v/>
      </c>
      <c r="BX5">
        <f>BDS("SFFB US Equity","SUPPLY_CHAIN_CUSTOMERS","RELATIONSHIP_AS_OF_DATE","20020425")</f>
        <v/>
      </c>
      <c r="CC5">
        <f>BDS("NBOH US Equity","SUPPLY_CHAIN_SUPPLIERS","RELATIONSHIP_AS_OF_DATE","20011002")</f>
        <v/>
      </c>
      <c r="CH5">
        <f>BDS("NBOH US Equity","SUPPLY_CHAIN_CUSTOMERS","RELATIONSHIP_AS_OF_DATE","20011002")</f>
        <v/>
      </c>
      <c r="CM5">
        <f>BDS("0569919D LN Equity","SUPPLY_CHAIN_SUPPLIERS","RELATIONSHIP_AS_OF_DATE","19980417")</f>
        <v/>
      </c>
      <c r="CR5">
        <f>BDS("0569919D LN Equity","SUPPLY_CHAIN_CUSTOMERS","RELATIONSHIP_AS_OF_DATE","19980417")</f>
        <v/>
      </c>
      <c r="CW5">
        <f>BDS("3523914Q US Equity","SUPPLY_CHAIN_SUPPLIERS","RELATIONSHIP_AS_OF_DATE","19990125")</f>
        <v/>
      </c>
      <c r="DB5">
        <f>BDS("3523914Q US Equity","SUPPLY_CHAIN_CUSTOMERS","RELATIONSHIP_AS_OF_DATE","19990125")</f>
        <v/>
      </c>
      <c r="DG5">
        <f>BDS("SYMM US Equity","SUPPLY_CHAIN_SUPPLIERS","RELATIONSHIP_AS_OF_DATE","20020327")</f>
        <v/>
      </c>
      <c r="DL5">
        <f>BDS("SYMM US Equity","SUPPLY_CHAIN_CUSTOMERS","RELATIONSHIP_AS_OF_DATE","20020327")</f>
        <v/>
      </c>
      <c r="DQ5">
        <f>BDS("HL US Equity","SUPPLY_CHAIN_SUPPLIERS","RELATIONSHIP_AS_OF_DATE","20150327")</f>
        <v/>
      </c>
      <c r="DV5">
        <f>BDS("HL US Equity","SUPPLY_CHAIN_CUSTOMERS","RELATIONSHIP_AS_OF_DATE","20150327")</f>
        <v/>
      </c>
      <c r="EA5">
        <f>BDS("1927294D US Equity","SUPPLY_CHAIN_SUPPLIERS","RELATIONSHIP_AS_OF_DATE","20000713")</f>
        <v/>
      </c>
      <c r="EF5">
        <f>BDS("1927294D US Equity","SUPPLY_CHAIN_CUSTOMERS","RELATIONSHIP_AS_OF_DATE","20000713")</f>
        <v/>
      </c>
      <c r="EK5">
        <f>BDS("MSBK US Equity","SUPPLY_CHAIN_SUPPLIERS","RELATIONSHIP_AS_OF_DATE","20000926")</f>
        <v/>
      </c>
      <c r="EP5">
        <f>BDS("MSBK US Equity","SUPPLY_CHAIN_CUSTOMERS","RELATIONSHIP_AS_OF_DATE","20000926")</f>
        <v/>
      </c>
      <c r="EU5">
        <f>BDS("3077Q US Equity","SUPPLY_CHAIN_SUPPLIERS","RELATIONSHIP_AS_OF_DATE","19990913")</f>
        <v/>
      </c>
      <c r="EZ5">
        <f>BDS("3077Q US Equity","SUPPLY_CHAIN_CUSTOMERS","RELATIONSHIP_AS_OF_DATE","19990913")</f>
        <v/>
      </c>
      <c r="FE5">
        <f>BDS("9856660D US Equity","SUPPLY_CHAIN_SUPPLIERS","RELATIONSHIP_AS_OF_DATE","20190131")</f>
        <v/>
      </c>
      <c r="FJ5">
        <f>BDS("9856660D US Equity","SUPPLY_CHAIN_CUSTOMERS","RELATIONSHIP_AS_OF_DATE","20190131")</f>
        <v/>
      </c>
      <c r="FO5">
        <f>BDS("FSII US Equity","SUPPLY_CHAIN_SUPPLIERS","RELATIONSHIP_AS_OF_DATE","19990122")</f>
        <v/>
      </c>
      <c r="FT5">
        <f>BDS("FSII US Equity","SUPPLY_CHAIN_CUSTOMERS","RELATIONSHIP_AS_OF_DATE","19990122")</f>
        <v/>
      </c>
      <c r="FY5">
        <f>BDS("ASTV US Equity","SUPPLY_CHAIN_SUPPLIERS","RELATIONSHIP_AS_OF_DATE","20120810")</f>
        <v/>
      </c>
      <c r="GD5">
        <f>BDS("ASTV US Equity","SUPPLY_CHAIN_CUSTOMERS","RELATIONSHIP_AS_OF_DATE","20120810")</f>
        <v/>
      </c>
      <c r="GI5">
        <f>BDS("JFBI US Equity","SUPPLY_CHAIN_SUPPLIERS","RELATIONSHIP_AS_OF_DATE","20080904")</f>
        <v/>
      </c>
      <c r="GN5">
        <f>BDS("JFBI US Equity","SUPPLY_CHAIN_CUSTOMERS","RELATIONSHIP_AS_OF_DATE","20080904")</f>
        <v/>
      </c>
      <c r="GS5">
        <f>BDS("NWBI US Equity","SUPPLY_CHAIN_SUPPLIERS","RELATIONSHIP_AS_OF_DATE","20051114")</f>
        <v/>
      </c>
      <c r="GX5">
        <f>BDS("NWBI US Equity","SUPPLY_CHAIN_CUSTOMERS","RELATIONSHIP_AS_OF_DATE","20051114")</f>
        <v/>
      </c>
      <c r="HC5">
        <f>BDS("GE US Equity","SUPPLY_CHAIN_SUPPLIERS","RELATIONSHIP_AS_OF_DATE","19980520")</f>
        <v/>
      </c>
      <c r="HH5">
        <f>BDS("GE US Equity","SUPPLY_CHAIN_CUSTOMERS","RELATIONSHIP_AS_OF_DATE","19980520")</f>
        <v/>
      </c>
      <c r="HM5">
        <f>BDS("ROMA US Equity","SUPPLY_CHAIN_SUPPLIERS","RELATIONSHIP_AS_OF_DATE","20100318")</f>
        <v/>
      </c>
      <c r="HR5">
        <f>BDS("ROMA US Equity","SUPPLY_CHAIN_CUSTOMERS","RELATIONSHIP_AS_OF_DATE","20100318")</f>
        <v/>
      </c>
      <c r="HW5">
        <f>BDS("PCLE US Equity","SUPPLY_CHAIN_SUPPLIERS","RELATIONSHIP_AS_OF_DATE","19981216")</f>
        <v/>
      </c>
      <c r="IB5">
        <f>BDS("PCLE US Equity","SUPPLY_CHAIN_CUSTOMERS","RELATIONSHIP_AS_OF_DATE","19981216")</f>
        <v/>
      </c>
      <c r="IG5">
        <f>BDS("SCUR US Equity","SUPPLY_CHAIN_SUPPLIERS","RELATIONSHIP_AS_OF_DATE","20030729")</f>
        <v/>
      </c>
      <c r="IL5">
        <f>BDS("SCUR US Equity","SUPPLY_CHAIN_CUSTOMERS","RELATIONSHIP_AS_OF_DATE","20030729")</f>
        <v/>
      </c>
      <c r="IQ5">
        <f>BDS("OSIS US Equity","SUPPLY_CHAIN_SUPPLIERS","RELATIONSHIP_AS_OF_DATE","20071205")</f>
        <v/>
      </c>
      <c r="IV5">
        <f>BDS("OSIS US Equity","SUPPLY_CHAIN_CUSTOMERS","RELATIONSHIP_AS_OF_DATE","20071205")</f>
        <v/>
      </c>
      <c r="JA5">
        <f>BDS("NWBI US Equity","SUPPLY_CHAIN_SUPPLIERS","RELATIONSHIP_AS_OF_DATE","20020207")</f>
        <v/>
      </c>
      <c r="JF5">
        <f>BDS("NWBI US Equity","SUPPLY_CHAIN_CUSTOMERS","RELATIONSHIP_AS_OF_DATE","20020207")</f>
        <v/>
      </c>
      <c r="JK5">
        <f>BDS("FBPI US Equity","SUPPLY_CHAIN_SUPPLIERS","RELATIONSHIP_AS_OF_DATE","20060425")</f>
        <v/>
      </c>
      <c r="JP5">
        <f>BDS("FBPI US Equity","SUPPLY_CHAIN_CUSTOMERS","RELATIONSHIP_AS_OF_DATE","20060425")</f>
        <v/>
      </c>
      <c r="JU5">
        <f>BDS("HBK US Equity","SUPPLY_CHAIN_SUPPLIERS","RELATIONSHIP_AS_OF_DATE","20150416")</f>
        <v/>
      </c>
      <c r="JZ5">
        <f>BDS("HBK US Equity","SUPPLY_CHAIN_CUSTOMERS","RELATIONSHIP_AS_OF_DATE","20150416")</f>
        <v/>
      </c>
      <c r="KE5">
        <f>BDS("TIBX US Equity","SUPPLY_CHAIN_SUPPLIERS","RELATIONSHIP_AS_OF_DATE","20080619")</f>
        <v/>
      </c>
      <c r="KJ5">
        <f>BDS("TIBX US Equity","SUPPLY_CHAIN_CUSTOMERS","RELATIONSHIP_AS_OF_DATE","20080619")</f>
        <v/>
      </c>
      <c r="KO5">
        <f>BDS("PREM US Equity","SUPPLY_CHAIN_SUPPLIERS","RELATIONSHIP_AS_OF_DATE","20000420")</f>
        <v/>
      </c>
      <c r="KT5">
        <f>BDS("PREM US Equity","SUPPLY_CHAIN_CUSTOMERS","RELATIONSHIP_AS_OF_DATE","20000420")</f>
        <v/>
      </c>
      <c r="KY5">
        <f>BDS("THRD US Equity","SUPPLY_CHAIN_SUPPLIERS","RELATIONSHIP_AS_OF_DATE","20121228")</f>
        <v/>
      </c>
      <c r="LD5">
        <f>BDS("THRD US Equity","SUPPLY_CHAIN_CUSTOMERS","RELATIONSHIP_AS_OF_DATE","20121228")</f>
        <v/>
      </c>
      <c r="LI5">
        <f>BDS("ENMC US Equity","SUPPLY_CHAIN_SUPPLIERS","RELATIONSHIP_AS_OF_DATE","20050203")</f>
        <v/>
      </c>
      <c r="LN5">
        <f>BDS("ENMC US Equity","SUPPLY_CHAIN_CUSTOMERS","RELATIONSHIP_AS_OF_DATE","20050203")</f>
        <v/>
      </c>
      <c r="LS5">
        <f>BDS("SLBK US Equity","SUPPLY_CHAIN_SUPPLIERS","RELATIONSHIP_AS_OF_DATE","20180301")</f>
        <v/>
      </c>
      <c r="LX5">
        <f>BDS("SLBK US Equity","SUPPLY_CHAIN_CUSTOMERS","RELATIONSHIP_AS_OF_DATE","20180301")</f>
        <v/>
      </c>
      <c r="MC5">
        <f>BDS("MPB US Equity","SUPPLY_CHAIN_SUPPLIERS","RELATIONSHIP_AS_OF_DATE","20140827")</f>
        <v/>
      </c>
      <c r="MH5">
        <f>BDS("MPB US Equity","SUPPLY_CHAIN_CUSTOMERS","RELATIONSHIP_AS_OF_DATE","20140827")</f>
        <v/>
      </c>
      <c r="MM5">
        <f>BDS("TMO US Equity","SUPPLY_CHAIN_SUPPLIERS","RELATIONSHIP_AS_OF_DATE","20000131")</f>
        <v/>
      </c>
      <c r="MR5">
        <f>BDS("TMO US Equity","SUPPLY_CHAIN_CUSTOMERS","RELATIONSHIP_AS_OF_DATE","20000131")</f>
        <v/>
      </c>
      <c r="MW5">
        <f>BDS("9876544D US Equity","SUPPLY_CHAIN_SUPPLIERS","RELATIONSHIP_AS_OF_DATE","20060615")</f>
        <v/>
      </c>
      <c r="NB5">
        <f>BDS("9876544D US Equity","SUPPLY_CHAIN_CUSTOMERS","RELATIONSHIP_AS_OF_DATE","20060615")</f>
        <v/>
      </c>
      <c r="NG5">
        <f>BDS("COB US Equity","SUPPLY_CHAIN_SUPPLIERS","RELATIONSHIP_AS_OF_DATE","20110427")</f>
        <v/>
      </c>
      <c r="NL5">
        <f>BDS("COB US Equity","SUPPLY_CHAIN_CUSTOMERS","RELATIONSHIP_AS_OF_DATE","20110427")</f>
        <v/>
      </c>
      <c r="NQ5">
        <f>BDS("LEBC US Equity","SUPPLY_CHAIN_SUPPLIERS","RELATIONSHIP_AS_OF_DATE","19990120")</f>
        <v/>
      </c>
      <c r="NV5">
        <f>BDS("LEBC US Equity","SUPPLY_CHAIN_CUSTOMERS","RELATIONSHIP_AS_OF_DATE","19990120")</f>
        <v/>
      </c>
      <c r="OA5">
        <f>BDS("IEX US Equity","SUPPLY_CHAIN_SUPPLIERS","RELATIONSHIP_AS_OF_DATE","20110111")</f>
        <v/>
      </c>
      <c r="OF5">
        <f>BDS("IEX US Equity","SUPPLY_CHAIN_CUSTOMERS","RELATIONSHIP_AS_OF_DATE","20110111")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4841</t>
        </is>
      </c>
      <c r="K1" s="1" t="inlineStr">
        <is>
          <t>Deal 4842</t>
        </is>
      </c>
      <c r="U1" s="1" t="inlineStr">
        <is>
          <t>Deal 4843</t>
        </is>
      </c>
      <c r="AE1" s="1" t="inlineStr">
        <is>
          <t>Deal 4844</t>
        </is>
      </c>
      <c r="AO1" s="1" t="inlineStr">
        <is>
          <t>Deal 4845</t>
        </is>
      </c>
      <c r="AY1" s="1" t="inlineStr">
        <is>
          <t>Deal 4846</t>
        </is>
      </c>
      <c r="BI1" s="1" t="inlineStr">
        <is>
          <t>Deal 4847</t>
        </is>
      </c>
      <c r="BS1" s="1" t="inlineStr">
        <is>
          <t>Deal 4848</t>
        </is>
      </c>
      <c r="CC1" s="1" t="inlineStr">
        <is>
          <t>Deal 4849</t>
        </is>
      </c>
      <c r="CM1" s="1" t="inlineStr">
        <is>
          <t>Deal 4850</t>
        </is>
      </c>
      <c r="CW1" s="1" t="inlineStr">
        <is>
          <t>Deal 4851</t>
        </is>
      </c>
      <c r="DG1" s="1" t="inlineStr">
        <is>
          <t>Deal 4852</t>
        </is>
      </c>
      <c r="DQ1" s="1" t="inlineStr">
        <is>
          <t>Deal 4853</t>
        </is>
      </c>
      <c r="EA1" s="1" t="inlineStr">
        <is>
          <t>Deal 4854</t>
        </is>
      </c>
      <c r="EK1" s="1" t="inlineStr">
        <is>
          <t>Deal 4855</t>
        </is>
      </c>
      <c r="EU1" s="1" t="inlineStr">
        <is>
          <t>Deal 4856</t>
        </is>
      </c>
      <c r="FE1" s="1" t="inlineStr">
        <is>
          <t>Deal 4857</t>
        </is>
      </c>
      <c r="FO1" s="1" t="inlineStr">
        <is>
          <t>Deal 4858</t>
        </is>
      </c>
      <c r="FY1" s="1" t="inlineStr">
        <is>
          <t>Deal 4859</t>
        </is>
      </c>
      <c r="GI1" s="1" t="inlineStr">
        <is>
          <t>Deal 4860</t>
        </is>
      </c>
      <c r="GS1" s="1" t="inlineStr">
        <is>
          <t>Deal 4861</t>
        </is>
      </c>
      <c r="HC1" s="1" t="inlineStr">
        <is>
          <t>Deal 4862</t>
        </is>
      </c>
      <c r="HM1" s="1" t="inlineStr">
        <is>
          <t>Deal 4863</t>
        </is>
      </c>
      <c r="HW1" s="1" t="inlineStr">
        <is>
          <t>Deal 4864</t>
        </is>
      </c>
      <c r="IG1" s="1" t="inlineStr">
        <is>
          <t>Deal 4865</t>
        </is>
      </c>
      <c r="IQ1" s="1" t="inlineStr">
        <is>
          <t>Deal 4866</t>
        </is>
      </c>
      <c r="JA1" s="1" t="inlineStr">
        <is>
          <t>Deal 4867</t>
        </is>
      </c>
      <c r="JK1" s="1" t="inlineStr">
        <is>
          <t>Deal 4868</t>
        </is>
      </c>
      <c r="JU1" s="1" t="inlineStr">
        <is>
          <t>Deal 4869</t>
        </is>
      </c>
      <c r="KE1" s="1" t="inlineStr">
        <is>
          <t>Deal 4870</t>
        </is>
      </c>
      <c r="KO1" s="1" t="inlineStr">
        <is>
          <t>Deal 4871</t>
        </is>
      </c>
      <c r="KY1" s="1" t="inlineStr">
        <is>
          <t>Deal 4872</t>
        </is>
      </c>
      <c r="LI1" s="1" t="inlineStr">
        <is>
          <t>Deal 4873</t>
        </is>
      </c>
      <c r="LS1" s="1" t="inlineStr">
        <is>
          <t>Deal 4874</t>
        </is>
      </c>
      <c r="MC1" s="1" t="inlineStr">
        <is>
          <t>Deal 4875</t>
        </is>
      </c>
      <c r="MM1" s="1" t="inlineStr">
        <is>
          <t>Deal 4876</t>
        </is>
      </c>
      <c r="MW1" s="1" t="inlineStr">
        <is>
          <t>Deal 4877</t>
        </is>
      </c>
      <c r="NG1" s="1" t="inlineStr">
        <is>
          <t>Deal 4878</t>
        </is>
      </c>
      <c r="NQ1" s="1" t="inlineStr">
        <is>
          <t>Deal 4879</t>
        </is>
      </c>
      <c r="OA1" s="1" t="inlineStr">
        <is>
          <t>Deal 4880</t>
        </is>
      </c>
    </row>
    <row r="2">
      <c r="A2" s="2" t="inlineStr">
        <is>
          <t>FNBG US Equity</t>
        </is>
      </c>
      <c r="K2" s="2" t="inlineStr">
        <is>
          <t>ACBA US Equity</t>
        </is>
      </c>
      <c r="U2" s="2" t="inlineStr">
        <is>
          <t>CBBI US Equity</t>
        </is>
      </c>
      <c r="AE2" s="2" t="inlineStr">
        <is>
          <t>544763Q US Equity</t>
        </is>
      </c>
      <c r="AO2" s="2" t="inlineStr">
        <is>
          <t>GECC US Equity</t>
        </is>
      </c>
      <c r="AY2" s="2" t="inlineStr">
        <is>
          <t>IFCB US Equity</t>
        </is>
      </c>
      <c r="BI2" s="2" t="inlineStr">
        <is>
          <t>NPBC US Equity</t>
        </is>
      </c>
      <c r="BS2" s="2" t="inlineStr">
        <is>
          <t>GBTB US Equity</t>
        </is>
      </c>
      <c r="CC2" s="2" t="inlineStr">
        <is>
          <t>KBH US Equity</t>
        </is>
      </c>
      <c r="CM2" s="2" t="inlineStr">
        <is>
          <t>PARR US Equity</t>
        </is>
      </c>
      <c r="CW2" s="2" t="inlineStr">
        <is>
          <t>GABC US Equity</t>
        </is>
      </c>
      <c r="DG2" s="2" t="inlineStr">
        <is>
          <t>GRKA US Equity</t>
        </is>
      </c>
      <c r="DQ2" s="2" t="inlineStr">
        <is>
          <t>CVLY US Equity</t>
        </is>
      </c>
      <c r="EA2" s="2" t="inlineStr">
        <is>
          <t>BCML US Equity</t>
        </is>
      </c>
      <c r="EK2" s="2" t="inlineStr">
        <is>
          <t>PBCA US Equity</t>
        </is>
      </c>
      <c r="EU2" s="2" t="inlineStr">
        <is>
          <t>FELE US Equity</t>
        </is>
      </c>
      <c r="FE2" s="2" t="inlineStr">
        <is>
          <t>CFNL US Equity</t>
        </is>
      </c>
      <c r="FO2" s="2" t="inlineStr">
        <is>
          <t>nan Equity</t>
        </is>
      </c>
      <c r="FY2" s="2" t="inlineStr">
        <is>
          <t>HBNC US Equity</t>
        </is>
      </c>
      <c r="GI2" s="2" t="inlineStr">
        <is>
          <t>KTO US Equity</t>
        </is>
      </c>
      <c r="GS2" s="2" t="inlineStr">
        <is>
          <t>USBU US Equity</t>
        </is>
      </c>
      <c r="HC2" s="2" t="inlineStr">
        <is>
          <t>BSRR US Equity</t>
        </is>
      </c>
      <c r="HM2" s="2" t="inlineStr">
        <is>
          <t>CKFB US Equity</t>
        </is>
      </c>
      <c r="HW2" s="2" t="inlineStr">
        <is>
          <t>NRIM US Equity</t>
        </is>
      </c>
      <c r="IG2" s="2" t="inlineStr">
        <is>
          <t>PRWT US Equity</t>
        </is>
      </c>
      <c r="IQ2" s="2" t="inlineStr">
        <is>
          <t>PBNI US Equity</t>
        </is>
      </c>
      <c r="JA2" s="2" t="inlineStr">
        <is>
          <t>FRBA US Equity</t>
        </is>
      </c>
      <c r="JK2" s="2" t="inlineStr">
        <is>
          <t>8374857Q US Equity</t>
        </is>
      </c>
      <c r="JU2" s="2" t="inlineStr">
        <is>
          <t>USEG US Equity</t>
        </is>
      </c>
      <c r="KE2" s="2" t="inlineStr">
        <is>
          <t>EWBC US Equity</t>
        </is>
      </c>
      <c r="KO2" s="2" t="inlineStr">
        <is>
          <t>PWOD US Equity</t>
        </is>
      </c>
      <c r="KY2" s="2" t="inlineStr">
        <is>
          <t>BWFG US Equity</t>
        </is>
      </c>
      <c r="LI2" s="2" t="inlineStr">
        <is>
          <t>CMTY US Equity</t>
        </is>
      </c>
      <c r="LS2" s="2" t="inlineStr">
        <is>
          <t>PCBK US Equity</t>
        </is>
      </c>
      <c r="MC2" s="2" t="inlineStr">
        <is>
          <t>2412675D US Equity</t>
        </is>
      </c>
      <c r="MM2" s="2" t="inlineStr">
        <is>
          <t>RDMPQ US Equity</t>
        </is>
      </c>
      <c r="MW2" s="2" t="inlineStr">
        <is>
          <t>PACW US Equity</t>
        </is>
      </c>
      <c r="NG2" s="2" t="inlineStr">
        <is>
          <t>JUVF US Equity</t>
        </is>
      </c>
      <c r="NQ2" s="2" t="inlineStr">
        <is>
          <t>CNQR US Equity</t>
        </is>
      </c>
      <c r="OA2" s="2" t="inlineStr">
        <is>
          <t>ELA US Equity</t>
        </is>
      </c>
    </row>
    <row r="3">
      <c r="A3" t="inlineStr">
        <is>
          <t>Ann: 2015-05-14</t>
        </is>
      </c>
      <c r="K3" t="inlineStr">
        <is>
          <t>Ann: 2003-11-05</t>
        </is>
      </c>
      <c r="U3" t="inlineStr">
        <is>
          <t>Ann: 2021-01-28</t>
        </is>
      </c>
      <c r="AE3" t="inlineStr">
        <is>
          <t>Ann: 1999-10-18</t>
        </is>
      </c>
      <c r="AO3" t="inlineStr">
        <is>
          <t>Ann: 2016-06-24</t>
        </is>
      </c>
      <c r="AY3" t="inlineStr">
        <is>
          <t>Ann: 2001-05-31</t>
        </is>
      </c>
      <c r="BI3" t="inlineStr">
        <is>
          <t>Ann: 2000-07-24</t>
        </is>
      </c>
      <c r="BS3" t="inlineStr">
        <is>
          <t>Ann: 2002-01-31</t>
        </is>
      </c>
      <c r="CC3" t="inlineStr">
        <is>
          <t>Ann: 1998-08-26</t>
        </is>
      </c>
      <c r="CM3" t="inlineStr">
        <is>
          <t>Ann: 2013-01-02</t>
        </is>
      </c>
      <c r="CW3" t="inlineStr">
        <is>
          <t>Ann: 2013-07-23</t>
        </is>
      </c>
      <c r="DG3" t="inlineStr">
        <is>
          <t>Ann: 1998-12-07</t>
        </is>
      </c>
      <c r="DQ3" t="inlineStr">
        <is>
          <t>Ann: 2014-07-22</t>
        </is>
      </c>
      <c r="EA3" t="inlineStr">
        <is>
          <t>Ann: 2019-11-04</t>
        </is>
      </c>
      <c r="EK3" t="inlineStr">
        <is>
          <t>Ann: 2015-06-22</t>
        </is>
      </c>
      <c r="EU3" t="inlineStr">
        <is>
          <t>Ann: 2002-04-25</t>
        </is>
      </c>
      <c r="FE3" t="inlineStr">
        <is>
          <t>Ann: 2000-04-18</t>
        </is>
      </c>
      <c r="FO3" t="inlineStr">
        <is>
          <t>Ann: 2022-08-12</t>
        </is>
      </c>
      <c r="FY3" t="inlineStr">
        <is>
          <t>Ann: 2012-02-10</t>
        </is>
      </c>
      <c r="GI3" t="inlineStr">
        <is>
          <t>Ann: 2003-11-26</t>
        </is>
      </c>
      <c r="GS3" t="inlineStr">
        <is>
          <t>Ann: 2002-04-25</t>
        </is>
      </c>
      <c r="HC3" t="inlineStr">
        <is>
          <t>Ann: 2016-01-04</t>
        </is>
      </c>
      <c r="HM3" t="inlineStr">
        <is>
          <t>Ann: 2000-12-15</t>
        </is>
      </c>
      <c r="HW3" t="inlineStr">
        <is>
          <t>Ann: 2013-10-22</t>
        </is>
      </c>
      <c r="IG3" t="inlineStr">
        <is>
          <t>Ann: 2000-10-17</t>
        </is>
      </c>
      <c r="IQ3" t="inlineStr">
        <is>
          <t>Ann: 1999-09-22</t>
        </is>
      </c>
      <c r="JA3" t="inlineStr">
        <is>
          <t>Ann: 2017-10-19</t>
        </is>
      </c>
      <c r="JK3" t="inlineStr">
        <is>
          <t>Ann: 2000-10-19</t>
        </is>
      </c>
      <c r="JU3" t="inlineStr">
        <is>
          <t>Ann: 2006-12-20</t>
        </is>
      </c>
      <c r="KE3" t="inlineStr">
        <is>
          <t>Ann: 1999-01-29</t>
        </is>
      </c>
      <c r="KO3" t="inlineStr">
        <is>
          <t>Ann: 1998-07-23</t>
        </is>
      </c>
      <c r="KY3" t="inlineStr">
        <is>
          <t>Ann: 2013-06-14</t>
        </is>
      </c>
      <c r="LI3" t="inlineStr">
        <is>
          <t>Ann: 2000-11-08</t>
        </is>
      </c>
      <c r="LS3" t="inlineStr">
        <is>
          <t>Ann: 2012-10-23</t>
        </is>
      </c>
      <c r="MC3" t="inlineStr">
        <is>
          <t>Ann: 1998-04-23</t>
        </is>
      </c>
      <c r="MM3" t="inlineStr">
        <is>
          <t>Ann: 2013-01-28</t>
        </is>
      </c>
      <c r="MW3" t="inlineStr">
        <is>
          <t>Ann: 2001-05-22</t>
        </is>
      </c>
      <c r="NG3" t="inlineStr">
        <is>
          <t>Ann: 2015-06-26</t>
        </is>
      </c>
      <c r="NQ3" t="inlineStr">
        <is>
          <t>Ann: 2002-07-31</t>
        </is>
      </c>
      <c r="OA3" t="inlineStr">
        <is>
          <t>Ann: 2006-07-17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BDS("FNBG US Equity","SUPPLY_CHAIN_SUPPLIERS","RELATIONSHIP_AS_OF_DATE","20150514")</f>
        <v/>
      </c>
      <c r="F5">
        <f>BDS("FNBG US Equity","SUPPLY_CHAIN_CUSTOMERS","RELATIONSHIP_AS_OF_DATE","20150514")</f>
        <v/>
      </c>
      <c r="K5">
        <f>BDS("ACBA US Equity","SUPPLY_CHAIN_SUPPLIERS","RELATIONSHIP_AS_OF_DATE","20031105")</f>
        <v/>
      </c>
      <c r="P5">
        <f>BDS("ACBA US Equity","SUPPLY_CHAIN_CUSTOMERS","RELATIONSHIP_AS_OF_DATE","20031105")</f>
        <v/>
      </c>
      <c r="U5">
        <f>BDS("CBBI US Equity","SUPPLY_CHAIN_SUPPLIERS","RELATIONSHIP_AS_OF_DATE","20210128")</f>
        <v/>
      </c>
      <c r="Z5">
        <f>BDS("CBBI US Equity","SUPPLY_CHAIN_CUSTOMERS","RELATIONSHIP_AS_OF_DATE","20210128")</f>
        <v/>
      </c>
      <c r="AE5">
        <f>BDS("544763Q US Equity","SUPPLY_CHAIN_SUPPLIERS","RELATIONSHIP_AS_OF_DATE","19991018")</f>
        <v/>
      </c>
      <c r="AJ5">
        <f>BDS("544763Q US Equity","SUPPLY_CHAIN_CUSTOMERS","RELATIONSHIP_AS_OF_DATE","19991018")</f>
        <v/>
      </c>
      <c r="AO5">
        <f>BDS("GECC US Equity","SUPPLY_CHAIN_SUPPLIERS","RELATIONSHIP_AS_OF_DATE","20160624")</f>
        <v/>
      </c>
      <c r="AT5">
        <f>BDS("GECC US Equity","SUPPLY_CHAIN_CUSTOMERS","RELATIONSHIP_AS_OF_DATE","20160624")</f>
        <v/>
      </c>
      <c r="AY5">
        <f>BDS("IFCB US Equity","SUPPLY_CHAIN_SUPPLIERS","RELATIONSHIP_AS_OF_DATE","20010531")</f>
        <v/>
      </c>
      <c r="BD5">
        <f>BDS("IFCB US Equity","SUPPLY_CHAIN_CUSTOMERS","RELATIONSHIP_AS_OF_DATE","20010531")</f>
        <v/>
      </c>
      <c r="BI5">
        <f>BDS("NPBC US Equity","SUPPLY_CHAIN_SUPPLIERS","RELATIONSHIP_AS_OF_DATE","20000724")</f>
        <v/>
      </c>
      <c r="BN5">
        <f>BDS("NPBC US Equity","SUPPLY_CHAIN_CUSTOMERS","RELATIONSHIP_AS_OF_DATE","20000724")</f>
        <v/>
      </c>
      <c r="BS5">
        <f>BDS("GBTB US Equity","SUPPLY_CHAIN_SUPPLIERS","RELATIONSHIP_AS_OF_DATE","20020131")</f>
        <v/>
      </c>
      <c r="BX5">
        <f>BDS("GBTB US Equity","SUPPLY_CHAIN_CUSTOMERS","RELATIONSHIP_AS_OF_DATE","20020131")</f>
        <v/>
      </c>
      <c r="CC5">
        <f>BDS("KBH US Equity","SUPPLY_CHAIN_SUPPLIERS","RELATIONSHIP_AS_OF_DATE","19980826")</f>
        <v/>
      </c>
      <c r="CH5">
        <f>BDS("KBH US Equity","SUPPLY_CHAIN_CUSTOMERS","RELATIONSHIP_AS_OF_DATE","19980826")</f>
        <v/>
      </c>
      <c r="CM5">
        <f>BDS("PARR US Equity","SUPPLY_CHAIN_SUPPLIERS","RELATIONSHIP_AS_OF_DATE","20130102")</f>
        <v/>
      </c>
      <c r="CR5">
        <f>BDS("PARR US Equity","SUPPLY_CHAIN_CUSTOMERS","RELATIONSHIP_AS_OF_DATE","20130102")</f>
        <v/>
      </c>
      <c r="CW5">
        <f>BDS("GABC US Equity","SUPPLY_CHAIN_SUPPLIERS","RELATIONSHIP_AS_OF_DATE","20130723")</f>
        <v/>
      </c>
      <c r="DB5">
        <f>BDS("GABC US Equity","SUPPLY_CHAIN_CUSTOMERS","RELATIONSHIP_AS_OF_DATE","20130723")</f>
        <v/>
      </c>
      <c r="DG5">
        <f>BDS("GRKA US Equity","SUPPLY_CHAIN_SUPPLIERS","RELATIONSHIP_AS_OF_DATE","19981207")</f>
        <v/>
      </c>
      <c r="DL5">
        <f>BDS("GRKA US Equity","SUPPLY_CHAIN_CUSTOMERS","RELATIONSHIP_AS_OF_DATE","19981207")</f>
        <v/>
      </c>
      <c r="DQ5">
        <f>BDS("CVLY US Equity","SUPPLY_CHAIN_SUPPLIERS","RELATIONSHIP_AS_OF_DATE","20140722")</f>
        <v/>
      </c>
      <c r="DV5">
        <f>BDS("CVLY US Equity","SUPPLY_CHAIN_CUSTOMERS","RELATIONSHIP_AS_OF_DATE","20140722")</f>
        <v/>
      </c>
      <c r="EA5">
        <f>BDS("BCML US Equity","SUPPLY_CHAIN_SUPPLIERS","RELATIONSHIP_AS_OF_DATE","20191104")</f>
        <v/>
      </c>
      <c r="EF5">
        <f>BDS("BCML US Equity","SUPPLY_CHAIN_CUSTOMERS","RELATIONSHIP_AS_OF_DATE","20191104")</f>
        <v/>
      </c>
      <c r="EK5">
        <f>BDS("PBCA US Equity","SUPPLY_CHAIN_SUPPLIERS","RELATIONSHIP_AS_OF_DATE","20150622")</f>
        <v/>
      </c>
      <c r="EP5">
        <f>BDS("PBCA US Equity","SUPPLY_CHAIN_CUSTOMERS","RELATIONSHIP_AS_OF_DATE","20150622")</f>
        <v/>
      </c>
      <c r="EU5">
        <f>BDS("FELE US Equity","SUPPLY_CHAIN_SUPPLIERS","RELATIONSHIP_AS_OF_DATE","20020425")</f>
        <v/>
      </c>
      <c r="EZ5">
        <f>BDS("FELE US Equity","SUPPLY_CHAIN_CUSTOMERS","RELATIONSHIP_AS_OF_DATE","20020425")</f>
        <v/>
      </c>
      <c r="FE5">
        <f>BDS("CFNL US Equity","SUPPLY_CHAIN_SUPPLIERS","RELATIONSHIP_AS_OF_DATE","20000418")</f>
        <v/>
      </c>
      <c r="FJ5">
        <f>BDS("CFNL US Equity","SUPPLY_CHAIN_CUSTOMERS","RELATIONSHIP_AS_OF_DATE","20000418")</f>
        <v/>
      </c>
      <c r="FO5">
        <f>BDS("nan Equity","SUPPLY_CHAIN_SUPPLIERS","RELATIONSHIP_AS_OF_DATE","20220812")</f>
        <v/>
      </c>
      <c r="FT5">
        <f>BDS("nan Equity","SUPPLY_CHAIN_CUSTOMERS","RELATIONSHIP_AS_OF_DATE","20220812")</f>
        <v/>
      </c>
      <c r="FY5">
        <f>BDS("HBNC US Equity","SUPPLY_CHAIN_SUPPLIERS","RELATIONSHIP_AS_OF_DATE","20120210")</f>
        <v/>
      </c>
      <c r="GD5">
        <f>BDS("HBNC US Equity","SUPPLY_CHAIN_CUSTOMERS","RELATIONSHIP_AS_OF_DATE","20120210")</f>
        <v/>
      </c>
      <c r="GI5">
        <f>BDS("KTO US Equity","SUPPLY_CHAIN_SUPPLIERS","RELATIONSHIP_AS_OF_DATE","20031126")</f>
        <v/>
      </c>
      <c r="GN5">
        <f>BDS("KTO US Equity","SUPPLY_CHAIN_CUSTOMERS","RELATIONSHIP_AS_OF_DATE","20031126")</f>
        <v/>
      </c>
      <c r="GS5">
        <f>BDS("USBU US Equity","SUPPLY_CHAIN_SUPPLIERS","RELATIONSHIP_AS_OF_DATE","20020425")</f>
        <v/>
      </c>
      <c r="GX5">
        <f>BDS("USBU US Equity","SUPPLY_CHAIN_CUSTOMERS","RELATIONSHIP_AS_OF_DATE","20020425")</f>
        <v/>
      </c>
      <c r="HC5">
        <f>BDS("BSRR US Equity","SUPPLY_CHAIN_SUPPLIERS","RELATIONSHIP_AS_OF_DATE","20160104")</f>
        <v/>
      </c>
      <c r="HH5">
        <f>BDS("BSRR US Equity","SUPPLY_CHAIN_CUSTOMERS","RELATIONSHIP_AS_OF_DATE","20160104")</f>
        <v/>
      </c>
      <c r="HM5">
        <f>BDS("CKFB US Equity","SUPPLY_CHAIN_SUPPLIERS","RELATIONSHIP_AS_OF_DATE","20001215")</f>
        <v/>
      </c>
      <c r="HR5">
        <f>BDS("CKFB US Equity","SUPPLY_CHAIN_CUSTOMERS","RELATIONSHIP_AS_OF_DATE","20001215")</f>
        <v/>
      </c>
      <c r="HW5">
        <f>BDS("NRIM US Equity","SUPPLY_CHAIN_SUPPLIERS","RELATIONSHIP_AS_OF_DATE","20131022")</f>
        <v/>
      </c>
      <c r="IB5">
        <f>BDS("NRIM US Equity","SUPPLY_CHAIN_CUSTOMERS","RELATIONSHIP_AS_OF_DATE","20131022")</f>
        <v/>
      </c>
      <c r="IG5">
        <f>BDS("PRWT US Equity","SUPPLY_CHAIN_SUPPLIERS","RELATIONSHIP_AS_OF_DATE","20001017")</f>
        <v/>
      </c>
      <c r="IL5">
        <f>BDS("PRWT US Equity","SUPPLY_CHAIN_CUSTOMERS","RELATIONSHIP_AS_OF_DATE","20001017")</f>
        <v/>
      </c>
      <c r="IQ5">
        <f>BDS("PBNI US Equity","SUPPLY_CHAIN_SUPPLIERS","RELATIONSHIP_AS_OF_DATE","19990922")</f>
        <v/>
      </c>
      <c r="IV5">
        <f>BDS("PBNI US Equity","SUPPLY_CHAIN_CUSTOMERS","RELATIONSHIP_AS_OF_DATE","19990922")</f>
        <v/>
      </c>
      <c r="JA5">
        <f>BDS("FRBA US Equity","SUPPLY_CHAIN_SUPPLIERS","RELATIONSHIP_AS_OF_DATE","20171019")</f>
        <v/>
      </c>
      <c r="JF5">
        <f>BDS("FRBA US Equity","SUPPLY_CHAIN_CUSTOMERS","RELATIONSHIP_AS_OF_DATE","20171019")</f>
        <v/>
      </c>
      <c r="JK5">
        <f>BDS("8374857Q US Equity","SUPPLY_CHAIN_SUPPLIERS","RELATIONSHIP_AS_OF_DATE","20001019")</f>
        <v/>
      </c>
      <c r="JP5">
        <f>BDS("8374857Q US Equity","SUPPLY_CHAIN_CUSTOMERS","RELATIONSHIP_AS_OF_DATE","20001019")</f>
        <v/>
      </c>
      <c r="JU5">
        <f>BDS("USEG US Equity","SUPPLY_CHAIN_SUPPLIERS","RELATIONSHIP_AS_OF_DATE","20061220")</f>
        <v/>
      </c>
      <c r="JZ5">
        <f>BDS("USEG US Equity","SUPPLY_CHAIN_CUSTOMERS","RELATIONSHIP_AS_OF_DATE","20061220")</f>
        <v/>
      </c>
      <c r="KE5">
        <f>BDS("EWBC US Equity","SUPPLY_CHAIN_SUPPLIERS","RELATIONSHIP_AS_OF_DATE","19990129")</f>
        <v/>
      </c>
      <c r="KJ5">
        <f>BDS("EWBC US Equity","SUPPLY_CHAIN_CUSTOMERS","RELATIONSHIP_AS_OF_DATE","19990129")</f>
        <v/>
      </c>
      <c r="KO5">
        <f>BDS("PWOD US Equity","SUPPLY_CHAIN_SUPPLIERS","RELATIONSHIP_AS_OF_DATE","19980723")</f>
        <v/>
      </c>
      <c r="KT5">
        <f>BDS("PWOD US Equity","SUPPLY_CHAIN_CUSTOMERS","RELATIONSHIP_AS_OF_DATE","19980723")</f>
        <v/>
      </c>
      <c r="KY5">
        <f>BDS("BWFG US Equity","SUPPLY_CHAIN_SUPPLIERS","RELATIONSHIP_AS_OF_DATE","20130614")</f>
        <v/>
      </c>
      <c r="LD5">
        <f>BDS("BWFG US Equity","SUPPLY_CHAIN_CUSTOMERS","RELATIONSHIP_AS_OF_DATE","20130614")</f>
        <v/>
      </c>
      <c r="LI5">
        <f>BDS("CMTY US Equity","SUPPLY_CHAIN_SUPPLIERS","RELATIONSHIP_AS_OF_DATE","20001108")</f>
        <v/>
      </c>
      <c r="LN5">
        <f>BDS("CMTY US Equity","SUPPLY_CHAIN_CUSTOMERS","RELATIONSHIP_AS_OF_DATE","20001108")</f>
        <v/>
      </c>
      <c r="LS5">
        <f>BDS("PCBK US Equity","SUPPLY_CHAIN_SUPPLIERS","RELATIONSHIP_AS_OF_DATE","20121023")</f>
        <v/>
      </c>
      <c r="LX5">
        <f>BDS("PCBK US Equity","SUPPLY_CHAIN_CUSTOMERS","RELATIONSHIP_AS_OF_DATE","20121023")</f>
        <v/>
      </c>
      <c r="MC5">
        <f>BDS("2412675D US Equity","SUPPLY_CHAIN_SUPPLIERS","RELATIONSHIP_AS_OF_DATE","19980423")</f>
        <v/>
      </c>
      <c r="MH5">
        <f>BDS("2412675D US Equity","SUPPLY_CHAIN_CUSTOMERS","RELATIONSHIP_AS_OF_DATE","19980423")</f>
        <v/>
      </c>
      <c r="MM5">
        <f>BDS("RDMPQ US Equity","SUPPLY_CHAIN_SUPPLIERS","RELATIONSHIP_AS_OF_DATE","20130128")</f>
        <v/>
      </c>
      <c r="MR5">
        <f>BDS("RDMPQ US Equity","SUPPLY_CHAIN_CUSTOMERS","RELATIONSHIP_AS_OF_DATE","20130128")</f>
        <v/>
      </c>
      <c r="MW5">
        <f>BDS("PACW US Equity","SUPPLY_CHAIN_SUPPLIERS","RELATIONSHIP_AS_OF_DATE","20010522")</f>
        <v/>
      </c>
      <c r="NB5">
        <f>BDS("PACW US Equity","SUPPLY_CHAIN_CUSTOMERS","RELATIONSHIP_AS_OF_DATE","20010522")</f>
        <v/>
      </c>
      <c r="NG5">
        <f>BDS("JUVF US Equity","SUPPLY_CHAIN_SUPPLIERS","RELATIONSHIP_AS_OF_DATE","20150626")</f>
        <v/>
      </c>
      <c r="NL5">
        <f>BDS("JUVF US Equity","SUPPLY_CHAIN_CUSTOMERS","RELATIONSHIP_AS_OF_DATE","20150626")</f>
        <v/>
      </c>
      <c r="NQ5">
        <f>BDS("CNQR US Equity","SUPPLY_CHAIN_SUPPLIERS","RELATIONSHIP_AS_OF_DATE","20020731")</f>
        <v/>
      </c>
      <c r="NV5">
        <f>BDS("CNQR US Equity","SUPPLY_CHAIN_CUSTOMERS","RELATIONSHIP_AS_OF_DATE","20020731")</f>
        <v/>
      </c>
      <c r="OA5">
        <f>BDS("ELA US Equity","SUPPLY_CHAIN_SUPPLIERS","RELATIONSHIP_AS_OF_DATE","20060717")</f>
        <v/>
      </c>
      <c r="OF5">
        <f>BDS("ELA US Equity","SUPPLY_CHAIN_CUSTOMERS","RELATIONSHIP_AS_OF_DATE","20060717")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4881</t>
        </is>
      </c>
      <c r="K1" s="1" t="inlineStr">
        <is>
          <t>Deal 4882</t>
        </is>
      </c>
      <c r="U1" s="1" t="inlineStr">
        <is>
          <t>Deal 4883</t>
        </is>
      </c>
      <c r="AE1" s="1" t="inlineStr">
        <is>
          <t>Deal 4884</t>
        </is>
      </c>
      <c r="AO1" s="1" t="inlineStr">
        <is>
          <t>Deal 4885</t>
        </is>
      </c>
      <c r="AY1" s="1" t="inlineStr">
        <is>
          <t>Deal 4886</t>
        </is>
      </c>
      <c r="BI1" s="1" t="inlineStr">
        <is>
          <t>Deal 4887</t>
        </is>
      </c>
      <c r="BS1" s="1" t="inlineStr">
        <is>
          <t>Deal 4888</t>
        </is>
      </c>
      <c r="CC1" s="1" t="inlineStr">
        <is>
          <t>Deal 4889</t>
        </is>
      </c>
      <c r="CM1" s="1" t="inlineStr">
        <is>
          <t>Deal 4890</t>
        </is>
      </c>
      <c r="CW1" s="1" t="inlineStr">
        <is>
          <t>Deal 4891</t>
        </is>
      </c>
      <c r="DG1" s="1" t="inlineStr">
        <is>
          <t>Deal 4892</t>
        </is>
      </c>
      <c r="DQ1" s="1" t="inlineStr">
        <is>
          <t>Deal 4893</t>
        </is>
      </c>
      <c r="EA1" s="1" t="inlineStr">
        <is>
          <t>Deal 4894</t>
        </is>
      </c>
      <c r="EK1" s="1" t="inlineStr">
        <is>
          <t>Deal 4895</t>
        </is>
      </c>
      <c r="EU1" s="1" t="inlineStr">
        <is>
          <t>Deal 4896</t>
        </is>
      </c>
      <c r="FE1" s="1" t="inlineStr">
        <is>
          <t>Deal 4897</t>
        </is>
      </c>
      <c r="FO1" s="1" t="inlineStr">
        <is>
          <t>Deal 4898</t>
        </is>
      </c>
      <c r="FY1" s="1" t="inlineStr">
        <is>
          <t>Deal 4899</t>
        </is>
      </c>
      <c r="GI1" s="1" t="inlineStr">
        <is>
          <t>Deal 4900</t>
        </is>
      </c>
      <c r="GS1" s="1" t="inlineStr">
        <is>
          <t>Deal 4901</t>
        </is>
      </c>
      <c r="HC1" s="1" t="inlineStr">
        <is>
          <t>Deal 4902</t>
        </is>
      </c>
      <c r="HM1" s="1" t="inlineStr">
        <is>
          <t>Deal 4903</t>
        </is>
      </c>
      <c r="HW1" s="1" t="inlineStr">
        <is>
          <t>Deal 4904</t>
        </is>
      </c>
      <c r="IG1" s="1" t="inlineStr">
        <is>
          <t>Deal 4905</t>
        </is>
      </c>
      <c r="IQ1" s="1" t="inlineStr">
        <is>
          <t>Deal 4906</t>
        </is>
      </c>
      <c r="JA1" s="1" t="inlineStr">
        <is>
          <t>Deal 4907</t>
        </is>
      </c>
      <c r="JK1" s="1" t="inlineStr">
        <is>
          <t>Deal 4908</t>
        </is>
      </c>
      <c r="JU1" s="1" t="inlineStr">
        <is>
          <t>Deal 4909</t>
        </is>
      </c>
      <c r="KE1" s="1" t="inlineStr">
        <is>
          <t>Deal 4910</t>
        </is>
      </c>
      <c r="KO1" s="1" t="inlineStr">
        <is>
          <t>Deal 4911</t>
        </is>
      </c>
      <c r="KY1" s="1" t="inlineStr">
        <is>
          <t>Deal 4912</t>
        </is>
      </c>
      <c r="LI1" s="1" t="inlineStr">
        <is>
          <t>Deal 4913</t>
        </is>
      </c>
      <c r="LS1" s="1" t="inlineStr">
        <is>
          <t>Deal 4914</t>
        </is>
      </c>
      <c r="MC1" s="1" t="inlineStr">
        <is>
          <t>Deal 4915</t>
        </is>
      </c>
      <c r="MM1" s="1" t="inlineStr">
        <is>
          <t>Deal 4916</t>
        </is>
      </c>
      <c r="MW1" s="1" t="inlineStr">
        <is>
          <t>Deal 4917</t>
        </is>
      </c>
      <c r="NG1" s="1" t="inlineStr">
        <is>
          <t>Deal 4918</t>
        </is>
      </c>
      <c r="NQ1" s="1" t="inlineStr">
        <is>
          <t>Deal 4919</t>
        </is>
      </c>
      <c r="OA1" s="1" t="inlineStr">
        <is>
          <t>Deal 4920</t>
        </is>
      </c>
    </row>
    <row r="2">
      <c r="A2" s="2" t="inlineStr">
        <is>
          <t>SHPI US Equity</t>
        </is>
      </c>
      <c r="K2" s="2" t="inlineStr">
        <is>
          <t>ASFN US Equity</t>
        </is>
      </c>
      <c r="U2" s="2" t="inlineStr">
        <is>
          <t>FNFG US Equity</t>
        </is>
      </c>
      <c r="AE2" s="2" t="inlineStr">
        <is>
          <t>DGX US Equity</t>
        </is>
      </c>
      <c r="AO2" s="2" t="inlineStr">
        <is>
          <t>ENHT US Equity</t>
        </is>
      </c>
      <c r="AY2" s="2" t="inlineStr">
        <is>
          <t>CNSL US Equity</t>
        </is>
      </c>
      <c r="BI2" s="2" t="inlineStr">
        <is>
          <t>1878409D US Equity</t>
        </is>
      </c>
      <c r="BS2" s="2" t="inlineStr">
        <is>
          <t>FOFN US Equity</t>
        </is>
      </c>
      <c r="CC2" s="2" t="inlineStr">
        <is>
          <t>JNJ US Equity</t>
        </is>
      </c>
      <c r="CM2" s="2" t="inlineStr">
        <is>
          <t>SBFG US Equity</t>
        </is>
      </c>
      <c r="CW2" s="2" t="inlineStr">
        <is>
          <t>GORXQ US Equity</t>
        </is>
      </c>
      <c r="DG2" s="2" t="inlineStr">
        <is>
          <t>2592980D US Equity</t>
        </is>
      </c>
      <c r="DQ2" s="2" t="inlineStr">
        <is>
          <t>TODDA US Equity</t>
        </is>
      </c>
      <c r="EA2" s="2" t="inlineStr">
        <is>
          <t>1413542D US Equity</t>
        </is>
      </c>
      <c r="EK2" s="2" t="inlineStr">
        <is>
          <t>SEELQ US Equity</t>
        </is>
      </c>
      <c r="EU2" s="2" t="inlineStr">
        <is>
          <t>CCLD US Equity</t>
        </is>
      </c>
      <c r="FE2" s="2" t="inlineStr">
        <is>
          <t>PEBO US Equity</t>
        </is>
      </c>
      <c r="FO2" s="2" t="inlineStr">
        <is>
          <t>862395Q GR Equity</t>
        </is>
      </c>
      <c r="FY2" s="2" t="inlineStr">
        <is>
          <t>WTT US Equity</t>
        </is>
      </c>
      <c r="GI2" s="2" t="inlineStr">
        <is>
          <t>DYNE US Equity</t>
        </is>
      </c>
      <c r="GS2" s="2" t="inlineStr">
        <is>
          <t>LBAI US Equity</t>
        </is>
      </c>
      <c r="HC2" s="2" t="inlineStr">
        <is>
          <t>ATBA AV Equity</t>
        </is>
      </c>
      <c r="HM2" s="2" t="inlineStr">
        <is>
          <t>696119Q US Equity</t>
        </is>
      </c>
      <c r="HW2" s="2" t="inlineStr">
        <is>
          <t>UCB US Equity</t>
        </is>
      </c>
      <c r="IG2" s="2" t="inlineStr">
        <is>
          <t>CWBC US Equity</t>
        </is>
      </c>
      <c r="IQ2" s="2" t="inlineStr">
        <is>
          <t>LJPC US Equity</t>
        </is>
      </c>
      <c r="JA2" s="2" t="inlineStr">
        <is>
          <t>GHC US Equity</t>
        </is>
      </c>
      <c r="JK2" s="2" t="inlineStr">
        <is>
          <t>MGAM US Equity</t>
        </is>
      </c>
      <c r="JU2" s="2" t="inlineStr">
        <is>
          <t>1638692D US Equity</t>
        </is>
      </c>
      <c r="KE2" s="2" t="inlineStr">
        <is>
          <t>QVDX US Equity</t>
        </is>
      </c>
      <c r="KO2" s="2" t="inlineStr">
        <is>
          <t>ALNT US Equity</t>
        </is>
      </c>
      <c r="KY2" s="2" t="inlineStr">
        <is>
          <t>IEP US Equity</t>
        </is>
      </c>
      <c r="LI2" s="2" t="inlineStr">
        <is>
          <t>PFSL US Equity</t>
        </is>
      </c>
      <c r="LS2" s="2" t="inlineStr">
        <is>
          <t>BZBC US Equity</t>
        </is>
      </c>
      <c r="MC2" s="2" t="inlineStr">
        <is>
          <t>0700734D US Equity</t>
        </is>
      </c>
      <c r="MM2" s="2" t="inlineStr">
        <is>
          <t>375689Q US Equity</t>
        </is>
      </c>
      <c r="MW2" s="2" t="inlineStr">
        <is>
          <t>ANGQC US Equity</t>
        </is>
      </c>
      <c r="NG2" s="2" t="inlineStr">
        <is>
          <t>EPEXQ US Equity</t>
        </is>
      </c>
      <c r="NQ2" s="2" t="inlineStr">
        <is>
          <t>PEBO US Equity</t>
        </is>
      </c>
      <c r="OA2" s="2" t="inlineStr">
        <is>
          <t>ALLP US Equity</t>
        </is>
      </c>
    </row>
    <row r="3">
      <c r="A3" t="inlineStr">
        <is>
          <t>Ann: 2005-11-22</t>
        </is>
      </c>
      <c r="K3" t="inlineStr">
        <is>
          <t>Ann: 2006-09-15</t>
        </is>
      </c>
      <c r="U3" t="inlineStr">
        <is>
          <t>Ann: 1999-08-30</t>
        </is>
      </c>
      <c r="AE3" t="inlineStr">
        <is>
          <t>Ann: 2001-04-26</t>
        </is>
      </c>
      <c r="AO3" t="inlineStr">
        <is>
          <t>Ann: 1998-01-28</t>
        </is>
      </c>
      <c r="AY3" t="inlineStr">
        <is>
          <t>Ann: 2016-04-18</t>
        </is>
      </c>
      <c r="BI3" t="inlineStr">
        <is>
          <t>Ann: 2007-11-07</t>
        </is>
      </c>
      <c r="BS3" t="inlineStr">
        <is>
          <t>Ann: 2007-12-11</t>
        </is>
      </c>
      <c r="CC3" t="inlineStr">
        <is>
          <t>Ann: 1998-10-05</t>
        </is>
      </c>
      <c r="CM3" t="inlineStr">
        <is>
          <t>Ann: 2005-04-13</t>
        </is>
      </c>
      <c r="CW3" t="inlineStr">
        <is>
          <t>Ann: 2007-05-15</t>
        </is>
      </c>
      <c r="DG3" t="inlineStr">
        <is>
          <t>Ann: 2019-07-03</t>
        </is>
      </c>
      <c r="DQ3" t="inlineStr">
        <is>
          <t>Ann: 1999-06-10</t>
        </is>
      </c>
      <c r="EA3" t="inlineStr">
        <is>
          <t>Ann: 2004-03-26</t>
        </is>
      </c>
      <c r="EK3" t="inlineStr">
        <is>
          <t>Ann: 2009-11-23</t>
        </is>
      </c>
      <c r="EU3" t="inlineStr">
        <is>
          <t>Ann: 2018-05-07</t>
        </is>
      </c>
      <c r="FE3" t="inlineStr">
        <is>
          <t>Ann: 2014-01-21</t>
        </is>
      </c>
      <c r="FO3" t="inlineStr">
        <is>
          <t>Ann: 2000-01-18</t>
        </is>
      </c>
      <c r="FY3" t="inlineStr">
        <is>
          <t>Ann: 2000-03-03</t>
        </is>
      </c>
      <c r="GI3" t="inlineStr">
        <is>
          <t>Ann: 2000-01-20</t>
        </is>
      </c>
      <c r="GS3" t="inlineStr">
        <is>
          <t>Ann: 2015-08-04</t>
        </is>
      </c>
      <c r="HC3" t="inlineStr">
        <is>
          <t>Ann: 2001-06-28</t>
        </is>
      </c>
      <c r="HM3" t="inlineStr">
        <is>
          <t>Ann: 1999-05-24</t>
        </is>
      </c>
      <c r="HW3" t="inlineStr">
        <is>
          <t>Ann: 2004-08-04</t>
        </is>
      </c>
      <c r="IG3" t="inlineStr">
        <is>
          <t>Ann: 2004-07-19</t>
        </is>
      </c>
      <c r="IQ3" t="inlineStr">
        <is>
          <t>Ann: 2020-06-24</t>
        </is>
      </c>
      <c r="JA3" t="inlineStr">
        <is>
          <t>Ann: 2015-10-22</t>
        </is>
      </c>
      <c r="JK3" t="inlineStr">
        <is>
          <t>Ann: 2014-04-30</t>
        </is>
      </c>
      <c r="JU3" t="inlineStr">
        <is>
          <t>Ann: 2009-06-09</t>
        </is>
      </c>
      <c r="KE3" t="inlineStr">
        <is>
          <t>Ann: 2003-08-14</t>
        </is>
      </c>
      <c r="KO3" t="inlineStr">
        <is>
          <t>Ann: 2004-02-10</t>
        </is>
      </c>
      <c r="KY3" t="inlineStr">
        <is>
          <t>Ann: 2007-11-16</t>
        </is>
      </c>
      <c r="LI3" t="inlineStr">
        <is>
          <t>Ann: 2001-11-20</t>
        </is>
      </c>
      <c r="LS3" t="inlineStr">
        <is>
          <t>Ann: 2000-04-05</t>
        </is>
      </c>
      <c r="MC3" t="inlineStr">
        <is>
          <t>Ann: 1999-03-12</t>
        </is>
      </c>
      <c r="MM3" t="inlineStr">
        <is>
          <t>Ann: 1999-05-18</t>
        </is>
      </c>
      <c r="MW3" t="inlineStr">
        <is>
          <t>Ann: 1999-09-22</t>
        </is>
      </c>
      <c r="NG3" t="inlineStr">
        <is>
          <t>Ann: 2003-05-29</t>
        </is>
      </c>
      <c r="NQ3" t="inlineStr">
        <is>
          <t>Ann: 2012-06-05</t>
        </is>
      </c>
      <c r="OA3" t="inlineStr">
        <is>
          <t>Ann: 2000-10-12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BDS("SHPI US Equity","SUPPLY_CHAIN_SUPPLIERS","RELATIONSHIP_AS_OF_DATE","20051122")</f>
        <v/>
      </c>
      <c r="F5">
        <f>BDS("SHPI US Equity","SUPPLY_CHAIN_CUSTOMERS","RELATIONSHIP_AS_OF_DATE","20051122")</f>
        <v/>
      </c>
      <c r="K5">
        <f>BDS("ASFN US Equity","SUPPLY_CHAIN_SUPPLIERS","RELATIONSHIP_AS_OF_DATE","20060915")</f>
        <v/>
      </c>
      <c r="P5">
        <f>BDS("ASFN US Equity","SUPPLY_CHAIN_CUSTOMERS","RELATIONSHIP_AS_OF_DATE","20060915")</f>
        <v/>
      </c>
      <c r="U5">
        <f>BDS("FNFG US Equity","SUPPLY_CHAIN_SUPPLIERS","RELATIONSHIP_AS_OF_DATE","19990830")</f>
        <v/>
      </c>
      <c r="Z5">
        <f>BDS("FNFG US Equity","SUPPLY_CHAIN_CUSTOMERS","RELATIONSHIP_AS_OF_DATE","19990830")</f>
        <v/>
      </c>
      <c r="AE5">
        <f>BDS("DGX US Equity","SUPPLY_CHAIN_SUPPLIERS","RELATIONSHIP_AS_OF_DATE","20010426")</f>
        <v/>
      </c>
      <c r="AJ5">
        <f>BDS("DGX US Equity","SUPPLY_CHAIN_CUSTOMERS","RELATIONSHIP_AS_OF_DATE","20010426")</f>
        <v/>
      </c>
      <c r="AO5">
        <f>BDS("ENHT US Equity","SUPPLY_CHAIN_SUPPLIERS","RELATIONSHIP_AS_OF_DATE","19980128")</f>
        <v/>
      </c>
      <c r="AT5">
        <f>BDS("ENHT US Equity","SUPPLY_CHAIN_CUSTOMERS","RELATIONSHIP_AS_OF_DATE","19980128")</f>
        <v/>
      </c>
      <c r="AY5">
        <f>BDS("CNSL US Equity","SUPPLY_CHAIN_SUPPLIERS","RELATIONSHIP_AS_OF_DATE","20160418")</f>
        <v/>
      </c>
      <c r="BD5">
        <f>BDS("CNSL US Equity","SUPPLY_CHAIN_CUSTOMERS","RELATIONSHIP_AS_OF_DATE","20160418")</f>
        <v/>
      </c>
      <c r="BI5">
        <f>BDS("1878409D US Equity","SUPPLY_CHAIN_SUPPLIERS","RELATIONSHIP_AS_OF_DATE","20071107")</f>
        <v/>
      </c>
      <c r="BN5">
        <f>BDS("1878409D US Equity","SUPPLY_CHAIN_CUSTOMERS","RELATIONSHIP_AS_OF_DATE","20071107")</f>
        <v/>
      </c>
      <c r="BS5">
        <f>BDS("FOFN US Equity","SUPPLY_CHAIN_SUPPLIERS","RELATIONSHIP_AS_OF_DATE","20071211")</f>
        <v/>
      </c>
      <c r="BX5">
        <f>BDS("FOFN US Equity","SUPPLY_CHAIN_CUSTOMERS","RELATIONSHIP_AS_OF_DATE","20071211")</f>
        <v/>
      </c>
      <c r="CC5">
        <f>BDS("JNJ US Equity","SUPPLY_CHAIN_SUPPLIERS","RELATIONSHIP_AS_OF_DATE","19981005")</f>
        <v/>
      </c>
      <c r="CH5">
        <f>BDS("JNJ US Equity","SUPPLY_CHAIN_CUSTOMERS","RELATIONSHIP_AS_OF_DATE","19981005")</f>
        <v/>
      </c>
      <c r="CM5">
        <f>BDS("SBFG US Equity","SUPPLY_CHAIN_SUPPLIERS","RELATIONSHIP_AS_OF_DATE","20050413")</f>
        <v/>
      </c>
      <c r="CR5">
        <f>BDS("SBFG US Equity","SUPPLY_CHAIN_CUSTOMERS","RELATIONSHIP_AS_OF_DATE","20050413")</f>
        <v/>
      </c>
      <c r="CW5">
        <f>BDS("GORXQ US Equity","SUPPLY_CHAIN_SUPPLIERS","RELATIONSHIP_AS_OF_DATE","20070515")</f>
        <v/>
      </c>
      <c r="DB5">
        <f>BDS("GORXQ US Equity","SUPPLY_CHAIN_CUSTOMERS","RELATIONSHIP_AS_OF_DATE","20070515")</f>
        <v/>
      </c>
      <c r="DG5">
        <f>BDS("2592980D US Equity","SUPPLY_CHAIN_SUPPLIERS","RELATIONSHIP_AS_OF_DATE","20190703")</f>
        <v/>
      </c>
      <c r="DL5">
        <f>BDS("2592980D US Equity","SUPPLY_CHAIN_CUSTOMERS","RELATIONSHIP_AS_OF_DATE","20190703")</f>
        <v/>
      </c>
      <c r="DQ5">
        <f>BDS("TODDA US Equity","SUPPLY_CHAIN_SUPPLIERS","RELATIONSHIP_AS_OF_DATE","19990610")</f>
        <v/>
      </c>
      <c r="DV5">
        <f>BDS("TODDA US Equity","SUPPLY_CHAIN_CUSTOMERS","RELATIONSHIP_AS_OF_DATE","19990610")</f>
        <v/>
      </c>
      <c r="EA5">
        <f>BDS("1413542D US Equity","SUPPLY_CHAIN_SUPPLIERS","RELATIONSHIP_AS_OF_DATE","20040326")</f>
        <v/>
      </c>
      <c r="EF5">
        <f>BDS("1413542D US Equity","SUPPLY_CHAIN_CUSTOMERS","RELATIONSHIP_AS_OF_DATE","20040326")</f>
        <v/>
      </c>
      <c r="EK5">
        <f>BDS("SEELQ US Equity","SUPPLY_CHAIN_SUPPLIERS","RELATIONSHIP_AS_OF_DATE","20091123")</f>
        <v/>
      </c>
      <c r="EP5">
        <f>BDS("SEELQ US Equity","SUPPLY_CHAIN_CUSTOMERS","RELATIONSHIP_AS_OF_DATE","20091123")</f>
        <v/>
      </c>
      <c r="EU5">
        <f>BDS("CCLD US Equity","SUPPLY_CHAIN_SUPPLIERS","RELATIONSHIP_AS_OF_DATE","20180507")</f>
        <v/>
      </c>
      <c r="EZ5">
        <f>BDS("CCLD US Equity","SUPPLY_CHAIN_CUSTOMERS","RELATIONSHIP_AS_OF_DATE","20180507")</f>
        <v/>
      </c>
      <c r="FE5">
        <f>BDS("PEBO US Equity","SUPPLY_CHAIN_SUPPLIERS","RELATIONSHIP_AS_OF_DATE","20140121")</f>
        <v/>
      </c>
      <c r="FJ5">
        <f>BDS("PEBO US Equity","SUPPLY_CHAIN_CUSTOMERS","RELATIONSHIP_AS_OF_DATE","20140121")</f>
        <v/>
      </c>
      <c r="FO5">
        <f>BDS("862395Q GR Equity","SUPPLY_CHAIN_SUPPLIERS","RELATIONSHIP_AS_OF_DATE","20000118")</f>
        <v/>
      </c>
      <c r="FT5">
        <f>BDS("862395Q GR Equity","SUPPLY_CHAIN_CUSTOMERS","RELATIONSHIP_AS_OF_DATE","20000118")</f>
        <v/>
      </c>
      <c r="FY5">
        <f>BDS("WTT US Equity","SUPPLY_CHAIN_SUPPLIERS","RELATIONSHIP_AS_OF_DATE","20000303")</f>
        <v/>
      </c>
      <c r="GD5">
        <f>BDS("WTT US Equity","SUPPLY_CHAIN_CUSTOMERS","RELATIONSHIP_AS_OF_DATE","20000303")</f>
        <v/>
      </c>
      <c r="GI5">
        <f>BDS("DYNE US Equity","SUPPLY_CHAIN_SUPPLIERS","RELATIONSHIP_AS_OF_DATE","20000120")</f>
        <v/>
      </c>
      <c r="GN5">
        <f>BDS("DYNE US Equity","SUPPLY_CHAIN_CUSTOMERS","RELATIONSHIP_AS_OF_DATE","20000120")</f>
        <v/>
      </c>
      <c r="GS5">
        <f>BDS("LBAI US Equity","SUPPLY_CHAIN_SUPPLIERS","RELATIONSHIP_AS_OF_DATE","20150804")</f>
        <v/>
      </c>
      <c r="GX5">
        <f>BDS("LBAI US Equity","SUPPLY_CHAIN_CUSTOMERS","RELATIONSHIP_AS_OF_DATE","20150804")</f>
        <v/>
      </c>
      <c r="HC5">
        <f>BDS("ATBA AV Equity","SUPPLY_CHAIN_SUPPLIERS","RELATIONSHIP_AS_OF_DATE","20010628")</f>
        <v/>
      </c>
      <c r="HH5">
        <f>BDS("ATBA AV Equity","SUPPLY_CHAIN_CUSTOMERS","RELATIONSHIP_AS_OF_DATE","20010628")</f>
        <v/>
      </c>
      <c r="HM5">
        <f>BDS("696119Q US Equity","SUPPLY_CHAIN_SUPPLIERS","RELATIONSHIP_AS_OF_DATE","19990524")</f>
        <v/>
      </c>
      <c r="HR5">
        <f>BDS("696119Q US Equity","SUPPLY_CHAIN_CUSTOMERS","RELATIONSHIP_AS_OF_DATE","19990524")</f>
        <v/>
      </c>
      <c r="HW5">
        <f>BDS("UCB US Equity","SUPPLY_CHAIN_SUPPLIERS","RELATIONSHIP_AS_OF_DATE","20040804")</f>
        <v/>
      </c>
      <c r="IB5">
        <f>BDS("UCB US Equity","SUPPLY_CHAIN_CUSTOMERS","RELATIONSHIP_AS_OF_DATE","20040804")</f>
        <v/>
      </c>
      <c r="IG5">
        <f>BDS("CWBC US Equity","SUPPLY_CHAIN_SUPPLIERS","RELATIONSHIP_AS_OF_DATE","20040719")</f>
        <v/>
      </c>
      <c r="IL5">
        <f>BDS("CWBC US Equity","SUPPLY_CHAIN_CUSTOMERS","RELATIONSHIP_AS_OF_DATE","20040719")</f>
        <v/>
      </c>
      <c r="IQ5">
        <f>BDS("LJPC US Equity","SUPPLY_CHAIN_SUPPLIERS","RELATIONSHIP_AS_OF_DATE","20200624")</f>
        <v/>
      </c>
      <c r="IV5">
        <f>BDS("LJPC US Equity","SUPPLY_CHAIN_CUSTOMERS","RELATIONSHIP_AS_OF_DATE","20200624")</f>
        <v/>
      </c>
      <c r="JA5">
        <f>BDS("GHC US Equity","SUPPLY_CHAIN_SUPPLIERS","RELATIONSHIP_AS_OF_DATE","20151022")</f>
        <v/>
      </c>
      <c r="JF5">
        <f>BDS("GHC US Equity","SUPPLY_CHAIN_CUSTOMERS","RELATIONSHIP_AS_OF_DATE","20151022")</f>
        <v/>
      </c>
      <c r="JK5">
        <f>BDS("MGAM US Equity","SUPPLY_CHAIN_SUPPLIERS","RELATIONSHIP_AS_OF_DATE","20140430")</f>
        <v/>
      </c>
      <c r="JP5">
        <f>BDS("MGAM US Equity","SUPPLY_CHAIN_CUSTOMERS","RELATIONSHIP_AS_OF_DATE","20140430")</f>
        <v/>
      </c>
      <c r="JU5">
        <f>BDS("1638692D US Equity","SUPPLY_CHAIN_SUPPLIERS","RELATIONSHIP_AS_OF_DATE","20090609")</f>
        <v/>
      </c>
      <c r="JZ5">
        <f>BDS("1638692D US Equity","SUPPLY_CHAIN_CUSTOMERS","RELATIONSHIP_AS_OF_DATE","20090609")</f>
        <v/>
      </c>
      <c r="KE5">
        <f>BDS("QVDX US Equity","SUPPLY_CHAIN_SUPPLIERS","RELATIONSHIP_AS_OF_DATE","20030814")</f>
        <v/>
      </c>
      <c r="KJ5">
        <f>BDS("QVDX US Equity","SUPPLY_CHAIN_CUSTOMERS","RELATIONSHIP_AS_OF_DATE","20030814")</f>
        <v/>
      </c>
      <c r="KO5">
        <f>BDS("ALNT US Equity","SUPPLY_CHAIN_SUPPLIERS","RELATIONSHIP_AS_OF_DATE","20040210")</f>
        <v/>
      </c>
      <c r="KT5">
        <f>BDS("ALNT US Equity","SUPPLY_CHAIN_CUSTOMERS","RELATIONSHIP_AS_OF_DATE","20040210")</f>
        <v/>
      </c>
      <c r="KY5">
        <f>BDS("IEP US Equity","SUPPLY_CHAIN_SUPPLIERS","RELATIONSHIP_AS_OF_DATE","20071116")</f>
        <v/>
      </c>
      <c r="LD5">
        <f>BDS("IEP US Equity","SUPPLY_CHAIN_CUSTOMERS","RELATIONSHIP_AS_OF_DATE","20071116")</f>
        <v/>
      </c>
      <c r="LI5">
        <f>BDS("PFSL US Equity","SUPPLY_CHAIN_SUPPLIERS","RELATIONSHIP_AS_OF_DATE","20011120")</f>
        <v/>
      </c>
      <c r="LN5">
        <f>BDS("PFSL US Equity","SUPPLY_CHAIN_CUSTOMERS","RELATIONSHIP_AS_OF_DATE","20011120")</f>
        <v/>
      </c>
      <c r="LS5">
        <f>BDS("BZBC US Equity","SUPPLY_CHAIN_SUPPLIERS","RELATIONSHIP_AS_OF_DATE","20000405")</f>
        <v/>
      </c>
      <c r="LX5">
        <f>BDS("BZBC US Equity","SUPPLY_CHAIN_CUSTOMERS","RELATIONSHIP_AS_OF_DATE","20000405")</f>
        <v/>
      </c>
      <c r="MC5">
        <f>BDS("0700734D US Equity","SUPPLY_CHAIN_SUPPLIERS","RELATIONSHIP_AS_OF_DATE","19990312")</f>
        <v/>
      </c>
      <c r="MH5">
        <f>BDS("0700734D US Equity","SUPPLY_CHAIN_CUSTOMERS","RELATIONSHIP_AS_OF_DATE","19990312")</f>
        <v/>
      </c>
      <c r="MM5">
        <f>BDS("375689Q US Equity","SUPPLY_CHAIN_SUPPLIERS","RELATIONSHIP_AS_OF_DATE","19990518")</f>
        <v/>
      </c>
      <c r="MR5">
        <f>BDS("375689Q US Equity","SUPPLY_CHAIN_CUSTOMERS","RELATIONSHIP_AS_OF_DATE","19990518")</f>
        <v/>
      </c>
      <c r="MW5">
        <f>BDS("ANGQC US Equity","SUPPLY_CHAIN_SUPPLIERS","RELATIONSHIP_AS_OF_DATE","19990922")</f>
        <v/>
      </c>
      <c r="NB5">
        <f>BDS("ANGQC US Equity","SUPPLY_CHAIN_CUSTOMERS","RELATIONSHIP_AS_OF_DATE","19990922")</f>
        <v/>
      </c>
      <c r="NG5">
        <f>BDS("EPEXQ US Equity","SUPPLY_CHAIN_SUPPLIERS","RELATIONSHIP_AS_OF_DATE","20030529")</f>
        <v/>
      </c>
      <c r="NL5">
        <f>BDS("EPEXQ US Equity","SUPPLY_CHAIN_CUSTOMERS","RELATIONSHIP_AS_OF_DATE","20030529")</f>
        <v/>
      </c>
      <c r="NQ5">
        <f>BDS("PEBO US Equity","SUPPLY_CHAIN_SUPPLIERS","RELATIONSHIP_AS_OF_DATE","20120605")</f>
        <v/>
      </c>
      <c r="NV5">
        <f>BDS("PEBO US Equity","SUPPLY_CHAIN_CUSTOMERS","RELATIONSHIP_AS_OF_DATE","20120605")</f>
        <v/>
      </c>
      <c r="OA5">
        <f>BDS("ALLP US Equity","SUPPLY_CHAIN_SUPPLIERS","RELATIONSHIP_AS_OF_DATE","20001012")</f>
        <v/>
      </c>
      <c r="OF5">
        <f>BDS("ALLP US Equity","SUPPLY_CHAIN_CUSTOMERS","RELATIONSHIP_AS_OF_DATE","20001012")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3" customWidth="1" min="400" max="400"/>
  </cols>
  <sheetData>
    <row r="1">
      <c r="A1" s="1" t="inlineStr">
        <is>
          <t>Deal 4921</t>
        </is>
      </c>
      <c r="K1" s="1" t="inlineStr">
        <is>
          <t>Deal 4922</t>
        </is>
      </c>
      <c r="U1" s="1" t="inlineStr">
        <is>
          <t>Deal 4923</t>
        </is>
      </c>
      <c r="AE1" s="1" t="inlineStr">
        <is>
          <t>Deal 4924</t>
        </is>
      </c>
      <c r="AO1" s="1" t="inlineStr">
        <is>
          <t>Deal 4925</t>
        </is>
      </c>
      <c r="AY1" s="1" t="inlineStr">
        <is>
          <t>Deal 4926</t>
        </is>
      </c>
      <c r="BI1" s="1" t="inlineStr">
        <is>
          <t>Deal 4927</t>
        </is>
      </c>
      <c r="BS1" s="1" t="inlineStr">
        <is>
          <t>Deal 4928</t>
        </is>
      </c>
      <c r="CC1" s="1" t="inlineStr">
        <is>
          <t>Deal 4929</t>
        </is>
      </c>
      <c r="CM1" s="1" t="inlineStr">
        <is>
          <t>Deal 4930</t>
        </is>
      </c>
      <c r="CW1" s="1" t="inlineStr">
        <is>
          <t>Deal 4931</t>
        </is>
      </c>
      <c r="DG1" s="1" t="inlineStr">
        <is>
          <t>Deal 4932</t>
        </is>
      </c>
      <c r="DQ1" s="1" t="inlineStr">
        <is>
          <t>Deal 4933</t>
        </is>
      </c>
      <c r="EA1" s="1" t="inlineStr">
        <is>
          <t>Deal 4934</t>
        </is>
      </c>
      <c r="EK1" s="1" t="inlineStr">
        <is>
          <t>Deal 4935</t>
        </is>
      </c>
      <c r="EU1" s="1" t="inlineStr">
        <is>
          <t>Deal 4936</t>
        </is>
      </c>
      <c r="FE1" s="1" t="inlineStr">
        <is>
          <t>Deal 4937</t>
        </is>
      </c>
      <c r="FO1" s="1" t="inlineStr">
        <is>
          <t>Deal 4938</t>
        </is>
      </c>
      <c r="FY1" s="1" t="inlineStr">
        <is>
          <t>Deal 4939</t>
        </is>
      </c>
      <c r="GI1" s="1" t="inlineStr">
        <is>
          <t>Deal 4940</t>
        </is>
      </c>
      <c r="GS1" s="1" t="inlineStr">
        <is>
          <t>Deal 4941</t>
        </is>
      </c>
      <c r="HC1" s="1" t="inlineStr">
        <is>
          <t>Deal 4942</t>
        </is>
      </c>
      <c r="HM1" s="1" t="inlineStr">
        <is>
          <t>Deal 4943</t>
        </is>
      </c>
      <c r="HW1" s="1" t="inlineStr">
        <is>
          <t>Deal 4944</t>
        </is>
      </c>
      <c r="IG1" s="1" t="inlineStr">
        <is>
          <t>Deal 4945</t>
        </is>
      </c>
      <c r="IQ1" s="1" t="inlineStr">
        <is>
          <t>Deal 4946</t>
        </is>
      </c>
      <c r="JA1" s="1" t="inlineStr">
        <is>
          <t>Deal 4947</t>
        </is>
      </c>
      <c r="JK1" s="1" t="inlineStr">
        <is>
          <t>Deal 4948</t>
        </is>
      </c>
      <c r="JU1" s="1" t="inlineStr">
        <is>
          <t>Deal 4949</t>
        </is>
      </c>
      <c r="KE1" s="1" t="inlineStr">
        <is>
          <t>Deal 4950</t>
        </is>
      </c>
      <c r="KO1" s="1" t="inlineStr">
        <is>
          <t>Deal 4951</t>
        </is>
      </c>
      <c r="KY1" s="1" t="inlineStr">
        <is>
          <t>Deal 4952</t>
        </is>
      </c>
      <c r="LI1" s="1" t="inlineStr">
        <is>
          <t>Deal 4953</t>
        </is>
      </c>
      <c r="LS1" s="1" t="inlineStr">
        <is>
          <t>Deal 4954</t>
        </is>
      </c>
      <c r="MC1" s="1" t="inlineStr">
        <is>
          <t>Deal 4955</t>
        </is>
      </c>
      <c r="MM1" s="1" t="inlineStr">
        <is>
          <t>Deal 4956</t>
        </is>
      </c>
      <c r="MW1" s="1" t="inlineStr">
        <is>
          <t>Deal 4957</t>
        </is>
      </c>
      <c r="NG1" s="1" t="inlineStr">
        <is>
          <t>Deal 4958</t>
        </is>
      </c>
      <c r="NQ1" s="1" t="inlineStr">
        <is>
          <t>Deal 4959</t>
        </is>
      </c>
      <c r="OA1" s="1" t="inlineStr">
        <is>
          <t>Deal 4960</t>
        </is>
      </c>
    </row>
    <row r="2">
      <c r="A2" s="2" t="inlineStr">
        <is>
          <t>EFII US Equity</t>
        </is>
      </c>
      <c r="K2" s="2" t="inlineStr">
        <is>
          <t>AIII US Equity</t>
        </is>
      </c>
      <c r="U2" s="2" t="inlineStr">
        <is>
          <t>MJCO US Equity</t>
        </is>
      </c>
      <c r="AE2" s="2" t="inlineStr">
        <is>
          <t>PFE US Equity</t>
        </is>
      </c>
      <c r="AO2" s="2" t="inlineStr">
        <is>
          <t>ONFC US Equity</t>
        </is>
      </c>
      <c r="AY2" s="2" t="inlineStr">
        <is>
          <t>VERD US Equity</t>
        </is>
      </c>
      <c r="BI2" s="2" t="inlineStr">
        <is>
          <t>TSA US Equity</t>
        </is>
      </c>
      <c r="BS2" s="2" t="inlineStr">
        <is>
          <t>TUTR US Equity</t>
        </is>
      </c>
      <c r="CC2" s="2" t="inlineStr">
        <is>
          <t>CACB US Equity</t>
        </is>
      </c>
      <c r="CM2" s="2" t="inlineStr">
        <is>
          <t>PRPX US Equity</t>
        </is>
      </c>
      <c r="CW2" s="2" t="inlineStr">
        <is>
          <t>KFFB US Equity</t>
        </is>
      </c>
      <c r="DG2" s="2" t="inlineStr">
        <is>
          <t>PFBI US Equity</t>
        </is>
      </c>
      <c r="DQ2" s="2" t="inlineStr">
        <is>
          <t>ONVI US Equity</t>
        </is>
      </c>
      <c r="EA2" s="2" t="inlineStr">
        <is>
          <t>MSCC US Equity</t>
        </is>
      </c>
      <c r="EK2" s="2" t="inlineStr">
        <is>
          <t>KEGS US Equity</t>
        </is>
      </c>
      <c r="EU2" s="2" t="inlineStr">
        <is>
          <t>PACW US Equity</t>
        </is>
      </c>
      <c r="FE2" s="2" t="inlineStr">
        <is>
          <t>NATH US Equity</t>
        </is>
      </c>
      <c r="FO2" s="2" t="inlineStr">
        <is>
          <t>2894314Q US Equity</t>
        </is>
      </c>
      <c r="FY2" s="2" t="inlineStr">
        <is>
          <t>ARL US Equity</t>
        </is>
      </c>
      <c r="GI2" s="2" t="inlineStr">
        <is>
          <t>USXP US Equity</t>
        </is>
      </c>
      <c r="GS2" s="2" t="inlineStr">
        <is>
          <t>MSLPQ US Equity</t>
        </is>
      </c>
      <c r="HC2" s="2" t="inlineStr">
        <is>
          <t>EMCF US Equity</t>
        </is>
      </c>
      <c r="HM2" s="2" t="inlineStr">
        <is>
          <t>UNTC US Equity</t>
        </is>
      </c>
      <c r="HW2" s="2" t="inlineStr">
        <is>
          <t>WWWX US Equity</t>
        </is>
      </c>
      <c r="IG2" s="2" t="inlineStr">
        <is>
          <t>CLDA US Equity</t>
        </is>
      </c>
      <c r="IQ2" s="2" t="inlineStr">
        <is>
          <t>JEF US Equity</t>
        </is>
      </c>
      <c r="JA2" s="2" t="inlineStr">
        <is>
          <t>597946Q US Equity</t>
        </is>
      </c>
      <c r="JK2" s="2" t="inlineStr">
        <is>
          <t>ONFC US Equity</t>
        </is>
      </c>
      <c r="JU2" s="2" t="inlineStr">
        <is>
          <t>MGLD US Equity</t>
        </is>
      </c>
      <c r="KE2" s="2" t="inlineStr">
        <is>
          <t>TRMK US Equity</t>
        </is>
      </c>
      <c r="KO2" s="2" t="inlineStr">
        <is>
          <t>DNDNQ US Equity</t>
        </is>
      </c>
      <c r="KY2" s="2" t="inlineStr">
        <is>
          <t>PCBB US Equity</t>
        </is>
      </c>
      <c r="LI2" s="2" t="inlineStr">
        <is>
          <t>NDN US Equity</t>
        </is>
      </c>
      <c r="LS2" s="2" t="inlineStr">
        <is>
          <t>FNBG US Equity</t>
        </is>
      </c>
      <c r="MC2" s="2" t="inlineStr">
        <is>
          <t>FTRCQ US Equity</t>
        </is>
      </c>
      <c r="MM2" s="2" t="inlineStr">
        <is>
          <t>CARV US Equity</t>
        </is>
      </c>
      <c r="MW2" s="2" t="inlineStr">
        <is>
          <t>CWBK US Equity</t>
        </is>
      </c>
      <c r="NG2" s="2" t="inlineStr">
        <is>
          <t>HEAL US Equity</t>
        </is>
      </c>
      <c r="NQ2" s="2" t="inlineStr">
        <is>
          <t>SSNC US Equity</t>
        </is>
      </c>
      <c r="OA2" s="2" t="inlineStr">
        <is>
          <t>598014Q US Equity</t>
        </is>
      </c>
    </row>
    <row r="3">
      <c r="A3" t="inlineStr">
        <is>
          <t>Ann: 2003-09-03</t>
        </is>
      </c>
      <c r="K3" t="inlineStr">
        <is>
          <t>Ann: 2015-01-30</t>
        </is>
      </c>
      <c r="U3" t="inlineStr">
        <is>
          <t>Ann: 2020-01-30</t>
        </is>
      </c>
      <c r="AE3" t="inlineStr">
        <is>
          <t>Ann: 2016-07-01</t>
        </is>
      </c>
      <c r="AO3" t="inlineStr">
        <is>
          <t>Ann: 2001-11-21</t>
        </is>
      </c>
      <c r="AY3" t="inlineStr">
        <is>
          <t>Ann: 1998-07-14</t>
        </is>
      </c>
      <c r="BI3" t="inlineStr">
        <is>
          <t>Ann: 1998-01-09</t>
        </is>
      </c>
      <c r="BS3" t="inlineStr">
        <is>
          <t>Ann: 2001-01-31</t>
        </is>
      </c>
      <c r="CC3" t="inlineStr">
        <is>
          <t>Ann: 2003-07-31</t>
        </is>
      </c>
      <c r="CM3" t="inlineStr">
        <is>
          <t>Ann: 2004-07-21</t>
        </is>
      </c>
      <c r="CW3" t="inlineStr">
        <is>
          <t>Ann: 2011-11-03</t>
        </is>
      </c>
      <c r="DG3" t="inlineStr">
        <is>
          <t>Ann: 2008-12-31</t>
        </is>
      </c>
      <c r="DQ3" t="inlineStr">
        <is>
          <t>Ann: 2000-11-20</t>
        </is>
      </c>
      <c r="EA3" t="inlineStr">
        <is>
          <t>Ann: 1998-01-21</t>
        </is>
      </c>
      <c r="EK3" t="inlineStr">
        <is>
          <t>Ann: 2008-04-18</t>
        </is>
      </c>
      <c r="EU3" t="inlineStr">
        <is>
          <t>Ann: 2002-09-20</t>
        </is>
      </c>
      <c r="FE3" t="inlineStr">
        <is>
          <t>Ann: 1998-11-30</t>
        </is>
      </c>
      <c r="FO3" t="inlineStr">
        <is>
          <t>Ann: 2002-12-02</t>
        </is>
      </c>
      <c r="FY3" t="inlineStr">
        <is>
          <t>Ann: 2001-10-23</t>
        </is>
      </c>
      <c r="GI3" t="inlineStr">
        <is>
          <t>Ann: 2004-10-11</t>
        </is>
      </c>
      <c r="GS3" t="inlineStr">
        <is>
          <t>Ann: 2013-11-13</t>
        </is>
      </c>
      <c r="HC3" t="inlineStr">
        <is>
          <t>Ann: 1998-03-20</t>
        </is>
      </c>
      <c r="HM3" t="inlineStr">
        <is>
          <t>Ann: 1999-12-10</t>
        </is>
      </c>
      <c r="HW3" t="inlineStr">
        <is>
          <t>Ann: 1999-03-30</t>
        </is>
      </c>
      <c r="IG3" t="inlineStr">
        <is>
          <t>Ann: 2005-09-20</t>
        </is>
      </c>
      <c r="IQ3" t="inlineStr">
        <is>
          <t>Ann: 2005-05-03</t>
        </is>
      </c>
      <c r="JA3" t="inlineStr">
        <is>
          <t>Ann: 1998-08-28</t>
        </is>
      </c>
      <c r="JK3" t="inlineStr">
        <is>
          <t>Ann: 2006-01-12</t>
        </is>
      </c>
      <c r="JU3" t="inlineStr">
        <is>
          <t>Ann: 2000-01-18</t>
        </is>
      </c>
      <c r="KE3" t="inlineStr">
        <is>
          <t>Ann: 2012-05-29</t>
        </is>
      </c>
      <c r="KO3" t="inlineStr">
        <is>
          <t>Ann: 2003-02-25</t>
        </is>
      </c>
      <c r="KY3" t="inlineStr">
        <is>
          <t>Ann: 2002-06-25</t>
        </is>
      </c>
      <c r="LI3" t="inlineStr">
        <is>
          <t>Ann: 1998-04-21</t>
        </is>
      </c>
      <c r="LS3" t="inlineStr">
        <is>
          <t>Ann: 2004-11-05</t>
        </is>
      </c>
      <c r="MC3" t="inlineStr">
        <is>
          <t>Ann: 2002-05-16</t>
        </is>
      </c>
      <c r="MM3" t="inlineStr">
        <is>
          <t>Ann: 2006-04-06</t>
        </is>
      </c>
      <c r="MW3" t="inlineStr">
        <is>
          <t>Ann: 2009-03-06</t>
        </is>
      </c>
      <c r="NG3" t="inlineStr">
        <is>
          <t>Ann: 2000-03-08</t>
        </is>
      </c>
      <c r="NQ3" t="inlineStr">
        <is>
          <t>Ann: 2002-01-23</t>
        </is>
      </c>
      <c r="OA3" t="inlineStr">
        <is>
          <t>Ann: 1998-05-27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  <c r="OA4" s="3" t="inlineStr">
        <is>
          <t>Suppliers</t>
        </is>
      </c>
      <c r="OF4" s="3" t="inlineStr">
        <is>
          <t>Customers</t>
        </is>
      </c>
    </row>
    <row r="5">
      <c r="A5">
        <f>BDS("EFII US Equity","SUPPLY_CHAIN_SUPPLIERS","RELATIONSHIP_AS_OF_DATE","20030903")</f>
        <v/>
      </c>
      <c r="F5">
        <f>BDS("EFII US Equity","SUPPLY_CHAIN_CUSTOMERS","RELATIONSHIP_AS_OF_DATE","20030903")</f>
        <v/>
      </c>
      <c r="K5">
        <f>BDS("AIII US Equity","SUPPLY_CHAIN_SUPPLIERS","RELATIONSHIP_AS_OF_DATE","20150130")</f>
        <v/>
      </c>
      <c r="P5">
        <f>BDS("AIII US Equity","SUPPLY_CHAIN_CUSTOMERS","RELATIONSHIP_AS_OF_DATE","20150130")</f>
        <v/>
      </c>
      <c r="U5">
        <f>BDS("MJCO US Equity","SUPPLY_CHAIN_SUPPLIERS","RELATIONSHIP_AS_OF_DATE","20200130")</f>
        <v/>
      </c>
      <c r="Z5">
        <f>BDS("MJCO US Equity","SUPPLY_CHAIN_CUSTOMERS","RELATIONSHIP_AS_OF_DATE","20200130")</f>
        <v/>
      </c>
      <c r="AE5">
        <f>BDS("PFE US Equity","SUPPLY_CHAIN_SUPPLIERS","RELATIONSHIP_AS_OF_DATE","20160701")</f>
        <v/>
      </c>
      <c r="AJ5">
        <f>BDS("PFE US Equity","SUPPLY_CHAIN_CUSTOMERS","RELATIONSHIP_AS_OF_DATE","20160701")</f>
        <v/>
      </c>
      <c r="AO5">
        <f>BDS("ONFC US Equity","SUPPLY_CHAIN_SUPPLIERS","RELATIONSHIP_AS_OF_DATE","20011121")</f>
        <v/>
      </c>
      <c r="AT5">
        <f>BDS("ONFC US Equity","SUPPLY_CHAIN_CUSTOMERS","RELATIONSHIP_AS_OF_DATE","20011121")</f>
        <v/>
      </c>
      <c r="AY5">
        <f>BDS("VERD US Equity","SUPPLY_CHAIN_SUPPLIERS","RELATIONSHIP_AS_OF_DATE","19980714")</f>
        <v/>
      </c>
      <c r="BD5">
        <f>BDS("VERD US Equity","SUPPLY_CHAIN_CUSTOMERS","RELATIONSHIP_AS_OF_DATE","19980714")</f>
        <v/>
      </c>
      <c r="BI5">
        <f>BDS("TSA US Equity","SUPPLY_CHAIN_SUPPLIERS","RELATIONSHIP_AS_OF_DATE","19980109")</f>
        <v/>
      </c>
      <c r="BN5">
        <f>BDS("TSA US Equity","SUPPLY_CHAIN_CUSTOMERS","RELATIONSHIP_AS_OF_DATE","19980109")</f>
        <v/>
      </c>
      <c r="BS5">
        <f>BDS("TUTR US Equity","SUPPLY_CHAIN_SUPPLIERS","RELATIONSHIP_AS_OF_DATE","20010131")</f>
        <v/>
      </c>
      <c r="BX5">
        <f>BDS("TUTR US Equity","SUPPLY_CHAIN_CUSTOMERS","RELATIONSHIP_AS_OF_DATE","20010131")</f>
        <v/>
      </c>
      <c r="CC5">
        <f>BDS("CACB US Equity","SUPPLY_CHAIN_SUPPLIERS","RELATIONSHIP_AS_OF_DATE","20030731")</f>
        <v/>
      </c>
      <c r="CH5">
        <f>BDS("CACB US Equity","SUPPLY_CHAIN_CUSTOMERS","RELATIONSHIP_AS_OF_DATE","20030731")</f>
        <v/>
      </c>
      <c r="CM5">
        <f>BDS("PRPX US Equity","SUPPLY_CHAIN_SUPPLIERS","RELATIONSHIP_AS_OF_DATE","20040721")</f>
        <v/>
      </c>
      <c r="CR5">
        <f>BDS("PRPX US Equity","SUPPLY_CHAIN_CUSTOMERS","RELATIONSHIP_AS_OF_DATE","20040721")</f>
        <v/>
      </c>
      <c r="CW5">
        <f>BDS("KFFB US Equity","SUPPLY_CHAIN_SUPPLIERS","RELATIONSHIP_AS_OF_DATE","20111103")</f>
        <v/>
      </c>
      <c r="DB5">
        <f>BDS("KFFB US Equity","SUPPLY_CHAIN_CUSTOMERS","RELATIONSHIP_AS_OF_DATE","20111103")</f>
        <v/>
      </c>
      <c r="DG5">
        <f>BDS("PFBI US Equity","SUPPLY_CHAIN_SUPPLIERS","RELATIONSHIP_AS_OF_DATE","20081231")</f>
        <v/>
      </c>
      <c r="DL5">
        <f>BDS("PFBI US Equity","SUPPLY_CHAIN_CUSTOMERS","RELATIONSHIP_AS_OF_DATE","20081231")</f>
        <v/>
      </c>
      <c r="DQ5">
        <f>BDS("ONVI US Equity","SUPPLY_CHAIN_SUPPLIERS","RELATIONSHIP_AS_OF_DATE","20001120")</f>
        <v/>
      </c>
      <c r="DV5">
        <f>BDS("ONVI US Equity","SUPPLY_CHAIN_CUSTOMERS","RELATIONSHIP_AS_OF_DATE","20001120")</f>
        <v/>
      </c>
      <c r="EA5">
        <f>BDS("MSCC US Equity","SUPPLY_CHAIN_SUPPLIERS","RELATIONSHIP_AS_OF_DATE","19980121")</f>
        <v/>
      </c>
      <c r="EF5">
        <f>BDS("MSCC US Equity","SUPPLY_CHAIN_CUSTOMERS","RELATIONSHIP_AS_OF_DATE","19980121")</f>
        <v/>
      </c>
      <c r="EK5">
        <f>BDS("KEGS US Equity","SUPPLY_CHAIN_SUPPLIERS","RELATIONSHIP_AS_OF_DATE","20080418")</f>
        <v/>
      </c>
      <c r="EP5">
        <f>BDS("KEGS US Equity","SUPPLY_CHAIN_CUSTOMERS","RELATIONSHIP_AS_OF_DATE","20080418")</f>
        <v/>
      </c>
      <c r="EU5">
        <f>BDS("PACW US Equity","SUPPLY_CHAIN_SUPPLIERS","RELATIONSHIP_AS_OF_DATE","20020920")</f>
        <v/>
      </c>
      <c r="EZ5">
        <f>BDS("PACW US Equity","SUPPLY_CHAIN_CUSTOMERS","RELATIONSHIP_AS_OF_DATE","20020920")</f>
        <v/>
      </c>
      <c r="FE5">
        <f>BDS("NATH US Equity","SUPPLY_CHAIN_SUPPLIERS","RELATIONSHIP_AS_OF_DATE","19981130")</f>
        <v/>
      </c>
      <c r="FJ5">
        <f>BDS("NATH US Equity","SUPPLY_CHAIN_CUSTOMERS","RELATIONSHIP_AS_OF_DATE","19981130")</f>
        <v/>
      </c>
      <c r="FO5">
        <f>BDS("2894314Q US Equity","SUPPLY_CHAIN_SUPPLIERS","RELATIONSHIP_AS_OF_DATE","20021202")</f>
        <v/>
      </c>
      <c r="FT5">
        <f>BDS("2894314Q US Equity","SUPPLY_CHAIN_CUSTOMERS","RELATIONSHIP_AS_OF_DATE","20021202")</f>
        <v/>
      </c>
      <c r="FY5">
        <f>BDS("ARL US Equity","SUPPLY_CHAIN_SUPPLIERS","RELATIONSHIP_AS_OF_DATE","20011023")</f>
        <v/>
      </c>
      <c r="GD5">
        <f>BDS("ARL US Equity","SUPPLY_CHAIN_CUSTOMERS","RELATIONSHIP_AS_OF_DATE","20011023")</f>
        <v/>
      </c>
      <c r="GI5">
        <f>BDS("USXP US Equity","SUPPLY_CHAIN_SUPPLIERS","RELATIONSHIP_AS_OF_DATE","20041011")</f>
        <v/>
      </c>
      <c r="GN5">
        <f>BDS("USXP US Equity","SUPPLY_CHAIN_CUSTOMERS","RELATIONSHIP_AS_OF_DATE","20041011")</f>
        <v/>
      </c>
      <c r="GS5">
        <f>BDS("MSLPQ US Equity","SUPPLY_CHAIN_SUPPLIERS","RELATIONSHIP_AS_OF_DATE","20131113")</f>
        <v/>
      </c>
      <c r="GX5">
        <f>BDS("MSLPQ US Equity","SUPPLY_CHAIN_CUSTOMERS","RELATIONSHIP_AS_OF_DATE","20131113")</f>
        <v/>
      </c>
      <c r="HC5">
        <f>BDS("EMCF US Equity","SUPPLY_CHAIN_SUPPLIERS","RELATIONSHIP_AS_OF_DATE","19980320")</f>
        <v/>
      </c>
      <c r="HH5">
        <f>BDS("EMCF US Equity","SUPPLY_CHAIN_CUSTOMERS","RELATIONSHIP_AS_OF_DATE","19980320")</f>
        <v/>
      </c>
      <c r="HM5">
        <f>BDS("UNTC US Equity","SUPPLY_CHAIN_SUPPLIERS","RELATIONSHIP_AS_OF_DATE","19991210")</f>
        <v/>
      </c>
      <c r="HR5">
        <f>BDS("UNTC US Equity","SUPPLY_CHAIN_CUSTOMERS","RELATIONSHIP_AS_OF_DATE","19991210")</f>
        <v/>
      </c>
      <c r="HW5">
        <f>BDS("WWWX US Equity","SUPPLY_CHAIN_SUPPLIERS","RELATIONSHIP_AS_OF_DATE","19990330")</f>
        <v/>
      </c>
      <c r="IB5">
        <f>BDS("WWWX US Equity","SUPPLY_CHAIN_CUSTOMERS","RELATIONSHIP_AS_OF_DATE","19990330")</f>
        <v/>
      </c>
      <c r="IG5">
        <f>BDS("CLDA US Equity","SUPPLY_CHAIN_SUPPLIERS","RELATIONSHIP_AS_OF_DATE","20050920")</f>
        <v/>
      </c>
      <c r="IL5">
        <f>BDS("CLDA US Equity","SUPPLY_CHAIN_CUSTOMERS","RELATIONSHIP_AS_OF_DATE","20050920")</f>
        <v/>
      </c>
      <c r="IQ5">
        <f>BDS("JEF US Equity","SUPPLY_CHAIN_SUPPLIERS","RELATIONSHIP_AS_OF_DATE","20050503")</f>
        <v/>
      </c>
      <c r="IV5">
        <f>BDS("JEF US Equity","SUPPLY_CHAIN_CUSTOMERS","RELATIONSHIP_AS_OF_DATE","20050503")</f>
        <v/>
      </c>
      <c r="JA5">
        <f>BDS("597946Q US Equity","SUPPLY_CHAIN_SUPPLIERS","RELATIONSHIP_AS_OF_DATE","19980828")</f>
        <v/>
      </c>
      <c r="JF5">
        <f>BDS("597946Q US Equity","SUPPLY_CHAIN_CUSTOMERS","RELATIONSHIP_AS_OF_DATE","19980828")</f>
        <v/>
      </c>
      <c r="JK5">
        <f>BDS("ONFC US Equity","SUPPLY_CHAIN_SUPPLIERS","RELATIONSHIP_AS_OF_DATE","20060112")</f>
        <v/>
      </c>
      <c r="JP5">
        <f>BDS("ONFC US Equity","SUPPLY_CHAIN_CUSTOMERS","RELATIONSHIP_AS_OF_DATE","20060112")</f>
        <v/>
      </c>
      <c r="JU5">
        <f>BDS("MGLD US Equity","SUPPLY_CHAIN_SUPPLIERS","RELATIONSHIP_AS_OF_DATE","20000118")</f>
        <v/>
      </c>
      <c r="JZ5">
        <f>BDS("MGLD US Equity","SUPPLY_CHAIN_CUSTOMERS","RELATIONSHIP_AS_OF_DATE","20000118")</f>
        <v/>
      </c>
      <c r="KE5">
        <f>BDS("TRMK US Equity","SUPPLY_CHAIN_SUPPLIERS","RELATIONSHIP_AS_OF_DATE","20120529")</f>
        <v/>
      </c>
      <c r="KJ5">
        <f>BDS("TRMK US Equity","SUPPLY_CHAIN_CUSTOMERS","RELATIONSHIP_AS_OF_DATE","20120529")</f>
        <v/>
      </c>
      <c r="KO5">
        <f>BDS("DNDNQ US Equity","SUPPLY_CHAIN_SUPPLIERS","RELATIONSHIP_AS_OF_DATE","20030225")</f>
        <v/>
      </c>
      <c r="KT5">
        <f>BDS("DNDNQ US Equity","SUPPLY_CHAIN_CUSTOMERS","RELATIONSHIP_AS_OF_DATE","20030225")</f>
        <v/>
      </c>
      <c r="KY5">
        <f>BDS("PCBB US Equity","SUPPLY_CHAIN_SUPPLIERS","RELATIONSHIP_AS_OF_DATE","20020625")</f>
        <v/>
      </c>
      <c r="LD5">
        <f>BDS("PCBB US Equity","SUPPLY_CHAIN_CUSTOMERS","RELATIONSHIP_AS_OF_DATE","20020625")</f>
        <v/>
      </c>
      <c r="LI5">
        <f>BDS("NDN US Equity","SUPPLY_CHAIN_SUPPLIERS","RELATIONSHIP_AS_OF_DATE","19980421")</f>
        <v/>
      </c>
      <c r="LN5">
        <f>BDS("NDN US Equity","SUPPLY_CHAIN_CUSTOMERS","RELATIONSHIP_AS_OF_DATE","19980421")</f>
        <v/>
      </c>
      <c r="LS5">
        <f>BDS("FNBG US Equity","SUPPLY_CHAIN_SUPPLIERS","RELATIONSHIP_AS_OF_DATE","20041105")</f>
        <v/>
      </c>
      <c r="LX5">
        <f>BDS("FNBG US Equity","SUPPLY_CHAIN_CUSTOMERS","RELATIONSHIP_AS_OF_DATE","20041105")</f>
        <v/>
      </c>
      <c r="MC5">
        <f>BDS("FTRCQ US Equity","SUPPLY_CHAIN_SUPPLIERS","RELATIONSHIP_AS_OF_DATE","20020516")</f>
        <v/>
      </c>
      <c r="MH5">
        <f>BDS("FTRCQ US Equity","SUPPLY_CHAIN_CUSTOMERS","RELATIONSHIP_AS_OF_DATE","20020516")</f>
        <v/>
      </c>
      <c r="MM5">
        <f>BDS("CARV US Equity","SUPPLY_CHAIN_SUPPLIERS","RELATIONSHIP_AS_OF_DATE","20060406")</f>
        <v/>
      </c>
      <c r="MR5">
        <f>BDS("CARV US Equity","SUPPLY_CHAIN_CUSTOMERS","RELATIONSHIP_AS_OF_DATE","20060406")</f>
        <v/>
      </c>
      <c r="MW5">
        <f>BDS("CWBK US Equity","SUPPLY_CHAIN_SUPPLIERS","RELATIONSHIP_AS_OF_DATE","20090306")</f>
        <v/>
      </c>
      <c r="NB5">
        <f>BDS("CWBK US Equity","SUPPLY_CHAIN_CUSTOMERS","RELATIONSHIP_AS_OF_DATE","20090306")</f>
        <v/>
      </c>
      <c r="NG5">
        <f>BDS("HEAL US Equity","SUPPLY_CHAIN_SUPPLIERS","RELATIONSHIP_AS_OF_DATE","20000308")</f>
        <v/>
      </c>
      <c r="NL5">
        <f>BDS("HEAL US Equity","SUPPLY_CHAIN_CUSTOMERS","RELATIONSHIP_AS_OF_DATE","20000308")</f>
        <v/>
      </c>
      <c r="NQ5">
        <f>BDS("SSNC US Equity","SUPPLY_CHAIN_SUPPLIERS","RELATIONSHIP_AS_OF_DATE","20020123")</f>
        <v/>
      </c>
      <c r="NV5">
        <f>BDS("SSNC US Equity","SUPPLY_CHAIN_CUSTOMERS","RELATIONSHIP_AS_OF_DATE","20020123")</f>
        <v/>
      </c>
      <c r="OA5">
        <f>BDS("598014Q US Equity","SUPPLY_CHAIN_SUPPLIERS","RELATIONSHIP_AS_OF_DATE","19980527")</f>
        <v/>
      </c>
      <c r="OF5">
        <f>BDS("598014Q US Equity","SUPPLY_CHAIN_CUSTOMERS","RELATIONSHIP_AS_OF_DATE","19980527")</f>
        <v/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NV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3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3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3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3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3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3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3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3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3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3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3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3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3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3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3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3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3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3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3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3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3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3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3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3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3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3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3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3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3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3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3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3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3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3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3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3" customWidth="1" min="390" max="390"/>
  </cols>
  <sheetData>
    <row r="1">
      <c r="A1" s="1" t="inlineStr">
        <is>
          <t>Deal 4961</t>
        </is>
      </c>
      <c r="K1" s="1" t="inlineStr">
        <is>
          <t>Deal 4962</t>
        </is>
      </c>
      <c r="U1" s="1" t="inlineStr">
        <is>
          <t>Deal 4963</t>
        </is>
      </c>
      <c r="AE1" s="1" t="inlineStr">
        <is>
          <t>Deal 4964</t>
        </is>
      </c>
      <c r="AO1" s="1" t="inlineStr">
        <is>
          <t>Deal 4965</t>
        </is>
      </c>
      <c r="AY1" s="1" t="inlineStr">
        <is>
          <t>Deal 4966</t>
        </is>
      </c>
      <c r="BI1" s="1" t="inlineStr">
        <is>
          <t>Deal 4967</t>
        </is>
      </c>
      <c r="BS1" s="1" t="inlineStr">
        <is>
          <t>Deal 4968</t>
        </is>
      </c>
      <c r="CC1" s="1" t="inlineStr">
        <is>
          <t>Deal 4969</t>
        </is>
      </c>
      <c r="CM1" s="1" t="inlineStr">
        <is>
          <t>Deal 4970</t>
        </is>
      </c>
      <c r="CW1" s="1" t="inlineStr">
        <is>
          <t>Deal 4971</t>
        </is>
      </c>
      <c r="DG1" s="1" t="inlineStr">
        <is>
          <t>Deal 4972</t>
        </is>
      </c>
      <c r="DQ1" s="1" t="inlineStr">
        <is>
          <t>Deal 4973</t>
        </is>
      </c>
      <c r="EA1" s="1" t="inlineStr">
        <is>
          <t>Deal 4974</t>
        </is>
      </c>
      <c r="EK1" s="1" t="inlineStr">
        <is>
          <t>Deal 4975</t>
        </is>
      </c>
      <c r="EU1" s="1" t="inlineStr">
        <is>
          <t>Deal 4976</t>
        </is>
      </c>
      <c r="FE1" s="1" t="inlineStr">
        <is>
          <t>Deal 4977</t>
        </is>
      </c>
      <c r="FO1" s="1" t="inlineStr">
        <is>
          <t>Deal 4978</t>
        </is>
      </c>
      <c r="FY1" s="1" t="inlineStr">
        <is>
          <t>Deal 4979</t>
        </is>
      </c>
      <c r="GI1" s="1" t="inlineStr">
        <is>
          <t>Deal 4980</t>
        </is>
      </c>
      <c r="GS1" s="1" t="inlineStr">
        <is>
          <t>Deal 4981</t>
        </is>
      </c>
      <c r="HC1" s="1" t="inlineStr">
        <is>
          <t>Deal 4982</t>
        </is>
      </c>
      <c r="HM1" s="1" t="inlineStr">
        <is>
          <t>Deal 4983</t>
        </is>
      </c>
      <c r="HW1" s="1" t="inlineStr">
        <is>
          <t>Deal 4984</t>
        </is>
      </c>
      <c r="IG1" s="1" t="inlineStr">
        <is>
          <t>Deal 4985</t>
        </is>
      </c>
      <c r="IQ1" s="1" t="inlineStr">
        <is>
          <t>Deal 4986</t>
        </is>
      </c>
      <c r="JA1" s="1" t="inlineStr">
        <is>
          <t>Deal 4987</t>
        </is>
      </c>
      <c r="JK1" s="1" t="inlineStr">
        <is>
          <t>Deal 4988</t>
        </is>
      </c>
      <c r="JU1" s="1" t="inlineStr">
        <is>
          <t>Deal 4989</t>
        </is>
      </c>
      <c r="KE1" s="1" t="inlineStr">
        <is>
          <t>Deal 4990</t>
        </is>
      </c>
      <c r="KO1" s="1" t="inlineStr">
        <is>
          <t>Deal 4991</t>
        </is>
      </c>
      <c r="KY1" s="1" t="inlineStr">
        <is>
          <t>Deal 4992</t>
        </is>
      </c>
      <c r="LI1" s="1" t="inlineStr">
        <is>
          <t>Deal 4993</t>
        </is>
      </c>
      <c r="LS1" s="1" t="inlineStr">
        <is>
          <t>Deal 4994</t>
        </is>
      </c>
      <c r="MC1" s="1" t="inlineStr">
        <is>
          <t>Deal 4995</t>
        </is>
      </c>
      <c r="MM1" s="1" t="inlineStr">
        <is>
          <t>Deal 4996</t>
        </is>
      </c>
      <c r="MW1" s="1" t="inlineStr">
        <is>
          <t>Deal 4997</t>
        </is>
      </c>
      <c r="NG1" s="1" t="inlineStr">
        <is>
          <t>Deal 4998</t>
        </is>
      </c>
      <c r="NQ1" s="1" t="inlineStr">
        <is>
          <t>Deal 4999</t>
        </is>
      </c>
    </row>
    <row r="2">
      <c r="A2" s="2" t="inlineStr">
        <is>
          <t>GBCI US Equity</t>
        </is>
      </c>
      <c r="K2" s="2" t="inlineStr">
        <is>
          <t>NMIL US Equity</t>
        </is>
      </c>
      <c r="U2" s="2" t="inlineStr">
        <is>
          <t>INVT US Equity</t>
        </is>
      </c>
      <c r="AE2" s="2" t="inlineStr">
        <is>
          <t>CVST US Equity</t>
        </is>
      </c>
      <c r="AO2" s="2" t="inlineStr">
        <is>
          <t>FLMK US Equity</t>
        </is>
      </c>
      <c r="AY2" s="2" t="inlineStr">
        <is>
          <t>LGTY US Equity</t>
        </is>
      </c>
      <c r="BI2" s="2" t="inlineStr">
        <is>
          <t>8277795Q US Equity</t>
        </is>
      </c>
      <c r="BS2" s="2" t="inlineStr">
        <is>
          <t>1917130D US Equity</t>
        </is>
      </c>
      <c r="CC2" s="2" t="inlineStr">
        <is>
          <t>SOFN US Equity</t>
        </is>
      </c>
      <c r="CM2" s="2" t="inlineStr">
        <is>
          <t>KERA US Equity</t>
        </is>
      </c>
      <c r="CW2" s="2" t="inlineStr">
        <is>
          <t>1878409D US Equity</t>
        </is>
      </c>
      <c r="DG2" s="2" t="inlineStr">
        <is>
          <t>BSX US Equity</t>
        </is>
      </c>
      <c r="DQ2" s="2" t="inlineStr">
        <is>
          <t>BCML US Equity</t>
        </is>
      </c>
      <c r="EA2" s="2" t="inlineStr">
        <is>
          <t>PRGS US Equity</t>
        </is>
      </c>
      <c r="EK2" s="2" t="inlineStr">
        <is>
          <t>ICUI US Equity</t>
        </is>
      </c>
      <c r="EU2" s="2" t="inlineStr">
        <is>
          <t>BNCN US Equity</t>
        </is>
      </c>
      <c r="FE2" s="2" t="inlineStr">
        <is>
          <t>ISBC US Equity</t>
        </is>
      </c>
      <c r="FO2" s="2" t="inlineStr">
        <is>
          <t>1740293D US Equity</t>
        </is>
      </c>
      <c r="FY2" s="2" t="inlineStr">
        <is>
          <t>EVH US Equity</t>
        </is>
      </c>
      <c r="GI2" s="2" t="inlineStr">
        <is>
          <t>AYTU US Equity</t>
        </is>
      </c>
      <c r="GS2" s="2" t="inlineStr">
        <is>
          <t>UWHR US Equity</t>
        </is>
      </c>
      <c r="HC2" s="2" t="inlineStr">
        <is>
          <t>TSH US Equity</t>
        </is>
      </c>
      <c r="HM2" s="2" t="inlineStr">
        <is>
          <t>MDRR US Equity</t>
        </is>
      </c>
      <c r="HW2" s="2" t="inlineStr">
        <is>
          <t>BCAR US Equity</t>
        </is>
      </c>
      <c r="IG2" s="2" t="inlineStr">
        <is>
          <t>HBMD US Equity</t>
        </is>
      </c>
      <c r="IQ2" s="2" t="inlineStr">
        <is>
          <t>PSBI US Equity</t>
        </is>
      </c>
      <c r="JA2" s="2" t="inlineStr">
        <is>
          <t>1917130D US Equity</t>
        </is>
      </c>
      <c r="JK2" s="2" t="inlineStr">
        <is>
          <t>MFIN US Equity</t>
        </is>
      </c>
      <c r="JU2" s="2" t="inlineStr">
        <is>
          <t>CRN US Equity</t>
        </is>
      </c>
      <c r="KE2" s="2" t="inlineStr">
        <is>
          <t>THCH US Equity</t>
        </is>
      </c>
      <c r="KO2" s="2" t="inlineStr">
        <is>
          <t>TRB US Equity</t>
        </is>
      </c>
      <c r="KY2" s="2" t="inlineStr">
        <is>
          <t>2652Q US Equity</t>
        </is>
      </c>
      <c r="LI2" s="2" t="inlineStr">
        <is>
          <t>FCNCA US Equity</t>
        </is>
      </c>
      <c r="LS2" s="2" t="inlineStr">
        <is>
          <t>HTB US Equity</t>
        </is>
      </c>
      <c r="MC2" s="2" t="inlineStr">
        <is>
          <t>PRES US Equity</t>
        </is>
      </c>
      <c r="MM2" s="2" t="inlineStr">
        <is>
          <t>VDCY US Equity</t>
        </is>
      </c>
      <c r="MW2" s="2" t="inlineStr">
        <is>
          <t>MCRL US Equity</t>
        </is>
      </c>
      <c r="NG2" s="2" t="inlineStr">
        <is>
          <t>HEOP US Equity</t>
        </is>
      </c>
      <c r="NQ2" s="2" t="inlineStr">
        <is>
          <t>1523873D US Equity</t>
        </is>
      </c>
    </row>
    <row r="3">
      <c r="A3" t="inlineStr">
        <is>
          <t>Ann: 2016-04-20</t>
        </is>
      </c>
      <c r="K3" t="inlineStr">
        <is>
          <t>Ann: 2000-05-31</t>
        </is>
      </c>
      <c r="U3" t="inlineStr">
        <is>
          <t>Ann: 2007-10-22</t>
        </is>
      </c>
      <c r="AE3" t="inlineStr">
        <is>
          <t>Ann: 2001-07-18</t>
        </is>
      </c>
      <c r="AO3" t="inlineStr">
        <is>
          <t>Ann: 1998-11-18</t>
        </is>
      </c>
      <c r="AY3" t="inlineStr">
        <is>
          <t>Ann: 2009-03-18</t>
        </is>
      </c>
      <c r="BI3" t="inlineStr">
        <is>
          <t>Ann: 2007-04-26</t>
        </is>
      </c>
      <c r="BS3" t="inlineStr">
        <is>
          <t>Ann: 2016-03-25</t>
        </is>
      </c>
      <c r="CC3" t="inlineStr">
        <is>
          <t>Ann: 2001-10-18</t>
        </is>
      </c>
      <c r="CM3" t="inlineStr">
        <is>
          <t>Ann: 1998-12-23</t>
        </is>
      </c>
      <c r="CW3" t="inlineStr">
        <is>
          <t>Ann: 2013-06-21</t>
        </is>
      </c>
      <c r="DG3" t="inlineStr">
        <is>
          <t>Ann: 2008-04-16</t>
        </is>
      </c>
      <c r="DQ3" t="inlineStr">
        <is>
          <t>Ann: 2017-06-27</t>
        </is>
      </c>
      <c r="EA3" t="inlineStr">
        <is>
          <t>Ann: 2004-09-27</t>
        </is>
      </c>
      <c r="EK3" t="inlineStr">
        <is>
          <t>Ann: 2002-10-30</t>
        </is>
      </c>
      <c r="EU3" t="inlineStr">
        <is>
          <t>Ann: 2013-05-31</t>
        </is>
      </c>
      <c r="FE3" t="inlineStr">
        <is>
          <t>Ann: 2011-08-17</t>
        </is>
      </c>
      <c r="FO3" t="inlineStr">
        <is>
          <t>Ann: 2001-06-27</t>
        </is>
      </c>
      <c r="FY3" t="inlineStr">
        <is>
          <t>Ann: 2018-01-02</t>
        </is>
      </c>
      <c r="GI3" t="inlineStr">
        <is>
          <t>Ann: 2019-09-12</t>
        </is>
      </c>
      <c r="GS3" t="inlineStr">
        <is>
          <t>Ann: 1999-08-03</t>
        </is>
      </c>
      <c r="HC3" t="inlineStr">
        <is>
          <t>Ann: 2004-03-04</t>
        </is>
      </c>
      <c r="HM3" t="inlineStr">
        <is>
          <t>Ann: 2021-05-17</t>
        </is>
      </c>
      <c r="HW3" t="inlineStr">
        <is>
          <t>Ann: 2001-07-20</t>
        </is>
      </c>
      <c r="IG3" t="inlineStr">
        <is>
          <t>Ann: 2015-03-03</t>
        </is>
      </c>
      <c r="IQ3" t="inlineStr">
        <is>
          <t>Ann: 1999-03-22</t>
        </is>
      </c>
      <c r="JA3" t="inlineStr">
        <is>
          <t>Ann: 2010-11-08</t>
        </is>
      </c>
      <c r="JK3" t="inlineStr">
        <is>
          <t>Ann: 1999-08-17</t>
        </is>
      </c>
      <c r="JU3" t="inlineStr">
        <is>
          <t>Ann: 2005-01-24</t>
        </is>
      </c>
      <c r="KE3" t="inlineStr">
        <is>
          <t>Ann: 1998-11-12</t>
        </is>
      </c>
      <c r="KO3" t="inlineStr">
        <is>
          <t>Ann: 1999-08-27</t>
        </is>
      </c>
      <c r="KY3" t="inlineStr">
        <is>
          <t>Ann: 1999-07-02</t>
        </is>
      </c>
      <c r="LI3" t="inlineStr">
        <is>
          <t>Ann: 2013-08-28</t>
        </is>
      </c>
      <c r="LS3" t="inlineStr">
        <is>
          <t>Ann: 2014-03-04</t>
        </is>
      </c>
      <c r="MC3" t="inlineStr">
        <is>
          <t>Ann: 1998-12-23</t>
        </is>
      </c>
      <c r="MM3" t="inlineStr">
        <is>
          <t>Ann: 1999-08-03</t>
        </is>
      </c>
      <c r="MW3" t="inlineStr">
        <is>
          <t>Ann: 1998-10-22</t>
        </is>
      </c>
      <c r="NG3" t="inlineStr">
        <is>
          <t>Ann: 2003-06-11</t>
        </is>
      </c>
      <c r="NQ3" t="inlineStr">
        <is>
          <t>Ann: 1998-03-02</t>
        </is>
      </c>
    </row>
    <row r="4">
      <c r="A4" s="3" t="inlineStr">
        <is>
          <t>Suppliers</t>
        </is>
      </c>
      <c r="F4" s="3" t="inlineStr">
        <is>
          <t>Customers</t>
        </is>
      </c>
      <c r="K4" s="3" t="inlineStr">
        <is>
          <t>Suppliers</t>
        </is>
      </c>
      <c r="P4" s="3" t="inlineStr">
        <is>
          <t>Customers</t>
        </is>
      </c>
      <c r="U4" s="3" t="inlineStr">
        <is>
          <t>Suppliers</t>
        </is>
      </c>
      <c r="Z4" s="3" t="inlineStr">
        <is>
          <t>Customers</t>
        </is>
      </c>
      <c r="AE4" s="3" t="inlineStr">
        <is>
          <t>Suppliers</t>
        </is>
      </c>
      <c r="AJ4" s="3" t="inlineStr">
        <is>
          <t>Customers</t>
        </is>
      </c>
      <c r="AO4" s="3" t="inlineStr">
        <is>
          <t>Suppliers</t>
        </is>
      </c>
      <c r="AT4" s="3" t="inlineStr">
        <is>
          <t>Customers</t>
        </is>
      </c>
      <c r="AY4" s="3" t="inlineStr">
        <is>
          <t>Suppliers</t>
        </is>
      </c>
      <c r="BD4" s="3" t="inlineStr">
        <is>
          <t>Customers</t>
        </is>
      </c>
      <c r="BI4" s="3" t="inlineStr">
        <is>
          <t>Suppliers</t>
        </is>
      </c>
      <c r="BN4" s="3" t="inlineStr">
        <is>
          <t>Customers</t>
        </is>
      </c>
      <c r="BS4" s="3" t="inlineStr">
        <is>
          <t>Suppliers</t>
        </is>
      </c>
      <c r="BX4" s="3" t="inlineStr">
        <is>
          <t>Customers</t>
        </is>
      </c>
      <c r="CC4" s="3" t="inlineStr">
        <is>
          <t>Suppliers</t>
        </is>
      </c>
      <c r="CH4" s="3" t="inlineStr">
        <is>
          <t>Customers</t>
        </is>
      </c>
      <c r="CM4" s="3" t="inlineStr">
        <is>
          <t>Suppliers</t>
        </is>
      </c>
      <c r="CR4" s="3" t="inlineStr">
        <is>
          <t>Customers</t>
        </is>
      </c>
      <c r="CW4" s="3" t="inlineStr">
        <is>
          <t>Suppliers</t>
        </is>
      </c>
      <c r="DB4" s="3" t="inlineStr">
        <is>
          <t>Customers</t>
        </is>
      </c>
      <c r="DG4" s="3" t="inlineStr">
        <is>
          <t>Suppliers</t>
        </is>
      </c>
      <c r="DL4" s="3" t="inlineStr">
        <is>
          <t>Customers</t>
        </is>
      </c>
      <c r="DQ4" s="3" t="inlineStr">
        <is>
          <t>Suppliers</t>
        </is>
      </c>
      <c r="DV4" s="3" t="inlineStr">
        <is>
          <t>Customers</t>
        </is>
      </c>
      <c r="EA4" s="3" t="inlineStr">
        <is>
          <t>Suppliers</t>
        </is>
      </c>
      <c r="EF4" s="3" t="inlineStr">
        <is>
          <t>Customers</t>
        </is>
      </c>
      <c r="EK4" s="3" t="inlineStr">
        <is>
          <t>Suppliers</t>
        </is>
      </c>
      <c r="EP4" s="3" t="inlineStr">
        <is>
          <t>Customers</t>
        </is>
      </c>
      <c r="EU4" s="3" t="inlineStr">
        <is>
          <t>Suppliers</t>
        </is>
      </c>
      <c r="EZ4" s="3" t="inlineStr">
        <is>
          <t>Customers</t>
        </is>
      </c>
      <c r="FE4" s="3" t="inlineStr">
        <is>
          <t>Suppliers</t>
        </is>
      </c>
      <c r="FJ4" s="3" t="inlineStr">
        <is>
          <t>Customers</t>
        </is>
      </c>
      <c r="FO4" s="3" t="inlineStr">
        <is>
          <t>Suppliers</t>
        </is>
      </c>
      <c r="FT4" s="3" t="inlineStr">
        <is>
          <t>Customers</t>
        </is>
      </c>
      <c r="FY4" s="3" t="inlineStr">
        <is>
          <t>Suppliers</t>
        </is>
      </c>
      <c r="GD4" s="3" t="inlineStr">
        <is>
          <t>Customers</t>
        </is>
      </c>
      <c r="GI4" s="3" t="inlineStr">
        <is>
          <t>Suppliers</t>
        </is>
      </c>
      <c r="GN4" s="3" t="inlineStr">
        <is>
          <t>Customers</t>
        </is>
      </c>
      <c r="GS4" s="3" t="inlineStr">
        <is>
          <t>Suppliers</t>
        </is>
      </c>
      <c r="GX4" s="3" t="inlineStr">
        <is>
          <t>Customers</t>
        </is>
      </c>
      <c r="HC4" s="3" t="inlineStr">
        <is>
          <t>Suppliers</t>
        </is>
      </c>
      <c r="HH4" s="3" t="inlineStr">
        <is>
          <t>Customers</t>
        </is>
      </c>
      <c r="HM4" s="3" t="inlineStr">
        <is>
          <t>Suppliers</t>
        </is>
      </c>
      <c r="HR4" s="3" t="inlineStr">
        <is>
          <t>Customers</t>
        </is>
      </c>
      <c r="HW4" s="3" t="inlineStr">
        <is>
          <t>Suppliers</t>
        </is>
      </c>
      <c r="IB4" s="3" t="inlineStr">
        <is>
          <t>Customers</t>
        </is>
      </c>
      <c r="IG4" s="3" t="inlineStr">
        <is>
          <t>Suppliers</t>
        </is>
      </c>
      <c r="IL4" s="3" t="inlineStr">
        <is>
          <t>Customers</t>
        </is>
      </c>
      <c r="IQ4" s="3" t="inlineStr">
        <is>
          <t>Suppliers</t>
        </is>
      </c>
      <c r="IV4" s="3" t="inlineStr">
        <is>
          <t>Customers</t>
        </is>
      </c>
      <c r="JA4" s="3" t="inlineStr">
        <is>
          <t>Suppliers</t>
        </is>
      </c>
      <c r="JF4" s="3" t="inlineStr">
        <is>
          <t>Customers</t>
        </is>
      </c>
      <c r="JK4" s="3" t="inlineStr">
        <is>
          <t>Suppliers</t>
        </is>
      </c>
      <c r="JP4" s="3" t="inlineStr">
        <is>
          <t>Customers</t>
        </is>
      </c>
      <c r="JU4" s="3" t="inlineStr">
        <is>
          <t>Suppliers</t>
        </is>
      </c>
      <c r="JZ4" s="3" t="inlineStr">
        <is>
          <t>Customers</t>
        </is>
      </c>
      <c r="KE4" s="3" t="inlineStr">
        <is>
          <t>Suppliers</t>
        </is>
      </c>
      <c r="KJ4" s="3" t="inlineStr">
        <is>
          <t>Customers</t>
        </is>
      </c>
      <c r="KO4" s="3" t="inlineStr">
        <is>
          <t>Suppliers</t>
        </is>
      </c>
      <c r="KT4" s="3" t="inlineStr">
        <is>
          <t>Customers</t>
        </is>
      </c>
      <c r="KY4" s="3" t="inlineStr">
        <is>
          <t>Suppliers</t>
        </is>
      </c>
      <c r="LD4" s="3" t="inlineStr">
        <is>
          <t>Customers</t>
        </is>
      </c>
      <c r="LI4" s="3" t="inlineStr">
        <is>
          <t>Suppliers</t>
        </is>
      </c>
      <c r="LN4" s="3" t="inlineStr">
        <is>
          <t>Customers</t>
        </is>
      </c>
      <c r="LS4" s="3" t="inlineStr">
        <is>
          <t>Suppliers</t>
        </is>
      </c>
      <c r="LX4" s="3" t="inlineStr">
        <is>
          <t>Customers</t>
        </is>
      </c>
      <c r="MC4" s="3" t="inlineStr">
        <is>
          <t>Suppliers</t>
        </is>
      </c>
      <c r="MH4" s="3" t="inlineStr">
        <is>
          <t>Customers</t>
        </is>
      </c>
      <c r="MM4" s="3" t="inlineStr">
        <is>
          <t>Suppliers</t>
        </is>
      </c>
      <c r="MR4" s="3" t="inlineStr">
        <is>
          <t>Customers</t>
        </is>
      </c>
      <c r="MW4" s="3" t="inlineStr">
        <is>
          <t>Suppliers</t>
        </is>
      </c>
      <c r="NB4" s="3" t="inlineStr">
        <is>
          <t>Customers</t>
        </is>
      </c>
      <c r="NG4" s="3" t="inlineStr">
        <is>
          <t>Suppliers</t>
        </is>
      </c>
      <c r="NL4" s="3" t="inlineStr">
        <is>
          <t>Customers</t>
        </is>
      </c>
      <c r="NQ4" s="3" t="inlineStr">
        <is>
          <t>Suppliers</t>
        </is>
      </c>
      <c r="NV4" s="3" t="inlineStr">
        <is>
          <t>Customers</t>
        </is>
      </c>
    </row>
    <row r="5">
      <c r="A5">
        <f>BDS("GBCI US Equity","SUPPLY_CHAIN_SUPPLIERS","RELATIONSHIP_AS_OF_DATE","20160420")</f>
        <v/>
      </c>
      <c r="F5">
        <f>BDS("GBCI US Equity","SUPPLY_CHAIN_CUSTOMERS","RELATIONSHIP_AS_OF_DATE","20160420")</f>
        <v/>
      </c>
      <c r="K5">
        <f>BDS("NMIL US Equity","SUPPLY_CHAIN_SUPPLIERS","RELATIONSHIP_AS_OF_DATE","20000531")</f>
        <v/>
      </c>
      <c r="P5">
        <f>BDS("NMIL US Equity","SUPPLY_CHAIN_CUSTOMERS","RELATIONSHIP_AS_OF_DATE","20000531")</f>
        <v/>
      </c>
      <c r="U5">
        <f>BDS("INVT US Equity","SUPPLY_CHAIN_SUPPLIERS","RELATIONSHIP_AS_OF_DATE","20071022")</f>
        <v/>
      </c>
      <c r="Z5">
        <f>BDS("INVT US Equity","SUPPLY_CHAIN_CUSTOMERS","RELATIONSHIP_AS_OF_DATE","20071022")</f>
        <v/>
      </c>
      <c r="AE5">
        <f>BDS("CVST US Equity","SUPPLY_CHAIN_SUPPLIERS","RELATIONSHIP_AS_OF_DATE","20010718")</f>
        <v/>
      </c>
      <c r="AJ5">
        <f>BDS("CVST US Equity","SUPPLY_CHAIN_CUSTOMERS","RELATIONSHIP_AS_OF_DATE","20010718")</f>
        <v/>
      </c>
      <c r="AO5">
        <f>BDS("FLMK US Equity","SUPPLY_CHAIN_SUPPLIERS","RELATIONSHIP_AS_OF_DATE","19981118")</f>
        <v/>
      </c>
      <c r="AT5">
        <f>BDS("FLMK US Equity","SUPPLY_CHAIN_CUSTOMERS","RELATIONSHIP_AS_OF_DATE","19981118")</f>
        <v/>
      </c>
      <c r="AY5">
        <f>BDS("LGTY US Equity","SUPPLY_CHAIN_SUPPLIERS","RELATIONSHIP_AS_OF_DATE","20090318")</f>
        <v/>
      </c>
      <c r="BD5">
        <f>BDS("LGTY US Equity","SUPPLY_CHAIN_CUSTOMERS","RELATIONSHIP_AS_OF_DATE","20090318")</f>
        <v/>
      </c>
      <c r="BI5">
        <f>BDS("8277795Q US Equity","SUPPLY_CHAIN_SUPPLIERS","RELATIONSHIP_AS_OF_DATE","20070426")</f>
        <v/>
      </c>
      <c r="BN5">
        <f>BDS("8277795Q US Equity","SUPPLY_CHAIN_CUSTOMERS","RELATIONSHIP_AS_OF_DATE","20070426")</f>
        <v/>
      </c>
      <c r="BS5">
        <f>BDS("1917130D US Equity","SUPPLY_CHAIN_SUPPLIERS","RELATIONSHIP_AS_OF_DATE","20160325")</f>
        <v/>
      </c>
      <c r="BX5">
        <f>BDS("1917130D US Equity","SUPPLY_CHAIN_CUSTOMERS","RELATIONSHIP_AS_OF_DATE","20160325")</f>
        <v/>
      </c>
      <c r="CC5">
        <f>BDS("SOFN US Equity","SUPPLY_CHAIN_SUPPLIERS","RELATIONSHIP_AS_OF_DATE","20011018")</f>
        <v/>
      </c>
      <c r="CH5">
        <f>BDS("SOFN US Equity","SUPPLY_CHAIN_CUSTOMERS","RELATIONSHIP_AS_OF_DATE","20011018")</f>
        <v/>
      </c>
      <c r="CM5">
        <f>BDS("KERA US Equity","SUPPLY_CHAIN_SUPPLIERS","RELATIONSHIP_AS_OF_DATE","19981223")</f>
        <v/>
      </c>
      <c r="CR5">
        <f>BDS("KERA US Equity","SUPPLY_CHAIN_CUSTOMERS","RELATIONSHIP_AS_OF_DATE","19981223")</f>
        <v/>
      </c>
      <c r="CW5">
        <f>BDS("1878409D US Equity","SUPPLY_CHAIN_SUPPLIERS","RELATIONSHIP_AS_OF_DATE","20130621")</f>
        <v/>
      </c>
      <c r="DB5">
        <f>BDS("1878409D US Equity","SUPPLY_CHAIN_CUSTOMERS","RELATIONSHIP_AS_OF_DATE","20130621")</f>
        <v/>
      </c>
      <c r="DG5">
        <f>BDS("BSX US Equity","SUPPLY_CHAIN_SUPPLIERS","RELATIONSHIP_AS_OF_DATE","20080416")</f>
        <v/>
      </c>
      <c r="DL5">
        <f>BDS("BSX US Equity","SUPPLY_CHAIN_CUSTOMERS","RELATIONSHIP_AS_OF_DATE","20080416")</f>
        <v/>
      </c>
      <c r="DQ5">
        <f>BDS("BCML US Equity","SUPPLY_CHAIN_SUPPLIERS","RELATIONSHIP_AS_OF_DATE","20170627")</f>
        <v/>
      </c>
      <c r="DV5">
        <f>BDS("BCML US Equity","SUPPLY_CHAIN_CUSTOMERS","RELATIONSHIP_AS_OF_DATE","20170627")</f>
        <v/>
      </c>
      <c r="EA5">
        <f>BDS("PRGS US Equity","SUPPLY_CHAIN_SUPPLIERS","RELATIONSHIP_AS_OF_DATE","20040927")</f>
        <v/>
      </c>
      <c r="EF5">
        <f>BDS("PRGS US Equity","SUPPLY_CHAIN_CUSTOMERS","RELATIONSHIP_AS_OF_DATE","20040927")</f>
        <v/>
      </c>
      <c r="EK5">
        <f>BDS("ICUI US Equity","SUPPLY_CHAIN_SUPPLIERS","RELATIONSHIP_AS_OF_DATE","20021030")</f>
        <v/>
      </c>
      <c r="EP5">
        <f>BDS("ICUI US Equity","SUPPLY_CHAIN_CUSTOMERS","RELATIONSHIP_AS_OF_DATE","20021030")</f>
        <v/>
      </c>
      <c r="EU5">
        <f>BDS("BNCN US Equity","SUPPLY_CHAIN_SUPPLIERS","RELATIONSHIP_AS_OF_DATE","20130531")</f>
        <v/>
      </c>
      <c r="EZ5">
        <f>BDS("BNCN US Equity","SUPPLY_CHAIN_CUSTOMERS","RELATIONSHIP_AS_OF_DATE","20130531")</f>
        <v/>
      </c>
      <c r="FE5">
        <f>BDS("ISBC US Equity","SUPPLY_CHAIN_SUPPLIERS","RELATIONSHIP_AS_OF_DATE","20110817")</f>
        <v/>
      </c>
      <c r="FJ5">
        <f>BDS("ISBC US Equity","SUPPLY_CHAIN_CUSTOMERS","RELATIONSHIP_AS_OF_DATE","20110817")</f>
        <v/>
      </c>
      <c r="FO5">
        <f>BDS("1740293D US Equity","SUPPLY_CHAIN_SUPPLIERS","RELATIONSHIP_AS_OF_DATE","20010627")</f>
        <v/>
      </c>
      <c r="FT5">
        <f>BDS("1740293D US Equity","SUPPLY_CHAIN_CUSTOMERS","RELATIONSHIP_AS_OF_DATE","20010627")</f>
        <v/>
      </c>
      <c r="FY5">
        <f>BDS("EVH US Equity","SUPPLY_CHAIN_SUPPLIERS","RELATIONSHIP_AS_OF_DATE","20180102")</f>
        <v/>
      </c>
      <c r="GD5">
        <f>BDS("EVH US Equity","SUPPLY_CHAIN_CUSTOMERS","RELATIONSHIP_AS_OF_DATE","20180102")</f>
        <v/>
      </c>
      <c r="GI5">
        <f>BDS("AYTU US Equity","SUPPLY_CHAIN_SUPPLIERS","RELATIONSHIP_AS_OF_DATE","20190912")</f>
        <v/>
      </c>
      <c r="GN5">
        <f>BDS("AYTU US Equity","SUPPLY_CHAIN_CUSTOMERS","RELATIONSHIP_AS_OF_DATE","20190912")</f>
        <v/>
      </c>
      <c r="GS5">
        <f>BDS("UWHR US Equity","SUPPLY_CHAIN_SUPPLIERS","RELATIONSHIP_AS_OF_DATE","19990803")</f>
        <v/>
      </c>
      <c r="GX5">
        <f>BDS("UWHR US Equity","SUPPLY_CHAIN_CUSTOMERS","RELATIONSHIP_AS_OF_DATE","19990803")</f>
        <v/>
      </c>
      <c r="HC5">
        <f>BDS("TSH US Equity","SUPPLY_CHAIN_SUPPLIERS","RELATIONSHIP_AS_OF_DATE","20040304")</f>
        <v/>
      </c>
      <c r="HH5">
        <f>BDS("TSH US Equity","SUPPLY_CHAIN_CUSTOMERS","RELATIONSHIP_AS_OF_DATE","20040304")</f>
        <v/>
      </c>
      <c r="HM5">
        <f>BDS("MDRR US Equity","SUPPLY_CHAIN_SUPPLIERS","RELATIONSHIP_AS_OF_DATE","20210517")</f>
        <v/>
      </c>
      <c r="HR5">
        <f>BDS("MDRR US Equity","SUPPLY_CHAIN_CUSTOMERS","RELATIONSHIP_AS_OF_DATE","20210517")</f>
        <v/>
      </c>
      <c r="HW5">
        <f>BDS("BCAR US Equity","SUPPLY_CHAIN_SUPPLIERS","RELATIONSHIP_AS_OF_DATE","20010720")</f>
        <v/>
      </c>
      <c r="IB5">
        <f>BDS("BCAR US Equity","SUPPLY_CHAIN_CUSTOMERS","RELATIONSHIP_AS_OF_DATE","20010720")</f>
        <v/>
      </c>
      <c r="IG5">
        <f>BDS("HBMD US Equity","SUPPLY_CHAIN_SUPPLIERS","RELATIONSHIP_AS_OF_DATE","20150303")</f>
        <v/>
      </c>
      <c r="IL5">
        <f>BDS("HBMD US Equity","SUPPLY_CHAIN_CUSTOMERS","RELATIONSHIP_AS_OF_DATE","20150303")</f>
        <v/>
      </c>
      <c r="IQ5">
        <f>BDS("PSBI US Equity","SUPPLY_CHAIN_SUPPLIERS","RELATIONSHIP_AS_OF_DATE","19990322")</f>
        <v/>
      </c>
      <c r="IV5">
        <f>BDS("PSBI US Equity","SUPPLY_CHAIN_CUSTOMERS","RELATIONSHIP_AS_OF_DATE","19990322")</f>
        <v/>
      </c>
      <c r="JA5">
        <f>BDS("1917130D US Equity","SUPPLY_CHAIN_SUPPLIERS","RELATIONSHIP_AS_OF_DATE","20101108")</f>
        <v/>
      </c>
      <c r="JF5">
        <f>BDS("1917130D US Equity","SUPPLY_CHAIN_CUSTOMERS","RELATIONSHIP_AS_OF_DATE","20101108")</f>
        <v/>
      </c>
      <c r="JK5">
        <f>BDS("MFIN US Equity","SUPPLY_CHAIN_SUPPLIERS","RELATIONSHIP_AS_OF_DATE","19990817")</f>
        <v/>
      </c>
      <c r="JP5">
        <f>BDS("MFIN US Equity","SUPPLY_CHAIN_CUSTOMERS","RELATIONSHIP_AS_OF_DATE","19990817")</f>
        <v/>
      </c>
      <c r="JU5">
        <f>BDS("CRN US Equity","SUPPLY_CHAIN_SUPPLIERS","RELATIONSHIP_AS_OF_DATE","20050124")</f>
        <v/>
      </c>
      <c r="JZ5">
        <f>BDS("CRN US Equity","SUPPLY_CHAIN_CUSTOMERS","RELATIONSHIP_AS_OF_DATE","20050124")</f>
        <v/>
      </c>
      <c r="KE5">
        <f>BDS("THCH US Equity","SUPPLY_CHAIN_SUPPLIERS","RELATIONSHIP_AS_OF_DATE","19981112")</f>
        <v/>
      </c>
      <c r="KJ5">
        <f>BDS("THCH US Equity","SUPPLY_CHAIN_CUSTOMERS","RELATIONSHIP_AS_OF_DATE","19981112")</f>
        <v/>
      </c>
      <c r="KO5">
        <f>BDS("TRB US Equity","SUPPLY_CHAIN_SUPPLIERS","RELATIONSHIP_AS_OF_DATE","19990827")</f>
        <v/>
      </c>
      <c r="KT5">
        <f>BDS("TRB US Equity","SUPPLY_CHAIN_CUSTOMERS","RELATIONSHIP_AS_OF_DATE","19990827")</f>
        <v/>
      </c>
      <c r="KY5">
        <f>BDS("2652Q US Equity","SUPPLY_CHAIN_SUPPLIERS","RELATIONSHIP_AS_OF_DATE","19990702")</f>
        <v/>
      </c>
      <c r="LD5">
        <f>BDS("2652Q US Equity","SUPPLY_CHAIN_CUSTOMERS","RELATIONSHIP_AS_OF_DATE","19990702")</f>
        <v/>
      </c>
      <c r="LI5">
        <f>BDS("FCNCA US Equity","SUPPLY_CHAIN_SUPPLIERS","RELATIONSHIP_AS_OF_DATE","20130828")</f>
        <v/>
      </c>
      <c r="LN5">
        <f>BDS("FCNCA US Equity","SUPPLY_CHAIN_CUSTOMERS","RELATIONSHIP_AS_OF_DATE","20130828")</f>
        <v/>
      </c>
      <c r="LS5">
        <f>BDS("HTB US Equity","SUPPLY_CHAIN_SUPPLIERS","RELATIONSHIP_AS_OF_DATE","20140304")</f>
        <v/>
      </c>
      <c r="LX5">
        <f>BDS("HTB US Equity","SUPPLY_CHAIN_CUSTOMERS","RELATIONSHIP_AS_OF_DATE","20140304")</f>
        <v/>
      </c>
      <c r="MC5">
        <f>BDS("PRES US Equity","SUPPLY_CHAIN_SUPPLIERS","RELATIONSHIP_AS_OF_DATE","19981223")</f>
        <v/>
      </c>
      <c r="MH5">
        <f>BDS("PRES US Equity","SUPPLY_CHAIN_CUSTOMERS","RELATIONSHIP_AS_OF_DATE","19981223")</f>
        <v/>
      </c>
      <c r="MM5">
        <f>BDS("VDCY US Equity","SUPPLY_CHAIN_SUPPLIERS","RELATIONSHIP_AS_OF_DATE","19990803")</f>
        <v/>
      </c>
      <c r="MR5">
        <f>BDS("VDCY US Equity","SUPPLY_CHAIN_CUSTOMERS","RELATIONSHIP_AS_OF_DATE","19990803")</f>
        <v/>
      </c>
      <c r="MW5">
        <f>BDS("MCRL US Equity","SUPPLY_CHAIN_SUPPLIERS","RELATIONSHIP_AS_OF_DATE","19981022")</f>
        <v/>
      </c>
      <c r="NB5">
        <f>BDS("MCRL US Equity","SUPPLY_CHAIN_CUSTOMERS","RELATIONSHIP_AS_OF_DATE","19981022")</f>
        <v/>
      </c>
      <c r="NG5">
        <f>BDS("HEOP US Equity","SUPPLY_CHAIN_SUPPLIERS","RELATIONSHIP_AS_OF_DATE","20030611")</f>
        <v/>
      </c>
      <c r="NL5">
        <f>BDS("HEOP US Equity","SUPPLY_CHAIN_CUSTOMERS","RELATIONSHIP_AS_OF_DATE","20030611")</f>
        <v/>
      </c>
      <c r="NQ5">
        <f>BDS("1523873D US Equity","SUPPLY_CHAIN_SUPPLIERS","RELATIONSHIP_AS_OF_DATE","19980302")</f>
        <v/>
      </c>
      <c r="NV5">
        <f>BDS("1523873D US Equity","SUPPLY_CHAIN_CUSTOMERS","RELATIONSHIP_AS_OF_DATE","19980302")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2026-03-10T15:15:52Z</dcterms:created>
  <dcterms:modified xsi:type="dcterms:W3CDTF">2026-03-10T15:15:54Z</dcterms:modified>
</cp:coreProperties>
</file>