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2512658\hardjoshi-ma\data\raw\"/>
    </mc:Choice>
  </mc:AlternateContent>
  <xr:revisionPtr revIDLastSave="0" documentId="13_ncr:1_{B537B98C-F4A2-4A0F-BACD-B663590696E3}" xr6:coauthVersionLast="47" xr6:coauthVersionMax="47" xr10:uidLastSave="{00000000-0000-0000-0000-000000000000}"/>
  <bookViews>
    <workbookView xWindow="-120" yWindow="-120" windowWidth="29040" windowHeight="15840" activeTab="12" xr2:uid="{00000000-000D-0000-FFFF-FFFF00000000}"/>
  </bookViews>
  <sheets>
    <sheet name="SPLC_51" sheetId="1" r:id="rId1"/>
    <sheet name="SPLC_52" sheetId="2" r:id="rId2"/>
    <sheet name="SPLC_53" sheetId="3" r:id="rId3"/>
    <sheet name="SPLC_54" sheetId="4" r:id="rId4"/>
    <sheet name="SPLC_55" sheetId="5" r:id="rId5"/>
    <sheet name="SPLC_56" sheetId="6" r:id="rId6"/>
    <sheet name="SPLC_57" sheetId="7" r:id="rId7"/>
    <sheet name="SPLC_58" sheetId="8" r:id="rId8"/>
    <sheet name="SPLC_59" sheetId="9" r:id="rId9"/>
    <sheet name="SPLC_60" sheetId="10" r:id="rId10"/>
    <sheet name="SPLC_61" sheetId="11" r:id="rId11"/>
    <sheet name="SPLC_62" sheetId="12" r:id="rId12"/>
    <sheet name="SPLC_63" sheetId="13" r:id="rId13"/>
    <sheet name="SPLC_64" sheetId="14" r:id="rId14"/>
    <sheet name="SPLC_65" sheetId="15" r:id="rId15"/>
    <sheet name="SPLC_66" sheetId="16" r:id="rId16"/>
    <sheet name="SPLC_67" sheetId="17" r:id="rId17"/>
    <sheet name="SPLC_68" sheetId="18" r:id="rId18"/>
    <sheet name="SPLC_69" sheetId="19" r:id="rId19"/>
    <sheet name="SPLC_70" sheetId="20" r:id="rId20"/>
    <sheet name="SPLC_71" sheetId="21" r:id="rId21"/>
    <sheet name="SPLC_72" sheetId="22" r:id="rId22"/>
    <sheet name="SPLC_73" sheetId="23" r:id="rId23"/>
    <sheet name="SPLC_74" sheetId="24" r:id="rId24"/>
    <sheet name="SPLC_75" sheetId="25" r:id="rId25"/>
    <sheet name="SPLC_76" sheetId="26" r:id="rId26"/>
    <sheet name="SPLC_77" sheetId="27" r:id="rId27"/>
    <sheet name="SPLC_78" sheetId="28" r:id="rId28"/>
    <sheet name="SPLC_79" sheetId="29" r:id="rId29"/>
    <sheet name="SPLC_80" sheetId="30" r:id="rId30"/>
    <sheet name="SPLC_81" sheetId="31" r:id="rId31"/>
    <sheet name="SPLC_82" sheetId="32" r:id="rId32"/>
    <sheet name="SPLC_83" sheetId="33" r:id="rId33"/>
    <sheet name="SPLC_84" sheetId="34" r:id="rId34"/>
    <sheet name="SPLC_85" sheetId="35" r:id="rId35"/>
    <sheet name="SPLC_86" sheetId="36" r:id="rId36"/>
    <sheet name="SPLC_87" sheetId="37" r:id="rId37"/>
    <sheet name="SPLC_88" sheetId="38" r:id="rId38"/>
    <sheet name="SPLC_89" sheetId="39" r:id="rId39"/>
    <sheet name="SPLC_90" sheetId="40" r:id="rId40"/>
    <sheet name="SPLC_91" sheetId="41" r:id="rId41"/>
    <sheet name="SPLC_92" sheetId="42" r:id="rId42"/>
    <sheet name="SPLC_93" sheetId="43" r:id="rId43"/>
    <sheet name="SPLC_94" sheetId="44" r:id="rId44"/>
    <sheet name="SPLC_95" sheetId="45" r:id="rId45"/>
    <sheet name="SPLC_96" sheetId="46" r:id="rId46"/>
    <sheet name="SPLC_97" sheetId="47" r:id="rId47"/>
    <sheet name="SPLC_98" sheetId="48" r:id="rId48"/>
    <sheet name="SPLC_99" sheetId="49" r:id="rId49"/>
    <sheet name="SPLC_100" sheetId="50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K5" i="5" l="1"/>
  <c r="OO5" i="14"/>
  <c r="IG5" i="6"/>
  <c r="O5" i="13"/>
  <c r="CM5" i="21"/>
  <c r="PS5" i="2"/>
  <c r="FI5" i="4"/>
  <c r="GM5" i="18"/>
  <c r="UY5" i="16"/>
  <c r="OA5" i="3"/>
  <c r="SA5" i="6"/>
  <c r="QW5" i="2"/>
  <c r="SQ5" i="5"/>
  <c r="HQ5" i="16"/>
  <c r="EU5" i="1"/>
  <c r="OA5" i="14"/>
  <c r="A5" i="6"/>
  <c r="IU5" i="2"/>
  <c r="O5" i="4"/>
  <c r="MG5" i="13"/>
  <c r="BW5" i="7"/>
  <c r="FI5" i="24"/>
  <c r="BW5" i="28"/>
  <c r="PS5" i="14"/>
  <c r="LS5" i="13"/>
  <c r="PS5" i="7"/>
  <c r="AS5" i="1"/>
  <c r="UI5" i="1"/>
  <c r="QI5" i="19"/>
  <c r="PS5" i="25"/>
  <c r="BW5" i="9"/>
  <c r="GM5" i="23"/>
  <c r="RM5" i="15"/>
  <c r="UI5" i="3"/>
  <c r="BI5" i="1"/>
  <c r="LS5" i="33"/>
  <c r="JY5" i="20"/>
  <c r="MW5" i="22"/>
  <c r="FI5" i="8"/>
  <c r="AE5" i="19"/>
  <c r="EU5" i="15"/>
  <c r="UI5" i="24"/>
  <c r="HQ5" i="2"/>
  <c r="AS5" i="24"/>
  <c r="LC5" i="1"/>
  <c r="QW5" i="30"/>
  <c r="A5" i="11"/>
  <c r="TE5" i="24"/>
  <c r="RM5" i="2"/>
  <c r="TE5" i="29"/>
  <c r="VM5" i="31"/>
  <c r="JY5" i="5"/>
  <c r="EU5" i="8"/>
  <c r="LS5" i="4"/>
  <c r="BW5" i="24"/>
  <c r="UY5" i="29"/>
  <c r="UY5" i="5"/>
  <c r="SQ5" i="15"/>
  <c r="LC5" i="12"/>
  <c r="FI5" i="15"/>
  <c r="SQ5" i="6"/>
  <c r="EE5" i="3"/>
  <c r="QI5" i="7"/>
  <c r="VM5" i="29"/>
  <c r="OO5" i="8"/>
  <c r="EE5" i="8"/>
  <c r="AS5" i="19"/>
  <c r="GM5" i="27"/>
  <c r="OA5" i="22"/>
  <c r="DA5" i="21"/>
  <c r="JK5" i="33"/>
  <c r="UI5" i="21"/>
  <c r="RM5" i="19"/>
  <c r="O5" i="11"/>
  <c r="LC5" i="11"/>
  <c r="IG5" i="16"/>
  <c r="OO5" i="17"/>
  <c r="GM5" i="9"/>
  <c r="TE5" i="6"/>
  <c r="MW5" i="13"/>
  <c r="LS5" i="10"/>
  <c r="SA5" i="2"/>
  <c r="FI5" i="1"/>
  <c r="BW5" i="32"/>
  <c r="AE5" i="5"/>
  <c r="JY5" i="3"/>
  <c r="TE5" i="15"/>
  <c r="BW5" i="1"/>
  <c r="AE5" i="29"/>
  <c r="EE5" i="2"/>
  <c r="IU5" i="6"/>
  <c r="UI5" i="5"/>
  <c r="AE5" i="3"/>
  <c r="HQ5" i="4"/>
  <c r="MW5" i="4"/>
  <c r="CM5" i="13"/>
  <c r="AE5" i="17"/>
  <c r="VM5" i="5"/>
  <c r="JK5" i="16"/>
  <c r="OO5" i="3"/>
  <c r="A5" i="3"/>
  <c r="O5" i="1"/>
  <c r="AE5" i="25"/>
  <c r="DQ5" i="9"/>
  <c r="AS5" i="29"/>
  <c r="MW5" i="11"/>
  <c r="JY5" i="23"/>
  <c r="UI5" i="6"/>
  <c r="OA5" i="6"/>
  <c r="JK5" i="6"/>
  <c r="SQ5" i="19"/>
  <c r="LS5" i="26"/>
  <c r="QI5" i="25"/>
  <c r="CM5" i="4"/>
  <c r="CM5" i="14"/>
  <c r="AS5" i="5"/>
  <c r="MW5" i="12"/>
  <c r="SQ5" i="2"/>
  <c r="OO5" i="22"/>
  <c r="FI5" i="21"/>
  <c r="MG5" i="1"/>
  <c r="CM5" i="24"/>
  <c r="LS5" i="20"/>
  <c r="HQ5" i="18"/>
  <c r="JY5" i="12"/>
  <c r="VM5" i="7"/>
  <c r="CM5" i="1"/>
  <c r="HC5" i="7"/>
  <c r="NK5" i="4"/>
  <c r="QI5" i="14"/>
  <c r="EU5" i="24"/>
  <c r="JY5" i="16"/>
  <c r="A5" i="2"/>
  <c r="PE5" i="3"/>
  <c r="QI5" i="8"/>
  <c r="JK5" i="2"/>
  <c r="MG5" i="33"/>
  <c r="UY5" i="30"/>
  <c r="IG5" i="2"/>
  <c r="CM5" i="19"/>
  <c r="AS5" i="3"/>
  <c r="NK5" i="2"/>
  <c r="TE5" i="19"/>
  <c r="QI5" i="17"/>
  <c r="MW5" i="20"/>
  <c r="OA5" i="26"/>
  <c r="SQ5" i="9"/>
  <c r="AS5" i="17"/>
  <c r="OA5" i="9"/>
  <c r="PS5" i="22"/>
  <c r="FY5" i="3"/>
  <c r="TE5" i="1"/>
  <c r="GM5" i="21"/>
  <c r="DA5" i="1"/>
  <c r="TU5" i="6"/>
  <c r="KO5" i="6"/>
  <c r="JK5" i="23"/>
  <c r="BW5" i="30"/>
  <c r="AS5" i="25"/>
  <c r="EU5" i="4"/>
  <c r="MG5" i="3"/>
  <c r="EE5" i="9"/>
  <c r="O5" i="2"/>
  <c r="PS5" i="13"/>
  <c r="JK5" i="27"/>
  <c r="QI5" i="22"/>
  <c r="TE5" i="2"/>
  <c r="JY5" i="4"/>
  <c r="AE5" i="7"/>
  <c r="MW5" i="1"/>
  <c r="GM5" i="3"/>
  <c r="OO5" i="9"/>
  <c r="DA5" i="19"/>
  <c r="GM5" i="4"/>
  <c r="IG5" i="21"/>
  <c r="JY5" i="27"/>
  <c r="SQ5" i="33"/>
  <c r="PS5" i="3"/>
  <c r="TU5" i="2"/>
  <c r="JY5" i="2"/>
  <c r="GM5" i="24"/>
  <c r="OA5" i="20"/>
  <c r="IG5" i="8"/>
  <c r="SQ5" i="7"/>
  <c r="BW5" i="5"/>
  <c r="UY5" i="3"/>
  <c r="OO5" i="20"/>
  <c r="QW5" i="8"/>
  <c r="QW5" i="14"/>
  <c r="QI5" i="3"/>
  <c r="RM5" i="8"/>
  <c r="NK5" i="12"/>
  <c r="DQ5" i="13"/>
  <c r="LS5" i="1"/>
  <c r="HC5" i="15"/>
  <c r="OO5" i="26"/>
  <c r="NK5" i="1"/>
  <c r="O5" i="6"/>
  <c r="JY5" i="6"/>
  <c r="CM5" i="5"/>
  <c r="CM5" i="17"/>
  <c r="HC5" i="21"/>
  <c r="PE5" i="9"/>
  <c r="DQ5" i="1"/>
  <c r="IG5" i="15"/>
  <c r="DA5" i="13"/>
  <c r="TE5" i="7"/>
  <c r="EU5" i="9"/>
  <c r="OA5" i="12"/>
  <c r="LS5" i="16"/>
  <c r="NK5" i="11"/>
  <c r="FI5" i="19"/>
  <c r="DQ5" i="2"/>
  <c r="JK5" i="1"/>
  <c r="AE5" i="6"/>
  <c r="HC5" i="2"/>
  <c r="UY5" i="19"/>
  <c r="UI5" i="25"/>
  <c r="OA5" i="16"/>
  <c r="HC5" i="28"/>
  <c r="FI5" i="7"/>
  <c r="CM5" i="30"/>
  <c r="OA5" i="5"/>
  <c r="FY5" i="2"/>
  <c r="DQ5" i="3"/>
  <c r="O5" i="8"/>
  <c r="QW5" i="6"/>
  <c r="KO5" i="1"/>
  <c r="AS5" i="4"/>
  <c r="QW5" i="22"/>
  <c r="HQ5" i="6"/>
  <c r="SA5" i="8"/>
  <c r="FI5" i="5"/>
  <c r="EE5" i="1"/>
  <c r="RM5" i="1"/>
  <c r="UI5" i="2"/>
  <c r="QI5" i="13"/>
  <c r="OA5" i="1"/>
  <c r="HC5" i="3"/>
  <c r="LC5" i="6"/>
  <c r="OA5" i="8"/>
  <c r="DQ5" i="8"/>
  <c r="HQ5" i="28"/>
  <c r="OO5" i="12"/>
  <c r="VM5" i="21"/>
  <c r="EE5" i="7"/>
  <c r="DQ5" i="10"/>
  <c r="AS5" i="2"/>
  <c r="TE5" i="8"/>
  <c r="GM5" i="19"/>
  <c r="VM5" i="19"/>
  <c r="A5" i="16"/>
  <c r="TE5" i="14"/>
  <c r="SQ5" i="8"/>
  <c r="AE5" i="2"/>
  <c r="MW5" i="16"/>
  <c r="LS5" i="23"/>
  <c r="JY5" i="21"/>
  <c r="PS5" i="12"/>
  <c r="LC5" i="16"/>
  <c r="DA5" i="5"/>
  <c r="PS5" i="9"/>
  <c r="MW5" i="18"/>
  <c r="UY5" i="25"/>
  <c r="SQ5" i="14"/>
  <c r="JK5" i="7"/>
  <c r="CM5" i="12"/>
  <c r="HC5" i="24"/>
  <c r="PS5" i="20"/>
  <c r="OO5" i="4"/>
  <c r="TE5" i="22"/>
  <c r="FI5" i="9"/>
  <c r="AS5" i="6"/>
  <c r="DA5" i="17"/>
  <c r="FI5" i="30"/>
  <c r="QI5" i="9"/>
  <c r="QI5" i="26"/>
  <c r="RM5" i="17"/>
  <c r="IG5" i="5"/>
  <c r="JK5" i="15"/>
  <c r="EE5" i="10"/>
  <c r="LS5" i="6"/>
  <c r="CM5" i="11"/>
  <c r="EU5" i="22"/>
  <c r="CM5" i="22"/>
  <c r="FI5" i="31"/>
  <c r="EU5" i="30"/>
  <c r="PS5" i="10"/>
  <c r="DA5" i="31"/>
  <c r="NK5" i="3"/>
  <c r="AS5" i="20"/>
  <c r="GM5" i="29"/>
  <c r="DQ5" i="11"/>
  <c r="RM5" i="9"/>
  <c r="BI5" i="4"/>
  <c r="FI5" i="25"/>
  <c r="UI5" i="17"/>
  <c r="FY5" i="9"/>
  <c r="AS5" i="26"/>
  <c r="QW5" i="10"/>
  <c r="A5" i="8"/>
  <c r="QW5" i="20"/>
  <c r="EU5" i="34"/>
  <c r="HC5" i="19"/>
  <c r="HC5" i="17"/>
  <c r="UY5" i="22"/>
  <c r="LC5" i="32"/>
  <c r="TE5" i="25"/>
  <c r="OO5" i="16"/>
  <c r="LC5" i="21"/>
  <c r="UY5" i="17"/>
  <c r="JY5" i="8"/>
  <c r="HQ5" i="34"/>
  <c r="HC5" i="29"/>
  <c r="RM5" i="5"/>
  <c r="MG5" i="29"/>
  <c r="QI5" i="20"/>
  <c r="RM5" i="10"/>
  <c r="OA5" i="18"/>
  <c r="TE5" i="26"/>
  <c r="LS5" i="30"/>
  <c r="MG5" i="23"/>
  <c r="A5" i="21"/>
  <c r="JK5" i="29"/>
  <c r="HQ5" i="24"/>
  <c r="LC5" i="15"/>
  <c r="BW5" i="20"/>
  <c r="VM5" i="25"/>
  <c r="OO5" i="29"/>
  <c r="OA5" i="15"/>
  <c r="OA5" i="34"/>
  <c r="LC5" i="28"/>
  <c r="HC5" i="14"/>
  <c r="JY5" i="24"/>
  <c r="OA5" i="32"/>
  <c r="HC5" i="30"/>
  <c r="KO5" i="8"/>
  <c r="AS5" i="16"/>
  <c r="BW5" i="11"/>
  <c r="CM5" i="2"/>
  <c r="UI5" i="14"/>
  <c r="OO5" i="18"/>
  <c r="EU5" i="11"/>
  <c r="FY5" i="1"/>
  <c r="O5" i="3"/>
  <c r="HC5" i="4"/>
  <c r="FI5" i="22"/>
  <c r="DA5" i="11"/>
  <c r="TE5" i="3"/>
  <c r="HQ5" i="14"/>
  <c r="JK5" i="3"/>
  <c r="SA5" i="9"/>
  <c r="BW5" i="4"/>
  <c r="CM5" i="6"/>
  <c r="NK5" i="6"/>
  <c r="EU5" i="5"/>
  <c r="SQ5" i="13"/>
  <c r="QI5" i="11"/>
  <c r="AS5" i="7"/>
  <c r="BW5" i="16"/>
  <c r="MG5" i="15"/>
  <c r="QW5" i="12"/>
  <c r="GM5" i="13"/>
  <c r="MW5" i="2"/>
  <c r="HC5" i="9"/>
  <c r="JK5" i="8"/>
  <c r="LS5" i="15"/>
  <c r="HQ5" i="30"/>
  <c r="LS5" i="28"/>
  <c r="IG5" i="7"/>
  <c r="TE5" i="20"/>
  <c r="GM5" i="25"/>
  <c r="LC5" i="24"/>
  <c r="QI5" i="16"/>
  <c r="PS5" i="23"/>
  <c r="UY5" i="14"/>
  <c r="PS5" i="16"/>
  <c r="TE5" i="13"/>
  <c r="VM5" i="17"/>
  <c r="A5" i="9"/>
  <c r="PS5" i="27"/>
  <c r="GM5" i="22"/>
  <c r="OO5" i="28"/>
  <c r="QI5" i="23"/>
  <c r="PS5" i="18"/>
  <c r="GM5" i="17"/>
  <c r="CM5" i="16"/>
  <c r="UI5" i="26"/>
  <c r="UY5" i="26"/>
  <c r="QI5" i="27"/>
  <c r="HC5" i="13"/>
  <c r="RM5" i="11"/>
  <c r="JY5" i="29"/>
  <c r="QI5" i="18"/>
  <c r="AE5" i="27"/>
  <c r="LS5" i="24"/>
  <c r="AE5" i="23"/>
  <c r="CM5" i="26"/>
  <c r="A5" i="15"/>
  <c r="LS5" i="29"/>
  <c r="QW5" i="16"/>
  <c r="FI5" i="11"/>
  <c r="DQ5" i="20"/>
  <c r="LC5" i="3"/>
  <c r="LC5" i="19"/>
  <c r="SA5" i="11"/>
  <c r="JY5" i="30"/>
  <c r="HC5" i="10"/>
  <c r="IG5" i="9"/>
  <c r="TE5" i="9"/>
  <c r="SQ5" i="12"/>
  <c r="JK5" i="35"/>
  <c r="OA5" i="28"/>
  <c r="MW5" i="15"/>
  <c r="SA5" i="10"/>
  <c r="QW5" i="18"/>
  <c r="HC5" i="22"/>
  <c r="MW5" i="7"/>
  <c r="LS5" i="2"/>
  <c r="IU5" i="8"/>
  <c r="EU5" i="20"/>
  <c r="LS5" i="19"/>
  <c r="JK5" i="9"/>
  <c r="QI5" i="12"/>
  <c r="TE5" i="12"/>
  <c r="AS5" i="23"/>
  <c r="IG5" i="17"/>
  <c r="OA5" i="24"/>
  <c r="SQ5" i="27"/>
  <c r="SQ5" i="3"/>
  <c r="JK5" i="14"/>
  <c r="OO5" i="5"/>
  <c r="QI5" i="10"/>
  <c r="SQ5" i="23"/>
  <c r="IG5" i="4"/>
  <c r="KO5" i="3"/>
  <c r="IU5" i="1"/>
  <c r="LC5" i="30"/>
  <c r="VM5" i="3"/>
  <c r="SQ5" i="10"/>
  <c r="TE5" i="32"/>
  <c r="GM5" i="15"/>
  <c r="IU5" i="9"/>
  <c r="HQ5" i="10"/>
  <c r="SQ5" i="35"/>
  <c r="HQ5" i="22"/>
  <c r="EU5" i="36"/>
  <c r="AS5" i="22"/>
  <c r="IU5" i="13"/>
  <c r="JY5" i="14"/>
  <c r="TE5" i="23"/>
  <c r="SQ5" i="11"/>
  <c r="AS5" i="27"/>
  <c r="A5" i="41"/>
  <c r="GM5" i="1"/>
  <c r="LC5" i="8"/>
  <c r="UI5" i="12"/>
  <c r="HQ5" i="12"/>
  <c r="RM5" i="16"/>
  <c r="UY5" i="4"/>
  <c r="BW5" i="23"/>
  <c r="TE5" i="11"/>
  <c r="HC5" i="12"/>
  <c r="QI5" i="28"/>
  <c r="TE5" i="10"/>
  <c r="IU5" i="4"/>
  <c r="NK5" i="7"/>
  <c r="OO5" i="6"/>
  <c r="UI5" i="32"/>
  <c r="FI5" i="20"/>
  <c r="PS5" i="6"/>
  <c r="HC5" i="5"/>
  <c r="A5" i="4"/>
  <c r="SA5" i="1"/>
  <c r="PS5" i="21"/>
  <c r="A5" i="1"/>
  <c r="LS5" i="3"/>
  <c r="OO5" i="24"/>
  <c r="TE5" i="27"/>
  <c r="JK5" i="13"/>
  <c r="PE5" i="2"/>
  <c r="SQ5" i="1"/>
  <c r="OO5" i="31"/>
  <c r="LC5" i="26"/>
  <c r="OO5" i="7"/>
  <c r="VM5" i="13"/>
  <c r="IG5" i="11"/>
  <c r="EU5" i="6"/>
  <c r="JK5" i="4"/>
  <c r="QI5" i="6"/>
  <c r="UY5" i="21"/>
  <c r="DQ5" i="7"/>
  <c r="IG5" i="10"/>
  <c r="JY5" i="18"/>
  <c r="FI5" i="2"/>
  <c r="QI5" i="21"/>
  <c r="UY5" i="13"/>
  <c r="SQ5" i="16"/>
  <c r="OA5" i="7"/>
  <c r="SA5" i="5"/>
  <c r="FI5" i="6"/>
  <c r="O5" i="9"/>
  <c r="LC5" i="10"/>
  <c r="QI5" i="5"/>
  <c r="CM5" i="23"/>
  <c r="JY5" i="17"/>
  <c r="JY5" i="9"/>
  <c r="MG5" i="19"/>
  <c r="LS5" i="8"/>
  <c r="UI5" i="18"/>
  <c r="FI5" i="10"/>
  <c r="MW5" i="8"/>
  <c r="GM5" i="20"/>
  <c r="AS5" i="14"/>
  <c r="OO5" i="15"/>
  <c r="IU5" i="10"/>
  <c r="BW5" i="15"/>
  <c r="DQ5" i="18"/>
  <c r="BW5" i="25"/>
  <c r="UI5" i="23"/>
  <c r="UY5" i="27"/>
  <c r="RM5" i="6"/>
  <c r="AE5" i="10"/>
  <c r="UI5" i="30"/>
  <c r="AE5" i="21"/>
  <c r="DQ5" i="4"/>
  <c r="LC5" i="17"/>
  <c r="PS5" i="24"/>
  <c r="TE5" i="21"/>
  <c r="OA5" i="36"/>
  <c r="UI5" i="27"/>
  <c r="EE5" i="14"/>
  <c r="LC5" i="25"/>
  <c r="QI5" i="29"/>
  <c r="FI5" i="18"/>
  <c r="PS5" i="29"/>
  <c r="BW5" i="27"/>
  <c r="OA5" i="30"/>
  <c r="LC5" i="9"/>
  <c r="QW5" i="28"/>
  <c r="UY5" i="12"/>
  <c r="PS5" i="31"/>
  <c r="GM5" i="12"/>
  <c r="RM5" i="21"/>
  <c r="JY5" i="22"/>
  <c r="TE5" i="5"/>
  <c r="MW5" i="6"/>
  <c r="IU5" i="11"/>
  <c r="IG5" i="12"/>
  <c r="JY5" i="13"/>
  <c r="A5" i="14"/>
  <c r="PS5" i="15"/>
  <c r="UY5" i="18"/>
  <c r="IG5" i="14"/>
  <c r="OO5" i="19"/>
  <c r="UY5" i="23"/>
  <c r="EE5" i="4"/>
  <c r="AS5" i="21"/>
  <c r="AS5" i="10"/>
  <c r="TE5" i="28"/>
  <c r="QI5" i="24"/>
  <c r="SQ5" i="31"/>
  <c r="EU5" i="18"/>
  <c r="TE5" i="16"/>
  <c r="HC5" i="26"/>
  <c r="EU5" i="7"/>
  <c r="MW5" i="14"/>
  <c r="CM5" i="27"/>
  <c r="LS5" i="14"/>
  <c r="HC5" i="20"/>
  <c r="OO5" i="30"/>
  <c r="MW5" i="3"/>
  <c r="CM5" i="31"/>
  <c r="EE5" i="11"/>
  <c r="AE5" i="37"/>
  <c r="HC5" i="18"/>
  <c r="JK5" i="12"/>
  <c r="UY5" i="7"/>
  <c r="QI5" i="2"/>
  <c r="AE5" i="4"/>
  <c r="TU5" i="1"/>
  <c r="AE5" i="1"/>
  <c r="JY5" i="1"/>
  <c r="UY5" i="10"/>
  <c r="HC5" i="16"/>
  <c r="HC5" i="6"/>
  <c r="UY5" i="2"/>
  <c r="GM5" i="2"/>
  <c r="PE5" i="7"/>
  <c r="LS5" i="22"/>
  <c r="NK5" i="8"/>
  <c r="BW5" i="21"/>
  <c r="VM5" i="23"/>
  <c r="A5" i="13"/>
  <c r="SQ5" i="29"/>
  <c r="A5" i="17"/>
  <c r="IG5" i="31"/>
  <c r="AE5" i="12"/>
  <c r="FI5" i="23"/>
  <c r="NK5" i="9"/>
  <c r="A5" i="19"/>
  <c r="HQ5" i="20"/>
  <c r="QI5" i="30"/>
  <c r="QW5" i="24"/>
  <c r="IG5" i="33"/>
  <c r="JK5" i="37"/>
  <c r="VM5" i="27"/>
  <c r="HQ5" i="26"/>
  <c r="QI5" i="32"/>
  <c r="DQ5" i="28"/>
  <c r="DA5" i="27"/>
  <c r="IG5" i="29"/>
  <c r="MW5" i="26"/>
  <c r="IG5" i="43"/>
  <c r="RM5" i="35"/>
  <c r="EE5" i="24"/>
  <c r="RM5" i="29"/>
  <c r="EU5" i="26"/>
  <c r="O5" i="31"/>
  <c r="FI5" i="29"/>
  <c r="LC5" i="14"/>
  <c r="RM5" i="33"/>
  <c r="DQ5" i="26"/>
  <c r="RM5" i="27"/>
  <c r="UY5" i="31"/>
  <c r="IG5" i="27"/>
  <c r="HC5" i="1"/>
  <c r="A5" i="25"/>
  <c r="UY5" i="24"/>
  <c r="FY5" i="5"/>
  <c r="SA5" i="37"/>
  <c r="O5" i="29"/>
  <c r="EU5" i="17"/>
  <c r="UY5" i="15"/>
  <c r="IG5" i="39"/>
  <c r="MW5" i="24"/>
  <c r="RM5" i="39"/>
  <c r="DQ5" i="30"/>
  <c r="A5" i="35"/>
  <c r="MW5" i="30"/>
  <c r="A5" i="33"/>
  <c r="DQ5" i="34"/>
  <c r="DQ5" i="44"/>
  <c r="RM5" i="23"/>
  <c r="MW5" i="10"/>
  <c r="MW5" i="40"/>
  <c r="HC5" i="32"/>
  <c r="EU5" i="28"/>
  <c r="DQ5" i="36"/>
  <c r="BI5" i="2"/>
  <c r="RM5" i="37"/>
  <c r="A5" i="29"/>
  <c r="MW5" i="42"/>
  <c r="DQ5" i="50"/>
  <c r="IG5" i="41"/>
  <c r="RM5" i="41"/>
  <c r="SA5" i="23"/>
  <c r="NK5" i="10"/>
  <c r="O5" i="15"/>
  <c r="DQ5" i="46"/>
  <c r="A5" i="47"/>
  <c r="IG5" i="45"/>
  <c r="RM5" i="43"/>
  <c r="MW5" i="46"/>
  <c r="A5" i="45"/>
  <c r="CM5" i="9"/>
  <c r="RM5" i="49"/>
  <c r="NK5" i="16"/>
  <c r="IU5" i="15"/>
  <c r="IG5" i="47"/>
  <c r="MW5" i="44"/>
  <c r="O5" i="21"/>
  <c r="NK5" i="14"/>
  <c r="O5" i="19"/>
  <c r="A5" i="43"/>
  <c r="EE5" i="20"/>
  <c r="MW5" i="50"/>
  <c r="NK5" i="18"/>
  <c r="IG5" i="49"/>
  <c r="IU5" i="17"/>
  <c r="MW5" i="48"/>
  <c r="EE5" i="32"/>
  <c r="LC5" i="27"/>
  <c r="QW5" i="26"/>
  <c r="SA5" i="17"/>
  <c r="IU5" i="5"/>
  <c r="SA5" i="19"/>
  <c r="AE5" i="45"/>
  <c r="KO5" i="4"/>
  <c r="NK5" i="20"/>
  <c r="SA5" i="21"/>
  <c r="LC5" i="4"/>
  <c r="EE5" i="26"/>
  <c r="SA5" i="15"/>
  <c r="AS5" i="45"/>
  <c r="IU5" i="21"/>
  <c r="O5" i="47"/>
  <c r="TU5" i="35"/>
  <c r="PE5" i="16"/>
  <c r="O5" i="35"/>
  <c r="NK5" i="22"/>
  <c r="O5" i="33"/>
  <c r="EE5" i="18"/>
  <c r="O5" i="17"/>
  <c r="AS5" i="12"/>
  <c r="IU5" i="31"/>
  <c r="TE5" i="45"/>
  <c r="LC5" i="18"/>
  <c r="UI5" i="15"/>
  <c r="NK5" i="24"/>
  <c r="NK5" i="32"/>
  <c r="BW5" i="14"/>
  <c r="SA5" i="27"/>
  <c r="OA5" i="48"/>
  <c r="IU5" i="29"/>
  <c r="NK5" i="30"/>
  <c r="FY5" i="38"/>
  <c r="BI5" i="29"/>
  <c r="LS5" i="27"/>
  <c r="DQ5" i="15"/>
  <c r="TU5" i="4"/>
  <c r="EE5" i="30"/>
  <c r="NK5" i="48"/>
  <c r="QW5" i="32"/>
  <c r="EE5" i="28"/>
  <c r="SA5" i="29"/>
  <c r="FI5" i="26"/>
  <c r="IU5" i="25"/>
  <c r="GM5" i="16"/>
  <c r="NK5" i="26"/>
  <c r="IU5" i="33"/>
  <c r="FI5" i="36"/>
  <c r="EE5" i="34"/>
  <c r="BI5" i="31"/>
  <c r="SA5" i="35"/>
  <c r="FI5" i="17"/>
  <c r="IU5" i="39"/>
  <c r="VM5" i="15"/>
  <c r="SA5" i="33"/>
  <c r="DQ5" i="14"/>
  <c r="TU5" i="27"/>
  <c r="JY5" i="37"/>
  <c r="EE5" i="36"/>
  <c r="BW5" i="2"/>
  <c r="FY5" i="34"/>
  <c r="TU5" i="3"/>
  <c r="SA5" i="39"/>
  <c r="SA5" i="49"/>
  <c r="IU5" i="43"/>
  <c r="TU5" i="31"/>
  <c r="O5" i="41"/>
  <c r="EE5" i="46"/>
  <c r="IU5" i="41"/>
  <c r="IU5" i="49"/>
  <c r="JK5" i="39"/>
  <c r="O5" i="43"/>
  <c r="EE5" i="44"/>
  <c r="SA5" i="43"/>
  <c r="IU5" i="45"/>
  <c r="HQ5" i="32"/>
  <c r="FI5" i="28"/>
  <c r="NK5" i="40"/>
  <c r="NK5" i="44"/>
  <c r="SA5" i="41"/>
  <c r="NK5" i="46"/>
  <c r="DA5" i="9"/>
  <c r="IU5" i="47"/>
  <c r="NK5" i="50"/>
  <c r="AE5" i="39"/>
  <c r="NK5" i="42"/>
  <c r="SQ5" i="37"/>
  <c r="EU5" i="40"/>
  <c r="SQ5" i="39"/>
  <c r="EE5" i="50"/>
  <c r="O5" i="45"/>
  <c r="JY5" i="39"/>
  <c r="OA5" i="38"/>
  <c r="OO5" i="34"/>
  <c r="JY5" i="43"/>
  <c r="EE5" i="38"/>
  <c r="PS5" i="26"/>
  <c r="TE5" i="35"/>
  <c r="OA5" i="42"/>
  <c r="AE5" i="43"/>
  <c r="EU5" i="42"/>
  <c r="SQ5" i="49"/>
  <c r="AE5" i="47"/>
  <c r="OA5" i="46"/>
  <c r="SQ5" i="43"/>
  <c r="OA5" i="44"/>
  <c r="EU5" i="46"/>
  <c r="AE5" i="49"/>
  <c r="EU5" i="3"/>
  <c r="AE5" i="41"/>
  <c r="SQ5" i="47"/>
  <c r="EU5" i="50"/>
  <c r="EU5" i="48"/>
  <c r="OA5" i="50"/>
  <c r="TE5" i="31"/>
  <c r="OO5" i="32"/>
  <c r="JY5" i="33"/>
  <c r="JK5" i="47"/>
  <c r="OO5" i="36"/>
  <c r="FI5" i="34"/>
  <c r="TE5" i="33"/>
  <c r="JY5" i="35"/>
  <c r="AS5" i="39"/>
  <c r="TE5" i="39"/>
  <c r="OO5" i="38"/>
  <c r="FI5" i="40"/>
  <c r="AS5" i="37"/>
  <c r="FI5" i="46"/>
  <c r="AS5" i="43"/>
  <c r="AS5" i="49"/>
  <c r="FI5" i="3"/>
  <c r="AS5" i="33"/>
  <c r="BW5" i="26"/>
  <c r="FI5" i="48"/>
  <c r="AS5" i="41"/>
  <c r="OO5" i="42"/>
  <c r="OO5" i="44"/>
  <c r="OO5" i="48"/>
  <c r="JY5" i="47"/>
  <c r="JY5" i="41"/>
  <c r="AS5" i="47"/>
  <c r="DA5" i="29"/>
  <c r="FI5" i="42"/>
  <c r="OO5" i="23"/>
  <c r="IG5" i="25"/>
  <c r="FY5" i="16"/>
  <c r="OO5" i="46"/>
  <c r="TE5" i="43"/>
  <c r="HC5" i="25"/>
  <c r="CM5" i="18"/>
  <c r="BI5" i="17"/>
  <c r="PE5" i="6"/>
  <c r="EU5" i="44"/>
  <c r="LS5" i="9"/>
  <c r="TE5" i="37"/>
  <c r="TE5" i="47"/>
  <c r="FI5" i="50"/>
  <c r="BI5" i="5"/>
  <c r="TE5" i="49"/>
  <c r="OO5" i="50"/>
  <c r="BI5" i="7"/>
  <c r="FY5" i="4"/>
  <c r="KO5" i="9"/>
  <c r="BI5" i="9"/>
  <c r="CM5" i="20"/>
  <c r="TU5" i="7"/>
  <c r="KO5" i="11"/>
  <c r="PE5" i="12"/>
  <c r="OA5" i="40"/>
  <c r="KO5" i="41"/>
  <c r="PE5" i="14"/>
  <c r="FY5" i="32"/>
  <c r="FY5" i="22"/>
  <c r="TU5" i="17"/>
  <c r="KO5" i="19"/>
  <c r="RM5" i="47"/>
  <c r="BI5" i="35"/>
  <c r="PE5" i="10"/>
  <c r="AE5" i="16"/>
  <c r="BI5" i="11"/>
  <c r="BI5" i="15"/>
  <c r="TU5" i="37"/>
  <c r="TU5" i="21"/>
  <c r="TU5" i="5"/>
  <c r="UY5" i="6"/>
  <c r="PE5" i="4"/>
  <c r="KO5" i="13"/>
  <c r="PE5" i="44"/>
  <c r="HC5" i="11"/>
  <c r="FY5" i="18"/>
  <c r="KO5" i="31"/>
  <c r="PE5" i="18"/>
  <c r="BI5" i="21"/>
  <c r="BI5" i="27"/>
  <c r="KO5" i="21"/>
  <c r="PE5" i="20"/>
  <c r="OA5" i="4"/>
  <c r="PE5" i="22"/>
  <c r="FY5" i="20"/>
  <c r="TU5" i="23"/>
  <c r="AE5" i="14"/>
  <c r="BI5" i="25"/>
  <c r="PE5" i="28"/>
  <c r="FY5" i="24"/>
  <c r="FY5" i="30"/>
  <c r="A5" i="27"/>
  <c r="PE5" i="24"/>
  <c r="SQ5" i="21"/>
  <c r="TU5" i="25"/>
  <c r="FY5" i="36"/>
  <c r="TU5" i="29"/>
  <c r="TU5" i="43"/>
  <c r="BI5" i="23"/>
  <c r="KO5" i="25"/>
  <c r="FY5" i="28"/>
  <c r="JK5" i="43"/>
  <c r="DQ5" i="38"/>
  <c r="PE5" i="26"/>
  <c r="DQ5" i="32"/>
  <c r="KO5" i="27"/>
  <c r="TU5" i="19"/>
  <c r="PE5" i="8"/>
  <c r="BI5" i="47"/>
  <c r="PE5" i="36"/>
  <c r="PE5" i="32"/>
  <c r="KO5" i="33"/>
  <c r="FY5" i="40"/>
  <c r="LC5" i="31"/>
  <c r="PE5" i="30"/>
  <c r="QW5" i="36"/>
  <c r="UI5" i="45"/>
  <c r="BI5" i="37"/>
  <c r="UI5" i="31"/>
  <c r="PS5" i="38"/>
  <c r="BW5" i="37"/>
  <c r="KO5" i="49"/>
  <c r="FY5" i="44"/>
  <c r="EE5" i="48"/>
  <c r="LC5" i="45"/>
  <c r="KO5" i="37"/>
  <c r="PE5" i="38"/>
  <c r="GM5" i="34"/>
  <c r="BI5" i="39"/>
  <c r="TU5" i="39"/>
  <c r="KO5" i="39"/>
  <c r="MG5" i="35"/>
  <c r="TU5" i="41"/>
  <c r="FY5" i="42"/>
  <c r="KO5" i="43"/>
  <c r="HC5" i="38"/>
  <c r="PE5" i="42"/>
  <c r="HC5" i="48"/>
  <c r="UY5" i="41"/>
  <c r="TU5" i="45"/>
  <c r="GM5" i="28"/>
  <c r="KO5" i="45"/>
  <c r="O5" i="27"/>
  <c r="PE5" i="40"/>
  <c r="GM5" i="30"/>
  <c r="PS5" i="36"/>
  <c r="DQ5" i="48"/>
  <c r="PE5" i="48"/>
  <c r="FY5" i="46"/>
  <c r="PE5" i="46"/>
  <c r="KO5" i="47"/>
  <c r="BI5" i="49"/>
  <c r="CM5" i="28"/>
  <c r="BI5" i="43"/>
  <c r="UI5" i="35"/>
  <c r="CM5" i="33"/>
  <c r="TU5" i="49"/>
  <c r="TU5" i="47"/>
  <c r="BW5" i="31"/>
  <c r="GM5" i="40"/>
  <c r="PS5" i="30"/>
  <c r="LC5" i="39"/>
  <c r="UI5" i="29"/>
  <c r="PS5" i="28"/>
  <c r="UI5" i="33"/>
  <c r="BW5" i="18"/>
  <c r="O5" i="5"/>
  <c r="PS5" i="32"/>
  <c r="GM5" i="32"/>
  <c r="GM5" i="36"/>
  <c r="SA5" i="47"/>
  <c r="BW5" i="35"/>
  <c r="QI5" i="36"/>
  <c r="UI5" i="37"/>
  <c r="PS5" i="40"/>
  <c r="BW5" i="39"/>
  <c r="LC5" i="37"/>
  <c r="UI5" i="39"/>
  <c r="LC5" i="41"/>
  <c r="OO5" i="40"/>
  <c r="BW5" i="43"/>
  <c r="GM5" i="42"/>
  <c r="LC5" i="33"/>
  <c r="UI5" i="43"/>
  <c r="LC5" i="43"/>
  <c r="UI5" i="41"/>
  <c r="PS5" i="42"/>
  <c r="BW5" i="47"/>
  <c r="UI5" i="19"/>
  <c r="PS5" i="8"/>
  <c r="UI5" i="49"/>
  <c r="HC5" i="36"/>
  <c r="KO5" i="5"/>
  <c r="RM5" i="4"/>
  <c r="LS5" i="39"/>
  <c r="LS5" i="37"/>
  <c r="UY5" i="37"/>
  <c r="DQ5" i="6"/>
  <c r="RM5" i="45"/>
  <c r="QI5" i="42"/>
  <c r="GM5" i="44"/>
  <c r="LS5" i="35"/>
  <c r="PS5" i="48"/>
  <c r="LC5" i="47"/>
  <c r="UI5" i="47"/>
  <c r="BI5" i="41"/>
  <c r="HC5" i="40"/>
  <c r="QI5" i="34"/>
  <c r="HC5" i="34"/>
  <c r="PS5" i="46"/>
  <c r="UY5" i="35"/>
  <c r="CM5" i="49"/>
  <c r="GM5" i="46"/>
  <c r="LS5" i="45"/>
  <c r="PE5" i="34"/>
  <c r="UY5" i="33"/>
  <c r="UY5" i="43"/>
  <c r="LS5" i="41"/>
  <c r="VM5" i="35"/>
  <c r="LS5" i="47"/>
  <c r="UY5" i="39"/>
  <c r="AE5" i="35"/>
  <c r="NK5" i="36"/>
  <c r="TE5" i="30"/>
  <c r="GM5" i="50"/>
  <c r="LS5" i="43"/>
  <c r="LC5" i="49"/>
  <c r="AE5" i="11"/>
  <c r="RM5" i="44"/>
  <c r="CM5" i="41"/>
  <c r="LC5" i="5"/>
  <c r="HQ5" i="36"/>
  <c r="SA5" i="4"/>
  <c r="QI5" i="38"/>
  <c r="JK5" i="31"/>
  <c r="CM5" i="43"/>
  <c r="EU5" i="38"/>
  <c r="LS5" i="21"/>
  <c r="DQ5" i="5"/>
  <c r="HC5" i="50"/>
  <c r="HC5" i="42"/>
  <c r="QI5" i="46"/>
  <c r="QI5" i="44"/>
  <c r="SA5" i="16"/>
  <c r="CM5" i="39"/>
  <c r="IG5" i="20"/>
  <c r="MW5" i="29"/>
  <c r="QI5" i="48"/>
  <c r="CM5" i="47"/>
  <c r="VM5" i="37"/>
  <c r="EE5" i="6"/>
  <c r="SA5" i="45"/>
  <c r="QI5" i="50"/>
  <c r="QW5" i="42"/>
  <c r="HQ5" i="48"/>
  <c r="DQ5" i="33"/>
  <c r="LS5" i="49"/>
  <c r="CM5" i="45"/>
  <c r="QW5" i="34"/>
  <c r="IG5" i="28"/>
  <c r="MG5" i="39"/>
  <c r="MG5" i="37"/>
  <c r="HQ5" i="38"/>
  <c r="A5" i="18"/>
  <c r="BW5" i="41"/>
  <c r="HQ5" i="40"/>
  <c r="QW5" i="38"/>
  <c r="JY5" i="31"/>
  <c r="UY5" i="45"/>
  <c r="MG5" i="43"/>
  <c r="DA5" i="39"/>
  <c r="DA5" i="41"/>
  <c r="HQ5" i="42"/>
  <c r="A5" i="32"/>
  <c r="RM5" i="25"/>
  <c r="VM5" i="39"/>
  <c r="AS5" i="35"/>
  <c r="RM5" i="24"/>
  <c r="QW5" i="44"/>
  <c r="MG5" i="41"/>
  <c r="PS5" i="34"/>
  <c r="VM5" i="33"/>
  <c r="VM5" i="41"/>
  <c r="DA5" i="45"/>
  <c r="DA5" i="43"/>
  <c r="FI5" i="38"/>
  <c r="DA5" i="49"/>
  <c r="QW5" i="46"/>
  <c r="MG5" i="21"/>
  <c r="VM5" i="47"/>
  <c r="UI5" i="16"/>
  <c r="VM5" i="45"/>
  <c r="MG5" i="47"/>
  <c r="DA5" i="47"/>
  <c r="VM5" i="49"/>
  <c r="UI5" i="28"/>
  <c r="MW5" i="43"/>
  <c r="VM5" i="43"/>
  <c r="A5" i="48"/>
  <c r="QW5" i="48"/>
  <c r="MW5" i="19"/>
  <c r="FY5" i="6"/>
  <c r="MG5" i="49"/>
  <c r="RM5" i="20"/>
  <c r="QW5" i="50"/>
  <c r="IU5" i="26"/>
  <c r="IG5" i="22"/>
  <c r="MW5" i="17"/>
  <c r="EE5" i="29"/>
  <c r="FI5" i="14"/>
  <c r="AS5" i="9"/>
  <c r="EE5" i="5"/>
  <c r="HQ5" i="50"/>
  <c r="MG5" i="45"/>
  <c r="JK5" i="49"/>
  <c r="RM5" i="22"/>
  <c r="IG5" i="19"/>
  <c r="DQ5" i="31"/>
  <c r="A5" i="20"/>
  <c r="RM5" i="30"/>
  <c r="DQ5" i="23"/>
  <c r="A5" i="24"/>
  <c r="JK5" i="10"/>
  <c r="O5" i="28"/>
  <c r="DQ5" i="25"/>
  <c r="DQ5" i="27"/>
  <c r="MW5" i="25"/>
  <c r="IG5" i="24"/>
  <c r="A5" i="26"/>
  <c r="A5" i="28"/>
  <c r="IG5" i="32"/>
  <c r="MW5" i="31"/>
  <c r="RM5" i="28"/>
  <c r="DQ5" i="39"/>
  <c r="IG5" i="30"/>
  <c r="DQ5" i="29"/>
  <c r="EU5" i="14"/>
  <c r="AE5" i="9"/>
  <c r="MW5" i="34"/>
  <c r="A5" i="34"/>
  <c r="CM5" i="10"/>
  <c r="MW5" i="49"/>
  <c r="MW5" i="21"/>
  <c r="MW5" i="33"/>
  <c r="IG5" i="36"/>
  <c r="A5" i="30"/>
  <c r="SA5" i="25"/>
  <c r="O5" i="32"/>
  <c r="IG5" i="26"/>
  <c r="RM5" i="32"/>
  <c r="MW5" i="27"/>
  <c r="GM5" i="6"/>
  <c r="IU5" i="22"/>
  <c r="NK5" i="19"/>
  <c r="IG5" i="34"/>
  <c r="A5" i="44"/>
  <c r="DQ5" i="45"/>
  <c r="MW5" i="5"/>
  <c r="MW5" i="39"/>
  <c r="BI5" i="13"/>
  <c r="DQ5" i="40"/>
  <c r="DQ5" i="43"/>
  <c r="RM5" i="34"/>
  <c r="MW5" i="35"/>
  <c r="A5" i="38"/>
  <c r="RM5" i="38"/>
  <c r="DQ5" i="41"/>
  <c r="MW5" i="41"/>
  <c r="LS5" i="17"/>
  <c r="IG5" i="48"/>
  <c r="IG5" i="40"/>
  <c r="A5" i="36"/>
  <c r="RM5" i="40"/>
  <c r="NK5" i="13"/>
  <c r="O5" i="14"/>
  <c r="JY5" i="26"/>
  <c r="IU5" i="18"/>
  <c r="GM5" i="7"/>
  <c r="GM5" i="33"/>
  <c r="IG5" i="46"/>
  <c r="RM5" i="48"/>
  <c r="MW5" i="45"/>
  <c r="BW5" i="29"/>
  <c r="CM5" i="3"/>
  <c r="MG5" i="27"/>
  <c r="NK5" i="15"/>
  <c r="GM5" i="38"/>
  <c r="UI5" i="4"/>
  <c r="EE5" i="15"/>
  <c r="MW5" i="47"/>
  <c r="O5" i="16"/>
  <c r="LS5" i="18"/>
  <c r="RM5" i="50"/>
  <c r="IU5" i="16"/>
  <c r="IU5" i="12"/>
  <c r="EE5" i="13"/>
  <c r="LC5" i="20"/>
  <c r="SA5" i="12"/>
  <c r="IG5" i="50"/>
  <c r="RM5" i="46"/>
  <c r="EE5" i="27"/>
  <c r="JY5" i="10"/>
  <c r="IU5" i="36"/>
  <c r="O5" i="20"/>
  <c r="SA5" i="20"/>
  <c r="NK5" i="33"/>
  <c r="NK5" i="17"/>
  <c r="O5" i="18"/>
  <c r="JY5" i="49"/>
  <c r="SA5" i="22"/>
  <c r="IU5" i="19"/>
  <c r="EE5" i="35"/>
  <c r="GM5" i="11"/>
  <c r="SA5" i="28"/>
  <c r="FI5" i="13"/>
  <c r="IU5" i="24"/>
  <c r="NK5" i="25"/>
  <c r="EE5" i="25"/>
  <c r="IU5" i="20"/>
  <c r="EE5" i="23"/>
  <c r="O5" i="24"/>
  <c r="EE5" i="37"/>
  <c r="NK5" i="29"/>
  <c r="MG5" i="25"/>
  <c r="JY5" i="32"/>
  <c r="SA5" i="30"/>
  <c r="TE5" i="41"/>
  <c r="NK5" i="37"/>
  <c r="O5" i="36"/>
  <c r="O5" i="40"/>
  <c r="OO5" i="21"/>
  <c r="IU5" i="40"/>
  <c r="UI5" i="20"/>
  <c r="IU5" i="28"/>
  <c r="OO5" i="2"/>
  <c r="NK5" i="21"/>
  <c r="NK5" i="27"/>
  <c r="SA5" i="24"/>
  <c r="O5" i="26"/>
  <c r="AS5" i="46"/>
  <c r="O5" i="30"/>
  <c r="NK5" i="31"/>
  <c r="IU5" i="30"/>
  <c r="SA5" i="34"/>
  <c r="EE5" i="31"/>
  <c r="PE5" i="23"/>
  <c r="OA5" i="33"/>
  <c r="IU5" i="46"/>
  <c r="SA5" i="32"/>
  <c r="EE5" i="33"/>
  <c r="IU5" i="34"/>
  <c r="LC5" i="38"/>
  <c r="IU5" i="32"/>
  <c r="CM5" i="29"/>
  <c r="OA5" i="23"/>
  <c r="JK5" i="41"/>
  <c r="EE5" i="40"/>
  <c r="EE5" i="41"/>
  <c r="NK5" i="39"/>
  <c r="BW5" i="13"/>
  <c r="NK5" i="49"/>
  <c r="O5" i="38"/>
  <c r="OO5" i="27"/>
  <c r="SA5" i="48"/>
  <c r="DA5" i="3"/>
  <c r="TE5" i="18"/>
  <c r="IU5" i="44"/>
  <c r="SA5" i="38"/>
  <c r="JK5" i="18"/>
  <c r="EU5" i="2"/>
  <c r="NK5" i="45"/>
  <c r="EE5" i="39"/>
  <c r="EE5" i="43"/>
  <c r="NK5" i="35"/>
  <c r="IU5" i="50"/>
  <c r="JY5" i="28"/>
  <c r="FI5" i="27"/>
  <c r="O5" i="50"/>
  <c r="TE5" i="4"/>
  <c r="SA5" i="40"/>
  <c r="NK5" i="41"/>
  <c r="MG5" i="17"/>
  <c r="EE5" i="45"/>
  <c r="NK5" i="5"/>
  <c r="NK5" i="47"/>
  <c r="IU5" i="48"/>
  <c r="EU5" i="25"/>
  <c r="SQ5" i="24"/>
  <c r="OA5" i="17"/>
  <c r="SQ5" i="20"/>
  <c r="SA5" i="44"/>
  <c r="AS5" i="11"/>
  <c r="O5" i="48"/>
  <c r="NK5" i="43"/>
  <c r="OA5" i="27"/>
  <c r="SQ5" i="18"/>
  <c r="IG5" i="44"/>
  <c r="O5" i="44"/>
  <c r="AE5" i="24"/>
  <c r="EU5" i="19"/>
  <c r="SQ5" i="22"/>
  <c r="JK5" i="22"/>
  <c r="FY5" i="12"/>
  <c r="SQ5" i="4"/>
  <c r="EU5" i="23"/>
  <c r="MW5" i="9"/>
  <c r="JK5" i="28"/>
  <c r="A5" i="50"/>
  <c r="OA5" i="39"/>
  <c r="EU5" i="27"/>
  <c r="SA5" i="46"/>
  <c r="AE5" i="28"/>
  <c r="QI5" i="15"/>
  <c r="EU5" i="33"/>
  <c r="EU5" i="21"/>
  <c r="EE5" i="49"/>
  <c r="SA5" i="26"/>
  <c r="AS5" i="15"/>
  <c r="UI5" i="10"/>
  <c r="OO5" i="10"/>
  <c r="AE5" i="20"/>
  <c r="FY5" i="14"/>
  <c r="SQ5" i="26"/>
  <c r="AE5" i="34"/>
  <c r="JK5" i="20"/>
  <c r="OA5" i="19"/>
  <c r="AE5" i="22"/>
  <c r="IG5" i="13"/>
  <c r="EU5" i="29"/>
  <c r="DQ5" i="24"/>
  <c r="AE5" i="26"/>
  <c r="SQ5" i="28"/>
  <c r="EU5" i="39"/>
  <c r="JK5" i="34"/>
  <c r="MW5" i="36"/>
  <c r="SQ5" i="30"/>
  <c r="FY5" i="50"/>
  <c r="OA5" i="29"/>
  <c r="TE5" i="38"/>
  <c r="NK5" i="23"/>
  <c r="UI5" i="11"/>
  <c r="JK5" i="30"/>
  <c r="EU5" i="37"/>
  <c r="JK5" i="24"/>
  <c r="RM5" i="18"/>
  <c r="EU5" i="31"/>
  <c r="OA5" i="35"/>
  <c r="SQ5" i="34"/>
  <c r="DQ5" i="37"/>
  <c r="JK5" i="32"/>
  <c r="HC5" i="27"/>
  <c r="OA5" i="37"/>
  <c r="EU5" i="41"/>
  <c r="OA5" i="43"/>
  <c r="SQ5" i="38"/>
  <c r="MW5" i="23"/>
  <c r="TU5" i="11"/>
  <c r="SQ5" i="42"/>
  <c r="A5" i="42"/>
  <c r="JK5" i="42"/>
  <c r="A5" i="23"/>
  <c r="RM5" i="42"/>
  <c r="CM5" i="37"/>
  <c r="LS5" i="5"/>
  <c r="AE5" i="44"/>
  <c r="AE5" i="36"/>
  <c r="OA5" i="45"/>
  <c r="AE5" i="40"/>
  <c r="FI5" i="33"/>
  <c r="JK5" i="40"/>
  <c r="BI5" i="3"/>
  <c r="SQ5" i="46"/>
  <c r="SQ5" i="40"/>
  <c r="EU5" i="35"/>
  <c r="OO5" i="33"/>
  <c r="EU5" i="43"/>
  <c r="QI5" i="40"/>
  <c r="DQ5" i="22"/>
  <c r="AE5" i="46"/>
  <c r="AS5" i="34"/>
  <c r="GM5" i="14"/>
  <c r="SQ5" i="50"/>
  <c r="OA5" i="47"/>
  <c r="SQ5" i="36"/>
  <c r="IG5" i="23"/>
  <c r="FI5" i="35"/>
  <c r="JY5" i="34"/>
  <c r="JK5" i="48"/>
  <c r="JK5" i="44"/>
  <c r="EU5" i="49"/>
  <c r="AE5" i="42"/>
  <c r="TE5" i="34"/>
  <c r="FI5" i="37"/>
  <c r="FI5" i="39"/>
  <c r="OO5" i="35"/>
  <c r="SA5" i="18"/>
  <c r="TE5" i="40"/>
  <c r="EU5" i="47"/>
  <c r="AE5" i="32"/>
  <c r="FY5" i="26"/>
  <c r="OO5" i="37"/>
  <c r="DQ5" i="19"/>
  <c r="BI5" i="12"/>
  <c r="JK5" i="50"/>
  <c r="UY5" i="11"/>
  <c r="DQ5" i="21"/>
  <c r="AE5" i="30"/>
  <c r="OA5" i="49"/>
  <c r="AS5" i="36"/>
  <c r="FI5" i="43"/>
  <c r="QW5" i="40"/>
  <c r="EE5" i="22"/>
  <c r="OO5" i="39"/>
  <c r="TE5" i="36"/>
  <c r="IU5" i="23"/>
  <c r="OO5" i="49"/>
  <c r="BW5" i="8"/>
  <c r="FI5" i="47"/>
  <c r="SA5" i="42"/>
  <c r="AS5" i="32"/>
  <c r="BW5" i="12"/>
  <c r="LC5" i="22"/>
  <c r="AS5" i="30"/>
  <c r="O5" i="23"/>
  <c r="GM5" i="26"/>
  <c r="EE5" i="19"/>
  <c r="JY5" i="36"/>
  <c r="VM5" i="11"/>
  <c r="MG5" i="5"/>
  <c r="DA5" i="37"/>
  <c r="JY5" i="42"/>
  <c r="O5" i="39"/>
  <c r="AS5" i="40"/>
  <c r="EE5" i="21"/>
  <c r="JY5" i="50"/>
  <c r="OO5" i="43"/>
  <c r="JY5" i="48"/>
  <c r="TE5" i="42"/>
  <c r="O5" i="42"/>
  <c r="DQ5" i="35"/>
  <c r="FY5" i="11"/>
  <c r="OO5" i="45"/>
  <c r="EU5" i="13"/>
  <c r="TE5" i="46"/>
  <c r="BW5" i="3"/>
  <c r="AS5" i="42"/>
  <c r="JK5" i="17"/>
  <c r="KO5" i="10"/>
  <c r="OO5" i="47"/>
  <c r="JY5" i="44"/>
  <c r="JY5" i="40"/>
  <c r="FI5" i="45"/>
  <c r="UI5" i="22"/>
  <c r="TE5" i="50"/>
  <c r="AS5" i="44"/>
  <c r="FY5" i="13"/>
  <c r="FI5" i="49"/>
  <c r="PE5" i="27"/>
  <c r="EU5" i="45"/>
  <c r="TU5" i="22"/>
  <c r="KO5" i="12"/>
  <c r="JK5" i="21"/>
  <c r="KO5" i="16"/>
  <c r="PE5" i="13"/>
  <c r="DQ5" i="49"/>
  <c r="RM5" i="26"/>
  <c r="AE5" i="15"/>
  <c r="TU5" i="10"/>
  <c r="OA5" i="10"/>
  <c r="TU5" i="14"/>
  <c r="MW5" i="37"/>
  <c r="TU5" i="20"/>
  <c r="SQ5" i="41"/>
  <c r="LS5" i="25"/>
  <c r="A5" i="40"/>
  <c r="OA5" i="21"/>
  <c r="OA5" i="2"/>
  <c r="TU5" i="12"/>
  <c r="A5" i="31"/>
  <c r="KO5" i="14"/>
  <c r="AE5" i="33"/>
  <c r="BI5" i="26"/>
  <c r="UY5" i="47"/>
  <c r="TU5" i="16"/>
  <c r="MW5" i="32"/>
  <c r="BI5" i="14"/>
  <c r="UY5" i="49"/>
  <c r="TU5" i="28"/>
  <c r="TU5" i="33"/>
  <c r="BI5" i="18"/>
  <c r="A5" i="5"/>
  <c r="PE5" i="15"/>
  <c r="SQ5" i="32"/>
  <c r="FY5" i="15"/>
  <c r="PE5" i="25"/>
  <c r="BI5" i="20"/>
  <c r="KO5" i="15"/>
  <c r="SQ5" i="45"/>
  <c r="KO5" i="18"/>
  <c r="TU5" i="15"/>
  <c r="FY5" i="19"/>
  <c r="PE5" i="29"/>
  <c r="BI5" i="16"/>
  <c r="FY5" i="25"/>
  <c r="FY5" i="17"/>
  <c r="A5" i="39"/>
  <c r="KO5" i="22"/>
  <c r="JK5" i="36"/>
  <c r="BI5" i="8"/>
  <c r="FY5" i="21"/>
  <c r="PE5" i="21"/>
  <c r="KO5" i="20"/>
  <c r="RM5" i="12"/>
  <c r="KO5" i="24"/>
  <c r="TU5" i="24"/>
  <c r="FY5" i="27"/>
  <c r="TU5" i="26"/>
  <c r="JK5" i="46"/>
  <c r="UY5" i="32"/>
  <c r="OA5" i="31"/>
  <c r="KO5" i="26"/>
  <c r="FY5" i="29"/>
  <c r="TU5" i="18"/>
  <c r="EU5" i="10"/>
  <c r="BI5" i="24"/>
  <c r="TU5" i="36"/>
  <c r="FY5" i="23"/>
  <c r="TU5" i="8"/>
  <c r="BI5" i="36"/>
  <c r="KO5" i="28"/>
  <c r="KO5" i="30"/>
  <c r="IG5" i="1"/>
  <c r="BI5" i="28"/>
  <c r="PE5" i="39"/>
  <c r="BW5" i="50"/>
  <c r="FY5" i="33"/>
  <c r="JK5" i="26"/>
  <c r="TU5" i="30"/>
  <c r="KO5" i="17"/>
  <c r="FY5" i="7"/>
  <c r="TU5" i="32"/>
  <c r="IG5" i="18"/>
  <c r="BI5" i="30"/>
  <c r="IG5" i="35"/>
  <c r="BI5" i="34"/>
  <c r="BI5" i="38"/>
  <c r="TU5" i="34"/>
  <c r="KO5" i="34"/>
  <c r="TU5" i="38"/>
  <c r="EU5" i="12"/>
  <c r="TU5" i="9"/>
  <c r="BI5" i="32"/>
  <c r="FY5" i="39"/>
  <c r="FY5" i="48"/>
  <c r="RM5" i="36"/>
  <c r="KO5" i="32"/>
  <c r="SQ5" i="25"/>
  <c r="PE5" i="31"/>
  <c r="PE5" i="37"/>
  <c r="PE5" i="35"/>
  <c r="A5" i="10"/>
  <c r="FY5" i="35"/>
  <c r="KO5" i="36"/>
  <c r="PE5" i="43"/>
  <c r="OA5" i="41"/>
  <c r="KO5" i="23"/>
  <c r="EU5" i="16"/>
  <c r="PE5" i="33"/>
  <c r="RM5" i="13"/>
  <c r="FY5" i="10"/>
  <c r="KO5" i="38"/>
  <c r="BI5" i="10"/>
  <c r="PE5" i="41"/>
  <c r="TU5" i="46"/>
  <c r="BI5" i="40"/>
  <c r="TU5" i="40"/>
  <c r="KO5" i="42"/>
  <c r="PE5" i="49"/>
  <c r="RM5" i="7"/>
  <c r="BI5" i="46"/>
  <c r="FY5" i="43"/>
  <c r="FY5" i="45"/>
  <c r="FY5" i="41"/>
  <c r="HC5" i="46"/>
  <c r="BI5" i="42"/>
  <c r="LS5" i="31"/>
  <c r="AE5" i="31"/>
  <c r="TU5" i="48"/>
  <c r="TU5" i="42"/>
  <c r="HC5" i="8"/>
  <c r="AE5" i="38"/>
  <c r="PE5" i="47"/>
  <c r="KO5" i="46"/>
  <c r="KO5" i="40"/>
  <c r="BI5" i="44"/>
  <c r="KO5" i="44"/>
  <c r="DQ5" i="42"/>
  <c r="EU5" i="32"/>
  <c r="UY5" i="1"/>
  <c r="FY5" i="47"/>
  <c r="KO5" i="50"/>
  <c r="TU5" i="50"/>
  <c r="UI5" i="36"/>
  <c r="PE5" i="45"/>
  <c r="UY5" i="9"/>
  <c r="FY5" i="49"/>
  <c r="KO5" i="48"/>
  <c r="PS5" i="39"/>
  <c r="TU5" i="44"/>
  <c r="LC5" i="34"/>
  <c r="BI5" i="50"/>
  <c r="IU5" i="35"/>
  <c r="BW5" i="34"/>
  <c r="BW5" i="36"/>
  <c r="UI5" i="8"/>
  <c r="GM5" i="48"/>
  <c r="GM5" i="39"/>
  <c r="SA5" i="36"/>
  <c r="UI5" i="34"/>
  <c r="PS5" i="35"/>
  <c r="O5" i="10"/>
  <c r="BW5" i="38"/>
  <c r="FI5" i="12"/>
  <c r="UI5" i="9"/>
  <c r="UI5" i="38"/>
  <c r="PS5" i="33"/>
  <c r="GM5" i="35"/>
  <c r="BW5" i="40"/>
  <c r="MG5" i="16"/>
  <c r="PS5" i="37"/>
  <c r="LC5" i="36"/>
  <c r="HQ5" i="19"/>
  <c r="UI5" i="40"/>
  <c r="PS5" i="41"/>
  <c r="PS5" i="44"/>
  <c r="QI5" i="4"/>
  <c r="GM5" i="41"/>
  <c r="HQ5" i="8"/>
  <c r="LC5" i="13"/>
  <c r="IG5" i="3"/>
  <c r="LC5" i="23"/>
  <c r="SA5" i="13"/>
  <c r="HQ5" i="11"/>
  <c r="LC5" i="42"/>
  <c r="PS5" i="43"/>
  <c r="MW5" i="38"/>
  <c r="LC5" i="40"/>
  <c r="OO5" i="41"/>
  <c r="FY5" i="37"/>
  <c r="GM5" i="10"/>
  <c r="DQ5" i="16"/>
  <c r="HC5" i="33"/>
  <c r="UY5" i="48"/>
  <c r="AE5" i="13"/>
  <c r="FI5" i="16"/>
  <c r="BI5" i="33"/>
  <c r="A5" i="22"/>
  <c r="UY5" i="28"/>
  <c r="PE5" i="17"/>
  <c r="SQ5" i="44"/>
  <c r="HC5" i="37"/>
  <c r="HQ5" i="46"/>
  <c r="BW5" i="42"/>
  <c r="MG5" i="31"/>
  <c r="AS5" i="31"/>
  <c r="AE5" i="18"/>
  <c r="CM5" i="42"/>
  <c r="UI5" i="44"/>
  <c r="UI5" i="42"/>
  <c r="GM5" i="43"/>
  <c r="UI5" i="48"/>
  <c r="PS5" i="45"/>
  <c r="VM5" i="9"/>
  <c r="LC5" i="44"/>
  <c r="EE5" i="42"/>
  <c r="FI5" i="32"/>
  <c r="VM5" i="1"/>
  <c r="GM5" i="47"/>
  <c r="CM5" i="32"/>
  <c r="SQ5" i="17"/>
  <c r="SA5" i="7"/>
  <c r="PS5" i="49"/>
  <c r="BW5" i="46"/>
  <c r="PS5" i="47"/>
  <c r="LC5" i="48"/>
  <c r="QI5" i="45"/>
  <c r="OA5" i="25"/>
  <c r="PE5" i="19"/>
  <c r="UY5" i="38"/>
  <c r="KO5" i="29"/>
  <c r="DQ5" i="12"/>
  <c r="HC5" i="23"/>
  <c r="SQ5" i="48"/>
  <c r="OA5" i="13"/>
  <c r="QI5" i="33"/>
  <c r="LS5" i="32"/>
  <c r="LC5" i="50"/>
  <c r="BW5" i="10"/>
  <c r="UI5" i="46"/>
  <c r="GM5" i="49"/>
  <c r="BW5" i="44"/>
  <c r="UI5" i="50"/>
  <c r="GM5" i="45"/>
  <c r="CM5" i="34"/>
  <c r="LC5" i="46"/>
  <c r="AS5" i="38"/>
  <c r="LS5" i="38"/>
  <c r="A5" i="46"/>
  <c r="LS5" i="34"/>
  <c r="O5" i="46"/>
  <c r="MG5" i="38"/>
  <c r="CM5" i="38"/>
  <c r="UY5" i="34"/>
  <c r="QI5" i="35"/>
  <c r="LS5" i="7"/>
  <c r="CM5" i="46"/>
  <c r="QW5" i="11"/>
  <c r="HC5" i="35"/>
  <c r="CM5" i="48"/>
  <c r="JK5" i="38"/>
  <c r="CM5" i="36"/>
  <c r="CM5" i="44"/>
  <c r="UY5" i="42"/>
  <c r="MG5" i="14"/>
  <c r="QI5" i="41"/>
  <c r="QI5" i="37"/>
  <c r="HC5" i="39"/>
  <c r="QI5" i="43"/>
  <c r="KO5" i="35"/>
  <c r="JK5" i="25"/>
  <c r="LS5" i="46"/>
  <c r="HC5" i="44"/>
  <c r="IG5" i="42"/>
  <c r="CM5" i="15"/>
  <c r="CM5" i="35"/>
  <c r="KO5" i="7"/>
  <c r="PE5" i="1"/>
  <c r="FY5" i="31"/>
  <c r="OA5" i="11"/>
  <c r="IG5" i="38"/>
  <c r="CM5" i="25"/>
  <c r="HQ5" i="15"/>
  <c r="HC5" i="41"/>
  <c r="HQ5" i="17"/>
  <c r="DA5" i="6"/>
  <c r="UY5" i="40"/>
  <c r="AE5" i="50"/>
  <c r="DA5" i="38"/>
  <c r="MG5" i="42"/>
  <c r="LS5" i="44"/>
  <c r="HC5" i="43"/>
  <c r="CM5" i="40"/>
  <c r="UY5" i="44"/>
  <c r="LS5" i="48"/>
  <c r="LS5" i="42"/>
  <c r="BI5" i="45"/>
  <c r="IG5" i="37"/>
  <c r="A5" i="37"/>
  <c r="UY5" i="50"/>
  <c r="HC5" i="47"/>
  <c r="JK5" i="19"/>
  <c r="RM5" i="14"/>
  <c r="A5" i="49"/>
  <c r="MW5" i="28"/>
  <c r="CM5" i="7"/>
  <c r="PE5" i="5"/>
  <c r="CM5" i="50"/>
  <c r="DQ5" i="47"/>
  <c r="DA5" i="2"/>
  <c r="QI5" i="39"/>
  <c r="BI5" i="6"/>
  <c r="UY5" i="46"/>
  <c r="DA5" i="23"/>
  <c r="QW5" i="5"/>
  <c r="HC5" i="31"/>
  <c r="TU5" i="13"/>
  <c r="HC5" i="45"/>
  <c r="QI5" i="47"/>
  <c r="CM5" i="8"/>
  <c r="HQ5" i="3"/>
  <c r="HC5" i="49"/>
  <c r="QI5" i="49"/>
  <c r="IU5" i="27"/>
  <c r="HQ5" i="1"/>
  <c r="BI5" i="48"/>
  <c r="AE5" i="48"/>
  <c r="JK5" i="45"/>
  <c r="LS5" i="40"/>
  <c r="UY5" i="36"/>
  <c r="LS5" i="36"/>
  <c r="RM5" i="31"/>
  <c r="QI5" i="31"/>
  <c r="BI5" i="22"/>
  <c r="UY5" i="20"/>
  <c r="BI5" i="19"/>
  <c r="DQ5" i="17"/>
  <c r="LS5" i="12"/>
  <c r="A5" i="12"/>
  <c r="PE5" i="11"/>
  <c r="LS5" i="11"/>
  <c r="JK5" i="11"/>
  <c r="UY5" i="8"/>
  <c r="FY5" i="8"/>
  <c r="AE5" i="8"/>
  <c r="A5" i="7"/>
  <c r="RM5" i="3"/>
  <c r="KO5" i="2"/>
  <c r="QI5" i="1"/>
  <c r="PE5" i="50"/>
  <c r="HQ5" i="13"/>
  <c r="VM5" i="14"/>
  <c r="MG5" i="4"/>
  <c r="HQ5" i="9"/>
  <c r="LS5" i="50"/>
  <c r="QW5" i="3"/>
  <c r="VM5" i="2"/>
  <c r="DA5" i="4"/>
  <c r="NK5" i="34"/>
  <c r="DA5" i="10"/>
  <c r="O5" i="34"/>
  <c r="HQ5" i="7"/>
  <c r="VM5" i="4"/>
  <c r="HQ5" i="5"/>
  <c r="OO5" i="1"/>
  <c r="MG5" i="2"/>
  <c r="DA5" i="12"/>
  <c r="JY5" i="7"/>
  <c r="QW5" i="13"/>
  <c r="VM5" i="6"/>
  <c r="PS5" i="4"/>
  <c r="QW5" i="7"/>
  <c r="VM5" i="10"/>
  <c r="JY5" i="15"/>
  <c r="MG5" i="6"/>
  <c r="QW5" i="9"/>
  <c r="VM5" i="12"/>
  <c r="MG5" i="10"/>
  <c r="DA5" i="14"/>
  <c r="MG5" i="8"/>
  <c r="QW5" i="17"/>
  <c r="DA5" i="16"/>
  <c r="AS5" i="28"/>
  <c r="QW5" i="15"/>
  <c r="QW5" i="23"/>
  <c r="MG5" i="32"/>
  <c r="MG5" i="18"/>
  <c r="SA5" i="50"/>
  <c r="VM5" i="18"/>
  <c r="IU5" i="14"/>
  <c r="MG5" i="22"/>
  <c r="VM5" i="26"/>
  <c r="MG5" i="28"/>
  <c r="IU5" i="7"/>
  <c r="DA5" i="20"/>
  <c r="UI5" i="7"/>
  <c r="VM5" i="16"/>
  <c r="QW5" i="19"/>
  <c r="HQ5" i="21"/>
  <c r="VM5" i="22"/>
  <c r="TE5" i="44"/>
  <c r="QW5" i="4"/>
  <c r="NK5" i="38"/>
  <c r="GM5" i="37"/>
  <c r="IU5" i="3"/>
  <c r="HQ5" i="33"/>
  <c r="BW5" i="33"/>
  <c r="VM5" i="28"/>
  <c r="O5" i="22"/>
  <c r="AS5" i="13"/>
  <c r="PS5" i="17"/>
  <c r="EE5" i="16"/>
  <c r="QW5" i="21"/>
  <c r="VM5" i="30"/>
  <c r="DA5" i="24"/>
  <c r="BW5" i="49"/>
  <c r="DA5" i="28"/>
  <c r="DA5" i="18"/>
  <c r="DA5" i="33"/>
  <c r="HQ5" i="25"/>
  <c r="MG5" i="24"/>
  <c r="FI5" i="44"/>
  <c r="BW5" i="17"/>
  <c r="MG5" i="9"/>
  <c r="QW5" i="27"/>
  <c r="HQ5" i="37"/>
  <c r="MG5" i="20"/>
  <c r="DA5" i="26"/>
  <c r="MG5" i="34"/>
  <c r="O5" i="49"/>
  <c r="IU5" i="37"/>
  <c r="JY5" i="19"/>
  <c r="VM5" i="50"/>
  <c r="BW5" i="45"/>
  <c r="SA5" i="14"/>
  <c r="O5" i="37"/>
  <c r="QW5" i="25"/>
  <c r="BW5" i="48"/>
  <c r="AS5" i="48"/>
  <c r="JY5" i="45"/>
  <c r="MG5" i="40"/>
  <c r="VM5" i="36"/>
  <c r="MG5" i="36"/>
  <c r="SA5" i="31"/>
  <c r="QW5" i="31"/>
  <c r="BW5" i="22"/>
  <c r="VM5" i="20"/>
  <c r="BW5" i="19"/>
  <c r="EE5" i="17"/>
  <c r="O5" i="12"/>
  <c r="MG5" i="12"/>
  <c r="PS5" i="11"/>
  <c r="MG5" i="11"/>
  <c r="JY5" i="11"/>
  <c r="VM5" i="8"/>
  <c r="GM5" i="8"/>
  <c r="AS5" i="8"/>
  <c r="O5" i="7"/>
  <c r="SA5" i="3"/>
  <c r="LC5" i="2"/>
  <c r="QW5" i="1"/>
  <c r="PS5" i="50"/>
  <c r="DA5" i="30"/>
  <c r="O5" i="25"/>
  <c r="VM5" i="24"/>
  <c r="GM5" i="5"/>
  <c r="FI5" i="41"/>
  <c r="HQ5" i="27"/>
  <c r="MG5" i="26"/>
  <c r="HQ5" i="31"/>
  <c r="UI5" i="13"/>
  <c r="QW5" i="29"/>
  <c r="QW5" i="33"/>
  <c r="MG5" i="30"/>
  <c r="DA5" i="22"/>
  <c r="DA5" i="32"/>
  <c r="TE5" i="17"/>
  <c r="HQ5" i="29"/>
  <c r="QW5" i="37"/>
  <c r="MG5" i="46"/>
  <c r="HQ5" i="44"/>
  <c r="DA5" i="35"/>
  <c r="IU5" i="38"/>
  <c r="GM5" i="31"/>
  <c r="DA5" i="25"/>
  <c r="OO5" i="11"/>
  <c r="LC5" i="7"/>
  <c r="PS5" i="1"/>
  <c r="DA5" i="34"/>
  <c r="VM5" i="34"/>
  <c r="HQ5" i="35"/>
  <c r="QW5" i="45"/>
  <c r="EE5" i="12"/>
  <c r="VM5" i="38"/>
  <c r="NK5" i="28"/>
  <c r="LC5" i="29"/>
  <c r="DA5" i="7"/>
  <c r="OO5" i="25"/>
  <c r="HQ5" i="23"/>
  <c r="TE5" i="48"/>
  <c r="PS5" i="19"/>
  <c r="OO5" i="13"/>
  <c r="EE5" i="47"/>
  <c r="PS5" i="5"/>
  <c r="DA5" i="50"/>
  <c r="DA5" i="40"/>
  <c r="QW5" i="47"/>
  <c r="DA5" i="42"/>
  <c r="DA5" i="15"/>
  <c r="HQ5" i="39"/>
  <c r="DA5" i="8"/>
  <c r="VM5" i="32"/>
  <c r="VM5" i="44"/>
  <c r="VM5" i="48"/>
  <c r="JY5" i="46"/>
  <c r="HQ5" i="41"/>
  <c r="AS5" i="18"/>
  <c r="MG5" i="44"/>
  <c r="LC5" i="35"/>
  <c r="HQ5" i="47"/>
  <c r="IU5" i="42"/>
  <c r="JY5" i="38"/>
  <c r="JY5" i="25"/>
  <c r="DA5" i="36"/>
  <c r="QW5" i="43"/>
  <c r="MG5" i="50"/>
  <c r="VM5" i="40"/>
  <c r="AS5" i="50"/>
  <c r="QW5" i="41"/>
  <c r="DA5" i="46"/>
  <c r="QW5" i="35"/>
  <c r="MG5" i="7"/>
  <c r="HQ5" i="43"/>
  <c r="VM5" i="46"/>
  <c r="MG5" i="48"/>
  <c r="QW5" i="49"/>
  <c r="QW5" i="39"/>
  <c r="BW5" i="6"/>
  <c r="VM5" i="42"/>
  <c r="HQ5" i="45"/>
  <c r="HQ5" i="49"/>
  <c r="DA5" i="44"/>
  <c r="DA5" i="48"/>
</calcChain>
</file>

<file path=xl/sharedStrings.xml><?xml version="1.0" encoding="utf-8"?>
<sst xmlns="http://schemas.openxmlformats.org/spreadsheetml/2006/main" count="48506" uniqueCount="6628">
  <si>
    <t>Deal 1001</t>
  </si>
  <si>
    <t>Deal 1002</t>
  </si>
  <si>
    <t>Deal 1003</t>
  </si>
  <si>
    <t>Deal 1004</t>
  </si>
  <si>
    <t>Deal 1005</t>
  </si>
  <si>
    <t>Deal 1006</t>
  </si>
  <si>
    <t>Deal 1007</t>
  </si>
  <si>
    <t>Deal 1008</t>
  </si>
  <si>
    <t>Deal 1009</t>
  </si>
  <si>
    <t>Deal 1010</t>
  </si>
  <si>
    <t>Deal 1011</t>
  </si>
  <si>
    <t>Deal 1012</t>
  </si>
  <si>
    <t>Deal 1013</t>
  </si>
  <si>
    <t>Deal 1014</t>
  </si>
  <si>
    <t>Deal 1015</t>
  </si>
  <si>
    <t>Deal 1016</t>
  </si>
  <si>
    <t>Deal 1017</t>
  </si>
  <si>
    <t>Deal 1018</t>
  </si>
  <si>
    <t>Deal 1019</t>
  </si>
  <si>
    <t>Deal 1020</t>
  </si>
  <si>
    <t>OA US Equity</t>
  </si>
  <si>
    <t>CMLP US Equity</t>
  </si>
  <si>
    <t>V US Equity</t>
  </si>
  <si>
    <t>TT US Equity</t>
  </si>
  <si>
    <t>TDAY US Equity</t>
  </si>
  <si>
    <t>605555Q US Equity</t>
  </si>
  <si>
    <t>MER US Equity</t>
  </si>
  <si>
    <t>NLY US Equity</t>
  </si>
  <si>
    <t>VMW US Equity</t>
  </si>
  <si>
    <t>EPC US Equity</t>
  </si>
  <si>
    <t>QVCGA US Equity</t>
  </si>
  <si>
    <t>SWY US Equity</t>
  </si>
  <si>
    <t>COOP US Equity</t>
  </si>
  <si>
    <t>PFE US Equity</t>
  </si>
  <si>
    <t>ORCL US Equity</t>
  </si>
  <si>
    <t>nan Equity</t>
  </si>
  <si>
    <t>2641504Q US Equity</t>
  </si>
  <si>
    <t>0544749D US Equity</t>
  </si>
  <si>
    <t>1260972D US Equity</t>
  </si>
  <si>
    <t>3437127Q US Equity</t>
  </si>
  <si>
    <t>Suppliers</t>
  </si>
  <si>
    <t>Customers</t>
  </si>
  <si>
    <t>Entity Ticker</t>
  </si>
  <si>
    <t>Cost Type</t>
  </si>
  <si>
    <t>Revenue %</t>
  </si>
  <si>
    <t>Cost %</t>
  </si>
  <si>
    <t>Rel. Period</t>
  </si>
  <si>
    <t>Rel. Year</t>
  </si>
  <si>
    <t>Source</t>
  </si>
  <si>
    <t>Rel. Date</t>
  </si>
  <si>
    <t>Rel. Count</t>
  </si>
  <si>
    <t>Rel. Amount</t>
  </si>
  <si>
    <t>Company ID</t>
  </si>
  <si>
    <t>Company Name</t>
  </si>
  <si>
    <t>Deal 1021</t>
  </si>
  <si>
    <t>Deal 1022</t>
  </si>
  <si>
    <t>Deal 1023</t>
  </si>
  <si>
    <t>Deal 1024</t>
  </si>
  <si>
    <t>Deal 1025</t>
  </si>
  <si>
    <t>Deal 1026</t>
  </si>
  <si>
    <t>Deal 1027</t>
  </si>
  <si>
    <t>Deal 1028</t>
  </si>
  <si>
    <t>Deal 1029</t>
  </si>
  <si>
    <t>Deal 1030</t>
  </si>
  <si>
    <t>Deal 1031</t>
  </si>
  <si>
    <t>Deal 1032</t>
  </si>
  <si>
    <t>Deal 1033</t>
  </si>
  <si>
    <t>Deal 1034</t>
  </si>
  <si>
    <t>Deal 1035</t>
  </si>
  <si>
    <t>Deal 1036</t>
  </si>
  <si>
    <t>Deal 1037</t>
  </si>
  <si>
    <t>Deal 1038</t>
  </si>
  <si>
    <t>Deal 1039</t>
  </si>
  <si>
    <t>Deal 1040</t>
  </si>
  <si>
    <t>PDCE US Equity</t>
  </si>
  <si>
    <t>VZ US Equity</t>
  </si>
  <si>
    <t>PSIXQ US Equity</t>
  </si>
  <si>
    <t>PARA US Equity</t>
  </si>
  <si>
    <t>FIS US Equity</t>
  </si>
  <si>
    <t>CEMJQ US Equity</t>
  </si>
  <si>
    <t>CMLS US Equity</t>
  </si>
  <si>
    <t>NCF US Equity</t>
  </si>
  <si>
    <t>ZTS US Equity</t>
  </si>
  <si>
    <t>DRE US Equity</t>
  </si>
  <si>
    <t>1910 HK Equity</t>
  </si>
  <si>
    <t>PHM US Equity</t>
  </si>
  <si>
    <t>BRK/A US Equity</t>
  </si>
  <si>
    <t>MTX US Equity</t>
  </si>
  <si>
    <t>FCH US Equity</t>
  </si>
  <si>
    <t>NDAQ US Equity</t>
  </si>
  <si>
    <t>CUBE US Equity</t>
  </si>
  <si>
    <t>MLKN US Equity</t>
  </si>
  <si>
    <t>OCR US Equity</t>
  </si>
  <si>
    <t>Deal 1041</t>
  </si>
  <si>
    <t>Deal 1042</t>
  </si>
  <si>
    <t>Deal 1043</t>
  </si>
  <si>
    <t>Deal 1044</t>
  </si>
  <si>
    <t>Deal 1045</t>
  </si>
  <si>
    <t>Deal 1046</t>
  </si>
  <si>
    <t>Deal 1047</t>
  </si>
  <si>
    <t>Deal 1048</t>
  </si>
  <si>
    <t>Deal 1049</t>
  </si>
  <si>
    <t>Deal 1050</t>
  </si>
  <si>
    <t>Deal 1051</t>
  </si>
  <si>
    <t>Deal 1052</t>
  </si>
  <si>
    <t>Deal 1053</t>
  </si>
  <si>
    <t>Deal 1054</t>
  </si>
  <si>
    <t>Deal 1055</t>
  </si>
  <si>
    <t>Deal 1056</t>
  </si>
  <si>
    <t>Deal 1057</t>
  </si>
  <si>
    <t>Deal 1058</t>
  </si>
  <si>
    <t>Deal 1059</t>
  </si>
  <si>
    <t>Deal 1060</t>
  </si>
  <si>
    <t>KCI US Equity</t>
  </si>
  <si>
    <t>ARLP US Equity</t>
  </si>
  <si>
    <t>MCK US Equity</t>
  </si>
  <si>
    <t>TALO US Equity</t>
  </si>
  <si>
    <t>AMAT US Equity</t>
  </si>
  <si>
    <t>ZION US Equity</t>
  </si>
  <si>
    <t>PDE US Equity</t>
  </si>
  <si>
    <t>XRX US Equity</t>
  </si>
  <si>
    <t>IBM US Equity</t>
  </si>
  <si>
    <t>BKNG US Equity</t>
  </si>
  <si>
    <t>MFW US Equity</t>
  </si>
  <si>
    <t>APH US Equity</t>
  </si>
  <si>
    <t>FLG US Equity</t>
  </si>
  <si>
    <t>653707Q US Equity</t>
  </si>
  <si>
    <t>WP US Equity</t>
  </si>
  <si>
    <t>RNR US Equity</t>
  </si>
  <si>
    <t>CY US Equity</t>
  </si>
  <si>
    <t>NFS US Equity</t>
  </si>
  <si>
    <t>THC US Equity</t>
  </si>
  <si>
    <t>Deal 1061</t>
  </si>
  <si>
    <t>Deal 1062</t>
  </si>
  <si>
    <t>Deal 1063</t>
  </si>
  <si>
    <t>Deal 1064</t>
  </si>
  <si>
    <t>Deal 1065</t>
  </si>
  <si>
    <t>Deal 1066</t>
  </si>
  <si>
    <t>Deal 1067</t>
  </si>
  <si>
    <t>Deal 1068</t>
  </si>
  <si>
    <t>Deal 1069</t>
  </si>
  <si>
    <t>Deal 1070</t>
  </si>
  <si>
    <t>Deal 1071</t>
  </si>
  <si>
    <t>Deal 1072</t>
  </si>
  <si>
    <t>Deal 1073</t>
  </si>
  <si>
    <t>Deal 1074</t>
  </si>
  <si>
    <t>Deal 1075</t>
  </si>
  <si>
    <t>Deal 1076</t>
  </si>
  <si>
    <t>Deal 1077</t>
  </si>
  <si>
    <t>Deal 1078</t>
  </si>
  <si>
    <t>Deal 1079</t>
  </si>
  <si>
    <t>Deal 1080</t>
  </si>
  <si>
    <t>POST US Equity</t>
  </si>
  <si>
    <t>BPL US Equity</t>
  </si>
  <si>
    <t>GLW US Equity</t>
  </si>
  <si>
    <t>IDTI US Equity</t>
  </si>
  <si>
    <t>AMGN US Equity</t>
  </si>
  <si>
    <t>HLIT US Equity</t>
  </si>
  <si>
    <t>4622869Z US Equity</t>
  </si>
  <si>
    <t>SPHR US Equity</t>
  </si>
  <si>
    <t>EXPE US Equity</t>
  </si>
  <si>
    <t>ANRZQ US Equity</t>
  </si>
  <si>
    <t>MTOR US Equity</t>
  </si>
  <si>
    <t>ETN US Equity</t>
  </si>
  <si>
    <t>0574018D US Equity</t>
  </si>
  <si>
    <t>1837572D US Equity</t>
  </si>
  <si>
    <t>MFNXQ US Equity</t>
  </si>
  <si>
    <t>CSCO US Equity</t>
  </si>
  <si>
    <t>INTC US Equity</t>
  </si>
  <si>
    <t>BX US Equity</t>
  </si>
  <si>
    <t>166783Q US Equity</t>
  </si>
  <si>
    <t>Deal 1081</t>
  </si>
  <si>
    <t>Deal 1082</t>
  </si>
  <si>
    <t>Deal 1083</t>
  </si>
  <si>
    <t>Deal 1084</t>
  </si>
  <si>
    <t>Deal 1085</t>
  </si>
  <si>
    <t>Deal 1086</t>
  </si>
  <si>
    <t>Deal 1087</t>
  </si>
  <si>
    <t>Deal 1088</t>
  </si>
  <si>
    <t>Deal 1089</t>
  </si>
  <si>
    <t>Deal 1090</t>
  </si>
  <si>
    <t>Deal 1091</t>
  </si>
  <si>
    <t>Deal 1092</t>
  </si>
  <si>
    <t>Deal 1093</t>
  </si>
  <si>
    <t>Deal 1094</t>
  </si>
  <si>
    <t>Deal 1095</t>
  </si>
  <si>
    <t>Deal 1096</t>
  </si>
  <si>
    <t>Deal 1097</t>
  </si>
  <si>
    <t>Deal 1098</t>
  </si>
  <si>
    <t>Deal 1099</t>
  </si>
  <si>
    <t>Deal 1100</t>
  </si>
  <si>
    <t>BRCD US Equity</t>
  </si>
  <si>
    <t>SD US Equity</t>
  </si>
  <si>
    <t>KEYS US Equity</t>
  </si>
  <si>
    <t>ACH US Equity</t>
  </si>
  <si>
    <t>ADBE US Equity</t>
  </si>
  <si>
    <t>9876552D US Equity</t>
  </si>
  <si>
    <t>GMH US Equity</t>
  </si>
  <si>
    <t>LPNT US Equity</t>
  </si>
  <si>
    <t>3867693Z US Equity</t>
  </si>
  <si>
    <t>BBWI US Equity</t>
  </si>
  <si>
    <t>AGN US Equity</t>
  </si>
  <si>
    <t>ELNK US Equity</t>
  </si>
  <si>
    <t>2309719Q US Equity</t>
  </si>
  <si>
    <t>HPQ US Equity</t>
  </si>
  <si>
    <t>MRK US Equity</t>
  </si>
  <si>
    <t>CCMP US Equity</t>
  </si>
  <si>
    <t>2556796D US Equity</t>
  </si>
  <si>
    <t>XEC US Equity</t>
  </si>
  <si>
    <t>SVU US Equity</t>
  </si>
  <si>
    <t>Deal 1101</t>
  </si>
  <si>
    <t>Deal 1102</t>
  </si>
  <si>
    <t>Deal 1103</t>
  </si>
  <si>
    <t>Deal 1104</t>
  </si>
  <si>
    <t>Deal 1105</t>
  </si>
  <si>
    <t>Deal 1106</t>
  </si>
  <si>
    <t>Deal 1107</t>
  </si>
  <si>
    <t>Deal 1108</t>
  </si>
  <si>
    <t>Deal 1109</t>
  </si>
  <si>
    <t>Deal 1110</t>
  </si>
  <si>
    <t>Deal 1111</t>
  </si>
  <si>
    <t>Deal 1112</t>
  </si>
  <si>
    <t>Deal 1113</t>
  </si>
  <si>
    <t>Deal 1114</t>
  </si>
  <si>
    <t>Deal 1115</t>
  </si>
  <si>
    <t>Deal 1116</t>
  </si>
  <si>
    <t>Deal 1117</t>
  </si>
  <si>
    <t>Deal 1118</t>
  </si>
  <si>
    <t>Deal 1119</t>
  </si>
  <si>
    <t>Deal 1120</t>
  </si>
  <si>
    <t>M US Equity</t>
  </si>
  <si>
    <t>PVR US Equity</t>
  </si>
  <si>
    <t>FNFG US Equity</t>
  </si>
  <si>
    <t>AF US Equity</t>
  </si>
  <si>
    <t>GD US Equity</t>
  </si>
  <si>
    <t>1859004D US Equity</t>
  </si>
  <si>
    <t>CAH US Equity</t>
  </si>
  <si>
    <t>LEE US Equity</t>
  </si>
  <si>
    <t>1825471D US Equity</t>
  </si>
  <si>
    <t>9995522D US Equity</t>
  </si>
  <si>
    <t>MHK US Equity</t>
  </si>
  <si>
    <t>1986522D US Equity</t>
  </si>
  <si>
    <t>QTRN US Equity</t>
  </si>
  <si>
    <t>ITG US Equity</t>
  </si>
  <si>
    <t>L US Equity</t>
  </si>
  <si>
    <t>HSY US Equity</t>
  </si>
  <si>
    <t>GOOGL US Equity</t>
  </si>
  <si>
    <t>SSNC US Equity</t>
  </si>
  <si>
    <t>WSFS US Equity</t>
  </si>
  <si>
    <t>Deal 1121</t>
  </si>
  <si>
    <t>Deal 1122</t>
  </si>
  <si>
    <t>Deal 1123</t>
  </si>
  <si>
    <t>Deal 1124</t>
  </si>
  <si>
    <t>Deal 1125</t>
  </si>
  <si>
    <t>Deal 1126</t>
  </si>
  <si>
    <t>Deal 1127</t>
  </si>
  <si>
    <t>Deal 1128</t>
  </si>
  <si>
    <t>Deal 1129</t>
  </si>
  <si>
    <t>Deal 1130</t>
  </si>
  <si>
    <t>Deal 1131</t>
  </si>
  <si>
    <t>Deal 1132</t>
  </si>
  <si>
    <t>Deal 1133</t>
  </si>
  <si>
    <t>Deal 1134</t>
  </si>
  <si>
    <t>Deal 1135</t>
  </si>
  <si>
    <t>Deal 1136</t>
  </si>
  <si>
    <t>Deal 1137</t>
  </si>
  <si>
    <t>Deal 1138</t>
  </si>
  <si>
    <t>Deal 1139</t>
  </si>
  <si>
    <t>Deal 1140</t>
  </si>
  <si>
    <t>MHS US Equity</t>
  </si>
  <si>
    <t>TLRDQ US Equity</t>
  </si>
  <si>
    <t>RFMD US Equity</t>
  </si>
  <si>
    <t>THRY US Equity</t>
  </si>
  <si>
    <t>LLY US Equity</t>
  </si>
  <si>
    <t>SANM US Equity</t>
  </si>
  <si>
    <t>AA US Equity</t>
  </si>
  <si>
    <t>YELLQ US Equity</t>
  </si>
  <si>
    <t>9876456D US Equity</t>
  </si>
  <si>
    <t>UCOMA US Equity</t>
  </si>
  <si>
    <t>EXE US Equity</t>
  </si>
  <si>
    <t>ICBC US Equity</t>
  </si>
  <si>
    <t>WBMD US Equity</t>
  </si>
  <si>
    <t>LNWO US Equity</t>
  </si>
  <si>
    <t>TRUL CN Equity</t>
  </si>
  <si>
    <t>WAMUQ US Equity</t>
  </si>
  <si>
    <t>2258717D US Equity</t>
  </si>
  <si>
    <t>Deal 1141</t>
  </si>
  <si>
    <t>Deal 1142</t>
  </si>
  <si>
    <t>Deal 1143</t>
  </si>
  <si>
    <t>Deal 1144</t>
  </si>
  <si>
    <t>Deal 1145</t>
  </si>
  <si>
    <t>Deal 1146</t>
  </si>
  <si>
    <t>Deal 1147</t>
  </si>
  <si>
    <t>Deal 1148</t>
  </si>
  <si>
    <t>Deal 1149</t>
  </si>
  <si>
    <t>Deal 1150</t>
  </si>
  <si>
    <t>Deal 1151</t>
  </si>
  <si>
    <t>Deal 1152</t>
  </si>
  <si>
    <t>Deal 1153</t>
  </si>
  <si>
    <t>Deal 1154</t>
  </si>
  <si>
    <t>Deal 1155</t>
  </si>
  <si>
    <t>Deal 1156</t>
  </si>
  <si>
    <t>Deal 1157</t>
  </si>
  <si>
    <t>Deal 1158</t>
  </si>
  <si>
    <t>Deal 1159</t>
  </si>
  <si>
    <t>Deal 1160</t>
  </si>
  <si>
    <t>CRL US Equity</t>
  </si>
  <si>
    <t>WFC US Equity</t>
  </si>
  <si>
    <t>JNY US Equity</t>
  </si>
  <si>
    <t>1856613D US Equity</t>
  </si>
  <si>
    <t>WEC US Equity</t>
  </si>
  <si>
    <t>CNSL US Equity</t>
  </si>
  <si>
    <t>KMPR US Equity</t>
  </si>
  <si>
    <t>HTV US Equity</t>
  </si>
  <si>
    <t>BKD US Equity</t>
  </si>
  <si>
    <t>3692470Q US Equity</t>
  </si>
  <si>
    <t>EXR US Equity</t>
  </si>
  <si>
    <t>TXT US Equity</t>
  </si>
  <si>
    <t>1919709D US Equity</t>
  </si>
  <si>
    <t>CLP US Equity</t>
  </si>
  <si>
    <t>A US Equity</t>
  </si>
  <si>
    <t>Deal 1161</t>
  </si>
  <si>
    <t>Deal 1162</t>
  </si>
  <si>
    <t>Deal 1163</t>
  </si>
  <si>
    <t>Deal 1164</t>
  </si>
  <si>
    <t>Deal 1165</t>
  </si>
  <si>
    <t>Deal 1166</t>
  </si>
  <si>
    <t>Deal 1167</t>
  </si>
  <si>
    <t>Deal 1168</t>
  </si>
  <si>
    <t>Deal 1169</t>
  </si>
  <si>
    <t>Deal 1170</t>
  </si>
  <si>
    <t>Deal 1171</t>
  </si>
  <si>
    <t>Deal 1172</t>
  </si>
  <si>
    <t>Deal 1173</t>
  </si>
  <si>
    <t>Deal 1174</t>
  </si>
  <si>
    <t>Deal 1175</t>
  </si>
  <si>
    <t>Deal 1176</t>
  </si>
  <si>
    <t>Deal 1177</t>
  </si>
  <si>
    <t>Deal 1178</t>
  </si>
  <si>
    <t>Deal 1179</t>
  </si>
  <si>
    <t>Deal 1180</t>
  </si>
  <si>
    <t>CIVI US Equity</t>
  </si>
  <si>
    <t>SCI US Equity</t>
  </si>
  <si>
    <t>HWC US Equity</t>
  </si>
  <si>
    <t>FNB US Equity</t>
  </si>
  <si>
    <t>EBAY US Equity</t>
  </si>
  <si>
    <t>3029830Q US Equity</t>
  </si>
  <si>
    <t>ATBA AV Equity</t>
  </si>
  <si>
    <t>611214Q US Equity</t>
  </si>
  <si>
    <t>PTEN US Equity</t>
  </si>
  <si>
    <t>AMH US Equity</t>
  </si>
  <si>
    <t>DRI US Equity</t>
  </si>
  <si>
    <t>CAR US Equity</t>
  </si>
  <si>
    <t>PCH US Equity</t>
  </si>
  <si>
    <t>8394653Q US Equity</t>
  </si>
  <si>
    <t>C US Equity</t>
  </si>
  <si>
    <t>HIG US Equity</t>
  </si>
  <si>
    <t>SNX US Equity</t>
  </si>
  <si>
    <t>SYK US Equity</t>
  </si>
  <si>
    <t>2207158D US Equity</t>
  </si>
  <si>
    <t>Deal 1181</t>
  </si>
  <si>
    <t>Deal 1182</t>
  </si>
  <si>
    <t>Deal 1183</t>
  </si>
  <si>
    <t>Deal 1184</t>
  </si>
  <si>
    <t>Deal 1185</t>
  </si>
  <si>
    <t>Deal 1186</t>
  </si>
  <si>
    <t>Deal 1187</t>
  </si>
  <si>
    <t>Deal 1188</t>
  </si>
  <si>
    <t>Deal 1189</t>
  </si>
  <si>
    <t>Deal 1190</t>
  </si>
  <si>
    <t>Deal 1191</t>
  </si>
  <si>
    <t>Deal 1192</t>
  </si>
  <si>
    <t>Deal 1193</t>
  </si>
  <si>
    <t>Deal 1194</t>
  </si>
  <si>
    <t>Deal 1195</t>
  </si>
  <si>
    <t>Deal 1196</t>
  </si>
  <si>
    <t>Deal 1197</t>
  </si>
  <si>
    <t>Deal 1198</t>
  </si>
  <si>
    <t>Deal 1199</t>
  </si>
  <si>
    <t>Deal 1200</t>
  </si>
  <si>
    <t>ALXN US Equity</t>
  </si>
  <si>
    <t>GILD US Equity</t>
  </si>
  <si>
    <t>MMM US Equity</t>
  </si>
  <si>
    <t>9983490D US Equity</t>
  </si>
  <si>
    <t>VIRT US Equity</t>
  </si>
  <si>
    <t>JNJ US Equity</t>
  </si>
  <si>
    <t>OPK US Equity</t>
  </si>
  <si>
    <t>LITE US Equity</t>
  </si>
  <si>
    <t>MNKTQ US Equity</t>
  </si>
  <si>
    <t>WNR US Equity</t>
  </si>
  <si>
    <t>502466Q US Equity</t>
  </si>
  <si>
    <t>0848680D US Equity</t>
  </si>
  <si>
    <t>8251545Q US Equity</t>
  </si>
  <si>
    <t>TXN US Equity</t>
  </si>
  <si>
    <t>362125Q US Equity</t>
  </si>
  <si>
    <t>AVY US Equity</t>
  </si>
  <si>
    <t>PAA US Equity</t>
  </si>
  <si>
    <t>Deal 1201</t>
  </si>
  <si>
    <t>Deal 1202</t>
  </si>
  <si>
    <t>Deal 1203</t>
  </si>
  <si>
    <t>Deal 1204</t>
  </si>
  <si>
    <t>Deal 1205</t>
  </si>
  <si>
    <t>Deal 1206</t>
  </si>
  <si>
    <t>Deal 1207</t>
  </si>
  <si>
    <t>Deal 1208</t>
  </si>
  <si>
    <t>Deal 1209</t>
  </si>
  <si>
    <t>Deal 1210</t>
  </si>
  <si>
    <t>Deal 1211</t>
  </si>
  <si>
    <t>Deal 1212</t>
  </si>
  <si>
    <t>Deal 1213</t>
  </si>
  <si>
    <t>Deal 1214</t>
  </si>
  <si>
    <t>Deal 1215</t>
  </si>
  <si>
    <t>Deal 1216</t>
  </si>
  <si>
    <t>Deal 1217</t>
  </si>
  <si>
    <t>Deal 1218</t>
  </si>
  <si>
    <t>Deal 1219</t>
  </si>
  <si>
    <t>Deal 1220</t>
  </si>
  <si>
    <t>QLGC US Equity</t>
  </si>
  <si>
    <t>UPS US Equity</t>
  </si>
  <si>
    <t>STJ US Equity</t>
  </si>
  <si>
    <t>HPE US Equity</t>
  </si>
  <si>
    <t>BYI US Equity</t>
  </si>
  <si>
    <t>TVTY US Equity</t>
  </si>
  <si>
    <t>JPM US Equity</t>
  </si>
  <si>
    <t>MSFT US Equity</t>
  </si>
  <si>
    <t>OPITQ US Equity</t>
  </si>
  <si>
    <t>FANG US Equity</t>
  </si>
  <si>
    <t>JAZZ US Equity</t>
  </si>
  <si>
    <t>AES US Equity</t>
  </si>
  <si>
    <t>GS US Equity</t>
  </si>
  <si>
    <t>KND US Equity</t>
  </si>
  <si>
    <t>URI US Equity</t>
  </si>
  <si>
    <t>9990822D US Equity</t>
  </si>
  <si>
    <t>Deal 1221</t>
  </si>
  <si>
    <t>Deal 1222</t>
  </si>
  <si>
    <t>Deal 1223</t>
  </si>
  <si>
    <t>Deal 1224</t>
  </si>
  <si>
    <t>Deal 1225</t>
  </si>
  <si>
    <t>Deal 1226</t>
  </si>
  <si>
    <t>Deal 1227</t>
  </si>
  <si>
    <t>Deal 1228</t>
  </si>
  <si>
    <t>Deal 1229</t>
  </si>
  <si>
    <t>Deal 1230</t>
  </si>
  <si>
    <t>Deal 1231</t>
  </si>
  <si>
    <t>Deal 1232</t>
  </si>
  <si>
    <t>Deal 1233</t>
  </si>
  <si>
    <t>Deal 1234</t>
  </si>
  <si>
    <t>Deal 1235</t>
  </si>
  <si>
    <t>Deal 1236</t>
  </si>
  <si>
    <t>Deal 1237</t>
  </si>
  <si>
    <t>Deal 1238</t>
  </si>
  <si>
    <t>Deal 1239</t>
  </si>
  <si>
    <t>Deal 1240</t>
  </si>
  <si>
    <t>FITB US Equity</t>
  </si>
  <si>
    <t>GE US Equity</t>
  </si>
  <si>
    <t>MKSI US Equity</t>
  </si>
  <si>
    <t>GAPTQ US Equity</t>
  </si>
  <si>
    <t>ESRX US Equity</t>
  </si>
  <si>
    <t>KG US Equity</t>
  </si>
  <si>
    <t>TSS US Equity</t>
  </si>
  <si>
    <t>MMGR US Equity</t>
  </si>
  <si>
    <t>HLX US Equity</t>
  </si>
  <si>
    <t>CLH US Equity</t>
  </si>
  <si>
    <t>1858968D US Equity</t>
  </si>
  <si>
    <t>MDRX US Equity</t>
  </si>
  <si>
    <t>9876549D US Equity</t>
  </si>
  <si>
    <t>HRI US Equity</t>
  </si>
  <si>
    <t>Deal 1241</t>
  </si>
  <si>
    <t>Deal 1242</t>
  </si>
  <si>
    <t>Deal 1243</t>
  </si>
  <si>
    <t>Deal 1244</t>
  </si>
  <si>
    <t>Deal 1245</t>
  </si>
  <si>
    <t>Deal 1246</t>
  </si>
  <si>
    <t>Deal 1247</t>
  </si>
  <si>
    <t>Deal 1248</t>
  </si>
  <si>
    <t>Deal 1249</t>
  </si>
  <si>
    <t>Deal 1250</t>
  </si>
  <si>
    <t>Deal 1251</t>
  </si>
  <si>
    <t>Deal 1252</t>
  </si>
  <si>
    <t>Deal 1253</t>
  </si>
  <si>
    <t>Deal 1254</t>
  </si>
  <si>
    <t>Deal 1255</t>
  </si>
  <si>
    <t>Deal 1256</t>
  </si>
  <si>
    <t>Deal 1257</t>
  </si>
  <si>
    <t>Deal 1258</t>
  </si>
  <si>
    <t>Deal 1259</t>
  </si>
  <si>
    <t>Deal 1260</t>
  </si>
  <si>
    <t>IRM US Equity</t>
  </si>
  <si>
    <t>AGR US Equity</t>
  </si>
  <si>
    <t>CLOV US Equity</t>
  </si>
  <si>
    <t>CMRCQ US Equity</t>
  </si>
  <si>
    <t>INTU US Equity</t>
  </si>
  <si>
    <t>GME US Equity</t>
  </si>
  <si>
    <t>605018Q US Equity</t>
  </si>
  <si>
    <t>ACC US Equity</t>
  </si>
  <si>
    <t>EFX US Equity</t>
  </si>
  <si>
    <t>CVS US Equity</t>
  </si>
  <si>
    <t>MWE US Equity</t>
  </si>
  <si>
    <t>VRSN US Equity</t>
  </si>
  <si>
    <t>AIG US Equity</t>
  </si>
  <si>
    <t>Deal 1261</t>
  </si>
  <si>
    <t>Deal 1262</t>
  </si>
  <si>
    <t>Deal 1263</t>
  </si>
  <si>
    <t>Deal 1264</t>
  </si>
  <si>
    <t>Deal 1265</t>
  </si>
  <si>
    <t>Deal 1266</t>
  </si>
  <si>
    <t>Deal 1267</t>
  </si>
  <si>
    <t>Deal 1268</t>
  </si>
  <si>
    <t>Deal 1269</t>
  </si>
  <si>
    <t>Deal 1270</t>
  </si>
  <si>
    <t>Deal 1271</t>
  </si>
  <si>
    <t>Deal 1272</t>
  </si>
  <si>
    <t>Deal 1273</t>
  </si>
  <si>
    <t>Deal 1274</t>
  </si>
  <si>
    <t>Deal 1275</t>
  </si>
  <si>
    <t>Deal 1276</t>
  </si>
  <si>
    <t>Deal 1277</t>
  </si>
  <si>
    <t>Deal 1278</t>
  </si>
  <si>
    <t>Deal 1279</t>
  </si>
  <si>
    <t>Deal 1280</t>
  </si>
  <si>
    <t>TCF US Equity</t>
  </si>
  <si>
    <t>RS US Equity</t>
  </si>
  <si>
    <t>INDB US Equity</t>
  </si>
  <si>
    <t>ASCMA US Equity</t>
  </si>
  <si>
    <t>LEN US Equity</t>
  </si>
  <si>
    <t>BWA US Equity</t>
  </si>
  <si>
    <t>PWR US Equity</t>
  </si>
  <si>
    <t>CMA US Equity</t>
  </si>
  <si>
    <t>TQNT US Equity</t>
  </si>
  <si>
    <t>WELL US Equity</t>
  </si>
  <si>
    <t>LVLT US Equity</t>
  </si>
  <si>
    <t>DHI US Equity</t>
  </si>
  <si>
    <t>BOKF US Equity</t>
  </si>
  <si>
    <t>RAH US Equity</t>
  </si>
  <si>
    <t>HQY US Equity</t>
  </si>
  <si>
    <t>TFC US Equity</t>
  </si>
  <si>
    <t>FDX US Equity</t>
  </si>
  <si>
    <t>SIG US Equity</t>
  </si>
  <si>
    <t>0202445Q US Equity</t>
  </si>
  <si>
    <t>Deal 1281</t>
  </si>
  <si>
    <t>Deal 1282</t>
  </si>
  <si>
    <t>Deal 1283</t>
  </si>
  <si>
    <t>Deal 1284</t>
  </si>
  <si>
    <t>Deal 1285</t>
  </si>
  <si>
    <t>Deal 1286</t>
  </si>
  <si>
    <t>Deal 1287</t>
  </si>
  <si>
    <t>Deal 1288</t>
  </si>
  <si>
    <t>Deal 1289</t>
  </si>
  <si>
    <t>Deal 1290</t>
  </si>
  <si>
    <t>Deal 1291</t>
  </si>
  <si>
    <t>Deal 1292</t>
  </si>
  <si>
    <t>Deal 1293</t>
  </si>
  <si>
    <t>Deal 1294</t>
  </si>
  <si>
    <t>Deal 1295</t>
  </si>
  <si>
    <t>Deal 1296</t>
  </si>
  <si>
    <t>Deal 1297</t>
  </si>
  <si>
    <t>Deal 1298</t>
  </si>
  <si>
    <t>Deal 1299</t>
  </si>
  <si>
    <t>Deal 1300</t>
  </si>
  <si>
    <t>AMC US Equity</t>
  </si>
  <si>
    <t>MPANQ US Equity</t>
  </si>
  <si>
    <t>MTCH US Equity</t>
  </si>
  <si>
    <t>JAH US Equity</t>
  </si>
  <si>
    <t>1541946D US Equity</t>
  </si>
  <si>
    <t>COO US Equity</t>
  </si>
  <si>
    <t>ED US Equity</t>
  </si>
  <si>
    <t>EMR US Equity</t>
  </si>
  <si>
    <t>WSC US Equity</t>
  </si>
  <si>
    <t>VCI US Equity</t>
  </si>
  <si>
    <t>SRTOQ US Equity</t>
  </si>
  <si>
    <t>9876544D US Equity</t>
  </si>
  <si>
    <t>2596516D US Equity</t>
  </si>
  <si>
    <t>MATV US Equity</t>
  </si>
  <si>
    <t>838969Q US Equity</t>
  </si>
  <si>
    <t>NCC US Equity</t>
  </si>
  <si>
    <t>WINMQ US Equity</t>
  </si>
  <si>
    <t>Deal 1301</t>
  </si>
  <si>
    <t>Deal 1302</t>
  </si>
  <si>
    <t>Deal 1303</t>
  </si>
  <si>
    <t>Deal 1304</t>
  </si>
  <si>
    <t>Deal 1305</t>
  </si>
  <si>
    <t>Deal 1306</t>
  </si>
  <si>
    <t>Deal 1307</t>
  </si>
  <si>
    <t>Deal 1308</t>
  </si>
  <si>
    <t>Deal 1309</t>
  </si>
  <si>
    <t>Deal 1310</t>
  </si>
  <si>
    <t>Deal 1311</t>
  </si>
  <si>
    <t>Deal 1312</t>
  </si>
  <si>
    <t>Deal 1313</t>
  </si>
  <si>
    <t>Deal 1314</t>
  </si>
  <si>
    <t>Deal 1315</t>
  </si>
  <si>
    <t>Deal 1316</t>
  </si>
  <si>
    <t>Deal 1317</t>
  </si>
  <si>
    <t>Deal 1318</t>
  </si>
  <si>
    <t>Deal 1319</t>
  </si>
  <si>
    <t>Deal 1320</t>
  </si>
  <si>
    <t>BAC US Equity</t>
  </si>
  <si>
    <t>PPC US Equity</t>
  </si>
  <si>
    <t>HTO US Equity</t>
  </si>
  <si>
    <t>NS US Equity</t>
  </si>
  <si>
    <t>AKS US Equity</t>
  </si>
  <si>
    <t>FTRCQ US Equity</t>
  </si>
  <si>
    <t>TMO US Equity</t>
  </si>
  <si>
    <t>ON US Equity</t>
  </si>
  <si>
    <t>118569Q US Equity</t>
  </si>
  <si>
    <t>ABT US Equity</t>
  </si>
  <si>
    <t>1255173D US Equity</t>
  </si>
  <si>
    <t>VYX US Equity</t>
  </si>
  <si>
    <t>PBF US Equity</t>
  </si>
  <si>
    <t>WM US Equity</t>
  </si>
  <si>
    <t>PRETQ US Equity</t>
  </si>
  <si>
    <t>SCHW US Equity</t>
  </si>
  <si>
    <t>ATTM US Equity</t>
  </si>
  <si>
    <t>Deal 1321</t>
  </si>
  <si>
    <t>Deal 1322</t>
  </si>
  <si>
    <t>Deal 1323</t>
  </si>
  <si>
    <t>Deal 1324</t>
  </si>
  <si>
    <t>Deal 1325</t>
  </si>
  <si>
    <t>Deal 1326</t>
  </si>
  <si>
    <t>Deal 1327</t>
  </si>
  <si>
    <t>Deal 1328</t>
  </si>
  <si>
    <t>Deal 1329</t>
  </si>
  <si>
    <t>Deal 1330</t>
  </si>
  <si>
    <t>Deal 1331</t>
  </si>
  <si>
    <t>Deal 1332</t>
  </si>
  <si>
    <t>Deal 1333</t>
  </si>
  <si>
    <t>Deal 1334</t>
  </si>
  <si>
    <t>Deal 1335</t>
  </si>
  <si>
    <t>Deal 1336</t>
  </si>
  <si>
    <t>Deal 1337</t>
  </si>
  <si>
    <t>Deal 1338</t>
  </si>
  <si>
    <t>Deal 1339</t>
  </si>
  <si>
    <t>Deal 1340</t>
  </si>
  <si>
    <t>LOW US Equity</t>
  </si>
  <si>
    <t>9876566D US Equity</t>
  </si>
  <si>
    <t>ACKH US Equity</t>
  </si>
  <si>
    <t>WCOEQ US Equity</t>
  </si>
  <si>
    <t>OMX US Equity</t>
  </si>
  <si>
    <t>EPD US Equity</t>
  </si>
  <si>
    <t>MTB US Equity</t>
  </si>
  <si>
    <t>3406956Q US Equity</t>
  </si>
  <si>
    <t>LUV US Equity</t>
  </si>
  <si>
    <t>SNDK US Equity</t>
  </si>
  <si>
    <t>CRBC US Equity</t>
  </si>
  <si>
    <t>SPNX US Equity</t>
  </si>
  <si>
    <t>NEX US Equity</t>
  </si>
  <si>
    <t>Deal 1341</t>
  </si>
  <si>
    <t>Deal 1342</t>
  </si>
  <si>
    <t>Deal 1343</t>
  </si>
  <si>
    <t>Deal 1344</t>
  </si>
  <si>
    <t>Deal 1345</t>
  </si>
  <si>
    <t>Deal 1346</t>
  </si>
  <si>
    <t>Deal 1347</t>
  </si>
  <si>
    <t>Deal 1348</t>
  </si>
  <si>
    <t>Deal 1349</t>
  </si>
  <si>
    <t>Deal 1350</t>
  </si>
  <si>
    <t>Deal 1351</t>
  </si>
  <si>
    <t>Deal 1352</t>
  </si>
  <si>
    <t>Deal 1353</t>
  </si>
  <si>
    <t>Deal 1354</t>
  </si>
  <si>
    <t>Deal 1355</t>
  </si>
  <si>
    <t>Deal 1356</t>
  </si>
  <si>
    <t>Deal 1357</t>
  </si>
  <si>
    <t>Deal 1358</t>
  </si>
  <si>
    <t>Deal 1359</t>
  </si>
  <si>
    <t>Deal 1360</t>
  </si>
  <si>
    <t>9990819D US Equity</t>
  </si>
  <si>
    <t>HOLX US Equity</t>
  </si>
  <si>
    <t>INSW US Equity</t>
  </si>
  <si>
    <t>MTZ US Equity</t>
  </si>
  <si>
    <t>391243Q US Equity</t>
  </si>
  <si>
    <t>DCLK US Equity</t>
  </si>
  <si>
    <t>BBIO US Equity</t>
  </si>
  <si>
    <t>MVL US Equity</t>
  </si>
  <si>
    <t>VSUNQ US Equity</t>
  </si>
  <si>
    <t>CKH US Equity</t>
  </si>
  <si>
    <t>PPBI US Equity</t>
  </si>
  <si>
    <t>MDT US Equity</t>
  </si>
  <si>
    <t>Deal 1361</t>
  </si>
  <si>
    <t>Deal 1362</t>
  </si>
  <si>
    <t>Deal 1363</t>
  </si>
  <si>
    <t>Deal 1364</t>
  </si>
  <si>
    <t>Deal 1365</t>
  </si>
  <si>
    <t>Deal 1366</t>
  </si>
  <si>
    <t>Deal 1367</t>
  </si>
  <si>
    <t>Deal 1368</t>
  </si>
  <si>
    <t>Deal 1369</t>
  </si>
  <si>
    <t>Deal 1370</t>
  </si>
  <si>
    <t>Deal 1371</t>
  </si>
  <si>
    <t>Deal 1372</t>
  </si>
  <si>
    <t>Deal 1373</t>
  </si>
  <si>
    <t>Deal 1374</t>
  </si>
  <si>
    <t>Deal 1375</t>
  </si>
  <si>
    <t>Deal 1376</t>
  </si>
  <si>
    <t>Deal 1377</t>
  </si>
  <si>
    <t>Deal 1378</t>
  </si>
  <si>
    <t>Deal 1379</t>
  </si>
  <si>
    <t>Deal 1380</t>
  </si>
  <si>
    <t>TIN US Equity</t>
  </si>
  <si>
    <t>MOVIQ US Equity</t>
  </si>
  <si>
    <t>ORLY US Equity</t>
  </si>
  <si>
    <t>SOV US Equity</t>
  </si>
  <si>
    <t>HOPE US Equity</t>
  </si>
  <si>
    <t>1746513D US Equity</t>
  </si>
  <si>
    <t>UBSI US Equity</t>
  </si>
  <si>
    <t>ZBH US Equity</t>
  </si>
  <si>
    <t>IEP US Equity</t>
  </si>
  <si>
    <t>LXP US Equity</t>
  </si>
  <si>
    <t>3346Q US Equity</t>
  </si>
  <si>
    <t>LEHMQ US Equity</t>
  </si>
  <si>
    <t>FFBC US Equity</t>
  </si>
  <si>
    <t>IBTX US Equity</t>
  </si>
  <si>
    <t>Deal 1381</t>
  </si>
  <si>
    <t>Deal 1382</t>
  </si>
  <si>
    <t>Deal 1383</t>
  </si>
  <si>
    <t>Deal 1384</t>
  </si>
  <si>
    <t>Deal 1385</t>
  </si>
  <si>
    <t>Deal 1386</t>
  </si>
  <si>
    <t>Deal 1387</t>
  </si>
  <si>
    <t>Deal 1388</t>
  </si>
  <si>
    <t>Deal 1389</t>
  </si>
  <si>
    <t>Deal 1390</t>
  </si>
  <si>
    <t>Deal 1391</t>
  </si>
  <si>
    <t>Deal 1392</t>
  </si>
  <si>
    <t>Deal 1393</t>
  </si>
  <si>
    <t>Deal 1394</t>
  </si>
  <si>
    <t>Deal 1395</t>
  </si>
  <si>
    <t>Deal 1396</t>
  </si>
  <si>
    <t>Deal 1397</t>
  </si>
  <si>
    <t>Deal 1398</t>
  </si>
  <si>
    <t>Deal 1399</t>
  </si>
  <si>
    <t>Deal 1400</t>
  </si>
  <si>
    <t>LHCG US Equity</t>
  </si>
  <si>
    <t>EVRI US Equity</t>
  </si>
  <si>
    <t>WDC US Equity</t>
  </si>
  <si>
    <t>SDW US Equity</t>
  </si>
  <si>
    <t>ARGO US Equity</t>
  </si>
  <si>
    <t>IFF US Equity</t>
  </si>
  <si>
    <t>STZ US Equity</t>
  </si>
  <si>
    <t>SITC US Equity</t>
  </si>
  <si>
    <t>9966911D US Equity</t>
  </si>
  <si>
    <t>2297161Q US Equity</t>
  </si>
  <si>
    <t>CNX US Equity</t>
  </si>
  <si>
    <t>TFX US Equity</t>
  </si>
  <si>
    <t>PXP US Equity</t>
  </si>
  <si>
    <t>Deal 1401</t>
  </si>
  <si>
    <t>Deal 1402</t>
  </si>
  <si>
    <t>Deal 1403</t>
  </si>
  <si>
    <t>Deal 1404</t>
  </si>
  <si>
    <t>Deal 1405</t>
  </si>
  <si>
    <t>Deal 1406</t>
  </si>
  <si>
    <t>Deal 1407</t>
  </si>
  <si>
    <t>Deal 1408</t>
  </si>
  <si>
    <t>Deal 1409</t>
  </si>
  <si>
    <t>Deal 1410</t>
  </si>
  <si>
    <t>Deal 1411</t>
  </si>
  <si>
    <t>Deal 1412</t>
  </si>
  <si>
    <t>Deal 1413</t>
  </si>
  <si>
    <t>Deal 1414</t>
  </si>
  <si>
    <t>Deal 1415</t>
  </si>
  <si>
    <t>Deal 1416</t>
  </si>
  <si>
    <t>Deal 1417</t>
  </si>
  <si>
    <t>Deal 1418</t>
  </si>
  <si>
    <t>Deal 1419</t>
  </si>
  <si>
    <t>Deal 1420</t>
  </si>
  <si>
    <t>VYTLQ US Equity</t>
  </si>
  <si>
    <t>CAVM US Equity</t>
  </si>
  <si>
    <t>BATL US Equity</t>
  </si>
  <si>
    <t>ENTG US Equity</t>
  </si>
  <si>
    <t>VLO US Equity</t>
  </si>
  <si>
    <t>VBTX US Equity</t>
  </si>
  <si>
    <t>PF US Equity</t>
  </si>
  <si>
    <t>SCG US Equity</t>
  </si>
  <si>
    <t>DOC US Equity</t>
  </si>
  <si>
    <t>ISIL US Equity</t>
  </si>
  <si>
    <t>PRGNQ US Equity</t>
  </si>
  <si>
    <t>2491Q US Equity</t>
  </si>
  <si>
    <t>1731877D US Equity</t>
  </si>
  <si>
    <t>2150994D US Equity</t>
  </si>
  <si>
    <t>TLAB US Equity</t>
  </si>
  <si>
    <t>2619871D US Equity</t>
  </si>
  <si>
    <t>Deal 1421</t>
  </si>
  <si>
    <t>Deal 1422</t>
  </si>
  <si>
    <t>Deal 1423</t>
  </si>
  <si>
    <t>Deal 1424</t>
  </si>
  <si>
    <t>Deal 1425</t>
  </si>
  <si>
    <t>Deal 1426</t>
  </si>
  <si>
    <t>Deal 1427</t>
  </si>
  <si>
    <t>Deal 1428</t>
  </si>
  <si>
    <t>Deal 1429</t>
  </si>
  <si>
    <t>Deal 1430</t>
  </si>
  <si>
    <t>Deal 1431</t>
  </si>
  <si>
    <t>Deal 1432</t>
  </si>
  <si>
    <t>Deal 1433</t>
  </si>
  <si>
    <t>Deal 1434</t>
  </si>
  <si>
    <t>Deal 1435</t>
  </si>
  <si>
    <t>Deal 1436</t>
  </si>
  <si>
    <t>Deal 1437</t>
  </si>
  <si>
    <t>Deal 1438</t>
  </si>
  <si>
    <t>Deal 1439</t>
  </si>
  <si>
    <t>Deal 1440</t>
  </si>
  <si>
    <t>NTIQ US Equity</t>
  </si>
  <si>
    <t>GENZ US Equity</t>
  </si>
  <si>
    <t>RVBD US Equity</t>
  </si>
  <si>
    <t>HALO US Equity</t>
  </si>
  <si>
    <t>SGI US Equity</t>
  </si>
  <si>
    <t>TTMI US Equity</t>
  </si>
  <si>
    <t>VRNT US Equity</t>
  </si>
  <si>
    <t>UAN US Equity</t>
  </si>
  <si>
    <t>ALL US Equity</t>
  </si>
  <si>
    <t>GBCI US Equity</t>
  </si>
  <si>
    <t>IM US Equity</t>
  </si>
  <si>
    <t>FMER US Equity</t>
  </si>
  <si>
    <t>D US Equity</t>
  </si>
  <si>
    <t>Deal 1441</t>
  </si>
  <si>
    <t>Deal 1442</t>
  </si>
  <si>
    <t>Deal 1443</t>
  </si>
  <si>
    <t>Deal 1444</t>
  </si>
  <si>
    <t>Deal 1445</t>
  </si>
  <si>
    <t>Deal 1446</t>
  </si>
  <si>
    <t>Deal 1447</t>
  </si>
  <si>
    <t>Deal 1448</t>
  </si>
  <si>
    <t>Deal 1449</t>
  </si>
  <si>
    <t>Deal 1450</t>
  </si>
  <si>
    <t>Deal 1451</t>
  </si>
  <si>
    <t>Deal 1452</t>
  </si>
  <si>
    <t>Deal 1453</t>
  </si>
  <si>
    <t>Deal 1454</t>
  </si>
  <si>
    <t>Deal 1455</t>
  </si>
  <si>
    <t>Deal 1456</t>
  </si>
  <si>
    <t>Deal 1457</t>
  </si>
  <si>
    <t>Deal 1458</t>
  </si>
  <si>
    <t>Deal 1459</t>
  </si>
  <si>
    <t>Deal 1460</t>
  </si>
  <si>
    <t>AVNT US Equity</t>
  </si>
  <si>
    <t>GTIV US Equity</t>
  </si>
  <si>
    <t>1545746D US Equity</t>
  </si>
  <si>
    <t>MKL US Equity</t>
  </si>
  <si>
    <t>BPYU US Equity</t>
  </si>
  <si>
    <t>9991735D US Equity</t>
  </si>
  <si>
    <t>AVT US Equity</t>
  </si>
  <si>
    <t>RJF US Equity</t>
  </si>
  <si>
    <t>UNH US Equity</t>
  </si>
  <si>
    <t>1544866D US Equity</t>
  </si>
  <si>
    <t>DGX US Equity</t>
  </si>
  <si>
    <t>SJM US Equity</t>
  </si>
  <si>
    <t>Deal 1461</t>
  </si>
  <si>
    <t>Deal 1462</t>
  </si>
  <si>
    <t>Deal 1463</t>
  </si>
  <si>
    <t>Deal 1464</t>
  </si>
  <si>
    <t>Deal 1465</t>
  </si>
  <si>
    <t>Deal 1466</t>
  </si>
  <si>
    <t>Deal 1467</t>
  </si>
  <si>
    <t>Deal 1468</t>
  </si>
  <si>
    <t>Deal 1469</t>
  </si>
  <si>
    <t>Deal 1470</t>
  </si>
  <si>
    <t>Deal 1471</t>
  </si>
  <si>
    <t>Deal 1472</t>
  </si>
  <si>
    <t>Deal 1473</t>
  </si>
  <si>
    <t>Deal 1474</t>
  </si>
  <si>
    <t>Deal 1475</t>
  </si>
  <si>
    <t>Deal 1476</t>
  </si>
  <si>
    <t>Deal 1477</t>
  </si>
  <si>
    <t>Deal 1478</t>
  </si>
  <si>
    <t>Deal 1479</t>
  </si>
  <si>
    <t>Deal 1480</t>
  </si>
  <si>
    <t>9990721D US Equity</t>
  </si>
  <si>
    <t>SWN US Equity</t>
  </si>
  <si>
    <t>HOMB US Equity</t>
  </si>
  <si>
    <t>SIVBQ US Equity</t>
  </si>
  <si>
    <t>HZNP US Equity</t>
  </si>
  <si>
    <t>EBC US Equity</t>
  </si>
  <si>
    <t>WLTGQ US Equity</t>
  </si>
  <si>
    <t>CVBF US Equity</t>
  </si>
  <si>
    <t>244630Q US Equity</t>
  </si>
  <si>
    <t>PSS US Equity</t>
  </si>
  <si>
    <t>1683997D US Equity</t>
  </si>
  <si>
    <t>EQIX US Equity</t>
  </si>
  <si>
    <t>BMC US Equity</t>
  </si>
  <si>
    <t>4612775Q US Equity</t>
  </si>
  <si>
    <t>ASNAQ US Equity</t>
  </si>
  <si>
    <t>MFIC US Equity</t>
  </si>
  <si>
    <t>ESVNQ US Equity</t>
  </si>
  <si>
    <t>116777Q US Equity</t>
  </si>
  <si>
    <t>Deal 1481</t>
  </si>
  <si>
    <t>Deal 1482</t>
  </si>
  <si>
    <t>Deal 1483</t>
  </si>
  <si>
    <t>Deal 1484</t>
  </si>
  <si>
    <t>Deal 1485</t>
  </si>
  <si>
    <t>Deal 1486</t>
  </si>
  <si>
    <t>Deal 1487</t>
  </si>
  <si>
    <t>Deal 1488</t>
  </si>
  <si>
    <t>Deal 1489</t>
  </si>
  <si>
    <t>Deal 1490</t>
  </si>
  <si>
    <t>Deal 1491</t>
  </si>
  <si>
    <t>Deal 1492</t>
  </si>
  <si>
    <t>Deal 1493</t>
  </si>
  <si>
    <t>Deal 1494</t>
  </si>
  <si>
    <t>Deal 1495</t>
  </si>
  <si>
    <t>Deal 1496</t>
  </si>
  <si>
    <t>Deal 1497</t>
  </si>
  <si>
    <t>Deal 1498</t>
  </si>
  <si>
    <t>Deal 1499</t>
  </si>
  <si>
    <t>Deal 1500</t>
  </si>
  <si>
    <t>NWSA US Equity</t>
  </si>
  <si>
    <t>VMC US Equity</t>
  </si>
  <si>
    <t>PYPL US Equity</t>
  </si>
  <si>
    <t>ARR US Equity</t>
  </si>
  <si>
    <t>CSFL US Equity</t>
  </si>
  <si>
    <t>AIV US Equity</t>
  </si>
  <si>
    <t>MU US Equity</t>
  </si>
  <si>
    <t>DST US Equity</t>
  </si>
  <si>
    <t>MCHP US Equity</t>
  </si>
  <si>
    <t>390297Q US Equity</t>
  </si>
  <si>
    <t>JACK US Equity</t>
  </si>
  <si>
    <t>BEN US Equity</t>
  </si>
  <si>
    <t>Deal 1501</t>
  </si>
  <si>
    <t>Deal 1502</t>
  </si>
  <si>
    <t>Deal 1503</t>
  </si>
  <si>
    <t>Deal 1504</t>
  </si>
  <si>
    <t>Deal 1505</t>
  </si>
  <si>
    <t>Deal 1506</t>
  </si>
  <si>
    <t>Deal 1507</t>
  </si>
  <si>
    <t>Deal 1508</t>
  </si>
  <si>
    <t>Deal 1509</t>
  </si>
  <si>
    <t>Deal 1510</t>
  </si>
  <si>
    <t>Deal 1511</t>
  </si>
  <si>
    <t>Deal 1512</t>
  </si>
  <si>
    <t>Deal 1513</t>
  </si>
  <si>
    <t>Deal 1514</t>
  </si>
  <si>
    <t>Deal 1515</t>
  </si>
  <si>
    <t>Deal 1516</t>
  </si>
  <si>
    <t>Deal 1517</t>
  </si>
  <si>
    <t>Deal 1518</t>
  </si>
  <si>
    <t>Deal 1519</t>
  </si>
  <si>
    <t>Deal 1520</t>
  </si>
  <si>
    <t>SHAW US Equity</t>
  </si>
  <si>
    <t>4936C US Equity</t>
  </si>
  <si>
    <t>540513Q US Equity</t>
  </si>
  <si>
    <t>BIP US Equity</t>
  </si>
  <si>
    <t>9990213D US Equity</t>
  </si>
  <si>
    <t>VLY US Equity</t>
  </si>
  <si>
    <t>SUSQ US Equity</t>
  </si>
  <si>
    <t>DGI US Equity</t>
  </si>
  <si>
    <t>PCP US Equity</t>
  </si>
  <si>
    <t>IP US Equity</t>
  </si>
  <si>
    <t>GIS US Equity</t>
  </si>
  <si>
    <t>WBVNQ US Equity</t>
  </si>
  <si>
    <t>VNRSQ US Equity</t>
  </si>
  <si>
    <t>ATI US Equity</t>
  </si>
  <si>
    <t>SCOR US Equity</t>
  </si>
  <si>
    <t>REVRQ US Equity</t>
  </si>
  <si>
    <t>Deal 1521</t>
  </si>
  <si>
    <t>Deal 1522</t>
  </si>
  <si>
    <t>Deal 1523</t>
  </si>
  <si>
    <t>Deal 1524</t>
  </si>
  <si>
    <t>Deal 1525</t>
  </si>
  <si>
    <t>Deal 1526</t>
  </si>
  <si>
    <t>Deal 1527</t>
  </si>
  <si>
    <t>Deal 1528</t>
  </si>
  <si>
    <t>Deal 1529</t>
  </si>
  <si>
    <t>Deal 1530</t>
  </si>
  <si>
    <t>Deal 1531</t>
  </si>
  <si>
    <t>Deal 1532</t>
  </si>
  <si>
    <t>Deal 1533</t>
  </si>
  <si>
    <t>Deal 1534</t>
  </si>
  <si>
    <t>Deal 1535</t>
  </si>
  <si>
    <t>Deal 1536</t>
  </si>
  <si>
    <t>Deal 1537</t>
  </si>
  <si>
    <t>Deal 1538</t>
  </si>
  <si>
    <t>Deal 1539</t>
  </si>
  <si>
    <t>Deal 1540</t>
  </si>
  <si>
    <t>CG US Equity</t>
  </si>
  <si>
    <t>CAT US Equity</t>
  </si>
  <si>
    <t>ICPXQ US Equity</t>
  </si>
  <si>
    <t>LPT US Equity</t>
  </si>
  <si>
    <t>DK US Equity</t>
  </si>
  <si>
    <t>RVTY US Equity</t>
  </si>
  <si>
    <t>AAIC US Equity</t>
  </si>
  <si>
    <t>PACW US Equity</t>
  </si>
  <si>
    <t>CRXA US Equity</t>
  </si>
  <si>
    <t>SFD US Equity</t>
  </si>
  <si>
    <t>UDR US Equity</t>
  </si>
  <si>
    <t>ICGC US Equity</t>
  </si>
  <si>
    <t>NTLDQ US Equity</t>
  </si>
  <si>
    <t>KR US Equity</t>
  </si>
  <si>
    <t>Deal 1541</t>
  </si>
  <si>
    <t>Deal 1542</t>
  </si>
  <si>
    <t>Deal 1543</t>
  </si>
  <si>
    <t>Deal 1544</t>
  </si>
  <si>
    <t>Deal 1545</t>
  </si>
  <si>
    <t>Deal 1546</t>
  </si>
  <si>
    <t>Deal 1547</t>
  </si>
  <si>
    <t>Deal 1548</t>
  </si>
  <si>
    <t>Deal 1549</t>
  </si>
  <si>
    <t>Deal 1550</t>
  </si>
  <si>
    <t>Deal 1551</t>
  </si>
  <si>
    <t>Deal 1552</t>
  </si>
  <si>
    <t>Deal 1553</t>
  </si>
  <si>
    <t>Deal 1554</t>
  </si>
  <si>
    <t>Deal 1555</t>
  </si>
  <si>
    <t>Deal 1556</t>
  </si>
  <si>
    <t>Deal 1557</t>
  </si>
  <si>
    <t>Deal 1558</t>
  </si>
  <si>
    <t>Deal 1559</t>
  </si>
  <si>
    <t>Deal 1560</t>
  </si>
  <si>
    <t>SNCR US Equity</t>
  </si>
  <si>
    <t>STEL US Equity</t>
  </si>
  <si>
    <t>RRD US Equity</t>
  </si>
  <si>
    <t>KMB US Equity</t>
  </si>
  <si>
    <t>MS US Equity</t>
  </si>
  <si>
    <t>LKQ US Equity</t>
  </si>
  <si>
    <t>TMHC US Equity</t>
  </si>
  <si>
    <t>0876902D US Equity</t>
  </si>
  <si>
    <t>355488Q US Equity</t>
  </si>
  <si>
    <t>ECOL US Equity</t>
  </si>
  <si>
    <t>CIEN US Equity</t>
  </si>
  <si>
    <t>CVIAQ US Equity</t>
  </si>
  <si>
    <t>1284849D US Equity</t>
  </si>
  <si>
    <t>DLX US Equity</t>
  </si>
  <si>
    <t>WBA US Equity</t>
  </si>
  <si>
    <t>Deal 1561</t>
  </si>
  <si>
    <t>Deal 1562</t>
  </si>
  <si>
    <t>Deal 1563</t>
  </si>
  <si>
    <t>Deal 1564</t>
  </si>
  <si>
    <t>Deal 1565</t>
  </si>
  <si>
    <t>Deal 1566</t>
  </si>
  <si>
    <t>Deal 1567</t>
  </si>
  <si>
    <t>Deal 1568</t>
  </si>
  <si>
    <t>Deal 1569</t>
  </si>
  <si>
    <t>Deal 1570</t>
  </si>
  <si>
    <t>Deal 1571</t>
  </si>
  <si>
    <t>Deal 1572</t>
  </si>
  <si>
    <t>Deal 1573</t>
  </si>
  <si>
    <t>Deal 1574</t>
  </si>
  <si>
    <t>Deal 1575</t>
  </si>
  <si>
    <t>Deal 1576</t>
  </si>
  <si>
    <t>Deal 1577</t>
  </si>
  <si>
    <t>Deal 1578</t>
  </si>
  <si>
    <t>Deal 1579</t>
  </si>
  <si>
    <t>Deal 1580</t>
  </si>
  <si>
    <t>ROVI US Equity</t>
  </si>
  <si>
    <t>CTB US Equity</t>
  </si>
  <si>
    <t>6222B US Equity</t>
  </si>
  <si>
    <t>USB US Equity</t>
  </si>
  <si>
    <t>PENN US Equity</t>
  </si>
  <si>
    <t>BIIB US Equity</t>
  </si>
  <si>
    <t>ITRI US Equity</t>
  </si>
  <si>
    <t>PRMW CN Equity</t>
  </si>
  <si>
    <t>NXTL US Equity</t>
  </si>
  <si>
    <t>SHP LN Equity</t>
  </si>
  <si>
    <t>ENS US Equity</t>
  </si>
  <si>
    <t>1918938D US Equity</t>
  </si>
  <si>
    <t>BERY US Equity</t>
  </si>
  <si>
    <t>RTX US Equity</t>
  </si>
  <si>
    <t>Deal 1581</t>
  </si>
  <si>
    <t>Deal 1582</t>
  </si>
  <si>
    <t>Deal 1583</t>
  </si>
  <si>
    <t>Deal 1584</t>
  </si>
  <si>
    <t>Deal 1585</t>
  </si>
  <si>
    <t>Deal 1586</t>
  </si>
  <si>
    <t>Deal 1587</t>
  </si>
  <si>
    <t>Deal 1588</t>
  </si>
  <si>
    <t>Deal 1589</t>
  </si>
  <si>
    <t>Deal 1590</t>
  </si>
  <si>
    <t>Deal 1591</t>
  </si>
  <si>
    <t>Deal 1592</t>
  </si>
  <si>
    <t>Deal 1593</t>
  </si>
  <si>
    <t>Deal 1594</t>
  </si>
  <si>
    <t>Deal 1595</t>
  </si>
  <si>
    <t>Deal 1596</t>
  </si>
  <si>
    <t>Deal 1597</t>
  </si>
  <si>
    <t>Deal 1598</t>
  </si>
  <si>
    <t>Deal 1599</t>
  </si>
  <si>
    <t>Deal 1600</t>
  </si>
  <si>
    <t>EPB US Equity</t>
  </si>
  <si>
    <t>VIAV US Equity</t>
  </si>
  <si>
    <t>HET US Equity</t>
  </si>
  <si>
    <t>1436225D US Equity</t>
  </si>
  <si>
    <t>AAL US Equity</t>
  </si>
  <si>
    <t>3423152Q US Equity</t>
  </si>
  <si>
    <t>VRC US Equity</t>
  </si>
  <si>
    <t>2860436Q US Equity</t>
  </si>
  <si>
    <t>JJZ US Equity</t>
  </si>
  <si>
    <t>2968900Q US Equity</t>
  </si>
  <si>
    <t>EQR US Equity</t>
  </si>
  <si>
    <t>1789494D US Equity</t>
  </si>
  <si>
    <t>STRA US Equity</t>
  </si>
  <si>
    <t>BA US Equity</t>
  </si>
  <si>
    <t>AUB US Equity</t>
  </si>
  <si>
    <t>SRE US Equity</t>
  </si>
  <si>
    <t>Deal 1601</t>
  </si>
  <si>
    <t>Deal 1602</t>
  </si>
  <si>
    <t>Deal 1603</t>
  </si>
  <si>
    <t>Deal 1604</t>
  </si>
  <si>
    <t>Deal 1605</t>
  </si>
  <si>
    <t>Deal 1606</t>
  </si>
  <si>
    <t>Deal 1607</t>
  </si>
  <si>
    <t>Deal 1608</t>
  </si>
  <si>
    <t>Deal 1609</t>
  </si>
  <si>
    <t>Deal 1610</t>
  </si>
  <si>
    <t>Deal 1611</t>
  </si>
  <si>
    <t>Deal 1612</t>
  </si>
  <si>
    <t>Deal 1613</t>
  </si>
  <si>
    <t>Deal 1614</t>
  </si>
  <si>
    <t>Deal 1615</t>
  </si>
  <si>
    <t>Deal 1616</t>
  </si>
  <si>
    <t>Deal 1617</t>
  </si>
  <si>
    <t>Deal 1618</t>
  </si>
  <si>
    <t>Deal 1619</t>
  </si>
  <si>
    <t>Deal 1620</t>
  </si>
  <si>
    <t>PBCT US Equity</t>
  </si>
  <si>
    <t>NEM US Equity</t>
  </si>
  <si>
    <t>FTV US Equity</t>
  </si>
  <si>
    <t>BMY US Equity</t>
  </si>
  <si>
    <t>NFB US Equity</t>
  </si>
  <si>
    <t>ANSS US Equity</t>
  </si>
  <si>
    <t>LFUS US Equity</t>
  </si>
  <si>
    <t>UNTD US Equity</t>
  </si>
  <si>
    <t>2307762D US Equity</t>
  </si>
  <si>
    <t>EQY US Equity</t>
  </si>
  <si>
    <t>1847569D US Equity</t>
  </si>
  <si>
    <t>Deal 1621</t>
  </si>
  <si>
    <t>Deal 1622</t>
  </si>
  <si>
    <t>Deal 1623</t>
  </si>
  <si>
    <t>Deal 1624</t>
  </si>
  <si>
    <t>Deal 1625</t>
  </si>
  <si>
    <t>Deal 1626</t>
  </si>
  <si>
    <t>Deal 1627</t>
  </si>
  <si>
    <t>Deal 1628</t>
  </si>
  <si>
    <t>Deal 1629</t>
  </si>
  <si>
    <t>Deal 1630</t>
  </si>
  <si>
    <t>Deal 1631</t>
  </si>
  <si>
    <t>Deal 1632</t>
  </si>
  <si>
    <t>Deal 1633</t>
  </si>
  <si>
    <t>Deal 1634</t>
  </si>
  <si>
    <t>Deal 1635</t>
  </si>
  <si>
    <t>Deal 1636</t>
  </si>
  <si>
    <t>Deal 1637</t>
  </si>
  <si>
    <t>Deal 1638</t>
  </si>
  <si>
    <t>Deal 1639</t>
  </si>
  <si>
    <t>Deal 1640</t>
  </si>
  <si>
    <t>MWV US Equity</t>
  </si>
  <si>
    <t>2213185D US Equity</t>
  </si>
  <si>
    <t>F US Equity</t>
  </si>
  <si>
    <t>BVSN US Equity</t>
  </si>
  <si>
    <t>KIM US Equity</t>
  </si>
  <si>
    <t>GEN US Equity</t>
  </si>
  <si>
    <t>RSLN US Equity</t>
  </si>
  <si>
    <t>DALRQ US Equity</t>
  </si>
  <si>
    <t>RYN US Equity</t>
  </si>
  <si>
    <t>FRG US Equity</t>
  </si>
  <si>
    <t>SNPS US Equity</t>
  </si>
  <si>
    <t>Deal 1641</t>
  </si>
  <si>
    <t>Deal 1642</t>
  </si>
  <si>
    <t>Deal 1643</t>
  </si>
  <si>
    <t>Deal 1644</t>
  </si>
  <si>
    <t>Deal 1645</t>
  </si>
  <si>
    <t>Deal 1646</t>
  </si>
  <si>
    <t>Deal 1647</t>
  </si>
  <si>
    <t>Deal 1648</t>
  </si>
  <si>
    <t>Deal 1649</t>
  </si>
  <si>
    <t>Deal 1650</t>
  </si>
  <si>
    <t>Deal 1651</t>
  </si>
  <si>
    <t>Deal 1652</t>
  </si>
  <si>
    <t>Deal 1653</t>
  </si>
  <si>
    <t>Deal 1654</t>
  </si>
  <si>
    <t>Deal 1655</t>
  </si>
  <si>
    <t>Deal 1656</t>
  </si>
  <si>
    <t>Deal 1657</t>
  </si>
  <si>
    <t>Deal 1658</t>
  </si>
  <si>
    <t>Deal 1659</t>
  </si>
  <si>
    <t>Deal 1660</t>
  </si>
  <si>
    <t>OSIP US Equity</t>
  </si>
  <si>
    <t>3353984Q US Equity</t>
  </si>
  <si>
    <t>TYG US Equity</t>
  </si>
  <si>
    <t>SPTN US Equity</t>
  </si>
  <si>
    <t>1431816D US Equity</t>
  </si>
  <si>
    <t>GAS US Equity</t>
  </si>
  <si>
    <t>1367809D US Equity</t>
  </si>
  <si>
    <t>EA US Equity</t>
  </si>
  <si>
    <t>GEO US Equity</t>
  </si>
  <si>
    <t>ES US Equity</t>
  </si>
  <si>
    <t>496160Q US Equity</t>
  </si>
  <si>
    <t>AMMD US Equity</t>
  </si>
  <si>
    <t>2674129Q US Equity</t>
  </si>
  <si>
    <t>PNC US Equity</t>
  </si>
  <si>
    <t>Deal 1661</t>
  </si>
  <si>
    <t>Deal 1662</t>
  </si>
  <si>
    <t>Deal 1663</t>
  </si>
  <si>
    <t>Deal 1664</t>
  </si>
  <si>
    <t>Deal 1665</t>
  </si>
  <si>
    <t>Deal 1666</t>
  </si>
  <si>
    <t>Deal 1667</t>
  </si>
  <si>
    <t>Deal 1668</t>
  </si>
  <si>
    <t>Deal 1669</t>
  </si>
  <si>
    <t>Deal 1670</t>
  </si>
  <si>
    <t>Deal 1671</t>
  </si>
  <si>
    <t>Deal 1672</t>
  </si>
  <si>
    <t>Deal 1673</t>
  </si>
  <si>
    <t>Deal 1674</t>
  </si>
  <si>
    <t>Deal 1675</t>
  </si>
  <si>
    <t>Deal 1676</t>
  </si>
  <si>
    <t>Deal 1677</t>
  </si>
  <si>
    <t>Deal 1678</t>
  </si>
  <si>
    <t>Deal 1679</t>
  </si>
  <si>
    <t>Deal 1680</t>
  </si>
  <si>
    <t>CZR US Equity</t>
  </si>
  <si>
    <t>JNPR US Equity</t>
  </si>
  <si>
    <t>CAM US Equity</t>
  </si>
  <si>
    <t>841273Q US Equity</t>
  </si>
  <si>
    <t>LYV US Equity</t>
  </si>
  <si>
    <t>WFM US Equity</t>
  </si>
  <si>
    <t>1013207D US Equity</t>
  </si>
  <si>
    <t>ACCO US Equity</t>
  </si>
  <si>
    <t>WY US Equity</t>
  </si>
  <si>
    <t>GVNTQ US Equity</t>
  </si>
  <si>
    <t>XEL US Equity</t>
  </si>
  <si>
    <t>ISCA US Equity</t>
  </si>
  <si>
    <t>SSP US Equity</t>
  </si>
  <si>
    <t>1676829D US Equity</t>
  </si>
  <si>
    <t>SSB US Equity</t>
  </si>
  <si>
    <t>4621824Q US Equity</t>
  </si>
  <si>
    <t>Deal 1681</t>
  </si>
  <si>
    <t>Deal 1682</t>
  </si>
  <si>
    <t>Deal 1683</t>
  </si>
  <si>
    <t>Deal 1684</t>
  </si>
  <si>
    <t>Deal 1685</t>
  </si>
  <si>
    <t>Deal 1686</t>
  </si>
  <si>
    <t>Deal 1687</t>
  </si>
  <si>
    <t>Deal 1688</t>
  </si>
  <si>
    <t>Deal 1689</t>
  </si>
  <si>
    <t>Deal 1690</t>
  </si>
  <si>
    <t>Deal 1691</t>
  </si>
  <si>
    <t>Deal 1692</t>
  </si>
  <si>
    <t>Deal 1693</t>
  </si>
  <si>
    <t>Deal 1694</t>
  </si>
  <si>
    <t>Deal 1695</t>
  </si>
  <si>
    <t>Deal 1696</t>
  </si>
  <si>
    <t>Deal 1697</t>
  </si>
  <si>
    <t>Deal 1698</t>
  </si>
  <si>
    <t>Deal 1699</t>
  </si>
  <si>
    <t>Deal 1700</t>
  </si>
  <si>
    <t>0554877D US Equity</t>
  </si>
  <si>
    <t>TFCFA US Equity</t>
  </si>
  <si>
    <t>COLB US Equity</t>
  </si>
  <si>
    <t>WHXCQ US Equity</t>
  </si>
  <si>
    <t>HOT US Equity</t>
  </si>
  <si>
    <t>CMOS US Equity</t>
  </si>
  <si>
    <t>PAS US Equity</t>
  </si>
  <si>
    <t>PXD US Equity</t>
  </si>
  <si>
    <t>9980328D US Equity</t>
  </si>
  <si>
    <t>PFS US Equity</t>
  </si>
  <si>
    <t>CDVIQ US Equity</t>
  </si>
  <si>
    <t>CBB US Equity</t>
  </si>
  <si>
    <t>HEW US Equity</t>
  </si>
  <si>
    <t>Deal 1701</t>
  </si>
  <si>
    <t>Deal 1702</t>
  </si>
  <si>
    <t>Deal 1703</t>
  </si>
  <si>
    <t>Deal 1704</t>
  </si>
  <si>
    <t>Deal 1705</t>
  </si>
  <si>
    <t>Deal 1706</t>
  </si>
  <si>
    <t>Deal 1707</t>
  </si>
  <si>
    <t>Deal 1708</t>
  </si>
  <si>
    <t>Deal 1709</t>
  </si>
  <si>
    <t>Deal 1710</t>
  </si>
  <si>
    <t>Deal 1711</t>
  </si>
  <si>
    <t>Deal 1712</t>
  </si>
  <si>
    <t>Deal 1713</t>
  </si>
  <si>
    <t>Deal 1714</t>
  </si>
  <si>
    <t>Deal 1715</t>
  </si>
  <si>
    <t>Deal 1716</t>
  </si>
  <si>
    <t>Deal 1717</t>
  </si>
  <si>
    <t>Deal 1718</t>
  </si>
  <si>
    <t>Deal 1719</t>
  </si>
  <si>
    <t>Deal 1720</t>
  </si>
  <si>
    <t>VSH US Equity</t>
  </si>
  <si>
    <t>EVVV US Equity</t>
  </si>
  <si>
    <t>VTR US Equity</t>
  </si>
  <si>
    <t>VALPQ US Equity</t>
  </si>
  <si>
    <t>ARCC US Equity</t>
  </si>
  <si>
    <t>BBBYQ US Equity</t>
  </si>
  <si>
    <t>1683351D US Equity</t>
  </si>
  <si>
    <t>ONTO US Equity</t>
  </si>
  <si>
    <t>DM US Equity</t>
  </si>
  <si>
    <t>SBUX US Equity</t>
  </si>
  <si>
    <t>DHR US Equity</t>
  </si>
  <si>
    <t>T US Equity</t>
  </si>
  <si>
    <t>Deal 1721</t>
  </si>
  <si>
    <t>Deal 1722</t>
  </si>
  <si>
    <t>Deal 1723</t>
  </si>
  <si>
    <t>Deal 1724</t>
  </si>
  <si>
    <t>Deal 1725</t>
  </si>
  <si>
    <t>Deal 1726</t>
  </si>
  <si>
    <t>Deal 1727</t>
  </si>
  <si>
    <t>Deal 1728</t>
  </si>
  <si>
    <t>Deal 1729</t>
  </si>
  <si>
    <t>Deal 1730</t>
  </si>
  <si>
    <t>Deal 1731</t>
  </si>
  <si>
    <t>Deal 1732</t>
  </si>
  <si>
    <t>Deal 1733</t>
  </si>
  <si>
    <t>Deal 1734</t>
  </si>
  <si>
    <t>Deal 1735</t>
  </si>
  <si>
    <t>Deal 1736</t>
  </si>
  <si>
    <t>Deal 1737</t>
  </si>
  <si>
    <t>Deal 1738</t>
  </si>
  <si>
    <t>Deal 1739</t>
  </si>
  <si>
    <t>Deal 1740</t>
  </si>
  <si>
    <t>78651Q US Equity</t>
  </si>
  <si>
    <t>MBFI US Equity</t>
  </si>
  <si>
    <t>ONEX CN Equity</t>
  </si>
  <si>
    <t>NOV US Equity</t>
  </si>
  <si>
    <t>FCNCA US Equity</t>
  </si>
  <si>
    <t>1981718D US Equity</t>
  </si>
  <si>
    <t>NUE US Equity</t>
  </si>
  <si>
    <t>IVZ US Equity</t>
  </si>
  <si>
    <t>HYMC US Equity</t>
  </si>
  <si>
    <t>PYXSQ US Equity</t>
  </si>
  <si>
    <t>SOGCQ US Equity</t>
  </si>
  <si>
    <t>BZH US Equity</t>
  </si>
  <si>
    <t>Deal 1741</t>
  </si>
  <si>
    <t>Deal 1742</t>
  </si>
  <si>
    <t>Deal 1743</t>
  </si>
  <si>
    <t>Deal 1744</t>
  </si>
  <si>
    <t>Deal 1745</t>
  </si>
  <si>
    <t>Deal 1746</t>
  </si>
  <si>
    <t>Deal 1747</t>
  </si>
  <si>
    <t>Deal 1748</t>
  </si>
  <si>
    <t>Deal 1749</t>
  </si>
  <si>
    <t>Deal 1750</t>
  </si>
  <si>
    <t>Deal 1751</t>
  </si>
  <si>
    <t>Deal 1752</t>
  </si>
  <si>
    <t>Deal 1753</t>
  </si>
  <si>
    <t>Deal 1754</t>
  </si>
  <si>
    <t>Deal 1755</t>
  </si>
  <si>
    <t>Deal 1756</t>
  </si>
  <si>
    <t>Deal 1757</t>
  </si>
  <si>
    <t>Deal 1758</t>
  </si>
  <si>
    <t>Deal 1759</t>
  </si>
  <si>
    <t>Deal 1760</t>
  </si>
  <si>
    <t>IRT US Equity</t>
  </si>
  <si>
    <t>ASB US Equity</t>
  </si>
  <si>
    <t>ARWLQ US Equity</t>
  </si>
  <si>
    <t>1811934D US Equity</t>
  </si>
  <si>
    <t>9993232D US Equity</t>
  </si>
  <si>
    <t>PNP US Equity</t>
  </si>
  <si>
    <t>HON US Equity</t>
  </si>
  <si>
    <t>FBK US Equity</t>
  </si>
  <si>
    <t>URS US Equity</t>
  </si>
  <si>
    <t>INVCORP BI Equity</t>
  </si>
  <si>
    <t>BBY US Equity</t>
  </si>
  <si>
    <t>Deal 1761</t>
  </si>
  <si>
    <t>Deal 1762</t>
  </si>
  <si>
    <t>Deal 1763</t>
  </si>
  <si>
    <t>Deal 1764</t>
  </si>
  <si>
    <t>Deal 1765</t>
  </si>
  <si>
    <t>Deal 1766</t>
  </si>
  <si>
    <t>Deal 1767</t>
  </si>
  <si>
    <t>Deal 1768</t>
  </si>
  <si>
    <t>Deal 1769</t>
  </si>
  <si>
    <t>Deal 1770</t>
  </si>
  <si>
    <t>Deal 1771</t>
  </si>
  <si>
    <t>Deal 1772</t>
  </si>
  <si>
    <t>Deal 1773</t>
  </si>
  <si>
    <t>Deal 1774</t>
  </si>
  <si>
    <t>Deal 1775</t>
  </si>
  <si>
    <t>Deal 1776</t>
  </si>
  <si>
    <t>Deal 1777</t>
  </si>
  <si>
    <t>Deal 1778</t>
  </si>
  <si>
    <t>Deal 1779</t>
  </si>
  <si>
    <t>Deal 1780</t>
  </si>
  <si>
    <t>OHI US Equity</t>
  </si>
  <si>
    <t>STCN US Equity</t>
  </si>
  <si>
    <t>FDC US Equity</t>
  </si>
  <si>
    <t>NES US Equity</t>
  </si>
  <si>
    <t>COHU US Equity</t>
  </si>
  <si>
    <t>MATW US Equity</t>
  </si>
  <si>
    <t>RAMP US Equity</t>
  </si>
  <si>
    <t>NFX US Equity</t>
  </si>
  <si>
    <t>AROC US Equity</t>
  </si>
  <si>
    <t>SHEN US Equity</t>
  </si>
  <si>
    <t>NAL US Equity</t>
  </si>
  <si>
    <t>PSA US Equity</t>
  </si>
  <si>
    <t>IPG US Equity</t>
  </si>
  <si>
    <t>710946Q US Equity</t>
  </si>
  <si>
    <t>Deal 1781</t>
  </si>
  <si>
    <t>Deal 1782</t>
  </si>
  <si>
    <t>Deal 1783</t>
  </si>
  <si>
    <t>Deal 1784</t>
  </si>
  <si>
    <t>Deal 1785</t>
  </si>
  <si>
    <t>Deal 1786</t>
  </si>
  <si>
    <t>Deal 1787</t>
  </si>
  <si>
    <t>Deal 1788</t>
  </si>
  <si>
    <t>Deal 1789</t>
  </si>
  <si>
    <t>Deal 1790</t>
  </si>
  <si>
    <t>Deal 1791</t>
  </si>
  <si>
    <t>Deal 1792</t>
  </si>
  <si>
    <t>Deal 1793</t>
  </si>
  <si>
    <t>Deal 1794</t>
  </si>
  <si>
    <t>Deal 1795</t>
  </si>
  <si>
    <t>Deal 1796</t>
  </si>
  <si>
    <t>Deal 1797</t>
  </si>
  <si>
    <t>Deal 1798</t>
  </si>
  <si>
    <t>Deal 1799</t>
  </si>
  <si>
    <t>Deal 1800</t>
  </si>
  <si>
    <t>SGID US Equity</t>
  </si>
  <si>
    <t>LNG US Equity</t>
  </si>
  <si>
    <t>CRS US Equity</t>
  </si>
  <si>
    <t>HBI US Equity</t>
  </si>
  <si>
    <t>NSIT US Equity</t>
  </si>
  <si>
    <t>RDN US Equity</t>
  </si>
  <si>
    <t>MTSI US Equity</t>
  </si>
  <si>
    <t>769050Q US Equity</t>
  </si>
  <si>
    <t>KEY US Equity</t>
  </si>
  <si>
    <t>EHC US Equity</t>
  </si>
  <si>
    <t>RAZF US Equity</t>
  </si>
  <si>
    <t>BGRP US Equity</t>
  </si>
  <si>
    <t>MAN US Equity</t>
  </si>
  <si>
    <t>CBST US Equity</t>
  </si>
  <si>
    <t>Deal 1801</t>
  </si>
  <si>
    <t>Deal 1802</t>
  </si>
  <si>
    <t>Deal 1803</t>
  </si>
  <si>
    <t>Deal 1804</t>
  </si>
  <si>
    <t>Deal 1805</t>
  </si>
  <si>
    <t>Deal 1806</t>
  </si>
  <si>
    <t>Deal 1807</t>
  </si>
  <si>
    <t>Deal 1808</t>
  </si>
  <si>
    <t>Deal 1809</t>
  </si>
  <si>
    <t>Deal 1810</t>
  </si>
  <si>
    <t>Deal 1811</t>
  </si>
  <si>
    <t>Deal 1812</t>
  </si>
  <si>
    <t>Deal 1813</t>
  </si>
  <si>
    <t>Deal 1814</t>
  </si>
  <si>
    <t>Deal 1815</t>
  </si>
  <si>
    <t>Deal 1816</t>
  </si>
  <si>
    <t>Deal 1817</t>
  </si>
  <si>
    <t>Deal 1818</t>
  </si>
  <si>
    <t>Deal 1819</t>
  </si>
  <si>
    <t>Deal 1820</t>
  </si>
  <si>
    <t>HBAN US Equity</t>
  </si>
  <si>
    <t>ROCC US Equity</t>
  </si>
  <si>
    <t>3539245Q US Equity</t>
  </si>
  <si>
    <t>NOC US Equity</t>
  </si>
  <si>
    <t>MATX US Equity</t>
  </si>
  <si>
    <t>PAET US Equity</t>
  </si>
  <si>
    <t>285939Q US Equity</t>
  </si>
  <si>
    <t>CSGP US Equity</t>
  </si>
  <si>
    <t>1552309D US Equity</t>
  </si>
  <si>
    <t>BBDC US Equity</t>
  </si>
  <si>
    <t>ANDW US Equity</t>
  </si>
  <si>
    <t>BRL US Equity</t>
  </si>
  <si>
    <t>Deal 1821</t>
  </si>
  <si>
    <t>Deal 1822</t>
  </si>
  <si>
    <t>Deal 1823</t>
  </si>
  <si>
    <t>Deal 1824</t>
  </si>
  <si>
    <t>Deal 1825</t>
  </si>
  <si>
    <t>Deal 1826</t>
  </si>
  <si>
    <t>Deal 1827</t>
  </si>
  <si>
    <t>Deal 1828</t>
  </si>
  <si>
    <t>Deal 1829</t>
  </si>
  <si>
    <t>Deal 1830</t>
  </si>
  <si>
    <t>Deal 1831</t>
  </si>
  <si>
    <t>Deal 1832</t>
  </si>
  <si>
    <t>Deal 1833</t>
  </si>
  <si>
    <t>Deal 1834</t>
  </si>
  <si>
    <t>Deal 1835</t>
  </si>
  <si>
    <t>Deal 1836</t>
  </si>
  <si>
    <t>Deal 1837</t>
  </si>
  <si>
    <t>Deal 1838</t>
  </si>
  <si>
    <t>Deal 1839</t>
  </si>
  <si>
    <t>Deal 1840</t>
  </si>
  <si>
    <t>SFNC US Equity</t>
  </si>
  <si>
    <t>2987536Q US Equity</t>
  </si>
  <si>
    <t>AKBA US Equity</t>
  </si>
  <si>
    <t>WACGQ US Equity</t>
  </si>
  <si>
    <t>FBIN US Equity</t>
  </si>
  <si>
    <t>HUM US Equity</t>
  </si>
  <si>
    <t>764144Q US Equity</t>
  </si>
  <si>
    <t>ETRN US Equity</t>
  </si>
  <si>
    <t>HYSL US Equity</t>
  </si>
  <si>
    <t>0167866D US Equity</t>
  </si>
  <si>
    <t>1938073D US Equity</t>
  </si>
  <si>
    <t>KYPH US Equity</t>
  </si>
  <si>
    <t>3691661Q US Equity</t>
  </si>
  <si>
    <t>Deal 1841</t>
  </si>
  <si>
    <t>Deal 1842</t>
  </si>
  <si>
    <t>Deal 1843</t>
  </si>
  <si>
    <t>Deal 1844</t>
  </si>
  <si>
    <t>Deal 1845</t>
  </si>
  <si>
    <t>Deal 1846</t>
  </si>
  <si>
    <t>Deal 1847</t>
  </si>
  <si>
    <t>Deal 1848</t>
  </si>
  <si>
    <t>Deal 1849</t>
  </si>
  <si>
    <t>Deal 1850</t>
  </si>
  <si>
    <t>Deal 1851</t>
  </si>
  <si>
    <t>Deal 1852</t>
  </si>
  <si>
    <t>Deal 1853</t>
  </si>
  <si>
    <t>Deal 1854</t>
  </si>
  <si>
    <t>Deal 1855</t>
  </si>
  <si>
    <t>Deal 1856</t>
  </si>
  <si>
    <t>Deal 1857</t>
  </si>
  <si>
    <t>Deal 1858</t>
  </si>
  <si>
    <t>Deal 1859</t>
  </si>
  <si>
    <t>Deal 1860</t>
  </si>
  <si>
    <t>FIBK US Equity</t>
  </si>
  <si>
    <t>MGM US Equity</t>
  </si>
  <si>
    <t>SF US Equity</t>
  </si>
  <si>
    <t>UCB US Equity</t>
  </si>
  <si>
    <t>MXO US Equity</t>
  </si>
  <si>
    <t>VECO US Equity</t>
  </si>
  <si>
    <t>MDRIQ US Equity</t>
  </si>
  <si>
    <t>ACORQ US Equity</t>
  </si>
  <si>
    <t>2924917Q US Equity</t>
  </si>
  <si>
    <t>VFC US Equity</t>
  </si>
  <si>
    <t>1608941D US Equity</t>
  </si>
  <si>
    <t>1528159D US Equity</t>
  </si>
  <si>
    <t>QMCO US Equity</t>
  </si>
  <si>
    <t>ACIW US Equity</t>
  </si>
  <si>
    <t>Deal 1861</t>
  </si>
  <si>
    <t>Deal 1862</t>
  </si>
  <si>
    <t>Deal 1863</t>
  </si>
  <si>
    <t>Deal 1864</t>
  </si>
  <si>
    <t>Deal 1865</t>
  </si>
  <si>
    <t>Deal 1866</t>
  </si>
  <si>
    <t>Deal 1867</t>
  </si>
  <si>
    <t>Deal 1868</t>
  </si>
  <si>
    <t>Deal 1869</t>
  </si>
  <si>
    <t>Deal 1870</t>
  </si>
  <si>
    <t>Deal 1871</t>
  </si>
  <si>
    <t>Deal 1872</t>
  </si>
  <si>
    <t>Deal 1873</t>
  </si>
  <si>
    <t>Deal 1874</t>
  </si>
  <si>
    <t>Deal 1875</t>
  </si>
  <si>
    <t>Deal 1876</t>
  </si>
  <si>
    <t>Deal 1877</t>
  </si>
  <si>
    <t>Deal 1878</t>
  </si>
  <si>
    <t>Deal 1879</t>
  </si>
  <si>
    <t>Deal 1880</t>
  </si>
  <si>
    <t>8285461Q US Equity</t>
  </si>
  <si>
    <t>AZA US Equity</t>
  </si>
  <si>
    <t>STL US Equity</t>
  </si>
  <si>
    <t>0700161D US Equity</t>
  </si>
  <si>
    <t>1350017D US Equity</t>
  </si>
  <si>
    <t>GMRRQ US Equity</t>
  </si>
  <si>
    <t>EMN US Equity</t>
  </si>
  <si>
    <t>GTN US Equity</t>
  </si>
  <si>
    <t>MCLDQ US Equity</t>
  </si>
  <si>
    <t>1004Q US Equity</t>
  </si>
  <si>
    <t>WSBC US Equity</t>
  </si>
  <si>
    <t>COLL US Equity</t>
  </si>
  <si>
    <t>ARCH US Equity</t>
  </si>
  <si>
    <t>Deal 1881</t>
  </si>
  <si>
    <t>Deal 1882</t>
  </si>
  <si>
    <t>Deal 1883</t>
  </si>
  <si>
    <t>Deal 1884</t>
  </si>
  <si>
    <t>Deal 1885</t>
  </si>
  <si>
    <t>Deal 1886</t>
  </si>
  <si>
    <t>Deal 1887</t>
  </si>
  <si>
    <t>Deal 1888</t>
  </si>
  <si>
    <t>Deal 1889</t>
  </si>
  <si>
    <t>Deal 1890</t>
  </si>
  <si>
    <t>Deal 1891</t>
  </si>
  <si>
    <t>Deal 1892</t>
  </si>
  <si>
    <t>Deal 1893</t>
  </si>
  <si>
    <t>Deal 1894</t>
  </si>
  <si>
    <t>Deal 1895</t>
  </si>
  <si>
    <t>Deal 1896</t>
  </si>
  <si>
    <t>Deal 1897</t>
  </si>
  <si>
    <t>Deal 1898</t>
  </si>
  <si>
    <t>Deal 1899</t>
  </si>
  <si>
    <t>Deal 1900</t>
  </si>
  <si>
    <t>PH US Equity</t>
  </si>
  <si>
    <t>OZK US Equity</t>
  </si>
  <si>
    <t>CLW US Equity</t>
  </si>
  <si>
    <t>2269312Q US Equity</t>
  </si>
  <si>
    <t>AKRXQ US Equity</t>
  </si>
  <si>
    <t>TLB US Equity</t>
  </si>
  <si>
    <t>RTN US Equity</t>
  </si>
  <si>
    <t>WAB US Equity</t>
  </si>
  <si>
    <t>BVS US Equity</t>
  </si>
  <si>
    <t>GVA US Equity</t>
  </si>
  <si>
    <t>KPSQ US Equity</t>
  </si>
  <si>
    <t>Deal 1901</t>
  </si>
  <si>
    <t>Deal 1902</t>
  </si>
  <si>
    <t>Deal 1903</t>
  </si>
  <si>
    <t>Deal 1904</t>
  </si>
  <si>
    <t>Deal 1905</t>
  </si>
  <si>
    <t>Deal 1906</t>
  </si>
  <si>
    <t>Deal 1907</t>
  </si>
  <si>
    <t>Deal 1908</t>
  </si>
  <si>
    <t>Deal 1909</t>
  </si>
  <si>
    <t>Deal 1910</t>
  </si>
  <si>
    <t>Deal 1911</t>
  </si>
  <si>
    <t>Deal 1912</t>
  </si>
  <si>
    <t>Deal 1913</t>
  </si>
  <si>
    <t>Deal 1914</t>
  </si>
  <si>
    <t>Deal 1915</t>
  </si>
  <si>
    <t>Deal 1916</t>
  </si>
  <si>
    <t>Deal 1917</t>
  </si>
  <si>
    <t>Deal 1918</t>
  </si>
  <si>
    <t>Deal 1919</t>
  </si>
  <si>
    <t>Deal 1920</t>
  </si>
  <si>
    <t>AMPY US Equity</t>
  </si>
  <si>
    <t>USWB US Equity</t>
  </si>
  <si>
    <t>SUG US Equity</t>
  </si>
  <si>
    <t>ILMN US Equity</t>
  </si>
  <si>
    <t>DCOM US Equity</t>
  </si>
  <si>
    <t>DGIT US Equity</t>
  </si>
  <si>
    <t>JMXIE US Equity</t>
  </si>
  <si>
    <t>OCFC US Equity</t>
  </si>
  <si>
    <t>838852Q US Equity</t>
  </si>
  <si>
    <t>PFC US Equity</t>
  </si>
  <si>
    <t>Deal 1921</t>
  </si>
  <si>
    <t>Deal 1922</t>
  </si>
  <si>
    <t>Deal 1923</t>
  </si>
  <si>
    <t>Deal 1924</t>
  </si>
  <si>
    <t>Deal 1925</t>
  </si>
  <si>
    <t>Deal 1926</t>
  </si>
  <si>
    <t>Deal 1927</t>
  </si>
  <si>
    <t>Deal 1928</t>
  </si>
  <si>
    <t>Deal 1929</t>
  </si>
  <si>
    <t>Deal 1930</t>
  </si>
  <si>
    <t>Deal 1931</t>
  </si>
  <si>
    <t>Deal 1932</t>
  </si>
  <si>
    <t>Deal 1933</t>
  </si>
  <si>
    <t>Deal 1934</t>
  </si>
  <si>
    <t>Deal 1935</t>
  </si>
  <si>
    <t>Deal 1936</t>
  </si>
  <si>
    <t>Deal 1937</t>
  </si>
  <si>
    <t>Deal 1938</t>
  </si>
  <si>
    <t>Deal 1939</t>
  </si>
  <si>
    <t>Deal 1940</t>
  </si>
  <si>
    <t>MDU US Equity</t>
  </si>
  <si>
    <t>CTAS US Equity</t>
  </si>
  <si>
    <t>DRRAQ US Equity</t>
  </si>
  <si>
    <t>GKOS US Equity</t>
  </si>
  <si>
    <t>SEBL US Equity</t>
  </si>
  <si>
    <t>DRS US Equity</t>
  </si>
  <si>
    <t>1041267D US Equity</t>
  </si>
  <si>
    <t>NPBC US Equity</t>
  </si>
  <si>
    <t>1556464D US Equity</t>
  </si>
  <si>
    <t>ONB US Equity</t>
  </si>
  <si>
    <t>1255459D US Equity</t>
  </si>
  <si>
    <t>OCSL US Equity</t>
  </si>
  <si>
    <t>1920486D US Equity</t>
  </si>
  <si>
    <t>Deal 1941</t>
  </si>
  <si>
    <t>Deal 1942</t>
  </si>
  <si>
    <t>Deal 1943</t>
  </si>
  <si>
    <t>Deal 1944</t>
  </si>
  <si>
    <t>Deal 1945</t>
  </si>
  <si>
    <t>Deal 1946</t>
  </si>
  <si>
    <t>Deal 1947</t>
  </si>
  <si>
    <t>Deal 1948</t>
  </si>
  <si>
    <t>Deal 1949</t>
  </si>
  <si>
    <t>Deal 1950</t>
  </si>
  <si>
    <t>Deal 1951</t>
  </si>
  <si>
    <t>Deal 1952</t>
  </si>
  <si>
    <t>Deal 1953</t>
  </si>
  <si>
    <t>Deal 1954</t>
  </si>
  <si>
    <t>Deal 1955</t>
  </si>
  <si>
    <t>Deal 1956</t>
  </si>
  <si>
    <t>Deal 1957</t>
  </si>
  <si>
    <t>Deal 1958</t>
  </si>
  <si>
    <t>Deal 1959</t>
  </si>
  <si>
    <t>Deal 1960</t>
  </si>
  <si>
    <t>TNB US Equity</t>
  </si>
  <si>
    <t>CADE US Equity</t>
  </si>
  <si>
    <t>SO US Equity</t>
  </si>
  <si>
    <t>CYBS US Equity</t>
  </si>
  <si>
    <t>PHS US Equity</t>
  </si>
  <si>
    <t>GZBX US Equity</t>
  </si>
  <si>
    <t>SASR US Equity</t>
  </si>
  <si>
    <t>OSGIQ US Equity</t>
  </si>
  <si>
    <t>WTRG US Equity</t>
  </si>
  <si>
    <t>CVX US Equity</t>
  </si>
  <si>
    <t>RRC US Equity</t>
  </si>
  <si>
    <t>1519128D US Equity</t>
  </si>
  <si>
    <t>TEX US Equity</t>
  </si>
  <si>
    <t>WTTR US Equity</t>
  </si>
  <si>
    <t>Deal 1961</t>
  </si>
  <si>
    <t>Deal 1962</t>
  </si>
  <si>
    <t>Deal 1963</t>
  </si>
  <si>
    <t>Deal 1964</t>
  </si>
  <si>
    <t>Deal 1965</t>
  </si>
  <si>
    <t>Deal 1966</t>
  </si>
  <si>
    <t>Deal 1967</t>
  </si>
  <si>
    <t>Deal 1968</t>
  </si>
  <si>
    <t>Deal 1969</t>
  </si>
  <si>
    <t>Deal 1970</t>
  </si>
  <si>
    <t>Deal 1971</t>
  </si>
  <si>
    <t>Deal 1972</t>
  </si>
  <si>
    <t>Deal 1973</t>
  </si>
  <si>
    <t>Deal 1974</t>
  </si>
  <si>
    <t>Deal 1975</t>
  </si>
  <si>
    <t>Deal 1976</t>
  </si>
  <si>
    <t>Deal 1977</t>
  </si>
  <si>
    <t>Deal 1978</t>
  </si>
  <si>
    <t>Deal 1979</t>
  </si>
  <si>
    <t>Deal 1980</t>
  </si>
  <si>
    <t>ABBV US Equity</t>
  </si>
  <si>
    <t>3493202Q US Equity</t>
  </si>
  <si>
    <t>NIC US Equity</t>
  </si>
  <si>
    <t>FBRT US Equity</t>
  </si>
  <si>
    <t>FGHLQ US Equity</t>
  </si>
  <si>
    <t>CHZ US Equity</t>
  </si>
  <si>
    <t>2326248D US Equity</t>
  </si>
  <si>
    <t>YUM US Equity</t>
  </si>
  <si>
    <t>1504558D US Equity</t>
  </si>
  <si>
    <t>MRO US Equity</t>
  </si>
  <si>
    <t>CATY US Equity</t>
  </si>
  <si>
    <t>MXL US Equity</t>
  </si>
  <si>
    <t>Deal 1981</t>
  </si>
  <si>
    <t>Deal 1982</t>
  </si>
  <si>
    <t>Deal 1983</t>
  </si>
  <si>
    <t>Deal 1984</t>
  </si>
  <si>
    <t>Deal 1985</t>
  </si>
  <si>
    <t>Deal 1986</t>
  </si>
  <si>
    <t>Deal 1987</t>
  </si>
  <si>
    <t>Deal 1988</t>
  </si>
  <si>
    <t>Deal 1989</t>
  </si>
  <si>
    <t>Deal 1990</t>
  </si>
  <si>
    <t>Deal 1991</t>
  </si>
  <si>
    <t>Deal 1992</t>
  </si>
  <si>
    <t>Deal 1993</t>
  </si>
  <si>
    <t>Deal 1994</t>
  </si>
  <si>
    <t>Deal 1995</t>
  </si>
  <si>
    <t>Deal 1996</t>
  </si>
  <si>
    <t>Deal 1997</t>
  </si>
  <si>
    <t>Deal 1998</t>
  </si>
  <si>
    <t>Deal 1999</t>
  </si>
  <si>
    <t>Deal 2000</t>
  </si>
  <si>
    <t>ISBC US Equity</t>
  </si>
  <si>
    <t>CNA US Equity</t>
  </si>
  <si>
    <t>1885525D US Equity</t>
  </si>
  <si>
    <t>ENV US Equity</t>
  </si>
  <si>
    <t>IONS US Equity</t>
  </si>
  <si>
    <t>DBI US Equity</t>
  </si>
  <si>
    <t>LNTH US Equity</t>
  </si>
  <si>
    <t>1448021D US Equity</t>
  </si>
  <si>
    <t>ATHMQ US Equity</t>
  </si>
  <si>
    <t>ADP US Equity</t>
  </si>
  <si>
    <t>GRBEQ US Equity</t>
  </si>
  <si>
    <t>Q3</t>
  </si>
  <si>
    <t>2023Q3 CF (AKU CN)</t>
  </si>
  <si>
    <t>Akumin Inc</t>
  </si>
  <si>
    <t>A</t>
  </si>
  <si>
    <t>2024A CF (WTTR US)</t>
  </si>
  <si>
    <t>Killam Oil Co Ltd</t>
  </si>
  <si>
    <t>0752392D US Equity</t>
  </si>
  <si>
    <t>Northeast Natural Energy LLC</t>
  </si>
  <si>
    <t>0820329D US Equity</t>
  </si>
  <si>
    <t>Bayswater Exploration &amp; Production LLC</t>
  </si>
  <si>
    <t>1480650D US Equity</t>
  </si>
  <si>
    <t>2025Q3 CF (WTTR US)</t>
  </si>
  <si>
    <t>Ascent Resources LLC</t>
  </si>
  <si>
    <t>2137259D US Equity</t>
  </si>
  <si>
    <t>2024Q3 CF (WTTR US)</t>
  </si>
  <si>
    <t>Avant Natural Resources LLC</t>
  </si>
  <si>
    <t>MAPI IJ Equity</t>
  </si>
  <si>
    <t>2023A CF (MAPI IJ)</t>
  </si>
  <si>
    <t>Mitra Adiperkasa Tbk PT</t>
  </si>
  <si>
    <t>AAPL US Equity</t>
  </si>
  <si>
    <t>Q2</t>
  </si>
  <si>
    <t>2024Q2 CF (MTCH US)</t>
  </si>
  <si>
    <t>Apple Inc</t>
  </si>
  <si>
    <t>Alphabet Inc</t>
  </si>
  <si>
    <t>IAC US Equity</t>
  </si>
  <si>
    <t>2022Q3 CF (MTCH US)</t>
  </si>
  <si>
    <t>IAC Inc</t>
  </si>
  <si>
    <t>SGA</t>
  </si>
  <si>
    <t>2024A CF (VTR US)</t>
  </si>
  <si>
    <t>Brookdale Senior Living Inc</t>
  </si>
  <si>
    <t>APO US Equity</t>
  </si>
  <si>
    <t>Apollo Global Management Inc</t>
  </si>
  <si>
    <t>ARDT US Equity</t>
  </si>
  <si>
    <t>Ardent Health Inc</t>
  </si>
  <si>
    <t>Company News (CE US)</t>
  </si>
  <si>
    <t>Celanese Corp</t>
  </si>
  <si>
    <t>CMCSA US Equity</t>
  </si>
  <si>
    <t>2024A CF (GTN US)</t>
  </si>
  <si>
    <t>Comcast Corp</t>
  </si>
  <si>
    <t>FOXA US Equity</t>
  </si>
  <si>
    <t>Fox Corp</t>
  </si>
  <si>
    <t>DIS US Equity</t>
  </si>
  <si>
    <t>Walt Disney Co/The</t>
  </si>
  <si>
    <t>2412 TT Equity</t>
  </si>
  <si>
    <t>COGS</t>
  </si>
  <si>
    <t>Estimate (2412 TT)</t>
  </si>
  <si>
    <t>Chunghwa Telecom Co Ltd</t>
  </si>
  <si>
    <t>005930 KS Equity</t>
  </si>
  <si>
    <t>2023A CF (GTN US)</t>
  </si>
  <si>
    <t>Samsung Electronics Co Ltd</t>
  </si>
  <si>
    <t>0219250Z US Equity</t>
  </si>
  <si>
    <t>2023Q3 CF (HOLX US)</t>
  </si>
  <si>
    <t>United States Department of Veterans Affairs</t>
  </si>
  <si>
    <t>0219682Z US Equity</t>
  </si>
  <si>
    <t>United States Department of Defense</t>
  </si>
  <si>
    <t>303810 KS Equity</t>
  </si>
  <si>
    <t>C3</t>
  </si>
  <si>
    <t>2024C3 CF (303810 KS)</t>
  </si>
  <si>
    <t>Dongkook Life Science Co Ltd</t>
  </si>
  <si>
    <t>3352Z US Equity</t>
  </si>
  <si>
    <t>2023Q2 CF (HOLX US)</t>
  </si>
  <si>
    <t>United States of America</t>
  </si>
  <si>
    <t>603658 CH Equity</t>
  </si>
  <si>
    <t>S1</t>
  </si>
  <si>
    <t>2022S1 CF (603658 CH)</t>
  </si>
  <si>
    <t>Autobio Diagnostics Co Ltd</t>
  </si>
  <si>
    <t>2454 TT Equity</t>
  </si>
  <si>
    <t>Q1</t>
  </si>
  <si>
    <t>Estimate (2454 TT)</t>
  </si>
  <si>
    <t>MediaTek Inc</t>
  </si>
  <si>
    <t>Estimate (CAT US)</t>
  </si>
  <si>
    <t>Caterpillar Inc</t>
  </si>
  <si>
    <t>ARW US Equity</t>
  </si>
  <si>
    <t>Estimate (ARW US)</t>
  </si>
  <si>
    <t>Arrow Electronics Inc</t>
  </si>
  <si>
    <t>000990 KS Equity</t>
  </si>
  <si>
    <t>Estimate (000990 KS)</t>
  </si>
  <si>
    <t>DB HiTek Co Ltd</t>
  </si>
  <si>
    <t>CAPEX</t>
  </si>
  <si>
    <t>Estimate (UPS US)</t>
  </si>
  <si>
    <t>United Parcel Service Inc</t>
  </si>
  <si>
    <t>2022A CF (ARCH US)</t>
  </si>
  <si>
    <t>Hyundai Steel Co</t>
  </si>
  <si>
    <t>1087605D SP Equity</t>
  </si>
  <si>
    <t>Jera Global Markets Pte Ltd</t>
  </si>
  <si>
    <t>5411 JP Equity</t>
  </si>
  <si>
    <t>2023A CF (ARCH US)</t>
  </si>
  <si>
    <t>JFE Holdings Inc</t>
  </si>
  <si>
    <t>Southern Co/The</t>
  </si>
  <si>
    <t>TATA IN Equity</t>
  </si>
  <si>
    <t>Tata Steel Ltd</t>
  </si>
  <si>
    <t>TSCO LN Equity</t>
  </si>
  <si>
    <t>Estimate (TSCO LN)</t>
  </si>
  <si>
    <t>Tesco PLC</t>
  </si>
  <si>
    <t>2023A CF (MATW US)</t>
  </si>
  <si>
    <t>0852591D LX Equity</t>
  </si>
  <si>
    <t>Ferrero International SA</t>
  </si>
  <si>
    <t>1041068Z US Equity</t>
  </si>
  <si>
    <t>Sheetz Inc</t>
  </si>
  <si>
    <t>1289210Z NA Equity</t>
  </si>
  <si>
    <t>2022Q2 CF (MATW US)</t>
  </si>
  <si>
    <t>Norgine BV</t>
  </si>
  <si>
    <t>HWM US Equity</t>
  </si>
  <si>
    <t>Q4</t>
  </si>
  <si>
    <t>Estimate (CRS US)</t>
  </si>
  <si>
    <t>Howmet Aerospace Inc</t>
  </si>
  <si>
    <t>RTX Corp</t>
  </si>
  <si>
    <t>Berkshire Hathaway Inc</t>
  </si>
  <si>
    <t>General Electric Co</t>
  </si>
  <si>
    <t>Boeing Co/The</t>
  </si>
  <si>
    <t>2025C3 CF (081660 KS)</t>
  </si>
  <si>
    <t>Misto Holdings Corp</t>
  </si>
  <si>
    <t>COST US Equity</t>
  </si>
  <si>
    <t>2024Q2 CF (COST US)</t>
  </si>
  <si>
    <t>Costco Wholesale Corp</t>
  </si>
  <si>
    <t>GIII US Equity</t>
  </si>
  <si>
    <t>2026Q3 CF (GIII US)</t>
  </si>
  <si>
    <t>G-III Apparel Group Ltd</t>
  </si>
  <si>
    <t>VULC3 BZ Equity</t>
  </si>
  <si>
    <t>2022A CF (VULC3 BZ)</t>
  </si>
  <si>
    <t>Vulcabras SA</t>
  </si>
  <si>
    <t>2025A CF (HPQ US)</t>
  </si>
  <si>
    <t>TD SYNNEX Corp</t>
  </si>
  <si>
    <t>Estimate (BBY US)</t>
  </si>
  <si>
    <t>Best Buy Co Inc</t>
  </si>
  <si>
    <t>941 HK Equity</t>
  </si>
  <si>
    <t>Estimate (941 HK)</t>
  </si>
  <si>
    <t>China Mobile Ltd</t>
  </si>
  <si>
    <t>CDW US Equity</t>
  </si>
  <si>
    <t>Estimate (CDW US)</t>
  </si>
  <si>
    <t>CDW Corp/DE</t>
  </si>
  <si>
    <t>CCC LN Equity</t>
  </si>
  <si>
    <t>Estimate (CCC LN)</t>
  </si>
  <si>
    <t>Computacenter PLC</t>
  </si>
  <si>
    <t>2025A CF (GE US)</t>
  </si>
  <si>
    <t>Estimate (GE US)</t>
  </si>
  <si>
    <t>AIR FP Equity</t>
  </si>
  <si>
    <t>Airbus SE</t>
  </si>
  <si>
    <t>UAL US Equity</t>
  </si>
  <si>
    <t>United Airlines Holdings Inc</t>
  </si>
  <si>
    <t>American Airlines Group Inc</t>
  </si>
  <si>
    <t>Estimate (ORCL US)</t>
  </si>
  <si>
    <t>Accenture PLC</t>
  </si>
  <si>
    <t>AMZN US Equity</t>
  </si>
  <si>
    <t>Amazon.com Inc</t>
  </si>
  <si>
    <t>Estimate (SNX US)</t>
  </si>
  <si>
    <t>CVS Health Corp</t>
  </si>
  <si>
    <t>UnitedHealth Group Inc</t>
  </si>
  <si>
    <t>Estimate (JNPR US)</t>
  </si>
  <si>
    <t>Microsoft Corp</t>
  </si>
  <si>
    <t>META US Equity</t>
  </si>
  <si>
    <t>Meta Platforms Inc</t>
  </si>
  <si>
    <t>Verizon Communications Inc</t>
  </si>
  <si>
    <t>AT&amp;T Inc</t>
  </si>
  <si>
    <t>FISV US Equity</t>
  </si>
  <si>
    <t>2023A CF (FISV US)</t>
  </si>
  <si>
    <t>Fiserv Inc</t>
  </si>
  <si>
    <t>SABR US Equity</t>
  </si>
  <si>
    <t>2025Q3 CF (SABR US)</t>
  </si>
  <si>
    <t>Sabre Corp</t>
  </si>
  <si>
    <t>002971 CH Equity</t>
  </si>
  <si>
    <t>2025S1 CF (002971 CH)</t>
  </si>
  <si>
    <t>Hubei Heyuan Gas Co Ltd</t>
  </si>
  <si>
    <t>300218 CH Equity</t>
  </si>
  <si>
    <t>2022A CF (300218 CH)</t>
  </si>
  <si>
    <t>Anhui Anli Material Technology Co Ltd</t>
  </si>
  <si>
    <t>3118 TT Equity</t>
  </si>
  <si>
    <t>2024A CF (3118 TT)</t>
  </si>
  <si>
    <t>Level Biotechnology Inc</t>
  </si>
  <si>
    <t>4572 JP Equity</t>
  </si>
  <si>
    <t>2024A CF (4572 JP)</t>
  </si>
  <si>
    <t>Carna Biosciences Inc</t>
  </si>
  <si>
    <t>6598 TT Equity</t>
  </si>
  <si>
    <t>2023A CF (6598 TT)</t>
  </si>
  <si>
    <t>Applied BioCode Corp</t>
  </si>
  <si>
    <t>000210 KS Equity</t>
  </si>
  <si>
    <t>2025C3 CF (000210 KS)</t>
  </si>
  <si>
    <t>DL Holdings Co Ltd</t>
  </si>
  <si>
    <t>000812 CH Equity</t>
  </si>
  <si>
    <t>2023S1 CF (000812 CH)</t>
  </si>
  <si>
    <t>Shaanxi Jinye Science Technology And Education Co Ltd Group</t>
  </si>
  <si>
    <t>000911 CH Equity</t>
  </si>
  <si>
    <t>2022A CF (000911 CH)</t>
  </si>
  <si>
    <t>Guangxi Rural Investment Sugar Industry Group Co Ltd</t>
  </si>
  <si>
    <t>002599 CH Equity</t>
  </si>
  <si>
    <t>2024S1 CF (002599 CH)</t>
  </si>
  <si>
    <t>Beijing Shengtong Printing Co Ltd</t>
  </si>
  <si>
    <t>2024Q4 CF (ENS US)</t>
  </si>
  <si>
    <t>0219834Z US Equity</t>
  </si>
  <si>
    <t>DOD United States Army</t>
  </si>
  <si>
    <t>0228856Z US Equity</t>
  </si>
  <si>
    <t>Company News (ENS US)</t>
  </si>
  <si>
    <t>DOD United States Department of Navy</t>
  </si>
  <si>
    <t>0455038D US Equity</t>
  </si>
  <si>
    <t>Dantona Industries Inc</t>
  </si>
  <si>
    <t>2025A CF (ENS US)</t>
  </si>
  <si>
    <t>2024A CF (002348 CH)</t>
  </si>
  <si>
    <t>Goldlok Holdings Guangdong Co Ltd</t>
  </si>
  <si>
    <t>BWPT IJ Equity</t>
  </si>
  <si>
    <t>2022A CF (BWPT IJ)</t>
  </si>
  <si>
    <t>Eagle High Plantations Tbk PT</t>
  </si>
  <si>
    <t>CARE IJ Equity</t>
  </si>
  <si>
    <t>2022C3 CF (CARE IJ)</t>
  </si>
  <si>
    <t>Metro Healthcare Indonesia TBK PT</t>
  </si>
  <si>
    <t>EUCAR FP Equity</t>
  </si>
  <si>
    <t>2021A CF (EUCAR FP)</t>
  </si>
  <si>
    <t>Europcar Mobility Group SA</t>
  </si>
  <si>
    <t>KIJA IJ Equity</t>
  </si>
  <si>
    <t>2025C3 CF (KIJA IJ)</t>
  </si>
  <si>
    <t>Kawasan Industri Jababeka Tbk PT</t>
  </si>
  <si>
    <t>2025A CF (RENG IN)</t>
  </si>
  <si>
    <t>Rajoo Engineers Ltd</t>
  </si>
  <si>
    <t>2021A CF (BIP US)</t>
  </si>
  <si>
    <t>Municipalidad Metropolitana de Lima</t>
  </si>
  <si>
    <t>1251Z IN Equity</t>
  </si>
  <si>
    <t>National Highways Authority of India</t>
  </si>
  <si>
    <t>2816Z US Equity</t>
  </si>
  <si>
    <t>Port of Oakland</t>
  </si>
  <si>
    <t>8007Z US Equity</t>
  </si>
  <si>
    <t>Port of Los Angeles</t>
  </si>
  <si>
    <t>PLUS US Equity</t>
  </si>
  <si>
    <t>2025A CF (PLUS US)</t>
  </si>
  <si>
    <t>ePlus Inc</t>
  </si>
  <si>
    <t>2024A CF (SITC US)</t>
  </si>
  <si>
    <t>TJX Cos Inc/The</t>
  </si>
  <si>
    <t>DKS US Equity</t>
  </si>
  <si>
    <t>Dick's Sporting Goods Inc</t>
  </si>
  <si>
    <t>BURL US Equity</t>
  </si>
  <si>
    <t>Burlington Stores Inc</t>
  </si>
  <si>
    <t>Kroger Co/The</t>
  </si>
  <si>
    <t>PETM US Equity</t>
  </si>
  <si>
    <t>PetSmart LLC</t>
  </si>
  <si>
    <t>2022C3 CF (329180 KS)</t>
  </si>
  <si>
    <t>HD Hyundai Heavy Industries Co Ltd</t>
  </si>
  <si>
    <t>4599690Z US Equity</t>
  </si>
  <si>
    <t>2023A CF (4599690Z US)</t>
  </si>
  <si>
    <t>Hayes Pump Inc</t>
  </si>
  <si>
    <t>ADES AB Equity</t>
  </si>
  <si>
    <t>2022A CF (ADES AB)</t>
  </si>
  <si>
    <t>Ades Holding Co</t>
  </si>
  <si>
    <t>CADLR NO Equity</t>
  </si>
  <si>
    <t>2023A CF (CADLR NO)</t>
  </si>
  <si>
    <t>Cadeler A/S</t>
  </si>
  <si>
    <t>DNOW US Equity</t>
  </si>
  <si>
    <t>2024A CF (DNOW US)</t>
  </si>
  <si>
    <t>DNOW Inc</t>
  </si>
  <si>
    <t>2024A CF (FFB SJ)</t>
  </si>
  <si>
    <t>Fortress Real Estate Investments Ltd</t>
  </si>
  <si>
    <t>2025A CF (EIH IN)</t>
  </si>
  <si>
    <t>EIH Ltd</t>
  </si>
  <si>
    <t>001740 KS Equity</t>
  </si>
  <si>
    <t>C2</t>
  </si>
  <si>
    <t>2024C2 CF (001740 KS)</t>
  </si>
  <si>
    <t>SK Networks Co Ltd</t>
  </si>
  <si>
    <t>034730 KS Equity</t>
  </si>
  <si>
    <t>2024C2 CF (034730 KS)</t>
  </si>
  <si>
    <t>SK Inc</t>
  </si>
  <si>
    <t>068400 KS Equity</t>
  </si>
  <si>
    <t>2025C3 CF (068400 KS)</t>
  </si>
  <si>
    <t>SK Rent A Car Co Ltd</t>
  </si>
  <si>
    <t>1059297Z BH Equity</t>
  </si>
  <si>
    <t>2022A CF (CAR US)</t>
  </si>
  <si>
    <t>Travelport Ltd</t>
  </si>
  <si>
    <t>000851 CH Equity</t>
  </si>
  <si>
    <t>2024A CF (000851 CH)</t>
  </si>
  <si>
    <t>Gohigh Networks Co Ltd</t>
  </si>
  <si>
    <t>700 HK Equity</t>
  </si>
  <si>
    <t>Estimate (700 HK)</t>
  </si>
  <si>
    <t>Tencent Holdings Ltd</t>
  </si>
  <si>
    <t>Estimate (PLUS US)</t>
  </si>
  <si>
    <t>SCSC US Equity</t>
  </si>
  <si>
    <t>Estimate (SCSC US)</t>
  </si>
  <si>
    <t>ScanSource Inc</t>
  </si>
  <si>
    <t>Company News (1646058D US)</t>
  </si>
  <si>
    <t>Albertsons Investor Holdings LLC</t>
  </si>
  <si>
    <t>6507Z US Equity</t>
  </si>
  <si>
    <t>Company News (RRD US)</t>
  </si>
  <si>
    <t>United States Postal Service</t>
  </si>
  <si>
    <t>6523 JP Equity</t>
  </si>
  <si>
    <t>2025A CF (6523 JP)</t>
  </si>
  <si>
    <t>PHC Holdings Corp</t>
  </si>
  <si>
    <t>2023A CF (AAPL US)</t>
  </si>
  <si>
    <t>ACI US Equity</t>
  </si>
  <si>
    <t>Albertsons Cos Inc</t>
  </si>
  <si>
    <t>000150 KS Equity</t>
  </si>
  <si>
    <t>2021A CF (SRE US)</t>
  </si>
  <si>
    <t>Doosan Co Ltd</t>
  </si>
  <si>
    <t>001060 KS Equity</t>
  </si>
  <si>
    <t>JW Pharmaceutical Corp</t>
  </si>
  <si>
    <t>002360 KS Equity</t>
  </si>
  <si>
    <t>SH Energy &amp; Chemical Co Ltd</t>
  </si>
  <si>
    <t>002384 CH Equity</t>
  </si>
  <si>
    <t>Suzhou Dongshan Precision Manufacturing Co Ltd</t>
  </si>
  <si>
    <t>Estimate (IBM US)</t>
  </si>
  <si>
    <t>Cisco Systems Inc</t>
  </si>
  <si>
    <t>2021A CF (D US)</t>
  </si>
  <si>
    <t>China International Marine Containers Group Co Ltd</t>
  </si>
  <si>
    <t>000333 CH Equity</t>
  </si>
  <si>
    <t>Midea Group Co Ltd</t>
  </si>
  <si>
    <t>002240 KS Equity</t>
  </si>
  <si>
    <t>KISWIRE Ltd</t>
  </si>
  <si>
    <t>004800 KS Equity</t>
  </si>
  <si>
    <t>Hyosung Corp</t>
  </si>
  <si>
    <t>2024A CF (MAADEN AB)</t>
  </si>
  <si>
    <t>Saudi Arabian Mining Co</t>
  </si>
  <si>
    <t>0599984D GR Equity</t>
  </si>
  <si>
    <t>Company News (AA US)</t>
  </si>
  <si>
    <t>Speira GmbH</t>
  </si>
  <si>
    <t>0817498D UH Equity</t>
  </si>
  <si>
    <t>Emirates Global Aluminium PJSC</t>
  </si>
  <si>
    <t>178320 KS Equity</t>
  </si>
  <si>
    <t>2025C3 CF (178320 KS)</t>
  </si>
  <si>
    <t>Seojin System Co Ltd</t>
  </si>
  <si>
    <t>4523 TT Equity</t>
  </si>
  <si>
    <t>2021A CF (4523 TT)</t>
  </si>
  <si>
    <t>Everbrite Technology Co Ltd</t>
  </si>
  <si>
    <t>2025A CF (178 HK)</t>
  </si>
  <si>
    <t>Sa Sa International Holdings Ltd</t>
  </si>
  <si>
    <t>1928 HK Equity</t>
  </si>
  <si>
    <t>2022A CF (1928 HK)</t>
  </si>
  <si>
    <t>Sands China Ltd</t>
  </si>
  <si>
    <t>219550 KS Equity</t>
  </si>
  <si>
    <t>2021A CF (219550 KS)</t>
  </si>
  <si>
    <t>DYD Co Ltd</t>
  </si>
  <si>
    <t>950140 KS Equity</t>
  </si>
  <si>
    <t>2021A CF (950140 KS)</t>
  </si>
  <si>
    <t>Englewood Lab LLC</t>
  </si>
  <si>
    <t>HELE US Equity</t>
  </si>
  <si>
    <t>2025A CF (HELE US)</t>
  </si>
  <si>
    <t>Helen of Troy Ltd</t>
  </si>
  <si>
    <t>Estimate (TTMI US)</t>
  </si>
  <si>
    <t>LMT US Equity</t>
  </si>
  <si>
    <t>Lockheed Martin Corp</t>
  </si>
  <si>
    <t>Northrop Grumman Corp</t>
  </si>
  <si>
    <t>AVGO US Equity</t>
  </si>
  <si>
    <t>Broadcom Inc</t>
  </si>
  <si>
    <t>RBOS GR Equity</t>
  </si>
  <si>
    <t>Robert Bosch GmbH</t>
  </si>
  <si>
    <t>2022C3 CF (AUTLANB MM)</t>
  </si>
  <si>
    <t>Cia Minera Autlan SAB de CV</t>
  </si>
  <si>
    <t>BABA US Equity</t>
  </si>
  <si>
    <t>Estimate (BABA US)</t>
  </si>
  <si>
    <t>Alibaba Group Holding Ltd</t>
  </si>
  <si>
    <t>002024 CH Equity</t>
  </si>
  <si>
    <t>Estimate (002024 CH)</t>
  </si>
  <si>
    <t>Suning.com Co Ltd</t>
  </si>
  <si>
    <t>CEC GR Equity</t>
  </si>
  <si>
    <t>Estimate (CEC GR)</t>
  </si>
  <si>
    <t>CECONOMY AG</t>
  </si>
  <si>
    <t>9877893Z US Equity</t>
  </si>
  <si>
    <t>2024A CF (UNH US)</t>
  </si>
  <si>
    <t>HHS Centers for Medicare &amp; Medicaid Services</t>
  </si>
  <si>
    <t>2023A CF (IBM US)</t>
  </si>
  <si>
    <t>International Business Machines Corp</t>
  </si>
  <si>
    <t>WMT US Equity</t>
  </si>
  <si>
    <t>2024A CF (WMT US)</t>
  </si>
  <si>
    <t>Walmart Inc</t>
  </si>
  <si>
    <t>STOKS1 US Equity</t>
  </si>
  <si>
    <t>Company News (UNH US)</t>
  </si>
  <si>
    <t>State of Kansas</t>
  </si>
  <si>
    <t>2025A CF (001309 CH)</t>
  </si>
  <si>
    <t>Shenzhen Techwinsemi Technology Co Ltd</t>
  </si>
  <si>
    <t>2025A CF (002024 CH)</t>
  </si>
  <si>
    <t>2349 TT Equity</t>
  </si>
  <si>
    <t>2022C3 CF (2349 TT)</t>
  </si>
  <si>
    <t>Ritek Corp</t>
  </si>
  <si>
    <t>2760 JP Equity</t>
  </si>
  <si>
    <t>2025A CF (2760 JP)</t>
  </si>
  <si>
    <t>Tokyo Electron Device Ltd</t>
  </si>
  <si>
    <t>3028 TT Equity</t>
  </si>
  <si>
    <t>2024A CF (3028 TT)</t>
  </si>
  <si>
    <t>Zenitron Corp</t>
  </si>
  <si>
    <t>735365Z US Equity</t>
  </si>
  <si>
    <t>2025Q3 CF (735365Z US)</t>
  </si>
  <si>
    <t>United Site Services Inc</t>
  </si>
  <si>
    <t>CORZ US Equity</t>
  </si>
  <si>
    <t>2022Q4 CF (CORZ US)</t>
  </si>
  <si>
    <t>Core Scientific Inc</t>
  </si>
  <si>
    <t>WLMSQ US Equity</t>
  </si>
  <si>
    <t>2023Q3 CF (WLMSQ US)</t>
  </si>
  <si>
    <t>Williams Industrial Services Group Inc</t>
  </si>
  <si>
    <t>XOM US Equity</t>
  </si>
  <si>
    <t>2024A CF (PAA US)</t>
  </si>
  <si>
    <t>Exxon Mobil Corp</t>
  </si>
  <si>
    <t>BP/ LN Equity</t>
  </si>
  <si>
    <t>2023A CF (PAA US)</t>
  </si>
  <si>
    <t>BP PLC</t>
  </si>
  <si>
    <t>CLMT US Equity</t>
  </si>
  <si>
    <t>2024A CF (CLMT US)</t>
  </si>
  <si>
    <t>Calumet Inc</t>
  </si>
  <si>
    <t>2022A CF (EPD US)</t>
  </si>
  <si>
    <t>Enterprise Products Partners LP</t>
  </si>
  <si>
    <t>Estimate (LIVEPOL1 MM)</t>
  </si>
  <si>
    <t>El Puerto de Liverpool SAB de CV</t>
  </si>
  <si>
    <t>KSS US Equity</t>
  </si>
  <si>
    <t>Estimate (KSS US)</t>
  </si>
  <si>
    <t>Kohl's Corp</t>
  </si>
  <si>
    <t>CNXN US Equity</t>
  </si>
  <si>
    <t>Estimate (CNXN US)</t>
  </si>
  <si>
    <t>PC Connection Inc</t>
  </si>
  <si>
    <t>002656 CH Equity</t>
  </si>
  <si>
    <t>2021A CF (002656 CH)</t>
  </si>
  <si>
    <t>Modern Avenue Group Co Ltd</t>
  </si>
  <si>
    <t>2025A CF (PFE US)</t>
  </si>
  <si>
    <t>McKesson Corp</t>
  </si>
  <si>
    <t>COR US Equity</t>
  </si>
  <si>
    <t>Cencora Inc</t>
  </si>
  <si>
    <t>Cardinal Health Inc</t>
  </si>
  <si>
    <t>2025A CF (BMY US)</t>
  </si>
  <si>
    <t>Bristol-Myers Squibb Co</t>
  </si>
  <si>
    <t>2024A CF (PFE US)</t>
  </si>
  <si>
    <t>Company News (YELLQ US)</t>
  </si>
  <si>
    <t>2023Q3 CF (YELLQ US)</t>
  </si>
  <si>
    <t>20230930-DK-Butterfly-1 Inc</t>
  </si>
  <si>
    <t>COTY US Equity</t>
  </si>
  <si>
    <t>Coty Inc</t>
  </si>
  <si>
    <t>SOLV US Equity</t>
  </si>
  <si>
    <t>2025Q3 CF (SOLV US)</t>
  </si>
  <si>
    <t>Solventum Corp</t>
  </si>
  <si>
    <t>066570 KS Equity</t>
  </si>
  <si>
    <t>Estimate (066570 KS)</t>
  </si>
  <si>
    <t>LG Electronics Inc</t>
  </si>
  <si>
    <t>3M IN Equity</t>
  </si>
  <si>
    <t>2025A CF (3M IN)</t>
  </si>
  <si>
    <t>3M India Ltd</t>
  </si>
  <si>
    <t>HD US Equity</t>
  </si>
  <si>
    <t>Estimate (MMM US)</t>
  </si>
  <si>
    <t>Home Depot Inc/The</t>
  </si>
  <si>
    <t>2330 TT Equity</t>
  </si>
  <si>
    <t>Taiwan Semiconductor Manufacturing Co Ltd</t>
  </si>
  <si>
    <t>Estimate (SANM US)</t>
  </si>
  <si>
    <t>Motorola Solutions Inc</t>
  </si>
  <si>
    <t>NOKIA FH Equity</t>
  </si>
  <si>
    <t>Nokia Oyj</t>
  </si>
  <si>
    <t>Hewlett Packard Enterprise Co</t>
  </si>
  <si>
    <t>General Dynamics Corp</t>
  </si>
  <si>
    <t>2021A CF (3176 TT)</t>
  </si>
  <si>
    <t>Medigen Biotechnology Corp</t>
  </si>
  <si>
    <t>GENNQ US Equity</t>
  </si>
  <si>
    <t>2025Q2 CF (GENNQ US)</t>
  </si>
  <si>
    <t>Genesis Healthcare Inc</t>
  </si>
  <si>
    <t>NKE US Equity</t>
  </si>
  <si>
    <t>Estimate (NKE US)</t>
  </si>
  <si>
    <t>NIKE Inc</t>
  </si>
  <si>
    <t>DECK US Equity</t>
  </si>
  <si>
    <t>Estimate (DECK US)</t>
  </si>
  <si>
    <t>Deckers Outdoor Corp</t>
  </si>
  <si>
    <t>CROX US Equity</t>
  </si>
  <si>
    <t>Estimate (CROX US)</t>
  </si>
  <si>
    <t>Crocs Inc</t>
  </si>
  <si>
    <t>ADS GR Equity</t>
  </si>
  <si>
    <t>Estimate (ADS GR)</t>
  </si>
  <si>
    <t>adidas AG</t>
  </si>
  <si>
    <t>TPR US Equity</t>
  </si>
  <si>
    <t>Estimate (TPR US)</t>
  </si>
  <si>
    <t>Tapestry Inc</t>
  </si>
  <si>
    <t>Estimate (ETN US)</t>
  </si>
  <si>
    <t>WESCO International Inc</t>
  </si>
  <si>
    <t>Avnet Inc</t>
  </si>
  <si>
    <t>VOW GR Equity</t>
  </si>
  <si>
    <t>Volkswagen AG</t>
  </si>
  <si>
    <t>2024Q3 CF (GME US)</t>
  </si>
  <si>
    <t>Immutable X Pty Ltd</t>
  </si>
  <si>
    <t>VREX US Equity</t>
  </si>
  <si>
    <t>2026Q1 CF (VREX US)</t>
  </si>
  <si>
    <t>Varex Imaging Corp</t>
  </si>
  <si>
    <t>Estimate (NSIT US)</t>
  </si>
  <si>
    <t>Insight Enterprises Inc</t>
  </si>
  <si>
    <t>Estimate (PEGA US)</t>
  </si>
  <si>
    <t>Pegasystems Inc</t>
  </si>
  <si>
    <t>048550 KS Equity</t>
  </si>
  <si>
    <t>2024C3 CF (048550 KS)</t>
  </si>
  <si>
    <t>SM Culture &amp; Contents Co Ltd</t>
  </si>
  <si>
    <t>1426 HK Equity</t>
  </si>
  <si>
    <t>2025S1 CF (1426 HK)</t>
  </si>
  <si>
    <t>Spring Real Estate Investment Trust</t>
  </si>
  <si>
    <t>8802 JP Equity</t>
  </si>
  <si>
    <t>2026S1 CF (8802 JP)</t>
  </si>
  <si>
    <t>Mitsubishi Estate Co Ltd</t>
  </si>
  <si>
    <t>AXIATA MK Equity</t>
  </si>
  <si>
    <t>2022Q3 CF (AXIATA MK)</t>
  </si>
  <si>
    <t>Axiata Group Bhd</t>
  </si>
  <si>
    <t>Estimate (MRK US)</t>
  </si>
  <si>
    <t>2025Q3 CF (MRK US)</t>
  </si>
  <si>
    <t>OGN US Equity</t>
  </si>
  <si>
    <t>2024A CF (MRK US)</t>
  </si>
  <si>
    <t>Organon &amp; Co</t>
  </si>
  <si>
    <t>2021A CF (002293 CH)</t>
  </si>
  <si>
    <t>Luolai Lifestyle Technology Co Ltd</t>
  </si>
  <si>
    <t>015760 KS Equity</t>
  </si>
  <si>
    <t>2024C2 CF (015760 KS)</t>
  </si>
  <si>
    <t>Korea Electric Power Corp</t>
  </si>
  <si>
    <t>0197446Z US Equity</t>
  </si>
  <si>
    <t>Company News (PARA US)</t>
  </si>
  <si>
    <t>Nielsen Co US LLC/The</t>
  </si>
  <si>
    <t>051600 KS Equity</t>
  </si>
  <si>
    <t>2024A CF (051600 KS)</t>
  </si>
  <si>
    <t>KEPCO Plant Service &amp; Engineering Co Ltd</t>
  </si>
  <si>
    <t>1026Z US Equity</t>
  </si>
  <si>
    <t>Company News (1026Z US)</t>
  </si>
  <si>
    <t>Cox Enterprises Inc</t>
  </si>
  <si>
    <t>Estimate (2356 TT)</t>
  </si>
  <si>
    <t>Inventec Corp</t>
  </si>
  <si>
    <t>Estimate (INTC US)</t>
  </si>
  <si>
    <t>Intel Corp</t>
  </si>
  <si>
    <t>2382 TT Equity</t>
  </si>
  <si>
    <t>Estimate (2382 TT)</t>
  </si>
  <si>
    <t>Quanta Computer Inc</t>
  </si>
  <si>
    <t>3231 TT Equity</t>
  </si>
  <si>
    <t>Estimate (3231 TT)</t>
  </si>
  <si>
    <t>Wistron Corp</t>
  </si>
  <si>
    <t>7751 JP Equity</t>
  </si>
  <si>
    <t>2024A CF (7751 JP)</t>
  </si>
  <si>
    <t>Canon Inc</t>
  </si>
  <si>
    <t>2022A CF (GKOS US)</t>
  </si>
  <si>
    <t>Iveena Delivery Systems Inc</t>
  </si>
  <si>
    <t>1876007D US Equity</t>
  </si>
  <si>
    <t>Company News (GKOS US)</t>
  </si>
  <si>
    <t>Stuart Therapeutics Inc</t>
  </si>
  <si>
    <t>4536 JP Equity</t>
  </si>
  <si>
    <t>2025A CF (4536 JP)</t>
  </si>
  <si>
    <t>Santen Pharmaceutical Co Ltd</t>
  </si>
  <si>
    <t>4576 JP Equity</t>
  </si>
  <si>
    <t>2022A CF (4576 JP)</t>
  </si>
  <si>
    <t>D.Western Therapeutics Institute Inc</t>
  </si>
  <si>
    <t>2024A CF (GKOS US)</t>
  </si>
  <si>
    <t>Estimate (ADBE US)</t>
  </si>
  <si>
    <t>Adobe Inc</t>
  </si>
  <si>
    <t>GNL US Equity</t>
  </si>
  <si>
    <t>2024A CF (GNL US)</t>
  </si>
  <si>
    <t>Global Net Lease Inc</t>
  </si>
  <si>
    <t>BBOX IN Equity</t>
  </si>
  <si>
    <t>Estimate (BBOX IN)</t>
  </si>
  <si>
    <t>Black Box Ltd</t>
  </si>
  <si>
    <t>IVT US Equity</t>
  </si>
  <si>
    <t>2024Q4 CF (IVT US)</t>
  </si>
  <si>
    <t>InvenTrust Properties Corp</t>
  </si>
  <si>
    <t>2025C3 CF (004800 KS)</t>
  </si>
  <si>
    <t>AEE US Equity</t>
  </si>
  <si>
    <t>2021A CF (AEE US)</t>
  </si>
  <si>
    <t>Ameren Corp</t>
  </si>
  <si>
    <t>AEP US Equity</t>
  </si>
  <si>
    <t>2021A CF (AEP US)</t>
  </si>
  <si>
    <t>American Electric Power Co Inc</t>
  </si>
  <si>
    <t>Dominion Energy Inc</t>
  </si>
  <si>
    <t>FE US Equity</t>
  </si>
  <si>
    <t>2021A CF (FE US)</t>
  </si>
  <si>
    <t>FirstEnergy Corp</t>
  </si>
  <si>
    <t>AMG NA Equity</t>
  </si>
  <si>
    <t>Estimate (AMG NA)</t>
  </si>
  <si>
    <t>AMG Critical Materials NV</t>
  </si>
  <si>
    <t>APAM NA Equity</t>
  </si>
  <si>
    <t>Estimate (APAM NA)</t>
  </si>
  <si>
    <t>APERAM SA</t>
  </si>
  <si>
    <t>AI US Equity</t>
  </si>
  <si>
    <t>2025Q2 CF (AI US)</t>
  </si>
  <si>
    <t>C3.ai Inc</t>
  </si>
  <si>
    <t>2021A CF (BRK/A US)</t>
  </si>
  <si>
    <t>CNP US Equity</t>
  </si>
  <si>
    <t>2021A CF (CNP US)</t>
  </si>
  <si>
    <t>CenterPoint Energy Inc</t>
  </si>
  <si>
    <t>2022A CF (GTN US)</t>
  </si>
  <si>
    <t>Cozi Group Inc</t>
  </si>
  <si>
    <t>1891133D US Equity</t>
  </si>
  <si>
    <t>Antenna TV SA</t>
  </si>
  <si>
    <t>2392288D US Equity</t>
  </si>
  <si>
    <t>Company News (GTN US)</t>
  </si>
  <si>
    <t>Major League Pickleball Inc</t>
  </si>
  <si>
    <t>NVDA US Equity</t>
  </si>
  <si>
    <t>Estimate (NVDA US)</t>
  </si>
  <si>
    <t>NVIDIA Corp</t>
  </si>
  <si>
    <t>AMD US Equity</t>
  </si>
  <si>
    <t>Estimate (AMD US)</t>
  </si>
  <si>
    <t>Advanced Micro Devices Inc</t>
  </si>
  <si>
    <t>Estimate (AVGO US)</t>
  </si>
  <si>
    <t>ANET US Equity</t>
  </si>
  <si>
    <t>Estimate (ANET US)</t>
  </si>
  <si>
    <t>Arista Networks Inc</t>
  </si>
  <si>
    <t>Estimate (WDC US)</t>
  </si>
  <si>
    <t>Western Digital Corp</t>
  </si>
  <si>
    <t>053300 KS Equity</t>
  </si>
  <si>
    <t>2025C3 CF (053300 KS)</t>
  </si>
  <si>
    <t>Korea Information Certificate Authority Inc</t>
  </si>
  <si>
    <t>4784 JP Equity</t>
  </si>
  <si>
    <t>2023A CF (4784 JP)</t>
  </si>
  <si>
    <t>GMO Internet Inc</t>
  </si>
  <si>
    <t>8136 JP Equity</t>
  </si>
  <si>
    <t>2022A CF (8136 JP)</t>
  </si>
  <si>
    <t>Sanrio Co Ltd</t>
  </si>
  <si>
    <t>2025Q3 CF (MTCH US)</t>
  </si>
  <si>
    <t>BGO LN Equity</t>
  </si>
  <si>
    <t>2022A CF (BGO LN)</t>
  </si>
  <si>
    <t>Bango PLC</t>
  </si>
  <si>
    <t>2024A CF (3218 TT)</t>
  </si>
  <si>
    <t>Universal Vision Biotechnology Co Ltd</t>
  </si>
  <si>
    <t>5312 TT Equity</t>
  </si>
  <si>
    <t>2024A CF (5312 TT)</t>
  </si>
  <si>
    <t>Formosa Optical Technology Co Ltd</t>
  </si>
  <si>
    <t>EYE US Equity</t>
  </si>
  <si>
    <t>2024A CF (EYE US)</t>
  </si>
  <si>
    <t>National Vision Holdings Inc</t>
  </si>
  <si>
    <t>UTMD US Equity</t>
  </si>
  <si>
    <t>2023A CF (UTMD US)</t>
  </si>
  <si>
    <t>Utah Medical Products Inc</t>
  </si>
  <si>
    <t>DUK US Equity</t>
  </si>
  <si>
    <t>2021A CF (DUK US)</t>
  </si>
  <si>
    <t>Duke Energy Corp</t>
  </si>
  <si>
    <t>Company News (15647Z US)</t>
  </si>
  <si>
    <t>Federal Home Loan Bank of Dallas</t>
  </si>
  <si>
    <t>NEWT US Equity</t>
  </si>
  <si>
    <t>2023A CF (NEWT US)</t>
  </si>
  <si>
    <t>NewtekOne Inc</t>
  </si>
  <si>
    <t>2023Q4 CF (VYX US)</t>
  </si>
  <si>
    <t>NCR Voyix Corp</t>
  </si>
  <si>
    <t>2024A CF (PE&amp;OLES* MM)</t>
  </si>
  <si>
    <t>Industrias Penoles SAB de CV</t>
  </si>
  <si>
    <t>FROTO TI Equity</t>
  </si>
  <si>
    <t>2024A CF (FROTO TI)</t>
  </si>
  <si>
    <t>Ford Otomotiv Sanayi AS</t>
  </si>
  <si>
    <t>COLR BB Equity</t>
  </si>
  <si>
    <t>Estimate (COLR BB)</t>
  </si>
  <si>
    <t>Colruyt Group N.V</t>
  </si>
  <si>
    <t>FRES LN Equity</t>
  </si>
  <si>
    <t>2024A CF (FRES LN)</t>
  </si>
  <si>
    <t>Fresnillo PLC</t>
  </si>
  <si>
    <t>2025A CF (HON US)</t>
  </si>
  <si>
    <t>Estimate (HON US)</t>
  </si>
  <si>
    <t>CLS CN Equity</t>
  </si>
  <si>
    <t>Estimate (CLS CN)</t>
  </si>
  <si>
    <t>Celestica Inc</t>
  </si>
  <si>
    <t>Estimate (APH US)</t>
  </si>
  <si>
    <t>Amphenol Corp</t>
  </si>
  <si>
    <t>SARO US Equity</t>
  </si>
  <si>
    <t>Estimate (SARO US)</t>
  </si>
  <si>
    <t>StandardAero Inc</t>
  </si>
  <si>
    <t>MRO LN Equity</t>
  </si>
  <si>
    <t>Estimate (MRO LN)</t>
  </si>
  <si>
    <t>Melrose Industries PLC</t>
  </si>
  <si>
    <t>HWA IN Equity</t>
  </si>
  <si>
    <t>2025A CF (HWA IN)</t>
  </si>
  <si>
    <t>Honeywell Automation India Ltd</t>
  </si>
  <si>
    <t>2317 TT Equity</t>
  </si>
  <si>
    <t>Estimate (2317 TT)</t>
  </si>
  <si>
    <t>Hon Hai Precision Industry Co Ltd</t>
  </si>
  <si>
    <t>FLEX US Equity</t>
  </si>
  <si>
    <t>Estimate (FLEX US)</t>
  </si>
  <si>
    <t>Flex Ltd</t>
  </si>
  <si>
    <t>Estimate (MU US)</t>
  </si>
  <si>
    <t>Micron Technology Inc</t>
  </si>
  <si>
    <t>2025A CF (GILD US)</t>
  </si>
  <si>
    <t>0580597D US Equity</t>
  </si>
  <si>
    <t>2022A CF (GILD US)</t>
  </si>
  <si>
    <t>Amerisourcebergen Corp PAC</t>
  </si>
  <si>
    <t>1952 HK Equity</t>
  </si>
  <si>
    <t>Company News (1952 HK)</t>
  </si>
  <si>
    <t>Everest Medicines Ltd</t>
  </si>
  <si>
    <t>Estimate (354 HK)</t>
  </si>
  <si>
    <t>Chinasoft International Ltd</t>
  </si>
  <si>
    <t>EXTR US Equity</t>
  </si>
  <si>
    <t>Estimate (EXTR US)</t>
  </si>
  <si>
    <t>Extreme Networks Inc</t>
  </si>
  <si>
    <t>4726 JP Equity</t>
  </si>
  <si>
    <t>2024A CF (4726 JP)</t>
  </si>
  <si>
    <t>SB Technology Corp</t>
  </si>
  <si>
    <t>9903653D US Equity</t>
  </si>
  <si>
    <t>2022Q3 CF (9903653D US)</t>
  </si>
  <si>
    <t>TechTarget Inc/old</t>
  </si>
  <si>
    <t>2022A CF (GEN US)</t>
  </si>
  <si>
    <t>2025A CF (BIIB US)</t>
  </si>
  <si>
    <t>Biogen Inc</t>
  </si>
  <si>
    <t>AZN LN Equity</t>
  </si>
  <si>
    <t>2024A CF (IONS US)</t>
  </si>
  <si>
    <t>AstraZeneca PLC</t>
  </si>
  <si>
    <t>4578 JP Equity</t>
  </si>
  <si>
    <t>R&amp;D</t>
  </si>
  <si>
    <t>Otsuka Holdings Co Ltd</t>
  </si>
  <si>
    <t>ROG SW Equity</t>
  </si>
  <si>
    <t>Roche Holding AG</t>
  </si>
  <si>
    <t>NOVN SW Equity</t>
  </si>
  <si>
    <t>Novartis AG</t>
  </si>
  <si>
    <t>SAF FP Equity</t>
  </si>
  <si>
    <t>Estimate (SAF FP)</t>
  </si>
  <si>
    <t>Safran SA</t>
  </si>
  <si>
    <t>MTX GR Equity</t>
  </si>
  <si>
    <t>Estimate (MTX GR)</t>
  </si>
  <si>
    <t>MTU Aero Engines AG</t>
  </si>
  <si>
    <t>2025A CF (HWM US)</t>
  </si>
  <si>
    <t>Estimate (ATI US)</t>
  </si>
  <si>
    <t>ATI Inc</t>
  </si>
  <si>
    <t>028260 KS Equity</t>
  </si>
  <si>
    <t>2023C3 CF (028260 KS)</t>
  </si>
  <si>
    <t>Samsung C&amp;T Corp</t>
  </si>
  <si>
    <t>207940 KS Equity</t>
  </si>
  <si>
    <t>C1</t>
  </si>
  <si>
    <t>2025C1 CF (207940 KS)</t>
  </si>
  <si>
    <t>Samsung Biologics Co Ltd</t>
  </si>
  <si>
    <t>4743 TT Equity</t>
  </si>
  <si>
    <t>2025C3 CF (4743 TT)</t>
  </si>
  <si>
    <t>Oneness Biotech Co Ltd</t>
  </si>
  <si>
    <t>6562 TT Equity</t>
  </si>
  <si>
    <t>2024A CF (6562 TT)</t>
  </si>
  <si>
    <t>UBI Pharma Inc</t>
  </si>
  <si>
    <t>ALCLS FP Equity</t>
  </si>
  <si>
    <t>2024A CF (ALCLS FP)</t>
  </si>
  <si>
    <t>Cellectis SA</t>
  </si>
  <si>
    <t>Company News (LNWO US)</t>
  </si>
  <si>
    <t>Entain PLC</t>
  </si>
  <si>
    <t>RGB MK Equity</t>
  </si>
  <si>
    <t>2024A CF (RGB MK)</t>
  </si>
  <si>
    <t>RGB International Bhd</t>
  </si>
  <si>
    <t>LOTO PM Equity</t>
  </si>
  <si>
    <t>2024A CF (LOTO PM)</t>
  </si>
  <si>
    <t>Pacific Online Systems Corp</t>
  </si>
  <si>
    <t>GMR LN Equity</t>
  </si>
  <si>
    <t>2024A CF (GMR LN)</t>
  </si>
  <si>
    <t>Gaming Realms PLC</t>
  </si>
  <si>
    <t>DKNG US Equity</t>
  </si>
  <si>
    <t>2025A CF (DKNG US)</t>
  </si>
  <si>
    <t>DraftKings Inc</t>
  </si>
  <si>
    <t>2021A CF (CALA US)</t>
  </si>
  <si>
    <t>Calithera Biosciences Inc</t>
  </si>
  <si>
    <t>2025Q1 CF (JNJ US)</t>
  </si>
  <si>
    <t>Johnson &amp; Johnson</t>
  </si>
  <si>
    <t>Estimate (TEX US)</t>
  </si>
  <si>
    <t>United Rentals Inc</t>
  </si>
  <si>
    <t>Waste Management Inc</t>
  </si>
  <si>
    <t>RSG US Equity</t>
  </si>
  <si>
    <t>Republic Services Inc</t>
  </si>
  <si>
    <t>GFL CN Equity</t>
  </si>
  <si>
    <t>GFL Environmental Inc</t>
  </si>
  <si>
    <t>2025C3 CF (046120 KS)</t>
  </si>
  <si>
    <t>Orbitech Co Ltd</t>
  </si>
  <si>
    <t>HIK LN Equity</t>
  </si>
  <si>
    <t>2024A CF (COLL US)</t>
  </si>
  <si>
    <t>Hikma Pharmaceuticals PLC</t>
  </si>
  <si>
    <t>M3V GR Equity</t>
  </si>
  <si>
    <t>2024A CF (M3V GR)</t>
  </si>
  <si>
    <t>MeVis Medical Solutions AG</t>
  </si>
  <si>
    <t>ATS CN Equity</t>
  </si>
  <si>
    <t>Estimate (ATS CN)</t>
  </si>
  <si>
    <t>ATS Corp</t>
  </si>
  <si>
    <t>2025S1 CF (603658 CH)</t>
  </si>
  <si>
    <t>9501 JP Equity</t>
  </si>
  <si>
    <t>2022A CF (9501 JP)</t>
  </si>
  <si>
    <t>Tokyo Electric Power Co Holdings Inc</t>
  </si>
  <si>
    <t>OERL SW Equity</t>
  </si>
  <si>
    <t>Estimate (OERL SW)</t>
  </si>
  <si>
    <t>OC Oerlikon Corp AG Pfaeffikon</t>
  </si>
  <si>
    <t>Estimate (DNOW US)</t>
  </si>
  <si>
    <t>RBC US Equity</t>
  </si>
  <si>
    <t>Estimate (RBC US)</t>
  </si>
  <si>
    <t>RBC Bearings Inc</t>
  </si>
  <si>
    <t>MEI US Equity</t>
  </si>
  <si>
    <t>Estimate (MEI US)</t>
  </si>
  <si>
    <t>Methode Electronics Inc</t>
  </si>
  <si>
    <t>AIRI US Equity</t>
  </si>
  <si>
    <t>Estimate (AIRI US)</t>
  </si>
  <si>
    <t>Air Industries Group</t>
  </si>
  <si>
    <t>2023A CF (GNL US)</t>
  </si>
  <si>
    <t>Estimate (JNJ US)</t>
  </si>
  <si>
    <t>CI US Equity</t>
  </si>
  <si>
    <t>Cigna Group/The</t>
  </si>
  <si>
    <t>CA FP Equity</t>
  </si>
  <si>
    <t>Estimate (CA FP)</t>
  </si>
  <si>
    <t>Carrefour SA</t>
  </si>
  <si>
    <t>2024A CF (HUM US)</t>
  </si>
  <si>
    <t>Company News (HUM US)</t>
  </si>
  <si>
    <t>0221526Z US Equity</t>
  </si>
  <si>
    <t>2024Q3 CF (HUM US)</t>
  </si>
  <si>
    <t>DOD OSD FA Tricare Management Activity</t>
  </si>
  <si>
    <t>992 HK Equity</t>
  </si>
  <si>
    <t>Lenovo Group Ltd</t>
  </si>
  <si>
    <t>2024Q1 CF (SCSC US)</t>
  </si>
  <si>
    <t>STOME1 US Equity</t>
  </si>
  <si>
    <t>Company News (CNSL US)</t>
  </si>
  <si>
    <t>State of Maine</t>
  </si>
  <si>
    <t>2023A CF (MATX US)</t>
  </si>
  <si>
    <t>3471650Z US Equity</t>
  </si>
  <si>
    <t>United States Department of Transportation</t>
  </si>
  <si>
    <t>600278 CH Equity</t>
  </si>
  <si>
    <t>2022S1 CF (600278 CH)</t>
  </si>
  <si>
    <t>Orient International Enterprise Ltd</t>
  </si>
  <si>
    <t>2025A CF (NSIT US)</t>
  </si>
  <si>
    <t>2357 TT Equity</t>
  </si>
  <si>
    <t>Estimate (2357 TT)</t>
  </si>
  <si>
    <t>Asustek Computer Inc</t>
  </si>
  <si>
    <t>Estimate (MSFT US)</t>
  </si>
  <si>
    <t>2024Q3 CF (0976704D US)</t>
  </si>
  <si>
    <t>H-Food Holdings LLC</t>
  </si>
  <si>
    <t>603766 CH Equity</t>
  </si>
  <si>
    <t>2021A CF (603766 CH)</t>
  </si>
  <si>
    <t>Loncin Motor Co Ltd</t>
  </si>
  <si>
    <t>2024Q3 CF (AIR FP)</t>
  </si>
  <si>
    <t>FROWARD CI Equity</t>
  </si>
  <si>
    <t>2024A CF (FROWARD CI)</t>
  </si>
  <si>
    <t>Portuaria Cabo Froward SA</t>
  </si>
  <si>
    <t>CWK US Equity</t>
  </si>
  <si>
    <t>Company News (CSGP US)</t>
  </si>
  <si>
    <t>Cushman &amp; Wakefield Ltd</t>
  </si>
  <si>
    <t>SRC US Equity</t>
  </si>
  <si>
    <t>2022A CF (SRC US)</t>
  </si>
  <si>
    <t>Spirit Realty Capital Inc</t>
  </si>
  <si>
    <t>2024A CF (002911 CH)</t>
  </si>
  <si>
    <t>Foran Energy Group Co Ltd</t>
  </si>
  <si>
    <t>005490 KS Equity</t>
  </si>
  <si>
    <t>2025C3 CF (005490 KS)</t>
  </si>
  <si>
    <t>POSCO Holdings Inc</t>
  </si>
  <si>
    <t>0125537D US Equity</t>
  </si>
  <si>
    <t>2025A CF (LNG US)</t>
  </si>
  <si>
    <t>Bechtel Corp</t>
  </si>
  <si>
    <t>2023A CF (LNG US)</t>
  </si>
  <si>
    <t>036460 KS Equity</t>
  </si>
  <si>
    <t>Korea Gas Corp</t>
  </si>
  <si>
    <t>2022A CF (300857 CH)</t>
  </si>
  <si>
    <t>Sharetronic Data Technology Co Ltd</t>
  </si>
  <si>
    <t>688169 CH Equity</t>
  </si>
  <si>
    <t>2024A CF (688169 CH)</t>
  </si>
  <si>
    <t>Beijing Roborock Technology Co Ltd</t>
  </si>
  <si>
    <t>FPAYQ US Equity</t>
  </si>
  <si>
    <t>2025Q3 CF (FPAYQ US)</t>
  </si>
  <si>
    <t>FlexShopper Inc</t>
  </si>
  <si>
    <t>UBER US Equity</t>
  </si>
  <si>
    <t>Company News (BBY US)</t>
  </si>
  <si>
    <t>Uber Technologies Inc</t>
  </si>
  <si>
    <t>VITA CN Equity</t>
  </si>
  <si>
    <t>Company News (VITA CN)</t>
  </si>
  <si>
    <t>Vitalist Inc</t>
  </si>
  <si>
    <t>005820 KS Equity</t>
  </si>
  <si>
    <t>2025C3 CF (005820 KS)</t>
  </si>
  <si>
    <t>Wonlim Corp</t>
  </si>
  <si>
    <t>056090 KS Equity</t>
  </si>
  <si>
    <t>2025C3 CF (056090 KS)</t>
  </si>
  <si>
    <t>CG MedTech Co Ltd</t>
  </si>
  <si>
    <t>3716 TT Equity</t>
  </si>
  <si>
    <t>2024A CF (3716 TT)</t>
  </si>
  <si>
    <t>Cenra Inc</t>
  </si>
  <si>
    <t>4164 TT Equity</t>
  </si>
  <si>
    <t>2022A CF (4164 TT)</t>
  </si>
  <si>
    <t>CHC Healthcare Group</t>
  </si>
  <si>
    <t>0001036D US Equity</t>
  </si>
  <si>
    <t>2021A CF (ES US)</t>
  </si>
  <si>
    <t>Loos &amp; Co Inc</t>
  </si>
  <si>
    <t>012450 KS Equity</t>
  </si>
  <si>
    <t>Hanwha Aerospace Co Ltd</t>
  </si>
  <si>
    <t>0177296D SP Equity</t>
  </si>
  <si>
    <t>Chevron Phillips Chemicals Asia Pte Ltd</t>
  </si>
  <si>
    <t>KGF LN Equity</t>
  </si>
  <si>
    <t>Estimate (KGF LN)</t>
  </si>
  <si>
    <t>Kingfisher PLC</t>
  </si>
  <si>
    <t>4726 TT Equity</t>
  </si>
  <si>
    <t>2024A CF (4726 TT)</t>
  </si>
  <si>
    <t>Mycenax Biotech Inc</t>
  </si>
  <si>
    <t>6589 TT Equity</t>
  </si>
  <si>
    <t>2024A CF (6589 TT)</t>
  </si>
  <si>
    <t>EirGenix Inc</t>
  </si>
  <si>
    <t>2024A CF (6661 TT)</t>
  </si>
  <si>
    <t>Welgene Biotech Co Ltd</t>
  </si>
  <si>
    <t>002726 CH Equity</t>
  </si>
  <si>
    <t>2022A CF (002726 CH)</t>
  </si>
  <si>
    <t>Shandong Longda Meishi Co Ltd</t>
  </si>
  <si>
    <t>038290 KS Equity</t>
  </si>
  <si>
    <t>2025C3 CF (038290 KS)</t>
  </si>
  <si>
    <t>Macrogen Inc</t>
  </si>
  <si>
    <t>0862128D CH Equity</t>
  </si>
  <si>
    <t>Company News (A US)</t>
  </si>
  <si>
    <t>Sangon Biotech Shanghai Co Ltd</t>
  </si>
  <si>
    <t>2024A CF (0127957D US)</t>
  </si>
  <si>
    <t>Hooters of America LLC</t>
  </si>
  <si>
    <t>516265Z CN Equity</t>
  </si>
  <si>
    <t>Company News (CZR US)</t>
  </si>
  <si>
    <t>Ontario Lottery &amp; Gaming Corp</t>
  </si>
  <si>
    <t>PLTK US Equity</t>
  </si>
  <si>
    <t>2025A CF (PLTK US)</t>
  </si>
  <si>
    <t>Playtika Holding Corp</t>
  </si>
  <si>
    <t>BLDR US Equity</t>
  </si>
  <si>
    <t>2025A CF (BLDR US)</t>
  </si>
  <si>
    <t>Builders FirstSource Inc</t>
  </si>
  <si>
    <t>BXC US Equity</t>
  </si>
  <si>
    <t>2024A CF (BXC US)</t>
  </si>
  <si>
    <t>BlueLinx Holdings Inc</t>
  </si>
  <si>
    <t>DBM CN Equity</t>
  </si>
  <si>
    <t>2024A CF (DBM CN)</t>
  </si>
  <si>
    <t>Doman Building Materials Group Ltd</t>
  </si>
  <si>
    <t>DEN US Equity</t>
  </si>
  <si>
    <t>Company News (WY US)</t>
  </si>
  <si>
    <t>Denbury Inc</t>
  </si>
  <si>
    <t>KBH US Equity</t>
  </si>
  <si>
    <t>2023A CF (KBH US)</t>
  </si>
  <si>
    <t>KB Home</t>
  </si>
  <si>
    <t>Gregory Pharmaceutical Holdings Inc</t>
  </si>
  <si>
    <t>1946625D US Equity</t>
  </si>
  <si>
    <t>Sharp Services LLC</t>
  </si>
  <si>
    <t>2136893D US Equity</t>
  </si>
  <si>
    <t>Tapemark Inc</t>
  </si>
  <si>
    <t>3157700Z US Equity</t>
  </si>
  <si>
    <t>Halo Pharmaceutical Inc</t>
  </si>
  <si>
    <t>4150729Z US Equity</t>
  </si>
  <si>
    <t>Adhesives Research Inc</t>
  </si>
  <si>
    <t>Estimate (AVT US)</t>
  </si>
  <si>
    <t>8 HK Equity</t>
  </si>
  <si>
    <t>Estimate (8 HK)</t>
  </si>
  <si>
    <t>PCCW Ltd</t>
  </si>
  <si>
    <t>2024A CF (BCYC US)</t>
  </si>
  <si>
    <t>Bicycle Therapeutics PLC</t>
  </si>
  <si>
    <t>1827938D FP Equity</t>
  </si>
  <si>
    <t>2025Q3 CF (IONS US)</t>
  </si>
  <si>
    <t>Vect-Horus SAS</t>
  </si>
  <si>
    <t>ALNY US Equity</t>
  </si>
  <si>
    <t>2025A CF (ALNY US)</t>
  </si>
  <si>
    <t>Alnylam Pharmaceuticals Inc</t>
  </si>
  <si>
    <t>MGX US Equity</t>
  </si>
  <si>
    <t>Metagenomi Therapeutics Inc</t>
  </si>
  <si>
    <t>RGLS US Equity</t>
  </si>
  <si>
    <t>2024A CF (RGLS US)</t>
  </si>
  <si>
    <t>Regulus Therapeutics Inc</t>
  </si>
  <si>
    <t>2025C3 CF (141080 KS)</t>
  </si>
  <si>
    <t>LigaChem Biosciences Inc</t>
  </si>
  <si>
    <t>4565 JP Equity</t>
  </si>
  <si>
    <t>2023A CF (4565 JP)</t>
  </si>
  <si>
    <t>Nxera Pharma Co Ltd</t>
  </si>
  <si>
    <t>CREI LN Equity</t>
  </si>
  <si>
    <t>2022A CF (CREI LN)</t>
  </si>
  <si>
    <t>Custodian Property Income Reit PLC</t>
  </si>
  <si>
    <t>2022A CF (LITE US)</t>
  </si>
  <si>
    <t>Lumentum Holdings Inc</t>
  </si>
  <si>
    <t>NICE IT Equity</t>
  </si>
  <si>
    <t>2023Q1 CF (NICE IT)</t>
  </si>
  <si>
    <t>Nice Ltd</t>
  </si>
  <si>
    <t>2023Q2 CF (VYX US)</t>
  </si>
  <si>
    <t>DY US Equity</t>
  </si>
  <si>
    <t>Estimate (DY US)</t>
  </si>
  <si>
    <t>Dycom Industries Inc</t>
  </si>
  <si>
    <t>Juniper Networks Inc</t>
  </si>
  <si>
    <t>Estimate (CIEN US)</t>
  </si>
  <si>
    <t>Ciena Corp</t>
  </si>
  <si>
    <t>2353 TT Equity</t>
  </si>
  <si>
    <t>Estimate (2353 TT)</t>
  </si>
  <si>
    <t>Acer Inc</t>
  </si>
  <si>
    <t>1115L US Equity</t>
  </si>
  <si>
    <t>Latham &amp; Watkins LLP</t>
  </si>
  <si>
    <t>Reliance Inc</t>
  </si>
  <si>
    <t>LNR CN Equity</t>
  </si>
  <si>
    <t>Linamar Corp</t>
  </si>
  <si>
    <t>601163 CH Equity</t>
  </si>
  <si>
    <t>Triangle Tyre Co Ltd</t>
  </si>
  <si>
    <t>013570 KS Equity</t>
  </si>
  <si>
    <t>DY Corp</t>
  </si>
  <si>
    <t>601100 CH Equity</t>
  </si>
  <si>
    <t>Jiangsu Hengli Hydraulic Co Ltd</t>
  </si>
  <si>
    <t>AVA US Equity</t>
  </si>
  <si>
    <t>2021A CF (AVA US)</t>
  </si>
  <si>
    <t>Avista Corp</t>
  </si>
  <si>
    <t>EIX US Equity</t>
  </si>
  <si>
    <t>2021A CF (EIX US)</t>
  </si>
  <si>
    <t>Edison International</t>
  </si>
  <si>
    <t>HE US Equity</t>
  </si>
  <si>
    <t>2021A CF (HE US)</t>
  </si>
  <si>
    <t>Hawaiian Electric Industries Inc</t>
  </si>
  <si>
    <t>PCG US Equity</t>
  </si>
  <si>
    <t>2021A CF (PCG US)</t>
  </si>
  <si>
    <t>PG&amp;E Corp</t>
  </si>
  <si>
    <t>PHLY NO Equity</t>
  </si>
  <si>
    <t>2023A CF (PHLY NO)</t>
  </si>
  <si>
    <t>Philly Shipyard ASA</t>
  </si>
  <si>
    <t>Company News (3764228Z US)</t>
  </si>
  <si>
    <t>Harper Corp-General Contractors/The</t>
  </si>
  <si>
    <t>CMS US Equity</t>
  </si>
  <si>
    <t>2021A CF (CMS US)</t>
  </si>
  <si>
    <t>CMS Energy Corp</t>
  </si>
  <si>
    <t>Estimate (HAS US)</t>
  </si>
  <si>
    <t>Hasbro Inc</t>
  </si>
  <si>
    <t>TACT US Equity</t>
  </si>
  <si>
    <t>2024A CF (TACT US)</t>
  </si>
  <si>
    <t>TransAct Technologies Inc</t>
  </si>
  <si>
    <t>300383 CH Equity</t>
  </si>
  <si>
    <t>2024A CF (300383 CH)</t>
  </si>
  <si>
    <t>Beijing Sinnet Technology Co Ltd</t>
  </si>
  <si>
    <t>2023A CF (LNWO US)</t>
  </si>
  <si>
    <t>2024A CF (LNWO US)</t>
  </si>
  <si>
    <t>2024A CF (EVH US)</t>
  </si>
  <si>
    <t>Evolent Health Inc</t>
  </si>
  <si>
    <t>Oracle Corp</t>
  </si>
  <si>
    <t>NOVOB DC Equity</t>
  </si>
  <si>
    <t>Estimate (NOVOB DC)</t>
  </si>
  <si>
    <t>Novo Nordisk A/S</t>
  </si>
  <si>
    <t>ACAD US Equity</t>
  </si>
  <si>
    <t>Estimate (ACAD US)</t>
  </si>
  <si>
    <t>ACADIA Pharmaceuticals Inc</t>
  </si>
  <si>
    <t>Estimate (AZN LN)</t>
  </si>
  <si>
    <t>MUST SP Equity</t>
  </si>
  <si>
    <t>2025S1 CF (MUST SP)</t>
  </si>
  <si>
    <t>Manulife US Real Estate Investment Trust</t>
  </si>
  <si>
    <t>0296332Z US Equity</t>
  </si>
  <si>
    <t>2023A CF (CSGP US)</t>
  </si>
  <si>
    <t>Duck Duck Go Inc</t>
  </si>
  <si>
    <t>688322 CH Equity</t>
  </si>
  <si>
    <t>2024A CF (688322 CH)</t>
  </si>
  <si>
    <t>Orbbec Inc</t>
  </si>
  <si>
    <t>CHCI US Equity</t>
  </si>
  <si>
    <t>2024A CF (CHCI US)</t>
  </si>
  <si>
    <t>Comstock Holding Cos Inc</t>
  </si>
  <si>
    <t>2024A CF (CCEC US)</t>
  </si>
  <si>
    <t>Capital Clean Energy Carriers Corp</t>
  </si>
  <si>
    <t>GTLS US Equity</t>
  </si>
  <si>
    <t>Estimate (GTLS US)</t>
  </si>
  <si>
    <t>Chart Industries Inc</t>
  </si>
  <si>
    <t>0194664D US Equity</t>
  </si>
  <si>
    <t>Bechtel Oil Gas and Chemicals Inc</t>
  </si>
  <si>
    <t>047050 KS Equity</t>
  </si>
  <si>
    <t>2022A CF (047050 KS)</t>
  </si>
  <si>
    <t>Posco International Corp</t>
  </si>
  <si>
    <t>ARX CN Equity</t>
  </si>
  <si>
    <t>2022Q3 CF (LNG US)</t>
  </si>
  <si>
    <t>ARC Resources Ltd</t>
  </si>
  <si>
    <t>ATE FP Equity</t>
  </si>
  <si>
    <t>Estimate (ATE FP)</t>
  </si>
  <si>
    <t>Alten SA</t>
  </si>
  <si>
    <t>2591972D SS Equity</t>
  </si>
  <si>
    <t>Company News (MAN US)</t>
  </si>
  <si>
    <t>Anna &amp; Hubert Labs AB</t>
  </si>
  <si>
    <t>4071 JP Equity</t>
  </si>
  <si>
    <t>2025A CF (4071 JP)</t>
  </si>
  <si>
    <t>Plus Alpha Consulting Co Ltd</t>
  </si>
  <si>
    <t>ALBFR FP Equity</t>
  </si>
  <si>
    <t>Media News (ALBFR FP)</t>
  </si>
  <si>
    <t>Sidetrade</t>
  </si>
  <si>
    <t>GLPG NA Equity</t>
  </si>
  <si>
    <t>2024A CF (GLPG NA)</t>
  </si>
  <si>
    <t>Galapagos NV</t>
  </si>
  <si>
    <t>2914 JP Equity</t>
  </si>
  <si>
    <t>Japan Tobacco Inc</t>
  </si>
  <si>
    <t>RCUS US Equity</t>
  </si>
  <si>
    <t>2025Q3 CF (RCUS US)</t>
  </si>
  <si>
    <t>Arcus Biosciences Inc</t>
  </si>
  <si>
    <t>LONN SW Equity</t>
  </si>
  <si>
    <t>Estimate (LONN SW)</t>
  </si>
  <si>
    <t>Lonza Group AG</t>
  </si>
  <si>
    <t>Estimate (PWR US)</t>
  </si>
  <si>
    <t>Quanta Services Inc</t>
  </si>
  <si>
    <t>AKSO NO Equity</t>
  </si>
  <si>
    <t>Estimate (AKSO NO)</t>
  </si>
  <si>
    <t>Aker Solutions ASA</t>
  </si>
  <si>
    <t>FCEL US Equity</t>
  </si>
  <si>
    <t>2025A CF (FCEL US)</t>
  </si>
  <si>
    <t>FuelCell Energy Inc</t>
  </si>
  <si>
    <t>SLB US Equity</t>
  </si>
  <si>
    <t>Estimate (SLB US)</t>
  </si>
  <si>
    <t>SLB Ltd</t>
  </si>
  <si>
    <t>GNRC US Equity</t>
  </si>
  <si>
    <t>Estimate (GNRC US)</t>
  </si>
  <si>
    <t>Generac Holdings Inc</t>
  </si>
  <si>
    <t>2024A CF (GMAB DC)</t>
  </si>
  <si>
    <t>Genmab A/S</t>
  </si>
  <si>
    <t>JBL US Equity</t>
  </si>
  <si>
    <t>Estimate (JBL US)</t>
  </si>
  <si>
    <t>Jabil Inc</t>
  </si>
  <si>
    <t>Estimate (ABBV US)</t>
  </si>
  <si>
    <t>AbbVie Inc</t>
  </si>
  <si>
    <t>Estimate (HALO US)</t>
  </si>
  <si>
    <t>Halozyme Therapeutics Inc</t>
  </si>
  <si>
    <t>BAYN GR Equity</t>
  </si>
  <si>
    <t>Estimate (BAYN GR)</t>
  </si>
  <si>
    <t>Bayer AG</t>
  </si>
  <si>
    <t>ADI US Equity</t>
  </si>
  <si>
    <t>Estimate (ADI US)</t>
  </si>
  <si>
    <t>Analog Devices Inc</t>
  </si>
  <si>
    <t>OSIS US Equity</t>
  </si>
  <si>
    <t>Estimate (OSIS US)</t>
  </si>
  <si>
    <t>OSI Systems Inc</t>
  </si>
  <si>
    <t>UFPT US Equity</t>
  </si>
  <si>
    <t>2025A CF (UFPT US)</t>
  </si>
  <si>
    <t>UFP Technologies Inc</t>
  </si>
  <si>
    <t>KE US Equity</t>
  </si>
  <si>
    <t>Estimate (KE US)</t>
  </si>
  <si>
    <t>Kimball Electronics Inc</t>
  </si>
  <si>
    <t>DSFIR NA Equity</t>
  </si>
  <si>
    <t>Estimate (DSFIR NA)</t>
  </si>
  <si>
    <t>DSM-Firmenich AG</t>
  </si>
  <si>
    <t>BHE US Equity</t>
  </si>
  <si>
    <t>Estimate (BHE US)</t>
  </si>
  <si>
    <t>Benchmark Electronics Inc</t>
  </si>
  <si>
    <t>Estimate (AAPL US)</t>
  </si>
  <si>
    <t>Estimate (992 HK)</t>
  </si>
  <si>
    <t>HP Inc</t>
  </si>
  <si>
    <t>CNR CN Equity</t>
  </si>
  <si>
    <t>Estimate (CNR CN)</t>
  </si>
  <si>
    <t>Canadian National Railway Co</t>
  </si>
  <si>
    <t>2289511D US Equity</t>
  </si>
  <si>
    <t>Lapis Energy LP</t>
  </si>
  <si>
    <t>6342 JP Equity</t>
  </si>
  <si>
    <t>2022A CF (6342 JP)</t>
  </si>
  <si>
    <t>Taihei Machinery Works Ltd</t>
  </si>
  <si>
    <t>AGX US Equity</t>
  </si>
  <si>
    <t>2025A CF (AGX US)</t>
  </si>
  <si>
    <t>Argan Inc</t>
  </si>
  <si>
    <t>2025Q1 CF (BLND US)</t>
  </si>
  <si>
    <t>Blend Labs Inc</t>
  </si>
  <si>
    <t>2024A CF (MUST SP)</t>
  </si>
  <si>
    <t>RPR-U CN Equity</t>
  </si>
  <si>
    <t>2024A CF (RPR-U CN)</t>
  </si>
  <si>
    <t>Ravelin Properties REIT</t>
  </si>
  <si>
    <t>2024A CF (VICI US)</t>
  </si>
  <si>
    <t>VICI Properties Inc</t>
  </si>
  <si>
    <t>GLPI US Equity</t>
  </si>
  <si>
    <t>2024A CF (GLPI US)</t>
  </si>
  <si>
    <t>Gaming and Leisure Properties Inc</t>
  </si>
  <si>
    <t>0620764D US Equity</t>
  </si>
  <si>
    <t>Memphis Grizzlies</t>
  </si>
  <si>
    <t>TCS IN Equity</t>
  </si>
  <si>
    <t>Estimate (TCS IN)</t>
  </si>
  <si>
    <t>Tata Consultancy Services Ltd</t>
  </si>
  <si>
    <t>CLX LN Equity</t>
  </si>
  <si>
    <t>Estimate (CLX LN)</t>
  </si>
  <si>
    <t>Calnex Solutions PLC</t>
  </si>
  <si>
    <t>368770 KS Equity</t>
  </si>
  <si>
    <t>Media News (368770 KS)</t>
  </si>
  <si>
    <t>FIBERPRO Inc/Yuseong</t>
  </si>
  <si>
    <t>EVRG US Equity</t>
  </si>
  <si>
    <t>2021A CF (EVRG US)</t>
  </si>
  <si>
    <t>Evergy Inc</t>
  </si>
  <si>
    <t>2024A CF (MTDR US)</t>
  </si>
  <si>
    <t>Matador Resources Co</t>
  </si>
  <si>
    <t>PRIM US Equity</t>
  </si>
  <si>
    <t>Estimate (PRIM US)</t>
  </si>
  <si>
    <t>Primoris Services Corp</t>
  </si>
  <si>
    <t>Estimate (AROC US)</t>
  </si>
  <si>
    <t>Archrock Inc</t>
  </si>
  <si>
    <t>TRGP US Equity</t>
  </si>
  <si>
    <t>2024A CF (EPD US)</t>
  </si>
  <si>
    <t>Targa Resources Corp</t>
  </si>
  <si>
    <t>2025Q2 CF (RIGL US)</t>
  </si>
  <si>
    <t>Rigel Pharmaceuticals Inc</t>
  </si>
  <si>
    <t>INCY US Equity</t>
  </si>
  <si>
    <t>2025A CF (INCY US)</t>
  </si>
  <si>
    <t>Incyte Corp</t>
  </si>
  <si>
    <t>13 HK Equity</t>
  </si>
  <si>
    <t>2024A CF (13 HK)</t>
  </si>
  <si>
    <t>HUTCHMED China Ltd</t>
  </si>
  <si>
    <t>Estimate (CRL US)</t>
  </si>
  <si>
    <t>Charles River Laboratories International Inc</t>
  </si>
  <si>
    <t>ARE US Equity</t>
  </si>
  <si>
    <t>2025A CF (ARE US)</t>
  </si>
  <si>
    <t>Alexandria Real Estate Equities Inc</t>
  </si>
  <si>
    <t>2024Q3 CF (FRG US)</t>
  </si>
  <si>
    <t>Alphia Inc</t>
  </si>
  <si>
    <t>0198709D US Equity</t>
  </si>
  <si>
    <t>Nutraceutical Corp</t>
  </si>
  <si>
    <t>0340755Z US Equity</t>
  </si>
  <si>
    <t>Elements International Group LLC</t>
  </si>
  <si>
    <t>0357283D US Equity</t>
  </si>
  <si>
    <t>Phillips Feed &amp; Pet Supply NE LLC</t>
  </si>
  <si>
    <t>0449227D US Equity</t>
  </si>
  <si>
    <t>KONG Co LLC/The</t>
  </si>
  <si>
    <t>Company News (0956625D US)</t>
  </si>
  <si>
    <t>Workboard Inc</t>
  </si>
  <si>
    <t>262840 KS Equity</t>
  </si>
  <si>
    <t>2023C3 CF (262840 KS)</t>
  </si>
  <si>
    <t>IQUEST Co Ltd</t>
  </si>
  <si>
    <t>688008 CH Equity</t>
  </si>
  <si>
    <t>2022A CF (688008 CH)</t>
  </si>
  <si>
    <t>Montage Technology Co Ltd</t>
  </si>
  <si>
    <t>8145554Z US Equity</t>
  </si>
  <si>
    <t>Company News (VMW US)</t>
  </si>
  <si>
    <t>Lookout Inc</t>
  </si>
  <si>
    <t>8290567Z US Equity</t>
  </si>
  <si>
    <t>Company News (8290567Z US)</t>
  </si>
  <si>
    <t>Computer Design &amp; Integration LLC</t>
  </si>
  <si>
    <t>IMI LN Equity</t>
  </si>
  <si>
    <t>Estimate (IMI LN)</t>
  </si>
  <si>
    <t>IMI PLC</t>
  </si>
  <si>
    <t>CTS US Equity</t>
  </si>
  <si>
    <t>Estimate (CTS US)</t>
  </si>
  <si>
    <t>CTS Corp</t>
  </si>
  <si>
    <t>HEI US Equity</t>
  </si>
  <si>
    <t>Estimate (HEI US)</t>
  </si>
  <si>
    <t>HEICO Corp</t>
  </si>
  <si>
    <t>Estimate (T US)</t>
  </si>
  <si>
    <t>ERICB SS Equity</t>
  </si>
  <si>
    <t>Estimate (ERICB SS)</t>
  </si>
  <si>
    <t>Telefonaktiebolaget LM Ericsson</t>
  </si>
  <si>
    <t>AMT US Equity</t>
  </si>
  <si>
    <t>2025A CF (AMT US)</t>
  </si>
  <si>
    <t>American Tower Corp</t>
  </si>
  <si>
    <t>2026Q3 CF (DY US)</t>
  </si>
  <si>
    <t>2023A CF (ABL NO)</t>
  </si>
  <si>
    <t>ABL Group ASA</t>
  </si>
  <si>
    <t>ALIT US Equity</t>
  </si>
  <si>
    <t>2025Q1 CF (ALIT US)</t>
  </si>
  <si>
    <t>Alight Inc</t>
  </si>
  <si>
    <t>2022A CF (GWI LN)</t>
  </si>
  <si>
    <t>Globalworth Real Estate Investments Ltd</t>
  </si>
  <si>
    <t>STAG US Equity</t>
  </si>
  <si>
    <t>2025Q3 CF (STAG US)</t>
  </si>
  <si>
    <t>STAG Industrial Inc</t>
  </si>
  <si>
    <t>CFLT US Equity</t>
  </si>
  <si>
    <t>2024Q1 CF (CFLT US)</t>
  </si>
  <si>
    <t>Confluent Inc</t>
  </si>
  <si>
    <t>DTG GR Equity</t>
  </si>
  <si>
    <t>2025Q1 CF (DTG GR)</t>
  </si>
  <si>
    <t>Daimler Truck Holding AG</t>
  </si>
  <si>
    <t>2022Q2 CF (6222B US)</t>
  </si>
  <si>
    <t>Ford Motor Co</t>
  </si>
  <si>
    <t>000660 KS Equity</t>
  </si>
  <si>
    <t>Estimate (000660 KS)</t>
  </si>
  <si>
    <t>SK hynix Inc</t>
  </si>
  <si>
    <t>KRC US Equity</t>
  </si>
  <si>
    <t>2025A CF (KRC US)</t>
  </si>
  <si>
    <t>Kilroy Realty Corp</t>
  </si>
  <si>
    <t>002635 CH Equity</t>
  </si>
  <si>
    <t>Estimate (002635 CH)</t>
  </si>
  <si>
    <t>Suzhou Anjie Technology Co Ltd</t>
  </si>
  <si>
    <t>CHTR US Equity</t>
  </si>
  <si>
    <t>2025Q3 CF (SCOR US)</t>
  </si>
  <si>
    <t>Charter Communications Inc</t>
  </si>
  <si>
    <t>WPP LN Equity</t>
  </si>
  <si>
    <t>WPP PLC</t>
  </si>
  <si>
    <t>EXPN LN Equity</t>
  </si>
  <si>
    <t>2025A CF (EXPN LN)</t>
  </si>
  <si>
    <t>Experian PLC</t>
  </si>
  <si>
    <t>2024A CF (FANG US)</t>
  </si>
  <si>
    <t>Diamondback Energy Inc</t>
  </si>
  <si>
    <t>600777 CH Equity</t>
  </si>
  <si>
    <t>2024A CF (600777 CH)</t>
  </si>
  <si>
    <t>Shandong Xinchao Energy Corp Ltd</t>
  </si>
  <si>
    <t>DKL US Equity</t>
  </si>
  <si>
    <t>2024A CF (DKL US)</t>
  </si>
  <si>
    <t>Delek Logistics Partners LP</t>
  </si>
  <si>
    <t>3382 JP Equity</t>
  </si>
  <si>
    <t>2022A CF (DK US)</t>
  </si>
  <si>
    <t>Seven &amp; i Holdings Co Ltd</t>
  </si>
  <si>
    <t>REG US Equity</t>
  </si>
  <si>
    <t>2025A CF (REG US)</t>
  </si>
  <si>
    <t>Regency Centers Corp</t>
  </si>
  <si>
    <t>CUZ US Equity</t>
  </si>
  <si>
    <t>2025A CF (CUZ US)</t>
  </si>
  <si>
    <t>Cousins Properties Inc</t>
  </si>
  <si>
    <t>CDP US Equity</t>
  </si>
  <si>
    <t>2024A CF (CDP US)</t>
  </si>
  <si>
    <t>COPT Defense Properties</t>
  </si>
  <si>
    <t>2025A CF (PPC US)</t>
  </si>
  <si>
    <t>JBS NV</t>
  </si>
  <si>
    <t>1189074D KY Equity</t>
  </si>
  <si>
    <t>2023Q1 CF (PPC US)</t>
  </si>
  <si>
    <t>Seara International Ltd</t>
  </si>
  <si>
    <t>2057363Z LN Equity</t>
  </si>
  <si>
    <t>2023A CF (PPC US)</t>
  </si>
  <si>
    <t>Penasul UK Ltd</t>
  </si>
  <si>
    <t>INFA US Equity</t>
  </si>
  <si>
    <t>2024Q2 CF (INFA US)</t>
  </si>
  <si>
    <t>Informatica Inc</t>
  </si>
  <si>
    <t>Matthews International Corp</t>
  </si>
  <si>
    <t>6201 JP Equity</t>
  </si>
  <si>
    <t>Estimate (EMR US)</t>
  </si>
  <si>
    <t>Toyota Industries Corp</t>
  </si>
  <si>
    <t>861 HK Equity</t>
  </si>
  <si>
    <t>Digital China Holdings Ltd</t>
  </si>
  <si>
    <t>669 HK Equity</t>
  </si>
  <si>
    <t>Techtronic Industries Co Ltd</t>
  </si>
  <si>
    <t>002906 CH Equity</t>
  </si>
  <si>
    <t>Foryou Corp</t>
  </si>
  <si>
    <t>ASML NA Equity</t>
  </si>
  <si>
    <t>Estimate (ASML NA)</t>
  </si>
  <si>
    <t>ASML Holding NV</t>
  </si>
  <si>
    <t>LRCX US Equity</t>
  </si>
  <si>
    <t>Estimate (LRCX US)</t>
  </si>
  <si>
    <t>Lam Research Corp</t>
  </si>
  <si>
    <t>Estimate (AMAT US)</t>
  </si>
  <si>
    <t>Applied Materials Inc</t>
  </si>
  <si>
    <t>KLAC US Equity</t>
  </si>
  <si>
    <t>Estimate (KLAC US)</t>
  </si>
  <si>
    <t>KLA Corp</t>
  </si>
  <si>
    <t>2025Q3 CF (WBA US)</t>
  </si>
  <si>
    <t>OR FP Equity</t>
  </si>
  <si>
    <t>Estimate (OR FP)</t>
  </si>
  <si>
    <t>L'Oreal SA</t>
  </si>
  <si>
    <t>PG US Equity</t>
  </si>
  <si>
    <t>Estimate (PG US)</t>
  </si>
  <si>
    <t>Procter &amp; Gamble Co/The</t>
  </si>
  <si>
    <t>VRTX US Equity</t>
  </si>
  <si>
    <t>Estimate (VRTX US)</t>
  </si>
  <si>
    <t>Vertex Pharmaceuticals Inc</t>
  </si>
  <si>
    <t>ULVR LN Equity</t>
  </si>
  <si>
    <t>Estimate (ULVR LN)</t>
  </si>
  <si>
    <t>Unilever PLC</t>
  </si>
  <si>
    <t>AVPT US Equity</t>
  </si>
  <si>
    <t>2024Q1 CF (AVPT US)</t>
  </si>
  <si>
    <t>AvePoint Inc</t>
  </si>
  <si>
    <t>DHX US Equity</t>
  </si>
  <si>
    <t>2023Q4 CF (DHX US)</t>
  </si>
  <si>
    <t>DHI Group Inc</t>
  </si>
  <si>
    <t>2023Q3 CF (INFA US)</t>
  </si>
  <si>
    <t>ONTF US Equity</t>
  </si>
  <si>
    <t>2025Q3 CF (ONTF US)</t>
  </si>
  <si>
    <t>ON24 Inc</t>
  </si>
  <si>
    <t>2024A CF (OHI US)</t>
  </si>
  <si>
    <t>Omega Healthcare Investors Inc</t>
  </si>
  <si>
    <t>NHI US Equity</t>
  </si>
  <si>
    <t>2023A CF (NHI US)</t>
  </si>
  <si>
    <t>National Health Investors Inc</t>
  </si>
  <si>
    <t>2025A CF (HSY US)</t>
  </si>
  <si>
    <t>Hershey Co/The</t>
  </si>
  <si>
    <t>Estimate (TXT US)</t>
  </si>
  <si>
    <t>Textron Inc</t>
  </si>
  <si>
    <t>LCII US Equity</t>
  </si>
  <si>
    <t>2025A CF (LCII US)</t>
  </si>
  <si>
    <t>LCI Industries</t>
  </si>
  <si>
    <t>Estimate (WAB US)</t>
  </si>
  <si>
    <t>Westinghouse Air Brake Technologies Corp</t>
  </si>
  <si>
    <t>2024A CF (SPG US)</t>
  </si>
  <si>
    <t>Simon Property Group Inc</t>
  </si>
  <si>
    <t>RENGL IN Equity</t>
  </si>
  <si>
    <t>2025A CF (RENGL IN)</t>
  </si>
  <si>
    <t>Renaissance Global Ltd</t>
  </si>
  <si>
    <t>MAC US Equity</t>
  </si>
  <si>
    <t>2024A CF (MAC US)</t>
  </si>
  <si>
    <t>Macerich Co/The</t>
  </si>
  <si>
    <t>MOV US Equity</t>
  </si>
  <si>
    <t>Estimate (MOV US)</t>
  </si>
  <si>
    <t>Movado Group Inc</t>
  </si>
  <si>
    <t>CBL US Equity</t>
  </si>
  <si>
    <t>2024A CF (CBL US)</t>
  </si>
  <si>
    <t>CBL &amp; Associates Properties Inc</t>
  </si>
  <si>
    <t>981 HK Equity</t>
  </si>
  <si>
    <t>Estimate (981 HK)</t>
  </si>
  <si>
    <t>Semiconductor Manufacturing International Corp</t>
  </si>
  <si>
    <t>AMKR US Equity</t>
  </si>
  <si>
    <t>Estimate (AMKR US)</t>
  </si>
  <si>
    <t>Amkor Technology Inc</t>
  </si>
  <si>
    <t>4063 JP Equity</t>
  </si>
  <si>
    <t>Estimate (4063 JP)</t>
  </si>
  <si>
    <t>Shin-Etsu Chemical Co Ltd</t>
  </si>
  <si>
    <t>WAF GR Equity</t>
  </si>
  <si>
    <t>Estimate (WAF GR)</t>
  </si>
  <si>
    <t>Siltronic AG</t>
  </si>
  <si>
    <t>2023A CF (SFD US)</t>
  </si>
  <si>
    <t>Saratoga Food Specialties LLC</t>
  </si>
  <si>
    <t>288 HK Equity</t>
  </si>
  <si>
    <t>WH Group Ltd</t>
  </si>
  <si>
    <t>4989185Z US Equity</t>
  </si>
  <si>
    <t>2024A CF (SFD US)</t>
  </si>
  <si>
    <t>Vision Ag LLC</t>
  </si>
  <si>
    <t>2025A CF (EMBASSY IN)</t>
  </si>
  <si>
    <t>Embassy Office Parks REIT</t>
  </si>
  <si>
    <t>AKAM US Equity</t>
  </si>
  <si>
    <t>Estimate (AKAM US)</t>
  </si>
  <si>
    <t>Akamai Technologies Inc</t>
  </si>
  <si>
    <t>PLTR US Equity</t>
  </si>
  <si>
    <t>Estimate (PLTR US)</t>
  </si>
  <si>
    <t>Palantir Technologies Inc</t>
  </si>
  <si>
    <t>0581607D SS Equity</t>
  </si>
  <si>
    <t>Company News (0581607D SS)</t>
  </si>
  <si>
    <t>QlikTech International AB</t>
  </si>
  <si>
    <t>1525385D US Equity</t>
  </si>
  <si>
    <t>Media News (1525385D US)</t>
  </si>
  <si>
    <t>Workato Inc</t>
  </si>
  <si>
    <t>Company News (SGE LN)</t>
  </si>
  <si>
    <t>Sage Group PLC/The</t>
  </si>
  <si>
    <t>WDAY US Equity</t>
  </si>
  <si>
    <t>2025A CF (WDAY US)</t>
  </si>
  <si>
    <t>Workday Inc</t>
  </si>
  <si>
    <t>Estimate (EMN US)</t>
  </si>
  <si>
    <t>NESN SW Equity</t>
  </si>
  <si>
    <t>Nestle SA</t>
  </si>
  <si>
    <t>CAP FP Equity</t>
  </si>
  <si>
    <t>Estimate (CAP FP)</t>
  </si>
  <si>
    <t>Capgemini SE</t>
  </si>
  <si>
    <t>0180830Z US Equity</t>
  </si>
  <si>
    <t>2023Q3 CF (MNKTQ US)</t>
  </si>
  <si>
    <t>Source Health Care Analytics Inc</t>
  </si>
  <si>
    <t>0877599D US Equity</t>
  </si>
  <si>
    <t>Senderra RX Partners LLC</t>
  </si>
  <si>
    <t>0909700D US Equity</t>
  </si>
  <si>
    <t>Pittsburg Tank &amp; Tower Maintenance Co Inc</t>
  </si>
  <si>
    <t>2505298D US Equity</t>
  </si>
  <si>
    <t>Syneos Health Inc</t>
  </si>
  <si>
    <t>2023A CF (EPMT IJ)</t>
  </si>
  <si>
    <t>Enseval Putera Megatrading Tbk PT</t>
  </si>
  <si>
    <t>2025A CF (MCK US)</t>
  </si>
  <si>
    <t>Estimate (MCK US)</t>
  </si>
  <si>
    <t>1339564D US Equity</t>
  </si>
  <si>
    <t>Vizient Inc</t>
  </si>
  <si>
    <t>PINC US Equity</t>
  </si>
  <si>
    <t>Premier Inc</t>
  </si>
  <si>
    <t>2025Q3 CF (LUV US)</t>
  </si>
  <si>
    <t>Southwest Airlines Co</t>
  </si>
  <si>
    <t>2025A CF (NEM US)</t>
  </si>
  <si>
    <t>Newmont Corp</t>
  </si>
  <si>
    <t>AU US Equity</t>
  </si>
  <si>
    <t>2024A CF (AU US)</t>
  </si>
  <si>
    <t>Anglogold Ashanti Plc</t>
  </si>
  <si>
    <t>JD/ LN Equity</t>
  </si>
  <si>
    <t>Estimate (JD/ LN)</t>
  </si>
  <si>
    <t>JD Sports Fashion PLC</t>
  </si>
  <si>
    <t>Estimate (VFC US)</t>
  </si>
  <si>
    <t>TSCO US Equity</t>
  </si>
  <si>
    <t>Estimate (TSCO US)</t>
  </si>
  <si>
    <t>Tractor Supply Co</t>
  </si>
  <si>
    <t>TGT US Equity</t>
  </si>
  <si>
    <t>Target Corp</t>
  </si>
  <si>
    <t>2025A CF (ENTG US)</t>
  </si>
  <si>
    <t>Estimate (ENTG US)</t>
  </si>
  <si>
    <t>002626 CH Equity</t>
  </si>
  <si>
    <t>2024A CF (002626 CH)</t>
  </si>
  <si>
    <t>Xiamen Kingdomway Group Co</t>
  </si>
  <si>
    <t>2025Q1 CF (CNXN US)</t>
  </si>
  <si>
    <t>2022A CF (EVRI US)</t>
  </si>
  <si>
    <t>Everi Holdings Inc</t>
  </si>
  <si>
    <t>FMCC US Equity</t>
  </si>
  <si>
    <t>Company News (FMCC US)</t>
  </si>
  <si>
    <t>Federal Home Loan Mortgage Corp</t>
  </si>
  <si>
    <t>2022A CF (4569 JP)</t>
  </si>
  <si>
    <t>Kyorin Pharmaceutical Co Ltd</t>
  </si>
  <si>
    <t>Company News (9990822D US)</t>
  </si>
  <si>
    <t>JobTarget LLC</t>
  </si>
  <si>
    <t>US Bancorp</t>
  </si>
  <si>
    <t>Company News (SHEN US)</t>
  </si>
  <si>
    <t>County of Lancaster PA</t>
  </si>
  <si>
    <t>12627MF US Equity</t>
  </si>
  <si>
    <t>Borough of Carlisle PA</t>
  </si>
  <si>
    <t>12669MF US Equity</t>
  </si>
  <si>
    <t>Borough of Greencastle PA</t>
  </si>
  <si>
    <t>14138MF US Equity</t>
  </si>
  <si>
    <t>County of York PA</t>
  </si>
  <si>
    <t>53615MF US Equity</t>
  </si>
  <si>
    <t>Dover Borough &amp; Dover Township Municipal Authority</t>
  </si>
  <si>
    <t>Estimate (CBT US)</t>
  </si>
  <si>
    <t>Cabot Corp</t>
  </si>
  <si>
    <t>056730 KS Equity</t>
  </si>
  <si>
    <t>2022A CF (056730 KS)</t>
  </si>
  <si>
    <t>CNT85 Inc</t>
  </si>
  <si>
    <t>413300 KS Equity</t>
  </si>
  <si>
    <t>Media News (413300 KS)</t>
  </si>
  <si>
    <t>TL Engineering Co Ltd</t>
  </si>
  <si>
    <t>605228 CH Equity</t>
  </si>
  <si>
    <t>2025S1 CF (605228 CH)</t>
  </si>
  <si>
    <t>Shentong Technology Group Co Ltd</t>
  </si>
  <si>
    <t>688545 CH Equity</t>
  </si>
  <si>
    <t>2024S1 CF (688545 CH)</t>
  </si>
  <si>
    <t>Hubei Sinophorus Electronic Materials Co Ltd</t>
  </si>
  <si>
    <t>2024A CF (600626 CH)</t>
  </si>
  <si>
    <t>Shanghai Shenda Co Ltd</t>
  </si>
  <si>
    <t>HOUSE PM Equity</t>
  </si>
  <si>
    <t>2021A CF (HOUSE PM)</t>
  </si>
  <si>
    <t>8990 Holdings Inc</t>
  </si>
  <si>
    <t>Media News (9990822D US)</t>
  </si>
  <si>
    <t>603648 CH Equity</t>
  </si>
  <si>
    <t>2024A CF (603648 CH)</t>
  </si>
  <si>
    <t>Shanghai Shine-Link International Logistics Co Ltd</t>
  </si>
  <si>
    <t>002284 CH Equity</t>
  </si>
  <si>
    <t>2022A CF (002284 CH)</t>
  </si>
  <si>
    <t>Zhejiang Asia-Pacific Mechanical &amp; Electronic Co Ltd</t>
  </si>
  <si>
    <t>0516820D US Equity</t>
  </si>
  <si>
    <t>2023A CF (0516820D US)</t>
  </si>
  <si>
    <t>Ecw Inc</t>
  </si>
  <si>
    <t>603179 CH Equity</t>
  </si>
  <si>
    <t>2022A CF (603179 CH)</t>
  </si>
  <si>
    <t>Jiangsu Xinquan Automotive Trim Co Ltd</t>
  </si>
  <si>
    <t>IFX GR Equity</t>
  </si>
  <si>
    <t>Estimate (COHU US)</t>
  </si>
  <si>
    <t>Infineon Technologies AG</t>
  </si>
  <si>
    <t>Texas Instruments Inc</t>
  </si>
  <si>
    <t>Estimate (AI FP)</t>
  </si>
  <si>
    <t>Air Liquide SA</t>
  </si>
  <si>
    <t>APD US Equity</t>
  </si>
  <si>
    <t>Estimate (APD US)</t>
  </si>
  <si>
    <t>Air Products and Chemicals Inc</t>
  </si>
  <si>
    <t>001369 CH Equity</t>
  </si>
  <si>
    <t>2025S1 CF (001369 CH)</t>
  </si>
  <si>
    <t>Inner Mongolia Shuangxin Environment-Friendly Material Co Ltd</t>
  </si>
  <si>
    <t>BCPC US Equity</t>
  </si>
  <si>
    <t>2024A CF (BCPC US)</t>
  </si>
  <si>
    <t>Balchem Corp</t>
  </si>
  <si>
    <t>CSX US Equity</t>
  </si>
  <si>
    <t>Estimate (CSX US)</t>
  </si>
  <si>
    <t>CSX Corp</t>
  </si>
  <si>
    <t>Estimate (ACCO US)</t>
  </si>
  <si>
    <t>FCPT US Equity</t>
  </si>
  <si>
    <t>2023A CF (FCPT US)</t>
  </si>
  <si>
    <t>Four Corners Property Trust Inc</t>
  </si>
  <si>
    <t>PRGS US Equity</t>
  </si>
  <si>
    <t>2023Q1 CF (PRGS US)</t>
  </si>
  <si>
    <t>Progress Software Corp</t>
  </si>
  <si>
    <t>2025Q2 CF (OPITQ US)</t>
  </si>
  <si>
    <t>Office Properties Income Trust</t>
  </si>
  <si>
    <t>GOOD US Equity</t>
  </si>
  <si>
    <t>2025Q2 CF (GOOD US)</t>
  </si>
  <si>
    <t>Gladstone Commercial Corp</t>
  </si>
  <si>
    <t>TNT-U CN Equity</t>
  </si>
  <si>
    <t>2024A CF (TNT-U CN)</t>
  </si>
  <si>
    <t>True North Commercial Real Estate Investment Trust</t>
  </si>
  <si>
    <t>1085090D US Equity</t>
  </si>
  <si>
    <t>Company News (ADP US)</t>
  </si>
  <si>
    <t>Checkr Inc</t>
  </si>
  <si>
    <t>2025A CF (BWA US)</t>
  </si>
  <si>
    <t>GM US Equity</t>
  </si>
  <si>
    <t>Estimate (BWA US)</t>
  </si>
  <si>
    <t>General Motors Co</t>
  </si>
  <si>
    <t>STLA US Equity</t>
  </si>
  <si>
    <t>Stellantis NV</t>
  </si>
  <si>
    <t>005380 KS Equity</t>
  </si>
  <si>
    <t>Hyundai Motor Co</t>
  </si>
  <si>
    <t>2024A CF (GEO US)</t>
  </si>
  <si>
    <t>0006698D US Equity</t>
  </si>
  <si>
    <t>Company News (GEO US)</t>
  </si>
  <si>
    <t>DHS US Immigration &amp; Customs Enforcement</t>
  </si>
  <si>
    <t>0007161D US Equity</t>
  </si>
  <si>
    <t>State of Alaska Department of Corrections</t>
  </si>
  <si>
    <t>0007165D US Equity</t>
  </si>
  <si>
    <t>Oklahoma Department of Corrections</t>
  </si>
  <si>
    <t>0007468D US Equity</t>
  </si>
  <si>
    <t>Florida Department of Management Services</t>
  </si>
  <si>
    <t>Estimate (LLY US)</t>
  </si>
  <si>
    <t>Eli Lilly &amp; Co</t>
  </si>
  <si>
    <t>Pfizer Inc</t>
  </si>
  <si>
    <t>2026S1 CF (4548 JP)</t>
  </si>
  <si>
    <t>Seikagaku Corp</t>
  </si>
  <si>
    <t>496388Z US Equity</t>
  </si>
  <si>
    <t>2021A CF (BVS US)</t>
  </si>
  <si>
    <t>Musculoskeletal Transplant Foundation Inc</t>
  </si>
  <si>
    <t>CLVT US Equity</t>
  </si>
  <si>
    <t>2025Q3 CF (CLVT US)</t>
  </si>
  <si>
    <t>Clarivate PLC</t>
  </si>
  <si>
    <t>2021A CF (AES US)</t>
  </si>
  <si>
    <t>AES Corp/The</t>
  </si>
  <si>
    <t>DE US Equity</t>
  </si>
  <si>
    <t>Estimate (DE US)</t>
  </si>
  <si>
    <t>Deere &amp; Co</t>
  </si>
  <si>
    <t>Terex Corp</t>
  </si>
  <si>
    <t>6432 JP Equity</t>
  </si>
  <si>
    <t>2025A CF (6432 JP)</t>
  </si>
  <si>
    <t>Takeuchi Manufacturing Co Ltd</t>
  </si>
  <si>
    <t>OSK US Equity</t>
  </si>
  <si>
    <t>Estimate (OSK US)</t>
  </si>
  <si>
    <t>Oshkosh Corp</t>
  </si>
  <si>
    <t>Estimate (300979 CH)</t>
  </si>
  <si>
    <t>Huali Industrial Group Co Ltd</t>
  </si>
  <si>
    <t>551 HK Equity</t>
  </si>
  <si>
    <t>Estimate (551 HK)</t>
  </si>
  <si>
    <t>Yue Yuen Industrial Holdings Ltd</t>
  </si>
  <si>
    <t>1836 HK Equity</t>
  </si>
  <si>
    <t>Estimate (1836 HK)</t>
  </si>
  <si>
    <t>Stella International Holdings Ltd</t>
  </si>
  <si>
    <t>JRSH US Equity</t>
  </si>
  <si>
    <t>2026Q3 CF (JRSH US)</t>
  </si>
  <si>
    <t>Jerash Holdings US Inc</t>
  </si>
  <si>
    <t>DHC US Equity</t>
  </si>
  <si>
    <t>2024A CF (DHC US)</t>
  </si>
  <si>
    <t>Diversified Healthcare Trust</t>
  </si>
  <si>
    <t>Estimate (6201 JP)</t>
  </si>
  <si>
    <t>039860 KS Equity</t>
  </si>
  <si>
    <t>2022A CF (039860 KS)</t>
  </si>
  <si>
    <t>NanoenTek Inc</t>
  </si>
  <si>
    <t>FMTY14 MM Equity</t>
  </si>
  <si>
    <t>2024A CF (FMTY14 MM)</t>
  </si>
  <si>
    <t>Fibra MTY SAPI de CV</t>
  </si>
  <si>
    <t>LMAX IN Equity</t>
  </si>
  <si>
    <t>2025A CF (LMAX IN)</t>
  </si>
  <si>
    <t>Lumax Auto Technologies Ltd</t>
  </si>
  <si>
    <t>1695300D US Equity</t>
  </si>
  <si>
    <t>Company News (1695300D US)</t>
  </si>
  <si>
    <t>Clarity AI Inc</t>
  </si>
  <si>
    <t>2067225D US Equity</t>
  </si>
  <si>
    <t>Company News (2067225D US)</t>
  </si>
  <si>
    <t>ZipHQ Inc</t>
  </si>
  <si>
    <t>2023A CF (WOOD IJ)</t>
  </si>
  <si>
    <t>Integra Indocabinet Tbk PT</t>
  </si>
  <si>
    <t>4528 JP Equity</t>
  </si>
  <si>
    <t>2025A CF (4528 JP)</t>
  </si>
  <si>
    <t>Ono Pharmaceutical Co Ltd</t>
  </si>
  <si>
    <t>688506 CH Equity</t>
  </si>
  <si>
    <t>2024A CF (688506 CH)</t>
  </si>
  <si>
    <t>Sichuan Biokin Pharmaceutical Co Ltd</t>
  </si>
  <si>
    <t>Merck &amp; Co Inc</t>
  </si>
  <si>
    <t>2024A CF (ASURB MM)</t>
  </si>
  <si>
    <t>Grupo Aeroportuario del Sureste SAB de CV</t>
  </si>
  <si>
    <t>FIBRAPL MM Equity</t>
  </si>
  <si>
    <t>2024A CF (FIBRAPL MM)</t>
  </si>
  <si>
    <t>Prologis Property Mexico SA de CV</t>
  </si>
  <si>
    <t>NWH-U CN Equity</t>
  </si>
  <si>
    <t>2025Q3 CF (NWH-U CN)</t>
  </si>
  <si>
    <t>Northwest Healthcare Properties Real Estate Investment Trust</t>
  </si>
  <si>
    <t>OMAB MM Equity</t>
  </si>
  <si>
    <t>2024A CF (OMAB MM)</t>
  </si>
  <si>
    <t>Grupo Aeroportuario del Centro Norte SAB de CV</t>
  </si>
  <si>
    <t>Estimate (HPE US)</t>
  </si>
  <si>
    <t>1436372D US Equity</t>
  </si>
  <si>
    <t>2025Q3 CF (1436372D US)</t>
  </si>
  <si>
    <t>Pine Gate Renewables LLC</t>
  </si>
  <si>
    <t>FLCM US Equity</t>
  </si>
  <si>
    <t>2024Q2 CF (FLCM US)</t>
  </si>
  <si>
    <t>Fulcrum Bioenergy Inc</t>
  </si>
  <si>
    <t>GCEHQ US Equity</t>
  </si>
  <si>
    <t>2025Q1 CF (GCEHQ US)</t>
  </si>
  <si>
    <t>Global Clean Energy Holdings Inc</t>
  </si>
  <si>
    <t>HOT GR Equity</t>
  </si>
  <si>
    <t>Company News (URI US)</t>
  </si>
  <si>
    <t>HOCHTIEF AG</t>
  </si>
  <si>
    <t>TEMN SW Equity</t>
  </si>
  <si>
    <t>Estimate (TEMN SW)</t>
  </si>
  <si>
    <t>Temenos AG</t>
  </si>
  <si>
    <t>7974 JP Equity</t>
  </si>
  <si>
    <t>Estimate (7974 JP)</t>
  </si>
  <si>
    <t>Nintendo Co Ltd</t>
  </si>
  <si>
    <t>DD US Equity</t>
  </si>
  <si>
    <t>Estimate (DD US)</t>
  </si>
  <si>
    <t>DuPont de Nemours Inc</t>
  </si>
  <si>
    <t>DLB US Equity</t>
  </si>
  <si>
    <t>Estimate (DLB US)</t>
  </si>
  <si>
    <t>Dolby Laboratories Inc</t>
  </si>
  <si>
    <t>002103 CH Equity</t>
  </si>
  <si>
    <t>2022A CF (002103 CH)</t>
  </si>
  <si>
    <t>Guangbo Group Stock Co Ltd</t>
  </si>
  <si>
    <t>0141197D LN Equity</t>
  </si>
  <si>
    <t>2025A CF (ACCO US)</t>
  </si>
  <si>
    <t>Kantar Group Ltd/The</t>
  </si>
  <si>
    <t>INTT US Equity</t>
  </si>
  <si>
    <t>Estimate (INTT US)</t>
  </si>
  <si>
    <t>inTEST Corp</t>
  </si>
  <si>
    <t>Sempra</t>
  </si>
  <si>
    <t>NG/ LN Equity</t>
  </si>
  <si>
    <t>2021A CF (NG/ LN)</t>
  </si>
  <si>
    <t>National Grid PLC</t>
  </si>
  <si>
    <t>POR US Equity</t>
  </si>
  <si>
    <t>2021A CF (POR US)</t>
  </si>
  <si>
    <t>Portland General Electric Co</t>
  </si>
  <si>
    <t>2024A CF (FSP US)</t>
  </si>
  <si>
    <t>Franklin Street Properties Corp</t>
  </si>
  <si>
    <t>ETR US Equity</t>
  </si>
  <si>
    <t>2021A CF (ETR US)</t>
  </si>
  <si>
    <t>Entergy Corp</t>
  </si>
  <si>
    <t>0217032D US Equity</t>
  </si>
  <si>
    <t>2023Q2 CF (HZNP US)</t>
  </si>
  <si>
    <t>Patheon Pharmaceuticals Inc</t>
  </si>
  <si>
    <t>0360489Z US Equity</t>
  </si>
  <si>
    <t>Regents of the University of California/The</t>
  </si>
  <si>
    <t>0414456D US Equity</t>
  </si>
  <si>
    <t>2022A CF (HZNP US)</t>
  </si>
  <si>
    <t>Lyne Laboratories Inc</t>
  </si>
  <si>
    <t>0611670D US Equity</t>
  </si>
  <si>
    <t>2022Q2 CF (HZNP US)</t>
  </si>
  <si>
    <t>Hemoshear Therapeutics LLC</t>
  </si>
  <si>
    <t>0737120D US Equity</t>
  </si>
  <si>
    <t>Mountain View Pharmaceuticals Inc</t>
  </si>
  <si>
    <t>2022A CF (LXP US)</t>
  </si>
  <si>
    <t>BDO USA PA</t>
  </si>
  <si>
    <t>1640994D US Equity</t>
  </si>
  <si>
    <t>2023A CF (LXP US)</t>
  </si>
  <si>
    <t>RE Tech Advisors LLC</t>
  </si>
  <si>
    <t>5092Z US Equity</t>
  </si>
  <si>
    <t>Ernst &amp; Young LLP</t>
  </si>
  <si>
    <t>CBRE US Equity</t>
  </si>
  <si>
    <t>2024A CF (LXP US)</t>
  </si>
  <si>
    <t>CBRE Group Inc</t>
  </si>
  <si>
    <t>Estimate (KO US)</t>
  </si>
  <si>
    <t>Coca-Cola Co/The</t>
  </si>
  <si>
    <t>BALL US Equity</t>
  </si>
  <si>
    <t>Estimate (BALL US)</t>
  </si>
  <si>
    <t>Ball Corp</t>
  </si>
  <si>
    <t>OI US Equity</t>
  </si>
  <si>
    <t>Estimate (OI US)</t>
  </si>
  <si>
    <t>O-I Glass Inc</t>
  </si>
  <si>
    <t>ABI BB Equity</t>
  </si>
  <si>
    <t>Estimate (ABI BB)</t>
  </si>
  <si>
    <t>Anheuser-Busch InBev SA/NV</t>
  </si>
  <si>
    <t>Estimate (CMI US)</t>
  </si>
  <si>
    <t>Cummins Inc</t>
  </si>
  <si>
    <t>179 HK Equity</t>
  </si>
  <si>
    <t>Estimate (179 HK)</t>
  </si>
  <si>
    <t>Johnson Electric Holdings Ltd</t>
  </si>
  <si>
    <t>MG CN Equity</t>
  </si>
  <si>
    <t>Estimate (MG CN)</t>
  </si>
  <si>
    <t>Magna International Inc</t>
  </si>
  <si>
    <t>6594 JP Equity</t>
  </si>
  <si>
    <t>Estimate (6594 JP)</t>
  </si>
  <si>
    <t>NIDEC CORP</t>
  </si>
  <si>
    <t>ACX SM Equity</t>
  </si>
  <si>
    <t>Estimate (ACX SM)</t>
  </si>
  <si>
    <t>Acerinox SA</t>
  </si>
  <si>
    <t>Company News (EVRI US)</t>
  </si>
  <si>
    <t>Bluefin Payment Systems LLC</t>
  </si>
  <si>
    <t>8247120Z US Equity</t>
  </si>
  <si>
    <t>Prove Identity Inc</t>
  </si>
  <si>
    <t>NXQ LN Equity</t>
  </si>
  <si>
    <t>2023A CF (NXQ LN)</t>
  </si>
  <si>
    <t>Nexteq PLC</t>
  </si>
  <si>
    <t>Wells Fargo &amp; Co</t>
  </si>
  <si>
    <t>Estimate (RS US)</t>
  </si>
  <si>
    <t>FNOVA17 MM Equity</t>
  </si>
  <si>
    <t>2024A CF (FNOVA17 MM)</t>
  </si>
  <si>
    <t>Proyectos Inmobiliarios Carne Mart SA de CV</t>
  </si>
  <si>
    <t>2025Q3 CF (DAR US)</t>
  </si>
  <si>
    <t>Darling Ingredients Inc</t>
  </si>
  <si>
    <t>Honeywell International Inc</t>
  </si>
  <si>
    <t>Estimate (2330 TT)</t>
  </si>
  <si>
    <t>Estimate (005930 KS)</t>
  </si>
  <si>
    <t>Estimate (LASR US)</t>
  </si>
  <si>
    <t>nLight Inc</t>
  </si>
  <si>
    <t>GHH LN Equity</t>
  </si>
  <si>
    <t>Estimate (GHH LN)</t>
  </si>
  <si>
    <t>Gooch &amp; Housego PLC</t>
  </si>
  <si>
    <t>Estimate (LITE US)</t>
  </si>
  <si>
    <t>002222 CH Equity</t>
  </si>
  <si>
    <t>2021A CF (002222 CH)</t>
  </si>
  <si>
    <t>Castech Inc</t>
  </si>
  <si>
    <t>300620 CH Equity</t>
  </si>
  <si>
    <t>2025S1 CF (300620 CH)</t>
  </si>
  <si>
    <t>Advanced Fiber Resources Zhuhai Ltd</t>
  </si>
  <si>
    <t>2025A CF (LOGN SW)</t>
  </si>
  <si>
    <t>Logitech International SA</t>
  </si>
  <si>
    <t>FFIV US Equity</t>
  </si>
  <si>
    <t>2025Q3 CF (FFIV US)</t>
  </si>
  <si>
    <t>F5 Inc</t>
  </si>
  <si>
    <t>TENB US Equity</t>
  </si>
  <si>
    <t>2025Q3 CF (TENB US)</t>
  </si>
  <si>
    <t>Tenable Holdings Inc</t>
  </si>
  <si>
    <t>ADSK US Equity</t>
  </si>
  <si>
    <t>2025A CF (ADSK US)</t>
  </si>
  <si>
    <t>Autodesk Inc</t>
  </si>
  <si>
    <t>SCKT US Equity</t>
  </si>
  <si>
    <t>2025Q1 CF (SCKT US)</t>
  </si>
  <si>
    <t>Socket Mobile Inc</t>
  </si>
  <si>
    <t>2023A CF (SWN US)</t>
  </si>
  <si>
    <t>Rockies Express Pipeline LLC</t>
  </si>
  <si>
    <t>EPSN US Equity</t>
  </si>
  <si>
    <t>2023A CF (EPSN US)</t>
  </si>
  <si>
    <t>Epsilon Energy Ltd</t>
  </si>
  <si>
    <t>ET US Equity</t>
  </si>
  <si>
    <t>Energy Transfer LP</t>
  </si>
  <si>
    <t>ICDIQ US Equity</t>
  </si>
  <si>
    <t>2023Q3 CF (ICDIQ US)</t>
  </si>
  <si>
    <t>Independence Contract Drilling Inc</t>
  </si>
  <si>
    <t>KLXE US Equity</t>
  </si>
  <si>
    <t>2024Q2 CF (KLXE US)</t>
  </si>
  <si>
    <t>KLX Energy Services Holdings Inc</t>
  </si>
  <si>
    <t>TTM Technologies Inc</t>
  </si>
  <si>
    <t>FII FP Equity</t>
  </si>
  <si>
    <t>Estimate (FII FP)</t>
  </si>
  <si>
    <t>LISI SA</t>
  </si>
  <si>
    <t>2025A CF (UPS US)</t>
  </si>
  <si>
    <t>UNFI US Equity</t>
  </si>
  <si>
    <t>United Natural Foods Inc</t>
  </si>
  <si>
    <t>Macy's Inc</t>
  </si>
  <si>
    <t>Estimate (BA US)</t>
  </si>
  <si>
    <t>TDG US Equity</t>
  </si>
  <si>
    <t>Estimate (TDG US)</t>
  </si>
  <si>
    <t>TransDigm Group Inc</t>
  </si>
  <si>
    <t>HO FP Equity</t>
  </si>
  <si>
    <t>Estimate (HO FP)</t>
  </si>
  <si>
    <t>Thales SA</t>
  </si>
  <si>
    <t>3810 JP Equity</t>
  </si>
  <si>
    <t>2025A CF (3810 JP)</t>
  </si>
  <si>
    <t>CyberStep Holdings Inc</t>
  </si>
  <si>
    <t>HPP US Equity</t>
  </si>
  <si>
    <t>2024A CF (HPP US)</t>
  </si>
  <si>
    <t>Hudson Pacific Properties Inc</t>
  </si>
  <si>
    <t>2024A CF (2610 TT)</t>
  </si>
  <si>
    <t>China Airlines Ltd</t>
  </si>
  <si>
    <t>2618 TT Equity</t>
  </si>
  <si>
    <t>2024A CF (2618 TT)</t>
  </si>
  <si>
    <t>Eva Airways Corp</t>
  </si>
  <si>
    <t>LTM CI Equity</t>
  </si>
  <si>
    <t>2025A CF (LTM CI)</t>
  </si>
  <si>
    <t>Latam Airlines Group SA</t>
  </si>
  <si>
    <t>DELL US Equity</t>
  </si>
  <si>
    <t>Dell Technologies Inc</t>
  </si>
  <si>
    <t>3702 TT Equity</t>
  </si>
  <si>
    <t>2024A CF (3702 TT)</t>
  </si>
  <si>
    <t>WPG Holdings Ltd</t>
  </si>
  <si>
    <t>000977 CH Equity</t>
  </si>
  <si>
    <t>Estimate (000977 CH)</t>
  </si>
  <si>
    <t>IEIT Systems Co Ltd</t>
  </si>
  <si>
    <t>Company News (ENV US)</t>
  </si>
  <si>
    <t>Akoya LLC</t>
  </si>
  <si>
    <t>5079Z US Equity</t>
  </si>
  <si>
    <t>2023A CF (ENV US)</t>
  </si>
  <si>
    <t>FMR LLC</t>
  </si>
  <si>
    <t>2023C3 CF (002630 KS)</t>
  </si>
  <si>
    <t>Orientbio Inc</t>
  </si>
  <si>
    <t>1902504D US Equity</t>
  </si>
  <si>
    <t>Company News (9980328D US)</t>
  </si>
  <si>
    <t>Segterra Inc</t>
  </si>
  <si>
    <t>2081497D US Equity</t>
  </si>
  <si>
    <t>Pinnacle Fertility Inc</t>
  </si>
  <si>
    <t>2022A CF (3118 TT)</t>
  </si>
  <si>
    <t>4132 TT Equity</t>
  </si>
  <si>
    <t>2022A CF (4132 TT)</t>
  </si>
  <si>
    <t>Golden Biotechnology Corp</t>
  </si>
  <si>
    <t>Union Pacific Corp</t>
  </si>
  <si>
    <t>RIO LN Equity</t>
  </si>
  <si>
    <t>Rio Tinto PLC</t>
  </si>
  <si>
    <t>6301 JP Equity</t>
  </si>
  <si>
    <t>Komatsu Ltd</t>
  </si>
  <si>
    <t>SHEL LN Equity</t>
  </si>
  <si>
    <t>2024A CF (TALO US)</t>
  </si>
  <si>
    <t>Shell PLC</t>
  </si>
  <si>
    <t>4131721Z US Equity</t>
  </si>
  <si>
    <t>Company News (TALO US)</t>
  </si>
  <si>
    <t>United States Department of Energy</t>
  </si>
  <si>
    <t>743757Q US Equity</t>
  </si>
  <si>
    <t>2022Q4 CF (TALO US)</t>
  </si>
  <si>
    <t>El Paso Natural Gas Co LLC</t>
  </si>
  <si>
    <t>PSX US Equity</t>
  </si>
  <si>
    <t>2022A CF (TALO US)</t>
  </si>
  <si>
    <t>Phillips 66</t>
  </si>
  <si>
    <t>2024A CF (4104 TT)</t>
  </si>
  <si>
    <t>Excelsior Medical Co Ltd</t>
  </si>
  <si>
    <t>300246 CH Equity</t>
  </si>
  <si>
    <t>2021A CF (300246 CH)</t>
  </si>
  <si>
    <t>Guangdong Biolight Meditech Co Ltd</t>
  </si>
  <si>
    <t>CNMD US Equity</t>
  </si>
  <si>
    <t>Company News (MDT US)</t>
  </si>
  <si>
    <t>CONMED Corp</t>
  </si>
  <si>
    <t>VIVO US Equity</t>
  </si>
  <si>
    <t>2022A CF (VIVO US)</t>
  </si>
  <si>
    <t>Meridian Bioscience Inc</t>
  </si>
  <si>
    <t>3079 JP Equity</t>
  </si>
  <si>
    <t>2025A CF (3079 JP)</t>
  </si>
  <si>
    <t>Dvx Inc</t>
  </si>
  <si>
    <t>2025A CF (NOC US)</t>
  </si>
  <si>
    <t>Estimate (NOC US)</t>
  </si>
  <si>
    <t>8206440Z LN Equity</t>
  </si>
  <si>
    <t>2025A CF (8206440Z LN)</t>
  </si>
  <si>
    <t>United Kingdom of Great Britain &amp; Northern Ireland Ministry of Defence</t>
  </si>
  <si>
    <t>2025C3 CF (FAST IJ)</t>
  </si>
  <si>
    <t>Fast Food Indonesia Tbk PT</t>
  </si>
  <si>
    <t>000419 CH Equity</t>
  </si>
  <si>
    <t>2024A CF (000419 CH)</t>
  </si>
  <si>
    <t>Changsha Tongcheng Holdings Co Ltd</t>
  </si>
  <si>
    <t>3069 JP Equity</t>
  </si>
  <si>
    <t>2022A CF (3069 JP)</t>
  </si>
  <si>
    <t>JFLA Holdings Inc</t>
  </si>
  <si>
    <t>7130 JP Equity</t>
  </si>
  <si>
    <t>2025A CF (7130 JP)</t>
  </si>
  <si>
    <t>Yamae Group Holdings Co Ltd</t>
  </si>
  <si>
    <t>9873 JP Equity</t>
  </si>
  <si>
    <t>2024A CF (9873 JP)</t>
  </si>
  <si>
    <t>KFC Holdings Japan Ltd</t>
  </si>
  <si>
    <t>Company News (AGR US)</t>
  </si>
  <si>
    <t>Statkraft SF</t>
  </si>
  <si>
    <t>1712023D US Equity</t>
  </si>
  <si>
    <t>2023A CF (AGR US)</t>
  </si>
  <si>
    <t>Vineyard Wind LLC</t>
  </si>
  <si>
    <t>20031MF US Equity</t>
  </si>
  <si>
    <t>Town of Barnstable MA</t>
  </si>
  <si>
    <t>2025A CF (NXPI US)</t>
  </si>
  <si>
    <t>NXP Semiconductors NV</t>
  </si>
  <si>
    <t>Eaton Corp PLC</t>
  </si>
  <si>
    <t>2025C3 CF (004000 KS)</t>
  </si>
  <si>
    <t>LOTTE Fine Chemical Co Ltd</t>
  </si>
  <si>
    <t>011170 KS Equity</t>
  </si>
  <si>
    <t>2023C1 CF (011170 KS)</t>
  </si>
  <si>
    <t>Lotte Chemical Corp</t>
  </si>
  <si>
    <t>4763 TT Equity</t>
  </si>
  <si>
    <t>2024A CF (4763 TT)</t>
  </si>
  <si>
    <t>Jinan Acetate Chemical Co Ltd</t>
  </si>
  <si>
    <t>Company News (RYN US)</t>
  </si>
  <si>
    <t>2024A CF (002819 CH)</t>
  </si>
  <si>
    <t>Beijing Oriental Jicheng Co Ltd</t>
  </si>
  <si>
    <t>003021 CH Equity</t>
  </si>
  <si>
    <t>2023A CF (003021 CH)</t>
  </si>
  <si>
    <t>Shenzhen Zhaowei Machinery &amp; Electronic Co Ltd</t>
  </si>
  <si>
    <t>109610 KS Equity</t>
  </si>
  <si>
    <t>2025C2 CF (109610 KS)</t>
  </si>
  <si>
    <t>SY Co Ltd</t>
  </si>
  <si>
    <t>Company News (VSEE US)</t>
  </si>
  <si>
    <t>VSee Health Inc</t>
  </si>
  <si>
    <t>Company News (FUBO US)</t>
  </si>
  <si>
    <t>fuboTV Inc</t>
  </si>
  <si>
    <t>TTD US Equity</t>
  </si>
  <si>
    <t>2025Q3 CF (TTD US)</t>
  </si>
  <si>
    <t>Trade Desk Inc/The</t>
  </si>
  <si>
    <t>BFS US Equity</t>
  </si>
  <si>
    <t>2024A CF (BFS US)</t>
  </si>
  <si>
    <t>Saul Centers Inc</t>
  </si>
  <si>
    <t>GDYN US Equity</t>
  </si>
  <si>
    <t>2022Q4 CF (GDYN US)</t>
  </si>
  <si>
    <t>Grid Dynamics Holdings Inc</t>
  </si>
  <si>
    <t>INTA US Equity</t>
  </si>
  <si>
    <t>2024Q3 CF (INTA US)</t>
  </si>
  <si>
    <t>Intapp Inc</t>
  </si>
  <si>
    <t>2024A CF (NEWT US)</t>
  </si>
  <si>
    <t>2025A CF (LFUS US)</t>
  </si>
  <si>
    <t>Estimate (LFUS US)</t>
  </si>
  <si>
    <t>3036 TT Equity</t>
  </si>
  <si>
    <t>WT Microelectronics Co Ltd</t>
  </si>
  <si>
    <t>2024A CF (AMPY US)</t>
  </si>
  <si>
    <t>DINO US Equity</t>
  </si>
  <si>
    <t>HF Sinclair Corp</t>
  </si>
  <si>
    <t>0713670D US Equity</t>
  </si>
  <si>
    <t>Southwest Energy LP</t>
  </si>
  <si>
    <t>0751942D US Equity</t>
  </si>
  <si>
    <t>2021A CF (AMPY US)</t>
  </si>
  <si>
    <t>SOGC Inc</t>
  </si>
  <si>
    <t>0880147D US Equity</t>
  </si>
  <si>
    <t>2023A CF (AMPY US)</t>
  </si>
  <si>
    <t>Koch Energy Services LLC</t>
  </si>
  <si>
    <t>Estimate (RTX US)</t>
  </si>
  <si>
    <t>000063 CH Equity</t>
  </si>
  <si>
    <t>Estimate (000063 CH)</t>
  </si>
  <si>
    <t>ZTE Corp</t>
  </si>
  <si>
    <t>PANGAZ HK Equity</t>
  </si>
  <si>
    <t>2022A CF (MTSI US)</t>
  </si>
  <si>
    <t>Pangaea HK Ltd</t>
  </si>
  <si>
    <t>2021A CF (SNX US)</t>
  </si>
  <si>
    <t>2024A CF (BRK/A US)</t>
  </si>
  <si>
    <t>Yum! Brands Inc</t>
  </si>
  <si>
    <t>2022A CF (PRMW CN)</t>
  </si>
  <si>
    <t>2025A CF (BA US)</t>
  </si>
  <si>
    <t>AL US Equity</t>
  </si>
  <si>
    <t>Air Lease Corp</t>
  </si>
  <si>
    <t>2024A CF (KIM US)</t>
  </si>
  <si>
    <t>ROST US Equity</t>
  </si>
  <si>
    <t>Ross Stores Inc</t>
  </si>
  <si>
    <t>Estimate (VSH US)</t>
  </si>
  <si>
    <t>Estimate (IFF US)</t>
  </si>
  <si>
    <t>HEN3 GR Equity</t>
  </si>
  <si>
    <t>Henkel AG &amp; Co KGaA</t>
  </si>
  <si>
    <t>MC FP Equity</t>
  </si>
  <si>
    <t>LVMH Moet Hennessy Louis Vuitton SE</t>
  </si>
  <si>
    <t>2022A CF (VMC US)</t>
  </si>
  <si>
    <t>DOD DOA United States Army Corps of Engineers</t>
  </si>
  <si>
    <t>Company News (AIV US)</t>
  </si>
  <si>
    <t>Harbor Group International LLC</t>
  </si>
  <si>
    <t>2022A CF (000737 CH)</t>
  </si>
  <si>
    <t>North Copper Co Ltd</t>
  </si>
  <si>
    <t>2112160D FH Equity</t>
  </si>
  <si>
    <t>Company News (2112160D FH)</t>
  </si>
  <si>
    <t>IQM Quantum Computers</t>
  </si>
  <si>
    <t>3061059Z US Equity</t>
  </si>
  <si>
    <t>Company News (JPM US)</t>
  </si>
  <si>
    <t>United States Department of the Treasury</t>
  </si>
  <si>
    <t>ACIN SW Equity</t>
  </si>
  <si>
    <t>Company News (ACIN SW)</t>
  </si>
  <si>
    <t>Acino International AG</t>
  </si>
  <si>
    <t>Company News (TFX US)</t>
  </si>
  <si>
    <t>1788 TT Equity</t>
  </si>
  <si>
    <t>2025C3 CF (1788 TT)</t>
  </si>
  <si>
    <t>Hi-Clearance Inc</t>
  </si>
  <si>
    <t>603987 CH Equity</t>
  </si>
  <si>
    <t>2021A CF (603987 CH)</t>
  </si>
  <si>
    <t>Shanghai Kindly Enterprise Development Group Co Ltd</t>
  </si>
  <si>
    <t>GOWL US Equity</t>
  </si>
  <si>
    <t>WL Gore &amp; Associates Inc</t>
  </si>
  <si>
    <t>6758 JP Equity</t>
  </si>
  <si>
    <t>2025A CF (EA US)</t>
  </si>
  <si>
    <t>Sony Group Corp</t>
  </si>
  <si>
    <t>Estimate (EA US)</t>
  </si>
  <si>
    <t>2022Q3 CF (LHCG US)</t>
  </si>
  <si>
    <t>0456340D US Equity</t>
  </si>
  <si>
    <t>First Command Financial Services Inc</t>
  </si>
  <si>
    <t>1609329D US Equity</t>
  </si>
  <si>
    <t>Ocrolus Inc</t>
  </si>
  <si>
    <t>EBIXQ US Equity</t>
  </si>
  <si>
    <t>Company News (EBIXQ US)</t>
  </si>
  <si>
    <t>Ebix Inc</t>
  </si>
  <si>
    <t>Company News (3147564Z US)</t>
  </si>
  <si>
    <t>Equilar Inc</t>
  </si>
  <si>
    <t>ALK US Equity</t>
  </si>
  <si>
    <t>2025A CF (ALK US)</t>
  </si>
  <si>
    <t>Alaska Air Group Inc</t>
  </si>
  <si>
    <t>LUDG US Equity</t>
  </si>
  <si>
    <t>Company News (LUDG US)</t>
  </si>
  <si>
    <t>Ludwig Enterprises Inc</t>
  </si>
  <si>
    <t>2024A CF (002284 CH)</t>
  </si>
  <si>
    <t>002292 CH Equity</t>
  </si>
  <si>
    <t>2025S1 CF (002292 CH)</t>
  </si>
  <si>
    <t>Alpha Group</t>
  </si>
  <si>
    <t>0613968D US Equity</t>
  </si>
  <si>
    <t>2024Q2 CF (0613968D US)</t>
  </si>
  <si>
    <t>Zachry Holdings Inc</t>
  </si>
  <si>
    <t>1513 TT Equity</t>
  </si>
  <si>
    <t>2024A CF (1513 TT)</t>
  </si>
  <si>
    <t>Chung-Hsin Electric &amp; Machinery Manufacturing Corp</t>
  </si>
  <si>
    <t>2734 TT Equity</t>
  </si>
  <si>
    <t>2022A CF (2734 TT)</t>
  </si>
  <si>
    <t>Ezfly International Travel Agent Co Ltd</t>
  </si>
  <si>
    <t>PSL IN Equity</t>
  </si>
  <si>
    <t>Estimate (PSL IN)</t>
  </si>
  <si>
    <t>Pennar Industries Ltd</t>
  </si>
  <si>
    <t>MOTHERSO IN Equity</t>
  </si>
  <si>
    <t>Estimate (MOTHERSO IN)</t>
  </si>
  <si>
    <t>Samvardhana Motherson International Ltd</t>
  </si>
  <si>
    <t>ALIC IN Equity</t>
  </si>
  <si>
    <t>Estimate (ALIC IN)</t>
  </si>
  <si>
    <t>Alicon Castalloy Ltd</t>
  </si>
  <si>
    <t>000534 CH Equity</t>
  </si>
  <si>
    <t>2025S1 CF (000534 CH)</t>
  </si>
  <si>
    <t>Wedge Industrial Co Ltd</t>
  </si>
  <si>
    <t>2024A CF (HLX US)</t>
  </si>
  <si>
    <t>Helix Energy Solutions Group Inc</t>
  </si>
  <si>
    <t>SDRL US Equity</t>
  </si>
  <si>
    <t>2025A CF (SDRL US)</t>
  </si>
  <si>
    <t>Seadrill Ltd</t>
  </si>
  <si>
    <t>SUBC NO Equity</t>
  </si>
  <si>
    <t>Estimate (SUBC NO)</t>
  </si>
  <si>
    <t>Subsea 7 SA</t>
  </si>
  <si>
    <t>SBMO NA Equity</t>
  </si>
  <si>
    <t>Estimate (SBMO NA)</t>
  </si>
  <si>
    <t>SBM Offshore NV</t>
  </si>
  <si>
    <t>2022Q2 CF (REVRQ US)</t>
  </si>
  <si>
    <t>Revlon Inc</t>
  </si>
  <si>
    <t>TRKAQ US Equity</t>
  </si>
  <si>
    <t>2023Q4 CF (TRKAQ US)</t>
  </si>
  <si>
    <t>Trka Media Group Inc</t>
  </si>
  <si>
    <t>BING GR Equity</t>
  </si>
  <si>
    <t>Boehringer Ingelheim GmbH</t>
  </si>
  <si>
    <t>7459 JP Equity</t>
  </si>
  <si>
    <t>Medipal Holdings Corp</t>
  </si>
  <si>
    <t>2025A CF (CVS US)</t>
  </si>
  <si>
    <t>002506 CH Equity</t>
  </si>
  <si>
    <t>Company News (CVS US)</t>
  </si>
  <si>
    <t>GCL System Integration Technology Co Ltd</t>
  </si>
  <si>
    <t>0476739D CH Equity</t>
  </si>
  <si>
    <t>Shandong Province Industrial Equipment Installation Group Co Ltd</t>
  </si>
  <si>
    <t>1053543D US Equity</t>
  </si>
  <si>
    <t>West Virginia Department of Health &amp; Human Resources</t>
  </si>
  <si>
    <t>TSEM IT Equity</t>
  </si>
  <si>
    <t>Estimate (TSEM IT)</t>
  </si>
  <si>
    <t>Tower Semiconductor Ltd</t>
  </si>
  <si>
    <t>AIXA GR Equity</t>
  </si>
  <si>
    <t>Estimate (AIXA GR)</t>
  </si>
  <si>
    <t>AIXTRON SE</t>
  </si>
  <si>
    <t>042700 KS Equity</t>
  </si>
  <si>
    <t>Estimate (042700 KS)</t>
  </si>
  <si>
    <t>Hanmi Semiconductor Co Ltd</t>
  </si>
  <si>
    <t>Company News (VSH US)</t>
  </si>
  <si>
    <t>003026 CH Equity</t>
  </si>
  <si>
    <t>2024A CF (003026 CH)</t>
  </si>
  <si>
    <t>Zhejiang MTCN Technology Co Ltd</t>
  </si>
  <si>
    <t>3711 TT Equity</t>
  </si>
  <si>
    <t>Estimate (3711 TT)</t>
  </si>
  <si>
    <t>ASE Technology Holding Co Ltd</t>
  </si>
  <si>
    <t>3105 TT Equity</t>
  </si>
  <si>
    <t>Estimate (3105 TT)</t>
  </si>
  <si>
    <t>Win Semiconductors Corp</t>
  </si>
  <si>
    <t>IQE LN Equity</t>
  </si>
  <si>
    <t>Estimate (IQE LN)</t>
  </si>
  <si>
    <t>IQE PLC</t>
  </si>
  <si>
    <t>AEHR US Equity</t>
  </si>
  <si>
    <t>Estimate (AEHR US)</t>
  </si>
  <si>
    <t>Aehr Test Systems</t>
  </si>
  <si>
    <t>2025Q1 CF (CAP FP)</t>
  </si>
  <si>
    <t>GTM US Equity</t>
  </si>
  <si>
    <t>2022Q3 CF (GTM US)</t>
  </si>
  <si>
    <t>ZoomInfo Technologies Inc</t>
  </si>
  <si>
    <t>2025Q1 CF (INFA US)</t>
  </si>
  <si>
    <t>7013 JP Equity</t>
  </si>
  <si>
    <t>Estimate (7013 JP)</t>
  </si>
  <si>
    <t>IHI Corp</t>
  </si>
  <si>
    <t>SAABB SS Equity</t>
  </si>
  <si>
    <t>Estimate (SAABB SS)</t>
  </si>
  <si>
    <t>Saab AB</t>
  </si>
  <si>
    <t>BA/ LN Equity</t>
  </si>
  <si>
    <t>Estimate (BA/ LN)</t>
  </si>
  <si>
    <t>BAE Systems PLC</t>
  </si>
  <si>
    <t>DLN LN Equity</t>
  </si>
  <si>
    <t>2025S1 CF (DLN LN)</t>
  </si>
  <si>
    <t>Derwent London PLC</t>
  </si>
  <si>
    <t>Estimate (HLIT US)</t>
  </si>
  <si>
    <t>Harmonic Inc</t>
  </si>
  <si>
    <t>0067706D US Equity</t>
  </si>
  <si>
    <t>Company News (SSP US)</t>
  </si>
  <si>
    <t>Internet Consulting Services Inc</t>
  </si>
  <si>
    <t>0122957D US Equity</t>
  </si>
  <si>
    <t>NHL Enterprises LP</t>
  </si>
  <si>
    <t>0722710D US Equity</t>
  </si>
  <si>
    <t>Florida Panthers Hockey Club Ltd</t>
  </si>
  <si>
    <t>0833709D US Equity</t>
  </si>
  <si>
    <t>2024A CF (SSP US)</t>
  </si>
  <si>
    <t>ABC Television Network</t>
  </si>
  <si>
    <t>1052024D US Equity</t>
  </si>
  <si>
    <t>Health Gorilla Inc</t>
  </si>
  <si>
    <t>1235509D SW Equity</t>
  </si>
  <si>
    <t>Proteomedix AG</t>
  </si>
  <si>
    <t>405 HK Equity</t>
  </si>
  <si>
    <t>2021A CF (405 HK)</t>
  </si>
  <si>
    <t>Yuexiu Real Estate Investment Trust</t>
  </si>
  <si>
    <t>2024Q1 CF (ATS CN)</t>
  </si>
  <si>
    <t>BIOCQ US Equity</t>
  </si>
  <si>
    <t>2022A CF (BIOCQ US)</t>
  </si>
  <si>
    <t>Biocept Inc</t>
  </si>
  <si>
    <t>Ferguson Electric Co Inc</t>
  </si>
  <si>
    <t>354061Z US Equity</t>
  </si>
  <si>
    <t>MA Mortenson Co</t>
  </si>
  <si>
    <t>4148197Z US Equity</t>
  </si>
  <si>
    <t>Northline Utilities LLC</t>
  </si>
  <si>
    <t>634750Z US Equity</t>
  </si>
  <si>
    <t>Stuart C Irby Co LLC</t>
  </si>
  <si>
    <t>7011 JP Equity</t>
  </si>
  <si>
    <t>Mitsubishi Heavy Industries Ltd</t>
  </si>
  <si>
    <t>144062Z US Equity</t>
  </si>
  <si>
    <t>2023A CF (SGI US)</t>
  </si>
  <si>
    <t>Mattress Firm Inc</t>
  </si>
  <si>
    <t>603389 CH Equity</t>
  </si>
  <si>
    <t>2021A CF (603389 CH)</t>
  </si>
  <si>
    <t>A-Zenith Home Furnishings Co Ltd</t>
  </si>
  <si>
    <t>2024Q1 CF (BBBYQ US)</t>
  </si>
  <si>
    <t>BIGGQ US Equity</t>
  </si>
  <si>
    <t>2025Q1 CF (BIGGQ US)</t>
  </si>
  <si>
    <t>Big Lots Inc</t>
  </si>
  <si>
    <t>2025A CF (CAH US)</t>
  </si>
  <si>
    <t>Estimate (CAH US)</t>
  </si>
  <si>
    <t>MLNI US Equity</t>
  </si>
  <si>
    <t>Medline Industries LP/United States</t>
  </si>
  <si>
    <t>2026C3 CF (MCHP US)</t>
  </si>
  <si>
    <t>Estimate (MCHP US)</t>
  </si>
  <si>
    <t>4919 TT Equity</t>
  </si>
  <si>
    <t>2024A CF (4919 TT)</t>
  </si>
  <si>
    <t>Nuvoton Technology Corp</t>
  </si>
  <si>
    <t>KDP US Equity</t>
  </si>
  <si>
    <t>Estimate (KDP US)</t>
  </si>
  <si>
    <t>Keurig Dr Pepper Inc</t>
  </si>
  <si>
    <t>CL US Equity</t>
  </si>
  <si>
    <t>Estimate (CL US)</t>
  </si>
  <si>
    <t>Colgate-Palmolive Co</t>
  </si>
  <si>
    <t>SPB US Equity</t>
  </si>
  <si>
    <t>Estimate (SPB US)</t>
  </si>
  <si>
    <t>Spectrum Brands Holdings Inc</t>
  </si>
  <si>
    <t>Estimate (MHK US)</t>
  </si>
  <si>
    <t>Mohawk Industries Inc</t>
  </si>
  <si>
    <t>0322498Z US Equity</t>
  </si>
  <si>
    <t>2025Q3 CF (EA US)</t>
  </si>
  <si>
    <t>National Football League Players Association</t>
  </si>
  <si>
    <t>0377218Z US Equity</t>
  </si>
  <si>
    <t>Company News (EA US)</t>
  </si>
  <si>
    <t>Jivox Corp</t>
  </si>
  <si>
    <t>BAS GR Equity</t>
  </si>
  <si>
    <t>Estimate (BAS GR)</t>
  </si>
  <si>
    <t>BASF SE</t>
  </si>
  <si>
    <t>HCLT IN Equity</t>
  </si>
  <si>
    <t>Estimate (HCLT IN)</t>
  </si>
  <si>
    <t>HCL Technologies Ltd</t>
  </si>
  <si>
    <t>GPK US Equity</t>
  </si>
  <si>
    <t>Estimate (GPK US)</t>
  </si>
  <si>
    <t>Graphic Packaging Holding Co</t>
  </si>
  <si>
    <t>PEP US Equity</t>
  </si>
  <si>
    <t>Estimate (PEP US)</t>
  </si>
  <si>
    <t>PepsiCo Inc</t>
  </si>
  <si>
    <t>PAR US Equity</t>
  </si>
  <si>
    <t>2025Q2 CF (PAR US)</t>
  </si>
  <si>
    <t>PAR Technology Corp</t>
  </si>
  <si>
    <t>HUH1V FH Equity</t>
  </si>
  <si>
    <t>Estimate (HUH1V FH)</t>
  </si>
  <si>
    <t>Huhtamaki Oyj</t>
  </si>
  <si>
    <t>2025A CF (6616 JP)</t>
  </si>
  <si>
    <t>Torex Semiconductor Ltd</t>
  </si>
  <si>
    <t>6224 TT Equity</t>
  </si>
  <si>
    <t>2025C3 CF (6224 TT)</t>
  </si>
  <si>
    <t>Polytronics Technology Corp</t>
  </si>
  <si>
    <t>240246Z PM Equity</t>
  </si>
  <si>
    <t>Automated Technology Philippines Inc</t>
  </si>
  <si>
    <t>208850 KS Equity</t>
  </si>
  <si>
    <t>EB TECH Co Ltd</t>
  </si>
  <si>
    <t>NNBR US Equity</t>
  </si>
  <si>
    <t>Estimate (NNBR US)</t>
  </si>
  <si>
    <t>NN Inc</t>
  </si>
  <si>
    <t>PPL US Equity</t>
  </si>
  <si>
    <t>2021A CF (PPL US)</t>
  </si>
  <si>
    <t>PPL Corp</t>
  </si>
  <si>
    <t>2023Q3 CF (023160 KS)</t>
  </si>
  <si>
    <t>TK Corp</t>
  </si>
  <si>
    <t>Morgan Stanley</t>
  </si>
  <si>
    <t>Estimate (SNCR US)</t>
  </si>
  <si>
    <t>9984 JP Equity</t>
  </si>
  <si>
    <t>SoftBank Group Corp</t>
  </si>
  <si>
    <t>BT/A LN Equity</t>
  </si>
  <si>
    <t>BT Group PLC</t>
  </si>
  <si>
    <t>VOD LN Equity</t>
  </si>
  <si>
    <t>Vodafone Group PLC</t>
  </si>
  <si>
    <t>Estimate (ATCOA SS)</t>
  </si>
  <si>
    <t>Atlas Copco AB</t>
  </si>
  <si>
    <t>RAIL US Equity</t>
  </si>
  <si>
    <t>Estimate (RAIL US)</t>
  </si>
  <si>
    <t>FreightCar America Inc</t>
  </si>
  <si>
    <t>FRPH US Equity</t>
  </si>
  <si>
    <t>2024A CF (FRPH US)</t>
  </si>
  <si>
    <t>FRP Holdings Inc</t>
  </si>
  <si>
    <t>FN US Equity</t>
  </si>
  <si>
    <t>Estimate (FN US)</t>
  </si>
  <si>
    <t>Fabrinet</t>
  </si>
  <si>
    <t>SPR US Equity</t>
  </si>
  <si>
    <t>2025Q3 CF (SPR US)</t>
  </si>
  <si>
    <t>Spirit AeroSystems Holdings Inc</t>
  </si>
  <si>
    <t>RR/ LN Equity</t>
  </si>
  <si>
    <t>Estimate (RR/ LN)</t>
  </si>
  <si>
    <t>Rolls-Royce Holdings PLC</t>
  </si>
  <si>
    <t>BE US Equity</t>
  </si>
  <si>
    <t>Estimate (BE US)</t>
  </si>
  <si>
    <t>Bloom Energy Corp</t>
  </si>
  <si>
    <t>Company News (FICO US)</t>
  </si>
  <si>
    <t>Fair Isaac Corp</t>
  </si>
  <si>
    <t>JPMorgan Chase &amp; Co</t>
  </si>
  <si>
    <t>2025S1 CF (603610 CH)</t>
  </si>
  <si>
    <t>Keeson Technology Corp Ltd</t>
  </si>
  <si>
    <t>LEG US Equity</t>
  </si>
  <si>
    <t>Estimate (LEG US)</t>
  </si>
  <si>
    <t>Leggett &amp; Platt Inc</t>
  </si>
  <si>
    <t>CULP US Equity</t>
  </si>
  <si>
    <t>Estimate (CULP US)</t>
  </si>
  <si>
    <t>Culp Inc</t>
  </si>
  <si>
    <t>UFI US Equity</t>
  </si>
  <si>
    <t>Estimate (UFI US)</t>
  </si>
  <si>
    <t>Unifi Inc</t>
  </si>
  <si>
    <t>Estimate (PFE US)</t>
  </si>
  <si>
    <t>PRIME SP Equity</t>
  </si>
  <si>
    <t>2024A CF (PRIME SP)</t>
  </si>
  <si>
    <t>Prime US REIT</t>
  </si>
  <si>
    <t>2023A CF (603648 CH)</t>
  </si>
  <si>
    <t>Gilead Sciences Inc</t>
  </si>
  <si>
    <t>2024Q3 CF (ACIW US)</t>
  </si>
  <si>
    <t>Punto Fa SL</t>
  </si>
  <si>
    <t>0522213D US Equity</t>
  </si>
  <si>
    <t>Southern Auto Finance Co</t>
  </si>
  <si>
    <t>1 HK Equity</t>
  </si>
  <si>
    <t>CK Hutchison Holdings Ltd</t>
  </si>
  <si>
    <t>1068Z LN Equity</t>
  </si>
  <si>
    <t>Company News (ACIW US)</t>
  </si>
  <si>
    <t>Co-Operative Group Ltd</t>
  </si>
  <si>
    <t>115500 KS Equity</t>
  </si>
  <si>
    <t>2025C3 CF (115500 KS)</t>
  </si>
  <si>
    <t>Korea Computer &amp; Systems Inc</t>
  </si>
  <si>
    <t>Company News (WBA US)</t>
  </si>
  <si>
    <t>Pearl Health</t>
  </si>
  <si>
    <t>600518 CH Equity</t>
  </si>
  <si>
    <t>2021A CF (600518 CH)</t>
  </si>
  <si>
    <t>Kangmei Pharmaceutical Co Ltd</t>
  </si>
  <si>
    <t>ICC US Equity</t>
  </si>
  <si>
    <t>2023Q2 CF (ICC US)</t>
  </si>
  <si>
    <t>Genesiscare USA Holdings Inc</t>
  </si>
  <si>
    <t>ION PM Equity</t>
  </si>
  <si>
    <t>2024A CF (ION PM)</t>
  </si>
  <si>
    <t>Ionics Inc/Philippines</t>
  </si>
  <si>
    <t>CNDT US Equity</t>
  </si>
  <si>
    <t>Company News (CNDT US)</t>
  </si>
  <si>
    <t>Conduent Inc</t>
  </si>
  <si>
    <t>IRWD US Equity</t>
  </si>
  <si>
    <t>2024A CF (IRWD US)</t>
  </si>
  <si>
    <t>Ironwood Pharmaceuticals Inc</t>
  </si>
  <si>
    <t>2025A CF (4502 JP)</t>
  </si>
  <si>
    <t>Takeda Pharmaceutical Co Ltd</t>
  </si>
  <si>
    <t>Company News (NINE CN)</t>
  </si>
  <si>
    <t>Nine Mile Metals Ltd</t>
  </si>
  <si>
    <t>SOLR CN Equity</t>
  </si>
  <si>
    <t>Company News (SOLR CN)</t>
  </si>
  <si>
    <t>Solar Alliance Energy Inc</t>
  </si>
  <si>
    <t>EMBJ3 BZ Equity</t>
  </si>
  <si>
    <t>2023C3 CF (EMBJ3 BZ)</t>
  </si>
  <si>
    <t>Embraer SA</t>
  </si>
  <si>
    <t>GFS US Equity</t>
  </si>
  <si>
    <t>Estimate (GFS US)</t>
  </si>
  <si>
    <t>GLOBALFOUNDRIES Inc</t>
  </si>
  <si>
    <t>Estimate (IFX GR)</t>
  </si>
  <si>
    <t>2025A CF (FBIN US)</t>
  </si>
  <si>
    <t>Lowe's Cos Inc</t>
  </si>
  <si>
    <t>Estimate (FBIN US)</t>
  </si>
  <si>
    <t>GWW US Equity</t>
  </si>
  <si>
    <t>WW Grainger Inc</t>
  </si>
  <si>
    <t>2022A CF (ACORQ US)</t>
  </si>
  <si>
    <t>0227421Z US Equity</t>
  </si>
  <si>
    <t>United States Public Health Service</t>
  </si>
  <si>
    <t>0670776D CB Equity</t>
  </si>
  <si>
    <t>Company News (ACORQ US)</t>
  </si>
  <si>
    <t>Laboratorios Biopas SA</t>
  </si>
  <si>
    <t>0835070D US Equity</t>
  </si>
  <si>
    <t>2021A CF (ACORQ US)</t>
  </si>
  <si>
    <t>United States Army Medical Research &amp; Materiel Command</t>
  </si>
  <si>
    <t>Company News (ICE US)</t>
  </si>
  <si>
    <t>Intercontinental Exchange Inc</t>
  </si>
  <si>
    <t>COP US Equity</t>
  </si>
  <si>
    <t>ConocoPhillips</t>
  </si>
  <si>
    <t>WMB US Equity</t>
  </si>
  <si>
    <t>Williams Cos Inc/The</t>
  </si>
  <si>
    <t>Expand Energy Corp</t>
  </si>
  <si>
    <t>2026C2 CF (067010 KS)</t>
  </si>
  <si>
    <t>ECS TELECOM Co Ltd</t>
  </si>
  <si>
    <t>1281150D US Equity</t>
  </si>
  <si>
    <t>Company News (0876902D US)</t>
  </si>
  <si>
    <t>Intradiem Inc</t>
  </si>
  <si>
    <t>1681206D US Equity</t>
  </si>
  <si>
    <t>Company News (1681206D US)</t>
  </si>
  <si>
    <t>Asapp Inc</t>
  </si>
  <si>
    <t>TTEC US Equity</t>
  </si>
  <si>
    <t>2022A CF (TTEC US)</t>
  </si>
  <si>
    <t>TTEC Holdings Inc</t>
  </si>
  <si>
    <t>TEN IM Equity</t>
  </si>
  <si>
    <t>Estimate (TEN IM)</t>
  </si>
  <si>
    <t>Tenaris SA</t>
  </si>
  <si>
    <t>Estimate (TT US)</t>
  </si>
  <si>
    <t>Trane Technologies PLC</t>
  </si>
  <si>
    <t>002171 CH Equity</t>
  </si>
  <si>
    <t>2024A CF (002171 CH)</t>
  </si>
  <si>
    <t>Anhui Truchum Advanced Materials &amp; Technology Co Ltd</t>
  </si>
  <si>
    <t>ATKR US Equity</t>
  </si>
  <si>
    <t>2025A CF (ATKR US)</t>
  </si>
  <si>
    <t>Atkore Inc</t>
  </si>
  <si>
    <t>2022C2 CF (004410 KS)</t>
  </si>
  <si>
    <t>Seoul Food Industrial Co Ltd</t>
  </si>
  <si>
    <t>2025A CF (GD US)</t>
  </si>
  <si>
    <t>HII US Equity</t>
  </si>
  <si>
    <t>Estimate (GD US)</t>
  </si>
  <si>
    <t>Huntington Ingalls Industries Inc</t>
  </si>
  <si>
    <t>ESLT IT Equity</t>
  </si>
  <si>
    <t>Elbit Systems Ltd</t>
  </si>
  <si>
    <t>SY1 GR Equity</t>
  </si>
  <si>
    <t>Estimate (SY1 GR)</t>
  </si>
  <si>
    <t>Symrise AG</t>
  </si>
  <si>
    <t>2997357Z BZ Equity</t>
  </si>
  <si>
    <t>Company News (IFF US)</t>
  </si>
  <si>
    <t>Votorantim SA</t>
  </si>
  <si>
    <t>300240 CH Equity</t>
  </si>
  <si>
    <t>2022A CF (300240 CH)</t>
  </si>
  <si>
    <t>Jiangsu Feiliks International Logistics Inc</t>
  </si>
  <si>
    <t>2021A CF (ED US)</t>
  </si>
  <si>
    <t>Consolidated Edison Inc</t>
  </si>
  <si>
    <t>006570 KS Equity</t>
  </si>
  <si>
    <t>2025C3 CF (006570 KS)</t>
  </si>
  <si>
    <t>Daelim Trading Co Ltd</t>
  </si>
  <si>
    <t>0359145Z US Equity</t>
  </si>
  <si>
    <t>Company News (0359145Z US)</t>
  </si>
  <si>
    <t>Jitterbit Inc</t>
  </si>
  <si>
    <t>Estimate (CSCO US)</t>
  </si>
  <si>
    <t>JBTM US Equity</t>
  </si>
  <si>
    <t>JBT Marel Corp</t>
  </si>
  <si>
    <t>2024Q1 CF (ACORQ US)</t>
  </si>
  <si>
    <t>Synergistix Inc</t>
  </si>
  <si>
    <t>1382938D US Equity</t>
  </si>
  <si>
    <t>SMC Ltd</t>
  </si>
  <si>
    <t>1441605D US Equity</t>
  </si>
  <si>
    <t>Syneos Health Commercial Services LLC</t>
  </si>
  <si>
    <t>1721032D US Equity</t>
  </si>
  <si>
    <t>Eversana life Science Services LLC</t>
  </si>
  <si>
    <t>3763740Z US Equity</t>
  </si>
  <si>
    <t>Hibbert Co/The</t>
  </si>
  <si>
    <t>RDWR US Equity</t>
  </si>
  <si>
    <t>Estimate (RDWR US)</t>
  </si>
  <si>
    <t>Radware Ltd</t>
  </si>
  <si>
    <t>0127903D US Equity</t>
  </si>
  <si>
    <t>2023A CF (ACIW US)</t>
  </si>
  <si>
    <t>Wincor Nixdorf Inc</t>
  </si>
  <si>
    <t>HIW US Equity</t>
  </si>
  <si>
    <t>2025A CF (HIW US)</t>
  </si>
  <si>
    <t>Highwoods Properties Inc</t>
  </si>
  <si>
    <t>2023C3 CF (004800 KS)</t>
  </si>
  <si>
    <t>0932236D US Equity</t>
  </si>
  <si>
    <t>Company News (0932236D US)</t>
  </si>
  <si>
    <t>Zafin Labs USA Inc</t>
  </si>
  <si>
    <t>ASCL LN Equity</t>
  </si>
  <si>
    <t>2023A CF (ASCL LN)</t>
  </si>
  <si>
    <t>Ascential Ltd</t>
  </si>
  <si>
    <t>2025A CF (ABBV US)</t>
  </si>
  <si>
    <t>RICHT HB Equity</t>
  </si>
  <si>
    <t>2024A CF (RICHT HB)</t>
  </si>
  <si>
    <t>Richter Gedeon Nyrt</t>
  </si>
  <si>
    <t>2023A CF (CUZ US)</t>
  </si>
  <si>
    <t>DMLP US Equity</t>
  </si>
  <si>
    <t>2023A CF (DMLP US)</t>
  </si>
  <si>
    <t>Dorchester Minerals LP</t>
  </si>
  <si>
    <t>2023A CF (DNOW US)</t>
  </si>
  <si>
    <t>DTI US Equity</t>
  </si>
  <si>
    <t>2023Q3 CF (DTI US)</t>
  </si>
  <si>
    <t>Drilling Tools International Corp</t>
  </si>
  <si>
    <t>FRU CN Equity</t>
  </si>
  <si>
    <t>2023A CF (FRU CN)</t>
  </si>
  <si>
    <t>Freehold Royalties Ltd</t>
  </si>
  <si>
    <t>Estimate (PH US)</t>
  </si>
  <si>
    <t>Parker-Hannifin Corp</t>
  </si>
  <si>
    <t>Sanmina Corp</t>
  </si>
  <si>
    <t>INFO IN Equity</t>
  </si>
  <si>
    <t>Estimate (INFO IN)</t>
  </si>
  <si>
    <t>Infosys Ltd</t>
  </si>
  <si>
    <t>1988842D US Equity</t>
  </si>
  <si>
    <t>2025A CF (AROC US)</t>
  </si>
  <si>
    <t>Ecotec International Holdings LLC</t>
  </si>
  <si>
    <t>0910511D US Equity</t>
  </si>
  <si>
    <t>2025Q4 CF (AROC US)</t>
  </si>
  <si>
    <t>FGC Holdings LLC</t>
  </si>
  <si>
    <t>2025A CF (FN US)</t>
  </si>
  <si>
    <t>Estimate (MXL US)</t>
  </si>
  <si>
    <t>VISN US Equity</t>
  </si>
  <si>
    <t>Vistance Networks Inc</t>
  </si>
  <si>
    <t>Estimate (ERA FP)</t>
  </si>
  <si>
    <t>Eramet SA</t>
  </si>
  <si>
    <t>Estimate (5411 JP)</t>
  </si>
  <si>
    <t>NVRI US Equity</t>
  </si>
  <si>
    <t>Estimate (NVRI US)</t>
  </si>
  <si>
    <t>Enviri Corp</t>
  </si>
  <si>
    <t>VSVS LN Equity</t>
  </si>
  <si>
    <t>Estimate (VSVS LN)</t>
  </si>
  <si>
    <t>Vesuvius PLC</t>
  </si>
  <si>
    <t>2025A CF (TXT US)</t>
  </si>
  <si>
    <t>FedEx Corp</t>
  </si>
  <si>
    <t>Company News (16453Z QD)</t>
  </si>
  <si>
    <t>QatarEnergy</t>
  </si>
  <si>
    <t>GEVO US Equity</t>
  </si>
  <si>
    <t>Company News (GEVO US)</t>
  </si>
  <si>
    <t>Gevo Inc</t>
  </si>
  <si>
    <t>IGSEC IN Equity</t>
  </si>
  <si>
    <t>2025Q1 CF (IGSEC IN)</t>
  </si>
  <si>
    <t>ISGEC Heavy Engineering Ltd</t>
  </si>
  <si>
    <t>IOCL IN Equity</t>
  </si>
  <si>
    <t>2024A CF (IOCL IN)</t>
  </si>
  <si>
    <t>Indian Oil Corp Ltd</t>
  </si>
  <si>
    <t>ONGC IN Equity</t>
  </si>
  <si>
    <t>Company News (ONGC IN)</t>
  </si>
  <si>
    <t>Oil &amp; Natural Gas Corp Ltd</t>
  </si>
  <si>
    <t>MRX US Equity</t>
  </si>
  <si>
    <t>Company News (SF US)</t>
  </si>
  <si>
    <t>Marex Group PLC</t>
  </si>
  <si>
    <t>2025A CF (EHC US)</t>
  </si>
  <si>
    <t>2024A CF (992 HK)</t>
  </si>
  <si>
    <t>CONNQ US Equity</t>
  </si>
  <si>
    <t>2024Q2 CF (CONNQ US)</t>
  </si>
  <si>
    <t>Conn's Inc</t>
  </si>
  <si>
    <t>Company News (STCN US)</t>
  </si>
  <si>
    <t>AMCR US Equity</t>
  </si>
  <si>
    <t>Estimate (AMCR US)</t>
  </si>
  <si>
    <t>Amcor PLC</t>
  </si>
  <si>
    <t>GNC LN Equity</t>
  </si>
  <si>
    <t>Estimate (GNC LN)</t>
  </si>
  <si>
    <t>Greencore Group PLC</t>
  </si>
  <si>
    <t>Estimate (LAD US)</t>
  </si>
  <si>
    <t>Lithia Motors Inc</t>
  </si>
  <si>
    <t>AN US Equity</t>
  </si>
  <si>
    <t>Estimate (AN US)</t>
  </si>
  <si>
    <t>AutoNation Inc</t>
  </si>
  <si>
    <t>ABG US Equity</t>
  </si>
  <si>
    <t>Estimate (ABG US)</t>
  </si>
  <si>
    <t>Asbury Automotive Group Inc</t>
  </si>
  <si>
    <t>HTZ US Equity</t>
  </si>
  <si>
    <t>Estimate (HTZ US)</t>
  </si>
  <si>
    <t>Hertz Global Holdings Inc</t>
  </si>
  <si>
    <t>GPI US Equity</t>
  </si>
  <si>
    <t>Estimate (GPI US)</t>
  </si>
  <si>
    <t>Group 1 Automotive Inc</t>
  </si>
  <si>
    <t>2026Q3 CF (DKS US)</t>
  </si>
  <si>
    <t>Estimate (BERY US)</t>
  </si>
  <si>
    <t>2025A CF (CIEN US)</t>
  </si>
  <si>
    <t>TMUS US Equity</t>
  </si>
  <si>
    <t>T-Mobile US Inc</t>
  </si>
  <si>
    <t>2025Q4 CF (CMLSQ US)</t>
  </si>
  <si>
    <t>Cumulus Media Inc</t>
  </si>
  <si>
    <t>Standard Chartered PLC</t>
  </si>
  <si>
    <t>RY CN Equity</t>
  </si>
  <si>
    <t>2024A CF (NEM US)</t>
  </si>
  <si>
    <t>Royal Bank of Canada</t>
  </si>
  <si>
    <t>0170417D SW Equity</t>
  </si>
  <si>
    <t>Company News (NEM US)</t>
  </si>
  <si>
    <t>MKS Pamp SA</t>
  </si>
  <si>
    <t>BUENAVC1 PE Equity</t>
  </si>
  <si>
    <t>2021A CF (BUENAVC1 PE)</t>
  </si>
  <si>
    <t>Cia de Minas Buenaventura SAA</t>
  </si>
  <si>
    <t>MONDQ US Equity</t>
  </si>
  <si>
    <t>2024Q4 CF (MONDQ US)</t>
  </si>
  <si>
    <t>Mondee Holdings Inc</t>
  </si>
  <si>
    <t>BHILQ US Equity</t>
  </si>
  <si>
    <t>2024Q4 CF (BHILQ US)</t>
  </si>
  <si>
    <t>Benson Hill Inc</t>
  </si>
  <si>
    <t>WEWKQ US Equity</t>
  </si>
  <si>
    <t>Company News (WEWKQ US)</t>
  </si>
  <si>
    <t>WeWork Inc</t>
  </si>
  <si>
    <t>GTLB US Equity</t>
  </si>
  <si>
    <t>2025Q3 CF (GTLB US)</t>
  </si>
  <si>
    <t>Gitlab Inc</t>
  </si>
  <si>
    <t>2023A CF (CBB US)</t>
  </si>
  <si>
    <t>AHRT US Equity</t>
  </si>
  <si>
    <t>2025Q3 CF (AHRT US)</t>
  </si>
  <si>
    <t>AH Realty Trust Inc</t>
  </si>
  <si>
    <t>Company News (MRX US)</t>
  </si>
  <si>
    <t>9502 JP Equity</t>
  </si>
  <si>
    <t>2022A CF (9502 JP)</t>
  </si>
  <si>
    <t>Chubu Electric Power Co Inc</t>
  </si>
  <si>
    <t>2024Q1 CF (ADBE US)</t>
  </si>
  <si>
    <t>600584 CH Equity</t>
  </si>
  <si>
    <t>Estimate (600584 CH)</t>
  </si>
  <si>
    <t>JCET Group Co Ltd</t>
  </si>
  <si>
    <t>2024Q1 CF (PFIE US)</t>
  </si>
  <si>
    <t>Profire Energy Inc</t>
  </si>
  <si>
    <t>UNTC US Equity</t>
  </si>
  <si>
    <t>2022A CF (UNTC US)</t>
  </si>
  <si>
    <t>Unit Corp</t>
  </si>
  <si>
    <t>USWS US Equity</t>
  </si>
  <si>
    <t>Company News (USWS US)</t>
  </si>
  <si>
    <t>US Well Services Holdings LLC</t>
  </si>
  <si>
    <t>XRN US Equity</t>
  </si>
  <si>
    <t>2024A CF (XRN US)</t>
  </si>
  <si>
    <t>Chiron Real Estate Inc</t>
  </si>
  <si>
    <t>ONL US Equity</t>
  </si>
  <si>
    <t>2024A CF (ONL US)</t>
  </si>
  <si>
    <t>Orion Properties Inc</t>
  </si>
  <si>
    <t>Emerson Electric Co</t>
  </si>
  <si>
    <t>0118440D US Equity</t>
  </si>
  <si>
    <t>2022A CF (DM US)</t>
  </si>
  <si>
    <t>Serta Inc</t>
  </si>
  <si>
    <t>0131376D US Equity</t>
  </si>
  <si>
    <t>Mayo Clinic</t>
  </si>
  <si>
    <t>Company News (DM US)</t>
  </si>
  <si>
    <t>2024A CF (POOL US)</t>
  </si>
  <si>
    <t>Pool Corp</t>
  </si>
  <si>
    <t>011070 KS Equity</t>
  </si>
  <si>
    <t>Estimate (011070 KS)</t>
  </si>
  <si>
    <t>LG Innotek Co Ltd</t>
  </si>
  <si>
    <t>2025A CF (SARO US)</t>
  </si>
  <si>
    <t>2025Q2 CF (1473 TT)</t>
  </si>
  <si>
    <t>Tainan Enterprises Co Ltd</t>
  </si>
  <si>
    <t>420 HK Equity</t>
  </si>
  <si>
    <t>2022S1 CF (420 HK)</t>
  </si>
  <si>
    <t>Fountain SET Holdings Ltd</t>
  </si>
  <si>
    <t>FRT US Equity</t>
  </si>
  <si>
    <t>2024A CF (FRT US)</t>
  </si>
  <si>
    <t>Federal Realty Investment Trust</t>
  </si>
  <si>
    <t>KRG US Equity</t>
  </si>
  <si>
    <t>2024A CF (KRG US)</t>
  </si>
  <si>
    <t>Kite Realty Group Trust</t>
  </si>
  <si>
    <t>Company News (GVA US)</t>
  </si>
  <si>
    <t>Port of Woodland WA</t>
  </si>
  <si>
    <t>FTS CN Equity</t>
  </si>
  <si>
    <t>2021A CF (FTS CN)</t>
  </si>
  <si>
    <t>Fortis Inc/Canada</t>
  </si>
  <si>
    <t>600586 CH Equity</t>
  </si>
  <si>
    <t>2024A CF (600586 CH)</t>
  </si>
  <si>
    <t>Shandong Jinjing Science &amp; Technology Co Ltd</t>
  </si>
  <si>
    <t>0003038D US Equity</t>
  </si>
  <si>
    <t>2022Q3 CF (LKQ US)</t>
  </si>
  <si>
    <t>Seawide Marine Distribution Inc</t>
  </si>
  <si>
    <t>0067090D US Equity</t>
  </si>
  <si>
    <t>FAB Fours Inc</t>
  </si>
  <si>
    <t>1354560D US Equity</t>
  </si>
  <si>
    <t>Company News (1354560D US)</t>
  </si>
  <si>
    <t>Autosales Inc</t>
  </si>
  <si>
    <t>2024A CF (091090 KS)</t>
  </si>
  <si>
    <t>Sewon E&amp;C Co Ltd</t>
  </si>
  <si>
    <t>ATL SP Equity</t>
  </si>
  <si>
    <t>2024A CF (ATL SP)</t>
  </si>
  <si>
    <t>Atlantic Navigation Holdings Singapore Ltd</t>
  </si>
  <si>
    <t>2023A CF (PXD US)</t>
  </si>
  <si>
    <t>Equinor Marketing &amp; Trading US Inc</t>
  </si>
  <si>
    <t>OXY US Equity</t>
  </si>
  <si>
    <t>Occidental Petroleum Corp</t>
  </si>
  <si>
    <t>PAGP US Equity</t>
  </si>
  <si>
    <t>Plains GP Holdings LP</t>
  </si>
  <si>
    <t>PKI CN Equity</t>
  </si>
  <si>
    <t>2023A CF (PKI CN)</t>
  </si>
  <si>
    <t>Parkland Corp</t>
  </si>
  <si>
    <t>2022Q3 CF (LYV US)</t>
  </si>
  <si>
    <t>Dunkin' Donuts LLC</t>
  </si>
  <si>
    <t>2023Q3 CF (LYV US)</t>
  </si>
  <si>
    <t>101037Z BH Equity</t>
  </si>
  <si>
    <t>2025Q3 CF (LYV US)</t>
  </si>
  <si>
    <t>Bacardi Ltd</t>
  </si>
  <si>
    <t>1410917D US Equity</t>
  </si>
  <si>
    <t>GoBrands Inc</t>
  </si>
  <si>
    <t>1475034Z LN Equity</t>
  </si>
  <si>
    <t>Telefonica UK Ltd</t>
  </si>
  <si>
    <t>2025A CF (GVA US)</t>
  </si>
  <si>
    <t>State of California</t>
  </si>
  <si>
    <t>0008525D US Equity</t>
  </si>
  <si>
    <t>Nevada Department of Transportation</t>
  </si>
  <si>
    <t>0009844D US Equity</t>
  </si>
  <si>
    <t>State of Washington Department of Transportation</t>
  </si>
  <si>
    <t>0317358Z US Equity</t>
  </si>
  <si>
    <t>Associated General Contractors of America/The</t>
  </si>
  <si>
    <t>0837947D US Equity</t>
  </si>
  <si>
    <t>State of Alaska Department of Transportation &amp; Public Facilities</t>
  </si>
  <si>
    <t>2025C3 CF (139480 KS)</t>
  </si>
  <si>
    <t>E-MART Inc</t>
  </si>
  <si>
    <t>AD NA Equity</t>
  </si>
  <si>
    <t>Estimate (AD NA)</t>
  </si>
  <si>
    <t>Koninklijke Ahold Delhaize NV</t>
  </si>
  <si>
    <t>AXFO SS Equity</t>
  </si>
  <si>
    <t>Estimate (AXFO SS)</t>
  </si>
  <si>
    <t>Axfood AB</t>
  </si>
  <si>
    <t>Estimate (AIR FP)</t>
  </si>
  <si>
    <t>002323 CH Equity</t>
  </si>
  <si>
    <t>2023A CF (002323 CH)</t>
  </si>
  <si>
    <t>Shandong Yabo Technology Co Ltd</t>
  </si>
  <si>
    <t>0756709D US Equity</t>
  </si>
  <si>
    <t>Company News (ANSS US)</t>
  </si>
  <si>
    <t>Sub-Zero Group Inc</t>
  </si>
  <si>
    <t>ALGN US Equity</t>
  </si>
  <si>
    <t>Align Technology Inc</t>
  </si>
  <si>
    <t>SHW US Equity</t>
  </si>
  <si>
    <t>Estimate (SHW US)</t>
  </si>
  <si>
    <t>Sherwin-Williams Co/The</t>
  </si>
  <si>
    <t>SMP US Equity</t>
  </si>
  <si>
    <t>Estimate (SMP US)</t>
  </si>
  <si>
    <t>Standard Motor Products Inc</t>
  </si>
  <si>
    <t>920112 CH Equity</t>
  </si>
  <si>
    <t>2024A CF (920112 CH)</t>
  </si>
  <si>
    <t>Shanghai Balance Automotive Equipment Co Ltd</t>
  </si>
  <si>
    <t>3M Co</t>
  </si>
  <si>
    <t>000955 CH Equity</t>
  </si>
  <si>
    <t>2024A CF (000955 CH)</t>
  </si>
  <si>
    <t>Xinlong Holding Group Co Ltd</t>
  </si>
  <si>
    <t>2283 HK Equity</t>
  </si>
  <si>
    <t>2021A CF (2283 HK)</t>
  </si>
  <si>
    <t>TK Group Holdings Ltd</t>
  </si>
  <si>
    <t>ANA SM Equity</t>
  </si>
  <si>
    <t>Company News (ANA SM)</t>
  </si>
  <si>
    <t>Acciona SA</t>
  </si>
  <si>
    <t>CXM US Equity</t>
  </si>
  <si>
    <t>2026Q3 CF (CXM US)</t>
  </si>
  <si>
    <t>Sprinklr Inc</t>
  </si>
  <si>
    <t>KRT US Equity</t>
  </si>
  <si>
    <t>2024A CF (KRT US)</t>
  </si>
  <si>
    <t>Karat Packaging Inc</t>
  </si>
  <si>
    <t>2024A CF (PAR US)</t>
  </si>
  <si>
    <t>2024A CF (300505 CH)</t>
  </si>
  <si>
    <t>Kunming Chuan Jin Nuo Chemical Co Ltd</t>
  </si>
  <si>
    <t>7520500Z FP Equity</t>
  </si>
  <si>
    <t>Company News (QMCO US)</t>
  </si>
  <si>
    <t>Atempo</t>
  </si>
  <si>
    <t>2024A CF (SLG US)</t>
  </si>
  <si>
    <t>SL Green Realty Corp</t>
  </si>
  <si>
    <t>SYGIL IN Equity</t>
  </si>
  <si>
    <t>2025A CF (SYGIL IN)</t>
  </si>
  <si>
    <t>Synergy Green Industries Ltd</t>
  </si>
  <si>
    <t>2024A CF (DLN LN)</t>
  </si>
  <si>
    <t>COHR US Equity</t>
  </si>
  <si>
    <t>Estimate (COHR US)</t>
  </si>
  <si>
    <t>Coherent Corp</t>
  </si>
  <si>
    <t>Company News (DGX US)</t>
  </si>
  <si>
    <t>2069787D US Equity</t>
  </si>
  <si>
    <t>Company News (2069787D US)</t>
  </si>
  <si>
    <t>Ultima Genomics Inc</t>
  </si>
  <si>
    <t>Estimate (KALU US)</t>
  </si>
  <si>
    <t>Kaiser Aluminum Corp</t>
  </si>
  <si>
    <t>2027 TT Equity</t>
  </si>
  <si>
    <t>2024A CF (2027 TT)</t>
  </si>
  <si>
    <t>TA Chen Stainless Pipe</t>
  </si>
  <si>
    <t>Carpenter Technology Corp</t>
  </si>
  <si>
    <t>2024A CF (OPITQ US)</t>
  </si>
  <si>
    <t>2024A CF (CUZ US)</t>
  </si>
  <si>
    <t>035720 KS Equity</t>
  </si>
  <si>
    <t>2022A CF (035720 KS)</t>
  </si>
  <si>
    <t>Kakao Corp</t>
  </si>
  <si>
    <t>EVER US Equity</t>
  </si>
  <si>
    <t>2025Q3 CF (EVER US)</t>
  </si>
  <si>
    <t>EverQuote Inc</t>
  </si>
  <si>
    <t>2023A CF (MUST SP)</t>
  </si>
  <si>
    <t>26514Z US Equity</t>
  </si>
  <si>
    <t>Company News (DOC US)</t>
  </si>
  <si>
    <t>Hines Interests LP</t>
  </si>
  <si>
    <t>0086860D US Equity</t>
  </si>
  <si>
    <t>Company News (0086860D US)</t>
  </si>
  <si>
    <t>Highres Inc</t>
  </si>
  <si>
    <t>1400995D US Equity</t>
  </si>
  <si>
    <t>Concepts Nrec LLC</t>
  </si>
  <si>
    <t>6723 JP Equity</t>
  </si>
  <si>
    <t>2024A CF (ANSS US)</t>
  </si>
  <si>
    <t>Renesas Electronics Corp</t>
  </si>
  <si>
    <t>4938 TT Equity</t>
  </si>
  <si>
    <t>Estimate (4938 TT)</t>
  </si>
  <si>
    <t>Pegatron Corp</t>
  </si>
  <si>
    <t>CRWV US Equity</t>
  </si>
  <si>
    <t>2025A CF (CRWV US)</t>
  </si>
  <si>
    <t>CoreWeave Inc</t>
  </si>
  <si>
    <t>2024S1 CF (301501 CH)</t>
  </si>
  <si>
    <t>Hefei Hengxin Life Science &amp; Technology Co Ltd</t>
  </si>
  <si>
    <t>REI-U CN Equity</t>
  </si>
  <si>
    <t>2024A CF (REI-U CN)</t>
  </si>
  <si>
    <t>RioCan Real Estate Investment Trust</t>
  </si>
  <si>
    <t>SRU-U CN Equity</t>
  </si>
  <si>
    <t>2024A CF (SRU-U CN)</t>
  </si>
  <si>
    <t>SmartCentres Real Estate Investment Trust</t>
  </si>
  <si>
    <t>Kimco Realty Corp</t>
  </si>
  <si>
    <t>CHP-U CN Equity</t>
  </si>
  <si>
    <t>2024A CF (CHP-U CN)</t>
  </si>
  <si>
    <t>Choice Properties Real Estate Investment Trust</t>
  </si>
  <si>
    <t>WMS US Equity</t>
  </si>
  <si>
    <t>Estimate (WMS US)</t>
  </si>
  <si>
    <t>Advanced Drainage Systems Inc</t>
  </si>
  <si>
    <t>JHX AU Equity</t>
  </si>
  <si>
    <t>Company News (JHX AU)</t>
  </si>
  <si>
    <t>James Hardie Industries PLC</t>
  </si>
  <si>
    <t>VHI US Equity</t>
  </si>
  <si>
    <t>2023A CF (VHI US)</t>
  </si>
  <si>
    <t>Valhi Inc</t>
  </si>
  <si>
    <t>INVE US Equity</t>
  </si>
  <si>
    <t>2022Q3 CF (INVE US)</t>
  </si>
  <si>
    <t>Identiv Inc</t>
  </si>
  <si>
    <t>2023A CF (JBL US)</t>
  </si>
  <si>
    <t>SILC US Equity</t>
  </si>
  <si>
    <t>2025Q3 CF (SILC US)</t>
  </si>
  <si>
    <t>Silicom Ltd</t>
  </si>
  <si>
    <t>2022A CF (UDT IN)</t>
  </si>
  <si>
    <t>United Drilling Tools Ltd</t>
  </si>
  <si>
    <t>2025A CF (MG CN)</t>
  </si>
  <si>
    <t>CON GR Equity</t>
  </si>
  <si>
    <t>Estimate (CON GR)</t>
  </si>
  <si>
    <t>Continental AG</t>
  </si>
  <si>
    <t>LEA US Equity</t>
  </si>
  <si>
    <t>2025A CF (LEA US)</t>
  </si>
  <si>
    <t>Lear Corp</t>
  </si>
  <si>
    <t>FRVIA FP Equity</t>
  </si>
  <si>
    <t>2025A CF (FRVIA FP)</t>
  </si>
  <si>
    <t>Forvia SE</t>
  </si>
  <si>
    <t>2025A CF (4548 JP)</t>
  </si>
  <si>
    <t>060280 KS Equity</t>
  </si>
  <si>
    <t>2024C3 CF (060280 KS)</t>
  </si>
  <si>
    <t>Curexo Inc</t>
  </si>
  <si>
    <t>1584 TT Equity</t>
  </si>
  <si>
    <t>2023A CF (1584 TT)</t>
  </si>
  <si>
    <t>S-Tech Corp</t>
  </si>
  <si>
    <t>5009 TT Equity</t>
  </si>
  <si>
    <t>2025C3 CF (5009 TT)</t>
  </si>
  <si>
    <t>Gloria Material Technology Corp</t>
  </si>
  <si>
    <t>BILL US Equity</t>
  </si>
  <si>
    <t>2024Q3 CF (BILL US)</t>
  </si>
  <si>
    <t>BILL Holdings Inc</t>
  </si>
  <si>
    <t>2025Q3 CF (CFLT US)</t>
  </si>
  <si>
    <t>DT US Equity</t>
  </si>
  <si>
    <t>2022A CF (DT US)</t>
  </si>
  <si>
    <t>Dynatrace Inc</t>
  </si>
  <si>
    <t>HCP US Equity</t>
  </si>
  <si>
    <t>2023Q1 CF (HCP US)</t>
  </si>
  <si>
    <t>HashiCorp Inc</t>
  </si>
  <si>
    <t>NCNO US Equity</t>
  </si>
  <si>
    <t>2023A CF (NCNO US)</t>
  </si>
  <si>
    <t>nCino Inc</t>
  </si>
  <si>
    <t>Bordelon Marine LLC</t>
  </si>
  <si>
    <t>0415655D US Equity</t>
  </si>
  <si>
    <t>Neuville Boat Works Inc</t>
  </si>
  <si>
    <t>1226046D NA Equity</t>
  </si>
  <si>
    <t>IHC Merwede Holding BV</t>
  </si>
  <si>
    <t>1854049D US Equity</t>
  </si>
  <si>
    <t>Bollinger Shipyards LLC</t>
  </si>
  <si>
    <t>3487404Z NO Equity</t>
  </si>
  <si>
    <t>Ola Volstad Holding AS</t>
  </si>
  <si>
    <t>2024A CF (DMLP US)</t>
  </si>
  <si>
    <t>ARCH NO Equity</t>
  </si>
  <si>
    <t>2024Q3 CF (ARCH NO)</t>
  </si>
  <si>
    <t>Archer Ltd</t>
  </si>
  <si>
    <t>CHX US Equity</t>
  </si>
  <si>
    <t>2022A CF (CHX US)</t>
  </si>
  <si>
    <t>ChampionX Corp</t>
  </si>
  <si>
    <t>Company News (NMRK US)</t>
  </si>
  <si>
    <t>Newmark Group Inc</t>
  </si>
  <si>
    <t>PFGC US Equity</t>
  </si>
  <si>
    <t>Estimate (PFGC US)</t>
  </si>
  <si>
    <t>Performance Food Group Co</t>
  </si>
  <si>
    <t>2024A CF (FCPT US)</t>
  </si>
  <si>
    <t>MZTI US Equity</t>
  </si>
  <si>
    <t>Estimate (MZTI US)</t>
  </si>
  <si>
    <t>Marzetti Company/The</t>
  </si>
  <si>
    <t>ECL US Equity</t>
  </si>
  <si>
    <t>Estimate (ECL US)</t>
  </si>
  <si>
    <t>Ecolab Inc</t>
  </si>
  <si>
    <t>BRX US Equity</t>
  </si>
  <si>
    <t>2024A CF (BRX US)</t>
  </si>
  <si>
    <t>Brixmor Property Group Inc</t>
  </si>
  <si>
    <t>CFGH EY Equity</t>
  </si>
  <si>
    <t>2023Q1 CF (CFGH EY)</t>
  </si>
  <si>
    <t>Concrete Fashion Group For Commercial And Industrial Investments</t>
  </si>
  <si>
    <t>2023A CF (SITC US)</t>
  </si>
  <si>
    <t>SITE Centers Corp</t>
  </si>
  <si>
    <t>SNAP US Equity</t>
  </si>
  <si>
    <t>Company News (SNAP US)</t>
  </si>
  <si>
    <t>Snap Inc</t>
  </si>
  <si>
    <t>1920336D US Equity</t>
  </si>
  <si>
    <t>Company News (1920336D US)</t>
  </si>
  <si>
    <t>Bilt Technologies Inc</t>
  </si>
  <si>
    <t>2022Q3 CF (CDW US)</t>
  </si>
  <si>
    <t>2024A CF (SCSC US)</t>
  </si>
  <si>
    <t>WLN FP Equity</t>
  </si>
  <si>
    <t>2021A CF (WLN FP)</t>
  </si>
  <si>
    <t>Worldline SA/France</t>
  </si>
  <si>
    <t>ARC US Equity</t>
  </si>
  <si>
    <t>2023Q2 CF (ARC US)</t>
  </si>
  <si>
    <t>ARC Document Solutions Inc</t>
  </si>
  <si>
    <t>DOGZ US Equity</t>
  </si>
  <si>
    <t>Company News (DOGZ US)</t>
  </si>
  <si>
    <t>Dogness International Corp</t>
  </si>
  <si>
    <t>2024A CF (VRRM US)</t>
  </si>
  <si>
    <t>Verra Mobility Corp</t>
  </si>
  <si>
    <t>AENA SM Equity</t>
  </si>
  <si>
    <t>Estimate (AENA SM)</t>
  </si>
  <si>
    <t>Aena SME SA</t>
  </si>
  <si>
    <t>DSY FP Equity</t>
  </si>
  <si>
    <t>Estimate (DSY FP)</t>
  </si>
  <si>
    <t>Dassault Systemes SE</t>
  </si>
  <si>
    <t>RKT LN Equity</t>
  </si>
  <si>
    <t>Estimate (RKT LN)</t>
  </si>
  <si>
    <t>Reckitt Benckiser Group PLC</t>
  </si>
  <si>
    <t>2022Q1 CF (1229327D US)</t>
  </si>
  <si>
    <t>Salem Harbor Power Development LP</t>
  </si>
  <si>
    <t>1524032D US Equity</t>
  </si>
  <si>
    <t>2023Q1 CF (1524032D US)</t>
  </si>
  <si>
    <t>Lincoln Power LLC</t>
  </si>
  <si>
    <t>7267 JP Equity</t>
  </si>
  <si>
    <t>2024A CF (7267 JP)</t>
  </si>
  <si>
    <t>Honda Motor Co Ltd</t>
  </si>
  <si>
    <t>Company News (NS US)</t>
  </si>
  <si>
    <t>Casepoint LLC</t>
  </si>
  <si>
    <t>7165Z US Equity</t>
  </si>
  <si>
    <t>2022A CF (NS US)</t>
  </si>
  <si>
    <t>CHS Inc</t>
  </si>
  <si>
    <t>HEP US Equity</t>
  </si>
  <si>
    <t>2022A CF (HEP US)</t>
  </si>
  <si>
    <t>Holly Energy Partners LP</t>
  </si>
  <si>
    <t>2024A CF (AKBA US)</t>
  </si>
  <si>
    <t>Fresenius Medical Care AG</t>
  </si>
  <si>
    <t>2024A CF (2914 JP)</t>
  </si>
  <si>
    <t>4188 JP Equity</t>
  </si>
  <si>
    <t>Mitsubishi Chemical Group Corp</t>
  </si>
  <si>
    <t>920978 CH Equity</t>
  </si>
  <si>
    <t>2024A CF (920978 CH)</t>
  </si>
  <si>
    <t>Hubei Kait Automotive Electronic &amp; Electrical Systems Co Ltd</t>
  </si>
  <si>
    <t>211270 KS Equity</t>
  </si>
  <si>
    <t>2025C3 CF (211270 KS)</t>
  </si>
  <si>
    <t>Asia Pacific Satellite Inc</t>
  </si>
  <si>
    <t>3025 TT Equity</t>
  </si>
  <si>
    <t>2024A CF (3025 TT)</t>
  </si>
  <si>
    <t>Loop Telecommunication International Inc</t>
  </si>
  <si>
    <t>2025Q3 CF (DRS US)</t>
  </si>
  <si>
    <t>Estimate (DRS US)</t>
  </si>
  <si>
    <t>2024A CF (UGPA3 BZ)</t>
  </si>
  <si>
    <t>Ultrapar Participacoes SA</t>
  </si>
  <si>
    <t>293 HK Equity</t>
  </si>
  <si>
    <t>Estimate (293 HK)</t>
  </si>
  <si>
    <t>Cathay Pacific Airways Ltd</t>
  </si>
  <si>
    <t>LLUB SL Equity</t>
  </si>
  <si>
    <t>2024A CF (LLUB SL)</t>
  </si>
  <si>
    <t>Chevron Lubricants Lanka PLC</t>
  </si>
  <si>
    <t>CMPP IJ Equity</t>
  </si>
  <si>
    <t>2025C3 CF (CMPP IJ)</t>
  </si>
  <si>
    <t>AirAsia Indonesia Tbk PT</t>
  </si>
  <si>
    <t>005950 KS Equity</t>
  </si>
  <si>
    <t>2023C3 CF (005950 KS)</t>
  </si>
  <si>
    <t>ISU Chemical Co Ltd</t>
  </si>
  <si>
    <t>2021A CF (SO US)</t>
  </si>
  <si>
    <t>000270 KS Equity</t>
  </si>
  <si>
    <t>Kia Corp</t>
  </si>
  <si>
    <t>000300 KS Equity</t>
  </si>
  <si>
    <t>DHAutonex Co Ltd</t>
  </si>
  <si>
    <t>000430 KS Equity</t>
  </si>
  <si>
    <t>Dae Won Kang Up Co Ltd</t>
  </si>
  <si>
    <t>Company News (MGM US)</t>
  </si>
  <si>
    <t>Nashville Predators LLC</t>
  </si>
  <si>
    <t>0735653D US Equity</t>
  </si>
  <si>
    <t>SportsGrid LLC</t>
  </si>
  <si>
    <t>1887929D CH Equity</t>
  </si>
  <si>
    <t>Shanghai West Bund Development Group Co Ltd</t>
  </si>
  <si>
    <t>2024157D US Equity</t>
  </si>
  <si>
    <t>Betmgm LLC</t>
  </si>
  <si>
    <t>2282 HK Equity</t>
  </si>
  <si>
    <t>2023A CF (2282 HK)</t>
  </si>
  <si>
    <t>MGM China Holdings Ltd</t>
  </si>
  <si>
    <t>2024A CF (HBI US)</t>
  </si>
  <si>
    <t>Estimate (HBI US)</t>
  </si>
  <si>
    <t>2025A CF (TVSL IN)</t>
  </si>
  <si>
    <t>TVS Motor Co Ltd</t>
  </si>
  <si>
    <t>TVSHLTD IN Equity</t>
  </si>
  <si>
    <t>2025A CF (TVSHLTD IN)</t>
  </si>
  <si>
    <t>TVS Holdings Ltd</t>
  </si>
  <si>
    <t>1991093D US Equity</t>
  </si>
  <si>
    <t>Company News (IPG US)</t>
  </si>
  <si>
    <t>Carbon Direct Inc</t>
  </si>
  <si>
    <t>770665Z US Equity</t>
  </si>
  <si>
    <t>2023A CF (770665Z US)</t>
  </si>
  <si>
    <t>Wesco Aircraft Hardware Corp</t>
  </si>
  <si>
    <t>CRM US Equity</t>
  </si>
  <si>
    <t>Salesforce Inc</t>
  </si>
  <si>
    <t>Communicare Health Services</t>
  </si>
  <si>
    <t>0126662D US Equity</t>
  </si>
  <si>
    <t>Ciena Health Care Management Inc</t>
  </si>
  <si>
    <t>0127342Z US Equity</t>
  </si>
  <si>
    <t>Saber Healthcare Group LLC</t>
  </si>
  <si>
    <t>PACS US Equity</t>
  </si>
  <si>
    <t>PACS Group Inc</t>
  </si>
  <si>
    <t>Welltower Inc</t>
  </si>
  <si>
    <t>Estimate (ONTO US)</t>
  </si>
  <si>
    <t>Estimate (GEV US)</t>
  </si>
  <si>
    <t>GE Vernova Inc</t>
  </si>
  <si>
    <t>Estimate (7011 JP)</t>
  </si>
  <si>
    <t>Estimate (MTZ US)</t>
  </si>
  <si>
    <t>MasTec Inc</t>
  </si>
  <si>
    <t>2026Q2 CF (AOSL US)</t>
  </si>
  <si>
    <t>Alpha &amp; Omega Semiconductor Ltd</t>
  </si>
  <si>
    <t>2022Q1 CF (ASCL LN)</t>
  </si>
  <si>
    <t>EMI SJ Equity</t>
  </si>
  <si>
    <t>2025S1 CF (EMI SJ)</t>
  </si>
  <si>
    <t>Emira Property Fund Ltd</t>
  </si>
  <si>
    <t>TXNM US Equity</t>
  </si>
  <si>
    <t>2021A CF (TXNM US)</t>
  </si>
  <si>
    <t>TXNM Energy Inc</t>
  </si>
  <si>
    <t>AAT US Equity</t>
  </si>
  <si>
    <t>2023A CF (AAT US)</t>
  </si>
  <si>
    <t>American Assets Trust Inc</t>
  </si>
  <si>
    <t>1355451D US Equity</t>
  </si>
  <si>
    <t>Company News (CTAS US)</t>
  </si>
  <si>
    <t>Motiv Power Systems Inc</t>
  </si>
  <si>
    <t>1464 TT Equity</t>
  </si>
  <si>
    <t>2025Q3 CF (1464 TT)</t>
  </si>
  <si>
    <t>De Licacy Industrial Co Ltd</t>
  </si>
  <si>
    <t>1470 TT Equity</t>
  </si>
  <si>
    <t>2025S1 CF (1470 TT)</t>
  </si>
  <si>
    <t>Evertex Fabrinology Ltd</t>
  </si>
  <si>
    <t>1611420D US Equity</t>
  </si>
  <si>
    <t>Redaptive Inc</t>
  </si>
  <si>
    <t>2024A CF (1760 TT)</t>
  </si>
  <si>
    <t>Panion &amp; BF Biotech Inc</t>
  </si>
  <si>
    <t>1046570D US Equity</t>
  </si>
  <si>
    <t>Patheon Manufacturing Services LLC</t>
  </si>
  <si>
    <t>603259 CH Equity</t>
  </si>
  <si>
    <t>WuXi AppTec Co Ltd</t>
  </si>
  <si>
    <t>8949550Z SM Equity</t>
  </si>
  <si>
    <t>Esteve Quimica SA</t>
  </si>
  <si>
    <t>O US Equity</t>
  </si>
  <si>
    <t>2024A CF (O US)</t>
  </si>
  <si>
    <t>Realty Income Corp</t>
  </si>
  <si>
    <t>CLX US Equity</t>
  </si>
  <si>
    <t>Estimate (CLX US)</t>
  </si>
  <si>
    <t>Clorox Co/The</t>
  </si>
  <si>
    <t>002153 CH Equity</t>
  </si>
  <si>
    <t>2025S1 CF (002153 CH)</t>
  </si>
  <si>
    <t>Beijing Shiji Information Technology Co Ltd</t>
  </si>
  <si>
    <t>2021A CF (XEL US)</t>
  </si>
  <si>
    <t>009440 KS Equity</t>
  </si>
  <si>
    <t>KC Green Holdings Co Ltd</t>
  </si>
  <si>
    <t>0119100D US Equity</t>
  </si>
  <si>
    <t>Miniature Precision Components Inc</t>
  </si>
  <si>
    <t>0169078Z US Equity</t>
  </si>
  <si>
    <t>Optomec Inc</t>
  </si>
  <si>
    <t>1040620D SP Equity</t>
  </si>
  <si>
    <t>Company News (RAMP US)</t>
  </si>
  <si>
    <t>Carousell Pte Ltd</t>
  </si>
  <si>
    <t>1116447Z LN Equity</t>
  </si>
  <si>
    <t>Heathrow Airport Ltd</t>
  </si>
  <si>
    <t>360 AU Equity</t>
  </si>
  <si>
    <t>2024Q1 CF (360 AU)</t>
  </si>
  <si>
    <t>Life360 Inc</t>
  </si>
  <si>
    <t>2024A CF (VNO US)</t>
  </si>
  <si>
    <t>Vornado Realty Trust</t>
  </si>
  <si>
    <t>Estimate (TTD US)</t>
  </si>
  <si>
    <t>BLND LN Equity</t>
  </si>
  <si>
    <t>2026S1 CF (BLND LN)</t>
  </si>
  <si>
    <t>British Land Co PLC/The</t>
  </si>
  <si>
    <t>2023A CF (053300 KS)</t>
  </si>
  <si>
    <t>RL US Equity</t>
  </si>
  <si>
    <t>Estimate (RL US)</t>
  </si>
  <si>
    <t>Ralph Lauren Corp</t>
  </si>
  <si>
    <t>LNZ AV Equity</t>
  </si>
  <si>
    <t>Estimate (LNZ AV)</t>
  </si>
  <si>
    <t>Lenzing AG</t>
  </si>
  <si>
    <t>1476 TT Equity</t>
  </si>
  <si>
    <t>Estimate (1476 TT)</t>
  </si>
  <si>
    <t>Eclat Textile Co Ltd</t>
  </si>
  <si>
    <t>Estimate (GIII US)</t>
  </si>
  <si>
    <t>2024A CF (CLINT SP)</t>
  </si>
  <si>
    <t>Capitaland India Trust</t>
  </si>
  <si>
    <t>Company News (0966772D US)</t>
  </si>
  <si>
    <t>RefleXion Medical Inc</t>
  </si>
  <si>
    <t>1448820D FP Equity</t>
  </si>
  <si>
    <t>2024A CF (LNTH US)</t>
  </si>
  <si>
    <t>CarThera SACA</t>
  </si>
  <si>
    <t>1533928D US Equity</t>
  </si>
  <si>
    <t>2022Q1 CF (LNTH US)</t>
  </si>
  <si>
    <t>Syntermed Inc</t>
  </si>
  <si>
    <t>1660069D US Equity</t>
  </si>
  <si>
    <t>Jubilant Draximage Radiopharmacies Inc</t>
  </si>
  <si>
    <t>1711734D US Equity</t>
  </si>
  <si>
    <t>United Pharmacy Partners Inc</t>
  </si>
  <si>
    <t>2023A CF (ETRN US)</t>
  </si>
  <si>
    <t>EQT Corp</t>
  </si>
  <si>
    <t>2025Q2 CF (MODVQ US)</t>
  </si>
  <si>
    <t>ModivCare Inc</t>
  </si>
  <si>
    <t>2023C1 CF (012690 KS)</t>
  </si>
  <si>
    <t>Monalisa Co Ltd</t>
  </si>
  <si>
    <t>023600 KS Equity</t>
  </si>
  <si>
    <t>2023C3 CF (023600 KS)</t>
  </si>
  <si>
    <t>Sambo Corrugated Board Co Ltd</t>
  </si>
  <si>
    <t>9878 JP Equity</t>
  </si>
  <si>
    <t>2025A CF (9878 JP)</t>
  </si>
  <si>
    <t>Sekido Co Ltd</t>
  </si>
  <si>
    <t>Apartment Investment and Management Co</t>
  </si>
  <si>
    <t>2021A CF (ARW US)</t>
  </si>
  <si>
    <t>2025A CF (RAMP US)</t>
  </si>
  <si>
    <t>SNOW US Equity</t>
  </si>
  <si>
    <t>2026Q1 CF (SNOW US)</t>
  </si>
  <si>
    <t>Snowflake Inc</t>
  </si>
  <si>
    <t>2024A CF (NVDA US)</t>
  </si>
  <si>
    <t>THG LN Equity</t>
  </si>
  <si>
    <t>2022A CF (THG LN)</t>
  </si>
  <si>
    <t>THG PLC</t>
  </si>
  <si>
    <t>Estimate (ILMN US)</t>
  </si>
  <si>
    <t>SAN FP Equity</t>
  </si>
  <si>
    <t>Sanofi SA</t>
  </si>
  <si>
    <t>Estimate (VECO US)</t>
  </si>
  <si>
    <t>2023A CF (MRO US)</t>
  </si>
  <si>
    <t>Trafigura Group Pte Ltd</t>
  </si>
  <si>
    <t>ATD CN Equity</t>
  </si>
  <si>
    <t>2024A CF (ATD CN)</t>
  </si>
  <si>
    <t>Alimentation Couche-Tard Inc</t>
  </si>
  <si>
    <t>CAPL US Equity</t>
  </si>
  <si>
    <t>2023A CF (CAPL US)</t>
  </si>
  <si>
    <t>CrossAmerica Partners LP</t>
  </si>
  <si>
    <t>MPC US Equity</t>
  </si>
  <si>
    <t>Marathon Petroleum Corp</t>
  </si>
  <si>
    <t>SECIS IN Equity</t>
  </si>
  <si>
    <t>Estimate (SECIS IN)</t>
  </si>
  <si>
    <t>SIS Ltd</t>
  </si>
  <si>
    <t>035900 KS Equity</t>
  </si>
  <si>
    <t>2025C3 CF (035900 KS)</t>
  </si>
  <si>
    <t>JYP Entertainment Corp</t>
  </si>
  <si>
    <t>1686457D GR Equity</t>
  </si>
  <si>
    <t>Company News (1686457D GR)</t>
  </si>
  <si>
    <t>Talon One GmbH</t>
  </si>
  <si>
    <t>WLK US Equity</t>
  </si>
  <si>
    <t>Estimate (WLK US)</t>
  </si>
  <si>
    <t>Westlake Corp</t>
  </si>
  <si>
    <t>LPX US Equity</t>
  </si>
  <si>
    <t>Estimate (LPX US)</t>
  </si>
  <si>
    <t>Louisiana-Pacific Corp</t>
  </si>
  <si>
    <t>Fortune Brands Innovations Inc</t>
  </si>
  <si>
    <t>GFF US Equity</t>
  </si>
  <si>
    <t>Estimate (GFF US)</t>
  </si>
  <si>
    <t>Griffon Corp</t>
  </si>
  <si>
    <t>STRL US Equity</t>
  </si>
  <si>
    <t>Estimate (STRL US)</t>
  </si>
  <si>
    <t>Sterling Infrastructure Inc</t>
  </si>
  <si>
    <t>2024Q3 CF (SCSC US)</t>
  </si>
  <si>
    <t>INFN US Equity</t>
  </si>
  <si>
    <t>2022A CF (INFN US)</t>
  </si>
  <si>
    <t>Infinera Corp</t>
  </si>
  <si>
    <t>2025Q3 CF (LUG CN)</t>
  </si>
  <si>
    <t>Lundin Gold Inc</t>
  </si>
  <si>
    <t>MAH AU Equity</t>
  </si>
  <si>
    <t>2025A CF (MAH AU)</t>
  </si>
  <si>
    <t>Macmahon Holdings Ltd</t>
  </si>
  <si>
    <t>Estimate (NEM US)</t>
  </si>
  <si>
    <t>RGLD US Equity</t>
  </si>
  <si>
    <t>2024A CF (RGLD US)</t>
  </si>
  <si>
    <t>Royal Gold Inc</t>
  </si>
  <si>
    <t>EPIA SS Equity</t>
  </si>
  <si>
    <t>Epiroc AB</t>
  </si>
  <si>
    <t>Company News (SPTN US)</t>
  </si>
  <si>
    <t>2023A CF (SPTN US)</t>
  </si>
  <si>
    <t>0233704Z US Equity</t>
  </si>
  <si>
    <t>2024A CF (SPTN US)</t>
  </si>
  <si>
    <t>United States Defense Commissary Agency</t>
  </si>
  <si>
    <t>3588448Z US Equity</t>
  </si>
  <si>
    <t>Coastal Pacific Food Distributors Inc</t>
  </si>
  <si>
    <t>2025A CF (GIS US)</t>
  </si>
  <si>
    <t>Estimate (GIS US)</t>
  </si>
  <si>
    <t>CHWY US Equity</t>
  </si>
  <si>
    <t>Chewy Inc</t>
  </si>
  <si>
    <t>OCI Holdings Co Ltd</t>
  </si>
  <si>
    <t>2023A CF (DINO US)</t>
  </si>
  <si>
    <t>Marathon Oil Corp</t>
  </si>
  <si>
    <t>OCI NA Equity</t>
  </si>
  <si>
    <t>Company News (OCI NA)</t>
  </si>
  <si>
    <t>OCI NV</t>
  </si>
  <si>
    <t>2025A CF (KMB US)</t>
  </si>
  <si>
    <t>Estimate (KMB US)</t>
  </si>
  <si>
    <t>EGP US Equity</t>
  </si>
  <si>
    <t>2024A CF (EGP US)</t>
  </si>
  <si>
    <t>EastGroup Properties Inc</t>
  </si>
  <si>
    <t>600693 CH Equity</t>
  </si>
  <si>
    <t>2024A CF (600693 CH)</t>
  </si>
  <si>
    <t>Fujian Dongbai Group Co Ltd</t>
  </si>
  <si>
    <t>ULTP LN Equity</t>
  </si>
  <si>
    <t>Estimate (ULTP LN)</t>
  </si>
  <si>
    <t>Ultimate Products PLC</t>
  </si>
  <si>
    <t>BKE US Equity</t>
  </si>
  <si>
    <t>2025A CF (BKE US)</t>
  </si>
  <si>
    <t>Buckle Inc/The</t>
  </si>
  <si>
    <t>Company News (DIS US)</t>
  </si>
  <si>
    <t>SHAK US Equity</t>
  </si>
  <si>
    <t>Company News (SHAK US)</t>
  </si>
  <si>
    <t>Shake Shack Inc</t>
  </si>
  <si>
    <t>Estimate (RIG US)</t>
  </si>
  <si>
    <t>Transocean Ltd</t>
  </si>
  <si>
    <t>MUR US Equity</t>
  </si>
  <si>
    <t>2024A CF (MUR US)</t>
  </si>
  <si>
    <t>Murphy Oil Corp</t>
  </si>
  <si>
    <t>BRY US Equity</t>
  </si>
  <si>
    <t>2024A CF (BRY US)</t>
  </si>
  <si>
    <t>Berry Corp</t>
  </si>
  <si>
    <t>2024A CF (USIO US)</t>
  </si>
  <si>
    <t>Usio Inc</t>
  </si>
  <si>
    <t>0896978D BZ Equity</t>
  </si>
  <si>
    <t>Company News (VRNT US)</t>
  </si>
  <si>
    <t>Wittel Servicos Tecnicos Ltda</t>
  </si>
  <si>
    <t>0954951D US Equity</t>
  </si>
  <si>
    <t>Company News (0954951D US)</t>
  </si>
  <si>
    <t>Talkdesk Inc</t>
  </si>
  <si>
    <t>1479365D GR Equity</t>
  </si>
  <si>
    <t>Company News (1479365D GR)</t>
  </si>
  <si>
    <t>AUTO1 Group GmbH</t>
  </si>
  <si>
    <t>1843722D US Equity</t>
  </si>
  <si>
    <t>Media News (VRNT US)</t>
  </si>
  <si>
    <t>GNC Holdings LLC</t>
  </si>
  <si>
    <t>VMX FP Equity</t>
  </si>
  <si>
    <t>2021A CF (VMX FP)</t>
  </si>
  <si>
    <t>Verimatrix SA</t>
  </si>
  <si>
    <t>2021A CF (MDU US)</t>
  </si>
  <si>
    <t>Forum Energy Technologies Inc</t>
  </si>
  <si>
    <t>FARM US Equity</t>
  </si>
  <si>
    <t>Farmer Bros Co</t>
  </si>
  <si>
    <t>FSTR US Equity</t>
  </si>
  <si>
    <t>L B Foster Co</t>
  </si>
  <si>
    <t>RRX US Equity</t>
  </si>
  <si>
    <t>Regal Rexnord Corp</t>
  </si>
  <si>
    <t>SOY CN Equity</t>
  </si>
  <si>
    <t>SunOpta Inc</t>
  </si>
  <si>
    <t>3481 TT Equity</t>
  </si>
  <si>
    <t>Estimate (3481 TT)</t>
  </si>
  <si>
    <t>Innolux Corp</t>
  </si>
  <si>
    <t>PTC US Equity</t>
  </si>
  <si>
    <t>Estimate (PTC US)</t>
  </si>
  <si>
    <t>PTC Inc</t>
  </si>
  <si>
    <t>MaxLinear Inc</t>
  </si>
  <si>
    <t>Company News (MATV US)</t>
  </si>
  <si>
    <t>Miru Smart Technologies Corp</t>
  </si>
  <si>
    <t>MSM US Equity</t>
  </si>
  <si>
    <t>2025Q2 CF (MSM US)</t>
  </si>
  <si>
    <t>MSC Industrial Direct Co Inc</t>
  </si>
  <si>
    <t>2022Q2 CF (1912397D BB)</t>
  </si>
  <si>
    <t>Autodistribution International Sarl</t>
  </si>
  <si>
    <t>2997029Z US Equity</t>
  </si>
  <si>
    <t>2021A CF (MTOR US)</t>
  </si>
  <si>
    <t>Motor Coach Industries Inc</t>
  </si>
  <si>
    <t>4708225Z FP Equity</t>
  </si>
  <si>
    <t>2022Q2 CF (4708225Z FP)</t>
  </si>
  <si>
    <t>Groupauto International SAS</t>
  </si>
  <si>
    <t>ATXL IN Equity</t>
  </si>
  <si>
    <t>2022A CF (ATXL IN)</t>
  </si>
  <si>
    <t>Automotive Axles Ltd</t>
  </si>
  <si>
    <t>CAR PW Equity</t>
  </si>
  <si>
    <t>2022Q2 CF (CAR PW)</t>
  </si>
  <si>
    <t>Inter Cars SA</t>
  </si>
  <si>
    <t>2022Q3 CF (9990213D US)</t>
  </si>
  <si>
    <t>United States Defense Intelligence Agency</t>
  </si>
  <si>
    <t>2022Q1 CF (9990213D US)</t>
  </si>
  <si>
    <t>0233293Z US Equity</t>
  </si>
  <si>
    <t>Company News (9990213D US)</t>
  </si>
  <si>
    <t>Johnson Space Center</t>
  </si>
  <si>
    <t>0243352Z US Equity</t>
  </si>
  <si>
    <t>Missile Defense Agency</t>
  </si>
  <si>
    <t>2022Q1 CF (INFN US)</t>
  </si>
  <si>
    <t>LUNA US Equity</t>
  </si>
  <si>
    <t>2021A CF (LUNA US)</t>
  </si>
  <si>
    <t>Luna Innovations Inc</t>
  </si>
  <si>
    <t>2021A CF (000425 CH)</t>
  </si>
  <si>
    <t>XCMG Construction Machinery Co Ltd</t>
  </si>
  <si>
    <t>002363 CH Equity</t>
  </si>
  <si>
    <t>2021A CF (002363 CH)</t>
  </si>
  <si>
    <t>Shandong Longji Machinery Co Ltd</t>
  </si>
  <si>
    <t>002590 CH Equity</t>
  </si>
  <si>
    <t>2021A CF (002590 CH)</t>
  </si>
  <si>
    <t>Zhejiang Vie Science &amp; Technology Co Ltd</t>
  </si>
  <si>
    <t>300718 CH Equity</t>
  </si>
  <si>
    <t>2021A CF (300718 CH)</t>
  </si>
  <si>
    <t>Zhejiang Changsheng Sliding Bearings Co Ltd</t>
  </si>
  <si>
    <t>5482 JP Equity</t>
  </si>
  <si>
    <t>2022A CF (5482 JP)</t>
  </si>
  <si>
    <t>Aichi Steel Corp</t>
  </si>
  <si>
    <t>Company News (WTRG US)</t>
  </si>
  <si>
    <t>County of Lawrence OH</t>
  </si>
  <si>
    <t>26614MF US Equity</t>
  </si>
  <si>
    <t>Bucks County Water and Sewer Authority</t>
  </si>
  <si>
    <t>2025Q1 CF (LNTH US)</t>
  </si>
  <si>
    <t>SOFIE Co</t>
  </si>
  <si>
    <t>2238228Z BB Equity</t>
  </si>
  <si>
    <t>Institut National des Radioelements</t>
  </si>
  <si>
    <t>613372Z US Equity</t>
  </si>
  <si>
    <t>Pharmalogic LLC</t>
  </si>
  <si>
    <t>7334894Z AU Equity</t>
  </si>
  <si>
    <t>Australian Nuclear Science and Technology Organisation</t>
  </si>
  <si>
    <t>SMCI US Equity</t>
  </si>
  <si>
    <t>Super Micro Computer Inc</t>
  </si>
  <si>
    <t>2025Q2 CF (BBIO US)</t>
  </si>
  <si>
    <t>4151 JP Equity</t>
  </si>
  <si>
    <t>2025Q3 CF (BBIO US)</t>
  </si>
  <si>
    <t>Kyowa Kirin Co Ltd</t>
  </si>
  <si>
    <t>2503 JP Equity</t>
  </si>
  <si>
    <t>2024A CF (2503 JP)</t>
  </si>
  <si>
    <t>Kirin Holdings Co Ltd</t>
  </si>
  <si>
    <t>2024A CF (BBIO US)</t>
  </si>
  <si>
    <t>2023C3 CF (FISV US)</t>
  </si>
  <si>
    <t>2025A CF (FOR US)</t>
  </si>
  <si>
    <t>Forestar Group Inc</t>
  </si>
  <si>
    <t>017810 KS Equity</t>
  </si>
  <si>
    <t>Pulmuone Co Ltd</t>
  </si>
  <si>
    <t>030790 KS Equity</t>
  </si>
  <si>
    <t>BK Tops Co Ltd</t>
  </si>
  <si>
    <t>WWD US Equity</t>
  </si>
  <si>
    <t>Estimate (WWD US)</t>
  </si>
  <si>
    <t>Woodward Inc</t>
  </si>
  <si>
    <t>DCO US Equity</t>
  </si>
  <si>
    <t>Estimate (DCO US)</t>
  </si>
  <si>
    <t>Ducommun Inc</t>
  </si>
  <si>
    <t>2022A CF (2629861D US)</t>
  </si>
  <si>
    <t>Aris Water Solutions Inc</t>
  </si>
  <si>
    <t>ASPN US Equity</t>
  </si>
  <si>
    <t>2023A CF (ASPN US)</t>
  </si>
  <si>
    <t>Aspen Aerogels Inc</t>
  </si>
  <si>
    <t>BORR US Equity</t>
  </si>
  <si>
    <t>2024Q3 CF (BORR US)</t>
  </si>
  <si>
    <t>Borr Drilling Ltd</t>
  </si>
  <si>
    <t>CHE-U CN Equity</t>
  </si>
  <si>
    <t>2022A CF (CHE-U CN)</t>
  </si>
  <si>
    <t>Chemtrade Logistics Income Fund</t>
  </si>
  <si>
    <t>ENLC US Equity</t>
  </si>
  <si>
    <t>2022A CF (ENLC US)</t>
  </si>
  <si>
    <t>EnLink Midstream LLC</t>
  </si>
  <si>
    <t>Company News (HY US)</t>
  </si>
  <si>
    <t>Hyster-Yale Inc</t>
  </si>
  <si>
    <t>BOOT IN Equity</t>
  </si>
  <si>
    <t>2025A CF (BOOT IN)</t>
  </si>
  <si>
    <t>Abbott India Ltd</t>
  </si>
  <si>
    <t>4175 TT Equity</t>
  </si>
  <si>
    <t>2024A CF (4175 TT)</t>
  </si>
  <si>
    <t>MedFirst Healthcare Services Inc</t>
  </si>
  <si>
    <t>096760 KS Equity</t>
  </si>
  <si>
    <t>2025C3 CF (096760 KS)</t>
  </si>
  <si>
    <t>JW Holdings Corp</t>
  </si>
  <si>
    <t>2025C3 CF (001060 KS)</t>
  </si>
  <si>
    <t>AAREIT SP Equity</t>
  </si>
  <si>
    <t>2026S1 CF (AAREIT SP)</t>
  </si>
  <si>
    <t>AIMS APAC REIT</t>
  </si>
  <si>
    <t>2025A CF (AAT US)</t>
  </si>
  <si>
    <t>AZTA US Equity</t>
  </si>
  <si>
    <t>Estimate (AZTA US)</t>
  </si>
  <si>
    <t>Azenta Inc</t>
  </si>
  <si>
    <t>EXC US Equity</t>
  </si>
  <si>
    <t>2021A CF (EXC US)</t>
  </si>
  <si>
    <t>Exelon Corp</t>
  </si>
  <si>
    <t>PEG US Equity</t>
  </si>
  <si>
    <t>2021A CF (PEG US)</t>
  </si>
  <si>
    <t>Public Service Enterprise Group Inc</t>
  </si>
  <si>
    <t>2021A CF (WEC US)</t>
  </si>
  <si>
    <t>WEC Energy Group Inc</t>
  </si>
  <si>
    <t>2022A CF (AMC US)</t>
  </si>
  <si>
    <t>Walt Disney Studios Motion Pictures AB</t>
  </si>
  <si>
    <t>595975Z US Equity</t>
  </si>
  <si>
    <t>2023Q2 CF (595975Z US)</t>
  </si>
  <si>
    <t>National CineMedia LLC</t>
  </si>
  <si>
    <t>600977 CH Equity</t>
  </si>
  <si>
    <t>2023A CF (600977 CH)</t>
  </si>
  <si>
    <t>China Film Group Co Ltd</t>
  </si>
  <si>
    <t>2024A CF (AMC US)</t>
  </si>
  <si>
    <t>2024A CF (MDU US)</t>
  </si>
  <si>
    <t>BKH US Equity</t>
  </si>
  <si>
    <t>Black Hills Corp</t>
  </si>
  <si>
    <t>NOTE US Equity</t>
  </si>
  <si>
    <t>Company News (NOTE US)</t>
  </si>
  <si>
    <t>FiscalNote Holdings Inc</t>
  </si>
  <si>
    <t>OTEX CN Equity</t>
  </si>
  <si>
    <t>2023Q4 CF (OTEX CN)</t>
  </si>
  <si>
    <t>Open Text Corp</t>
  </si>
  <si>
    <t>ROP US Equity</t>
  </si>
  <si>
    <t>2022Q4 CF (ROP US)</t>
  </si>
  <si>
    <t>Roper Technologies Inc</t>
  </si>
  <si>
    <t>ENB CN Equity</t>
  </si>
  <si>
    <t>Enbridge Inc</t>
  </si>
  <si>
    <t>2022A CF (ETRN US)</t>
  </si>
  <si>
    <t>KMI US Equity</t>
  </si>
  <si>
    <t>Kinder Morgan Inc</t>
  </si>
  <si>
    <t>DLR US Equity</t>
  </si>
  <si>
    <t>2025A CF (DLR US)</t>
  </si>
  <si>
    <t>Digital Realty Trust Inc</t>
  </si>
  <si>
    <t>PGRE US Equity</t>
  </si>
  <si>
    <t>2024A CF (PGRE US)</t>
  </si>
  <si>
    <t>Paramount Group Inc</t>
  </si>
  <si>
    <t>DEI US Equity</t>
  </si>
  <si>
    <t>2024A CF (DEI US)</t>
  </si>
  <si>
    <t>Douglas Emmett Inc</t>
  </si>
  <si>
    <t>Company News (BMC US)</t>
  </si>
  <si>
    <t>Company News (PSA US)</t>
  </si>
  <si>
    <t>Wachtell Lipton Rosen &amp; Katz</t>
  </si>
  <si>
    <t>1131L US Equity</t>
  </si>
  <si>
    <t>Hogan Lovells US LLP</t>
  </si>
  <si>
    <t>0179048D US Equity</t>
  </si>
  <si>
    <t>Eastdil Secured LLC</t>
  </si>
  <si>
    <t>JBI US Equity</t>
  </si>
  <si>
    <t>2022C1 CF (JBI US)</t>
  </si>
  <si>
    <t>Janus International Group Inc</t>
  </si>
  <si>
    <t>2025Q4 CF (DY US)</t>
  </si>
  <si>
    <t>WITH FH Equity</t>
  </si>
  <si>
    <t>2021A CF (WITH FH)</t>
  </si>
  <si>
    <t>WithSecure Oyj</t>
  </si>
  <si>
    <t>ADTN US Equity</t>
  </si>
  <si>
    <t>2022Q3 CF (ADTN US)</t>
  </si>
  <si>
    <t>ADTRAN Holdings Inc</t>
  </si>
  <si>
    <t>Company News (WINMQ US)</t>
  </si>
  <si>
    <t>1605612D IN Equity</t>
  </si>
  <si>
    <t>Company News (1605612D IN)</t>
  </si>
  <si>
    <t>Prodapt Solutions Pvt Ltd</t>
  </si>
  <si>
    <t>Dragos Inc</t>
  </si>
  <si>
    <t>1467058D US Equity</t>
  </si>
  <si>
    <t>Hawkeye 360 Inc</t>
  </si>
  <si>
    <t>1885711D US Equity</t>
  </si>
  <si>
    <t>Conceal Inc</t>
  </si>
  <si>
    <t>70814Z US Equity</t>
  </si>
  <si>
    <t>Environmental Systems Research Institute Inc</t>
  </si>
  <si>
    <t>2022A CF (VNO US)</t>
  </si>
  <si>
    <t>Company News (PFS US)</t>
  </si>
  <si>
    <t>Pollfish Inc/NY</t>
  </si>
  <si>
    <t>1789 TT Equity</t>
  </si>
  <si>
    <t>2021A CF (1789 TT)</t>
  </si>
  <si>
    <t>ScinoPharm Taiwan Ltd</t>
  </si>
  <si>
    <t>2254943D SS Equity</t>
  </si>
  <si>
    <t>Immedica Pharma AB</t>
  </si>
  <si>
    <t>3692 HK Equity</t>
  </si>
  <si>
    <t>Hansoh Pharmaceutical Group Co Ltd</t>
  </si>
  <si>
    <t>97612Z IM Equity</t>
  </si>
  <si>
    <t>Chiesi Farmaceutici SpA</t>
  </si>
  <si>
    <t>ACWHXZ CH Equity</t>
  </si>
  <si>
    <t>Jiangsu Hansoh Pharmaceutical Group Co Ltd</t>
  </si>
  <si>
    <t>2024A CF (WELL US)</t>
  </si>
  <si>
    <t>Sunrise Senior Living LLC</t>
  </si>
  <si>
    <t>1685156D CN Equity</t>
  </si>
  <si>
    <t>Cogir Management Corp Inc</t>
  </si>
  <si>
    <t>0090187D US Equity</t>
  </si>
  <si>
    <t>Oakmont Senior Living LLC</t>
  </si>
  <si>
    <t>2807954Z CN Equity</t>
  </si>
  <si>
    <t>2022A CF (WELL US)</t>
  </si>
  <si>
    <t>Revera Inc</t>
  </si>
  <si>
    <t>29693Z US Equity</t>
  </si>
  <si>
    <t>Promedica Health System Inc</t>
  </si>
  <si>
    <t>BARN SW Equity</t>
  </si>
  <si>
    <t>Estimate (BARN SW)</t>
  </si>
  <si>
    <t>Barry Callebaut AG</t>
  </si>
  <si>
    <t>SLGN US Equity</t>
  </si>
  <si>
    <t>Estimate (SLGN US)</t>
  </si>
  <si>
    <t>Silgan Holdings Inc</t>
  </si>
  <si>
    <t>GIVN SW Equity</t>
  </si>
  <si>
    <t>Estimate (GIVN SW)</t>
  </si>
  <si>
    <t>Givaudan SA</t>
  </si>
  <si>
    <t>0194254D US Equity</t>
  </si>
  <si>
    <t>Company News (PENN US)</t>
  </si>
  <si>
    <t>Emeril's Homebase LLC</t>
  </si>
  <si>
    <t>2025A CF (PENN US)</t>
  </si>
  <si>
    <t>ALL AU Equity</t>
  </si>
  <si>
    <t>2023S1 CF (ALL AU)</t>
  </si>
  <si>
    <t>Aristocrat Leisure Ltd</t>
  </si>
  <si>
    <t>BRAG CN Equity</t>
  </si>
  <si>
    <t>2024A CF (BRAG CN)</t>
  </si>
  <si>
    <t>Bragg Gaming Group Inc</t>
  </si>
  <si>
    <t>Estimate (IPGP US)</t>
  </si>
  <si>
    <t>IPG Photonics Corp</t>
  </si>
  <si>
    <t>3680 TT Equity</t>
  </si>
  <si>
    <t>Estimate (3680 TT)</t>
  </si>
  <si>
    <t>Gudeng Precision Industrial Co Ltd</t>
  </si>
  <si>
    <t>PDFS US Equity</t>
  </si>
  <si>
    <t>2024Q1 CF (PDFS US)</t>
  </si>
  <si>
    <t>PDF Solutions Inc</t>
  </si>
  <si>
    <t>UTL US Equity</t>
  </si>
  <si>
    <t>2021A CF (UTL US)</t>
  </si>
  <si>
    <t>Unitil Corp</t>
  </si>
  <si>
    <t>KEMIRA FH Equity</t>
  </si>
  <si>
    <t>Estimate (KEMIRA FH)</t>
  </si>
  <si>
    <t>Kemira Oyj</t>
  </si>
  <si>
    <t>300380 CH Equity</t>
  </si>
  <si>
    <t>2023A CF (300380 CH)</t>
  </si>
  <si>
    <t>Shanghai Amarsoft Information &amp; Technology Co Ltd</t>
  </si>
  <si>
    <t>2025C2 CF (AIR FP)</t>
  </si>
  <si>
    <t>2024A CF (EMBJ3 BZ)</t>
  </si>
  <si>
    <t>GBX US Equity</t>
  </si>
  <si>
    <t>2024Q1 CF (GBX US)</t>
  </si>
  <si>
    <t>Greenbrier Cos Inc/The</t>
  </si>
  <si>
    <t>Estimate (HRL US)</t>
  </si>
  <si>
    <t>Hormel Foods Corp</t>
  </si>
  <si>
    <t>CAG US Equity</t>
  </si>
  <si>
    <t>Estimate (CAG US)</t>
  </si>
  <si>
    <t>Conagra Brands Inc</t>
  </si>
  <si>
    <t>KHC US Equity</t>
  </si>
  <si>
    <t>Estimate (KHC US)</t>
  </si>
  <si>
    <t>Kraft Heinz Co/The</t>
  </si>
  <si>
    <t>FLO US Equity</t>
  </si>
  <si>
    <t>Estimate (FLO US)</t>
  </si>
  <si>
    <t>Flowers Foods Inc</t>
  </si>
  <si>
    <t>K US Equity</t>
  </si>
  <si>
    <t>Estimate (K US)</t>
  </si>
  <si>
    <t>Kellanova</t>
  </si>
  <si>
    <t>2022A CF (PCT NZ)</t>
  </si>
  <si>
    <t>Precinct Properties Group</t>
  </si>
  <si>
    <t>RLBY US Equity</t>
  </si>
  <si>
    <t>2021A CF (RLBY US)</t>
  </si>
  <si>
    <t>Reliability Inc</t>
  </si>
  <si>
    <t>Company News (PCH US)</t>
  </si>
  <si>
    <t>TETRA Technologies Inc</t>
  </si>
  <si>
    <t>2025C2 CF (004800 KS)</t>
  </si>
  <si>
    <t>ACI Worldwide Inc</t>
  </si>
  <si>
    <t>DBD US Equity</t>
  </si>
  <si>
    <t>2024A CF (DBD US)</t>
  </si>
  <si>
    <t>Diebold Nixdorf Inc</t>
  </si>
  <si>
    <t>DGII US Equity</t>
  </si>
  <si>
    <t>2024Q2 CF (DGII US)</t>
  </si>
  <si>
    <t>Digi International Inc</t>
  </si>
  <si>
    <t>2025A CF (SJM US)</t>
  </si>
  <si>
    <t>Estimate (SJM US)</t>
  </si>
  <si>
    <t>BBOX LN Equity</t>
  </si>
  <si>
    <t>2025S1 CF (BBOX LN)</t>
  </si>
  <si>
    <t>Tritax Big Box REIT PLC</t>
  </si>
  <si>
    <t>MFMI IJ Equity</t>
  </si>
  <si>
    <t>2025C3 CF (MFMI IJ)</t>
  </si>
  <si>
    <t>Multifiling Mitra Indonesia Tbk PT</t>
  </si>
  <si>
    <t>3001483Z US Equity</t>
  </si>
  <si>
    <t>Company News (IRM US)</t>
  </si>
  <si>
    <t>Inovalon Inc</t>
  </si>
  <si>
    <t>Estimate (MKSI US)</t>
  </si>
  <si>
    <t>MKS Inc</t>
  </si>
  <si>
    <t>HUN US Equity</t>
  </si>
  <si>
    <t>Estimate (HUN US)</t>
  </si>
  <si>
    <t>Huntsman Corp</t>
  </si>
  <si>
    <t>300227 CH Equity</t>
  </si>
  <si>
    <t>Estimate (300227 CH)</t>
  </si>
  <si>
    <t>Shenzhen Sunshine Laser &amp; Electronics Technology Co Ltd</t>
  </si>
  <si>
    <t>0571898D US Equity</t>
  </si>
  <si>
    <t>Company News (CMLSQ US)</t>
  </si>
  <si>
    <t>TuneIn Inc</t>
  </si>
  <si>
    <t>WLCO IN Equity</t>
  </si>
  <si>
    <t>Estimate (WLCO IN)</t>
  </si>
  <si>
    <t>Welspun Corp Ltd</t>
  </si>
  <si>
    <t>001250 KS Equity</t>
  </si>
  <si>
    <t>2021A CF (001250 KS)</t>
  </si>
  <si>
    <t>GS Global Corp</t>
  </si>
  <si>
    <t>2025A CF (EPC US)</t>
  </si>
  <si>
    <t>Estimate (EPC US)</t>
  </si>
  <si>
    <t>Company News (LEE US)</t>
  </si>
  <si>
    <t>2026Q2 CF (CXM US)</t>
  </si>
  <si>
    <t>ESBA US Equity</t>
  </si>
  <si>
    <t>2023A CF (ESBA US)</t>
  </si>
  <si>
    <t>Empire State Realty OP LP</t>
  </si>
  <si>
    <t>ESRT US Equity</t>
  </si>
  <si>
    <t>2024A CF (ESRT US)</t>
  </si>
  <si>
    <t>Empire State Realty Trust Inc</t>
  </si>
  <si>
    <t>2022A CF (THRY US)</t>
  </si>
  <si>
    <t>Whitepages.com Inc</t>
  </si>
  <si>
    <t>2024A CF (THRY US)</t>
  </si>
  <si>
    <t>Altaba Inc</t>
  </si>
  <si>
    <t>BN CN Equity</t>
  </si>
  <si>
    <t>Brookfield Corp</t>
  </si>
  <si>
    <t>DOX US Equity</t>
  </si>
  <si>
    <t>2024A CF (DOX US)</t>
  </si>
  <si>
    <t>Amdocs Ltd</t>
  </si>
  <si>
    <t>2025Q3 CF (MTZ US)</t>
  </si>
  <si>
    <t>Cross Country Infrastructure Services Inc</t>
  </si>
  <si>
    <t>BYL CN Equity</t>
  </si>
  <si>
    <t>2023A CF (BYL CN)</t>
  </si>
  <si>
    <t>Baylin Technologies Inc</t>
  </si>
  <si>
    <t>CTOS US Equity</t>
  </si>
  <si>
    <t>2025Q2 CF (CTOS US)</t>
  </si>
  <si>
    <t>Custom Truck One Source Inc</t>
  </si>
  <si>
    <t>2024A CF (GLW US)</t>
  </si>
  <si>
    <t>Corning Inc</t>
  </si>
  <si>
    <t>2022A CF (PRETQ US)</t>
  </si>
  <si>
    <t>Shoppers World Stores Inc</t>
  </si>
  <si>
    <t>0300694Z US Equity</t>
  </si>
  <si>
    <t>2021A CF (PRETQ US)</t>
  </si>
  <si>
    <t>Ashley HomeStores Ltd</t>
  </si>
  <si>
    <t>0874317D US Equity</t>
  </si>
  <si>
    <t>Giant Food Stores Inc</t>
  </si>
  <si>
    <t>1055517D US Equity</t>
  </si>
  <si>
    <t>Shoe Show Inc</t>
  </si>
  <si>
    <t>1925501D US Equity</t>
  </si>
  <si>
    <t>Goto Foods Funding LLC</t>
  </si>
  <si>
    <t>Company News (DLX US)</t>
  </si>
  <si>
    <t>Dupaco Community Credit Union Inc</t>
  </si>
  <si>
    <t>402276Z US Equity</t>
  </si>
  <si>
    <t>2023Q3 CF (DLX US)</t>
  </si>
  <si>
    <t>Arvest Bank</t>
  </si>
  <si>
    <t>465416Z US Equity</t>
  </si>
  <si>
    <t>Peoples Bancorp Inc</t>
  </si>
  <si>
    <t>FULT US Equity</t>
  </si>
  <si>
    <t>Fulton Financial Corp</t>
  </si>
  <si>
    <t>PNC Financial Services Group Inc/The</t>
  </si>
  <si>
    <t>KGX GR Equity</t>
  </si>
  <si>
    <t>2024Q3 CF (KGX GR)</t>
  </si>
  <si>
    <t>KION Group AG</t>
  </si>
  <si>
    <t>2025A CF (AMGN US)</t>
  </si>
  <si>
    <t>Estimate (AMGN US)</t>
  </si>
  <si>
    <t>6160 HK Equity</t>
  </si>
  <si>
    <t>BeOne Medicines Ltd</t>
  </si>
  <si>
    <t>Estimate (NESN SW)</t>
  </si>
  <si>
    <t>2025Q3 CF (LXP US)</t>
  </si>
  <si>
    <t>7201 JP Equity</t>
  </si>
  <si>
    <t>Nissan Motor Co Ltd</t>
  </si>
  <si>
    <t>SWK US Equity</t>
  </si>
  <si>
    <t>Stanley Black &amp; Decker Inc</t>
  </si>
  <si>
    <t>GXO US Equity</t>
  </si>
  <si>
    <t>GXO Logistics Inc</t>
  </si>
  <si>
    <t>SVC US Equity</t>
  </si>
  <si>
    <t>Service Properties Trust</t>
  </si>
  <si>
    <t>0877019D US Equity</t>
  </si>
  <si>
    <t>IG Investments Holdings LLC</t>
  </si>
  <si>
    <t>Bank of America Corp</t>
  </si>
  <si>
    <t>002549 CH Equity</t>
  </si>
  <si>
    <t>2021A CF (002549 CH)</t>
  </si>
  <si>
    <t>Hunan Kaimeite Gases Co Ltd</t>
  </si>
  <si>
    <t>327260 KS Equity</t>
  </si>
  <si>
    <t>2022C1 CF (327260 KS)</t>
  </si>
  <si>
    <t>RF Materials Co Ltd</t>
  </si>
  <si>
    <t>AQN CN Equity</t>
  </si>
  <si>
    <t>2021A CF (AQN CN)</t>
  </si>
  <si>
    <t>Algonquin Power &amp; Utilities Corp</t>
  </si>
  <si>
    <t>222800 KS Equity</t>
  </si>
  <si>
    <t>2025C3 CF (222800 KS)</t>
  </si>
  <si>
    <t>SIMMTECH Co Ltd</t>
  </si>
  <si>
    <t>Estimate (6301 JP)</t>
  </si>
  <si>
    <t>Estimate (LNR CN)</t>
  </si>
  <si>
    <t>241560 KS Equity</t>
  </si>
  <si>
    <t>2025Q2 CF (HRI US)</t>
  </si>
  <si>
    <t>Doosan Bobcat Inc</t>
  </si>
  <si>
    <t>2025Q3 CF (CMRB MM)</t>
  </si>
  <si>
    <t>CMR SAB de CV</t>
  </si>
  <si>
    <t>MEAL3 BZ Equity</t>
  </si>
  <si>
    <t>2023Q3 CF (MEAL3 BZ)</t>
  </si>
  <si>
    <t>International Meal Co Alimentacao SA</t>
  </si>
  <si>
    <t>2026Q2 CF (MZTI US)</t>
  </si>
  <si>
    <t>2024A CF (BLNK US)</t>
  </si>
  <si>
    <t>Blink Charging Co</t>
  </si>
  <si>
    <t>SMRT US Equity</t>
  </si>
  <si>
    <t>2024Q1 CF (SMRT US)</t>
  </si>
  <si>
    <t>SmartRent Inc</t>
  </si>
  <si>
    <t>2025A CF (MTZ US)</t>
  </si>
  <si>
    <t>SATS US Equity</t>
  </si>
  <si>
    <t>EchoStar Corp</t>
  </si>
  <si>
    <t>2025S1 CF (002851 CH)</t>
  </si>
  <si>
    <t>Shenzhen Megmeet Electrical Co Ltd</t>
  </si>
  <si>
    <t>1849709D FP Equity</t>
  </si>
  <si>
    <t>Verkor SADIR</t>
  </si>
  <si>
    <t>CIPI US Equity</t>
  </si>
  <si>
    <t>Company News (CIPI US)</t>
  </si>
  <si>
    <t>Correlate Energy Corp</t>
  </si>
  <si>
    <t>COF AU Equity</t>
  </si>
  <si>
    <t>2023S1 CF (COF AU)</t>
  </si>
  <si>
    <t>Centuria Office REIT</t>
  </si>
  <si>
    <t>Vitol Holding BV</t>
  </si>
  <si>
    <t>LYB US Equity</t>
  </si>
  <si>
    <t>Estimate (LYB US)</t>
  </si>
  <si>
    <t>LyondellBasell Industries NV</t>
  </si>
  <si>
    <t>1353783D US Equity</t>
  </si>
  <si>
    <t>KDS Promix LLC</t>
  </si>
  <si>
    <t>5201 JP Equity</t>
  </si>
  <si>
    <t>Estimate (5201 JP)</t>
  </si>
  <si>
    <t>AGC Inc</t>
  </si>
  <si>
    <t>DIM FP Equity</t>
  </si>
  <si>
    <t>Estimate (DIM FP)</t>
  </si>
  <si>
    <t>Sartorius Stedim Biotech</t>
  </si>
  <si>
    <t>2024A CF (300459 CH)</t>
  </si>
  <si>
    <t>Zhejiang Jinke Tom Culture Industry Co Ltd</t>
  </si>
  <si>
    <t>TSN US Equity</t>
  </si>
  <si>
    <t>Estimate (TSN US)</t>
  </si>
  <si>
    <t>Tyson Foods Inc</t>
  </si>
  <si>
    <t>2025C3 CF (950220 KS)</t>
  </si>
  <si>
    <t>NeoImmuneTech Inc</t>
  </si>
  <si>
    <t>0247409Z US Equity</t>
  </si>
  <si>
    <t>HHS Centers for Disease Control &amp; Prevention</t>
  </si>
  <si>
    <t>1511892D US Equity</t>
  </si>
  <si>
    <t>Hound Labs Inc</t>
  </si>
  <si>
    <t>1865581D US Equity</t>
  </si>
  <si>
    <t>Cleveland Diagnostics Inc</t>
  </si>
  <si>
    <t>300244 CH Equity</t>
  </si>
  <si>
    <t>2024A CF (300244 CH)</t>
  </si>
  <si>
    <t>Dian Diagnostics Group Co Ltd</t>
  </si>
  <si>
    <t>2024A CF (OPK US)</t>
  </si>
  <si>
    <t>1779447D US Equity</t>
  </si>
  <si>
    <t>Biomedical Advanced Research &amp; Development Authority</t>
  </si>
  <si>
    <t>0855406D TT Equity</t>
  </si>
  <si>
    <t>Academia Sinica</t>
  </si>
  <si>
    <t>1119L US Equity</t>
  </si>
  <si>
    <t>Company News (1119L US)</t>
  </si>
  <si>
    <t>Sidley Austin LLP</t>
  </si>
  <si>
    <t>LIEB GR Equity</t>
  </si>
  <si>
    <t>Liebherr-International Deutschland GmbH</t>
  </si>
  <si>
    <t>2024A CF (WPC US)</t>
  </si>
  <si>
    <t>WP Carey Inc</t>
  </si>
  <si>
    <t>GUI FP Equity</t>
  </si>
  <si>
    <t>2024A CF (GUI FP)</t>
  </si>
  <si>
    <t>Guillemot Corp</t>
  </si>
  <si>
    <t>Company News (JBI US)</t>
  </si>
  <si>
    <t>2024A CF (REG US)</t>
  </si>
  <si>
    <t>Company News (VIRT US)</t>
  </si>
  <si>
    <t>Sumitomo Mitsui Trust Group Inc</t>
  </si>
  <si>
    <t>2023A CF (FMGI IN)</t>
  </si>
  <si>
    <t>Federal-Mogul Goetze India Ltd</t>
  </si>
  <si>
    <t>2022A CF (1789 TT)</t>
  </si>
  <si>
    <t>2025A CF (MRK US)</t>
  </si>
  <si>
    <t>2503567D CH Equity</t>
  </si>
  <si>
    <t>LaNova Medicines Ltd</t>
  </si>
  <si>
    <t>2021A CF (102460 KS)</t>
  </si>
  <si>
    <t>Reyon Pharmaceutical Co Ltd</t>
  </si>
  <si>
    <t>2022Q1 CF (MNKTQ US)</t>
  </si>
  <si>
    <t>1711553D US Equity</t>
  </si>
  <si>
    <t>2023A CF (EXE US)</t>
  </si>
  <si>
    <t>Delfin LNG LLC</t>
  </si>
  <si>
    <t>2457842D US Equity</t>
  </si>
  <si>
    <t>Company News (EXE US)</t>
  </si>
  <si>
    <t>Evolution Well Services LLC</t>
  </si>
  <si>
    <t>2023Q4 CF (PRETQ US)</t>
  </si>
  <si>
    <t>Service Management Systems Inc</t>
  </si>
  <si>
    <t>0942231D US Equity</t>
  </si>
  <si>
    <t>Placewise LLC</t>
  </si>
  <si>
    <t>1003367D US Equity</t>
  </si>
  <si>
    <t>Czarnowski Display Service Inc</t>
  </si>
  <si>
    <t>1294466D US Equity</t>
  </si>
  <si>
    <t>Delaware Valley Paving Inc</t>
  </si>
  <si>
    <t>1535252D US Equity</t>
  </si>
  <si>
    <t>Allied Universal Security Services LLC</t>
  </si>
  <si>
    <t>2021A CF (8374 TT)</t>
  </si>
  <si>
    <t>Ace Pillar Co Ltd</t>
  </si>
  <si>
    <t>SKYT US Equity</t>
  </si>
  <si>
    <t>2021A CF (SKYT US)</t>
  </si>
  <si>
    <t>SkyWater Technology Inc</t>
  </si>
  <si>
    <t>2021A CF (2330 TT)</t>
  </si>
  <si>
    <t>Scripps Research Institute/The</t>
  </si>
  <si>
    <t>084650 KS Equity</t>
  </si>
  <si>
    <t>2024A CF (084650 KS)</t>
  </si>
  <si>
    <t>LabGenomics Co Ltd</t>
  </si>
  <si>
    <t>2022A CF (OPK US)</t>
  </si>
  <si>
    <t>2016103Z LN Equity</t>
  </si>
  <si>
    <t>Ineos Healthcare Ltd</t>
  </si>
  <si>
    <t>2142 HK Equity</t>
  </si>
  <si>
    <t>Company News (2142 HK)</t>
  </si>
  <si>
    <t>HBM Holdings Ltd</t>
  </si>
  <si>
    <t>MDLZ US Equity</t>
  </si>
  <si>
    <t>Estimate (MDLZ US)</t>
  </si>
  <si>
    <t>Mondelez International Inc</t>
  </si>
  <si>
    <t>XPO US Equity</t>
  </si>
  <si>
    <t>Estimate (XPO US)</t>
  </si>
  <si>
    <t>XPO Inc</t>
  </si>
  <si>
    <t>2251411D US Equity</t>
  </si>
  <si>
    <t>Company News (OPITQ US)</t>
  </si>
  <si>
    <t>Ad Hoc Group/The</t>
  </si>
  <si>
    <t>RMR US Equity</t>
  </si>
  <si>
    <t>RMR Group Inc/The</t>
  </si>
  <si>
    <t>Gunvor Group Ltd</t>
  </si>
  <si>
    <t>Valero Energy Corp</t>
  </si>
  <si>
    <t>2024A CF (200488 CH)</t>
  </si>
  <si>
    <t>Shandong Chenming Paper Holdings Ltd</t>
  </si>
  <si>
    <t>2574864D US Equity</t>
  </si>
  <si>
    <t>Company News (MTX US)</t>
  </si>
  <si>
    <t>Aim Intelligent Machines Inc</t>
  </si>
  <si>
    <t>Estimate (MRVL US)</t>
  </si>
  <si>
    <t>Marvell Technology Inc</t>
  </si>
  <si>
    <t>3492 TT Equity</t>
  </si>
  <si>
    <t>2024A CF (3492 TT)</t>
  </si>
  <si>
    <t>Advanced Connection Technology Inc</t>
  </si>
  <si>
    <t>9660 HK Equity</t>
  </si>
  <si>
    <t>Estimate (9660 HK)</t>
  </si>
  <si>
    <t>Horizon Robotics</t>
  </si>
  <si>
    <t>J M Smucker Co/The</t>
  </si>
  <si>
    <t>2024A CF (ETR US)</t>
  </si>
  <si>
    <t>920121 CH Equity</t>
  </si>
  <si>
    <t>2025S1 CF (920121 CH)</t>
  </si>
  <si>
    <t>Suzhou Jiangtian Packing Technology Co Ltd</t>
  </si>
  <si>
    <t>3611 TT Equity</t>
  </si>
  <si>
    <t>2024A CF (3611 TT)</t>
  </si>
  <si>
    <t>TSC Auto ID Technology Co Ltd</t>
  </si>
  <si>
    <t>2731 TT Equity</t>
  </si>
  <si>
    <t>2024A CF (2731 TT)</t>
  </si>
  <si>
    <t>Lion Travel Service Co Ltd</t>
  </si>
  <si>
    <t>Company News (EXPE US)</t>
  </si>
  <si>
    <t>AXP US Equity</t>
  </si>
  <si>
    <t>2023A CF (EXPE US)</t>
  </si>
  <si>
    <t>American Express Co</t>
  </si>
  <si>
    <t>Company News (LUV US)</t>
  </si>
  <si>
    <t>ICEAIR IR Equity</t>
  </si>
  <si>
    <t>Icelandair Group HF</t>
  </si>
  <si>
    <t>ERF FP Equity</t>
  </si>
  <si>
    <t>Estimate (ERF FP)</t>
  </si>
  <si>
    <t>Eurofins Scientific SE</t>
  </si>
  <si>
    <t>2023A CF (BKD US)</t>
  </si>
  <si>
    <t>8TRA GR Equity</t>
  </si>
  <si>
    <t>Traton SE</t>
  </si>
  <si>
    <t>BHP AU Equity</t>
  </si>
  <si>
    <t>Estimate (BHP AU)</t>
  </si>
  <si>
    <t>BHP Group Ltd</t>
  </si>
  <si>
    <t>SGH AU Equity</t>
  </si>
  <si>
    <t>SGH Ltd</t>
  </si>
  <si>
    <t>2021A CF (042660 KS)</t>
  </si>
  <si>
    <t>Hanwha Ocean Co Ltd</t>
  </si>
  <si>
    <t>ARGX BB Equity</t>
  </si>
  <si>
    <t>Argenx SE</t>
  </si>
  <si>
    <t>Media News (ARCH NO)</t>
  </si>
  <si>
    <t>2022A CF (COP US)</t>
  </si>
  <si>
    <t>NESR US Equity</t>
  </si>
  <si>
    <t>2023A CF (NESR US)</t>
  </si>
  <si>
    <t>National Energy Services Reunited Corp</t>
  </si>
  <si>
    <t>WCH GR Equity</t>
  </si>
  <si>
    <t>Estimate (WCH GR)</t>
  </si>
  <si>
    <t>Wacker Chemie AG</t>
  </si>
  <si>
    <t>001378 CH Equity</t>
  </si>
  <si>
    <t>2025S1 CF (001378 CH)</t>
  </si>
  <si>
    <t>Guangdong Decro Film New Materials Co Ltd</t>
  </si>
  <si>
    <t>Company News (THC US)</t>
  </si>
  <si>
    <t>Mount Sinai Community Foundation</t>
  </si>
  <si>
    <t>67995MF US Equity</t>
  </si>
  <si>
    <t>2022A CF (THC US)</t>
  </si>
  <si>
    <t>CommonSpirit Health</t>
  </si>
  <si>
    <t>2024A CF (THC US)</t>
  </si>
  <si>
    <t>2023S1 CF (002642 CH)</t>
  </si>
  <si>
    <t>Ronglian Group Ltd</t>
  </si>
  <si>
    <t>2023A CF (VMW US)</t>
  </si>
  <si>
    <t>0194102D US Equity</t>
  </si>
  <si>
    <t>New Horizons Computer Learning Centers Inc</t>
  </si>
  <si>
    <t>0273546D US Equity</t>
  </si>
  <si>
    <t>2022A CF (VMW US)</t>
  </si>
  <si>
    <t>Alphabet Inc/OH</t>
  </si>
  <si>
    <t>031820 KS Equity</t>
  </si>
  <si>
    <t>2023C3 CF (031820 KS)</t>
  </si>
  <si>
    <t>Itcencts Co Ltd</t>
  </si>
  <si>
    <t>Company News (MFW US)</t>
  </si>
  <si>
    <t>Estimate (TRIP US)</t>
  </si>
  <si>
    <t>TripAdvisor Inc</t>
  </si>
  <si>
    <t>8035 JP Equity</t>
  </si>
  <si>
    <t>Estimate (8035 JP)</t>
  </si>
  <si>
    <t>Tokyo Electron Ltd</t>
  </si>
  <si>
    <t>Estimate (AVNT US)</t>
  </si>
  <si>
    <t>Tesla Inc</t>
  </si>
  <si>
    <t>BDX US Equity</t>
  </si>
  <si>
    <t>Becton Dickinson &amp; Co</t>
  </si>
  <si>
    <t>AF FP Equity</t>
  </si>
  <si>
    <t>Air France-KLM</t>
  </si>
  <si>
    <t>2025Q1 CF (IOT US)</t>
  </si>
  <si>
    <t>Samsara Inc</t>
  </si>
  <si>
    <t>PORT3 BZ Equity</t>
  </si>
  <si>
    <t>2023A CF (PORT3 BZ)</t>
  </si>
  <si>
    <t>Wilson Sons SA</t>
  </si>
  <si>
    <t>SWAG US Equity</t>
  </si>
  <si>
    <t>2023A CF (SWAG US)</t>
  </si>
  <si>
    <t>Stran &amp; Co Inc</t>
  </si>
  <si>
    <t>2024A CF (VHI US)</t>
  </si>
  <si>
    <t>1897347D US Equity</t>
  </si>
  <si>
    <t>Company News (AMH US)</t>
  </si>
  <si>
    <t>Elevation Home Energy Solutions Inc</t>
  </si>
  <si>
    <t>Company News (MDRX US)</t>
  </si>
  <si>
    <t>State of Franklin Healthcare Associates PLLC</t>
  </si>
  <si>
    <t>0229181Z US Equity</t>
  </si>
  <si>
    <t>2022A CF (MDRX US)</t>
  </si>
  <si>
    <t>United States Social Security Administration</t>
  </si>
  <si>
    <t>0345999D US Equity</t>
  </si>
  <si>
    <t>Sentara Health Administration Inc</t>
  </si>
  <si>
    <t>5110 JP Equity</t>
  </si>
  <si>
    <t>Estimate (5110 JP)</t>
  </si>
  <si>
    <t>Sumitomo Rubber Industries Ltd</t>
  </si>
  <si>
    <t>ML FP Equity</t>
  </si>
  <si>
    <t>Estimate (ML FP)</t>
  </si>
  <si>
    <t>Cie Generale des Etablissements Michelin SCA</t>
  </si>
  <si>
    <t>PIRC IM Equity</t>
  </si>
  <si>
    <t>Estimate (PIRC IM)</t>
  </si>
  <si>
    <t>Pirelli &amp; C SpA</t>
  </si>
  <si>
    <t>2024A CF (MAPI IJ)</t>
  </si>
  <si>
    <t>011330 KS Equity</t>
  </si>
  <si>
    <t>2025C3 CF (011330 KS)</t>
  </si>
  <si>
    <t>Uni-Chem Co Ltd</t>
  </si>
  <si>
    <t>0345295D US Equity</t>
  </si>
  <si>
    <t>Company News (0345295D US)</t>
  </si>
  <si>
    <t>Yottaa Inc</t>
  </si>
  <si>
    <t>2022A CF (1426 HK)</t>
  </si>
  <si>
    <t>Estimate (6753 JP)</t>
  </si>
  <si>
    <t>Sharp Corp/Japan</t>
  </si>
  <si>
    <t>0542374D US Equity</t>
  </si>
  <si>
    <t>2025A CF (HALO US)</t>
  </si>
  <si>
    <t>Phillips-Medisize Corp</t>
  </si>
  <si>
    <t>130434Z US Equity</t>
  </si>
  <si>
    <t>J Knipper &amp; Co Inc</t>
  </si>
  <si>
    <t>Company News (CKH US)</t>
  </si>
  <si>
    <t>State of California Department of General Services</t>
  </si>
  <si>
    <t>Company News (SNOW US)</t>
  </si>
  <si>
    <t>Intelligent Medical Objects Inc</t>
  </si>
  <si>
    <t>1868268D US Equity</t>
  </si>
  <si>
    <t>Vytalize Health LLC</t>
  </si>
  <si>
    <t>2082686D US Equity</t>
  </si>
  <si>
    <t>Clinical Architecture LLC</t>
  </si>
  <si>
    <t>BKYI US Equity</t>
  </si>
  <si>
    <t>2021A CF (BKYI US)</t>
  </si>
  <si>
    <t>Bio-key International Inc</t>
  </si>
  <si>
    <t>2025Q2 CF (DTI US)</t>
  </si>
  <si>
    <t>2021A CF (036460 KS)</t>
  </si>
  <si>
    <t>285130 KS Equity</t>
  </si>
  <si>
    <t>2023C3 CF (285130 KS)</t>
  </si>
  <si>
    <t>SK Chemicals Co Ltd</t>
  </si>
  <si>
    <t>2021A CF (4919 TT)</t>
  </si>
  <si>
    <t>6176 TT Equity</t>
  </si>
  <si>
    <t>2024A CF (6176 TT)</t>
  </si>
  <si>
    <t>Radiant Opto-Electronics Corp</t>
  </si>
  <si>
    <t>2024A CF (000078 CH)</t>
  </si>
  <si>
    <t>Shenzhen Neptunus Bioengineering Co Ltd</t>
  </si>
  <si>
    <t>000950 CH Equity</t>
  </si>
  <si>
    <t>2022S1 CF (000950 CH)</t>
  </si>
  <si>
    <t>CQ Pharmaceutical Holding Co Ltd</t>
  </si>
  <si>
    <t>2025C3 CF (060280 KS)</t>
  </si>
  <si>
    <t>1075968D US Equity</t>
  </si>
  <si>
    <t>Company News (ZBH US)</t>
  </si>
  <si>
    <t>Think Surgical Inc</t>
  </si>
  <si>
    <t>BCDA US Equity</t>
  </si>
  <si>
    <t>2024A CF (BCDA US)</t>
  </si>
  <si>
    <t>BioCardia Inc</t>
  </si>
  <si>
    <t>3060 TT Equity</t>
  </si>
  <si>
    <t>2024A CF (3060 TT)</t>
  </si>
  <si>
    <t>MIN AIK Technology Co Ltd</t>
  </si>
  <si>
    <t>5985 JP Equity</t>
  </si>
  <si>
    <t>2025A CF (5985 JP)</t>
  </si>
  <si>
    <t>Suncall Corp</t>
  </si>
  <si>
    <t>STMPA FP Equity</t>
  </si>
  <si>
    <t>Estimate (STMPA FP)</t>
  </si>
  <si>
    <t>STMicroelectronics NV</t>
  </si>
  <si>
    <t>SWKS US Equity</t>
  </si>
  <si>
    <t>Estimate (SWKS US)</t>
  </si>
  <si>
    <t>Skyworks Solutions Inc</t>
  </si>
  <si>
    <t>SMTC US Equity</t>
  </si>
  <si>
    <t>Estimate (SMTC US)</t>
  </si>
  <si>
    <t>Semtech Corp</t>
  </si>
  <si>
    <t>2025A CF (PBF US)</t>
  </si>
  <si>
    <t>SPB CN Equity</t>
  </si>
  <si>
    <t>2024A CF (SPB CN)</t>
  </si>
  <si>
    <t>Superior Plus Corp</t>
  </si>
  <si>
    <t>SUN US Equity</t>
  </si>
  <si>
    <t>Sunoco LP</t>
  </si>
  <si>
    <t>2024A CF (EPR US)</t>
  </si>
  <si>
    <t>EPR Properties</t>
  </si>
  <si>
    <t>IMAX US Equity</t>
  </si>
  <si>
    <t>Estimate (IMAX US)</t>
  </si>
  <si>
    <t>IMAX Corp</t>
  </si>
  <si>
    <t>NNN US Equity</t>
  </si>
  <si>
    <t>2024A CF (NNN US)</t>
  </si>
  <si>
    <t>NNN REIT Inc</t>
  </si>
  <si>
    <t>Estimate (ITM LN)</t>
  </si>
  <si>
    <t>ITM Power PLC</t>
  </si>
  <si>
    <t>0170016D US Equity</t>
  </si>
  <si>
    <t>Company News (0170016D US)</t>
  </si>
  <si>
    <t>Stripe LLC</t>
  </si>
  <si>
    <t>1900180D BZ Equity</t>
  </si>
  <si>
    <t>Agencia Nacional de Transportes Terrestres</t>
  </si>
  <si>
    <t>ACO/X CN Equity</t>
  </si>
  <si>
    <t>2023A CF (ACO/X CN)</t>
  </si>
  <si>
    <t>Atco Ltd/Canada</t>
  </si>
  <si>
    <t>2024Q2 CF (CNR CN)</t>
  </si>
  <si>
    <t>Estimate (DOW US)</t>
  </si>
  <si>
    <t>Dow Inc</t>
  </si>
  <si>
    <t>1COV GR Equity</t>
  </si>
  <si>
    <t>Covestro AG</t>
  </si>
  <si>
    <t>AKE FP Equity</t>
  </si>
  <si>
    <t>Arkema SA</t>
  </si>
  <si>
    <t>Schaeffler AG</t>
  </si>
  <si>
    <t>RHM GR Equity</t>
  </si>
  <si>
    <t>Estimate (RHM GR)</t>
  </si>
  <si>
    <t>Rheinmetall AG</t>
  </si>
  <si>
    <t>WAWI NO Equity</t>
  </si>
  <si>
    <t>Wallenius Wilhelmsen ASA</t>
  </si>
  <si>
    <t>1003Z GR Equity</t>
  </si>
  <si>
    <t>Estimate (1003Z GR)</t>
  </si>
  <si>
    <t>ZF Friedrichshafen AG</t>
  </si>
  <si>
    <t>8818 JP Equity</t>
  </si>
  <si>
    <t>2025A CF (8818 JP)</t>
  </si>
  <si>
    <t>Keihanshin Building Co Ltd</t>
  </si>
  <si>
    <t>MLT SP Equity</t>
  </si>
  <si>
    <t>2025A CF (MLT SP)</t>
  </si>
  <si>
    <t>Mapletree Logistics Trust</t>
  </si>
  <si>
    <t>MINT SP Equity</t>
  </si>
  <si>
    <t>2026Q3 CF (MINT SP)</t>
  </si>
  <si>
    <t>Mapletree Industrial Trust</t>
  </si>
  <si>
    <t>Estimate (BIIB US)</t>
  </si>
  <si>
    <t>CCRD US Equity</t>
  </si>
  <si>
    <t>2024A CF (CCRD US)</t>
  </si>
  <si>
    <t>CoreCard Corp</t>
  </si>
  <si>
    <t>RBBN US Equity</t>
  </si>
  <si>
    <t>Estimate (RBBN US)</t>
  </si>
  <si>
    <t>Ribbon Communications Inc</t>
  </si>
  <si>
    <t>IDL FP Equity</t>
  </si>
  <si>
    <t>Estimate (IDL FP)</t>
  </si>
  <si>
    <t>ID Logistics Group SACA</t>
  </si>
  <si>
    <t>Estimate (GME US)</t>
  </si>
  <si>
    <t>STX US Equity</t>
  </si>
  <si>
    <t>Seagate Technology Holdings PLC</t>
  </si>
  <si>
    <t>Company News (UDR US)</t>
  </si>
  <si>
    <t>Funnel AB</t>
  </si>
  <si>
    <t>1993556D US Equity</t>
  </si>
  <si>
    <t>Funnel Leasing Inc</t>
  </si>
  <si>
    <t>Schwan Cosmetics USA Inc</t>
  </si>
  <si>
    <t>0638651D IM Equity</t>
  </si>
  <si>
    <t>Ancorotti Cosmetics SpA</t>
  </si>
  <si>
    <t>0703441D US Equity</t>
  </si>
  <si>
    <t>Kolmar Laboratories Inc</t>
  </si>
  <si>
    <t>0797759D CN Equity</t>
  </si>
  <si>
    <t>Shorewood Corp of Canada Ltd</t>
  </si>
  <si>
    <t>1240Z SW Equity</t>
  </si>
  <si>
    <t>Firmenich International SA</t>
  </si>
  <si>
    <t>QVC Group Inc</t>
  </si>
  <si>
    <t>2022Q3 CF (SCOR US)</t>
  </si>
  <si>
    <t>0164438Z US Equity</t>
  </si>
  <si>
    <t>Company News (SCOR US)</t>
  </si>
  <si>
    <t>Winston Broadcasting Network</t>
  </si>
  <si>
    <t>2024A CF (HTO US)</t>
  </si>
  <si>
    <t>Santa Clara Valley Water District</t>
  </si>
  <si>
    <t>0984968D US Equity</t>
  </si>
  <si>
    <t>West Travis County Public Utility Agency</t>
  </si>
  <si>
    <t>1015365Z US Equity</t>
  </si>
  <si>
    <t>South Central Connecticut Regional Water Authority</t>
  </si>
  <si>
    <t>2646Z US Equity</t>
  </si>
  <si>
    <t>Lower Colorado River Authority</t>
  </si>
  <si>
    <t>27892MF US Equity</t>
  </si>
  <si>
    <t>Guadalupe-Blanco River Authority</t>
  </si>
  <si>
    <t>Company News (1143L US)</t>
  </si>
  <si>
    <t>Baker Botts LLP</t>
  </si>
  <si>
    <t>Estimate (INCY US)</t>
  </si>
  <si>
    <t>Estimate (BMY US)</t>
  </si>
  <si>
    <t>Company News (3145290Z NZ)</t>
  </si>
  <si>
    <t>Evander Management Ltd</t>
  </si>
  <si>
    <t>6221 TT Equity</t>
  </si>
  <si>
    <t>2024A CF (6221 TT)</t>
  </si>
  <si>
    <t>Genesis Technology Inc/Taiwan</t>
  </si>
  <si>
    <t>2022A CF (ARW US)</t>
  </si>
  <si>
    <t>2025Q3 CF (BBOX IN)</t>
  </si>
  <si>
    <t>2022S1 CF (CCC LN)</t>
  </si>
  <si>
    <t>2024A CF (PNRG US)</t>
  </si>
  <si>
    <t>PrimeEnergy Resources Corp</t>
  </si>
  <si>
    <t>2025Q3 CF (KLXE US)</t>
  </si>
  <si>
    <t>NORAM NO Equity</t>
  </si>
  <si>
    <t>2025Q2 CF (NORAM NO)</t>
  </si>
  <si>
    <t>Noram Drilling AS</t>
  </si>
  <si>
    <t>RNGR US Equity</t>
  </si>
  <si>
    <t>2023Q2 CF (RNGR US)</t>
  </si>
  <si>
    <t>Ranger Energy Services Inc</t>
  </si>
  <si>
    <t>SMC US Equity</t>
  </si>
  <si>
    <t>2024A CF (SMC US)</t>
  </si>
  <si>
    <t>Summit Midstream Corp</t>
  </si>
  <si>
    <t>Estimate (SFD US)</t>
  </si>
  <si>
    <t>SYY US Equity</t>
  </si>
  <si>
    <t>Sysco Corp</t>
  </si>
  <si>
    <t>079940 KS Equity</t>
  </si>
  <si>
    <t>2025C2 CF (079940 KS)</t>
  </si>
  <si>
    <t>Gabia Inc</t>
  </si>
  <si>
    <t>300051 CH Equity</t>
  </si>
  <si>
    <t>2023A CF (300051 CH)</t>
  </si>
  <si>
    <t>Leascend Technology Co Ltd</t>
  </si>
  <si>
    <t>9449 JP Equity</t>
  </si>
  <si>
    <t>2024A CF (9449 JP)</t>
  </si>
  <si>
    <t>GMO internet group Inc</t>
  </si>
  <si>
    <t>SFM US Equity</t>
  </si>
  <si>
    <t>Estimate (SFM US)</t>
  </si>
  <si>
    <t>Sprouts Farmers Market Inc</t>
  </si>
  <si>
    <t>24195Z US Equity</t>
  </si>
  <si>
    <t>2024A CF (PBF US)</t>
  </si>
  <si>
    <t>PJM Interconnection LLC</t>
  </si>
  <si>
    <t>72278Z US Equity</t>
  </si>
  <si>
    <t>Sunoco Logistics Partners Operations LP</t>
  </si>
  <si>
    <t>GSM US Equity</t>
  </si>
  <si>
    <t>Estimate (GSM US)</t>
  </si>
  <si>
    <t>Ferroglobe PLC</t>
  </si>
  <si>
    <t>Company News (IAS US)</t>
  </si>
  <si>
    <t>Integral Ad Science Holding Corp</t>
  </si>
  <si>
    <t>NXST US Equity</t>
  </si>
  <si>
    <t>2023A CF (NXST US)</t>
  </si>
  <si>
    <t>Nexstar Media Group Inc</t>
  </si>
  <si>
    <t>2025A CF (INTU US)</t>
  </si>
  <si>
    <t>Automatic Data Processing Inc</t>
  </si>
  <si>
    <t>PCAR US Equity</t>
  </si>
  <si>
    <t>2023Q1 CF (PCAR US)</t>
  </si>
  <si>
    <t>PACCAR Inc</t>
  </si>
  <si>
    <t>TPCG US Equity</t>
  </si>
  <si>
    <t>2022Q2 CF (TPCG US)</t>
  </si>
  <si>
    <t>TPC Group Inc</t>
  </si>
  <si>
    <t>PCYO US Equity</t>
  </si>
  <si>
    <t>2025C1 CF (PCYO US)</t>
  </si>
  <si>
    <t>Pure Cycle Corp</t>
  </si>
  <si>
    <t>CDNL US Equity</t>
  </si>
  <si>
    <t>2024A CF (CDNL US)</t>
  </si>
  <si>
    <t>Cardinal Infrastructure Group Inc</t>
  </si>
  <si>
    <t>Estimate (PPC US)</t>
  </si>
  <si>
    <t>2455892D US Equity</t>
  </si>
  <si>
    <t>Publix Super Markets Inc</t>
  </si>
  <si>
    <t>2025C3 CF (079940 KS)</t>
  </si>
  <si>
    <t>QLYS US Equity</t>
  </si>
  <si>
    <t>2022Q3 CF (QLYS US)</t>
  </si>
  <si>
    <t>Qualys Inc</t>
  </si>
  <si>
    <t>FLNC US Equity</t>
  </si>
  <si>
    <t>2026Q1 CF (FLNC US)</t>
  </si>
  <si>
    <t>Fluence Energy Inc</t>
  </si>
  <si>
    <t>006400 KS Equity</t>
  </si>
  <si>
    <t>Estimate (006400 KS)</t>
  </si>
  <si>
    <t>Samsung SDI Co Ltd</t>
  </si>
  <si>
    <t>2025C3 CF (047050 KS)</t>
  </si>
  <si>
    <t>TGNO2 AR Equity</t>
  </si>
  <si>
    <t>2025C3 CF (TGNO2 AR)</t>
  </si>
  <si>
    <t>Transportadora de Gas del Norte SA</t>
  </si>
  <si>
    <t>Estimate (GLW US)</t>
  </si>
  <si>
    <t>002459 CH Equity</t>
  </si>
  <si>
    <t>JA Solar Technology Co Ltd</t>
  </si>
  <si>
    <t>200725 CH Equity</t>
  </si>
  <si>
    <t>BOE Technology Group Co Ltd</t>
  </si>
  <si>
    <t>NEE US Equity</t>
  </si>
  <si>
    <t>NextEra Energy Inc</t>
  </si>
  <si>
    <t>Xcel Energy Inc</t>
  </si>
  <si>
    <t>Estimate (SABR US)</t>
  </si>
  <si>
    <t>AMS SM Equity</t>
  </si>
  <si>
    <t>Estimate (AMS SM)</t>
  </si>
  <si>
    <t>Amadeus IT Group SA</t>
  </si>
  <si>
    <t>034310 KS Equity</t>
  </si>
  <si>
    <t>2023Q4 CF (034310 KS)</t>
  </si>
  <si>
    <t>NICE Holdings Co Ltd</t>
  </si>
  <si>
    <t>601138 CH Equity</t>
  </si>
  <si>
    <t>Foxconn Industrial Internet Co Ltd</t>
  </si>
  <si>
    <t>2025A CF (MSGS US)</t>
  </si>
  <si>
    <t>Madison Square Garden Sports Corp</t>
  </si>
  <si>
    <t>VOYG US Equity</t>
  </si>
  <si>
    <t>Estimate (VOYG US)</t>
  </si>
  <si>
    <t>Voyager Technologies Inc</t>
  </si>
  <si>
    <t>289220 KS Equity</t>
  </si>
  <si>
    <t>2025C3 CF (289220 KS)</t>
  </si>
  <si>
    <t>Giantstep Inc</t>
  </si>
  <si>
    <t>2022A CF (HIW US)</t>
  </si>
  <si>
    <t>Gray Media Inc</t>
  </si>
  <si>
    <t>ROKU US Equity</t>
  </si>
  <si>
    <t>Estimate (ROKU US)</t>
  </si>
  <si>
    <t>Roku Inc</t>
  </si>
  <si>
    <t>GAM FP Equity</t>
  </si>
  <si>
    <t>2024A CF (GAM FP)</t>
  </si>
  <si>
    <t>Gaumont SA</t>
  </si>
  <si>
    <t>Ventas Inc</t>
  </si>
  <si>
    <t>LTC US Equity</t>
  </si>
  <si>
    <t>2024A CF (LTC US)</t>
  </si>
  <si>
    <t>LTC Properties Inc</t>
  </si>
  <si>
    <t>BNFT US Equity</t>
  </si>
  <si>
    <t>2021A CF (BNFT US)</t>
  </si>
  <si>
    <t>Benefitfocus Inc</t>
  </si>
  <si>
    <t>2024A CF (MAPA IJ)</t>
  </si>
  <si>
    <t>Map Aktif Adiperkasa PT</t>
  </si>
  <si>
    <t>2024A CF (NXR-U CN)</t>
  </si>
  <si>
    <t>Nexus Industrial REIT</t>
  </si>
  <si>
    <t>1749547D US Equity</t>
  </si>
  <si>
    <t>Company News (PWR US)</t>
  </si>
  <si>
    <t>Built Robotics Inc</t>
  </si>
  <si>
    <t>267250 KS Equity</t>
  </si>
  <si>
    <t>2025C3 CF (267250 KS)</t>
  </si>
  <si>
    <t>HD Hyundai Co Ltd</t>
  </si>
  <si>
    <t>267260 KS Equity</t>
  </si>
  <si>
    <t>2025C3 CF (267260 KS)</t>
  </si>
  <si>
    <t>HD Hyundai Electric Co Ltd</t>
  </si>
  <si>
    <t>Estimate (FLNC US)</t>
  </si>
  <si>
    <t>Thermo Fisher Scientific Inc</t>
  </si>
  <si>
    <t>WSO US Equity</t>
  </si>
  <si>
    <t>Watsco Inc</t>
  </si>
  <si>
    <t>Ionis Pharmaceuticals Inc</t>
  </si>
  <si>
    <t>ALKS US Equity</t>
  </si>
  <si>
    <t>2024A CF (ALKS US)</t>
  </si>
  <si>
    <t>Alkermes PLC</t>
  </si>
  <si>
    <t>RPRX US Equity</t>
  </si>
  <si>
    <t>Estimate (RPRX US)</t>
  </si>
  <si>
    <t>Royalty Pharma PLC</t>
  </si>
  <si>
    <t>SUPN US Equity</t>
  </si>
  <si>
    <t>Estimate (SUPN US)</t>
  </si>
  <si>
    <t>Supernus Pharmaceuticals Inc</t>
  </si>
  <si>
    <t>BXP US Equity</t>
  </si>
  <si>
    <t>2025Q3 CF (BXP US)</t>
  </si>
  <si>
    <t>BXP Inc</t>
  </si>
  <si>
    <t>2544485D US Equity</t>
  </si>
  <si>
    <t>Company News (CNX US)</t>
  </si>
  <si>
    <t>Dynamis Power Solutions LLC</t>
  </si>
  <si>
    <t>SONDA CI Equity</t>
  </si>
  <si>
    <t>2024A CF (SONDA CI)</t>
  </si>
  <si>
    <t>SONDA SA</t>
  </si>
  <si>
    <t>Company News (ITRI US)</t>
  </si>
  <si>
    <t>Public Power Corp SA</t>
  </si>
  <si>
    <t>Company News (VZ US)</t>
  </si>
  <si>
    <t>2023A CF (ITRI US)</t>
  </si>
  <si>
    <t>PDM US Equity</t>
  </si>
  <si>
    <t>2024A CF (PDM US)</t>
  </si>
  <si>
    <t>Piedmont Realty Trust Inc</t>
  </si>
  <si>
    <t>2021A CF (CHE-U CN)</t>
  </si>
  <si>
    <t>IBE SM Equity</t>
  </si>
  <si>
    <t>2021A CF (IBE SM)</t>
  </si>
  <si>
    <t>Iberdrola SA</t>
  </si>
  <si>
    <t>2022A CF (MIX SJ)</t>
  </si>
  <si>
    <t>MiX Telematics Ltd</t>
  </si>
  <si>
    <t>SEI US Equity</t>
  </si>
  <si>
    <t>2022Q3 CF (SEI US)</t>
  </si>
  <si>
    <t>Solaris Energy Infrastructure Inc</t>
  </si>
  <si>
    <t>SLCA US Equity</t>
  </si>
  <si>
    <t>2022A CF (SLCA US)</t>
  </si>
  <si>
    <t>US Silica Holdings Inc</t>
  </si>
  <si>
    <t>2023Q2 CF (WTTR US)</t>
  </si>
  <si>
    <t>Select Water Solutions Inc</t>
  </si>
  <si>
    <t>HCA US Equity</t>
  </si>
  <si>
    <t>2024A CF (DOC US)</t>
  </si>
  <si>
    <t>HCA Healthcare Inc</t>
  </si>
  <si>
    <t>2024Q4 CF (DOC US)</t>
  </si>
  <si>
    <t>28267MF US Equity</t>
  </si>
  <si>
    <t>University of Louisville</t>
  </si>
  <si>
    <t>125218MF US Equity</t>
  </si>
  <si>
    <t>Ascension Health Alliance</t>
  </si>
  <si>
    <t>PRY IM Equity</t>
  </si>
  <si>
    <t>Estimate (PRY IM)</t>
  </si>
  <si>
    <t>Prysmian SpA</t>
  </si>
  <si>
    <t>2024A CF (CNX US)</t>
  </si>
  <si>
    <t>Citadel Energy Marketing LLC</t>
  </si>
  <si>
    <t>NRG US Equity</t>
  </si>
  <si>
    <t>NRG Energy Inc</t>
  </si>
  <si>
    <t>CNA LN Equity</t>
  </si>
  <si>
    <t>2022A CF (CNX US)</t>
  </si>
  <si>
    <t>Centrica PLC</t>
  </si>
  <si>
    <t>CRN AU Equity</t>
  </si>
  <si>
    <t>2023A CF (CRN AU)</t>
  </si>
  <si>
    <t>Coronado Global Resources Inc</t>
  </si>
  <si>
    <t>0848813D FP Equity</t>
  </si>
  <si>
    <t>2024Q1 CF (CRL US)</t>
  </si>
  <si>
    <t>PathoQuest SAS</t>
  </si>
  <si>
    <t>1556429D LN Equity</t>
  </si>
  <si>
    <t>2023Q2 CF (CRL US)</t>
  </si>
  <si>
    <t>Bit Bio Ltd</t>
  </si>
  <si>
    <t>1704706D US Equity</t>
  </si>
  <si>
    <t>2023Q3 CF (CRL US)</t>
  </si>
  <si>
    <t>Cypre Inc</t>
  </si>
  <si>
    <t>1719173D ID Equity</t>
  </si>
  <si>
    <t>Deciphex Ltd</t>
  </si>
  <si>
    <t>2024A CF (GMEXICOB MM)</t>
  </si>
  <si>
    <t>Grupo Mexico SAB de CV</t>
  </si>
  <si>
    <t>2025S1 CF (000676 CH)</t>
  </si>
  <si>
    <t>Genimous Technology Co Ltd</t>
  </si>
  <si>
    <t>2023C2 CF (079940 KS)</t>
  </si>
  <si>
    <t>123570 KS Equity</t>
  </si>
  <si>
    <t>2021A CF (123570 KS)</t>
  </si>
  <si>
    <t>Emnet Inc</t>
  </si>
  <si>
    <t>1737 TT Equity</t>
  </si>
  <si>
    <t>2024A CF (1737 TT)</t>
  </si>
  <si>
    <t>Taiyen Biotech Co Ltd</t>
  </si>
  <si>
    <t>1993450D US Equity</t>
  </si>
  <si>
    <t>2022A CF (1993450D US)</t>
  </si>
  <si>
    <t>Sportradar Holding AG</t>
  </si>
  <si>
    <t>PETR4 BZ Equity</t>
  </si>
  <si>
    <t>2025Q2 CF (PETR4 BZ)</t>
  </si>
  <si>
    <t>Petroleo Brasileiro SA - Petrobras</t>
  </si>
  <si>
    <t>Company News (PYPL US)</t>
  </si>
  <si>
    <t>Selfbook Inc</t>
  </si>
  <si>
    <t>2235574D US Equity</t>
  </si>
  <si>
    <t>Perplexity AI Inc</t>
  </si>
  <si>
    <t>688208 CH Equity</t>
  </si>
  <si>
    <t>2025S1 CF (688208 CH)</t>
  </si>
  <si>
    <t>Autel Intelligent Technology Corp Ltd</t>
  </si>
  <si>
    <t>AKA US Equity</t>
  </si>
  <si>
    <t>2024Q3 CF (AKA US)</t>
  </si>
  <si>
    <t>aka Brands Holding Corp</t>
  </si>
  <si>
    <t>ALHYP FP Equity</t>
  </si>
  <si>
    <t>2024A CF (ALHYP FP)</t>
  </si>
  <si>
    <t>HiPay Group SA</t>
  </si>
  <si>
    <t>Estimate (TXN US)</t>
  </si>
  <si>
    <t>Estimate (2760 JP)</t>
  </si>
  <si>
    <t>2024A CF (300570 CH)</t>
  </si>
  <si>
    <t>T&amp;S Communications Co Ltd</t>
  </si>
  <si>
    <t>2025Q2 CF (1730532D US)</t>
  </si>
  <si>
    <t>Runitonetime LLC</t>
  </si>
  <si>
    <t>7533852Z CN Equity</t>
  </si>
  <si>
    <t>British Columbia Lottery Corp</t>
  </si>
  <si>
    <t>CHDN US Equity</t>
  </si>
  <si>
    <t>Churchill Downs Inc</t>
  </si>
  <si>
    <t>Light &amp; Wonder Inc</t>
  </si>
  <si>
    <t>RJETQ US Equity</t>
  </si>
  <si>
    <t>2025Q3 CF (AAL US)</t>
  </si>
  <si>
    <t>Republic Airways Holdings Inc/Indiana</t>
  </si>
  <si>
    <t>7531668Z US Equity</t>
  </si>
  <si>
    <t>2025Q2 CF (AAL US)</t>
  </si>
  <si>
    <t>Republic Airlines Inc</t>
  </si>
  <si>
    <t>2024C1 CF (073070 KS)</t>
  </si>
  <si>
    <t>APAM Corp</t>
  </si>
  <si>
    <t>2634 TT Equity</t>
  </si>
  <si>
    <t>2023A CF (2634 TT)</t>
  </si>
  <si>
    <t>Aerospace Industrial Development Corp</t>
  </si>
  <si>
    <t>2023A CF (3036 TT)</t>
  </si>
  <si>
    <t>3528 TT Equity</t>
  </si>
  <si>
    <t>2021A CF (3528 TT)</t>
  </si>
  <si>
    <t>Macnica Anstek Inc</t>
  </si>
  <si>
    <t>4163 TT Equity</t>
  </si>
  <si>
    <t>2022A CF (4163 TT)</t>
  </si>
  <si>
    <t>Intai Technology Corp</t>
  </si>
  <si>
    <t>DCT US Equity</t>
  </si>
  <si>
    <t>2022A CF (DCT US)</t>
  </si>
  <si>
    <t>Duck Creek Technologies Inc</t>
  </si>
  <si>
    <t>2022A CF (EVER US)</t>
  </si>
  <si>
    <t>SREI LN Equity</t>
  </si>
  <si>
    <t>2021A CF (SREI LN)</t>
  </si>
  <si>
    <t>Schroder Real Estate Investment Trust Ltd</t>
  </si>
  <si>
    <t>2024A CF (SIME MK)</t>
  </si>
  <si>
    <t>Sime Darby Bhd</t>
  </si>
  <si>
    <t>003490 KS Equity</t>
  </si>
  <si>
    <t>2024A CF (AAL US)</t>
  </si>
  <si>
    <t>Korean Air Lines Co Ltd</t>
  </si>
  <si>
    <t>0108529D US Equity</t>
  </si>
  <si>
    <t>Company News (AAL US)</t>
  </si>
  <si>
    <t>DHS US Customs &amp; Border Protection</t>
  </si>
  <si>
    <t>0118883D FS Equity</t>
  </si>
  <si>
    <t>Air Pacific Ltd</t>
  </si>
  <si>
    <t>0207499D JP Equity</t>
  </si>
  <si>
    <t>Jetstar Japan KK</t>
  </si>
  <si>
    <t>Company News (IM US)</t>
  </si>
  <si>
    <t>2022A CF (AVT US)</t>
  </si>
  <si>
    <t>2025A CF (CDW US)</t>
  </si>
  <si>
    <t>CLCO LN Equity</t>
  </si>
  <si>
    <t>2023A CF (CLCO LN)</t>
  </si>
  <si>
    <t>Cloudcoco Group PLC</t>
  </si>
  <si>
    <t>2025A CF (CNXN US)</t>
  </si>
  <si>
    <t>0612948D US Equity</t>
  </si>
  <si>
    <t>Penske Truck Leasing Co Lp / PTL Finance Corp</t>
  </si>
  <si>
    <t>146529Z US Equity</t>
  </si>
  <si>
    <t>Pilot Travel Centers LLC</t>
  </si>
  <si>
    <t>003090 KS Equity</t>
  </si>
  <si>
    <t>2025C2 CF (003090 KS)</t>
  </si>
  <si>
    <t>Daewoong Co Ltd</t>
  </si>
  <si>
    <t>069620 KS Equity</t>
  </si>
  <si>
    <t>2025C3 CF (069620 KS)</t>
  </si>
  <si>
    <t>Daewoong Pharmaceutical Co Ltd</t>
  </si>
  <si>
    <t>300690 CH Equity</t>
  </si>
  <si>
    <t>2023A CF (300690 CH)</t>
  </si>
  <si>
    <t>Shandong Shuangyi Technology Co Ltd</t>
  </si>
  <si>
    <t>2024Q2 CF (ALNY US)</t>
  </si>
  <si>
    <t>LGND US Equity</t>
  </si>
  <si>
    <t>2024A CF (LGND US)</t>
  </si>
  <si>
    <t>Ligand Pharmaceuticals Inc</t>
  </si>
  <si>
    <t>OXB LN Equity</t>
  </si>
  <si>
    <t>2022A CF (OXB LN)</t>
  </si>
  <si>
    <t>OXB</t>
  </si>
  <si>
    <t>2024A CF (ACH US)</t>
  </si>
  <si>
    <t>PA8 GR Equity</t>
  </si>
  <si>
    <t>2021A CF (PA8 GR)</t>
  </si>
  <si>
    <t>Paion AG</t>
  </si>
  <si>
    <t>2025A CF (HLX US)</t>
  </si>
  <si>
    <t>Talos Energy Inc</t>
  </si>
  <si>
    <t>Estimate (HLX US)</t>
  </si>
  <si>
    <t>Chevron Corp</t>
  </si>
  <si>
    <t>2024A CF (ANTO LN)</t>
  </si>
  <si>
    <t>Antofagasta PLC</t>
  </si>
  <si>
    <t>2307124D SM Equity</t>
  </si>
  <si>
    <t>Company News (C US)</t>
  </si>
  <si>
    <t>Turbo Energy SA</t>
  </si>
  <si>
    <t>ARM US Equity</t>
  </si>
  <si>
    <t>ARM Holdings PLC</t>
  </si>
  <si>
    <t>DDS US Equity</t>
  </si>
  <si>
    <t>Company News (DDS US)</t>
  </si>
  <si>
    <t>Dillard's Inc</t>
  </si>
  <si>
    <t>MAERSKB DC Equity</t>
  </si>
  <si>
    <t>AP Moller - Maersk A/S</t>
  </si>
  <si>
    <t>Estimate (ON US)</t>
  </si>
  <si>
    <t>LDO IM Equity</t>
  </si>
  <si>
    <t>Estimate (LDO IM)</t>
  </si>
  <si>
    <t>Leonardo SpA</t>
  </si>
  <si>
    <t>Estimate (FDX US)</t>
  </si>
  <si>
    <t>Estimate (VZ US)</t>
  </si>
  <si>
    <t>Estimate (ZTS US)</t>
  </si>
  <si>
    <t>Zoetis Inc</t>
  </si>
  <si>
    <t>2023S1 CF (002815 CH)</t>
  </si>
  <si>
    <t>Suntak Technology Co Ltd</t>
  </si>
  <si>
    <t>2022A CF (002906 CH)</t>
  </si>
  <si>
    <t>032940 KS Equity</t>
  </si>
  <si>
    <t>2022A CF (032940 KS)</t>
  </si>
  <si>
    <t>Won Ik Corp</t>
  </si>
  <si>
    <t>049070 KS Equity</t>
  </si>
  <si>
    <t>2024C1 CF (049070 KS)</t>
  </si>
  <si>
    <t>INTOPS Co Ltd</t>
  </si>
  <si>
    <t>2476 TT Equity</t>
  </si>
  <si>
    <t>2021A CF (2476 TT)</t>
  </si>
  <si>
    <t>G Shank Enterprise Co Ltd</t>
  </si>
  <si>
    <t>2024A CF (XRX US)</t>
  </si>
  <si>
    <t>FUJIFILM Holdings Corp</t>
  </si>
  <si>
    <t>2024A CF (BNTX US)</t>
  </si>
  <si>
    <t>BioNTech SE</t>
  </si>
  <si>
    <t>FERG US Equity</t>
  </si>
  <si>
    <t>Ferguson Enterprises Inc</t>
  </si>
  <si>
    <t>DR Horton Inc</t>
  </si>
  <si>
    <t>2025A CF (MLKN US)</t>
  </si>
  <si>
    <t>7972 JP Equity</t>
  </si>
  <si>
    <t>2023A CF (7972 JP)</t>
  </si>
  <si>
    <t>Itoki Corp</t>
  </si>
  <si>
    <t>2022A CF (TDAY US)</t>
  </si>
  <si>
    <t>Aftercollege Inc</t>
  </si>
  <si>
    <t>1552378D US Equity</t>
  </si>
  <si>
    <t>Company News (TDAY US)</t>
  </si>
  <si>
    <t>Jackpocket Inc</t>
  </si>
  <si>
    <t>1721615D US Equity</t>
  </si>
  <si>
    <t>2023Q1 CF (1721615D US)</t>
  </si>
  <si>
    <t>Diamond Sports Group LLC</t>
  </si>
  <si>
    <t>7543324Z US Equity</t>
  </si>
  <si>
    <t>Big Ten Conference Inc/The</t>
  </si>
  <si>
    <t>Vee Friends LLC</t>
  </si>
  <si>
    <t>KTB US Equity</t>
  </si>
  <si>
    <t>2022A CF (KTB US)</t>
  </si>
  <si>
    <t>Kontoor Brands Inc</t>
  </si>
  <si>
    <t>PBF Energy Inc</t>
  </si>
  <si>
    <t>2025A CF (UCTT US)</t>
  </si>
  <si>
    <t>Ultra Clean Holdings Inc</t>
  </si>
  <si>
    <t>AEIS US Equity</t>
  </si>
  <si>
    <t>2024A CF (AEIS US)</t>
  </si>
  <si>
    <t>Advanced Energy Industries Inc</t>
  </si>
  <si>
    <t>2025A CF (BHE US)</t>
  </si>
  <si>
    <t>ICHR US Equity</t>
  </si>
  <si>
    <t>2025A CF (ICHR US)</t>
  </si>
  <si>
    <t>Ichor Holdings Ltd</t>
  </si>
  <si>
    <t>Estimate (HSY US)</t>
  </si>
  <si>
    <t>National Collegiate Athletic Association</t>
  </si>
  <si>
    <t>0410054D US Equity</t>
  </si>
  <si>
    <t>Academy of Country Music</t>
  </si>
  <si>
    <t>0428103D US Equity</t>
  </si>
  <si>
    <t>US Soccer Federation Foundation</t>
  </si>
  <si>
    <t>125749Z US Equity</t>
  </si>
  <si>
    <t>Associated Press/The</t>
  </si>
  <si>
    <t>Estimate (GRMN US)</t>
  </si>
  <si>
    <t>Garmin Ltd</t>
  </si>
  <si>
    <t>3172 JP Equity</t>
  </si>
  <si>
    <t>2025A CF (3172 JP)</t>
  </si>
  <si>
    <t>Tea Life Co Ltd</t>
  </si>
  <si>
    <t>EL US Equity</t>
  </si>
  <si>
    <t>Estimate (EL US)</t>
  </si>
  <si>
    <t>Estee Lauder Cos Inc/The</t>
  </si>
  <si>
    <t>Estimate (DELL US)</t>
  </si>
  <si>
    <t>2024A CF (BLDR US)</t>
  </si>
  <si>
    <t>CCL/B CN Equity</t>
  </si>
  <si>
    <t>2023Q3 CF (CCL/B CN)</t>
  </si>
  <si>
    <t>CCL Industries Inc</t>
  </si>
  <si>
    <t>AX-U CN Equity</t>
  </si>
  <si>
    <t>2024A CF (AX-U CN)</t>
  </si>
  <si>
    <t>Artis Real Estate Investment Trust</t>
  </si>
  <si>
    <t>74SW FP Equity</t>
  </si>
  <si>
    <t>2024Q3 CF (74SW FP)</t>
  </si>
  <si>
    <t>74Software SA</t>
  </si>
  <si>
    <t>2025A CF (JAZZ US)</t>
  </si>
  <si>
    <t>Estimate (JAZZ US)</t>
  </si>
  <si>
    <t>Company News (CLOV US)</t>
  </si>
  <si>
    <t>Iowa Clinic PC/The</t>
  </si>
  <si>
    <t>79626MF US Equity</t>
  </si>
  <si>
    <t>Southern Illinois Healthcare Enterprises Inc</t>
  </si>
  <si>
    <t>9168Z US Equity</t>
  </si>
  <si>
    <t>2024A CF (ED US)</t>
  </si>
  <si>
    <t>Brooklyn Navy Yard Cogeneration Partners LP</t>
  </si>
  <si>
    <t>3014583Z US Equity</t>
  </si>
  <si>
    <t>Astoria Generating Co Holdings LLC</t>
  </si>
  <si>
    <t>PLUG US Equity</t>
  </si>
  <si>
    <t>Estimate (PLUG US)</t>
  </si>
  <si>
    <t>Plug Power Inc</t>
  </si>
  <si>
    <t>Company News (0864365D US)</t>
  </si>
  <si>
    <t>DataRobot Inc</t>
  </si>
  <si>
    <t>4689 JP Equity</t>
  </si>
  <si>
    <t>LY Corp</t>
  </si>
  <si>
    <t>ASAN US Equity</t>
  </si>
  <si>
    <t>2024Q2 CF (ASAN US)</t>
  </si>
  <si>
    <t>Asana Inc</t>
  </si>
  <si>
    <t>BASE US Equity</t>
  </si>
  <si>
    <t>2024Q1 CF (BASE US)</t>
  </si>
  <si>
    <t>Couchbase Inc</t>
  </si>
  <si>
    <t>GAMB US Equity</t>
  </si>
  <si>
    <t>Company News (GAMB US)</t>
  </si>
  <si>
    <t>Gambling.com Group Ltd</t>
  </si>
  <si>
    <t>CSGS US Equity</t>
  </si>
  <si>
    <t>Estimate (CSGS US)</t>
  </si>
  <si>
    <t>CSG Systems International Inc</t>
  </si>
  <si>
    <t>CLAR SP Equity</t>
  </si>
  <si>
    <t>2025A CF (CLAR SP)</t>
  </si>
  <si>
    <t>CapitaLand Ascendas REIT</t>
  </si>
  <si>
    <t>TEVA IT Equity</t>
  </si>
  <si>
    <t>Estimate (TEVA IT)</t>
  </si>
  <si>
    <t>Teva Pharmaceutical Industries Ltd</t>
  </si>
  <si>
    <t>Company News (9995522D US)</t>
  </si>
  <si>
    <t>OMNIA Partners LLC</t>
  </si>
  <si>
    <t>2022Q4 CF (ORCL US)</t>
  </si>
  <si>
    <t>2025C3 CF (002790 KS)</t>
  </si>
  <si>
    <t>Amorepacific Holdings Corp</t>
  </si>
  <si>
    <t>3476030Z US Equity</t>
  </si>
  <si>
    <t>Company News (M US)</t>
  </si>
  <si>
    <t>Houston NFL Holdings LP</t>
  </si>
  <si>
    <t>8230373Z UH Equity</t>
  </si>
  <si>
    <t>2025A CF (M US)</t>
  </si>
  <si>
    <t>Al Tayer Group LLC</t>
  </si>
  <si>
    <t>AUTH US Equity</t>
  </si>
  <si>
    <t>Company News (AUTH US)</t>
  </si>
  <si>
    <t>Authentic Brands Group Inc</t>
  </si>
  <si>
    <t>DXLG US Equity</t>
  </si>
  <si>
    <t>2023A CF (DXLG US)</t>
  </si>
  <si>
    <t>Destination XL Group Inc</t>
  </si>
  <si>
    <t>Company News (COO US)</t>
  </si>
  <si>
    <t>Rise Healthcare Tech Inc</t>
  </si>
  <si>
    <t>603611 CH Equity</t>
  </si>
  <si>
    <t>2023A CF (603611 CH)</t>
  </si>
  <si>
    <t>Noblelift Intelligent Equipment Co Ltd</t>
  </si>
  <si>
    <t>9508 JP Equity</t>
  </si>
  <si>
    <t>2022A CF (9508 JP)</t>
  </si>
  <si>
    <t>Kyushu Electric Power Co Inc</t>
  </si>
  <si>
    <t>Company News (HQY US)</t>
  </si>
  <si>
    <t>HR US Equity</t>
  </si>
  <si>
    <t>2024A CF (HR US)</t>
  </si>
  <si>
    <t>Healthcare Realty Trust Inc</t>
  </si>
  <si>
    <t>Healthpeak Properties Inc</t>
  </si>
  <si>
    <t>300760 CH Equity</t>
  </si>
  <si>
    <t>2024A CF (300760 CH)</t>
  </si>
  <si>
    <t>Shenzhen Mindray Bio-Medical Electronics Co Ltd</t>
  </si>
  <si>
    <t>2024A CF (IIPR US)</t>
  </si>
  <si>
    <t>Innovative Industrial Properties Inc</t>
  </si>
  <si>
    <t>1684094D CN Equity</t>
  </si>
  <si>
    <t>Company News (TRUL CN)</t>
  </si>
  <si>
    <t>Khalifa Kush Enterprises Canada ULC</t>
  </si>
  <si>
    <t>Estimate (KEYS US)</t>
  </si>
  <si>
    <t>NHY NO Equity</t>
  </si>
  <si>
    <t>Estimate (NHY NO)</t>
  </si>
  <si>
    <t>Norsk Hydro ASA</t>
  </si>
  <si>
    <t>4426 TT Equity</t>
  </si>
  <si>
    <t>2024A CF (4426 TT)</t>
  </si>
  <si>
    <t>Li Cheng Enterprise Co Ltd</t>
  </si>
  <si>
    <t>4430 TT Equity</t>
  </si>
  <si>
    <t>2022A CF (4430 TT)</t>
  </si>
  <si>
    <t>Yao I Fabric Co Ltd</t>
  </si>
  <si>
    <t>600885 CH Equity</t>
  </si>
  <si>
    <t>2021A CF (600885 CH)</t>
  </si>
  <si>
    <t>Hongfa Technology Co Ltd</t>
  </si>
  <si>
    <t>RBLX US Equity</t>
  </si>
  <si>
    <t>2024Q3 CF (RBLX US)</t>
  </si>
  <si>
    <t>ROBLOX Corp</t>
  </si>
  <si>
    <t>Company News (DRE US)</t>
  </si>
  <si>
    <t>2025Q2 CF (BLND US)</t>
  </si>
  <si>
    <t>2025Q2 CF (CFLT US)</t>
  </si>
  <si>
    <t>SRG US Equity</t>
  </si>
  <si>
    <t>2021A CF (SRG US)</t>
  </si>
  <si>
    <t>Seritage Growth Properties</t>
  </si>
  <si>
    <t>Estimate (3048 JP)</t>
  </si>
  <si>
    <t>Bic Camera Inc</t>
  </si>
  <si>
    <t>001420 KS Equity</t>
  </si>
  <si>
    <t>2025C3 CF (001420 KS)</t>
  </si>
  <si>
    <t>Taewon Mulsan Co Ltd</t>
  </si>
  <si>
    <t>002098 CH Equity</t>
  </si>
  <si>
    <t>2024A CF (002098 CH)</t>
  </si>
  <si>
    <t>Fujian SBS Zipper Science &amp; Technology Co Ltd</t>
  </si>
  <si>
    <t>002180 CH Equity</t>
  </si>
  <si>
    <t>2021A CF (002180 CH)</t>
  </si>
  <si>
    <t>Ninestar Corp</t>
  </si>
  <si>
    <t>002362 CH Equity</t>
  </si>
  <si>
    <t>2021A CF (002362 CH)</t>
  </si>
  <si>
    <t>Hanwang Technology Co Ltd</t>
  </si>
  <si>
    <t>Keysight Technologies Inc</t>
  </si>
  <si>
    <t>0327194Z US Equity</t>
  </si>
  <si>
    <t>Company News (HLIT US)</t>
  </si>
  <si>
    <t>National Captioning Institute Inc</t>
  </si>
  <si>
    <t>2419 TT Equity</t>
  </si>
  <si>
    <t>Hitron Technology Inc</t>
  </si>
  <si>
    <t>BBL AU Equity</t>
  </si>
  <si>
    <t>2024A CF (BBL AU)</t>
  </si>
  <si>
    <t>Brisbane Broncos Ltd</t>
  </si>
  <si>
    <t>1554630D US Equity</t>
  </si>
  <si>
    <t>Company News (NWSA US)</t>
  </si>
  <si>
    <t>OpenAI Foundation</t>
  </si>
  <si>
    <t>5350Z US Equity</t>
  </si>
  <si>
    <t>2025A CF (NWSA US)</t>
  </si>
  <si>
    <t>Bloomberg LP</t>
  </si>
  <si>
    <t>Company News (1748433D US)</t>
  </si>
  <si>
    <t>Altruist Corp</t>
  </si>
  <si>
    <t>078930 KS Equity</t>
  </si>
  <si>
    <t>2025C3 CF (078930 KS)</t>
  </si>
  <si>
    <t>GS Holdings Corp</t>
  </si>
  <si>
    <t>301356 CH Equity</t>
  </si>
  <si>
    <t>2024S1 CF (301356 CH)</t>
  </si>
  <si>
    <t>Zhejiang Tianzhen Technology Co Ltd</t>
  </si>
  <si>
    <t>FIX US Equity</t>
  </si>
  <si>
    <t>Comfort Systems USA Inc</t>
  </si>
  <si>
    <t>Estimate (WSO US)</t>
  </si>
  <si>
    <t>Estimate (VIAV US)</t>
  </si>
  <si>
    <t>SICPA Holding SA</t>
  </si>
  <si>
    <t>3136 JP Equity</t>
  </si>
  <si>
    <t>2022A CF (3136 JP)</t>
  </si>
  <si>
    <t>Econos Co Ltd</t>
  </si>
  <si>
    <t>2024A CF (360 AU)</t>
  </si>
  <si>
    <t>ITI US Equity</t>
  </si>
  <si>
    <t>Company News (ITI US)</t>
  </si>
  <si>
    <t>Iteris Inc</t>
  </si>
  <si>
    <t>2025S1 CF (603201 CH)</t>
  </si>
  <si>
    <t>Changshu Tongrun Auto Accessory Co Ltd</t>
  </si>
  <si>
    <t>Franchise Group Inc</t>
  </si>
  <si>
    <t>2025A CF (285A JP)</t>
  </si>
  <si>
    <t>Kioxia Holdings Corp</t>
  </si>
  <si>
    <t>2025A CF (SNDK US)</t>
  </si>
  <si>
    <t>0571753D JP Equity</t>
  </si>
  <si>
    <t>2026Q1 CF (SNDK US)</t>
  </si>
  <si>
    <t>Flash Alliance Ltd</t>
  </si>
  <si>
    <t>131290 KS Equity</t>
  </si>
  <si>
    <t>2025C3 CF (131290 KS)</t>
  </si>
  <si>
    <t>TSE Co Ltd</t>
  </si>
  <si>
    <t>300024 CH Equity</t>
  </si>
  <si>
    <t>2022S1 CF (300024 CH)</t>
  </si>
  <si>
    <t>Siasun Robot &amp; Automation Co Ltd</t>
  </si>
  <si>
    <t>2025Q3 CF (ARLP US)</t>
  </si>
  <si>
    <t>East Kentucky Power Cooperative Inc</t>
  </si>
  <si>
    <t>2918Z US Equity</t>
  </si>
  <si>
    <t>South Carolina Public Service Authority</t>
  </si>
  <si>
    <t>3015A US Equity</t>
  </si>
  <si>
    <t>Tennessee Valley Authority</t>
  </si>
  <si>
    <t>5216Z US Equity</t>
  </si>
  <si>
    <t>Big Rivers Electric Corp</t>
  </si>
  <si>
    <t>670823Z US Equity</t>
  </si>
  <si>
    <t>Seminole Electric Cooperative Inc</t>
  </si>
  <si>
    <t>SAP GR Equity</t>
  </si>
  <si>
    <t>2024Q1 CF (SAP GR)</t>
  </si>
  <si>
    <t>SAP SE</t>
  </si>
  <si>
    <t>2024A CF (SMP US)</t>
  </si>
  <si>
    <t>MPAA US Equity</t>
  </si>
  <si>
    <t>Estimate (MPAA US)</t>
  </si>
  <si>
    <t>Motorcar Parts of America Inc</t>
  </si>
  <si>
    <t>AXTA US Equity</t>
  </si>
  <si>
    <t>Estimate (AXTA US)</t>
  </si>
  <si>
    <t>Axalta Coating Systems Ltd</t>
  </si>
  <si>
    <t>2023Q1 CF (AVPT US)</t>
  </si>
  <si>
    <t>VNET LN Equity</t>
  </si>
  <si>
    <t>2025A CF (VNET LN)</t>
  </si>
  <si>
    <t>Vianet Group PLC/uk</t>
  </si>
  <si>
    <t>2022Q4 CF (KNTK US)</t>
  </si>
  <si>
    <t>Kinetik Holdings Inc</t>
  </si>
  <si>
    <t>2024A CF (4195 TT)</t>
  </si>
  <si>
    <t>Genomics BioSci&amp;Tech Co Ltd</t>
  </si>
  <si>
    <t>053030 KS Equity</t>
  </si>
  <si>
    <t>2024A CF (053030 KS)</t>
  </si>
  <si>
    <t>Binex Co Ltd</t>
  </si>
  <si>
    <t>000250 KS Equity</t>
  </si>
  <si>
    <t>2025C3 CF (000250 KS)</t>
  </si>
  <si>
    <t>Sam Chun Dang Pharm Co Ltd</t>
  </si>
  <si>
    <t>002022 CH Equity</t>
  </si>
  <si>
    <t>2024A CF (002022 CH)</t>
  </si>
  <si>
    <t>Shanghai Kehua Bio-Engineering Co Ltd</t>
  </si>
  <si>
    <t>Willkie Farr &amp; Gallagher LLP</t>
  </si>
  <si>
    <t>2327 TT Equity</t>
  </si>
  <si>
    <t>Estimate (2327 TT)</t>
  </si>
  <si>
    <t>Yageo Corp</t>
  </si>
  <si>
    <t>Vishay Intertechnology Inc</t>
  </si>
  <si>
    <t>Viavi Solutions Inc</t>
  </si>
  <si>
    <t>DIOD US Equity</t>
  </si>
  <si>
    <t>Estimate (DIOD US)</t>
  </si>
  <si>
    <t>Diodes Inc</t>
  </si>
  <si>
    <t>Nucor Corp</t>
  </si>
  <si>
    <t>MOD US Equity</t>
  </si>
  <si>
    <t>Estimate (MOD US)</t>
  </si>
  <si>
    <t>Modine Manufacturing Co</t>
  </si>
  <si>
    <t>X US Equity</t>
  </si>
  <si>
    <t>United States Steel Corp</t>
  </si>
  <si>
    <t>HEXAB SS Equity</t>
  </si>
  <si>
    <t>Hexagon AB</t>
  </si>
  <si>
    <t>2022A CF (CUZ US)</t>
  </si>
  <si>
    <t>PING US Equity</t>
  </si>
  <si>
    <t>Company News (PING US)</t>
  </si>
  <si>
    <t>Ping Identity Holding Corp</t>
  </si>
  <si>
    <t>CVI US Equity</t>
  </si>
  <si>
    <t>2022A CF (UAN US)</t>
  </si>
  <si>
    <t>CVR Energy Inc</t>
  </si>
  <si>
    <t>UE US Equity</t>
  </si>
  <si>
    <t>2021A CF (UE US)</t>
  </si>
  <si>
    <t>Urban Edge Properties</t>
  </si>
  <si>
    <t>2024A CF (ARKO US)</t>
  </si>
  <si>
    <t>Arko Corp</t>
  </si>
  <si>
    <t>2025A CF (ATD CN)</t>
  </si>
  <si>
    <t>BCE LN Equity</t>
  </si>
  <si>
    <t>2024Q1 CF (VLO US)</t>
  </si>
  <si>
    <t>Beacon Energy PLC</t>
  </si>
  <si>
    <t>2024A CF (CAPL US)</t>
  </si>
  <si>
    <t>2024A CF (SD US)</t>
  </si>
  <si>
    <t>0302939D US Equity</t>
  </si>
  <si>
    <t>2022A CF (SD US)</t>
  </si>
  <si>
    <t>Targa Midstream Services LP</t>
  </si>
  <si>
    <t>2021A CF (SD US)</t>
  </si>
  <si>
    <t>Plains All American Pipeline LP</t>
  </si>
  <si>
    <t>Estimate (MTX US)</t>
  </si>
  <si>
    <t>Minerals Technologies Inc</t>
  </si>
  <si>
    <t>2022S1 CF (300464 CH)</t>
  </si>
  <si>
    <t>Guangdong SACA Precision Manufacturing Co Ltd</t>
  </si>
  <si>
    <t>NTGR US Equity</t>
  </si>
  <si>
    <t>2025A CF (NTGR US)</t>
  </si>
  <si>
    <t>NETGEAR Inc</t>
  </si>
  <si>
    <t>NWL US Equity</t>
  </si>
  <si>
    <t>2025A CF (NWL US)</t>
  </si>
  <si>
    <t>Newell Brands Inc</t>
  </si>
  <si>
    <t>Company News (QMCI US)</t>
  </si>
  <si>
    <t>QuoteMedia Inc</t>
  </si>
  <si>
    <t>2025Q3 CF (JAZZ US)</t>
  </si>
  <si>
    <t>Saniona AB</t>
  </si>
  <si>
    <t>2025A CF (LGND US)</t>
  </si>
  <si>
    <t>CERT US Equity</t>
  </si>
  <si>
    <t>Estimate (CERT US)</t>
  </si>
  <si>
    <t>Certara Inc</t>
  </si>
  <si>
    <t>122900 KS Equity</t>
  </si>
  <si>
    <t>Estimate (122900 KS)</t>
  </si>
  <si>
    <t>iMarketKorea Inc</t>
  </si>
  <si>
    <t>Estimate (VISN US)</t>
  </si>
  <si>
    <t>GOZ AU Equity</t>
  </si>
  <si>
    <t>2025A CF (GOZ AU)</t>
  </si>
  <si>
    <t>Growthpoint Properties Australia Ltd</t>
  </si>
  <si>
    <t>2025A CF (WHR US)</t>
  </si>
  <si>
    <t>Whirlpool Corp</t>
  </si>
  <si>
    <t>Estimate (LOW US)</t>
  </si>
  <si>
    <t>2025A CF (SWK US)</t>
  </si>
  <si>
    <t>OC US Equity</t>
  </si>
  <si>
    <t>Estimate (OC US)</t>
  </si>
  <si>
    <t>Owens Corning</t>
  </si>
  <si>
    <t>2025Q3 CF (CLOV US)</t>
  </si>
  <si>
    <t>Hudson Hospital Opco LLC</t>
  </si>
  <si>
    <t>126688MF US Equity</t>
  </si>
  <si>
    <t>Hoboken University Medical Center</t>
  </si>
  <si>
    <t>1924221D US Equity</t>
  </si>
  <si>
    <t>Thyme Care Inc</t>
  </si>
  <si>
    <t>5002677Z US Equity</t>
  </si>
  <si>
    <t>Ijkg Opco LLC</t>
  </si>
  <si>
    <t>2024C1 CF (CLOV US)</t>
  </si>
  <si>
    <t>Company News (0743746D US)</t>
  </si>
  <si>
    <t>Evergent Technologies Inc</t>
  </si>
  <si>
    <t>0812545D US Equity</t>
  </si>
  <si>
    <t>2022A CF (SPHR US)</t>
  </si>
  <si>
    <t>Anheuser-Busch Cos LLC</t>
  </si>
  <si>
    <t>7203 JP Equity</t>
  </si>
  <si>
    <t>Toyota Motor Corp</t>
  </si>
  <si>
    <t>0835021D US Equity</t>
  </si>
  <si>
    <t>2024A CF (ARLP US)</t>
  </si>
  <si>
    <t>Evansville Western Railroad Inc</t>
  </si>
  <si>
    <t>9888132Z US Equity</t>
  </si>
  <si>
    <t>Paducah &amp; Louisville Railway Inc</t>
  </si>
  <si>
    <t>NRP US Equity</t>
  </si>
  <si>
    <t>2025Q3 CF (NRP US)</t>
  </si>
  <si>
    <t>Natural Resource Partners LP</t>
  </si>
  <si>
    <t>NSC US Equity</t>
  </si>
  <si>
    <t>Norfolk Southern Corp</t>
  </si>
  <si>
    <t>2025Q3 CF (AIT US)</t>
  </si>
  <si>
    <t>Applied Industrial Technologies Inc</t>
  </si>
  <si>
    <t>KIMBERA MM Equity</t>
  </si>
  <si>
    <t>2022A CF (KIMBERA MM)</t>
  </si>
  <si>
    <t>Kimberly-Clark de Mexico SAB de CV</t>
  </si>
  <si>
    <t>2024A CF (LNZ AV)</t>
  </si>
  <si>
    <t>Company News (FIS US)</t>
  </si>
  <si>
    <t>OGD CN Equity</t>
  </si>
  <si>
    <t>2022A CF (OGD CN)</t>
  </si>
  <si>
    <t>Orbit Garant Drilling Inc</t>
  </si>
  <si>
    <t>1638274D LN Equity</t>
  </si>
  <si>
    <t>Company News (1638274D LN)</t>
  </si>
  <si>
    <t>Paysend Group Ltd</t>
  </si>
  <si>
    <t>259206Z SL Equity</t>
  </si>
  <si>
    <t>Company News (259206Z SL)</t>
  </si>
  <si>
    <t>SriLankan Airlines Ltd</t>
  </si>
  <si>
    <t>3315 HK Equity</t>
  </si>
  <si>
    <t>2024A CF (3315 HK)</t>
  </si>
  <si>
    <t>Goldpac Group Ltd</t>
  </si>
  <si>
    <t>2024A CF (ACIW US)</t>
  </si>
  <si>
    <t>475560 KS Equity</t>
  </si>
  <si>
    <t>2024C2 CF (475560 KS)</t>
  </si>
  <si>
    <t>BORN Korea Co Ltd/The</t>
  </si>
  <si>
    <t>2024A CF (AMS SM)</t>
  </si>
  <si>
    <t>ANDACOR CI Equity</t>
  </si>
  <si>
    <t>2023A CF (ANDACOR CI)</t>
  </si>
  <si>
    <t>Andacor S.A.</t>
  </si>
  <si>
    <t>Company News (NDAQ US)</t>
  </si>
  <si>
    <t>Caja de Valores SA</t>
  </si>
  <si>
    <t>8284 TT Equity</t>
  </si>
  <si>
    <t>2024A CF (8284 TT)</t>
  </si>
  <si>
    <t>Mitake Information Corp</t>
  </si>
  <si>
    <t>MCO US Equity</t>
  </si>
  <si>
    <t>2024Q1 CF (MCO US)</t>
  </si>
  <si>
    <t>Moody's Corp</t>
  </si>
  <si>
    <t>Company News (066570 KS)</t>
  </si>
  <si>
    <t>2450 TT Equity</t>
  </si>
  <si>
    <t>2022C3 CF (2450 TT)</t>
  </si>
  <si>
    <t>Senao International Co Ltd</t>
  </si>
  <si>
    <t>2585 JP Equity</t>
  </si>
  <si>
    <t>2026Q2 CF (2585 JP)</t>
  </si>
  <si>
    <t>Lifedrink Co Inc</t>
  </si>
  <si>
    <t>300729 CH Equity</t>
  </si>
  <si>
    <t>2024A CF (300729 CH)</t>
  </si>
  <si>
    <t>Loctek Ergonomic Technology Corp</t>
  </si>
  <si>
    <t>5410 TT Equity</t>
  </si>
  <si>
    <t>2024A CF (5410 TT)</t>
  </si>
  <si>
    <t>Leo Systems Inc</t>
  </si>
  <si>
    <t>2022A CF (AYX US)</t>
  </si>
  <si>
    <t>Alteryx Inc</t>
  </si>
  <si>
    <t>WBC AU Equity</t>
  </si>
  <si>
    <t>Company News (SSNC US)</t>
  </si>
  <si>
    <t>Westpac Banking Corp</t>
  </si>
  <si>
    <t>TROW US Equity</t>
  </si>
  <si>
    <t>T Rowe Price Group Inc</t>
  </si>
  <si>
    <t>III US Equity</t>
  </si>
  <si>
    <t>Company News (III US)</t>
  </si>
  <si>
    <t>Information Services Group Inc</t>
  </si>
  <si>
    <t>0151102D US Equity</t>
  </si>
  <si>
    <t>2023A CF (LUV US)</t>
  </si>
  <si>
    <t>Fort Lauderdalehollywood International Airport</t>
  </si>
  <si>
    <t>0676505D US Equity</t>
  </si>
  <si>
    <t>Oakland International Airport</t>
  </si>
  <si>
    <t>0676513D US Equity</t>
  </si>
  <si>
    <t>Los Angeles International Airport</t>
  </si>
  <si>
    <t>1316490Z US Equity</t>
  </si>
  <si>
    <t>Baltimore/Washington International Thurgood Marshall Airport</t>
  </si>
  <si>
    <t>Company News (FTRCQ US)</t>
  </si>
  <si>
    <t>Nile Secure</t>
  </si>
  <si>
    <t>AIRG US Equity</t>
  </si>
  <si>
    <t>2021A CF (AIRG US)</t>
  </si>
  <si>
    <t>Airgain Inc</t>
  </si>
  <si>
    <t>2023Q1 CF (DY US)</t>
  </si>
  <si>
    <t>SEAC US Equity</t>
  </si>
  <si>
    <t>2022A CF (SEAC US)</t>
  </si>
  <si>
    <t>SeaChange International Inc</t>
  </si>
  <si>
    <t>Vitol Inc</t>
  </si>
  <si>
    <t>0617709D US Equity</t>
  </si>
  <si>
    <t>Enterprise Crude Oil LLC</t>
  </si>
  <si>
    <t>Delek US Holdings Inc</t>
  </si>
  <si>
    <t>2023A CF (002980 CH)</t>
  </si>
  <si>
    <t>Shenzhen Everbest Machinery Industry Co Ltd</t>
  </si>
  <si>
    <t>CURV US Equity</t>
  </si>
  <si>
    <t>2025A CF (CURV US)</t>
  </si>
  <si>
    <t>Torrid Holdings Inc</t>
  </si>
  <si>
    <t>HOME US Equity</t>
  </si>
  <si>
    <t>2025Q1 CF (HOME US)</t>
  </si>
  <si>
    <t>At Home Group Inc</t>
  </si>
  <si>
    <t>2025Q3 CF (NKE US)</t>
  </si>
  <si>
    <t>RADCQ US Equity</t>
  </si>
  <si>
    <t>2025Q1 CF (RADCQ US)</t>
  </si>
  <si>
    <t>Rite Aid Corp</t>
  </si>
  <si>
    <t>2024A CF (BATL US)</t>
  </si>
  <si>
    <t>2023A CF (BATL US)</t>
  </si>
  <si>
    <t>LXU US Equity</t>
  </si>
  <si>
    <t>2022A CF (LXU US)</t>
  </si>
  <si>
    <t>LSB Industries Inc</t>
  </si>
  <si>
    <t>Company News (DK US)</t>
  </si>
  <si>
    <t>0065173D US Equity</t>
  </si>
  <si>
    <t>Aron &amp; Co Inc</t>
  </si>
  <si>
    <t>2024A CF (DK US)</t>
  </si>
  <si>
    <t>2025A CF (RTX US)</t>
  </si>
  <si>
    <t>Company News (WBMD US)</t>
  </si>
  <si>
    <t>LifeSpeak Inc</t>
  </si>
  <si>
    <t>2025C2 CF (AMAT US)</t>
  </si>
  <si>
    <t>2025Q3 CF (D-U CN)</t>
  </si>
  <si>
    <t>Dream Office Real Estate Investment Trust</t>
  </si>
  <si>
    <t>MINDSPCE IN Equity</t>
  </si>
  <si>
    <t>2026Q1 CF (MINDSPCE IN)</t>
  </si>
  <si>
    <t>Mindspace Business Parks REIT</t>
  </si>
  <si>
    <t>1799784D US Equity</t>
  </si>
  <si>
    <t>Boosted.ai</t>
  </si>
  <si>
    <t>1896544D GR Equity</t>
  </si>
  <si>
    <t>Regnology Germany GmbH</t>
  </si>
  <si>
    <t>2024A CF (LNT US)</t>
  </si>
  <si>
    <t>Alliant Energy Corp</t>
  </si>
  <si>
    <t>0564762D US Equity</t>
  </si>
  <si>
    <t>2024A CF (WEC US)</t>
  </si>
  <si>
    <t>Natural Gas Pipeline Co of America LLC</t>
  </si>
  <si>
    <t>1084295D US Equity</t>
  </si>
  <si>
    <t>Company News (1084295D US)</t>
  </si>
  <si>
    <t>OneEnergy Renewables</t>
  </si>
  <si>
    <t>1192735D US Equity</t>
  </si>
  <si>
    <t>SEMCO Pipeline Co</t>
  </si>
  <si>
    <t>148990Z US Equity</t>
  </si>
  <si>
    <t>Viking Gas Transmission Co</t>
  </si>
  <si>
    <t>FJB SP Equity</t>
  </si>
  <si>
    <t>2023A CF (FJB SP)</t>
  </si>
  <si>
    <t>FJ Benjamin Holdings Ltd</t>
  </si>
  <si>
    <t>NXT LN Equity</t>
  </si>
  <si>
    <t>2025S1 CF (NXT LN)</t>
  </si>
  <si>
    <t>Next PLC</t>
  </si>
  <si>
    <t>Contemporary Amperex Technology Co Ltd</t>
  </si>
  <si>
    <t>1211 HK Equity</t>
  </si>
  <si>
    <t>BYD Co Ltd</t>
  </si>
  <si>
    <t>KOA NO Equity</t>
  </si>
  <si>
    <t>Estimate (KOA NO)</t>
  </si>
  <si>
    <t>Kongsberg Automotive ASA</t>
  </si>
  <si>
    <t>ON Semiconductor Corp</t>
  </si>
  <si>
    <t>1074649D US Equity</t>
  </si>
  <si>
    <t>Company News (1074649D US)</t>
  </si>
  <si>
    <t>Alation Inc</t>
  </si>
  <si>
    <t>2022A CF (AMD US)</t>
  </si>
  <si>
    <t>BAS1V FH Equity</t>
  </si>
  <si>
    <t>2022Q1 CF (BAS1V FH)</t>
  </si>
  <si>
    <t>Basware Oy</t>
  </si>
  <si>
    <t>BDN US Equity</t>
  </si>
  <si>
    <t>2023A CF (BDN US)</t>
  </si>
  <si>
    <t>Brandywine Realty Trust</t>
  </si>
  <si>
    <t>Company News (STRA US)</t>
  </si>
  <si>
    <t>Dollar General Corp</t>
  </si>
  <si>
    <t>Company News (SWN US)</t>
  </si>
  <si>
    <t>Uniper SE</t>
  </si>
  <si>
    <t>2024A CF (QVCGA US)</t>
  </si>
  <si>
    <t>DISH US Equity</t>
  </si>
  <si>
    <t>2022A CF (QVCGA US)</t>
  </si>
  <si>
    <t>DISH Network Corp</t>
  </si>
  <si>
    <t>3276470Z US Equity</t>
  </si>
  <si>
    <t>Hulu LLC</t>
  </si>
  <si>
    <t>COX US Equity</t>
  </si>
  <si>
    <t>2024Q3 CF (QVCGA US)</t>
  </si>
  <si>
    <t>Cox Communications Inc</t>
  </si>
  <si>
    <t>002444 CH Equity</t>
  </si>
  <si>
    <t>Hangzhou GreatStar Industrial Co Ltd</t>
  </si>
  <si>
    <t>002611 CH Equity</t>
  </si>
  <si>
    <t>Guangdong Dongfang Precision Science &amp; Technology Co Ltd</t>
  </si>
  <si>
    <t>2022A CF (WEC US)</t>
  </si>
  <si>
    <t>Company News (AMZN US)</t>
  </si>
  <si>
    <t>EGAN US Equity</t>
  </si>
  <si>
    <t>2023Q1 CF (EGAN US)</t>
  </si>
  <si>
    <t>eGain Corp</t>
  </si>
  <si>
    <t>FIVN US Equity</t>
  </si>
  <si>
    <t>2024A CF (FIVN US)</t>
  </si>
  <si>
    <t>Five9 Inc</t>
  </si>
  <si>
    <t>OMQS US Equity</t>
  </si>
  <si>
    <t>2023S1 CF (OMQS US)</t>
  </si>
  <si>
    <t>OMNIQ Corp</t>
  </si>
  <si>
    <t>2025A CF (STZ US)</t>
  </si>
  <si>
    <t>Reyes Holdings LLC</t>
  </si>
  <si>
    <t>1426638D US Equity</t>
  </si>
  <si>
    <t>Southern Glazer's Wine and Spirits LLC</t>
  </si>
  <si>
    <t>ANDINAA CI Equity</t>
  </si>
  <si>
    <t>Estimate (STZ US)</t>
  </si>
  <si>
    <t>Embotelladora Andina SA</t>
  </si>
  <si>
    <t>SVR NZ Equity</t>
  </si>
  <si>
    <t>Savor Ltd</t>
  </si>
  <si>
    <t>000997 CH Equity</t>
  </si>
  <si>
    <t>2024A CF (000997 CH)</t>
  </si>
  <si>
    <t>Newland Digital Technology Co Ltd</t>
  </si>
  <si>
    <t>002104 CH Equity</t>
  </si>
  <si>
    <t>2025S1 CF (002104 CH)</t>
  </si>
  <si>
    <t>Hengbao Co Ltd</t>
  </si>
  <si>
    <t>002878 CH Equity</t>
  </si>
  <si>
    <t>2024A CF (002878 CH)</t>
  </si>
  <si>
    <t>Beijing Yuanlong Yato Culture Dissemination Co Ltd</t>
  </si>
  <si>
    <t>2022Q3 CF (005380 KS)</t>
  </si>
  <si>
    <t>WNC US Equity</t>
  </si>
  <si>
    <t>Media News (WNC US)</t>
  </si>
  <si>
    <t>Wabash National Corp</t>
  </si>
  <si>
    <t>Estimate (FICO US)</t>
  </si>
  <si>
    <t>2025A CF (EFX US)</t>
  </si>
  <si>
    <t>NTAP US Equity</t>
  </si>
  <si>
    <t>Estimate (NTAP US)</t>
  </si>
  <si>
    <t>NetApp Inc</t>
  </si>
  <si>
    <t>Company News (EFX US)</t>
  </si>
  <si>
    <t>MINDBODY Inc</t>
  </si>
  <si>
    <t>6152Z LN Equity</t>
  </si>
  <si>
    <t>United Kingdom of Great Britain and Northern Ireland</t>
  </si>
  <si>
    <t>Company News (GEN US)</t>
  </si>
  <si>
    <t>Gen Digital Inc</t>
  </si>
  <si>
    <t>HSI US Equity</t>
  </si>
  <si>
    <t>Hyland Software Inc</t>
  </si>
  <si>
    <t>2022A CF (NCNO US)</t>
  </si>
  <si>
    <t>2025A CF (POST US)</t>
  </si>
  <si>
    <t>Estimate (POST US)</t>
  </si>
  <si>
    <t>USFD US Equity</t>
  </si>
  <si>
    <t>US Foods Holding Corp</t>
  </si>
  <si>
    <t>PDCO US Equity</t>
  </si>
  <si>
    <t>Patterson Cos Inc</t>
  </si>
  <si>
    <t>CVET US Equity</t>
  </si>
  <si>
    <t>Covetrus Inc</t>
  </si>
  <si>
    <t>2025A CF (GIII US)</t>
  </si>
  <si>
    <t>PVH US Equity</t>
  </si>
  <si>
    <t>Estimate (PVH US)</t>
  </si>
  <si>
    <t>PVH Corp</t>
  </si>
  <si>
    <t>2022A CF (FRT US)</t>
  </si>
  <si>
    <t>TBLT US Equity</t>
  </si>
  <si>
    <t>2023A CF (TBLT US)</t>
  </si>
  <si>
    <t>Toughbuilt Industries Inc</t>
  </si>
  <si>
    <t>TCM VN Equity</t>
  </si>
  <si>
    <t>2024A CF (TCM VN)</t>
  </si>
  <si>
    <t>Thanh Cong Textile Garment Investment Trading JSC</t>
  </si>
  <si>
    <t>VIV FP Equity</t>
  </si>
  <si>
    <t>2021A CF (VIV FP)</t>
  </si>
  <si>
    <t>Vivendi SE</t>
  </si>
  <si>
    <t>MA US Equity</t>
  </si>
  <si>
    <t>2024Q1 CF (MA US)</t>
  </si>
  <si>
    <t>Mastercard Inc</t>
  </si>
  <si>
    <t>Estimate (TMUS US)</t>
  </si>
  <si>
    <t>2025Q3 CF (HLIT US)</t>
  </si>
  <si>
    <t>DTE GR Equity</t>
  </si>
  <si>
    <t>Deutsche Telekom AG</t>
  </si>
  <si>
    <t>International Paper Co</t>
  </si>
  <si>
    <t>3591336Z NA Equity</t>
  </si>
  <si>
    <t>Paper Excellence BV</t>
  </si>
  <si>
    <t>SLVM US Equity</t>
  </si>
  <si>
    <t>Sylvamo Corp</t>
  </si>
  <si>
    <t>600567 CH Equity</t>
  </si>
  <si>
    <t>Shanying International Holding Co Ltd</t>
  </si>
  <si>
    <t>PKG US Equity</t>
  </si>
  <si>
    <t>Packaging Corp of America</t>
  </si>
  <si>
    <t>AMPS US Equity</t>
  </si>
  <si>
    <t>Company News (AMPS US)</t>
  </si>
  <si>
    <t>Altus Power Inc</t>
  </si>
  <si>
    <t>2023Q3 CF (BILL US)</t>
  </si>
  <si>
    <t>CYXTQ US Equity</t>
  </si>
  <si>
    <t>2023Q2 CF (CYXTQ US)</t>
  </si>
  <si>
    <t>Cyxtera Technologies Inc</t>
  </si>
  <si>
    <t>2025Q1 CF (LXP US)</t>
  </si>
  <si>
    <t>LXP Industrial Trust</t>
  </si>
  <si>
    <t>1723449D US Equity</t>
  </si>
  <si>
    <t>Company News (1723449D US)</t>
  </si>
  <si>
    <t>Gatik AI Inc</t>
  </si>
  <si>
    <t>AIOT US Equity</t>
  </si>
  <si>
    <t>2023Q3 CF (AIOT US)</t>
  </si>
  <si>
    <t>Powerfleet Inc NJ</t>
  </si>
  <si>
    <t>Desktop Metal Inc</t>
  </si>
  <si>
    <t>Estimate (ATR US)</t>
  </si>
  <si>
    <t>AptarGroup Inc</t>
  </si>
  <si>
    <t>PMZ-U CN Equity</t>
  </si>
  <si>
    <t>2024A CF (PMZ-U CN)</t>
  </si>
  <si>
    <t>Primaris Real Estate Investment Trust</t>
  </si>
  <si>
    <t>MRT-U CN Equity</t>
  </si>
  <si>
    <t>2024A CF (MRT-U CN)</t>
  </si>
  <si>
    <t>Morguard Real Estate Investment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</si>
</sst>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003366"/>
      <name val="Calibri"/>
    </font>
    <font>
      <b/>
      <sz val="10"/>
      <color rgb="FF003366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BDS|11116230637472660899</stp>
        <tr r="PE5" s="3"/>
      </tp>
      <tp t="s">
        <v>#N/A N/A</v>
        <stp/>
        <stp>BDS|17956033184657458205</stp>
        <tr r="FI5" s="18"/>
      </tp>
      <tp t="s">
        <v>#N/A N/A</v>
        <stp/>
        <stp>BDS|17292963258264285547</stp>
        <tr r="RM5" s="15"/>
      </tp>
      <tp t="s">
        <v>#N/A N/A</v>
        <stp/>
        <stp>BDS|12821956369324614380</stp>
        <tr r="UY5" s="5"/>
      </tp>
      <tp t="s">
        <v>#N/A N/A</v>
        <stp/>
        <stp>BDS|12651770039368650446</stp>
        <tr r="DQ5" s="41"/>
      </tp>
      <tp t="s">
        <v>#N/A N/A</v>
        <stp/>
        <stp>BDS|13411937756400368580</stp>
        <tr r="SQ5" s="47"/>
      </tp>
      <tp t="s">
        <v>#N/A N/A</v>
        <stp/>
        <stp>BDS|16050438188864454454</stp>
        <tr r="FI5" s="38"/>
        <tr r="DA5" s="43"/>
      </tp>
      <tp t="s">
        <v>#N/A N/A</v>
        <stp/>
        <stp>BDS|13752065998228411868</stp>
        <tr r="UI5" s="28"/>
        <tr r="VM5" s="49"/>
      </tp>
      <tp t="s">
        <v>#N/A N/A</v>
        <stp/>
        <stp>BDS|11547759243158131096</stp>
        <tr r="IU5" s="44"/>
        <tr r="TE5" s="18"/>
        <tr r="OO5" s="27"/>
      </tp>
      <tp t="s">
        <v>#N/A N/A</v>
        <stp/>
        <stp>BDS|14830576550499471705</stp>
        <tr r="PE5" s="25"/>
      </tp>
      <tp t="s">
        <v>#N/A N/A</v>
        <stp/>
        <stp>BDS|17752704589884527635</stp>
        <tr r="AS5" s="26"/>
      </tp>
      <tp t="s">
        <v>#N/A N/A</v>
        <stp/>
        <stp>BDS|18283531834091886552</stp>
        <tr r="PS5" s="46"/>
      </tp>
      <tp t="s">
        <v>#N/A N/A</v>
        <stp/>
        <stp>BDS|12169943351252461681</stp>
        <tr r="AS5" s="5"/>
      </tp>
      <tp t="s">
        <v>#N/A N/A</v>
        <stp/>
        <stp>BDS|11357358788541970191</stp>
        <tr r="GM5" s="28"/>
      </tp>
      <tp t="s">
        <v>#N/A N/A</v>
        <stp/>
        <stp>BDS|15075309978583410827</stp>
        <tr r="PE5" s="27"/>
      </tp>
      <tp t="s">
        <v>#N/A N/A</v>
        <stp/>
        <stp>BDS|13568738309108175609</stp>
        <tr r="A5" s="5"/>
        <tr r="BI5" s="18"/>
        <tr r="TU5" s="33"/>
      </tp>
      <tp t="s">
        <v>#N/A N/A</v>
        <stp/>
        <stp>BDS|10230671066192562880</stp>
        <tr r="QW5" s="42"/>
      </tp>
      <tp t="s">
        <v>#N/A N/A</v>
        <stp/>
        <stp>BDS|13345725196400158792</stp>
        <tr r="QW5" s="13"/>
        <tr r="OO5" s="1"/>
      </tp>
      <tp t="s">
        <v>#N/A N/A</v>
        <stp/>
        <stp>BDS|13763980878165050282</stp>
        <tr r="RM5" s="34"/>
      </tp>
      <tp t="s">
        <v>#N/A N/A</v>
        <stp/>
        <stp>BDS|14936150298175820302</stp>
        <tr r="OA5" s="16"/>
      </tp>
      <tp t="s">
        <v>#N/A N/A</v>
        <stp/>
        <stp>BDS|15115129729969410526</stp>
        <tr r="HC5" s="7"/>
      </tp>
      <tp t="s">
        <v>#N/A N/A</v>
        <stp/>
        <stp>BDS|17519882876806205444</stp>
        <tr r="LS5" s="47"/>
      </tp>
      <tp t="s">
        <v>#N/A N/A</v>
        <stp/>
        <stp>BDS|18092277760640134643</stp>
        <tr r="QI5" s="17"/>
      </tp>
      <tp t="s">
        <v>#N/A N/A</v>
        <stp/>
        <stp>BDS|11998940642171427794</stp>
        <tr r="BW5" s="34"/>
        <tr r="IU5" s="35"/>
      </tp>
      <tp t="s">
        <v>#N/A N/A</v>
        <stp/>
        <stp>BDS|12865986362213747469</stp>
        <tr r="OO5" s="24"/>
      </tp>
      <tp t="s">
        <v>#N/A N/A</v>
        <stp/>
        <stp>BDS|12697265199094304790</stp>
        <tr r="KO5" s="27"/>
        <tr r="DQ5" s="32"/>
      </tp>
      <tp t="s">
        <v>#N/A N/A</v>
        <stp/>
        <stp>BDS|16550929145952262332</stp>
        <tr r="JY5" s="17"/>
        <tr r="LC5" s="10"/>
      </tp>
      <tp t="s">
        <v>#N/A N/A</v>
        <stp/>
        <stp>BDS|10648020691956110547</stp>
        <tr r="OA5" s="43"/>
      </tp>
      <tp t="s">
        <v>#N/A N/A</v>
        <stp/>
        <stp>BDS|15087165036704413942</stp>
        <tr r="BI5" s="7"/>
      </tp>
      <tp t="s">
        <v>#N/A N/A</v>
        <stp/>
        <stp>BDS|14247618650995527861</stp>
        <tr r="FI5" s="48"/>
      </tp>
      <tp t="s">
        <v>#N/A N/A</v>
        <stp/>
        <stp>BDS|11948692357898085070</stp>
        <tr r="TU5" s="32"/>
      </tp>
      <tp t="s">
        <v>#N/A N/A</v>
        <stp/>
        <stp>BDS|14406630191240518128</stp>
        <tr r="VM5" s="35"/>
      </tp>
      <tp t="s">
        <v>#N/A N/A</v>
        <stp/>
        <stp>BDS|13150738517068316775</stp>
        <tr r="EU5" s="9"/>
      </tp>
      <tp t="s">
        <v>#N/A N/A</v>
        <stp/>
        <stp>BDS|13679441494493126768</stp>
        <tr r="PS5" s="7"/>
      </tp>
      <tp t="s">
        <v>#N/A N/A</v>
        <stp/>
        <stp>BDS|12775124339808548280</stp>
        <tr r="JY5" s="24"/>
      </tp>
      <tp t="s">
        <v>#N/A N/A</v>
        <stp/>
        <stp>BDS|11121837447350788733</stp>
        <tr r="LS5" s="22"/>
      </tp>
      <tp t="s">
        <v>#N/A N/A</v>
        <stp/>
        <stp>BDS|10153135450618640653</stp>
        <tr r="TU5" s="44"/>
      </tp>
      <tp t="s">
        <v>#N/A N/A</v>
        <stp/>
        <stp>BDS|17031706840007781916</stp>
        <tr r="FY5" s="44"/>
      </tp>
      <tp t="s">
        <v>#N/A N/A</v>
        <stp/>
        <stp>BDS|15681141630348672526</stp>
        <tr r="VM5" s="11"/>
        <tr r="EE5" s="19"/>
        <tr r="GM5" s="26"/>
        <tr r="AS5" s="30"/>
        <tr r="BW5" s="12"/>
        <tr r="AS5" s="32"/>
        <tr r="FI5" s="47"/>
        <tr r="OO5" s="49"/>
      </tp>
      <tp t="s">
        <v>#N/A N/A</v>
        <stp/>
        <stp>BDS|11239856541681097602</stp>
        <tr r="IU5" s="49"/>
      </tp>
      <tp t="s">
        <v>#N/A N/A</v>
        <stp/>
        <stp>BDS|18199848200638245210</stp>
        <tr r="UI5" s="42"/>
      </tp>
      <tp t="s">
        <v>#N/A N/A</v>
        <stp/>
        <stp>BDS|16712476288067759794</stp>
        <tr r="OO5" s="26"/>
      </tp>
      <tp t="s">
        <v>#N/A N/A</v>
        <stp/>
        <stp>BDS|17336256896015771308</stp>
        <tr r="EU5" s="36"/>
      </tp>
      <tp t="s">
        <v>#N/A N/A</v>
        <stp/>
        <stp>BDS|16479465853675596834</stp>
        <tr r="NK5" s="4"/>
      </tp>
      <tp t="s">
        <v>#N/A N/A</v>
        <stp/>
        <stp>BDS|12628983712932876231</stp>
        <tr r="EU5" s="27"/>
        <tr r="A5" s="50"/>
        <tr r="JK5" s="28"/>
        <tr r="SQ5" s="4"/>
      </tp>
      <tp t="s">
        <v>#N/A N/A</v>
        <stp/>
        <stp>BDS|17920894233496665022</stp>
        <tr r="VM5" s="48"/>
      </tp>
      <tp t="s">
        <v>#N/A N/A</v>
        <stp/>
        <stp>BDS|10115551280833148429</stp>
        <tr r="JY5" s="2"/>
      </tp>
      <tp t="s">
        <v>#N/A N/A</v>
        <stp/>
        <stp>BDS|10280555646748415311</stp>
        <tr r="HQ5" s="45"/>
      </tp>
      <tp t="s">
        <v>#N/A N/A</v>
        <stp/>
        <stp>BDS|14164450630979341037</stp>
        <tr r="DA5" s="16"/>
      </tp>
      <tp t="s">
        <v>#N/A N/A</v>
        <stp/>
        <stp>BDS|11728853375603332704</stp>
        <tr r="HC5" s="45"/>
      </tp>
      <tp t="s">
        <v>#N/A N/A</v>
        <stp/>
        <stp>BDS|18114520760167015676</stp>
        <tr r="BI5" s="47"/>
        <tr r="PE5" s="8"/>
        <tr r="TU5" s="19"/>
      </tp>
      <tp t="s">
        <v>#N/A N/A</v>
        <stp/>
        <stp>BDS|13457054417858352002</stp>
        <tr r="FY5" s="12"/>
        <tr r="JK5" s="22"/>
      </tp>
      <tp t="s">
        <v>#N/A N/A</v>
        <stp/>
        <stp>BDS|11394888942517365108</stp>
        <tr r="NK5" s="3"/>
        <tr r="DA5" s="31"/>
      </tp>
      <tp t="s">
        <v>#N/A N/A</v>
        <stp/>
        <stp>BDS|11500839244567164190</stp>
        <tr r="QW5" s="30"/>
      </tp>
      <tp t="s">
        <v>#N/A N/A</v>
        <stp/>
        <stp>BDS|13271933591141382998</stp>
        <tr r="DA5" s="41"/>
      </tp>
      <tp t="s">
        <v>#N/A N/A</v>
        <stp/>
        <stp>BDS|17927529544158255569</stp>
        <tr r="IG5" s="16"/>
      </tp>
      <tp t="s">
        <v>#N/A N/A</v>
        <stp/>
        <stp>BDS|17693452682225107586</stp>
        <tr r="QW5" s="20"/>
      </tp>
      <tp t="s">
        <v>#N/A N/A</v>
        <stp/>
        <stp>BDS|12070587445389478112</stp>
        <tr r="FY5" s="22"/>
      </tp>
      <tp t="s">
        <v>#N/A N/A</v>
        <stp/>
        <stp>BDS|14899866502727790023</stp>
        <tr r="QW5" s="49"/>
      </tp>
      <tp t="s">
        <v>#N/A N/A</v>
        <stp/>
        <stp>BDS|10847275908779610085</stp>
        <tr r="KO5" s="15"/>
        <tr r="BI5" s="20"/>
      </tp>
      <tp t="s">
        <v>#N/A N/A</v>
        <stp/>
        <stp>BDS|14596391655368537122</stp>
        <tr r="OA5" s="32"/>
      </tp>
      <tp t="s">
        <v>#N/A N/A</v>
        <stp/>
        <stp>BDS|13318389492602236054</stp>
        <tr r="SQ5" s="49"/>
      </tp>
      <tp t="s">
        <v>#N/A N/A</v>
        <stp/>
        <stp>BDS|18312703633565994278</stp>
        <tr r="DQ5" s="44"/>
      </tp>
      <tp t="s">
        <v>#N/A N/A</v>
        <stp/>
        <stp>BDS|17329201332304628997</stp>
        <tr r="AS5" s="44"/>
      </tp>
      <tp t="s">
        <v>#N/A N/A</v>
        <stp/>
        <stp>BDS|14982825859355564789</stp>
        <tr r="SQ5" s="40"/>
      </tp>
      <tp t="s">
        <v>#N/A N/A</v>
        <stp/>
        <stp>BDS|12933613484405738278</stp>
        <tr r="HC5" s="38"/>
      </tp>
      <tp t="s">
        <v>#N/A N/A</v>
        <stp/>
        <stp>BDS|17683953325687260086</stp>
        <tr r="IU5" s="16"/>
      </tp>
      <tp t="s">
        <v>#N/A N/A</v>
        <stp/>
        <stp>BDS|17342262847068926279</stp>
        <tr r="IU5" s="6"/>
      </tp>
      <tp t="s">
        <v>#N/A N/A</v>
        <stp/>
        <stp>BDS|18093853708622298936</stp>
        <tr r="OO5" s="20"/>
      </tp>
      <tp t="s">
        <v>#N/A N/A</v>
        <stp/>
        <stp>BDS|18090809245119025694</stp>
        <tr r="EU5" s="38"/>
        <tr r="CM5" s="43"/>
      </tp>
      <tp t="s">
        <v>#N/A N/A</v>
        <stp/>
        <stp>BDS|11730220693021343091</stp>
        <tr r="DQ5" s="33"/>
      </tp>
      <tp t="s">
        <v>#N/A N/A</v>
        <stp/>
        <stp>BDS|16404719148009950791</stp>
        <tr r="LS5" s="16"/>
      </tp>
      <tp t="s">
        <v>#N/A N/A</v>
        <stp/>
        <stp>BDS|14241800501823955475</stp>
        <tr r="OA5" s="4"/>
        <tr r="PE5" s="20"/>
      </tp>
      <tp t="s">
        <v>#N/A N/A</v>
        <stp/>
        <stp>BDS|12590796578129004099</stp>
        <tr r="GM5" s="9"/>
      </tp>
      <tp t="s">
        <v>#N/A N/A</v>
        <stp/>
        <stp>BDS|15764504291982534013</stp>
        <tr r="KO5" s="33"/>
      </tp>
      <tp t="s">
        <v>#N/A N/A</v>
        <stp/>
        <stp>BDS|14418482945069855634</stp>
        <tr r="FY5" s="1"/>
      </tp>
      <tp t="s">
        <v>#N/A N/A</v>
        <stp/>
        <stp>BDS|10762380819271520811</stp>
        <tr r="NK5" s="19"/>
        <tr r="GM5" s="6"/>
      </tp>
      <tp t="s">
        <v>#N/A N/A</v>
        <stp/>
        <stp>BDS|10033033836208274050</stp>
        <tr r="DQ5" s="39"/>
      </tp>
      <tp t="s">
        <v>#N/A N/A</v>
        <stp/>
        <stp>BDS|15984595372775747963</stp>
        <tr r="IG5" s="33"/>
      </tp>
      <tp t="s">
        <v>#N/A N/A</v>
        <stp/>
        <stp>BDS|15511327546129775055</stp>
        <tr r="GM5" s="41"/>
      </tp>
      <tp t="s">
        <v>#N/A N/A</v>
        <stp/>
        <stp>BDS|13632763042143525873</stp>
        <tr r="BI5" s="8"/>
        <tr r="JK5" s="36"/>
        <tr r="KO5" s="22"/>
        <tr r="A5" s="39"/>
      </tp>
      <tp t="s">
        <v>#N/A N/A</v>
        <stp/>
        <stp>BDS|17319618457657684824</stp>
        <tr r="AE5" s="35"/>
        <tr r="UY5" s="39"/>
      </tp>
      <tp t="s">
        <v>#N/A N/A</v>
        <stp/>
        <stp>BDS|14412464171445540973</stp>
        <tr r="NK5" s="8"/>
      </tp>
      <tp t="s">
        <v>#N/A N/A</v>
        <stp/>
        <stp>BDS|11848343533849035390</stp>
        <tr r="RM5" s="44"/>
        <tr r="AE5" s="11"/>
      </tp>
      <tp t="s">
        <v>#N/A N/A</v>
        <stp/>
        <stp>BDS|18425155351295074264</stp>
        <tr r="VM5" s="26"/>
      </tp>
      <tp t="s">
        <v>#N/A N/A</v>
        <stp/>
        <stp>BDS|17180316167531392826</stp>
        <tr r="SQ5" s="28"/>
      </tp>
      <tp t="s">
        <v>#N/A N/A</v>
        <stp/>
        <stp>BDS|13640298185563469197</stp>
        <tr r="O5" s="14"/>
      </tp>
      <tp t="s">
        <v>#N/A N/A</v>
        <stp/>
        <stp>BDS|14294611895085211537</stp>
        <tr r="NK5" s="10"/>
        <tr r="SA5" s="23"/>
      </tp>
      <tp t="s">
        <v>#N/A N/A</v>
        <stp/>
        <stp>BDS|16045147180842050633</stp>
        <tr r="A5" s="4"/>
      </tp>
      <tp t="s">
        <v>#N/A N/A</v>
        <stp/>
        <stp>BDS|12228984255137962226</stp>
        <tr r="LS5" s="26"/>
      </tp>
      <tp t="s">
        <v>#N/A N/A</v>
        <stp/>
        <stp>BDS|15448958090956269876</stp>
        <tr r="UI5" s="49"/>
      </tp>
      <tp t="s">
        <v>#N/A N/A</v>
        <stp/>
        <stp>BDS|10074357290896640778</stp>
        <tr r="O5" s="21"/>
      </tp>
      <tp t="s">
        <v>#N/A N/A</v>
        <stp/>
        <stp>BDS|18295793335384931327</stp>
        <tr r="PE5" s="22"/>
      </tp>
      <tp t="s">
        <v>#N/A N/A</v>
        <stp/>
        <stp>BDS|17129761762749310434</stp>
        <tr r="QW5" s="18"/>
      </tp>
      <tp t="s">
        <v>#N/A N/A</v>
        <stp/>
        <stp>BDS|18136777007191315574</stp>
        <tr r="OO5" s="18"/>
      </tp>
      <tp t="s">
        <v>#N/A N/A</v>
        <stp/>
        <stp>BDS|13579975497289002107</stp>
        <tr r="OO5" s="29"/>
      </tp>
      <tp t="s">
        <v>#N/A N/A</v>
        <stp/>
        <stp>BDS|11309399976845189873</stp>
        <tr r="OA5" s="26"/>
      </tp>
      <tp t="s">
        <v>#N/A N/A</v>
        <stp/>
        <stp>BDS|10267715144728498395</stp>
        <tr r="HQ5" s="41"/>
      </tp>
      <tp t="s">
        <v>#N/A N/A</v>
        <stp/>
        <stp>BDS|14200117640239801008</stp>
        <tr r="BW5" s="26"/>
        <tr r="AS5" s="33"/>
      </tp>
      <tp t="s">
        <v>#N/A N/A</v>
        <stp/>
        <stp>BDS|13028485170901167929</stp>
        <tr r="GM5" s="13"/>
      </tp>
      <tp t="s">
        <v>#N/A N/A</v>
        <stp/>
        <stp>BDS|12945602145250356845</stp>
        <tr r="EU5" s="13"/>
        <tr r="FY5" s="11"/>
        <tr r="DQ5" s="35"/>
      </tp>
      <tp t="s">
        <v>#N/A N/A</v>
        <stp/>
        <stp>BDS|11383561891875455082</stp>
        <tr r="MW5" s="22"/>
      </tp>
      <tp t="s">
        <v>#N/A N/A</v>
        <stp/>
        <stp>BDS|15245988373981068208</stp>
        <tr r="GM5" s="3"/>
      </tp>
      <tp t="s">
        <v>#N/A N/A</v>
        <stp/>
        <stp>BDS|13935019222480381901</stp>
        <tr r="PE5" s="40"/>
      </tp>
      <tp t="s">
        <v>#N/A N/A</v>
        <stp/>
        <stp>BDS|15116935654774779583</stp>
        <tr r="FY5" s="6"/>
        <tr r="MW5" s="19"/>
      </tp>
      <tp t="s">
        <v>#N/A N/A</v>
        <stp/>
        <stp>BDS|15972343503517535924</stp>
        <tr r="BW5" s="21"/>
      </tp>
      <tp t="s">
        <v>#N/A N/A</v>
        <stp/>
        <stp>BDS|11484293002552305925</stp>
        <tr r="OO5" s="34"/>
      </tp>
      <tp t="s">
        <v>#N/A N/A</v>
        <stp/>
        <stp>BDS|10616828458062009726</stp>
        <tr r="AS5" s="19"/>
      </tp>
      <tp t="s">
        <v>#N/A N/A</v>
        <stp/>
        <stp>BDS|12804398128173052870</stp>
        <tr r="PE5" s="38"/>
      </tp>
      <tp t="s">
        <v>#N/A N/A</v>
        <stp/>
        <stp>BDS|10890582184861995436</stp>
        <tr r="SA5" s="2"/>
      </tp>
      <tp t="s">
        <v>#N/A N/A</v>
        <stp/>
        <stp>BDS|11558867699578211065</stp>
        <tr r="PS5" s="31"/>
      </tp>
      <tp t="s">
        <v>#N/A N/A</v>
        <stp/>
        <stp>BDS|16953931554194074618</stp>
        <tr r="UI5" s="39"/>
      </tp>
      <tp t="s">
        <v>#N/A N/A</v>
        <stp/>
        <stp>BDS|10876326507539511278</stp>
        <tr r="EU5" s="37"/>
      </tp>
      <tp t="s">
        <v>#N/A N/A</v>
        <stp/>
        <stp>BDS|16390852058555116609</stp>
        <tr r="BI5" s="39"/>
      </tp>
      <tp t="s">
        <v>#N/A N/A</v>
        <stp/>
        <stp>BDS|16921665956719424410</stp>
        <tr r="FY5" s="25"/>
      </tp>
      <tp t="s">
        <v>#N/A N/A</v>
        <stp/>
        <stp>BDS|11778137242528925437</stp>
        <tr r="BI5" s="31"/>
      </tp>
      <tp t="s">
        <v>#N/A N/A</v>
        <stp/>
        <stp>BDS|12754489292493948489</stp>
        <tr r="RM5" s="1"/>
      </tp>
      <tp t="s">
        <v>#N/A N/A</v>
        <stp/>
        <stp>BDS|12504827527765497564</stp>
        <tr r="LS5" s="34"/>
      </tp>
      <tp t="s">
        <v>#N/A N/A</v>
        <stp/>
        <stp>BDS|10410920340764415103</stp>
        <tr r="HQ5" s="24"/>
      </tp>
      <tp t="s">
        <v>#N/A N/A</v>
        <stp/>
        <stp>BDS|12496917515151301306</stp>
        <tr r="UY5" s="46"/>
      </tp>
      <tp t="s">
        <v>#N/A N/A</v>
        <stp/>
        <stp>BDS|13574990413951458283</stp>
        <tr r="O5" s="6"/>
      </tp>
      <tp t="s">
        <v>#N/A N/A</v>
        <stp/>
        <stp>BDS|14580133992676674219</stp>
        <tr r="TU5" s="22"/>
        <tr r="EU5" s="45"/>
      </tp>
      <tp t="s">
        <v>#N/A N/A</v>
        <stp/>
        <stp>BDS|11923928381750898816</stp>
        <tr r="AS5" s="10"/>
        <tr r="AS5" s="21"/>
        <tr r="EE5" s="4"/>
      </tp>
      <tp t="s">
        <v>#N/A N/A</v>
        <stp/>
        <stp>BDS|13400845303317235422</stp>
        <tr r="CM5" s="36"/>
        <tr r="JK5" s="38"/>
      </tp>
      <tp t="s">
        <v>#N/A N/A</v>
        <stp/>
        <stp>BDS|16458817915851984691</stp>
        <tr r="DQ5" s="30"/>
      </tp>
      <tp t="s">
        <v>#N/A N/A</v>
        <stp/>
        <stp>BDS|10212935683109770045</stp>
        <tr r="TU5" s="13"/>
        <tr r="HC5" s="31"/>
      </tp>
      <tp t="s">
        <v>#N/A N/A</v>
        <stp/>
        <stp>BDS|18031233195158941395</stp>
        <tr r="SQ5" s="20"/>
      </tp>
      <tp t="s">
        <v>#N/A N/A</v>
        <stp/>
        <stp>BDS|14729339334724434838</stp>
        <tr r="LC5" s="17"/>
        <tr r="UI5" s="30"/>
      </tp>
      <tp t="s">
        <v>#N/A N/A</v>
        <stp/>
        <stp>BDS|11209885090438913044</stp>
        <tr r="TU5" s="47"/>
      </tp>
      <tp t="s">
        <v>#N/A N/A</v>
        <stp/>
        <stp>BDS|10162673330014691944</stp>
        <tr r="PS5" s="15"/>
      </tp>
      <tp t="s">
        <v>#N/A N/A</v>
        <stp/>
        <stp>BDS|16392319303949007444</stp>
        <tr r="MG5" s="23"/>
      </tp>
      <tp t="s">
        <v>#N/A N/A</v>
        <stp/>
        <stp>BDS|13140972942445611371</stp>
        <tr r="MG5" s="26"/>
      </tp>
      <tp t="s">
        <v>#N/A N/A</v>
        <stp/>
        <stp>BDS|10178877876856160149</stp>
        <tr r="CM5" s="40"/>
      </tp>
      <tp t="s">
        <v>#N/A N/A</v>
        <stp/>
        <stp>BDS|16590962730470588431</stp>
        <tr r="LC5" s="12"/>
      </tp>
      <tp t="s">
        <v>#N/A N/A</v>
        <stp/>
        <stp>BDS|16180863935576104291</stp>
        <tr r="IG5" s="36"/>
      </tp>
      <tp t="s">
        <v>#N/A N/A</v>
        <stp/>
        <stp>BDS|16573964484087842955</stp>
        <tr r="NK5" s="43"/>
      </tp>
      <tp t="s">
        <v>#N/A N/A</v>
        <stp/>
        <stp>BDS|14961639123449698057</stp>
        <tr r="KO5" s="19"/>
      </tp>
      <tp t="s">
        <v>#N/A N/A</v>
        <stp/>
        <stp>BDS|11925896355407706293</stp>
        <tr r="SQ5" s="37"/>
      </tp>
      <tp t="s">
        <v>#N/A N/A</v>
        <stp/>
        <stp>BDS|12002875313902881074</stp>
        <tr r="RM5" s="25"/>
        <tr r="A5" s="32"/>
      </tp>
      <tp t="s">
        <v>#N/A N/A</v>
        <stp/>
        <stp>BDS|18123316068590512452</stp>
        <tr r="TE5" s="27"/>
      </tp>
      <tp t="s">
        <v>#N/A N/A</v>
        <stp/>
        <stp>BDS|17594616557769373493</stp>
        <tr r="LC5" s="9"/>
      </tp>
      <tp t="s">
        <v>#N/A N/A</v>
        <stp/>
        <stp>BDS|17606458358327756852</stp>
        <tr r="EU5" s="3"/>
        <tr r="AE5" s="49"/>
      </tp>
      <tp t="s">
        <v>#N/A N/A</v>
        <stp/>
        <stp>BDS|13592723192892465684</stp>
        <tr r="IG5" s="6"/>
      </tp>
      <tp t="s">
        <v>#N/A N/A</v>
        <stp/>
        <stp>BDS|17960456502649358331</stp>
        <tr r="MW5" s="44"/>
      </tp>
      <tp t="s">
        <v>#N/A N/A</v>
        <stp/>
        <stp>BDS|13196821644707926109</stp>
        <tr r="O5" s="8"/>
      </tp>
      <tp t="s">
        <v>#N/A N/A</v>
        <stp/>
        <stp>BDS|10534010038843395908</stp>
        <tr r="AE5" s="29"/>
      </tp>
      <tp t="s">
        <v>#N/A N/A</v>
        <stp/>
        <stp>BDS|13630409868239313127</stp>
        <tr r="PS5" s="9"/>
      </tp>
      <tp t="s">
        <v>#N/A N/A</v>
        <stp/>
        <stp>BDS|12718492270261506941</stp>
        <tr r="O5" s="35"/>
      </tp>
      <tp t="s">
        <v>#N/A N/A</v>
        <stp/>
        <stp>BDS|16612819841111220287</stp>
        <tr r="OO5" s="40"/>
        <tr r="LC5" s="41"/>
      </tp>
      <tp t="s">
        <v>#N/A N/A</v>
        <stp/>
        <stp>BDS|12004198806763754949</stp>
        <tr r="DA5" s="24"/>
      </tp>
      <tp t="s">
        <v>#N/A N/A</v>
        <stp/>
        <stp>BDS|17334977932093820721</stp>
        <tr r="HC5" s="28"/>
      </tp>
      <tp t="s">
        <v>#N/A N/A</v>
        <stp/>
        <stp>BDS|11989645138979080483</stp>
        <tr r="FI5" s="25"/>
      </tp>
      <tp t="s">
        <v>#N/A N/A</v>
        <stp/>
        <stp>BDS|11401126142835004893</stp>
        <tr r="LS5" s="33"/>
      </tp>
      <tp t="s">
        <v>#N/A N/A</v>
        <stp/>
        <stp>BDS|11416256876598501509</stp>
        <tr r="SQ5" s="26"/>
      </tp>
      <tp t="s">
        <v>#N/A N/A</v>
        <stp/>
        <stp>BDS|16495824796898484660</stp>
        <tr r="DA5" s="27"/>
      </tp>
      <tp t="s">
        <v>#N/A N/A</v>
        <stp/>
        <stp>BDS|15918915329204621354</stp>
        <tr r="RM5" s="50"/>
        <tr r="LS5" s="18"/>
      </tp>
      <tp t="s">
        <v>#N/A N/A</v>
        <stp/>
        <stp>BDS|17060632471449254623</stp>
        <tr r="RM5" s="49"/>
      </tp>
      <tp t="s">
        <v>#N/A N/A</v>
        <stp/>
        <stp>BDS|10994813870435311382</stp>
        <tr r="TU5" s="15"/>
        <tr r="KO5" s="18"/>
        <tr r="SQ5" s="45"/>
      </tp>
      <tp t="s">
        <v>#N/A N/A</v>
        <stp/>
        <stp>BDS|12536932994878881397</stp>
        <tr r="QI5" s="23"/>
      </tp>
      <tp t="s">
        <v>#N/A N/A</v>
        <stp/>
        <stp>BDS|12835175012562509989</stp>
        <tr r="HQ5" s="35"/>
      </tp>
      <tp t="s">
        <v>#N/A N/A</v>
        <stp/>
        <stp>BDS|17034072787265623361</stp>
        <tr r="SA5" s="32"/>
      </tp>
      <tp t="s">
        <v>#N/A N/A</v>
        <stp/>
        <stp>BDS|15803403417318605197</stp>
        <tr r="VM5" s="9"/>
        <tr r="PS5" s="45"/>
      </tp>
      <tp t="s">
        <v>#N/A N/A</v>
        <stp/>
        <stp>BDS|15698864953686745754</stp>
        <tr r="EE5" s="28"/>
        <tr r="QW5" s="32"/>
      </tp>
      <tp t="s">
        <v>#N/A N/A</v>
        <stp/>
        <stp>BDS|14285788074749795484</stp>
        <tr r="MG5" s="14"/>
      </tp>
      <tp t="s">
        <v>#N/A N/A</v>
        <stp/>
        <stp>BDS|12995958431570926158</stp>
        <tr r="IG5" s="43"/>
      </tp>
      <tp t="s">
        <v>#N/A N/A</v>
        <stp/>
        <stp>BDS|13638650313465271831</stp>
        <tr r="O5" s="10"/>
        <tr r="PS5" s="35"/>
      </tp>
      <tp t="s">
        <v>#N/A N/A</v>
        <stp/>
        <stp>BDS|10640080498027320735</stp>
        <tr r="DA5" s="34"/>
      </tp>
      <tp t="s">
        <v>#N/A N/A</v>
        <stp/>
        <stp>BDS|15988940957436599694</stp>
        <tr r="VM5" s="23"/>
      </tp>
      <tp t="s">
        <v>#N/A N/A</v>
        <stp/>
        <stp>BDS|12268327624252006824</stp>
        <tr r="PE5" s="41"/>
      </tp>
      <tp t="s">
        <v>#N/A N/A</v>
        <stp/>
        <stp>BDS|10929776514468922748</stp>
        <tr r="VM5" s="10"/>
      </tp>
      <tp t="s">
        <v>#N/A N/A</v>
        <stp/>
        <stp>BDS|11725055284809807992</stp>
        <tr r="UY5" s="12"/>
      </tp>
      <tp t="s">
        <v>#N/A N/A</v>
        <stp/>
        <stp>BDS|10534388441267141988</stp>
        <tr r="HQ5" s="20"/>
      </tp>
      <tp t="s">
        <v>#N/A N/A</v>
        <stp/>
        <stp>BDS|17575940389058905742</stp>
        <tr r="QW5" s="9"/>
      </tp>
      <tp t="s">
        <v>#N/A N/A</v>
        <stp/>
        <stp>BDS|17168876394090966810</stp>
        <tr r="TU5" s="37"/>
      </tp>
      <tp t="s">
        <v>#N/A N/A</v>
        <stp/>
        <stp>BDS|11550627259734582819</stp>
        <tr r="IU5" s="28"/>
      </tp>
      <tp t="s">
        <v>#N/A N/A</v>
        <stp/>
        <stp>BDS|16861160884915704460</stp>
        <tr r="NK5" s="21"/>
      </tp>
      <tp t="s">
        <v>#N/A N/A</v>
        <stp/>
        <stp>BDS|11348698712188752071</stp>
        <tr r="HC5" s="37"/>
      </tp>
      <tp t="s">
        <v>#N/A N/A</v>
        <stp/>
        <stp>BDS|14332759224696892924</stp>
        <tr r="HQ5" s="27"/>
        <tr r="FI5" s="41"/>
      </tp>
      <tp t="s">
        <v>#N/A N/A</v>
        <stp/>
        <stp>BDS|15380361494101978017</stp>
        <tr r="EU5" s="6"/>
      </tp>
      <tp t="s">
        <v>#N/A N/A</v>
        <stp/>
        <stp>BDS|14879939642125737273</stp>
        <tr r="FY5" s="47"/>
        <tr r="UY5" s="1"/>
      </tp>
      <tp t="s">
        <v>#N/A N/A</v>
        <stp/>
        <stp>BDS|10464708087721388093</stp>
        <tr r="UI5" s="9"/>
        <tr r="FI5" s="12"/>
        <tr r="BW5" s="38"/>
      </tp>
      <tp t="s">
        <v>#N/A N/A</v>
        <stp/>
        <stp>BDS|10546793054124443857</stp>
        <tr r="PS5" s="21"/>
      </tp>
      <tp t="s">
        <v>#N/A N/A</v>
        <stp/>
        <stp>BDS|14587811558410353716</stp>
        <tr r="TE5" s="22"/>
      </tp>
      <tp t="s">
        <v>#N/A N/A</v>
        <stp/>
        <stp>BDS|18160571555910472680</stp>
        <tr r="MW5" s="4"/>
      </tp>
      <tp t="s">
        <v>#N/A N/A</v>
        <stp/>
        <stp>BDS|11132930378485002456</stp>
        <tr r="GM5" s="43"/>
      </tp>
      <tp t="s">
        <v>#N/A N/A</v>
        <stp/>
        <stp>BDS|15540801410303189182</stp>
        <tr r="UI5" s="13"/>
        <tr r="HQ5" s="31"/>
      </tp>
      <tp t="s">
        <v>#N/A N/A</v>
        <stp/>
        <stp>BDS|14859439088093816562</stp>
        <tr r="OA5" s="29"/>
      </tp>
      <tp t="s">
        <v>#N/A N/A</v>
        <stp/>
        <stp>BDS|12528117793475302148</stp>
        <tr r="TE5" s="1"/>
      </tp>
      <tp t="s">
        <v>#N/A N/A</v>
        <stp/>
        <stp>BDS|17364682871738378099</stp>
        <tr r="PE5" s="30"/>
      </tp>
      <tp t="s">
        <v>#N/A N/A</v>
        <stp/>
        <stp>BDS|12940546589578064944</stp>
        <tr r="MW5" s="31"/>
      </tp>
      <tp t="s">
        <v>#N/A N/A</v>
        <stp/>
        <stp>BDS|15789436007258445763</stp>
        <tr r="FY5" s="29"/>
      </tp>
      <tp t="s">
        <v>#N/A N/A</v>
        <stp/>
        <stp>BDS|15853785800065946988</stp>
        <tr r="OA5" s="30"/>
      </tp>
      <tp t="s">
        <v>#N/A N/A</v>
        <stp/>
        <stp>BDS|18115013271027174619</stp>
        <tr r="PS5" s="4"/>
        <tr r="VM5" s="6"/>
      </tp>
      <tp t="s">
        <v>#N/A N/A</v>
        <stp/>
        <stp>BDS|10810116025735514880</stp>
        <tr r="EE5" s="7"/>
        <tr r="VM5" s="21"/>
      </tp>
      <tp t="s">
        <v>#N/A N/A</v>
        <stp/>
        <stp>BDS|17032968733653689022</stp>
        <tr r="O5" s="9"/>
      </tp>
      <tp t="s">
        <v>#N/A N/A</v>
        <stp/>
        <stp>BDS|18260333615556607248</stp>
        <tr r="SA5" s="45"/>
        <tr r="EE5" s="6"/>
        <tr r="VM5" s="37"/>
      </tp>
      <tp t="s">
        <v>#N/A N/A</v>
        <stp/>
        <stp>BDS|15264462506849272665</stp>
        <tr r="IG5" s="34"/>
      </tp>
      <tp t="s">
        <v>#N/A N/A</v>
        <stp/>
        <stp>BDS|16670851131211089241</stp>
        <tr r="EU5" s="41"/>
        <tr r="HC5" s="27"/>
      </tp>
      <tp t="s">
        <v>#N/A N/A</v>
        <stp/>
        <stp>BDS|10390048057468697301</stp>
        <tr r="IU5" s="4"/>
      </tp>
      <tp t="s">
        <v>#N/A N/A</v>
        <stp/>
        <stp>BDS|14235817852101652611</stp>
        <tr r="LC5" s="8"/>
      </tp>
      <tp t="s">
        <v>#N/A N/A</v>
        <stp/>
        <stp>BDS|17305783434219147499</stp>
        <tr r="FY5" s="40"/>
      </tp>
      <tp t="s">
        <v>#N/A N/A</v>
        <stp/>
        <stp>BDS|15544431156732330844</stp>
        <tr r="EE5" s="46"/>
      </tp>
      <tp t="s">
        <v>#N/A N/A</v>
        <stp/>
        <stp>BDS|16334834784199970190</stp>
        <tr r="RM5" s="8"/>
      </tp>
      <tp t="s">
        <v>#N/A N/A</v>
        <stp/>
        <stp>BDS|15788719666479772335</stp>
        <tr r="IU5" s="10"/>
      </tp>
      <tp t="s">
        <v>#N/A N/A</v>
        <stp/>
        <stp>BDS|15293048686711049244</stp>
        <tr r="TE5" s="4"/>
        <tr r="O5" s="50"/>
        <tr r="FI5" s="27"/>
        <tr r="JY5" s="28"/>
      </tp>
      <tp t="s">
        <v>#N/A N/A</v>
        <stp/>
        <stp>BDS|13767569025048738266</stp>
        <tr r="LC5" s="19"/>
      </tp>
      <tp t="s">
        <v>#N/A N/A</v>
        <stp/>
        <stp>BDS|12759522451998283438</stp>
        <tr r="TU5" s="43"/>
      </tp>
      <tp t="s">
        <v>#N/A N/A</v>
        <stp/>
        <stp>BDS|10381209095042638751</stp>
        <tr r="A5" s="13"/>
      </tp>
      <tp t="s">
        <v>#N/A N/A</v>
        <stp/>
        <stp>BDS|17420177477307965976</stp>
        <tr r="PE5" s="9"/>
      </tp>
      <tp t="s">
        <v>#N/A N/A</v>
        <stp/>
        <stp>BDS|10390603386625743490</stp>
        <tr r="EU5" s="11"/>
      </tp>
      <tp t="s">
        <v>#N/A N/A</v>
        <stp/>
        <stp>BDS|13669907808297283277</stp>
        <tr r="A5" s="36"/>
      </tp>
      <tp t="s">
        <v>#N/A N/A</v>
        <stp/>
        <stp>BDS|16382138388663393303</stp>
        <tr r="TE5" s="3"/>
      </tp>
      <tp t="s">
        <v>#N/A N/A</v>
        <stp/>
        <stp>BDS|15639292389032942273</stp>
        <tr r="MW5" s="11"/>
      </tp>
      <tp t="s">
        <v>#N/A N/A</v>
        <stp/>
        <stp>BDS|10859134521888694438</stp>
        <tr r="SA5" s="4"/>
        <tr r="HQ5" s="36"/>
        <tr r="LC5" s="5"/>
      </tp>
      <tp t="s">
        <v>#N/A N/A</v>
        <stp/>
        <stp>BDS|13932328162801067868</stp>
        <tr r="NK5" s="7"/>
      </tp>
      <tp t="s">
        <v>#N/A N/A</v>
        <stp/>
        <stp>BDS|11932434203749773311</stp>
        <tr r="UI5" s="50"/>
      </tp>
      <tp t="s">
        <v>#N/A N/A</v>
        <stp/>
        <stp>BDS|10441364320929705792</stp>
        <tr r="TE5" s="50"/>
      </tp>
      <tp t="s">
        <v>#N/A N/A</v>
        <stp/>
        <stp>BDS|11961682494393084293</stp>
        <tr r="A5" s="44"/>
      </tp>
      <tp t="s">
        <v>#N/A N/A</v>
        <stp/>
        <stp>BDS|18075974787984803259</stp>
        <tr r="OA5" s="33"/>
      </tp>
      <tp t="s">
        <v>#N/A N/A</v>
        <stp/>
        <stp>BDS|17933783639518268488</stp>
        <tr r="DQ5" s="47"/>
        <tr r="CM5" s="50"/>
        <tr r="PE5" s="5"/>
        <tr r="CM5" s="7"/>
        <tr r="MW5" s="28"/>
      </tp>
      <tp t="s">
        <v>#N/A N/A</v>
        <stp/>
        <stp>BDS|18156649181219620005</stp>
        <tr r="BW5" s="16"/>
      </tp>
      <tp t="s">
        <v>#N/A N/A</v>
        <stp/>
        <stp>BDS|16158922692899782048</stp>
        <tr r="MG5" s="43"/>
      </tp>
      <tp t="s">
        <v>#N/A N/A</v>
        <stp/>
        <stp>BDS|12109827633685014322</stp>
        <tr r="KO5" s="49"/>
      </tp>
      <tp t="s">
        <v>#N/A N/A</v>
        <stp/>
        <stp>BDS|17747800675704950397</stp>
        <tr r="MG5" s="16"/>
      </tp>
      <tp t="s">
        <v>#N/A N/A</v>
        <stp/>
        <stp>BDS|11734189891266983057</stp>
        <tr r="O5" s="16"/>
      </tp>
      <tp t="s">
        <v>#N/A N/A</v>
        <stp/>
        <stp>BDS|10218456684407527447</stp>
        <tr r="CM5" s="5"/>
      </tp>
      <tp t="s">
        <v>#N/A N/A</v>
        <stp/>
        <stp>BDS|18135315431781490663</stp>
        <tr r="RM5" s="6"/>
      </tp>
      <tp t="s">
        <v>#N/A N/A</v>
        <stp/>
        <stp>BDS|13465256831408288513</stp>
        <tr r="TU5" s="48"/>
      </tp>
      <tp t="s">
        <v>#N/A N/A</v>
        <stp/>
        <stp>BDS|18185250004041441472</stp>
        <tr r="BI5" s="44"/>
      </tp>
      <tp t="s">
        <v>#N/A N/A</v>
        <stp/>
        <stp>BDS|13179089906949577597</stp>
        <tr r="A5" s="49"/>
        <tr r="RM5" s="14"/>
        <tr r="JK5" s="19"/>
        <tr r="UY5" s="50"/>
        <tr r="A5" s="37"/>
        <tr r="IG5" s="37"/>
        <tr r="BI5" s="45"/>
      </tp>
      <tp t="s">
        <v>#N/A N/A</v>
        <stp/>
        <stp>BDS|12787515890528878990</stp>
        <tr r="TU5" s="17"/>
      </tp>
      <tp t="s">
        <v>#N/A N/A</v>
        <stp/>
        <stp>BDS|14694607773178666271</stp>
        <tr r="FI5" s="9"/>
      </tp>
      <tp t="s">
        <v>#N/A N/A</v>
        <stp/>
        <stp>BDS|14443071720000447930</stp>
        <tr r="FY5" s="43"/>
      </tp>
      <tp t="s">
        <v>#N/A N/A</v>
        <stp/>
        <stp>BDS|17314052716739236062</stp>
        <tr r="CM5" s="17"/>
      </tp>
      <tp t="s">
        <v>#N/A N/A</v>
        <stp/>
        <stp>BDS|15715425574801174851</stp>
        <tr r="DA5" s="47"/>
      </tp>
      <tp t="s">
        <v>#N/A N/A</v>
        <stp/>
        <stp>BDS|12829744053206804926</stp>
        <tr r="DQ5" s="40"/>
        <tr r="BI5" s="13"/>
        <tr r="MW5" s="39"/>
      </tp>
      <tp t="s">
        <v>#N/A N/A</v>
        <stp/>
        <stp>BDS|15718827771283955681</stp>
        <tr r="O5" s="29"/>
        <tr r="SA5" s="37"/>
      </tp>
      <tp t="s">
        <v>#N/A N/A</v>
        <stp/>
        <stp>BDS|10570271339624621978</stp>
        <tr r="A5" s="33"/>
      </tp>
      <tp t="s">
        <v>#N/A N/A</v>
        <stp/>
        <stp>BDS|11505987141457593722</stp>
        <tr r="KO5" s="50"/>
      </tp>
      <tp t="s">
        <v>#N/A N/A</v>
        <stp/>
        <stp>BDS|13259800772370809030</stp>
        <tr r="HC5" s="2"/>
      </tp>
      <tp t="s">
        <v>#N/A N/A</v>
        <stp/>
        <stp>BDS|12507571703289827224</stp>
        <tr r="UY5" s="45"/>
      </tp>
      <tp t="s">
        <v>#N/A N/A</v>
        <stp/>
        <stp>BDS|13210020961809138094</stp>
        <tr r="RM5" s="32"/>
      </tp>
      <tp t="s">
        <v>#N/A N/A</v>
        <stp/>
        <stp>BDS|10647584014190761845</stp>
        <tr r="BI5" s="36"/>
        <tr r="TU5" s="8"/>
      </tp>
      <tp t="s">
        <v>#N/A N/A</v>
        <stp/>
        <stp>BDS|10945566467258175706</stp>
        <tr r="OO5" s="50"/>
      </tp>
      <tp t="s">
        <v>#N/A N/A</v>
        <stp/>
        <stp>BDS|17623564319926687960</stp>
        <tr r="MG5" s="48"/>
      </tp>
      <tp t="s">
        <v>#N/A N/A</v>
        <stp/>
        <stp>BDS|18251343368601725005</stp>
        <tr r="SQ5" s="12"/>
      </tp>
      <tp t="s">
        <v>#N/A N/A</v>
        <stp/>
        <stp>BDS|16873931656297662127</stp>
        <tr r="IU5" s="26"/>
      </tp>
      <tp t="s">
        <v>#N/A N/A</v>
        <stp/>
        <stp>BDS|13779171523269282588</stp>
        <tr r="QW5" s="16"/>
      </tp>
      <tp t="s">
        <v>#N/A N/A</v>
        <stp/>
        <stp>BDS|18262115626944264386</stp>
        <tr r="GM5" s="34"/>
      </tp>
      <tp t="s">
        <v>#N/A N/A</v>
        <stp/>
        <stp>BDS|10975915594519680555</stp>
        <tr r="SQ5" s="43"/>
        <tr r="OA5" s="46"/>
      </tp>
      <tp t="s">
        <v>#N/A N/A</v>
        <stp/>
        <stp>BDS|15938298084696340589</stp>
        <tr r="AE5" s="40"/>
      </tp>
      <tp t="s">
        <v>#N/A N/A</v>
        <stp/>
        <stp>BDS|14372982265134779364</stp>
        <tr r="BW5" s="43"/>
      </tp>
      <tp t="s">
        <v>#N/A N/A</v>
        <stp/>
        <stp>BDS|16113668373989864230</stp>
        <tr r="DQ5" s="10"/>
      </tp>
      <tp t="s">
        <v>#N/A N/A</v>
        <stp/>
        <stp>BDS|14778848311541776096</stp>
        <tr r="VM5" s="7"/>
        <tr r="JY5" s="12"/>
        <tr r="HQ5" s="18"/>
      </tp>
      <tp t="s">
        <v>#N/A N/A</v>
        <stp/>
        <stp>BDS|15748801726867557484</stp>
        <tr r="OA5" s="22"/>
      </tp>
      <tp t="s">
        <v>#N/A N/A</v>
        <stp/>
        <stp>BDS|10196667024179847166</stp>
        <tr r="RM5" s="11"/>
      </tp>
      <tp t="s">
        <v>#N/A N/A</v>
        <stp/>
        <stp>BDS|17319435658518477210</stp>
        <tr r="NK5" s="2"/>
      </tp>
      <tp t="s">
        <v>#N/A N/A</v>
        <stp/>
        <stp>BDS|13367392028359750779</stp>
        <tr r="FY5" s="49"/>
      </tp>
      <tp t="s">
        <v>#N/A N/A</v>
        <stp/>
        <stp>BDS|13253542794917798476</stp>
        <tr r="LC5" s="50"/>
      </tp>
      <tp t="s">
        <v>#N/A N/A</v>
        <stp/>
        <stp>BDS|10218429364838694611</stp>
        <tr r="SQ5" s="16"/>
      </tp>
      <tp t="s">
        <v>#N/A N/A</v>
        <stp/>
        <stp>BDS|11567202721048329549</stp>
        <tr r="PS5" s="27"/>
      </tp>
      <tp t="s">
        <v>#N/A N/A</v>
        <stp/>
        <stp>BDS|11219604684191627238</stp>
        <tr r="O5" s="39"/>
        <tr r="JY5" s="36"/>
        <tr r="LC5" s="22"/>
        <tr r="BW5" s="8"/>
      </tp>
      <tp t="s">
        <v>#N/A N/A</v>
        <stp/>
        <stp>BDS|17715736606334136838</stp>
        <tr r="A5" s="2"/>
      </tp>
      <tp t="s">
        <v>#N/A N/A</v>
        <stp/>
        <stp>BDS|18135298768406644665</stp>
        <tr r="QW5" s="3"/>
      </tp>
      <tp t="s">
        <v>#N/A N/A</v>
        <stp/>
        <stp>BDS|14615947864701350657</stp>
        <tr r="UY5" s="34"/>
      </tp>
      <tp t="s">
        <v>#N/A N/A</v>
        <stp/>
        <stp>BDS|15695975850303678661</stp>
        <tr r="GM5" s="2"/>
      </tp>
      <tp t="s">
        <v>#N/A N/A</v>
        <stp/>
        <stp>BDS|14981004391043078295</stp>
        <tr r="FI5" s="32"/>
        <tr r="EE5" s="42"/>
        <tr r="LC5" s="44"/>
      </tp>
      <tp t="s">
        <v>#N/A N/A</v>
        <stp/>
        <stp>BDS|10484020546168872093</stp>
        <tr r="MW5" s="43"/>
      </tp>
      <tp t="s">
        <v>#N/A N/A</v>
        <stp/>
        <stp>BDS|10565099698893749658</stp>
        <tr r="FY5" s="3"/>
      </tp>
      <tp t="s">
        <v>#N/A N/A</v>
        <stp/>
        <stp>BDS|11183020437728529663</stp>
        <tr r="MG5" s="47"/>
      </tp>
      <tp t="s">
        <v>#N/A N/A</v>
        <stp/>
        <stp>BDS|18422866739907517890</stp>
        <tr r="AE5" s="27"/>
      </tp>
      <tp t="s">
        <v>#N/A N/A</v>
        <stp/>
        <stp>BDS|15466043023402386978</stp>
        <tr r="JY5" s="1"/>
      </tp>
      <tp t="s">
        <v>#N/A N/A</v>
        <stp/>
        <stp>BDS|11496710821311058901</stp>
        <tr r="AE5" s="23"/>
      </tp>
      <tp t="s">
        <v>#N/A N/A</v>
        <stp/>
        <stp>BDS|14025108071748128642</stp>
        <tr r="KO5" s="24"/>
      </tp>
      <tp t="s">
        <v>#N/A N/A</v>
        <stp/>
        <stp>BDS|12284878515867712025</stp>
        <tr r="LS5" s="43"/>
      </tp>
      <tp t="s">
        <v>#N/A N/A</v>
        <stp/>
        <stp>BDS|11054116240461059946</stp>
        <tr r="RM5" s="35"/>
      </tp>
      <tp t="s">
        <v>#N/A N/A</v>
        <stp/>
        <stp>BDS|13325884964642566204</stp>
        <tr r="SQ5" s="2"/>
      </tp>
      <tp t="s">
        <v>#N/A N/A</v>
        <stp/>
        <stp>BDS|16858837805032404103</stp>
        <tr r="RM5" s="12"/>
        <tr r="KO5" s="20"/>
      </tp>
      <tp t="s">
        <v>#N/A N/A</v>
        <stp/>
        <stp>BDS|10152592536422136948</stp>
        <tr r="O5" s="26"/>
      </tp>
      <tp t="s">
        <v>#N/A N/A</v>
        <stp/>
        <stp>BDS|14264904216476915760</stp>
        <tr r="PS5" s="18"/>
      </tp>
      <tp t="s">
        <v>#N/A N/A</v>
        <stp/>
        <stp>BDS|10295332877259581087</stp>
        <tr r="MW5" s="45"/>
      </tp>
      <tp t="s">
        <v>#N/A N/A</v>
        <stp/>
        <stp>BDS|10450229689196570123</stp>
        <tr r="UY5" s="26"/>
      </tp>
      <tp t="s">
        <v>#N/A N/A</v>
        <stp/>
        <stp>BDS|13083499260308559444</stp>
        <tr r="NK5" s="25"/>
      </tp>
      <tp t="s">
        <v>#N/A N/A</v>
        <stp/>
        <stp>BDS|14115941622295860772</stp>
        <tr r="IG5" s="44"/>
        <tr r="SQ5" s="18"/>
        <tr r="OA5" s="27"/>
      </tp>
      <tp t="s">
        <v>#N/A N/A</v>
        <stp/>
        <stp>BDS|17648836744533174599</stp>
        <tr r="GM5" s="18"/>
      </tp>
      <tp t="s">
        <v>#N/A N/A</v>
        <stp/>
        <stp>BDS|13471984427625419069</stp>
        <tr r="RM5" s="24"/>
      </tp>
      <tp t="s">
        <v>#N/A N/A</v>
        <stp/>
        <stp>BDS|17144090838569867016</stp>
        <tr r="SQ5" s="35"/>
      </tp>
      <tp t="s">
        <v>#N/A N/A</v>
        <stp/>
        <stp>BDS|14507925728022070063</stp>
        <tr r="EU5" s="2"/>
        <tr r="JK5" s="18"/>
      </tp>
      <tp t="s">
        <v>#N/A N/A</v>
        <stp/>
        <stp>BDS|15091054557939561491</stp>
        <tr r="TU5" s="41"/>
      </tp>
      <tp t="s">
        <v>#N/A N/A</v>
        <stp/>
        <stp>BDS|18193339062201860164</stp>
        <tr r="CM5" s="30"/>
      </tp>
      <tp t="s">
        <v>#N/A N/A</v>
        <stp/>
        <stp>BDS|10307848612841267584</stp>
        <tr r="UI5" s="11"/>
        <tr r="NK5" s="23"/>
        <tr r="TE5" s="38"/>
      </tp>
      <tp t="s">
        <v>#N/A N/A</v>
        <stp/>
        <stp>BDS|13817916457443077114</stp>
        <tr r="NK5" s="49"/>
      </tp>
      <tp t="s">
        <v>#N/A N/A</v>
        <stp/>
        <stp>BDS|15784299022929313133</stp>
        <tr r="SQ5" s="6"/>
      </tp>
      <tp t="s">
        <v>#N/A N/A</v>
        <stp/>
        <stp>BDS|18358593917793041215</stp>
        <tr r="OO5" s="43"/>
      </tp>
      <tp t="s">
        <v>#N/A N/A</v>
        <stp/>
        <stp>BDS|13135861717932995548</stp>
        <tr r="DA5" s="44"/>
      </tp>
      <tp t="s">
        <v>#N/A N/A</v>
        <stp/>
        <stp>BDS|13184166131774953822</stp>
        <tr r="BI5" s="30"/>
      </tp>
      <tp t="s">
        <v>#N/A N/A</v>
        <stp/>
        <stp>BDS|13586622470507951838</stp>
        <tr r="JK5" s="2"/>
      </tp>
      <tp t="s">
        <v>#N/A N/A</v>
        <stp/>
        <stp>BDS|10084783768938110431</stp>
        <tr r="FY5" s="42"/>
      </tp>
      <tp t="s">
        <v>#N/A N/A</v>
        <stp/>
        <stp>BDS|13310575886054744768</stp>
        <tr r="JY5" s="40"/>
      </tp>
      <tp t="s">
        <v>#N/A N/A</v>
        <stp/>
        <stp>BDS|11251443984733565342</stp>
        <tr r="JY5" s="5"/>
      </tp>
      <tp t="s">
        <v>#N/A N/A</v>
        <stp/>
        <stp>BDS|14540398082093868161</stp>
        <tr r="IU5" s="46"/>
      </tp>
      <tp t="s">
        <v>#N/A N/A</v>
        <stp/>
        <stp>BDS|13266105652739168309</stp>
        <tr r="MG5" s="20"/>
      </tp>
      <tp t="s">
        <v>#N/A N/A</v>
        <stp/>
        <stp>BDS|15173481899453739662</stp>
        <tr r="JY5" s="13"/>
      </tp>
      <tp t="s">
        <v>#N/A N/A</v>
        <stp/>
        <stp>BDS|13646995795778965626</stp>
        <tr r="FI5" s="24"/>
      </tp>
      <tp t="s">
        <v>#N/A N/A</v>
        <stp/>
        <stp>BDS|11045199222499856654</stp>
        <tr r="PS5" s="23"/>
      </tp>
      <tp t="s">
        <v>#N/A N/A</v>
        <stp/>
        <stp>BDS|16413005845058692707</stp>
        <tr r="O5" s="3"/>
      </tp>
      <tp t="s">
        <v>#N/A N/A</v>
        <stp/>
        <stp>BDS|12011820062118100968</stp>
        <tr r="OA5" s="47"/>
      </tp>
      <tp t="s">
        <v>#N/A N/A</v>
        <stp/>
        <stp>BDS|17543471974489467054</stp>
        <tr r="CM5" s="21"/>
      </tp>
      <tp t="s">
        <v>#N/A N/A</v>
        <stp/>
        <stp>BDS|14819882630547049570</stp>
        <tr r="NK5" s="27"/>
      </tp>
      <tp t="s">
        <v>#N/A N/A</v>
        <stp/>
        <stp>BDS|12773878564146660759</stp>
        <tr r="TU5" s="1"/>
      </tp>
      <tp t="s">
        <v>#N/A N/A</v>
        <stp/>
        <stp>BDS|11174766233939815180</stp>
        <tr r="JK5" s="5"/>
      </tp>
      <tp t="s">
        <v>#N/A N/A</v>
        <stp/>
        <stp>BDS|17121530254888144231</stp>
        <tr r="SA5" s="5"/>
      </tp>
      <tp t="s">
        <v>#N/A N/A</v>
        <stp/>
        <stp>BDS|13726396005865903877</stp>
        <tr r="NK5" s="17"/>
      </tp>
      <tp t="s">
        <v>#N/A N/A</v>
        <stp/>
        <stp>BDS|13623176483040294753</stp>
        <tr r="OA5" s="39"/>
      </tp>
      <tp t="s">
        <v>#N/A N/A</v>
        <stp/>
        <stp>BDS|10682375595156870197</stp>
        <tr r="HC5" s="12"/>
      </tp>
      <tp t="s">
        <v>#N/A N/A</v>
        <stp/>
        <stp>BDS|16490464976590295836</stp>
        <tr r="CM5" s="23"/>
        <tr r="QI5" s="5"/>
      </tp>
      <tp t="s">
        <v>#N/A N/A</v>
        <stp/>
        <stp>BDS|12820358831484171472</stp>
        <tr r="UI5" s="26"/>
      </tp>
      <tp t="s">
        <v>#N/A N/A</v>
        <stp/>
        <stp>BDS|12433133029723711034</stp>
        <tr r="VM5" s="29"/>
      </tp>
      <tp t="s">
        <v>#N/A N/A</v>
        <stp/>
        <stp>BDS|12953772320766085353</stp>
        <tr r="AE5" s="39"/>
      </tp>
      <tp t="s">
        <v>#N/A N/A</v>
        <stp/>
        <stp>BDS|15901112398996950922</stp>
        <tr r="IG5" s="13"/>
        <tr r="AE5" s="22"/>
      </tp>
      <tp t="s">
        <v>#N/A N/A</v>
        <stp/>
        <stp>BDS|15445335530050870740</stp>
        <tr r="QW5" s="8"/>
      </tp>
      <tp t="s">
        <v>#N/A N/A</v>
        <stp/>
        <stp>BDS|15438391050853082256</stp>
        <tr r="NK5" s="20"/>
      </tp>
      <tp t="s">
        <v>#N/A N/A</v>
        <stp/>
        <stp>BDS|13294540605357916334</stp>
        <tr r="LS5" s="9"/>
        <tr r="EU5" s="44"/>
        <tr r="BI5" s="17"/>
        <tr r="CM5" s="18"/>
        <tr r="HC5" s="25"/>
      </tp>
      <tp t="s">
        <v>#N/A N/A</v>
        <stp/>
        <stp>BDS|14622432668116370278</stp>
        <tr r="NK5" s="22"/>
      </tp>
      <tp t="s">
        <v>#N/A N/A</v>
        <stp/>
        <stp>BDS|17898231514266612009</stp>
        <tr r="O5" s="18"/>
      </tp>
      <tp t="s">
        <v>#N/A N/A</v>
        <stp/>
        <stp>BDS|14098191426092404728</stp>
        <tr r="SQ5" s="50"/>
      </tp>
      <tp t="s">
        <v>#N/A N/A</v>
        <stp/>
        <stp>BDS|13270142450551701484</stp>
        <tr r="LS5" s="49"/>
      </tp>
      <tp t="s">
        <v>#N/A N/A</v>
        <stp/>
        <stp>BDS|17321571677826897158</stp>
        <tr r="DQ5" s="11"/>
      </tp>
      <tp t="s">
        <v>#N/A N/A</v>
        <stp/>
        <stp>BDS|18280250727173805968</stp>
        <tr r="O5" s="42"/>
        <tr r="TE5" s="42"/>
      </tp>
      <tp t="s">
        <v>#N/A N/A</v>
        <stp/>
        <stp>BDS|15860553252690035710</stp>
        <tr r="LC5" s="45"/>
        <tr r="EE5" s="48"/>
      </tp>
      <tp t="s">
        <v>#N/A N/A</v>
        <stp/>
        <stp>BDS|13238170404978809866</stp>
        <tr r="QW5" s="29"/>
      </tp>
      <tp t="s">
        <v>#N/A N/A</v>
        <stp/>
        <stp>BDS|16686856196890829524</stp>
        <tr r="BW5" s="4"/>
        <tr r="SA5" s="9"/>
      </tp>
      <tp t="s">
        <v>#N/A N/A</v>
        <stp/>
        <stp>BDS|12590483293934713951</stp>
        <tr r="AS5" s="23"/>
      </tp>
      <tp t="s">
        <v>#N/A N/A</v>
        <stp/>
        <stp>BDS|14341628349945762131</stp>
        <tr r="JY5" s="7"/>
        <tr r="DA5" s="12"/>
      </tp>
      <tp t="s">
        <v>#N/A N/A</v>
        <stp/>
        <stp>BDS|17959303895839482644</stp>
        <tr r="IG5" s="41"/>
      </tp>
      <tp t="s">
        <v>#N/A N/A</v>
        <stp/>
        <stp>BDS|15542364749907578720</stp>
        <tr r="PS5" s="13"/>
      </tp>
      <tp t="s">
        <v>#N/A N/A</v>
        <stp/>
        <stp>BDS|12603448425605126345</stp>
        <tr r="TU5" s="34"/>
      </tp>
      <tp t="s">
        <v>#N/A N/A</v>
        <stp/>
        <stp>BDS|11744057310612987095</stp>
        <tr r="LS5" s="48"/>
      </tp>
      <tp t="s">
        <v>#N/A N/A</v>
        <stp/>
        <stp>BDS|15571794406925055582</stp>
        <tr r="JK5" s="37"/>
      </tp>
      <tp t="s">
        <v>#N/A N/A</v>
        <stp/>
        <stp>BDS|12754468530440396705</stp>
        <tr r="BW5" s="23"/>
      </tp>
      <tp t="s">
        <v>#N/A N/A</v>
        <stp/>
        <stp>BDS|14579759703975877494</stp>
        <tr r="BW5" s="13"/>
        <tr r="NK5" s="39"/>
        <tr r="EE5" s="40"/>
      </tp>
      <tp t="s">
        <v>#N/A N/A</v>
        <stp/>
        <stp>BDS|11512120056087219008</stp>
        <tr r="A5" s="24"/>
      </tp>
      <tp t="s">
        <v>#N/A N/A</v>
        <stp/>
        <stp>BDS|11505587250464763797</stp>
        <tr r="PE5" s="31"/>
      </tp>
      <tp t="s">
        <v>#N/A N/A</v>
        <stp/>
        <stp>BDS|16425718033268182841</stp>
        <tr r="JY5" s="35"/>
      </tp>
      <tp t="s">
        <v>#N/A N/A</v>
        <stp/>
        <stp>BDS|11550271186391528823</stp>
        <tr r="BI5" s="26"/>
        <tr r="AE5" s="33"/>
      </tp>
      <tp t="s">
        <v>#N/A N/A</v>
        <stp/>
        <stp>BDS|16789189620717788084</stp>
        <tr r="MW5" s="14"/>
      </tp>
      <tp t="s">
        <v>#N/A N/A</v>
        <stp/>
        <stp>BDS|13682846992409252935</stp>
        <tr r="DQ5" s="1"/>
      </tp>
      <tp t="s">
        <v>#N/A N/A</v>
        <stp/>
        <stp>BDS|11627903697472506157</stp>
        <tr r="EU5" s="18"/>
      </tp>
      <tp t="s">
        <v>#N/A N/A</v>
        <stp/>
        <stp>BDS|11928708159525413426</stp>
        <tr r="KO5" s="4"/>
        <tr r="AE5" s="45"/>
      </tp>
      <tp t="s">
        <v>#N/A N/A</v>
        <stp/>
        <stp>BDS|14434988275901774980</stp>
        <tr r="HC5" s="5"/>
      </tp>
      <tp t="s">
        <v>#N/A N/A</v>
        <stp/>
        <stp>BDS|14577060712802337557</stp>
        <tr r="OO5" s="36"/>
      </tp>
      <tp t="s">
        <v>#N/A N/A</v>
        <stp/>
        <stp>BDS|11028032755686517044</stp>
        <tr r="BW5" s="44"/>
      </tp>
      <tp t="s">
        <v>#N/A N/A</v>
        <stp/>
        <stp>BDS|13767523111094750140</stp>
        <tr r="BI5" s="46"/>
      </tp>
      <tp t="s">
        <v>#N/A N/A</v>
        <stp/>
        <stp>BDS|18174776097923102747</stp>
        <tr r="MG5" s="37"/>
      </tp>
      <tp t="s">
        <v>#N/A N/A</v>
        <stp/>
        <stp>BDS|11029529066779504950</stp>
        <tr r="VM5" s="34"/>
      </tp>
      <tp t="s">
        <v>#N/A N/A</v>
        <stp/>
        <stp>BDS|10313882846229078790</stp>
        <tr r="IG5" s="49"/>
      </tp>
      <tp t="s">
        <v>#N/A N/A</v>
        <stp/>
        <stp>BDS|15560868497983868585</stp>
        <tr r="TU5" s="24"/>
      </tp>
      <tp t="s">
        <v>#N/A N/A</v>
        <stp/>
        <stp>BDS|16781630902091522360</stp>
        <tr r="PE5" s="47"/>
      </tp>
      <tp t="s">
        <v>#N/A N/A</v>
        <stp/>
        <stp>BDS|11462537924657116378</stp>
        <tr r="DA5" s="39"/>
      </tp>
      <tp t="s">
        <v>#N/A N/A</v>
        <stp/>
        <stp>BDS|10633997880364989731</stp>
        <tr r="FI5" s="42"/>
      </tp>
      <tp t="s">
        <v>#N/A N/A</v>
        <stp/>
        <stp>BDS|13325101739424944766</stp>
        <tr r="QI5" s="15"/>
        <tr r="AE5" s="28"/>
      </tp>
      <tp t="s">
        <v>#N/A N/A</v>
        <stp/>
        <stp>BDS|12559003938486688411</stp>
        <tr r="EU5" s="34"/>
      </tp>
      <tp t="s">
        <v>#N/A N/A</v>
        <stp/>
        <stp>BDS|16470014858317668716</stp>
        <tr r="MW5" s="20"/>
      </tp>
      <tp t="s">
        <v>#N/A N/A</v>
        <stp/>
        <stp>BDS|15523688495939603059</stp>
        <tr r="QW5" s="36"/>
      </tp>
      <tp t="s">
        <v>#N/A N/A</v>
        <stp/>
        <stp>BDS|13435529701171807441</stp>
        <tr r="IU5" s="22"/>
      </tp>
      <tp t="s">
        <v>#N/A N/A</v>
        <stp/>
        <stp>BDS|17003129475607579598</stp>
        <tr r="QI5" s="25"/>
      </tp>
      <tp t="s">
        <v>#N/A N/A</v>
        <stp/>
        <stp>BDS|13646910483443857272</stp>
        <tr r="TU5" s="29"/>
      </tp>
      <tp t="s">
        <v>#N/A N/A</v>
        <stp/>
        <stp>BDS|18098525131965942828</stp>
        <tr r="FI5" s="37"/>
      </tp>
      <tp t="s">
        <v>#N/A N/A</v>
        <stp/>
        <stp>BDS|14015177083699937751</stp>
        <tr r="QW5" s="37"/>
      </tp>
      <tp t="s">
        <v>#N/A N/A</v>
        <stp/>
        <stp>BDS|12594297154260730612</stp>
        <tr r="UY5" s="16"/>
      </tp>
      <tp t="s">
        <v>#N/A N/A</v>
        <stp/>
        <stp>BDS|12483172319838738928</stp>
        <tr r="LC5" s="16"/>
        <tr r="JY5" s="21"/>
      </tp>
      <tp t="s">
        <v>#N/A N/A</v>
        <stp/>
        <stp>BDS|16118593367203707578</stp>
        <tr r="IU5" s="31"/>
        <tr r="AS5" s="12"/>
        <tr r="O5" s="17"/>
      </tp>
      <tp t="s">
        <v>#N/A N/A</v>
        <stp/>
        <stp>BDS|10536624461436864517</stp>
        <tr r="EU5" s="28"/>
        <tr r="HC5" s="32"/>
        <tr r="MW5" s="40"/>
      </tp>
      <tp t="s">
        <v>#N/A N/A</v>
        <stp/>
        <stp>BDS|13453246304223940127</stp>
        <tr r="FI5" s="49"/>
      </tp>
      <tp t="s">
        <v>#N/A N/A</v>
        <stp/>
        <stp>BDS|11430492157693199048</stp>
        <tr r="FY5" s="10"/>
        <tr r="RM5" s="13"/>
        <tr r="EU5" s="16"/>
        <tr r="KO5" s="23"/>
        <tr r="OA5" s="41"/>
        <tr r="PE5" s="43"/>
      </tp>
      <tp t="s">
        <v>#N/A N/A</v>
        <stp/>
        <stp>BDS|11786836298905229610</stp>
        <tr r="RM5" s="4"/>
        <tr r="KO5" s="5"/>
        <tr r="HC5" s="36"/>
      </tp>
      <tp t="s">
        <v>#N/A N/A</v>
        <stp/>
        <stp>BDS|12012032401957702692</stp>
        <tr r="AS5" s="18"/>
        <tr r="DA5" s="42"/>
      </tp>
      <tp t="s">
        <v>#N/A N/A</v>
        <stp/>
        <stp>BDS|17602174636140815636</stp>
        <tr r="DQ5" s="48"/>
        <tr r="KO5" s="45"/>
      </tp>
      <tp t="s">
        <v>#N/A N/A</v>
        <stp/>
        <stp>BDS|16917404317857744758</stp>
        <tr r="MW5" s="27"/>
      </tp>
      <tp t="s">
        <v>#N/A N/A</v>
        <stp/>
        <stp>BDS|11415488224415431110</stp>
        <tr r="MG5" s="22"/>
      </tp>
      <tp t="s">
        <v>#N/A N/A</v>
        <stp/>
        <stp>BDS|10814214164852573557</stp>
        <tr r="RM5" s="19"/>
      </tp>
      <tp t="s">
        <v>#N/A N/A</v>
        <stp/>
        <stp>BDS|10994590819016139156</stp>
        <tr r="HQ5" s="10"/>
        <tr r="IU5" s="9"/>
      </tp>
      <tp t="s">
        <v>#N/A N/A</v>
        <stp/>
        <stp>BDS|11445142223779912871</stp>
        <tr r="PE5" s="42"/>
      </tp>
      <tp t="s">
        <v>#N/A N/A</v>
        <stp/>
        <stp>BDS|12580607421007583235</stp>
        <tr r="TE5" s="47"/>
      </tp>
      <tp t="s">
        <v>#N/A N/A</v>
        <stp/>
        <stp>BDS|12663290858520750621</stp>
        <tr r="PS5" s="32"/>
      </tp>
      <tp t="s">
        <v>#N/A N/A</v>
        <stp/>
        <stp>BDS|12731876704418777103</stp>
        <tr r="GM5" s="25"/>
      </tp>
      <tp t="s">
        <v>#N/A N/A</v>
        <stp/>
        <stp>BDS|11319329182909522057</stp>
        <tr r="AS5" s="47"/>
      </tp>
      <tp t="s">
        <v>#N/A N/A</v>
        <stp/>
        <stp>BDS|16750158145547603714</stp>
        <tr r="SA5" s="20"/>
      </tp>
      <tp t="s">
        <v>#N/A N/A</v>
        <stp/>
        <stp>BDS|15880101879949266935</stp>
        <tr r="HC5" s="41"/>
      </tp>
      <tp t="s">
        <v>#N/A N/A</v>
        <stp/>
        <stp>BDS|11082387106918604985</stp>
        <tr r="TU5" s="40"/>
      </tp>
      <tp t="s">
        <v>#N/A N/A</v>
        <stp/>
        <stp>BDS|11658812198295963660</stp>
        <tr r="GM5" s="40"/>
      </tp>
      <tp t="s">
        <v>#N/A N/A</v>
        <stp/>
        <stp>BDS|15208305030140171636</stp>
        <tr r="O5" s="37"/>
        <tr r="SA5" s="14"/>
        <tr r="BW5" s="45"/>
        <tr r="VM5" s="50"/>
        <tr r="JY5" s="19"/>
        <tr r="IU5" s="37"/>
        <tr r="O5" s="49"/>
      </tp>
      <tp t="s">
        <v>#N/A N/A</v>
        <stp/>
        <stp>BDS|14738996085087883138</stp>
        <tr r="GM5" s="1"/>
      </tp>
      <tp t="s">
        <v>#N/A N/A</v>
        <stp/>
        <stp>BDS|13220339287289737200</stp>
        <tr r="MG5" s="13"/>
      </tp>
      <tp t="s">
        <v>#N/A N/A</v>
        <stp/>
        <stp>BDS|10767491614022889437</stp>
        <tr r="TU5" s="5"/>
      </tp>
      <tp t="s">
        <v>#N/A N/A</v>
        <stp/>
        <stp>BDS|12122150677387403061</stp>
        <tr r="BW5" s="50"/>
      </tp>
      <tp t="s">
        <v>#N/A N/A</v>
        <stp/>
        <stp>BDS|12729666076300512032</stp>
        <tr r="VM5" s="22"/>
      </tp>
      <tp t="s">
        <v>#N/A N/A</v>
        <stp/>
        <stp>BDS|10772066838243675398</stp>
        <tr r="SA5" s="24"/>
      </tp>
      <tp t="s">
        <v>#N/A N/A</v>
        <stp/>
        <stp>BDS|15654372318674966064</stp>
        <tr r="TU5" s="45"/>
      </tp>
      <tp t="s">
        <v>#N/A N/A</v>
        <stp/>
        <stp>BDS|15255436249654800267</stp>
        <tr r="DA5" s="5"/>
      </tp>
      <tp t="s">
        <v>#N/A N/A</v>
        <stp/>
        <stp>BDS|17792632432049236833</stp>
        <tr r="A5" s="3"/>
      </tp>
      <tp t="s">
        <v>#N/A N/A</v>
        <stp/>
        <stp>BDS|16369331006440924683</stp>
        <tr r="OA5" s="24"/>
      </tp>
      <tp t="s">
        <v>#N/A N/A</v>
        <stp/>
        <stp>BDS|12095494046364882506</stp>
        <tr r="TE5" s="11"/>
      </tp>
      <tp t="s">
        <v>#N/A N/A</v>
        <stp/>
        <stp>BDS|14971688642944667127</stp>
        <tr r="PS5" s="14"/>
      </tp>
      <tp t="s">
        <v>#N/A N/A</v>
        <stp/>
        <stp>BDS|13152431645114836481</stp>
        <tr r="UY5" s="30"/>
      </tp>
      <tp t="s">
        <v>#N/A N/A</v>
        <stp/>
        <stp>BDS|12045586089944590809</stp>
        <tr r="HQ5" s="15"/>
      </tp>
      <tp t="s">
        <v>#N/A N/A</v>
        <stp/>
        <stp>BDS|16969149656236692796</stp>
        <tr r="LS5" s="37"/>
      </tp>
      <tp t="s">
        <v>#N/A N/A</v>
        <stp/>
        <stp>BDS|15123434873872799727</stp>
        <tr r="QI5" s="7"/>
      </tp>
      <tp t="s">
        <v>#N/A N/A</v>
        <stp/>
        <stp>BDS|18214956770733585668</stp>
        <tr r="JK5" s="29"/>
      </tp>
      <tp t="s">
        <v>#N/A N/A</v>
        <stp/>
        <stp>BDS|18018854774340597409</stp>
        <tr r="AS5" s="9"/>
        <tr r="FI5" s="14"/>
        <tr r="EE5" s="29"/>
      </tp>
      <tp t="s">
        <v>#N/A N/A</v>
        <stp/>
        <stp>BDS|10948742044600529084</stp>
        <tr r="MG5" s="8"/>
      </tp>
      <tp t="s">
        <v>#N/A N/A</v>
        <stp/>
        <stp>BDS|17526162064296436575</stp>
        <tr r="SA5" s="16"/>
      </tp>
      <tp t="s">
        <v>#N/A N/A</v>
        <stp/>
        <stp>BDS|13614707641750131339</stp>
        <tr r="UI5" s="25"/>
      </tp>
      <tp t="s">
        <v>#N/A N/A</v>
        <stp/>
        <stp>BDS|13138547164924025747</stp>
        <tr r="CM5" s="1"/>
      </tp>
      <tp t="s">
        <v>#N/A N/A</v>
        <stp/>
        <stp>BDS|15573734456976500205</stp>
        <tr r="NK5" s="31"/>
      </tp>
      <tp t="s">
        <v>#N/A N/A</v>
        <stp/>
        <stp>BDS|13937518759946641628</stp>
        <tr r="HQ5" s="1"/>
        <tr r="IU5" s="27"/>
      </tp>
      <tp t="s">
        <v>#N/A N/A</v>
        <stp/>
        <stp>BDS|16591779626628623876</stp>
        <tr r="FI5" s="35"/>
      </tp>
      <tp t="s">
        <v>#N/A N/A</v>
        <stp/>
        <stp>BDS|12585232107781593213</stp>
        <tr r="FI5" s="13"/>
        <tr r="GM5" s="11"/>
        <tr r="EE5" s="35"/>
      </tp>
      <tp t="s">
        <v>#N/A N/A</v>
        <stp/>
        <stp>BDS|13283173024895357670</stp>
        <tr r="BI5" s="15"/>
      </tp>
      <tp t="s">
        <v>#N/A N/A</v>
        <stp/>
        <stp>BDS|11674387143307190161</stp>
        <tr r="HQ5" s="34"/>
      </tp>
      <tp t="s">
        <v>#N/A N/A</v>
        <stp/>
        <stp>BDS|14959336446692190174</stp>
        <tr r="IG5" s="2"/>
      </tp>
      <tp t="s">
        <v>#N/A N/A</v>
        <stp/>
        <stp>BDS|13827037910504439655</stp>
        <tr r="AS5" s="50"/>
        <tr r="VM5" s="40"/>
      </tp>
      <tp t="s">
        <v>#N/A N/A</v>
        <stp/>
        <stp>BDS|11715780562088728813</stp>
        <tr r="LC5" s="34"/>
      </tp>
      <tp t="s">
        <v>#N/A N/A</v>
        <stp/>
        <stp>BDS|14213677528834449412</stp>
        <tr r="OO5" s="19"/>
      </tp>
      <tp t="s">
        <v>#N/A N/A</v>
        <stp/>
        <stp>BDS|11555075245084801172</stp>
        <tr r="IU5" s="30"/>
      </tp>
      <tp t="s">
        <v>#N/A N/A</v>
        <stp/>
        <stp>BDS|16351561279281187559</stp>
        <tr r="QI5" s="21"/>
      </tp>
      <tp t="s">
        <v>#N/A N/A</v>
        <stp/>
        <stp>BDS|11378562291495929857</stp>
        <tr r="EU5" s="1"/>
      </tp>
      <tp t="s">
        <v>#N/A N/A</v>
        <stp/>
        <stp>BDS|17399235988848251534</stp>
        <tr r="AS5" s="7"/>
      </tp>
      <tp t="s">
        <v>#N/A N/A</v>
        <stp/>
        <stp>BDS|14690112726912115597</stp>
        <tr r="NK5" s="5"/>
        <tr r="EE5" s="45"/>
      </tp>
      <tp t="s">
        <v>#N/A N/A</v>
        <stp/>
        <stp>BDS|17377268648673335204</stp>
        <tr r="HC5" s="39"/>
      </tp>
      <tp t="s">
        <v>#N/A N/A</v>
        <stp/>
        <stp>BDS|18359912866030835725</stp>
        <tr r="BW5" s="2"/>
        <tr r="EE5" s="36"/>
      </tp>
      <tp t="s">
        <v>#N/A N/A</v>
        <stp/>
        <stp>BDS|17828081936932064695</stp>
        <tr r="FI5" s="30"/>
      </tp>
      <tp t="s">
        <v>#N/A N/A</v>
        <stp/>
        <stp>BDS|16405337912792849625</stp>
        <tr r="TU5" s="11"/>
        <tr r="MW5" s="23"/>
        <tr r="SQ5" s="38"/>
      </tp>
      <tp t="s">
        <v>#N/A N/A</v>
        <stp/>
        <stp>BDS|16460679444251369580</stp>
        <tr r="GM5" s="42"/>
      </tp>
      <tp t="s">
        <v>#N/A N/A</v>
        <stp/>
        <stp>BDS|17061138247973051186</stp>
        <tr r="SA5" s="41"/>
      </tp>
      <tp t="s">
        <v>#N/A N/A</v>
        <stp/>
        <stp>BDS|11309590534480492775</stp>
        <tr r="VM5" s="33"/>
        <tr r="PS5" s="34"/>
        <tr r="MG5" s="41"/>
      </tp>
      <tp t="s">
        <v>#N/A N/A</v>
        <stp/>
        <stp>BDS|15122487502919183879</stp>
        <tr r="EE5" s="22"/>
        <tr r="QW5" s="40"/>
        <tr r="FI5" s="43"/>
      </tp>
      <tp t="s">
        <v>#N/A N/A</v>
        <stp/>
        <stp>BDS|12542104162542956736</stp>
        <tr r="VM5" s="42"/>
      </tp>
      <tp t="s">
        <v>#N/A N/A</v>
        <stp/>
        <stp>BDS|10128236871046045314</stp>
        <tr r="FI5" s="6"/>
      </tp>
      <tp t="s">
        <v>#N/A N/A</v>
        <stp/>
        <stp>BDS|16113331840424067518</stp>
        <tr r="EU5" s="33"/>
      </tp>
      <tp t="s">
        <v>#N/A N/A</v>
        <stp/>
        <stp>BDS|14987484527142069052</stp>
        <tr r="SQ5" s="1"/>
      </tp>
      <tp t="s">
        <v>#N/A N/A</v>
        <stp/>
        <stp>BDS|15798714839745489482</stp>
        <tr r="O5" s="34"/>
        <tr r="DA5" s="10"/>
        <tr r="NK5" s="34"/>
      </tp>
      <tp t="s">
        <v>#N/A N/A</v>
        <stp/>
        <stp>BDS|11342843029069851252</stp>
        <tr r="AS5" s="25"/>
      </tp>
      <tp t="s">
        <v>#N/A N/A</v>
        <stp/>
        <stp>BDS|18331274987877513559</stp>
        <tr r="JK5" s="33"/>
      </tp>
      <tp t="s">
        <v>#N/A N/A</v>
        <stp/>
        <stp>BDS|12405462201533692554</stp>
        <tr r="JK5" s="16"/>
      </tp>
      <tp t="s">
        <v>#N/A N/A</v>
        <stp/>
        <stp>BDS|12853696204844141043</stp>
        <tr r="OO5" s="37"/>
      </tp>
      <tp t="s">
        <v>#N/A N/A</v>
        <stp/>
        <stp>BDS|18190136724762494923</stp>
        <tr r="PS5" s="3"/>
      </tp>
      <tp t="s">
        <v>#N/A N/A</v>
        <stp/>
        <stp>BDS|16209114462775449455</stp>
        <tr r="AS5" s="27"/>
      </tp>
      <tp t="s">
        <v>#N/A N/A</v>
        <stp/>
        <stp>BDS|11104233939025921525</stp>
        <tr r="DQ5" s="31"/>
      </tp>
      <tp t="s">
        <v>#N/A N/A</v>
        <stp/>
        <stp>BDS|11639205043200603730</stp>
        <tr r="EU5" s="50"/>
      </tp>
      <tp t="s">
        <v>#N/A N/A</v>
        <stp/>
        <stp>BDS|15066516074991440606</stp>
        <tr r="NK5" s="16"/>
      </tp>
      <tp t="s">
        <v>#N/A N/A</v>
        <stp/>
        <stp>BDS|16194621377627128042</stp>
        <tr r="SA5" s="10"/>
      </tp>
      <tp t="s">
        <v>#N/A N/A</v>
        <stp/>
        <stp>BDS|13949461359950381247</stp>
        <tr r="FI5" s="21"/>
      </tp>
      <tp t="s">
        <v>#N/A N/A</v>
        <stp/>
        <stp>BDS|16376120921395549045</stp>
        <tr r="EE5" s="33"/>
      </tp>
      <tp t="s">
        <v>#N/A N/A</v>
        <stp/>
        <stp>BDS|15030134384348366457</stp>
        <tr r="IU5" s="41"/>
      </tp>
      <tp t="s">
        <v>#N/A N/A</v>
        <stp/>
        <stp>BDS|12647272964015772348</stp>
        <tr r="MG5" s="4"/>
      </tp>
      <tp t="s">
        <v>#N/A N/A</v>
        <stp/>
        <stp>BDS|16962420056721967620</stp>
        <tr r="KO5" s="41"/>
        <tr r="OA5" s="40"/>
      </tp>
      <tp t="s">
        <v>#N/A N/A</v>
        <stp/>
        <stp>BDS|11511033237854788619</stp>
        <tr r="DQ5" s="3"/>
      </tp>
      <tp t="s">
        <v>#N/A N/A</v>
        <stp/>
        <stp>BDS|16460389987504913952</stp>
        <tr r="CM5" s="33"/>
        <tr r="CM5" s="28"/>
        <tr r="BI5" s="49"/>
      </tp>
      <tp t="s">
        <v>#N/A N/A</v>
        <stp/>
        <stp>BDS|10712485538877360033</stp>
        <tr r="JY5" s="8"/>
      </tp>
      <tp t="s">
        <v>#N/A N/A</v>
        <stp/>
        <stp>BDS|18056898606418117897</stp>
        <tr r="TE5" s="24"/>
      </tp>
      <tp t="s">
        <v>#N/A N/A</v>
        <stp/>
        <stp>BDS|12961460900783819503</stp>
        <tr r="HQ5" s="39"/>
      </tp>
      <tp t="s">
        <v>#N/A N/A</v>
        <stp/>
        <stp>BDS|16872553966372831745</stp>
        <tr r="JK5" s="1"/>
      </tp>
      <tp t="s">
        <v>#N/A N/A</v>
        <stp/>
        <stp>BDS|13320299728775789600</stp>
        <tr r="RM5" s="39"/>
      </tp>
      <tp t="s">
        <v>#N/A N/A</v>
        <stp/>
        <stp>BDS|10532562578124296730</stp>
        <tr r="O5" s="36"/>
      </tp>
      <tp t="s">
        <v>#N/A N/A</v>
        <stp/>
        <stp>BDS|14396279708732189571</stp>
        <tr r="A5" s="45"/>
      </tp>
      <tp t="s">
        <v>#N/A N/A</v>
        <stp/>
        <stp>BDS|17948270343063329348</stp>
        <tr r="MG5" s="9"/>
        <tr r="BW5" s="17"/>
        <tr r="FI5" s="44"/>
        <tr r="HQ5" s="25"/>
        <tr r="DA5" s="18"/>
      </tp>
      <tp t="s">
        <v>#N/A N/A</v>
        <stp/>
        <stp>BDS|15875883652528833103</stp>
        <tr r="OO5" s="45"/>
      </tp>
      <tp t="s">
        <v>#N/A N/A</v>
        <stp/>
        <stp>BDS|16964627172193501578</stp>
        <tr r="MW5" s="15"/>
      </tp>
      <tp t="s">
        <v>#N/A N/A</v>
        <stp/>
        <stp>BDS|14776393076463140226</stp>
        <tr r="DA5" s="40"/>
      </tp>
      <tp t="s">
        <v>#N/A N/A</v>
        <stp/>
        <stp>BDS|12565428028885740036</stp>
        <tr r="FY5" s="21"/>
      </tp>
      <tp t="s">
        <v>#N/A N/A</v>
        <stp/>
        <stp>BDS|17063208808766254227</stp>
        <tr r="MG5" s="15"/>
      </tp>
      <tp t="s">
        <v>#N/A N/A</v>
        <stp/>
        <stp>BDS|18418222488681480226</stp>
        <tr r="BW5" s="32"/>
      </tp>
      <tp t="s">
        <v>#N/A N/A</v>
        <stp/>
        <stp>BDS|13616265378933717475</stp>
        <tr r="SQ5" s="25"/>
        <tr r="KO5" s="32"/>
      </tp>
      <tp t="s">
        <v>#N/A N/A</v>
        <stp/>
        <stp>BDS|12037678818881162565</stp>
        <tr r="TE5" s="20"/>
      </tp>
      <tp t="s">
        <v>#N/A N/A</v>
        <stp/>
        <stp>BDS|11985606500996638074</stp>
        <tr r="TE5" s="14"/>
      </tp>
      <tp t="s">
        <v>#N/A N/A</v>
        <stp/>
        <stp>BDS|13134186037214934498</stp>
        <tr r="DA5" s="36"/>
        <tr r="JY5" s="38"/>
      </tp>
      <tp t="s">
        <v>#N/A N/A</v>
        <stp/>
        <stp>BDS|10168728389468514608</stp>
        <tr r="AE5" s="6"/>
      </tp>
      <tp t="s">
        <v>#N/A N/A</v>
        <stp/>
        <stp>BDS|13660599833705239118</stp>
        <tr r="O5" s="20"/>
      </tp>
      <tp t="s">
        <v>#N/A N/A</v>
        <stp/>
        <stp>BDS|15993228172090166173</stp>
        <tr r="DA5" s="33"/>
        <tr r="DA5" s="28"/>
        <tr r="BW5" s="49"/>
      </tp>
      <tp t="s">
        <v>#N/A N/A</v>
        <stp/>
        <stp>BDS|17884545880808984387</stp>
        <tr r="UI5" s="14"/>
      </tp>
      <tp t="s">
        <v>#N/A N/A</v>
        <stp/>
        <stp>BDS|15247764439879088909</stp>
        <tr r="QI5" s="10"/>
      </tp>
      <tp t="s">
        <v>#N/A N/A</v>
        <stp/>
        <stp>BDS|17652183553891856388</stp>
        <tr r="JK5" s="24"/>
      </tp>
      <tp t="s">
        <v>#N/A N/A</v>
        <stp/>
        <stp>BDS|17219422281568050238</stp>
        <tr r="HQ5" s="42"/>
      </tp>
      <tp t="s">
        <v>#N/A N/A</v>
        <stp/>
        <stp>BDS|18399703751359436243</stp>
        <tr r="BW5" s="15"/>
      </tp>
      <tp t="s">
        <v>#N/A N/A</v>
        <stp/>
        <stp>BDS|12724534776331734079</stp>
        <tr r="GM5" s="49"/>
      </tp>
      <tp t="s">
        <v>#N/A N/A</v>
        <stp/>
        <stp>BDS|12853632846639983867</stp>
        <tr r="AE5" s="43"/>
      </tp>
      <tp t="s">
        <v>#N/A N/A</v>
        <stp/>
        <stp>BDS|11571141554782122661</stp>
        <tr r="LS5" s="24"/>
      </tp>
      <tp t="s">
        <v>#N/A N/A</v>
        <stp/>
        <stp>BDS|12139002193453324928</stp>
        <tr r="A5" s="10"/>
        <tr r="PE5" s="35"/>
      </tp>
      <tp t="s">
        <v>#N/A N/A</v>
        <stp/>
        <stp>BDS|11759336072073342769</stp>
        <tr r="JY5" s="29"/>
      </tp>
      <tp t="s">
        <v>#N/A N/A</v>
        <stp/>
        <stp>BDS|14935587111340403147</stp>
        <tr r="AS5" s="17"/>
      </tp>
      <tp t="s">
        <v>#N/A N/A</v>
        <stp/>
        <stp>BDS|14893562666166002090</stp>
        <tr r="A5" s="21"/>
      </tp>
      <tp t="s">
        <v>#N/A N/A</v>
        <stp/>
        <stp>BDS|18368747684140234600</stp>
        <tr r="TU5" s="49"/>
      </tp>
      <tp t="s">
        <v>#N/A N/A</v>
        <stp/>
        <stp>BDS|14630584729034567631</stp>
        <tr r="TE5" s="29"/>
      </tp>
      <tp t="s">
        <v>#N/A N/A</v>
        <stp/>
        <stp>BDS|10243730287776124866</stp>
        <tr r="BI5" s="2"/>
        <tr r="DQ5" s="36"/>
      </tp>
      <tp t="s">
        <v>#N/A N/A</v>
        <stp/>
        <stp>BDS|14980844808898436501</stp>
        <tr r="SQ5" s="39"/>
      </tp>
      <tp t="s">
        <v>#N/A N/A</v>
        <stp/>
        <stp>BDS|17374615067680154655</stp>
        <tr r="AS5" s="43"/>
      </tp>
      <tp t="s">
        <v>#N/A N/A</v>
        <stp/>
        <stp>BDS|11967051568423675542</stp>
        <tr r="OO5" s="3"/>
      </tp>
      <tp t="s">
        <v>#N/A N/A</v>
        <stp/>
        <stp>BDS|17318112364455531451</stp>
        <tr r="TE5" s="2"/>
      </tp>
      <tp t="s">
        <v>#N/A N/A</v>
        <stp/>
        <stp>BDS|10478083109695373400</stp>
        <tr r="FI5" s="15"/>
      </tp>
      <tp t="s">
        <v>#N/A N/A</v>
        <stp/>
        <stp>BDS|15790687256772615587</stp>
        <tr r="SA5" s="27"/>
      </tp>
      <tp t="s">
        <v>#N/A N/A</v>
        <stp/>
        <stp>BDS|15761702409677801421</stp>
        <tr r="SA5" s="18"/>
        <tr r="OO5" s="35"/>
      </tp>
      <tp t="s">
        <v>#N/A N/A</v>
        <stp/>
        <stp>BDS|11087808288024505493</stp>
        <tr r="GM5" s="4"/>
      </tp>
      <tp t="s">
        <v>#N/A N/A</v>
        <stp/>
        <stp>BDS|14832760363165976107</stp>
        <tr r="QI5" s="34"/>
      </tp>
      <tp t="s">
        <v>#N/A N/A</v>
        <stp/>
        <stp>BDS|16289232348786959757</stp>
        <tr r="QW5" s="44"/>
      </tp>
      <tp t="s">
        <v>#N/A N/A</v>
        <stp/>
        <stp>BDS|13641731555154054450</stp>
        <tr r="QI5" s="20"/>
      </tp>
      <tp t="s">
        <v>#N/A N/A</v>
        <stp/>
        <stp>BDS|17824495769051507275</stp>
        <tr r="EU5" s="5"/>
      </tp>
      <tp t="s">
        <v>#N/A N/A</v>
        <stp/>
        <stp>BDS|14023213353322812701</stp>
        <tr r="FY5" s="34"/>
      </tp>
      <tp t="s">
        <v>#N/A N/A</v>
        <stp/>
        <stp>BDS|13341680524594144544</stp>
        <tr r="KO5" s="17"/>
        <tr r="TU5" s="30"/>
      </tp>
      <tp t="s">
        <v>#N/A N/A</v>
        <stp/>
        <stp>BDS|15393134299722109905</stp>
        <tr r="BW5" s="35"/>
        <tr r="SA5" s="47"/>
      </tp>
      <tp t="s">
        <v>#N/A N/A</v>
        <stp/>
        <stp>BDS|10786697668413882567</stp>
        <tr r="KO5" s="9"/>
      </tp>
      <tp t="s">
        <v>#N/A N/A</v>
        <stp/>
        <stp>BDS|15871201732202650059</stp>
        <tr r="BW5" s="14"/>
        <tr r="NK5" s="32"/>
      </tp>
      <tp t="s">
        <v>#N/A N/A</v>
        <stp/>
        <stp>BDS|13661799400003706111</stp>
        <tr r="OO5" s="33"/>
      </tp>
      <tp t="s">
        <v>#N/A N/A</v>
        <stp/>
        <stp>BDS|15050014229679230832</stp>
        <tr r="FI5" s="5"/>
      </tp>
      <tp t="s">
        <v>#N/A N/A</v>
        <stp/>
        <stp>BDS|15135036754233641597</stp>
        <tr r="EU5" s="35"/>
      </tp>
      <tp t="s">
        <v>#N/A N/A</v>
        <stp/>
        <stp>BDS|10097737178014215261</stp>
        <tr r="UY5" s="29"/>
      </tp>
      <tp t="s">
        <v>#N/A N/A</v>
        <stp/>
        <stp>BDS|17521020785949998041</stp>
        <tr r="TU5" s="28"/>
        <tr r="UY5" s="49"/>
      </tp>
      <tp t="s">
        <v>#N/A N/A</v>
        <stp/>
        <stp>BDS|13103700178041571434</stp>
        <tr r="AS5" s="24"/>
      </tp>
      <tp t="s">
        <v>#N/A N/A</v>
        <stp/>
        <stp>BDS|14917208940656258270</stp>
        <tr r="UY5" s="27"/>
      </tp>
      <tp t="s">
        <v>#N/A N/A</v>
        <stp/>
        <stp>BDS|12393023902625648194</stp>
        <tr r="EU5" s="48"/>
      </tp>
      <tp t="s">
        <v>#N/A N/A</v>
        <stp/>
        <stp>BDS|13264397024370209400</stp>
        <tr r="MW5" s="13"/>
      </tp>
      <tp t="s">
        <v>#N/A N/A</v>
        <stp/>
        <stp>BDS|17149621018722572430</stp>
        <tr r="JK5" s="8"/>
      </tp>
      <tp t="s">
        <v>#N/A N/A</v>
        <stp/>
        <stp>BDS|11804771698440096957</stp>
        <tr r="TU5" s="14"/>
      </tp>
      <tp t="s">
        <v>#N/A N/A</v>
        <stp/>
        <stp>BDS|16904841695437995631</stp>
        <tr r="DA5" s="2"/>
      </tp>
      <tp t="s">
        <v>#N/A N/A</v>
        <stp/>
        <stp>BDS|14121207525096156470</stp>
        <tr r="OA5" s="45"/>
      </tp>
      <tp t="s">
        <v>#N/A N/A</v>
        <stp/>
        <stp>BDS|10834559613237991555</stp>
        <tr r="JY5" s="50"/>
        <tr r="EE5" s="21"/>
      </tp>
      <tp t="s">
        <v>#N/A N/A</v>
        <stp/>
        <stp>BDS|15739451117761641707</stp>
        <tr r="BI5" s="28"/>
      </tp>
      <tp t="s">
        <v>#N/A N/A</v>
        <stp/>
        <stp>BDS|18403893004925899327</stp>
        <tr r="A5" s="11"/>
      </tp>
      <tp t="s">
        <v>#N/A N/A</v>
        <stp/>
        <stp>BDS|10266581163712180781</stp>
        <tr r="BW5" s="46"/>
      </tp>
      <tp t="s">
        <v>#N/A N/A</v>
        <stp/>
        <stp>BDS|15325016340603594473</stp>
        <tr r="QW5" s="12"/>
      </tp>
      <tp t="s">
        <v>#N/A N/A</v>
        <stp/>
        <stp>BDS|11048561336330107112</stp>
        <tr r="LC5" s="21"/>
      </tp>
      <tp t="s">
        <v>#N/A N/A</v>
        <stp/>
        <stp>BDS|13713730342521156764</stp>
        <tr r="JY5" s="44"/>
      </tp>
      <tp t="s">
        <v>#N/A N/A</v>
        <stp/>
        <stp>BDS|16340474816516062349</stp>
        <tr r="EE5" s="2"/>
      </tp>
      <tp t="s">
        <v>#N/A N/A</v>
        <stp/>
        <stp>BDS|13113424160666244174</stp>
        <tr r="LS5" s="3"/>
      </tp>
      <tp t="s">
        <v>#N/A N/A</v>
        <stp/>
        <stp>BDS|17839454641445806423</stp>
        <tr r="OO5" s="13"/>
        <tr r="PS5" s="19"/>
        <tr r="TE5" s="48"/>
        <tr r="HQ5" s="23"/>
        <tr r="OO5" s="25"/>
        <tr r="LC5" s="29"/>
        <tr r="VM5" s="38"/>
        <tr r="EE5" s="12"/>
        <tr r="QW5" s="45"/>
      </tp>
      <tp t="s">
        <v>#N/A N/A</v>
        <stp/>
        <stp>BDS|10626165173428562805</stp>
        <tr r="HC5" s="24"/>
      </tp>
      <tp t="s">
        <v>#N/A N/A</v>
        <stp/>
        <stp>BDS|13547137212393364610</stp>
        <tr r="PS5" s="38"/>
      </tp>
      <tp t="s">
        <v>#N/A N/A</v>
        <stp/>
        <stp>BDS|11886692373001274770</stp>
        <tr r="RM5" s="38"/>
      </tp>
      <tp t="s">
        <v>#N/A N/A</v>
        <stp/>
        <stp>BDS|16714260588543536989</stp>
        <tr r="EE5" s="16"/>
        <tr r="PS5" s="17"/>
        <tr r="AS5" s="13"/>
        <tr r="O5" s="22"/>
        <tr r="VM5" s="28"/>
        <tr r="BW5" s="33"/>
        <tr r="HQ5" s="33"/>
        <tr r="IU5" s="3"/>
        <tr r="GM5" s="37"/>
        <tr r="NK5" s="38"/>
        <tr r="QW5" s="4"/>
        <tr r="TE5" s="44"/>
      </tp>
      <tp t="s">
        <v>#N/A N/A</v>
        <stp/>
        <stp>BDS|11071689526096867525</stp>
        <tr r="HQ5" s="48"/>
      </tp>
      <tp t="s">
        <v>#N/A N/A</v>
        <stp/>
        <stp>BDS|11796963085017362130</stp>
        <tr r="KO5" s="16"/>
        <tr r="JK5" s="21"/>
      </tp>
      <tp t="s">
        <v>#N/A N/A</v>
        <stp/>
        <stp>BDS|13568147756281199033</stp>
        <tr r="PS5" s="25"/>
      </tp>
      <tp t="s">
        <v>#N/A N/A</v>
        <stp/>
        <stp>BDS|14830306598068048059</stp>
        <tr r="MW5" s="8"/>
      </tp>
      <tp t="s">
        <v>#N/A N/A</v>
        <stp/>
        <stp>BDS|18214357855009065170</stp>
        <tr r="DA5" s="46"/>
      </tp>
      <tp t="s">
        <v>#N/A N/A</v>
        <stp/>
        <stp>BDS|10440450400025624726</stp>
        <tr r="FY5" s="16"/>
        <tr r="IG5" s="25"/>
      </tp>
      <tp t="s">
        <v>#N/A N/A</v>
        <stp/>
        <stp>BDS|14430969654158482789</stp>
        <tr r="QW5" s="21"/>
      </tp>
      <tp t="s">
        <v>#N/A N/A</v>
        <stp/>
        <stp>BDS|14056268710786487683</stp>
        <tr r="BW5" s="31"/>
      </tp>
      <tp t="s">
        <v>#N/A N/A</v>
        <stp/>
        <stp>BDS|16883336119346198593</stp>
        <tr r="VM5" s="17"/>
      </tp>
      <tp t="s">
        <v>#N/A N/A</v>
        <stp/>
        <stp>BDS|11585690029896605496</stp>
        <tr r="FY5" s="46"/>
      </tp>
      <tp t="s">
        <v>#N/A N/A</v>
        <stp/>
        <stp>BDS|16860725467208405828</stp>
        <tr r="QW5" s="23"/>
      </tp>
      <tp t="s">
        <v>#N/A N/A</v>
        <stp/>
        <stp>BDS|17933096022444825616</stp>
        <tr r="DA5" s="30"/>
      </tp>
      <tp t="s">
        <v>#N/A N/A</v>
        <stp/>
        <stp>BDS|10715481932553595304</stp>
        <tr r="QW5" s="10"/>
      </tp>
      <tp t="s">
        <v>#N/A N/A</v>
        <stp/>
        <stp>BDS|13597588201836724733</stp>
        <tr r="JK5" s="27"/>
      </tp>
      <tp t="s">
        <v>#N/A N/A</v>
        <stp/>
        <stp>BDS|17459529911874850071</stp>
        <tr r="GM5" s="15"/>
        <tr r="TE5" s="32"/>
      </tp>
      <tp t="s">
        <v>#N/A N/A</v>
        <stp/>
        <stp>BDS|11620288508487693382</stp>
        <tr r="LC5" s="39"/>
      </tp>
      <tp t="s">
        <v>#N/A N/A</v>
        <stp/>
        <stp>BDS|13538822499204024165</stp>
        <tr r="GM5" s="5"/>
        <tr r="VM5" s="24"/>
        <tr r="O5" s="25"/>
      </tp>
      <tp t="s">
        <v>#N/A N/A</v>
        <stp/>
        <stp>BDS|11050710078354368239</stp>
        <tr r="PE5" s="16"/>
      </tp>
      <tp t="s">
        <v>#N/A N/A</v>
        <stp/>
        <stp>BDS|11967433339729296883</stp>
        <tr r="TE5" s="10"/>
      </tp>
      <tp t="s">
        <v>#N/A N/A</v>
        <stp/>
        <stp>BDS|13365441978497013065</stp>
        <tr r="QI5" s="48"/>
      </tp>
      <tp t="s">
        <v>#N/A N/A</v>
        <stp/>
        <stp>BDS|16850811856629318554</stp>
        <tr r="BI5" s="25"/>
        <tr r="TU5" s="23"/>
      </tp>
      <tp t="s">
        <v>#N/A N/A</v>
        <stp/>
        <stp>BDS|15458674616394553193</stp>
        <tr r="JK5" s="48"/>
      </tp>
      <tp t="s">
        <v>#N/A N/A</v>
        <stp/>
        <stp>BDS|12574136713322947726</stp>
        <tr r="LS5" s="13"/>
      </tp>
      <tp t="s">
        <v>#N/A N/A</v>
        <stp/>
        <stp>BDS|12928501504327373701</stp>
        <tr r="MG5" s="35"/>
      </tp>
      <tp t="s">
        <v>#N/A N/A</v>
        <stp/>
        <stp>BDS|12519481323177805485</stp>
        <tr r="HC5" s="20"/>
      </tp>
      <tp t="s">
        <v>#N/A N/A</v>
        <stp/>
        <stp>BDS|18202599891472518100</stp>
        <tr r="A5" s="48"/>
      </tp>
      <tp t="s">
        <v>#N/A N/A</v>
        <stp/>
        <stp>BDS|13084708810195678794</stp>
        <tr r="DQ5" s="46"/>
      </tp>
      <tp t="s">
        <v>#N/A N/A</v>
        <stp/>
        <stp>BDS|15329053378992621741</stp>
        <tr r="LS5" s="42"/>
      </tp>
      <tp t="s">
        <v>#N/A N/A</v>
        <stp/>
        <stp>BDS|10355186096077946888</stp>
        <tr r="BI5" s="21"/>
      </tp>
      <tp t="s">
        <v>#N/A N/A</v>
        <stp/>
        <stp>BDS|10793750728236643400</stp>
        <tr r="NK5" s="13"/>
      </tp>
      <tp t="s">
        <v>#N/A N/A</v>
        <stp/>
        <stp>BDS|17522130788160569976</stp>
        <tr r="FI5" s="3"/>
        <tr r="AS5" s="49"/>
      </tp>
      <tp t="s">
        <v>#N/A N/A</v>
        <stp/>
        <stp>BDS|17855063916208012943</stp>
        <tr r="SA5" s="6"/>
      </tp>
      <tp t="s">
        <v>#N/A N/A</v>
        <stp/>
        <stp>BDS|17761780054966214458</stp>
        <tr r="TU5" s="9"/>
        <tr r="EU5" s="12"/>
        <tr r="BI5" s="38"/>
      </tp>
      <tp t="s">
        <v>#N/A N/A</v>
        <stp/>
        <stp>BDS|13483831805704947860</stp>
        <tr r="RM5" s="21"/>
      </tp>
      <tp t="s">
        <v>#N/A N/A</v>
        <stp/>
        <stp>BDS|13817145245072186356</stp>
        <tr r="LC5" s="6"/>
      </tp>
      <tp t="s">
        <v>#N/A N/A</v>
        <stp/>
        <stp>BDS|14868020839098988876</stp>
        <tr r="AE5" s="36"/>
      </tp>
      <tp t="s">
        <v>#N/A N/A</v>
        <stp/>
        <stp>BDS|10279712608036175671</stp>
        <tr r="QW5" s="11"/>
      </tp>
      <tp t="s">
        <v>#N/A N/A</v>
        <stp/>
        <stp>BDS|15857587266697095646</stp>
        <tr r="TU5" s="3"/>
      </tp>
      <tp t="s">
        <v>#N/A N/A</v>
        <stp/>
        <stp>BDS|13020128675766348466</stp>
        <tr r="PE5" s="28"/>
      </tp>
      <tp t="s">
        <v>#N/A N/A</v>
        <stp/>
        <stp>BDS|11679191972777812775</stp>
        <tr r="CM5" s="34"/>
      </tp>
      <tp t="s">
        <v>#N/A N/A</v>
        <stp/>
        <stp>BDS|16684555494348404503</stp>
        <tr r="OA5" s="13"/>
        <tr r="SQ5" s="48"/>
        <tr r="HC5" s="23"/>
        <tr r="DQ5" s="12"/>
        <tr r="KO5" s="29"/>
        <tr r="UY5" s="38"/>
        <tr r="PE5" s="19"/>
        <tr r="OA5" s="25"/>
        <tr r="QI5" s="45"/>
      </tp>
      <tp t="s">
        <v>#N/A N/A</v>
        <stp/>
        <stp>BDS|16977020877425610390</stp>
        <tr r="OO5" s="28"/>
      </tp>
      <tp t="s">
        <v>#N/A N/A</v>
        <stp/>
        <stp>BDS|15268354644726969393</stp>
        <tr r="AS5" s="41"/>
      </tp>
      <tp t="s">
        <v>#N/A N/A</v>
        <stp/>
        <stp>BDS|10578616244042045704</stp>
        <tr r="IG5" s="7"/>
        <tr r="LS5" s="28"/>
      </tp>
      <tp t="s">
        <v>#N/A N/A</v>
        <stp/>
        <stp>BDS|15465408432634454129</stp>
        <tr r="NK5" s="6"/>
      </tp>
      <tp t="s">
        <v>#N/A N/A</v>
        <stp/>
        <stp>BDS|17096047670504416314</stp>
        <tr r="RM5" s="28"/>
      </tp>
      <tp t="s">
        <v>#N/A N/A</v>
        <stp/>
        <stp>BDS|17627043628366942420</stp>
        <tr r="JY5" s="34"/>
      </tp>
      <tp t="s">
        <v>#N/A N/A</v>
        <stp/>
        <stp>BDS|16187021913645419523</stp>
        <tr r="OO5" s="10"/>
        <tr r="UI5" s="10"/>
        <tr r="AS5" s="15"/>
        <tr r="SA5" s="26"/>
        <tr r="EE5" s="49"/>
      </tp>
      <tp t="s">
        <v>#N/A N/A</v>
        <stp/>
        <stp>BDS|10107771246935584130</stp>
        <tr r="MG5" s="7"/>
        <tr r="QW5" s="35"/>
      </tp>
      <tp t="s">
        <v>#N/A N/A</v>
        <stp/>
        <stp>BDS|15832366158333168716</stp>
        <tr r="GM5" s="14"/>
        <tr r="AS5" s="34"/>
      </tp>
      <tp t="s">
        <v>#N/A N/A</v>
        <stp/>
        <stp>BDS|18299747467856101863</stp>
        <tr r="TU5" s="42"/>
      </tp>
      <tp t="s">
        <v>#N/A N/A</v>
        <stp/>
        <stp>BDS|16428079002799232844</stp>
        <tr r="SQ5" s="27"/>
      </tp>
      <tp t="s">
        <v>#N/A N/A</v>
        <stp/>
        <stp>BDS|11026374969456025598</stp>
        <tr r="JK5" s="20"/>
      </tp>
      <tp t="s">
        <v>#N/A N/A</v>
        <stp/>
        <stp>BDS|11160190906844811318</stp>
        <tr r="NK5" s="1"/>
      </tp>
      <tp t="s">
        <v>#N/A N/A</v>
        <stp/>
        <stp>BDS|11769186981558125780</stp>
        <tr r="JY5" s="39"/>
      </tp>
      <tp t="s">
        <v>#N/A N/A</v>
        <stp/>
        <stp>BDS|15659650523971628725</stp>
        <tr r="A5" s="29"/>
        <tr r="RM5" s="37"/>
      </tp>
      <tp t="s">
        <v>#N/A N/A</v>
        <stp/>
        <stp>BDS|10657455874301797546</stp>
        <tr r="VM5" s="19"/>
      </tp>
      <tp t="s">
        <v>#N/A N/A</v>
        <stp/>
        <stp>BDS|12220752519607214486</stp>
        <tr r="TU5" s="35"/>
      </tp>
      <tp t="s">
        <v>#N/A N/A</v>
        <stp/>
        <stp>BDS|15015405804036995099</stp>
        <tr r="FY5" s="45"/>
      </tp>
      <tp t="s">
        <v>#N/A N/A</v>
        <stp/>
        <stp>BDS|15951992528331486888</stp>
        <tr r="OA5" s="50"/>
      </tp>
      <tp t="s">
        <v>#N/A N/A</v>
        <stp/>
        <stp>BDS|10754901692276980191</stp>
        <tr r="LC5" s="11"/>
      </tp>
      <tp t="s">
        <v>#N/A N/A</v>
        <stp/>
        <stp>BDS|13835200302625932369</stp>
        <tr r="OO5" s="6"/>
      </tp>
      <tp t="s">
        <v>#N/A N/A</v>
        <stp/>
        <stp>BDS|13632292624311998688</stp>
        <tr r="O5" s="30"/>
      </tp>
      <tp t="s">
        <v>#N/A N/A</v>
        <stp/>
        <stp>BDS|10519785976404874095</stp>
        <tr r="A5" s="26"/>
      </tp>
      <tp t="s">
        <v>#N/A N/A</v>
        <stp/>
        <stp>BDS|12876340702121194445</stp>
        <tr r="QI5" s="16"/>
      </tp>
      <tp t="s">
        <v>#N/A N/A</v>
        <stp/>
        <stp>BDS|12562068656715514681</stp>
        <tr r="IG5" s="40"/>
      </tp>
      <tp t="s">
        <v>#N/A N/A</v>
        <stp/>
        <stp>BDS|15583125667390983609</stp>
        <tr r="GM5" s="16"/>
        <tr r="IU5" s="25"/>
      </tp>
      <tp t="s">
        <v>#N/A N/A</v>
        <stp/>
        <stp>BDS|15335615221240906534</stp>
        <tr r="IG5" s="12"/>
      </tp>
      <tp t="s">
        <v>#N/A N/A</v>
        <stp/>
        <stp>BDS|15592752444812216080</stp>
        <tr r="QI5" s="49"/>
      </tp>
      <tp t="s">
        <v>#N/A N/A</v>
        <stp/>
        <stp>BDS|16181128361040436583</stp>
        <tr r="O5" s="44"/>
      </tp>
      <tp t="s">
        <v>#N/A N/A</v>
        <stp/>
        <stp>BDS|11955102562383016153</stp>
        <tr r="SQ5" s="23"/>
      </tp>
      <tp t="s">
        <v>#N/A N/A</v>
        <stp/>
        <stp>BDS|15966996694723279293</stp>
        <tr r="PE5" s="7"/>
      </tp>
      <tp t="s">
        <v>#N/A N/A</v>
        <stp/>
        <stp>BDS|13346576707233505191</stp>
        <tr r="KO5" s="10"/>
        <tr r="JK5" s="17"/>
      </tp>
      <tp t="s">
        <v>#N/A N/A</v>
        <stp/>
        <stp>BDS|10874493539874089749</stp>
        <tr r="FI5" s="26"/>
        <tr r="SA5" s="29"/>
      </tp>
      <tp t="s">
        <v>#N/A N/A</v>
        <stp/>
        <stp>BDS|11812216022723641615</stp>
        <tr r="HC5" s="42"/>
      </tp>
      <tp t="s">
        <v>#N/A N/A</v>
        <stp/>
        <stp>BDS|10072405426756941430</stp>
        <tr r="NK5" s="26"/>
      </tp>
      <tp t="s">
        <v>#N/A N/A</v>
        <stp/>
        <stp>BDS|13877468704161095279</stp>
        <tr r="DQ5" s="50"/>
      </tp>
      <tp t="s">
        <v>#N/A N/A</v>
        <stp/>
        <stp>BDS|15598247942090347721</stp>
        <tr r="LS5" s="7"/>
        <tr r="QI5" s="35"/>
      </tp>
      <tp t="s">
        <v>#N/A N/A</v>
        <stp/>
        <stp>BDS|18252315373580567878</stp>
        <tr r="OO5" s="14"/>
      </tp>
      <tp t="s">
        <v>#N/A N/A</v>
        <stp/>
        <stp>BDS|17209359921350607221</stp>
        <tr r="QI5" s="14"/>
      </tp>
      <tp t="s">
        <v>#N/A N/A</v>
        <stp/>
        <stp>BDS|11180030184069573413</stp>
        <tr r="QI5" s="46"/>
        <tr r="LS5" s="21"/>
      </tp>
      <tp t="s">
        <v>#N/A N/A</v>
        <stp/>
        <stp>BDS|10301203300091619776</stp>
        <tr r="GM5" s="29"/>
      </tp>
      <tp t="s">
        <v>#N/A N/A</v>
        <stp/>
        <stp>BDS|13344413425150077149</stp>
        <tr r="FY5" s="23"/>
      </tp>
      <tp t="s">
        <v>#N/A N/A</v>
        <stp/>
        <stp>BDS|16792593100370581782</stp>
        <tr r="UY5" s="9"/>
        <tr r="PE5" s="45"/>
      </tp>
      <tp t="s">
        <v>#N/A N/A</v>
        <stp/>
        <stp>BDS|15707445754782427200</stp>
        <tr r="VM5" s="4"/>
      </tp>
      <tp t="s">
        <v>#N/A N/A</v>
        <stp/>
        <stp>BDS|13513006703942679503</stp>
        <tr r="KO5" s="37"/>
      </tp>
      <tp t="s">
        <v>#N/A N/A</v>
        <stp/>
        <stp>BDS|16819559642152636197</stp>
        <tr r="DA5" s="13"/>
      </tp>
      <tp t="s">
        <v>#N/A N/A</v>
        <stp/>
        <stp>BDS|15944696569579921806</stp>
        <tr r="NK5" s="9"/>
        <tr r="FI5" s="23"/>
      </tp>
      <tp t="s">
        <v>#N/A N/A</v>
        <stp/>
        <stp>BDS|17492043320476958799</stp>
        <tr r="FI5" s="16"/>
        <tr r="GM5" s="10"/>
        <tr r="OO5" s="41"/>
        <tr r="PS5" s="43"/>
        <tr r="SA5" s="13"/>
        <tr r="LC5" s="23"/>
      </tp>
      <tp t="s">
        <v>#N/A N/A</v>
        <stp/>
        <stp>BDS|17513468455996224445</stp>
        <tr r="MW5" s="9"/>
        <tr r="EU5" s="23"/>
      </tp>
      <tp t="s">
        <v>#N/A N/A</v>
        <stp/>
        <stp>BDS|14769993799968074819</stp>
        <tr r="A5" s="35"/>
      </tp>
      <tp t="s">
        <v>#N/A N/A</v>
        <stp/>
        <stp>BDS|11394070546139283865</stp>
        <tr r="LS5" s="1"/>
      </tp>
      <tp t="s">
        <v>#N/A N/A</v>
        <stp/>
        <stp>BDS|16761708442731350008</stp>
        <tr r="AS5" s="35"/>
        <tr r="VM5" s="39"/>
      </tp>
      <tp t="s">
        <v>#N/A N/A</v>
        <stp/>
        <stp>BDS|15765142676184549378</stp>
        <tr r="HQ5" s="40"/>
        <tr r="BW5" s="41"/>
      </tp>
      <tp t="s">
        <v>#N/A N/A</v>
        <stp/>
        <stp>BDS|18349495093136875760</stp>
        <tr r="EU5" s="8"/>
      </tp>
      <tp t="s">
        <v>#N/A N/A</v>
        <stp/>
        <stp>BDS|15730470412197570303</stp>
        <tr r="QI5" s="18"/>
      </tp>
      <tp t="s">
        <v>#N/A N/A</v>
        <stp/>
        <stp>BDS|11027515144775263134</stp>
        <tr r="OA5" s="37"/>
      </tp>
      <tp t="s">
        <v>#N/A N/A</v>
        <stp/>
        <stp>BDS|11417929286131713539</stp>
        <tr r="BI5" s="34"/>
        <tr r="IG5" s="35"/>
      </tp>
      <tp t="s">
        <v>#N/A N/A</v>
        <stp/>
        <stp>BDS|14851345971737044394</stp>
        <tr r="RM5" s="2"/>
      </tp>
      <tp t="s">
        <v>#N/A N/A</v>
        <stp/>
        <stp>BDS|11920380722621732501</stp>
        <tr r="EE5" s="13"/>
      </tp>
      <tp t="s">
        <v>#N/A N/A</v>
        <stp/>
        <stp>BDS|13510607338370970207</stp>
        <tr r="AS5" s="20"/>
      </tp>
      <tp t="s">
        <v>#N/A N/A</v>
        <stp/>
        <stp>BDS|11663013903066644378</stp>
        <tr r="LS5" s="35"/>
      </tp>
      <tp t="s">
        <v>#N/A N/A</v>
        <stp/>
        <stp>BDS|16666237769805279243</stp>
        <tr r="LS5" s="41"/>
        <tr r="UY5" s="33"/>
        <tr r="PE5" s="34"/>
      </tp>
      <tp t="s">
        <v>#N/A N/A</v>
        <stp/>
        <stp>BDS|14986114903414101408</stp>
        <tr r="IG5" s="20"/>
      </tp>
      <tp t="s">
        <v>#N/A N/A</v>
        <stp/>
        <stp>BDS|10801695237706922655</stp>
        <tr r="TE5" s="7"/>
      </tp>
      <tp t="s">
        <v>#N/A N/A</v>
        <stp/>
        <stp>BDS|14121694366409549809</stp>
        <tr r="HC5" s="50"/>
        <tr r="DQ5" s="5"/>
      </tp>
      <tp t="s">
        <v>#N/A N/A</v>
        <stp/>
        <stp>BDS|11088402219578374916</stp>
        <tr r="LC5" s="43"/>
      </tp>
      <tp t="s">
        <v>#N/A N/A</v>
        <stp/>
        <stp>BDS|14937413273635887783</stp>
        <tr r="HQ5" s="19"/>
      </tp>
      <tp t="s">
        <v>#N/A N/A</v>
        <stp/>
        <stp>BDS|12889324766873645112</stp>
        <tr r="TE5" s="6"/>
      </tp>
      <tp t="s">
        <v>#N/A N/A</v>
        <stp/>
        <stp>BDS|17341992755877474909</stp>
        <tr r="JK5" s="14"/>
      </tp>
      <tp t="s">
        <v>#N/A N/A</v>
        <stp/>
        <stp>BDS|10554821152221931973</stp>
        <tr r="UI5" s="35"/>
      </tp>
      <tp t="s">
        <v>#N/A N/A</v>
        <stp/>
        <stp>BDS|13839333195769441528</stp>
        <tr r="FY5" s="15"/>
        <tr r="SQ5" s="32"/>
      </tp>
      <tp t="s">
        <v>#N/A N/A</v>
        <stp/>
        <stp>BDS|17364445441402040082</stp>
        <tr r="TE5" s="17"/>
        <tr r="DA5" s="32"/>
      </tp>
      <tp t="s">
        <v>#N/A N/A</v>
        <stp/>
        <stp>BDS|15125542356942584287</stp>
        <tr r="UY5" s="31"/>
      </tp>
      <tp t="s">
        <v>#N/A N/A</v>
        <stp/>
        <stp>BDS|12173656986519822043</stp>
        <tr r="O5" s="41"/>
      </tp>
      <tp t="s">
        <v>#N/A N/A</v>
        <stp/>
        <stp>BDS|15496224398278378325</stp>
        <tr r="AE5" s="50"/>
        <tr r="UY5" s="40"/>
      </tp>
      <tp t="s">
        <v>#N/A N/A</v>
        <stp/>
        <stp>BDS|10320359851535151699</stp>
        <tr r="PE5" s="10"/>
      </tp>
      <tp t="s">
        <v>#N/A N/A</v>
        <stp/>
        <stp>BDS|15683131539575133714</stp>
        <tr r="AE5" s="31"/>
        <tr r="LS5" s="31"/>
        <tr r="BI5" s="42"/>
        <tr r="HC5" s="46"/>
      </tp>
      <tp t="s">
        <v>#N/A N/A</v>
        <stp/>
        <stp>BDS|10241499056415514153</stp>
        <tr r="FI5" s="31"/>
      </tp>
      <tp t="s">
        <v>#N/A N/A</v>
        <stp/>
        <stp>BDS|17773782725832446538</stp>
        <tr r="BW5" s="6"/>
        <tr r="QW5" s="39"/>
      </tp>
      <tp t="s">
        <v>#N/A N/A</v>
        <stp/>
        <stp>BDS|14631627703590633739</stp>
        <tr r="KO5" s="36"/>
      </tp>
      <tp t="s">
        <v>#N/A N/A</v>
        <stp/>
        <stp>BDS|10956783151797042029</stp>
        <tr r="IU5" s="13"/>
        <tr r="AS5" s="22"/>
      </tp>
      <tp t="s">
        <v>#N/A N/A</v>
        <stp/>
        <stp>BDS|12182218838854331297</stp>
        <tr r="SQ5" s="24"/>
      </tp>
      <tp t="s">
        <v>#N/A N/A</v>
        <stp/>
        <stp>BDS|16309366747297133315</stp>
        <tr r="IG5" s="23"/>
        <tr r="SQ5" s="36"/>
      </tp>
      <tp t="s">
        <v>#N/A N/A</v>
        <stp/>
        <stp>BDS|14767777150097298417</stp>
        <tr r="IG5" s="24"/>
      </tp>
      <tp t="s">
        <v>#N/A N/A</v>
        <stp/>
        <stp>BDS|11426603440486702005</stp>
        <tr r="BW5" s="28"/>
      </tp>
      <tp t="s">
        <v>#N/A N/A</v>
        <stp/>
        <stp>BDS|10635553202632307225</stp>
        <tr r="MW5" s="2"/>
      </tp>
      <tp t="s">
        <v>#N/A N/A</v>
        <stp/>
        <stp>BDS|12081479230003068371</stp>
        <tr r="A5" s="20"/>
      </tp>
      <tp t="s">
        <v>#N/A N/A</v>
        <stp/>
        <stp>BDS|18368127323307595966</stp>
        <tr r="NK5" s="18"/>
      </tp>
      <tp t="s">
        <v>#N/A N/A</v>
        <stp/>
        <stp>BDS|15078517736597575131</stp>
        <tr r="EE5" s="20"/>
      </tp>
      <tp t="s">
        <v>#N/A N/A</v>
        <stp/>
        <stp>BDS|14644104514033438272</stp>
        <tr r="JY5" s="22"/>
        <tr r="GM5" s="12"/>
      </tp>
      <tp t="s">
        <v>#N/A N/A</v>
        <stp/>
        <stp>BDS|17553999600912476997</stp>
        <tr r="GM5" s="17"/>
      </tp>
      <tp t="s">
        <v>#N/A N/A</v>
        <stp/>
        <stp>BDS|13439025713852461571</stp>
        <tr r="LC5" s="1"/>
      </tp>
      <tp t="s">
        <v>#N/A N/A</v>
        <stp/>
        <stp>BDS|12653335765852245041</stp>
        <tr r="O5" s="19"/>
      </tp>
      <tp t="s">
        <v>#N/A N/A</v>
        <stp/>
        <stp>BDS|10663371129900812462</stp>
        <tr r="OA5" s="9"/>
      </tp>
      <tp t="s">
        <v>#N/A N/A</v>
        <stp/>
        <stp>BDS|12608675621953355055</stp>
        <tr r="SA5" s="49"/>
      </tp>
      <tp t="s">
        <v>#N/A N/A</v>
        <stp/>
        <stp>BDS|13369354980099607466</stp>
        <tr r="AS5" s="3"/>
      </tp>
      <tp t="s">
        <v>#N/A N/A</v>
        <stp/>
        <stp>BDS|12574636040600243527</stp>
        <tr r="PE5" s="50"/>
        <tr r="QI5" s="1"/>
        <tr r="KO5" s="2"/>
        <tr r="RM5" s="3"/>
        <tr r="A5" s="7"/>
        <tr r="AE5" s="8"/>
        <tr r="FY5" s="8"/>
        <tr r="UY5" s="8"/>
        <tr r="JK5" s="11"/>
        <tr r="LS5" s="11"/>
        <tr r="PE5" s="11"/>
        <tr r="A5" s="12"/>
        <tr r="LS5" s="12"/>
        <tr r="DQ5" s="17"/>
        <tr r="BI5" s="19"/>
        <tr r="UY5" s="20"/>
        <tr r="BI5" s="22"/>
        <tr r="QI5" s="31"/>
        <tr r="RM5" s="31"/>
        <tr r="LS5" s="36"/>
        <tr r="UY5" s="36"/>
        <tr r="LS5" s="40"/>
        <tr r="JK5" s="45"/>
        <tr r="AE5" s="48"/>
        <tr r="BI5" s="48"/>
      </tp>
      <tp t="s">
        <v>#N/A N/A</v>
        <stp/>
        <stp>BDS|10116360366935406523</stp>
        <tr r="SA5" s="15"/>
      </tp>
      <tp t="s">
        <v>#N/A N/A</v>
        <stp/>
        <stp>BDS|13520999839269576577</stp>
        <tr r="IG5" s="47"/>
      </tp>
      <tp t="s">
        <v>#N/A N/A</v>
        <stp/>
        <stp>BDS|17009708001600542533</stp>
        <tr r="PS5" s="10"/>
      </tp>
      <tp t="s">
        <v>#N/A N/A</v>
        <stp/>
        <stp>BDS|10665669477174063004</stp>
        <tr r="BW5" s="1"/>
      </tp>
      <tp t="s">
        <v>#N/A N/A</v>
        <stp/>
        <stp>BDS|12278370474215001661</stp>
        <tr r="CM5" s="22"/>
      </tp>
      <tp t="s">
        <v>#N/A N/A</v>
        <stp/>
        <stp>BDS|11717190299925745978</stp>
        <tr r="KO5" s="8"/>
      </tp>
      <tp t="s">
        <v>#N/A N/A</v>
        <stp/>
        <stp>BDS|14202693972214896457</stp>
        <tr r="LS5" s="4"/>
      </tp>
      <tp t="s">
        <v>#N/A N/A</v>
        <stp/>
        <stp>BDS|15552033742952705671</stp>
        <tr r="LC5" s="28"/>
      </tp>
      <tp t="s">
        <v>#N/A N/A</v>
        <stp/>
        <stp>BDS|10745709833028939990</stp>
        <tr r="FY5" s="35"/>
      </tp>
      <tp t="s">
        <v>#N/A N/A</v>
        <stp/>
        <stp>BDS|16551290911921982109</stp>
        <tr r="OA5" s="2"/>
        <tr r="OA5" s="21"/>
        <tr r="A5" s="40"/>
        <tr r="LS5" s="25"/>
        <tr r="SQ5" s="41"/>
        <tr r="TU5" s="20"/>
        <tr r="MW5" s="37"/>
      </tp>
      <tp t="s">
        <v>#N/A N/A</v>
        <stp/>
        <stp>BDS|17109665452420927182</stp>
        <tr r="DA5" s="3"/>
        <tr r="SA5" s="48"/>
      </tp>
      <tp t="s">
        <v>#N/A N/A</v>
        <stp/>
        <stp>BDS|10447266175988590865</stp>
        <tr r="RM5" s="10"/>
      </tp>
      <tp t="s">
        <v>#N/A N/A</v>
        <stp/>
        <stp>BDS|10222663975831155548</stp>
        <tr r="HC5" s="15"/>
      </tp>
      <tp t="s">
        <v>#N/A N/A</v>
        <stp/>
        <stp>BDS|12805747488001591946</stp>
        <tr r="UI5" s="38"/>
      </tp>
      <tp t="s">
        <v>#N/A N/A</v>
        <stp/>
        <stp>BDS|11066983815878810403</stp>
        <tr r="QI5" s="33"/>
      </tp>
      <tp t="s">
        <v>#N/A N/A</v>
        <stp/>
        <stp>BDS|10526122150040208103</stp>
        <tr r="DQ5" s="20"/>
      </tp>
    </main>
    <main first="bofaddin.rtdserver">
      <tp t="s">
        <v>#N/A N/A</v>
        <stp/>
        <stp>BDS|6841810538778394982</stp>
        <tr r="EU5" s="22"/>
        <tr r="CM5" s="11"/>
      </tp>
      <tp t="s">
        <v>#N/A N/A</v>
        <stp/>
        <stp>BDS|5736985657492455767</stp>
        <tr r="QI5" s="3"/>
      </tp>
      <tp t="s">
        <v>#N/A N/A</v>
        <stp/>
        <stp>BDS|7680728635716903926</stp>
        <tr r="GM5" s="46"/>
      </tp>
      <tp t="s">
        <v>#N/A N/A</v>
        <stp/>
        <stp>BDS|6167884721779762948</stp>
        <tr r="IU5" s="24"/>
      </tp>
      <tp t="s">
        <v>#N/A N/A</v>
        <stp/>
        <stp>BDS|8208164414372371689</stp>
        <tr r="EU5" s="7"/>
      </tp>
      <tp t="s">
        <v>#N/A N/A</v>
        <stp/>
        <stp>BDS|4778385344706630966</stp>
        <tr r="QI5" s="8"/>
      </tp>
      <tp t="s">
        <v>#N/A N/A</v>
        <stp/>
        <stp>BDS|8164321426405956077</stp>
        <tr r="DA5" s="22"/>
      </tp>
      <tp t="s">
        <v>#N/A N/A</v>
        <stp/>
        <stp>BDS|9682137865874823609</stp>
        <tr r="IU5" s="15"/>
      </tp>
      <tp t="s">
        <v>#N/A N/A</v>
        <stp/>
        <stp>BDS|5057364794826298580</stp>
        <tr r="JK5" s="13"/>
      </tp>
      <tp t="s">
        <v>#N/A N/A</v>
        <stp/>
        <stp>BDS|1501781946259695740</stp>
        <tr r="CM5" s="12"/>
        <tr r="JK5" s="7"/>
      </tp>
      <tp t="s">
        <v>#N/A N/A</v>
        <stp/>
        <stp>BDS|3097866472100561081</stp>
        <tr r="UI5" s="2"/>
      </tp>
      <tp t="s">
        <v>#N/A N/A</v>
        <stp/>
        <stp>BDS|7001537594050750792</stp>
        <tr r="DQ5" s="24"/>
        <tr r="EU5" s="29"/>
      </tp>
      <tp t="s">
        <v>#N/A N/A</v>
        <stp/>
        <stp>BDS|9069697456572055467</stp>
        <tr r="UI5" s="43"/>
      </tp>
      <tp t="s">
        <v>#N/A N/A</v>
        <stp/>
        <stp>BDS|5124499692264442015</stp>
        <tr r="UY5" s="41"/>
      </tp>
      <tp t="s">
        <v>#N/A N/A</v>
        <stp/>
        <stp>BDS|4359643416259701698</stp>
        <tr r="AE5" s="26"/>
      </tp>
      <tp t="s">
        <v>#N/A N/A</v>
        <stp/>
        <stp>BDS|1566989765317083579</stp>
        <tr r="SQ5" s="3"/>
      </tp>
      <tp t="s">
        <v>#N/A N/A</v>
        <stp/>
        <stp>BDS|2198541468815591874</stp>
        <tr r="RM5" s="45"/>
        <tr r="DQ5" s="6"/>
        <tr r="UY5" s="37"/>
      </tp>
      <tp t="s">
        <v>#N/A N/A</v>
        <stp/>
        <stp>BDS|5844333764215924994</stp>
        <tr r="PE5" s="48"/>
      </tp>
      <tp t="s">
        <v>#N/A N/A</v>
        <stp/>
        <stp>BDS|6781897444036601015</stp>
        <tr r="QW5" s="25"/>
      </tp>
      <tp t="s">
        <v>#N/A N/A</v>
        <stp/>
        <stp>BDS|9726903507898420494</stp>
        <tr r="O5" s="43"/>
      </tp>
      <tp t="s">
        <v>#N/A N/A</v>
        <stp/>
        <stp>BDS|4985433486855671173</stp>
        <tr r="BI5" s="43"/>
      </tp>
      <tp t="s">
        <v>#N/A N/A</v>
        <stp/>
        <stp>BDS|4103195070406984834</stp>
        <tr r="JY5" s="14"/>
      </tp>
      <tp t="s">
        <v>#N/A N/A</v>
        <stp/>
        <stp>BDS|8778262373339299822</stp>
        <tr r="NK5" s="35"/>
        <tr r="EE5" s="43"/>
      </tp>
      <tp t="s">
        <v>#N/A N/A</v>
        <stp/>
        <stp>BDS|8330473692529107058</stp>
        <tr r="HQ5" s="38"/>
      </tp>
      <tp t="s">
        <v>#N/A N/A</v>
        <stp/>
        <stp>BDS|4591663811567302839</stp>
        <tr r="VM5" s="2"/>
      </tp>
      <tp t="s">
        <v>#N/A N/A</v>
        <stp/>
        <stp>BDS|1894251134048935431</stp>
        <tr r="EE5" s="18"/>
      </tp>
      <tp t="s">
        <v>#N/A N/A</v>
        <stp/>
        <stp>BDS|5581940900321609147</stp>
        <tr r="MW5" s="24"/>
      </tp>
      <tp t="s">
        <v>#N/A N/A</v>
        <stp/>
        <stp>BDS|4036531926387363854</stp>
        <tr r="MG5" s="44"/>
      </tp>
      <tp t="s">
        <v>#N/A N/A</v>
        <stp/>
        <stp>BDS|1166797998423555063</stp>
        <tr r="TE5" s="35"/>
      </tp>
      <tp t="s">
        <v>#N/A N/A</v>
        <stp/>
        <stp>BDS|5517282112948974259</stp>
        <tr r="GM5" s="50"/>
        <tr r="TE5" s="30"/>
        <tr r="NK5" s="36"/>
      </tp>
      <tp t="s">
        <v>#N/A N/A</v>
        <stp/>
        <stp>BDS|8702511119444825471</stp>
        <tr r="MW5" s="21"/>
      </tp>
      <tp t="s">
        <v>#N/A N/A</v>
        <stp/>
        <stp>BDS|9287075413264167062</stp>
        <tr r="IG5" s="48"/>
      </tp>
      <tp t="s">
        <v>#N/A N/A</v>
        <stp/>
        <stp>BDS|4361377584401229234</stp>
        <tr r="TU5" s="31"/>
      </tp>
      <tp t="s">
        <v>#N/A N/A</v>
        <stp/>
        <stp>BDS|2102445799131948243</stp>
        <tr r="QI5" s="24"/>
      </tp>
      <tp t="s">
        <v>#N/A N/A</v>
        <stp/>
        <stp>BDS|6833366887432625392</stp>
        <tr r="LS5" s="2"/>
      </tp>
      <tp t="s">
        <v>#N/A N/A</v>
        <stp/>
        <stp>BDS|9970070999324742867</stp>
        <tr r="SA5" s="46"/>
      </tp>
      <tp t="s">
        <v>#N/A N/A</v>
        <stp/>
        <stp>BDS|6626798414355992944</stp>
        <tr r="LS5" s="5"/>
        <tr r="CM5" s="37"/>
        <tr r="RM5" s="42"/>
        <tr r="A5" s="23"/>
        <tr r="JK5" s="42"/>
      </tp>
      <tp t="s">
        <v>#N/A N/A</v>
        <stp/>
        <stp>BDS|6464477481874337267</stp>
        <tr r="HC5" s="21"/>
      </tp>
      <tp t="s">
        <v>#N/A N/A</v>
        <stp/>
        <stp>BDS|1560520112071233806</stp>
        <tr r="OO5" s="44"/>
      </tp>
      <tp t="s">
        <v>#N/A N/A</v>
        <stp/>
        <stp>BDS|3557974770513436210</stp>
        <tr r="SQ5" s="21"/>
        <tr r="PE5" s="24"/>
      </tp>
      <tp t="s">
        <v>#N/A N/A</v>
        <stp/>
        <stp>BDS|6783948930372030247</stp>
        <tr r="KO5" s="26"/>
        <tr r="OA5" s="31"/>
      </tp>
      <tp t="s">
        <v>#N/A N/A</v>
        <stp/>
        <stp>BDS|7949716510429979464</stp>
        <tr r="MW5" s="17"/>
      </tp>
      <tp t="s">
        <v>#N/A N/A</v>
        <stp/>
        <stp>BDS|7318290809380031944</stp>
        <tr r="TE5" s="8"/>
        <tr r="AS5" s="2"/>
      </tp>
      <tp t="s">
        <v>#N/A N/A</v>
        <stp/>
        <stp>BDS|5998107379919354679</stp>
        <tr r="JK5" s="9"/>
      </tp>
      <tp t="s">
        <v>#N/A N/A</v>
        <stp/>
        <stp>BDS|3917243245418875159</stp>
        <tr r="AE5" s="37"/>
      </tp>
      <tp t="s">
        <v>#N/A N/A</v>
        <stp/>
        <stp>BDS|9703198659096426767</stp>
        <tr r="HQ5" s="26"/>
      </tp>
      <tp t="s">
        <v>#N/A N/A</v>
        <stp/>
        <stp>BDS|9513046056038002827</stp>
        <tr r="IU5" s="20"/>
      </tp>
      <tp t="s">
        <v>#N/A N/A</v>
        <stp/>
        <stp>BDS|2568530150518771643</stp>
        <tr r="SA5" s="1"/>
      </tp>
      <tp t="s">
        <v>#N/A N/A</v>
        <stp/>
        <stp>BDS|6289646541928873152</stp>
        <tr r="EE5" s="11"/>
      </tp>
      <tp t="s">
        <v>#N/A N/A</v>
        <stp/>
        <stp>BDS|8027893733456639862</stp>
        <tr r="CM5" s="2"/>
      </tp>
      <tp t="s">
        <v>#N/A N/A</v>
        <stp/>
        <stp>BDS|8599790110101707203</stp>
        <tr r="EU5" s="30"/>
      </tp>
      <tp t="s">
        <v>#N/A N/A</v>
        <stp/>
        <stp>BDS|9127956929817086869</stp>
        <tr r="BW5" s="20"/>
        <tr r="LC5" s="15"/>
      </tp>
      <tp t="s">
        <v>#N/A N/A</v>
        <stp/>
        <stp>BDS|7429090379298944560</stp>
        <tr r="CM5" s="24"/>
      </tp>
      <tp t="s">
        <v>#N/A N/A</v>
        <stp/>
        <stp>BDS|9531698884973282924</stp>
        <tr r="MW5" s="29"/>
      </tp>
      <tp t="s">
        <v>#N/A N/A</v>
        <stp/>
        <stp>BDS|2825852320131494417</stp>
        <tr r="QW5" s="6"/>
      </tp>
      <tp t="s">
        <v>#N/A N/A</v>
        <stp/>
        <stp>BDS|4026890928376054597</stp>
        <tr r="LC5" s="30"/>
        <tr r="IU5" s="1"/>
      </tp>
      <tp t="s">
        <v>#N/A N/A</v>
        <stp/>
        <stp>BDS|9766433779386625131</stp>
        <tr r="VM5" s="16"/>
      </tp>
      <tp t="s">
        <v>#N/A N/A</v>
        <stp/>
        <stp>BDS|9006329756420859250</stp>
        <tr r="GM5" s="44"/>
      </tp>
      <tp t="s">
        <v>#N/A N/A</v>
        <stp/>
        <stp>BDS|9666896126029273726</stp>
        <tr r="TU5" s="25"/>
      </tp>
      <tp t="s">
        <v>#N/A N/A</v>
        <stp/>
        <stp>BDS|4334842209951132006</stp>
        <tr r="LS5" s="19"/>
      </tp>
      <tp t="s">
        <v>#N/A N/A</v>
        <stp/>
        <stp>BDS|7836898358481388655</stp>
        <tr r="JK5" s="3"/>
      </tp>
      <tp t="s">
        <v>#N/A N/A</v>
        <stp/>
        <stp>BDS|6868710881882062642</stp>
        <tr r="OA5" s="18"/>
      </tp>
      <tp t="s">
        <v>#N/A N/A</v>
        <stp/>
        <stp>BDS|9977299218760720733</stp>
        <tr r="OO5" s="16"/>
      </tp>
      <tp t="s">
        <v>#N/A N/A</v>
        <stp/>
        <stp>BDS|6783112597853985046</stp>
        <tr r="GM5" s="33"/>
        <tr r="GM5" s="7"/>
        <tr r="IU5" s="18"/>
        <tr r="JY5" s="26"/>
      </tp>
      <tp t="s">
        <v>#N/A N/A</v>
        <stp/>
        <stp>BDS|7920915540661338671</stp>
        <tr r="DA5" s="38"/>
      </tp>
      <tp t="s">
        <v>#N/A N/A</v>
        <stp/>
        <stp>BDS|4032930866074887205</stp>
        <tr r="OO5" s="9"/>
      </tp>
      <tp t="s">
        <v>#N/A N/A</v>
        <stp/>
        <stp>BDS|2543727098452928344</stp>
        <tr r="UI5" s="46"/>
        <tr r="BW5" s="10"/>
      </tp>
      <tp t="s">
        <v>#N/A N/A</v>
        <stp/>
        <stp>BDS|8668711172565759000</stp>
        <tr r="HC5" s="47"/>
      </tp>
      <tp t="s">
        <v>#N/A N/A</v>
        <stp/>
        <stp>BDS|7883655521668823677</stp>
        <tr r="MW5" s="50"/>
      </tp>
      <tp t="s">
        <v>#N/A N/A</v>
        <stp/>
        <stp>BDS|9904562750804710083</stp>
        <tr r="HC5" s="13"/>
      </tp>
      <tp t="s">
        <v>#N/A N/A</v>
        <stp/>
        <stp>BDS|2561802339262426683</stp>
        <tr r="JK5" s="34"/>
      </tp>
      <tp t="s">
        <v>#N/A N/A</v>
        <stp/>
        <stp>BDS|9395773025936457747</stp>
        <tr r="EE5" s="8"/>
        <tr r="OO5" s="8"/>
      </tp>
      <tp t="s">
        <v>#N/A N/A</v>
        <stp/>
        <stp>BDS|6612874419773719199</stp>
        <tr r="UI5" s="48"/>
      </tp>
      <tp t="s">
        <v>#N/A N/A</v>
        <stp/>
        <stp>BDS|6423715107075745931</stp>
        <tr r="IU5" s="29"/>
      </tp>
      <tp t="s">
        <v>#N/A N/A</v>
        <stp/>
        <stp>BDS|2666911599248139787</stp>
        <tr r="DA5" s="49"/>
      </tp>
      <tp t="s">
        <v>#N/A N/A</v>
        <stp/>
        <stp>BDS|7343066786130363272</stp>
        <tr r="QW5" s="22"/>
      </tp>
      <tp t="s">
        <v>#N/A N/A</v>
        <stp/>
        <stp>BDS|9311048131627138008</stp>
        <tr r="KO5" s="28"/>
      </tp>
      <tp t="s">
        <v>#N/A N/A</v>
        <stp/>
        <stp>BDS|8062206735005499155</stp>
        <tr r="PS5" s="39"/>
      </tp>
      <tp t="s">
        <v>#N/A N/A</v>
        <stp/>
        <stp>BDS|3529866860371185175</stp>
        <tr r="OA5" s="36"/>
      </tp>
      <tp t="s">
        <v>#N/A N/A</v>
        <stp/>
        <stp>BDS|4006940162242529798</stp>
        <tr r="FI5" s="36"/>
      </tp>
      <tp t="s">
        <v>#N/A N/A</v>
        <stp/>
        <stp>BDS|4654888402874521638</stp>
        <tr r="IU5" s="43"/>
      </tp>
      <tp t="s">
        <v>#N/A N/A</v>
        <stp/>
        <stp>BDS|9806873354952798862</stp>
        <tr r="NK5" s="45"/>
      </tp>
      <tp t="s">
        <v>#N/A N/A</v>
        <stp/>
        <stp>BDS|3901667340256154946</stp>
        <tr r="JY5" s="20"/>
      </tp>
      <tp t="s">
        <v>#N/A N/A</v>
        <stp/>
        <stp>BDS|4806843648381966772</stp>
        <tr r="UY5" s="43"/>
      </tp>
      <tp t="s">
        <v>#N/A N/A</v>
        <stp/>
        <stp>BDS|4313854042034559292</stp>
        <tr r="LC5" s="25"/>
      </tp>
      <tp t="s">
        <v>#N/A N/A</v>
        <stp/>
        <stp>BDS|5967852526447280608</stp>
        <tr r="BW5" s="7"/>
      </tp>
      <tp t="s">
        <v>#N/A N/A</v>
        <stp/>
        <stp>BDS|2313601751126913934</stp>
        <tr r="VM5" s="43"/>
      </tp>
      <tp t="s">
        <v>#N/A N/A</v>
        <stp/>
        <stp>BDS|8850763026933609075</stp>
        <tr r="QW5" s="43"/>
        <tr r="JY5" s="25"/>
        <tr r="IU5" s="42"/>
        <tr r="LC5" s="35"/>
        <tr r="DA5" s="15"/>
      </tp>
      <tp t="s">
        <v>#N/A N/A</v>
        <stp/>
        <stp>BDS|3219355891677741089</stp>
        <tr r="TE5" s="40"/>
      </tp>
      <tp t="s">
        <v>#N/A N/A</v>
        <stp/>
        <stp>BDS|5013386216549902085</stp>
        <tr r="OO5" s="39"/>
      </tp>
      <tp t="s">
        <v>#N/A N/A</v>
        <stp/>
        <stp>BDS|5127141376204958963</stp>
        <tr r="FY5" s="50"/>
        <tr r="SQ5" s="30"/>
        <tr r="MW5" s="36"/>
      </tp>
      <tp t="s">
        <v>#N/A N/A</v>
        <stp/>
        <stp>BDS|1337801265653971236</stp>
        <tr r="UI5" s="47"/>
      </tp>
      <tp t="s">
        <v>#N/A N/A</v>
        <stp/>
        <stp>BDS|6073948478055030317</stp>
        <tr r="OA5" s="7"/>
        <tr r="UY5" s="13"/>
      </tp>
      <tp t="s">
        <v>#N/A N/A</v>
        <stp/>
        <stp>BDS|8948620733962039150</stp>
        <tr r="RM5" s="16"/>
      </tp>
      <tp t="s">
        <v>#N/A N/A</v>
        <stp/>
        <stp>BDS|7560637781904212370</stp>
        <tr r="SQ5" s="13"/>
      </tp>
      <tp t="s">
        <v>#N/A N/A</v>
        <stp/>
        <stp>BDS|1681152575471057848</stp>
        <tr r="MG5" s="49"/>
      </tp>
      <tp t="s">
        <v>#N/A N/A</v>
        <stp/>
        <stp>BDS|8267263027165483344</stp>
        <tr r="MG5" s="3"/>
      </tp>
      <tp t="s">
        <v>#N/A N/A</v>
        <stp/>
        <stp>BDS|7842287061248356519</stp>
        <tr r="FI5" s="1"/>
      </tp>
      <tp t="s">
        <v>#N/A N/A</v>
        <stp/>
        <stp>BDS|2030251971601277852</stp>
        <tr r="OO5" s="22"/>
      </tp>
      <tp t="s">
        <v>#N/A N/A</v>
        <stp/>
        <stp>BDS|5126096939791024913</stp>
        <tr r="GM5" s="24"/>
      </tp>
      <tp t="s">
        <v>#N/A N/A</v>
        <stp/>
        <stp>BDS|4414540840759471242</stp>
        <tr r="CM5" s="6"/>
      </tp>
      <tp t="s">
        <v>#N/A N/A</v>
        <stp/>
        <stp>BDS|1303311609134340880</stp>
        <tr r="JK5" s="41"/>
        <tr r="OA5" s="23"/>
        <tr r="CM5" s="29"/>
      </tp>
      <tp t="s">
        <v>#N/A N/A</v>
        <stp/>
        <stp>BDS|9479568277822677729</stp>
        <tr r="KO5" s="25"/>
      </tp>
      <tp t="s">
        <v>#N/A N/A</v>
        <stp/>
        <stp>BDS|7103802532491713358</stp>
        <tr r="LS5" s="17"/>
        <tr r="MW5" s="41"/>
      </tp>
      <tp t="s">
        <v>#N/A N/A</v>
        <stp/>
        <stp>BDS|1173456394455573742</stp>
        <tr r="VM5" s="15"/>
        <tr r="IU5" s="39"/>
        <tr r="FI5" s="17"/>
      </tp>
      <tp t="s">
        <v>#N/A N/A</v>
        <stp/>
        <stp>BDS|5122306490875651469</stp>
        <tr r="TE5" s="25"/>
        <tr r="LC5" s="32"/>
      </tp>
      <tp t="s">
        <v>#N/A N/A</v>
        <stp/>
        <stp>BDS|8450111568231569090</stp>
        <tr r="OA5" s="35"/>
        <tr r="RM5" s="18"/>
      </tp>
      <tp t="s">
        <v>#N/A N/A</v>
        <stp/>
        <stp>BDS|3655598996911859007</stp>
        <tr r="QI5" s="6"/>
      </tp>
      <tp t="s">
        <v>#N/A N/A</v>
        <stp/>
        <stp>BDS|4346771911175531967</stp>
        <tr r="QI5" s="2"/>
      </tp>
      <tp t="s">
        <v>#N/A N/A</v>
        <stp/>
        <stp>BDS|5918966618640065306</stp>
        <tr r="QW5" s="33"/>
      </tp>
      <tp t="s">
        <v>#N/A N/A</v>
        <stp/>
        <stp>BDS|4768357397421001124</stp>
        <tr r="SA5" s="43"/>
      </tp>
      <tp t="s">
        <v>#N/A N/A</v>
        <stp/>
        <stp>BDS|7422300701098005218</stp>
        <tr r="OA5" s="3"/>
      </tp>
      <tp t="s">
        <v>#N/A N/A</v>
        <stp/>
        <stp>BDS|1173880454460836218</stp>
        <tr r="TU5" s="27"/>
        <tr r="DQ5" s="14"/>
      </tp>
      <tp t="s">
        <v>#N/A N/A</v>
        <stp/>
        <stp>BDS|7936520602388509489</stp>
        <tr r="A5" s="41"/>
      </tp>
      <tp t="s">
        <v>#N/A N/A</v>
        <stp/>
        <stp>BDS|8166217036696742150</stp>
        <tr r="O5" s="38"/>
      </tp>
      <tp t="s">
        <v>#N/A N/A</v>
        <stp/>
        <stp>BDS|9964264641930288180</stp>
        <tr r="MW5" s="47"/>
      </tp>
      <tp t="s">
        <v>#N/A N/A</v>
        <stp/>
        <stp>BDS|2850206131095533880</stp>
        <tr r="PE5" s="2"/>
      </tp>
      <tp t="s">
        <v>#N/A N/A</v>
        <stp/>
        <stp>BDS|9723808582983871481</stp>
        <tr r="BW5" s="40"/>
      </tp>
      <tp t="s">
        <v>#N/A N/A</v>
        <stp/>
        <stp>BDS|4282879533753552397</stp>
        <tr r="IU5" s="7"/>
        <tr r="MG5" s="28"/>
      </tp>
      <tp t="s">
        <v>#N/A N/A</v>
        <stp/>
        <stp>BDS|8455603361547836064</stp>
        <tr r="DA5" s="19"/>
      </tp>
      <tp t="s">
        <v>#N/A N/A</v>
        <stp/>
        <stp>BDS|1988421380347347504</stp>
        <tr r="QI5" s="11"/>
      </tp>
      <tp t="s">
        <v>#N/A N/A</v>
        <stp/>
        <stp>BDS|7317902521974301792</stp>
        <tr r="TU5" s="16"/>
        <tr r="UY5" s="47"/>
      </tp>
      <tp t="s">
        <v>#N/A N/A</v>
        <stp/>
        <stp>BDS|6577627300566725989</stp>
        <tr r="JY5" s="32"/>
        <tr r="EE5" s="37"/>
      </tp>
      <tp t="s">
        <v>#N/A N/A</v>
        <stp/>
        <stp>BDS|9665683257964406152</stp>
        <tr r="BI5" s="9"/>
      </tp>
      <tp t="s">
        <v>#N/A N/A</v>
        <stp/>
        <stp>BDS|3155180804668727526</stp>
        <tr r="SQ5" s="9"/>
      </tp>
      <tp t="s">
        <v>#N/A N/A</v>
        <stp/>
        <stp>BDS|8231893455139517327</stp>
        <tr r="A5" s="8"/>
      </tp>
      <tp t="s">
        <v>#N/A N/A</v>
        <stp/>
        <stp>BDS|5467086083062376024</stp>
        <tr r="UI5" s="21"/>
      </tp>
      <tp t="s">
        <v>#N/A N/A</v>
        <stp/>
        <stp>BDS|3799904832943263597</stp>
        <tr r="AS5" s="42"/>
      </tp>
      <tp t="s">
        <v>#N/A N/A</v>
        <stp/>
        <stp>BDS|9628550978910353475</stp>
        <tr r="LC5" s="48"/>
      </tp>
      <tp t="s">
        <v>#N/A N/A</v>
        <stp/>
        <stp>BDS|5589951439184377478</stp>
        <tr r="IU5" s="45"/>
      </tp>
      <tp t="s">
        <v>#N/A N/A</v>
        <stp/>
        <stp>BDS|7525812582721715934</stp>
        <tr r="A5" s="9"/>
      </tp>
      <tp t="s">
        <v>#N/A N/A</v>
        <stp/>
        <stp>BDS|2468726674275239822</stp>
        <tr r="QW5" s="27"/>
      </tp>
      <tp t="s">
        <v>#N/A N/A</v>
        <stp/>
        <stp>BDS|5822682604109467539</stp>
        <tr r="QI5" s="27"/>
      </tp>
      <tp t="s">
        <v>#N/A N/A</v>
        <stp/>
        <stp>BDS|3648607446597352901</stp>
        <tr r="LC5" s="36"/>
      </tp>
      <tp t="s">
        <v>#N/A N/A</v>
        <stp/>
        <stp>BDS|7933076422913410984</stp>
        <tr r="LC5" s="40"/>
        <tr r="HQ5" s="8"/>
      </tp>
      <tp t="s">
        <v>#N/A N/A</v>
        <stp/>
        <stp>BDS|5692831083518613202</stp>
        <tr r="TU5" s="46"/>
        <tr r="BI5" s="10"/>
      </tp>
      <tp t="s">
        <v>#N/A N/A</v>
        <stp/>
        <stp>BDS|7205878669435963358</stp>
        <tr r="FI5" s="4"/>
      </tp>
      <tp t="s">
        <v>#N/A N/A</v>
        <stp/>
        <stp>BDS|7754210496005506653</stp>
        <tr r="A5" s="14"/>
      </tp>
      <tp t="s">
        <v>#N/A N/A</v>
        <stp/>
        <stp>BDS|5535355783096747746</stp>
        <tr r="RM5" s="41"/>
      </tp>
      <tp t="s">
        <v>#N/A N/A</v>
        <stp/>
        <stp>BDS|1878689065646342877</stp>
        <tr r="JK5" s="39"/>
      </tp>
      <tp t="s">
        <v>#N/A N/A</v>
        <stp/>
        <stp>BDS|3511756636688672018</stp>
        <tr r="HC5" s="26"/>
      </tp>
      <tp t="s">
        <v>#N/A N/A</v>
        <stp/>
        <stp>BDS|5210865655011607660</stp>
        <tr r="SA5" s="19"/>
      </tp>
      <tp t="s">
        <v>#N/A N/A</v>
        <stp/>
        <stp>BDS|3800126635639063798</stp>
        <tr r="A5" s="18"/>
      </tp>
      <tp t="s">
        <v>#N/A N/A</v>
        <stp/>
        <stp>BDS|4735778149878829076</stp>
        <tr r="IG5" s="15"/>
      </tp>
      <tp t="s">
        <v>#N/A N/A</v>
        <stp/>
        <stp>BDS|1794471924770165827</stp>
        <tr r="MG5" s="32"/>
      </tp>
      <tp t="s">
        <v>#N/A N/A</v>
        <stp/>
        <stp>BDS|8617277878726458496</stp>
        <tr r="IG5" s="29"/>
      </tp>
      <tp t="s">
        <v>#N/A N/A</v>
        <stp/>
        <stp>BDS|2092276662031453845</stp>
        <tr r="IU5" s="47"/>
      </tp>
      <tp t="s">
        <v>#N/A N/A</v>
        <stp/>
        <stp>BDS|3829026437096832906</stp>
        <tr r="FY5" s="17"/>
      </tp>
      <tp t="s">
        <v>#N/A N/A</v>
        <stp/>
        <stp>BDS|9765905915018009191</stp>
        <tr r="BI5" s="4"/>
        <tr r="RM5" s="9"/>
      </tp>
      <tp t="s">
        <v>#N/A N/A</v>
        <stp/>
        <stp>BDS|9581420510333556798</stp>
        <tr r="AE5" s="3"/>
      </tp>
      <tp t="s">
        <v>#N/A N/A</v>
        <stp/>
        <stp>BDS|4384769295845869738</stp>
        <tr r="UI5" s="32"/>
      </tp>
      <tp t="s">
        <v>#N/A N/A</v>
        <stp/>
        <stp>BDS|1997513761703429956</stp>
        <tr r="MG5" s="21"/>
        <tr r="QW5" s="46"/>
      </tp>
      <tp t="s">
        <v>#N/A N/A</v>
        <stp/>
        <stp>BDS|2899763686062660761</stp>
        <tr r="HC5" s="29"/>
      </tp>
      <tp t="s">
        <v>#N/A N/A</v>
        <stp/>
        <stp>BDS|7839404262435568874</stp>
        <tr r="DA5" s="1"/>
      </tp>
      <tp t="s">
        <v>#N/A N/A</v>
        <stp/>
        <stp>BDS|6746414809559657314</stp>
        <tr r="DA5" s="14"/>
      </tp>
      <tp t="s">
        <v>#N/A N/A</v>
        <stp/>
        <stp>BDS|1973150212521032871</stp>
        <tr r="CM5" s="41"/>
      </tp>
      <tp t="s">
        <v>#N/A N/A</v>
        <stp/>
        <stp>BDS|5258194223466952887</stp>
        <tr r="FI5" s="11"/>
      </tp>
      <tp t="s">
        <v>#N/A N/A</v>
        <stp/>
        <stp>BDS|1148579631856968928</stp>
        <tr r="GM5" s="22"/>
      </tp>
      <tp t="s">
        <v>#N/A N/A</v>
        <stp/>
        <stp>BDS|7865213284886469356</stp>
        <tr r="OA5" s="48"/>
      </tp>
      <tp t="s">
        <v>#N/A N/A</v>
        <stp/>
        <stp>BDS|4597114799134822074</stp>
        <tr r="NK5" s="15"/>
      </tp>
      <tp t="s">
        <v>#N/A N/A</v>
        <stp/>
        <stp>BDS|6218998818054193202</stp>
        <tr r="SQ5" s="22"/>
      </tp>
      <tp t="s">
        <v>#N/A N/A</v>
        <stp/>
        <stp>BDS|2015098782703925116</stp>
        <tr r="NK5" s="30"/>
      </tp>
      <tp t="s">
        <v>#N/A N/A</v>
        <stp/>
        <stp>BDS|5705715640087221978</stp>
        <tr r="A5" s="19"/>
      </tp>
      <tp t="s">
        <v>#N/A N/A</v>
        <stp/>
        <stp>BDS|9502112846582827697</stp>
        <tr r="VM5" s="13"/>
        <tr r="OO5" s="7"/>
      </tp>
      <tp t="s">
        <v>#N/A N/A</v>
        <stp/>
        <stp>BDS|8384306807934502725</stp>
        <tr r="OA5" s="34"/>
      </tp>
      <tp t="s">
        <v>#N/A N/A</v>
        <stp/>
        <stp>BDS|8230430521847315130</stp>
        <tr r="NK5" s="48"/>
      </tp>
      <tp t="s">
        <v>#N/A N/A</v>
        <stp/>
        <stp>BDS|7302676888241909058</stp>
        <tr r="MG5" s="39"/>
      </tp>
      <tp t="s">
        <v>#N/A N/A</v>
        <stp/>
        <stp>BDS|4683308697087142108</stp>
        <tr r="SA5" s="35"/>
      </tp>
      <tp t="s">
        <v>#N/A N/A</v>
        <stp/>
        <stp>BDS|6507819930915303073</stp>
        <tr r="LS5" s="30"/>
      </tp>
      <tp t="s">
        <v>#N/A N/A</v>
        <stp/>
        <stp>BDS|8445727745963268007</stp>
        <tr r="RM5" s="20"/>
      </tp>
      <tp t="s">
        <v>#N/A N/A</v>
        <stp/>
        <stp>BDS|6362368922756289948</stp>
        <tr r="PS5" s="30"/>
      </tp>
      <tp t="s">
        <v>#N/A N/A</v>
        <stp/>
        <stp>BDS|5742228721815509809</stp>
        <tr r="OO5" s="4"/>
        <tr r="PS5" s="20"/>
      </tp>
      <tp t="s">
        <v>#N/A N/A</v>
        <stp/>
        <stp>BDS|1552808446631731459</stp>
        <tr r="MG5" s="29"/>
      </tp>
      <tp t="s">
        <v>#N/A N/A</v>
        <stp/>
        <stp>BDS|3767824554027212124</stp>
        <tr r="QI5" s="44"/>
      </tp>
      <tp t="s">
        <v>#N/A N/A</v>
        <stp/>
        <stp>BDS|1705633746522067943</stp>
        <tr r="OO5" s="5"/>
      </tp>
      <tp t="s">
        <v>#N/A N/A</v>
        <stp/>
        <stp>BDS|8040158334887656515</stp>
        <tr r="AS5" s="36"/>
      </tp>
      <tp t="s">
        <v>#N/A N/A</v>
        <stp/>
        <stp>BDS|4978164698865888188</stp>
        <tr r="UI5" s="5"/>
      </tp>
      <tp t="s">
        <v>#N/A N/A</v>
        <stp/>
        <stp>BDS|5998024583782928752</stp>
        <tr r="RM5" s="5"/>
      </tp>
      <tp t="s">
        <v>#N/A N/A</v>
        <stp/>
        <stp>BDS|3630566502436611814</stp>
        <tr r="RM5" s="33"/>
      </tp>
      <tp t="s">
        <v>#N/A N/A</v>
        <stp/>
        <stp>BDS|9382802878037474856</stp>
        <tr r="TU5" s="50"/>
      </tp>
      <tp t="s">
        <v>#N/A N/A</v>
        <stp/>
        <stp>BDS|1137472628876461801</stp>
        <tr r="EU5" s="26"/>
        <tr r="RM5" s="29"/>
      </tp>
      <tp t="s">
        <v>#N/A N/A</v>
        <stp/>
        <stp>BDS|7502099943149580310</stp>
        <tr r="AS5" s="31"/>
        <tr r="MG5" s="31"/>
        <tr r="BW5" s="42"/>
        <tr r="HQ5" s="46"/>
      </tp>
      <tp t="s">
        <v>#N/A N/A</v>
        <stp/>
        <stp>BDS|8600712078114124556</stp>
        <tr r="IG5" s="4"/>
      </tp>
      <tp t="s">
        <v>#N/A N/A</v>
        <stp/>
        <stp>BDS|2895724914404523930</stp>
        <tr r="MW5" s="6"/>
      </tp>
      <tp t="s">
        <v>#N/A N/A</v>
        <stp/>
        <stp>BDS|9482210219973730032</stp>
        <tr r="AE5" s="44"/>
      </tp>
      <tp t="s">
        <v>#N/A N/A</v>
        <stp/>
        <stp>BDS|1859865024201577372</stp>
        <tr r="VM5" s="25"/>
      </tp>
      <tp t="s">
        <v>#N/A N/A</v>
        <stp/>
        <stp>BDS|9763506732193850550</stp>
        <tr r="JY5" s="37"/>
      </tp>
      <tp t="s">
        <v>#N/A N/A</v>
        <stp/>
        <stp>BDS|9279296864321633509</stp>
        <tr r="PS5" s="8"/>
        <tr r="UI5" s="19"/>
        <tr r="BW5" s="47"/>
      </tp>
      <tp t="s">
        <v>#N/A N/A</v>
        <stp/>
        <stp>BDS|2905833266642574704</stp>
        <tr r="LS5" s="20"/>
      </tp>
      <tp t="s">
        <v>#N/A N/A</v>
        <stp/>
        <stp>BDS|7059835103712680485</stp>
        <tr r="UY5" s="42"/>
      </tp>
      <tp t="s">
        <v>#N/A N/A</v>
        <stp/>
        <stp>BDS|8525167936631885230</stp>
        <tr r="IU5" s="2"/>
      </tp>
      <tp t="s">
        <v>#N/A N/A</v>
        <stp/>
        <stp>BDS|4072403999895291558</stp>
        <tr r="CM5" s="42"/>
        <tr r="AE5" s="18"/>
      </tp>
      <tp t="s">
        <v>#N/A N/A</v>
        <stp/>
        <stp>BDS|3954466703288325611</stp>
        <tr r="EE5" s="14"/>
        <tr r="UI5" s="27"/>
      </tp>
      <tp t="s">
        <v>#N/A N/A</v>
        <stp/>
        <stp>BDS|6311236684196310391</stp>
        <tr r="BW5" s="11"/>
        <tr r="AS5" s="16"/>
      </tp>
      <tp t="s">
        <v>#N/A N/A</v>
        <stp/>
        <stp>BDS|3537546196932870403</stp>
        <tr r="PS5" s="26"/>
        <tr r="EE5" s="38"/>
        <tr r="JY5" s="43"/>
      </tp>
      <tp t="s">
        <v>#N/A N/A</v>
        <stp/>
        <stp>BDS|1241418032817784890</stp>
        <tr r="QW5" s="7"/>
      </tp>
      <tp t="s">
        <v>#N/A N/A</v>
        <stp/>
        <stp>BDS|6144449645329935668</stp>
        <tr r="TE5" s="12"/>
      </tp>
      <tp t="s">
        <v>#N/A N/A</v>
        <stp/>
        <stp>BDS|2083953122426205690</stp>
        <tr r="MG5" s="2"/>
      </tp>
      <tp t="s">
        <v>#N/A N/A</v>
        <stp/>
        <stp>BDS|2737625450010027898</stp>
        <tr r="RM5" s="36"/>
        <tr r="FY5" s="48"/>
        <tr r="FY5" s="39"/>
      </tp>
      <tp t="s">
        <v>#N/A N/A</v>
        <stp/>
        <stp>BDS|9721607069879383900</stp>
        <tr r="A5" s="27"/>
        <tr r="FY5" s="30"/>
      </tp>
      <tp t="s">
        <v>#N/A N/A</v>
        <stp/>
        <stp>BDS|3454729255218947082</stp>
        <tr r="FY5" s="19"/>
      </tp>
      <tp t="s">
        <v>#N/A N/A</v>
        <stp/>
        <stp>BDS|3026424202937123931</stp>
        <tr r="HQ5" s="5"/>
      </tp>
      <tp t="s">
        <v>#N/A N/A</v>
        <stp/>
        <stp>BDS|3708916607495365609</stp>
        <tr r="AS5" s="38"/>
        <tr r="LC5" s="46"/>
      </tp>
      <tp t="s">
        <v>#N/A N/A</v>
        <stp/>
        <stp>BDS|9573738853070522229</stp>
        <tr r="QI5" s="12"/>
      </tp>
      <tp t="s">
        <v>#N/A N/A</v>
        <stp/>
        <stp>BDS|7845431574539581492</stp>
        <tr r="CM5" s="47"/>
      </tp>
      <tp t="s">
        <v>#N/A N/A</v>
        <stp/>
        <stp>BDS|4420471120559992294</stp>
        <tr r="LS5" s="6"/>
        <tr r="JK5" s="15"/>
      </tp>
      <tp t="s">
        <v>#N/A N/A</v>
        <stp/>
        <stp>BDS|4348442295736480650</stp>
        <tr r="EU5" s="10"/>
        <tr r="TU5" s="18"/>
      </tp>
      <tp t="s">
        <v>#N/A N/A</v>
        <stp/>
        <stp>BDS|4556131202914479835</stp>
        <tr r="RM5" s="7"/>
        <tr r="PE5" s="49"/>
      </tp>
      <tp t="s">
        <v>#N/A N/A</v>
        <stp/>
        <stp>BDS|5363831135492711515</stp>
        <tr r="SQ5" s="46"/>
        <tr r="BI5" s="3"/>
      </tp>
      <tp t="s">
        <v>#N/A N/A</v>
        <stp/>
        <stp>BDS|3271814929858243895</stp>
        <tr r="GM5" s="32"/>
      </tp>
      <tp t="s">
        <v>#N/A N/A</v>
        <stp/>
        <stp>BDS|6623538586235262770</stp>
        <tr r="CM5" s="27"/>
      </tp>
      <tp t="s">
        <v>#N/A N/A</v>
        <stp/>
        <stp>BDS|1362164154038135467</stp>
        <tr r="FI5" s="19"/>
      </tp>
      <tp t="s">
        <v>#N/A N/A</v>
        <stp/>
        <stp>BDS|6232427314162388807</stp>
        <tr r="UI5" s="24"/>
      </tp>
      <tp t="s">
        <v>#N/A N/A</v>
        <stp/>
        <stp>BDS|3796833621321081126</stp>
        <tr r="FI5" s="8"/>
      </tp>
      <tp t="s">
        <v>#N/A N/A</v>
        <stp/>
        <stp>BDS|5157709234089806182</stp>
        <tr r="BI5" s="40"/>
      </tp>
      <tp t="s">
        <v>#N/A N/A</v>
        <stp/>
        <stp>BDS|5871610707248283165</stp>
        <tr r="UI5" s="31"/>
      </tp>
      <tp t="s">
        <v>#N/A N/A</v>
        <stp/>
        <stp>BDS|5863516488904261696</stp>
        <tr r="QW5" s="24"/>
      </tp>
      <tp t="s">
        <v>#N/A N/A</v>
        <stp/>
        <stp>BDS|6601131861973958874</stp>
        <tr r="SQ5" s="5"/>
      </tp>
      <tp t="s">
        <v>#N/A N/A</v>
        <stp/>
        <stp>BDS|1204993817010311378</stp>
        <tr r="VM5" s="30"/>
      </tp>
      <tp t="s">
        <v>#N/A N/A</v>
        <stp/>
        <stp>BDS|2948089733313815825</stp>
        <tr r="BI5" s="6"/>
        <tr r="QI5" s="39"/>
      </tp>
      <tp t="s">
        <v>#N/A N/A</v>
        <stp/>
        <stp>BDS|1135392327198227259</stp>
        <tr r="DQ5" s="4"/>
        <tr r="AE5" s="21"/>
        <tr r="AE5" s="10"/>
      </tp>
      <tp t="s">
        <v>#N/A N/A</v>
        <stp/>
        <stp>BDS|6199945966385915634</stp>
        <tr r="FI5" s="46"/>
      </tp>
      <tp t="s">
        <v>#N/A N/A</v>
        <stp/>
        <stp>BDS|3268505485040868467</stp>
        <tr r="HQ5" s="17"/>
      </tp>
      <tp t="s">
        <v>#N/A N/A</v>
        <stp/>
        <stp>BDS|5514947009724848297</stp>
        <tr r="SA5" s="33"/>
      </tp>
      <tp t="s">
        <v>#N/A N/A</v>
        <stp/>
        <stp>BDS|8107171432059872953</stp>
        <tr r="JK5" s="35"/>
      </tp>
      <tp t="s">
        <v>#N/A N/A</v>
        <stp/>
        <stp>BDS|3677031311791382999</stp>
        <tr r="IG5" s="5"/>
        <tr r="RM5" s="17"/>
        <tr r="QI5" s="26"/>
      </tp>
      <tp t="s">
        <v>#N/A N/A</v>
        <stp/>
        <stp>BDS|6760467789834000468</stp>
        <tr r="HC5" s="11"/>
        <tr r="PE5" s="44"/>
        <tr r="KO5" s="13"/>
      </tp>
      <tp t="s">
        <v>#N/A N/A</v>
        <stp/>
        <stp>BDS|1397552179531323834</stp>
        <tr r="IG5" s="46"/>
      </tp>
      <tp t="s">
        <v>#N/A N/A</v>
        <stp/>
        <stp>BDS|5983002718017649988</stp>
        <tr r="PE5" s="21"/>
      </tp>
      <tp t="s">
        <v>#N/A N/A</v>
        <stp/>
        <stp>BDS|7279802811884920058</stp>
        <tr r="LC5" s="49"/>
      </tp>
      <tp t="s">
        <v>#N/A N/A</v>
        <stp/>
        <stp>BDS|1322605089332097762</stp>
        <tr r="AE5" s="34"/>
        <tr r="FY5" s="14"/>
      </tp>
      <tp t="s">
        <v>#N/A N/A</v>
        <stp/>
        <stp>BDS|3074181039622586990</stp>
        <tr r="SA5" s="8"/>
      </tp>
      <tp t="s">
        <v>#N/A N/A</v>
        <stp/>
        <stp>BDS|9082493286328101734</stp>
        <tr r="PE5" s="36"/>
      </tp>
      <tp t="s">
        <v>#N/A N/A</v>
        <stp/>
        <stp>BDS|3846279290412691045</stp>
        <tr r="PS5" s="40"/>
      </tp>
      <tp t="s">
        <v>#N/A N/A</v>
        <stp/>
        <stp>BDS|3460541990234981148</stp>
        <tr r="JY5" s="48"/>
      </tp>
      <tp t="s">
        <v>#N/A N/A</v>
        <stp/>
        <stp>BDS|9731712813233650615</stp>
        <tr r="NK5" s="14"/>
      </tp>
      <tp t="s">
        <v>#N/A N/A</v>
        <stp/>
        <stp>BDS|7067729415248727328</stp>
        <tr r="HC5" s="14"/>
      </tp>
      <tp t="s">
        <v>#N/A N/A</v>
        <stp/>
        <stp>BDS|9121379477055565276</stp>
        <tr r="TU5" s="12"/>
      </tp>
      <tp t="s">
        <v>#N/A N/A</v>
        <stp/>
        <stp>BDS|2668986573503863568</stp>
        <tr r="SQ5" s="19"/>
      </tp>
      <tp t="s">
        <v>#N/A N/A</v>
        <stp/>
        <stp>BDS|6089399369040792940</stp>
        <tr r="EE5" s="44"/>
      </tp>
      <tp t="s">
        <v>#N/A N/A</v>
        <stp/>
        <stp>BDS|2982401785172820676</stp>
        <tr r="JY5" s="6"/>
      </tp>
      <tp t="s">
        <v>#N/A N/A</v>
        <stp/>
        <stp>BDS|2720208804113621964</stp>
        <tr r="UI5" s="12"/>
      </tp>
      <tp t="s">
        <v>#N/A N/A</v>
        <stp/>
        <stp>BDS|2053908170221066738</stp>
        <tr r="SQ5" s="11"/>
      </tp>
      <tp t="s">
        <v>#N/A N/A</v>
        <stp/>
        <stp>BDS|2362390848347552879</stp>
        <tr r="HC5" s="35"/>
      </tp>
      <tp t="s">
        <v>#N/A N/A</v>
        <stp/>
        <stp>BDS|7144942354693674273</stp>
        <tr r="OA5" s="10"/>
        <tr r="TU5" s="10"/>
        <tr r="AE5" s="15"/>
        <tr r="RM5" s="26"/>
        <tr r="DQ5" s="49"/>
      </tp>
      <tp t="s">
        <v>#N/A N/A</v>
        <stp/>
        <stp>BDS|6292609486710784227</stp>
        <tr r="RM5" s="40"/>
      </tp>
      <tp t="s">
        <v>#N/A N/A</v>
        <stp/>
        <stp>BDS|3650933591089124048</stp>
        <tr r="CM5" s="19"/>
      </tp>
      <tp t="s">
        <v>#N/A N/A</v>
        <stp/>
        <stp>BDS|1094552372791901896</stp>
        <tr r="UY5" s="23"/>
      </tp>
      <tp t="s">
        <v>#N/A N/A</v>
        <stp/>
        <stp>BDS|9683002790612472854</stp>
        <tr r="A5" s="38"/>
      </tp>
      <tp t="s">
        <v>#N/A N/A</v>
        <stp/>
        <stp>BDS|6133894944394203498</stp>
        <tr r="OA5" s="17"/>
      </tp>
      <tp t="s">
        <v>#N/A N/A</v>
        <stp/>
        <stp>BDS|8503589143276071591</stp>
        <tr r="QW5" s="28"/>
      </tp>
      <tp t="s">
        <v>#N/A N/A</v>
        <stp/>
        <stp>BDS|3096576061633592946</stp>
        <tr r="VM5" s="41"/>
      </tp>
      <tp t="s">
        <v>#N/A N/A</v>
        <stp/>
        <stp>BDS|8859407701600779696</stp>
        <tr r="OO5" s="17"/>
      </tp>
      <tp t="s">
        <v>#N/A N/A</v>
        <stp/>
        <stp>BDS|9695270107697701655</stp>
        <tr r="AE5" s="4"/>
      </tp>
      <tp t="s">
        <v>#N/A N/A</v>
        <stp/>
        <stp>BDS|5904739186012959217</stp>
        <tr r="BI5" s="35"/>
        <tr r="RM5" s="47"/>
      </tp>
      <tp t="s">
        <v>#N/A N/A</v>
        <stp/>
        <stp>BDS|2795223785337357579</stp>
        <tr r="UY5" s="4"/>
      </tp>
      <tp t="s">
        <v>#N/A N/A</v>
        <stp/>
        <stp>BDS|4984432183662964056</stp>
        <tr r="UI5" s="34"/>
      </tp>
      <tp t="s">
        <v>#N/A N/A</v>
        <stp/>
        <stp>BDS|3257537520156172859</stp>
        <tr r="CM5" s="49"/>
      </tp>
      <tp t="s">
        <v>#N/A N/A</v>
        <stp/>
        <stp>BDS|9604111386942437809</stp>
        <tr r="PE5" s="12"/>
      </tp>
      <tp t="s">
        <v>#N/A N/A</v>
        <stp/>
        <stp>BDS|2818429970848986290</stp>
        <tr r="UI5" s="37"/>
      </tp>
      <tp t="s">
        <v>#N/A N/A</v>
        <stp/>
        <stp>BDS|2448883301293730215</stp>
        <tr r="IU5" s="5"/>
        <tr r="SA5" s="17"/>
        <tr r="QW5" s="26"/>
      </tp>
      <tp t="s">
        <v>#N/A N/A</v>
        <stp/>
        <stp>BDS|8176072728117456611</stp>
        <tr r="CM5" s="16"/>
      </tp>
      <tp t="s">
        <v>#N/A N/A</v>
        <stp/>
        <stp>BDS|9850738163223019003</stp>
        <tr r="LS5" s="15"/>
      </tp>
      <tp t="s">
        <v>#N/A N/A</v>
        <stp/>
        <stp>BDS|9993499648735559751</stp>
        <tr r="DQ5" s="34"/>
      </tp>
      <tp t="s">
        <v>#N/A N/A</v>
        <stp/>
        <stp>BDS|7151784877295365950</stp>
        <tr r="LS5" s="10"/>
      </tp>
      <tp t="s">
        <v>#N/A N/A</v>
        <stp/>
        <stp>BDS|7572272585106655080</stp>
        <tr r="DA5" s="26"/>
      </tp>
      <tp t="s">
        <v>#N/A N/A</v>
        <stp/>
        <stp>BDS|5681325249440764938</stp>
        <tr r="TE5" s="13"/>
      </tp>
      <tp t="s">
        <v>#N/A N/A</v>
        <stp/>
        <stp>BDS|6821663385894152739</stp>
        <tr r="QW5" s="41"/>
      </tp>
      <tp t="s">
        <v>#N/A N/A</v>
        <stp/>
        <stp>BDS|2544759802976952859</stp>
        <tr r="BI5" s="50"/>
      </tp>
      <tp t="s">
        <v>#N/A N/A</v>
        <stp/>
        <stp>BDS|8163848832438826014</stp>
        <tr r="UY5" s="19"/>
      </tp>
      <tp t="s">
        <v>#N/A N/A</v>
        <stp/>
        <stp>BDS|1570565514738018697</stp>
        <tr r="A5" s="28"/>
      </tp>
      <tp t="s">
        <v>#N/A N/A</v>
        <stp/>
        <stp>BDS|7811049550649130038</stp>
        <tr r="PS5" s="22"/>
      </tp>
      <tp t="s">
        <v>#N/A N/A</v>
        <stp/>
        <stp>BDS|5644848854786122589</stp>
        <tr r="OA5" s="28"/>
      </tp>
      <tp t="s">
        <v>#N/A N/A</v>
        <stp/>
        <stp>BDS|4662222274289614392</stp>
        <tr r="EU5" s="32"/>
        <tr r="DQ5" s="42"/>
        <tr r="KO5" s="44"/>
      </tp>
      <tp t="s">
        <v>#N/A N/A</v>
        <stp/>
        <stp>BDS|6706628982224346782</stp>
        <tr r="IG5" s="22"/>
      </tp>
      <tp t="s">
        <v>#N/A N/A</v>
        <stp/>
        <stp>BDS|5206801918590427726</stp>
        <tr r="PS5" s="16"/>
      </tp>
      <tp t="s">
        <v>#N/A N/A</v>
        <stp/>
        <stp>BDS|2637183884822674211</stp>
        <tr r="QW5" s="50"/>
      </tp>
      <tp t="s">
        <v>#N/A N/A</v>
        <stp/>
        <stp>BDS|8948641115853055759</stp>
        <tr r="FI5" s="34"/>
      </tp>
      <tp t="s">
        <v>#N/A N/A</v>
        <stp/>
        <stp>BDS|3654439602904308893</stp>
        <tr r="SQ5" s="31"/>
      </tp>
      <tp t="s">
        <v>#N/A N/A</v>
        <stp/>
        <stp>BDS|7581904829992512540</stp>
        <tr r="IU5" s="17"/>
      </tp>
      <tp t="s">
        <v>#N/A N/A</v>
        <stp/>
        <stp>BDS|7059161065708534343</stp>
        <tr r="FI5" s="39"/>
      </tp>
      <tp t="s">
        <v>#N/A N/A</v>
        <stp/>
        <stp>BDS|1109652384541415560</stp>
        <tr r="NK5" s="50"/>
      </tp>
      <tp t="s">
        <v>#N/A N/A</v>
        <stp/>
        <stp>BDS|3664419356911206800</stp>
        <tr r="JK5" s="4"/>
      </tp>
      <tp t="s">
        <v>#N/A N/A</v>
        <stp/>
        <stp>BDS|1949714918094492843</stp>
        <tr r="UI5" s="8"/>
        <tr r="BW5" s="36"/>
      </tp>
      <tp t="s">
        <v>#N/A N/A</v>
        <stp/>
        <stp>BDS|4568160903698993692</stp>
        <tr r="IU5" s="14"/>
        <tr r="VM5" s="18"/>
      </tp>
      <tp t="s">
        <v>#N/A N/A</v>
        <stp/>
        <stp>BDS|1319594534165997975</stp>
        <tr r="AE5" s="5"/>
      </tp>
      <tp t="s">
        <v>#N/A N/A</v>
        <stp/>
        <stp>BDS|8810540021996527287</stp>
        <tr r="LC5" s="26"/>
        <tr r="OO5" s="31"/>
      </tp>
      <tp t="s">
        <v>#N/A N/A</v>
        <stp/>
        <stp>BDS|8274061510024575616</stp>
        <tr r="PE5" s="4"/>
        <tr r="UY5" s="6"/>
      </tp>
      <tp t="s">
        <v>#N/A N/A</v>
        <stp/>
        <stp>BDS|2712107227733476942</stp>
        <tr r="OO5" s="15"/>
      </tp>
      <tp t="s">
        <v>#N/A N/A</v>
        <stp/>
        <stp>BDS|3256797697556438080</stp>
        <tr r="UY5" s="44"/>
      </tp>
      <tp t="s">
        <v>#N/A N/A</v>
        <stp/>
        <stp>BDS|5294373261782559900</stp>
        <tr r="BW5" s="5"/>
      </tp>
      <tp t="s">
        <v>#N/A N/A</v>
        <stp/>
        <stp>BDS|6409722873305363876</stp>
        <tr r="MG5" s="42"/>
      </tp>
      <tp t="s">
        <v>#N/A N/A</v>
        <stp/>
        <stp>BDS|4797028881947781026</stp>
        <tr r="UI5" s="44"/>
      </tp>
      <tp t="s">
        <v>#N/A N/A</v>
        <stp/>
        <stp>BDS|1901905117561771380</stp>
        <tr r="LC5" s="31"/>
      </tp>
      <tp t="s">
        <v>#N/A N/A</v>
        <stp/>
        <stp>BDS|3346070354505419828</stp>
        <tr r="KO5" s="47"/>
      </tp>
      <tp t="s">
        <v>#N/A N/A</v>
        <stp/>
        <stp>BDS|8233262594241018960</stp>
        <tr r="FY5" s="5"/>
        <tr r="UY5" s="24"/>
        <tr r="A5" s="25"/>
      </tp>
      <tp t="s">
        <v>#N/A N/A</v>
        <stp/>
        <stp>BDS|4353945504134564206</stp>
        <tr r="CM5" s="46"/>
      </tp>
      <tp t="s">
        <v>#N/A N/A</v>
        <stp/>
        <stp>BDS|9642029701734372613</stp>
        <tr r="LS5" s="14"/>
      </tp>
      <tp t="s">
        <v>#N/A N/A</v>
        <stp/>
        <stp>BDS|7002244852768413353</stp>
        <tr r="AE5" s="42"/>
      </tp>
      <tp t="s">
        <v>#N/A N/A</v>
        <stp/>
        <stp>BDS|4731750593779400821</stp>
        <tr r="MW5" s="48"/>
      </tp>
      <tp t="s">
        <v>#N/A N/A</v>
        <stp/>
        <stp>BDS|1192267332643998881</stp>
        <tr r="NK5" s="12"/>
      </tp>
      <tp t="s">
        <v>#N/A N/A</v>
        <stp/>
        <stp>BDS|1867273848789121532</stp>
        <tr r="HQ5" s="50"/>
        <tr r="EE5" s="5"/>
      </tp>
      <tp t="s">
        <v>#N/A N/A</v>
        <stp/>
        <stp>BDS|2494446443819644003</stp>
        <tr r="AE5" s="12"/>
        <tr r="IG5" s="31"/>
        <tr r="A5" s="17"/>
      </tp>
      <tp t="s">
        <v>#N/A N/A</v>
        <stp/>
        <stp>BDS|4351221093291623510</stp>
        <tr r="HC5" s="40"/>
        <tr r="BI5" s="41"/>
      </tp>
      <tp t="s">
        <v>#N/A N/A</v>
        <stp/>
        <stp>BDS|2205389056925182551</stp>
        <tr r="HC5" s="1"/>
        <tr r="IG5" s="27"/>
      </tp>
      <tp t="s">
        <v>#N/A N/A</v>
        <stp/>
        <stp>BDS|4958645268328592883</stp>
        <tr r="TU5" s="38"/>
      </tp>
      <tp t="s">
        <v>#N/A N/A</v>
        <stp/>
        <stp>BDS|2310271212397776297</stp>
        <tr r="BW5" s="37"/>
      </tp>
      <tp t="s">
        <v>#N/A N/A</v>
        <stp/>
        <stp>BDS|6838730986394052954</stp>
        <tr r="SQ5" s="34"/>
      </tp>
      <tp t="s">
        <v>#N/A N/A</v>
        <stp/>
        <stp>BDS|5928902455508298568</stp>
        <tr r="UI5" s="22"/>
        <tr r="FI5" s="45"/>
      </tp>
      <tp t="s">
        <v>#N/A N/A</v>
        <stp/>
        <stp>BDS|9984389290797894005</stp>
        <tr r="HC5" s="17"/>
      </tp>
      <tp t="s">
        <v>#N/A N/A</v>
        <stp/>
        <stp>BDS|9999980427504976265</stp>
        <tr r="OO5" s="38"/>
      </tp>
      <tp t="s">
        <v>#N/A N/A</v>
        <stp/>
        <stp>BDS|8107385230408354439</stp>
        <tr r="IU5" s="34"/>
      </tp>
      <tp t="s">
        <v>#N/A N/A</v>
        <stp/>
        <stp>BDS|5204302829812751258</stp>
        <tr r="AS5" s="6"/>
      </tp>
      <tp t="s">
        <v>#N/A N/A</v>
        <stp/>
        <stp>BDS|3545213638072795454</stp>
        <tr r="DQ5" s="13"/>
      </tp>
      <tp t="s">
        <v>#N/A N/A</v>
        <stp/>
        <stp>BDS|4545456782564894848</stp>
        <tr r="CM5" s="8"/>
        <tr r="QI5" s="47"/>
      </tp>
      <tp t="s">
        <v>#N/A N/A</v>
        <stp/>
        <stp>BDS|9969804825776240105</stp>
        <tr r="IG5" s="32"/>
      </tp>
      <tp t="s">
        <v>#N/A N/A</v>
        <stp/>
        <stp>BDS|5836567166567619518</stp>
        <tr r="HC5" s="48"/>
      </tp>
      <tp t="s">
        <v>#N/A N/A</v>
        <stp/>
        <stp>BDS|1641125468204739649</stp>
        <tr r="HC5" s="43"/>
      </tp>
      <tp t="s">
        <v>#N/A N/A</v>
        <stp/>
        <stp>BDS|2376669400198823815</stp>
        <tr r="A5" s="42"/>
        <tr r="SQ5" s="42"/>
      </tp>
      <tp t="s">
        <v>#N/A N/A</v>
        <stp/>
        <stp>BDS|2970272061136133420</stp>
        <tr r="VM5" s="45"/>
      </tp>
      <tp t="s">
        <v>#N/A N/A</v>
        <stp/>
        <stp>BDS|2186682797038245115</stp>
        <tr r="LS5" s="44"/>
      </tp>
      <tp t="s">
        <v>#N/A N/A</v>
        <stp/>
        <stp>BDS|5983962590911450064</stp>
        <tr r="KO5" s="38"/>
      </tp>
      <tp t="s">
        <v>#N/A N/A</v>
        <stp/>
        <stp>BDS|4211506132111727756</stp>
        <tr r="OA5" s="19"/>
      </tp>
      <tp t="s">
        <v>#N/A N/A</v>
        <stp/>
        <stp>BDS|8264872752408338965</stp>
        <tr r="FY5" s="36"/>
      </tp>
      <tp t="s">
        <v>#N/A N/A</v>
        <stp/>
        <stp>BDS|7746195501795958759</stp>
        <tr r="GM5" s="19"/>
      </tp>
      <tp t="s">
        <v>#N/A N/A</v>
        <stp/>
        <stp>BDS|8094223992432006531</stp>
        <tr r="UY5" s="22"/>
      </tp>
      <tp t="s">
        <v>#N/A N/A</v>
        <stp/>
        <stp>BDS|8281030190301398416</stp>
        <tr r="MW5" s="33"/>
      </tp>
      <tp t="s">
        <v>#N/A N/A</v>
        <stp/>
        <stp>BDS|6853442478737515612</stp>
        <tr r="MG5" s="30"/>
      </tp>
      <tp t="s">
        <v>#N/A N/A</v>
        <stp/>
        <stp>BDS|9236984215296804376</stp>
        <tr r="BW5" s="3"/>
        <tr r="TE5" s="46"/>
      </tp>
      <tp t="s">
        <v>#N/A N/A</v>
        <stp/>
        <stp>BDS|1021219173589158921</stp>
        <tr r="UY5" s="3"/>
      </tp>
      <tp t="s">
        <v>#N/A N/A</v>
        <stp/>
        <stp>BDS|4181820533889887291</stp>
        <tr r="OO5" s="2"/>
        <tr r="UI5" s="20"/>
        <tr r="OO5" s="21"/>
        <tr r="O5" s="40"/>
        <tr r="NK5" s="37"/>
        <tr r="TE5" s="41"/>
        <tr r="MG5" s="25"/>
      </tp>
      <tp t="s">
        <v>#N/A N/A</v>
        <stp/>
        <stp>BDS|7257171183833359949</stp>
        <tr r="UI5" s="1"/>
      </tp>
      <tp t="s">
        <v>#N/A N/A</v>
        <stp/>
        <stp>BDS|6667676014912341707</stp>
        <tr r="FY5" s="4"/>
      </tp>
      <tp t="s">
        <v>#N/A N/A</v>
        <stp/>
        <stp>BDS|4228947055175389964</stp>
        <tr r="IG5" s="30"/>
      </tp>
      <tp t="s">
        <v>#N/A N/A</v>
        <stp/>
        <stp>BDS|1710853915704349834</stp>
        <tr r="VM5" s="14"/>
      </tp>
      <tp t="s">
        <v>#N/A N/A</v>
        <stp/>
        <stp>BDS|9897457797803831350</stp>
        <tr r="JK5" s="30"/>
      </tp>
      <tp t="s">
        <v>#N/A N/A</v>
        <stp/>
        <stp>BDS|7935317439906604537</stp>
        <tr r="IU5" s="32"/>
      </tp>
      <tp t="s">
        <v>#N/A N/A</v>
        <stp/>
        <stp>BDS|8167869713794851186</stp>
        <tr r="TE5" s="31"/>
      </tp>
      <tp t="s">
        <v>#N/A N/A</v>
        <stp/>
        <stp>BDS|7686748634447699045</stp>
        <tr r="LS5" s="50"/>
      </tp>
      <tp t="s">
        <v>#N/A N/A</v>
        <stp/>
        <stp>BDS|4585758316640722658</stp>
        <tr r="KO5" s="21"/>
      </tp>
      <tp t="s">
        <v>#N/A N/A</v>
        <stp/>
        <stp>BDS|5283131504096410642</stp>
        <tr r="A5" s="30"/>
      </tp>
      <tp t="s">
        <v>#N/A N/A</v>
        <stp/>
        <stp>BDS|1704305824263588733</stp>
        <tr r="TU5" s="7"/>
        <tr r="CM5" s="20"/>
      </tp>
      <tp t="s">
        <v>#N/A N/A</v>
        <stp/>
        <stp>BDS|4939677245943674186</stp>
        <tr r="LS5" s="23"/>
      </tp>
      <tp t="s">
        <v>#N/A N/A</v>
        <stp/>
        <stp>BDS|7673770558573840246</stp>
        <tr r="FY5" s="27"/>
      </tp>
      <tp t="s">
        <v>#N/A N/A</v>
        <stp/>
        <stp>BDS|4627728880258156709</stp>
        <tr r="EE5" s="23"/>
      </tp>
      <tp t="s">
        <v>#N/A N/A</v>
        <stp/>
        <stp>BDS|5039439436903742480</stp>
        <tr r="MW5" s="25"/>
      </tp>
      <tp t="s">
        <v>#N/A N/A</v>
        <stp/>
        <stp>BDS|6438611270006664491</stp>
        <tr r="HC5" s="19"/>
      </tp>
      <tp t="s">
        <v>#N/A N/A</v>
        <stp/>
        <stp>BDS|3626761804744865567</stp>
        <tr r="IG5" s="19"/>
        <tr r="RM5" s="22"/>
        <tr r="JK5" s="49"/>
      </tp>
      <tp t="s">
        <v>#N/A N/A</v>
        <stp/>
        <stp>BDS|4377687352175100731</stp>
        <tr r="MW5" s="18"/>
      </tp>
      <tp t="s">
        <v>#N/A N/A</v>
        <stp/>
        <stp>BDS|5272723120713259690</stp>
        <tr r="DA5" s="50"/>
        <tr r="PS5" s="5"/>
        <tr r="EE5" s="47"/>
        <tr r="DA5" s="7"/>
        <tr r="NK5" s="28"/>
      </tp>
      <tp t="s">
        <v>#N/A N/A</v>
        <stp/>
        <stp>BDS|5605599172306272449</stp>
        <tr r="GM5" s="23"/>
      </tp>
      <tp t="s">
        <v>#N/A N/A</v>
        <stp/>
        <stp>BDS|8014550680437991744</stp>
        <tr r="BI5" s="24"/>
      </tp>
      <tp t="s">
        <v>#N/A N/A</v>
        <stp/>
        <stp>BDS|3802970054879170322</stp>
        <tr r="SA5" s="40"/>
      </tp>
      <tp t="s">
        <v>#N/A N/A</v>
        <stp/>
        <stp>BDS|2474185696279242606</stp>
        <tr r="O5" s="1"/>
      </tp>
      <tp t="s">
        <v>#N/A N/A</v>
        <stp/>
        <stp>BDS|9028709019198100210</stp>
        <tr r="MW5" s="30"/>
      </tp>
      <tp t="s">
        <v>#N/A N/A</v>
        <stp/>
        <stp>BDS|9085626026879551181</stp>
        <tr r="PS5" s="1"/>
        <tr r="LC5" s="7"/>
        <tr r="OO5" s="11"/>
        <tr r="DA5" s="25"/>
        <tr r="GM5" s="31"/>
        <tr r="IU5" s="38"/>
        <tr r="DA5" s="35"/>
        <tr r="HQ5" s="44"/>
        <tr r="MG5" s="46"/>
      </tp>
      <tp t="s">
        <v>#N/A N/A</v>
        <stp/>
        <stp>BDS|6691168928026636672</stp>
        <tr r="KO5" s="11"/>
      </tp>
      <tp t="s">
        <v>#N/A N/A</v>
        <stp/>
        <stp>BDS|8345589897052198331</stp>
        <tr r="KO5" s="39"/>
      </tp>
      <tp t="s">
        <v>#N/A N/A</v>
        <stp/>
        <stp>BDS|9951559856089240572</stp>
        <tr r="QW5" s="2"/>
      </tp>
      <tp t="s">
        <v>#N/A N/A</v>
        <stp/>
        <stp>BDS|8016839516584874023</stp>
        <tr r="PS5" s="47"/>
      </tp>
      <tp t="s">
        <v>#N/A N/A</v>
        <stp/>
        <stp>BDS|2143087466654949593</stp>
        <tr r="FI5" s="33"/>
      </tp>
      <tp t="s">
        <v>#N/A N/A</v>
        <stp/>
        <stp>BDS|4037518034022027593</stp>
        <tr r="QI5" s="36"/>
      </tp>
      <tp t="s">
        <v>#N/A N/A</v>
        <stp/>
        <stp>BDS|6018318376052997529</stp>
        <tr r="DQ5" s="7"/>
        <tr r="UY5" s="21"/>
      </tp>
      <tp t="s">
        <v>#N/A N/A</v>
        <stp/>
        <stp>BDS|6566340412070702188</stp>
        <tr r="DA5" s="9"/>
        <tr r="NK5" s="46"/>
      </tp>
      <tp t="s">
        <v>#N/A N/A</v>
        <stp/>
        <stp>BDS|1275757718122122026</stp>
        <tr r="HC5" s="9"/>
      </tp>
      <tp t="s">
        <v>#N/A N/A</v>
        <stp/>
        <stp>BDS|9935604546778315612</stp>
        <tr r="UY5" s="17"/>
      </tp>
      <tp t="s">
        <v>#N/A N/A</v>
        <stp/>
        <stp>BDS|4875495168967786435</stp>
        <tr r="DQ5" s="9"/>
      </tp>
      <tp t="s">
        <v>#N/A N/A</v>
        <stp/>
        <stp>BDS|7580229512078618917</stp>
        <tr r="JY5" s="3"/>
      </tp>
      <tp t="s">
        <v>#N/A N/A</v>
        <stp/>
        <stp>BDS|6702001255905839395</stp>
        <tr r="VM5" s="31"/>
      </tp>
      <tp t="s">
        <v>#N/A N/A</v>
        <stp/>
        <stp>BDS|1281093461040959202</stp>
        <tr r="LS5" s="8"/>
      </tp>
      <tp t="s">
        <v>#N/A N/A</v>
        <stp/>
        <stp>BDS|3293769154673387736</stp>
        <tr r="HQ5" s="16"/>
      </tp>
      <tp t="s">
        <v>#N/A N/A</v>
        <stp/>
        <stp>BDS|4065029432142019006</stp>
        <tr r="EU5" s="40"/>
      </tp>
      <tp t="s">
        <v>#N/A N/A</v>
        <stp/>
        <stp>BDS|7071145366834239104</stp>
        <tr r="FY5" s="41"/>
      </tp>
      <tp t="s">
        <v>#N/A N/A</v>
        <stp/>
        <stp>BDS|6586798969355271775</stp>
        <tr r="HQ5" s="14"/>
      </tp>
      <tp t="s">
        <v>#N/A N/A</v>
        <stp/>
        <stp>BDS|7423375644104769105</stp>
        <tr r="AS5" s="46"/>
      </tp>
      <tp t="s">
        <v>#N/A N/A</v>
        <stp/>
        <stp>BDS|4101273103693389077</stp>
        <tr r="IG5" s="50"/>
      </tp>
      <tp t="s">
        <v>#N/A N/A</v>
        <stp/>
        <stp>BDS|6857098833618026831</stp>
        <tr r="O5" s="45"/>
      </tp>
      <tp t="s">
        <v>#N/A N/A</v>
        <stp/>
        <stp>BDS|8748818211580082468</stp>
        <tr r="FY5" s="9"/>
      </tp>
      <tp t="s">
        <v>#N/A N/A</v>
        <stp/>
        <stp>BDS|7757905985252607150</stp>
        <tr r="JK5" s="47"/>
      </tp>
      <tp t="s">
        <v>#N/A N/A</v>
        <stp/>
        <stp>BDS|3266737578715039383</stp>
        <tr r="SQ5" s="10"/>
      </tp>
      <tp t="s">
        <v>#N/A N/A</v>
        <stp/>
        <stp>BDS|7664674800772172615</stp>
        <tr r="MW5" s="35"/>
        <tr r="DQ5" s="43"/>
      </tp>
      <tp t="s">
        <v>#N/A N/A</v>
        <stp/>
        <stp>BDS|7951192400925782663</stp>
        <tr r="CM5" s="31"/>
        <tr r="MW5" s="3"/>
      </tp>
      <tp t="s">
        <v>#N/A N/A</v>
        <stp/>
        <stp>BDS|6010218824146564561</stp>
        <tr r="EU5" s="20"/>
      </tp>
      <tp t="s">
        <v>#N/A N/A</v>
        <stp/>
        <stp>BDS|3745107542277228413</stp>
        <tr r="UI5" s="16"/>
        <tr r="VM5" s="47"/>
      </tp>
      <tp t="s">
        <v>#N/A N/A</v>
        <stp/>
        <stp>BDS|5336720843817476409</stp>
        <tr r="LC5" s="47"/>
      </tp>
      <tp t="s">
        <v>#N/A N/A</v>
        <stp/>
        <stp>BDS|6350150970681922489</stp>
        <tr r="BW5" s="9"/>
      </tp>
      <tp t="s">
        <v>#N/A N/A</v>
        <stp/>
        <stp>BDS|6765259554092531642</stp>
        <tr r="JY5" s="33"/>
      </tp>
      <tp t="s">
        <v>#N/A N/A</v>
        <stp/>
        <stp>BDS|4275605842982181161</stp>
        <tr r="QI5" s="22"/>
      </tp>
      <tp t="s">
        <v>#N/A N/A</v>
        <stp/>
        <stp>BDS|7253832858578824761</stp>
        <tr r="QI5" s="41"/>
      </tp>
      <tp t="s">
        <v>#N/A N/A</v>
        <stp/>
        <stp>BDS|8747821576522648019</stp>
        <tr r="AE5" s="47"/>
      </tp>
      <tp t="s">
        <v>#N/A N/A</v>
        <stp/>
        <stp>BDS|1853083303300031474</stp>
        <tr r="EU5" s="31"/>
      </tp>
      <tp t="s">
        <v>#N/A N/A</v>
        <stp/>
        <stp>BDS|3908530524864927527</stp>
        <tr r="IG5" s="8"/>
      </tp>
      <tp t="s">
        <v>#N/A N/A</v>
        <stp/>
        <stp>BDS|2195522236970648167</stp>
        <tr r="UI5" s="3"/>
      </tp>
      <tp t="s">
        <v>#N/A N/A</v>
        <stp/>
        <stp>BDS|5112222068146950273</stp>
        <tr r="PE5" s="23"/>
      </tp>
      <tp t="s">
        <v>#N/A N/A</v>
        <stp/>
        <stp>BDS|8413326721384667847</stp>
        <tr r="O5" s="5"/>
        <tr r="BW5" s="18"/>
        <tr r="UI5" s="33"/>
      </tp>
      <tp t="s">
        <v>#N/A N/A</v>
        <stp/>
        <stp>BDS|6037499800852519669</stp>
        <tr r="A5" s="15"/>
      </tp>
      <tp t="s">
        <v>#N/A N/A</v>
        <stp/>
        <stp>BDS|5478466850206116497</stp>
        <tr r="IG5" s="18"/>
        <tr r="FY5" s="7"/>
        <tr r="JK5" s="26"/>
        <tr r="FY5" s="33"/>
      </tp>
      <tp t="s">
        <v>#N/A N/A</v>
        <stp/>
        <stp>BDS|8137224013734825939</stp>
        <tr r="NK5" s="24"/>
      </tp>
      <tp t="s">
        <v>#N/A N/A</v>
        <stp/>
        <stp>BDS|1883740911043153279</stp>
        <tr r="MW5" s="16"/>
      </tp>
      <tp t="s">
        <v>#N/A N/A</v>
        <stp/>
        <stp>BDS|2365781433205139523</stp>
        <tr r="JY5" s="30"/>
      </tp>
      <tp t="s">
        <v>#N/A N/A</v>
        <stp/>
        <stp>BDS|4056196526822570327</stp>
        <tr r="UY5" s="32"/>
        <tr r="JK5" s="46"/>
      </tp>
      <tp t="s">
        <v>#N/A N/A</v>
        <stp/>
        <stp>BDS|3140562507478889805</stp>
        <tr r="IG5" s="14"/>
        <tr r="UY5" s="18"/>
      </tp>
      <tp t="s">
        <v>#N/A N/A</v>
        <stp/>
        <stp>BDS|3871021479243258195</stp>
        <tr r="EE5" s="3"/>
      </tp>
      <tp t="s">
        <v>#N/A N/A</v>
        <stp/>
        <stp>BDS|2587360543934148788</stp>
        <tr r="PE5" s="29"/>
      </tp>
      <tp t="s">
        <v>#N/A N/A</v>
        <stp/>
        <stp>BDS|4724358048751173428</stp>
        <tr r="DQ5" s="2"/>
      </tp>
      <tp t="s">
        <v>#N/A N/A</v>
        <stp/>
        <stp>BDS|1636366429482060400</stp>
        <tr r="UI5" s="6"/>
        <tr r="JY5" s="23"/>
      </tp>
      <tp t="s">
        <v>#N/A N/A</v>
        <stp/>
        <stp>BDS|2848327923634795106</stp>
        <tr r="PE5" s="15"/>
      </tp>
      <tp t="s">
        <v>#N/A N/A</v>
        <stp/>
        <stp>BDS|4407629585305469992</stp>
        <tr r="HQ5" s="30"/>
      </tp>
      <tp t="s">
        <v>#N/A N/A</v>
        <stp/>
        <stp>BDS|4828739432264159260</stp>
        <tr r="HC5" s="3"/>
      </tp>
      <tp t="s">
        <v>#N/A N/A</v>
        <stp/>
        <stp>BDS|5072609951334940472</stp>
        <tr r="EE5" s="50"/>
      </tp>
      <tp t="s">
        <v>#N/A N/A</v>
        <stp/>
        <stp>BDS|4728452456807849434</stp>
        <tr r="TE5" s="43"/>
        <tr r="OO5" s="46"/>
      </tp>
      <tp t="s">
        <v>#N/A N/A</v>
        <stp/>
        <stp>BDS|6565940026558088384</stp>
        <tr r="IU5" s="12"/>
      </tp>
      <tp t="s">
        <v>#N/A N/A</v>
        <stp/>
        <stp>BDS|4949468579566884717</stp>
        <tr r="QW5" s="14"/>
      </tp>
      <tp t="s">
        <v>#N/A N/A</v>
        <stp/>
        <stp>BDS|5519085001784773740</stp>
        <tr r="GM5" s="47"/>
        <tr r="VM5" s="1"/>
      </tp>
      <tp t="s">
        <v>#N/A N/A</v>
        <stp/>
        <stp>BDS|7663397717817784438</stp>
        <tr r="GM5" s="30"/>
        <tr r="O5" s="27"/>
      </tp>
      <tp t="s">
        <v>#N/A N/A</v>
        <stp/>
        <stp>BDS|6025454073085283687</stp>
        <tr r="EE5" s="9"/>
      </tp>
      <tp t="s">
        <v>#N/A N/A</v>
        <stp/>
        <stp>BDS|8094194026004185929</stp>
        <tr r="HQ5" s="11"/>
        <tr r="LC5" s="13"/>
        <tr r="PS5" s="44"/>
      </tp>
      <tp t="s">
        <v>#N/A N/A</v>
        <stp/>
        <stp>BDS|4892329857770617477</stp>
        <tr r="TE5" s="5"/>
      </tp>
      <tp t="s">
        <v>#N/A N/A</v>
        <stp/>
        <stp>BDS|2401461214908313982</stp>
        <tr r="RM5" s="27"/>
      </tp>
      <tp t="s">
        <v>#N/A N/A</v>
        <stp/>
        <stp>BDS|8029848964773995340</stp>
        <tr r="JY5" s="27"/>
      </tp>
      <tp t="s">
        <v>#N/A N/A</v>
        <stp/>
        <stp>BDS|5844838519353503951</stp>
        <tr r="OA5" s="44"/>
      </tp>
      <tp t="s">
        <v>#N/A N/A</v>
        <stp/>
        <stp>BDS|6515637010653341476</stp>
        <tr r="PS5" s="42"/>
      </tp>
      <tp t="s">
        <v>#N/A N/A</v>
        <stp/>
        <stp>BDS|7514020220583227071</stp>
        <tr r="O5" s="15"/>
      </tp>
      <tp t="s">
        <v>#N/A N/A</v>
        <stp/>
        <stp>BDS|4826834832210964927</stp>
        <tr r="MG5" s="17"/>
        <tr r="NK5" s="41"/>
      </tp>
      <tp t="s">
        <v>#N/A N/A</v>
        <stp/>
        <stp>BDS|4516359247912311772</stp>
        <tr r="MW5" s="5"/>
        <tr r="DQ5" s="45"/>
      </tp>
      <tp t="s">
        <v>#N/A N/A</v>
        <stp/>
        <stp>BDS|3264709810187390426</stp>
        <tr r="HQ5" s="49"/>
      </tp>
      <tp t="s">
        <v>#N/A N/A</v>
        <stp/>
        <stp>BDS|9132237682233241613</stp>
        <tr r="O5" s="24"/>
      </tp>
      <tp t="s">
        <v>#N/A N/A</v>
        <stp/>
        <stp>BDS|9655246054039618133</stp>
        <tr r="HQ5" s="2"/>
      </tp>
      <tp t="s">
        <v>#N/A N/A</v>
        <stp/>
        <stp>BDS|2469579171026011024</stp>
        <tr r="UI5" s="29"/>
      </tp>
      <tp t="s">
        <v>#N/A N/A</v>
        <stp/>
        <stp>BDS|9498223285550081538</stp>
        <tr r="EU5" s="19"/>
      </tp>
      <tp t="s">
        <v>#N/A N/A</v>
        <stp/>
        <stp>BDS|8573567529118265194</stp>
        <tr r="VM5" s="12"/>
      </tp>
      <tp t="s">
        <v>#N/A N/A</v>
        <stp/>
        <stp>BDS|5225217237550631235</stp>
        <tr r="KO5" s="1"/>
      </tp>
      <tp t="s">
        <v>#N/A N/A</v>
        <stp/>
        <stp>BDS|5896109181073134994</stp>
        <tr r="NK5" s="44"/>
      </tp>
      <tp t="s">
        <v>#N/A N/A</v>
        <stp/>
        <stp>BDS|6520405977255469617</stp>
        <tr r="PS5" s="37"/>
      </tp>
      <tp t="s">
        <v>#N/A N/A</v>
        <stp/>
        <stp>BDS|9900384012014706930</stp>
        <tr r="LS5" s="39"/>
      </tp>
      <tp t="s">
        <v>#N/A N/A</v>
        <stp/>
        <stp>BDS|6408488839422716564</stp>
        <tr r="AE5" s="9"/>
        <tr r="EU5" s="14"/>
        <tr r="DQ5" s="29"/>
      </tp>
      <tp t="s">
        <v>#N/A N/A</v>
        <stp/>
        <stp>BDS|4088353237190743212</stp>
        <tr r="IG5" s="10"/>
      </tp>
      <tp t="s">
        <v>#N/A N/A</v>
        <stp/>
        <stp>BDS|2009476000340368007</stp>
        <tr r="DA5" s="11"/>
        <tr r="FI5" s="22"/>
      </tp>
      <tp t="s">
        <v>#N/A N/A</v>
        <stp/>
        <stp>BDS|1473697361635982204</stp>
        <tr r="QI5" s="30"/>
      </tp>
      <tp t="s">
        <v>#N/A N/A</v>
        <stp/>
        <stp>BDS|9795951777529629861</stp>
        <tr r="IU5" s="23"/>
        <tr r="TE5" s="36"/>
      </tp>
      <tp t="s">
        <v>#N/A N/A</v>
        <stp/>
        <stp>BDS|1939417108491357266</stp>
        <tr r="MG5" s="33"/>
      </tp>
      <tp t="s">
        <v>#N/A N/A</v>
        <stp/>
        <stp>BDS|2339427140350998524</stp>
        <tr r="IU5" s="50"/>
      </tp>
      <tp t="s">
        <v>#N/A N/A</v>
        <stp/>
        <stp>BDS|5915814923480673874</stp>
        <tr r="HQ5" s="37"/>
      </tp>
      <tp t="s">
        <v>#N/A N/A</v>
        <stp/>
        <stp>BDS|7908707649216353593</stp>
        <tr r="PE5" s="39"/>
      </tp>
      <tp t="s">
        <v>#N/A N/A</v>
        <stp/>
        <stp>BDS|7275811856018822573</stp>
        <tr r="A5" s="46"/>
        <tr r="LS5" s="38"/>
      </tp>
      <tp t="s">
        <v>#N/A N/A</v>
        <stp/>
        <stp>BDS|3439241655593888064</stp>
        <tr r="LC5" s="33"/>
      </tp>
      <tp t="s">
        <v>#N/A N/A</v>
        <stp/>
        <stp>BDS|2486352008323747553</stp>
        <tr r="LC5" s="3"/>
      </tp>
      <tp t="s">
        <v>#N/A N/A</v>
        <stp/>
        <stp>BDS|7568227537579809834</stp>
        <tr r="PE5" s="14"/>
      </tp>
      <tp t="s">
        <v>#N/A N/A</v>
        <stp/>
        <stp>BDS|5219332669551242613</stp>
        <tr r="PE5" s="46"/>
      </tp>
      <tp t="s">
        <v>#N/A N/A</v>
        <stp/>
        <stp>BDS|5048147625219214885</stp>
        <tr r="OO5" s="12"/>
      </tp>
      <tp t="s">
        <v>#N/A N/A</v>
        <stp/>
        <stp>BDS|6884961781400084079</stp>
        <tr r="GM5" s="45"/>
      </tp>
      <tp t="s">
        <v>#N/A N/A</v>
        <stp/>
        <stp>BDS|1384181002326608176</stp>
        <tr r="CM5" s="38"/>
      </tp>
      <tp t="s">
        <v>#N/A N/A</v>
        <stp/>
        <stp>BDS|4776315931760717388</stp>
        <tr r="IU5" s="40"/>
      </tp>
      <tp t="s">
        <v>#N/A N/A</v>
        <stp/>
        <stp>BDS|7011036083988831001</stp>
        <tr r="NK5" s="29"/>
      </tp>
      <tp t="s">
        <v>#N/A N/A</v>
        <stp/>
        <stp>BDS|5846552367153100236</stp>
        <tr r="AE5" s="17"/>
      </tp>
      <tp t="s">
        <v>#N/A N/A</v>
        <stp/>
        <stp>BDS|5086496521911062504</stp>
        <tr r="UI5" s="23"/>
        <tr r="BW5" s="25"/>
      </tp>
      <tp t="s">
        <v>#N/A N/A</v>
        <stp/>
        <stp>BDS|9534570908023567866</stp>
        <tr r="LC5" s="24"/>
      </tp>
      <tp t="s">
        <v>#N/A N/A</v>
        <stp/>
        <stp>BDS|5227782753708976895</stp>
        <tr r="IG5" s="26"/>
      </tp>
      <tp t="s">
        <v>#N/A N/A</v>
        <stp/>
        <stp>BDS|6322807030672819827</stp>
        <tr r="UY5" s="10"/>
      </tp>
      <tp t="s">
        <v>#N/A N/A</v>
        <stp/>
        <stp>BDS|1207772872631717790</stp>
        <tr r="SA5" s="34"/>
      </tp>
      <tp t="s">
        <v>#N/A N/A</v>
        <stp/>
        <stp>BDS|6939134706799292907</stp>
        <tr r="DQ5" s="22"/>
        <tr r="QI5" s="40"/>
        <tr r="EU5" s="43"/>
      </tp>
      <tp t="s">
        <v>#N/A N/A</v>
        <stp/>
        <stp>BDS|7442042433994579786</stp>
        <tr r="BW5" s="30"/>
      </tp>
      <tp t="s">
        <v>#N/A N/A</v>
        <stp/>
        <stp>BDS|1917005013114346362</stp>
        <tr r="PE5" s="32"/>
      </tp>
      <tp t="s">
        <v>#N/A N/A</v>
        <stp/>
        <stp>BDS|7558496758488908923</stp>
        <tr r="BW5" s="27"/>
      </tp>
      <tp t="s">
        <v>#N/A N/A</v>
        <stp/>
        <stp>BDS|7965790369559407818</stp>
        <tr r="RM5" s="46"/>
      </tp>
      <tp t="s">
        <v>#N/A N/A</v>
        <stp/>
        <stp>BDS|5682007364144754092</stp>
        <tr r="KO5" s="34"/>
      </tp>
      <tp t="s">
        <v>#N/A N/A</v>
        <stp/>
        <stp>BDS|5086824281936852466</stp>
        <tr r="PS5" s="50"/>
        <tr r="QW5" s="1"/>
        <tr r="LC5" s="2"/>
        <tr r="SA5" s="3"/>
        <tr r="O5" s="7"/>
        <tr r="AS5" s="8"/>
        <tr r="GM5" s="8"/>
        <tr r="VM5" s="8"/>
        <tr r="JY5" s="11"/>
        <tr r="MG5" s="11"/>
        <tr r="PS5" s="11"/>
        <tr r="MG5" s="12"/>
        <tr r="O5" s="12"/>
        <tr r="EE5" s="17"/>
        <tr r="BW5" s="19"/>
        <tr r="VM5" s="20"/>
        <tr r="BW5" s="22"/>
        <tr r="QW5" s="31"/>
        <tr r="SA5" s="31"/>
        <tr r="MG5" s="36"/>
        <tr r="VM5" s="36"/>
        <tr r="MG5" s="40"/>
        <tr r="JY5" s="45"/>
        <tr r="AS5" s="48"/>
        <tr r="BW5" s="48"/>
      </tp>
      <tp t="s">
        <v>#N/A N/A</v>
        <stp/>
        <stp>BDS|6230769630271153476</stp>
        <tr r="O5" s="47"/>
      </tp>
      <tp t="s">
        <v>#N/A N/A</v>
        <stp/>
        <stp>BDS|6336558329782961443</stp>
        <tr r="PE5" s="13"/>
      </tp>
      <tp t="s">
        <v>#N/A N/A</v>
        <stp/>
        <stp>BDS|4956473868172280360</stp>
        <tr r="HC5" s="4"/>
      </tp>
      <tp t="s">
        <v>#N/A N/A</v>
        <stp/>
        <stp>BDS|5206827597335066648</stp>
        <tr r="LC5" s="42"/>
      </tp>
      <tp t="s">
        <v>#N/A N/A</v>
        <stp/>
        <stp>BDS|6801616603334188382</stp>
        <tr r="OA5" s="38"/>
      </tp>
      <tp t="s">
        <v>#N/A N/A</v>
        <stp/>
        <stp>BDS|3665730877764604073</stp>
        <tr r="SA5" s="36"/>
        <tr r="GM5" s="39"/>
        <tr r="GM5" s="48"/>
      </tp>
      <tp t="s">
        <v>#N/A N/A</v>
        <stp/>
        <stp>BDS|1174028058715811609</stp>
        <tr r="EE5" s="1"/>
      </tp>
      <tp t="s">
        <v>#N/A N/A</v>
        <stp/>
        <stp>BDS|3441883637727925816</stp>
        <tr r="BI5" s="1"/>
      </tp>
      <tp t="s">
        <v>#N/A N/A</v>
        <stp/>
        <stp>BDS|6152701468646110680</stp>
        <tr r="TU5" s="36"/>
      </tp>
      <tp t="s">
        <v>#N/A N/A</v>
        <stp/>
        <stp>BDS|8255529956127507827</stp>
        <tr r="DA5" s="45"/>
      </tp>
      <tp t="s">
        <v>#N/A N/A</v>
        <stp/>
        <stp>BDS|3024304565504742535</stp>
        <tr r="O5" s="32"/>
        <tr r="SA5" s="25"/>
      </tp>
      <tp t="s">
        <v>#N/A N/A</v>
        <stp/>
        <stp>BDS|7675271308615729789</stp>
        <tr r="BI5" s="27"/>
      </tp>
      <tp t="s">
        <v>#N/A N/A</v>
        <stp/>
        <stp>BDS|8691393898396788362</stp>
        <tr r="TU5" s="2"/>
      </tp>
      <tp t="s">
        <v>#N/A N/A</v>
        <stp/>
        <stp>BDS|3042444054186340353</stp>
        <tr r="O5" s="48"/>
      </tp>
      <tp t="s">
        <v>#N/A N/A</v>
        <stp/>
        <stp>BDS|2822083537570331639</stp>
        <tr r="CM5" s="25"/>
        <tr r="IG5" s="38"/>
        <tr r="OA5" s="11"/>
        <tr r="FY5" s="31"/>
        <tr r="PE5" s="1"/>
        <tr r="KO5" s="7"/>
        <tr r="CM5" s="35"/>
        <tr r="HC5" s="44"/>
        <tr r="LS5" s="46"/>
      </tp>
      <tp t="s">
        <v>#N/A N/A</v>
        <stp/>
        <stp>BDS|5816085977221519458</stp>
        <tr r="SQ5" s="33"/>
      </tp>
      <tp t="s">
        <v>#N/A N/A</v>
        <stp/>
        <stp>BDS|1784637256604782123</stp>
        <tr r="HQ5" s="7"/>
      </tp>
      <tp t="s">
        <v>#N/A N/A</v>
        <stp/>
        <stp>BDS|8221530552277535811</stp>
        <tr r="SA5" s="38"/>
      </tp>
      <tp t="s">
        <v>#N/A N/A</v>
        <stp/>
        <stp>BDS|4893901504979015388</stp>
        <tr r="VM5" s="5"/>
      </tp>
      <tp t="s">
        <v>#N/A N/A</v>
        <stp/>
        <stp>BDS|7848216739824717536</stp>
        <tr r="TE5" s="37"/>
      </tp>
      <tp t="s">
        <v>#N/A N/A</v>
        <stp/>
        <stp>BDS|6042411636085100322</stp>
        <tr r="IU5" s="19"/>
        <tr r="SA5" s="22"/>
        <tr r="JY5" s="49"/>
      </tp>
      <tp t="s">
        <v>#N/A N/A</v>
        <stp/>
        <stp>BDS|2608529867743595522</stp>
        <tr r="MW5" s="49"/>
      </tp>
      <tp t="s">
        <v>#N/A N/A</v>
        <stp/>
        <stp>BDS|1381982289235758218</stp>
        <tr r="AE5" s="1"/>
      </tp>
      <tp t="s">
        <v>#N/A N/A</v>
        <stp/>
        <stp>BDS|7592122675617743102</stp>
        <tr r="LC5" s="37"/>
      </tp>
      <tp t="s">
        <v>#N/A N/A</v>
        <stp/>
        <stp>BDS|7155271753307667069</stp>
        <tr r="EU5" s="42"/>
      </tp>
      <tp t="s">
        <v>#N/A N/A</v>
        <stp/>
        <stp>BDS|5931624716944150196</stp>
        <tr r="EU5" s="49"/>
      </tp>
      <tp t="s">
        <v>#N/A N/A</v>
        <stp/>
        <stp>BDS|5335121934840222025</stp>
        <tr r="SQ5" s="17"/>
        <tr r="CM5" s="32"/>
      </tp>
      <tp t="s">
        <v>#N/A N/A</v>
        <stp/>
        <stp>BDS|1558304953123705341</stp>
        <tr r="MG5" s="24"/>
      </tp>
      <tp t="s">
        <v>#N/A N/A</v>
        <stp/>
        <stp>BDS|2636233459780607502</stp>
        <tr r="CM5" s="9"/>
        <tr r="MW5" s="46"/>
      </tp>
      <tp t="s">
        <v>#N/A N/A</v>
        <stp/>
        <stp>BDS|6194135499978484645</stp>
        <tr r="TE5" s="19"/>
      </tp>
      <tp t="s">
        <v>#N/A N/A</v>
        <stp/>
        <stp>BDS|8335364270665680987</stp>
        <tr r="SA5" s="28"/>
      </tp>
      <tp t="s">
        <v>#N/A N/A</v>
        <stp/>
        <stp>BDS|2499452421416976214</stp>
        <tr r="MW5" s="12"/>
      </tp>
      <tp t="s">
        <v>#N/A N/A</v>
        <stp/>
        <stp>BDS|7854599230566902713</stp>
        <tr r="IU5" s="33"/>
      </tp>
      <tp t="s">
        <v>#N/A N/A</v>
        <stp/>
        <stp>BDS|7045063450705628790</stp>
        <tr r="PS5" s="36"/>
      </tp>
      <tp t="s">
        <v>#N/A N/A</v>
        <stp/>
        <stp>BDS|1639891076399100715</stp>
        <tr r="FI5" s="7"/>
      </tp>
      <tp t="s">
        <v>#N/A N/A</v>
        <stp/>
        <stp>BDS|7260454511590771284</stp>
        <tr r="MG5" s="6"/>
        <tr r="JY5" s="15"/>
      </tp>
      <tp t="s">
        <v>#N/A N/A</v>
        <stp/>
        <stp>BDS|1941574811530974589</stp>
        <tr r="DQ5" s="23"/>
      </tp>
      <tp t="s">
        <v>#N/A N/A</v>
        <stp/>
        <stp>BDS|6772281089199189597</stp>
        <tr r="UY5" s="7"/>
        <tr r="JK5" s="12"/>
        <tr r="HC5" s="18"/>
      </tp>
      <tp t="s">
        <v>#N/A N/A</v>
        <stp/>
        <stp>BDS|7688977991286876163</stp>
        <tr r="FI5" s="10"/>
        <tr r="UI5" s="18"/>
      </tp>
      <tp t="s">
        <v>#N/A N/A</v>
        <stp/>
        <stp>BDS|2948496474939901834</stp>
        <tr r="HC5" s="49"/>
      </tp>
      <tp t="s">
        <v>#N/A N/A</v>
        <stp/>
        <stp>BDS|6939178151093229123</stp>
        <tr r="UY5" s="48"/>
      </tp>
      <tp t="s">
        <v>#N/A N/A</v>
        <stp/>
        <stp>BDS|6842352921354324308</stp>
        <tr r="LC5" s="27"/>
        <tr r="EE5" s="32"/>
      </tp>
      <tp t="s">
        <v>#N/A N/A</v>
        <stp/>
        <stp>BDS|9324674468259655069</stp>
        <tr r="PE5" s="37"/>
      </tp>
      <tp t="s">
        <v>#N/A N/A</v>
        <stp/>
        <stp>BDS|1670386557475576203</stp>
        <tr r="LS5" s="32"/>
      </tp>
      <tp t="s">
        <v>#N/A N/A</v>
        <stp/>
        <stp>BDS|1612435677623853174</stp>
        <tr r="AS5" s="14"/>
        <tr r="GM5" s="20"/>
      </tp>
      <tp t="s">
        <v>#N/A N/A</v>
        <stp/>
        <stp>BDS|7208854183401805615</stp>
        <tr r="QW5" s="17"/>
      </tp>
      <tp t="s">
        <v>#N/A N/A</v>
        <stp/>
        <stp>BDS|3064711596404633938</stp>
        <tr r="OA5" s="6"/>
      </tp>
      <tp t="s">
        <v>#N/A N/A</v>
        <stp/>
        <stp>BDS|1536208250754442236</stp>
        <tr r="PS5" s="28"/>
      </tp>
      <tp t="s">
        <v>#N/A N/A</v>
        <stp/>
        <stp>BDS|1944646514112805435</stp>
        <tr r="CM5" s="10"/>
        <tr r="A5" s="34"/>
        <tr r="MW5" s="34"/>
      </tp>
      <tp t="s">
        <v>#N/A N/A</v>
        <stp/>
        <stp>BDS|3232709865956711439</stp>
        <tr r="TE5" s="26"/>
      </tp>
      <tp t="s">
        <v>#N/A N/A</v>
        <stp/>
        <stp>BDS|8211775683031043659</stp>
        <tr r="HC5" s="6"/>
      </tp>
      <tp t="s">
        <v>#N/A N/A</v>
        <stp/>
        <stp>BDS|8286142793503026362</stp>
        <tr r="AE5" s="14"/>
        <tr r="FY5" s="20"/>
      </tp>
      <tp t="s">
        <v>#N/A N/A</v>
        <stp/>
        <stp>BDS|7256185979067292628</stp>
        <tr r="HC5" s="34"/>
      </tp>
      <tp t="s">
        <v>#N/A N/A</v>
        <stp/>
        <stp>BDS|5784305941703562134</stp>
        <tr r="HQ5" s="6"/>
      </tp>
      <tp t="s">
        <v>#N/A N/A</v>
        <stp/>
        <stp>BDS|5512004206317684251</stp>
        <tr r="JY5" s="10"/>
        <tr r="EE5" s="27"/>
      </tp>
      <tp t="s">
        <v>#N/A N/A</v>
        <stp/>
        <stp>BDS|3723749147117330778</stp>
        <tr r="SA5" s="12"/>
        <tr r="LC5" s="20"/>
      </tp>
      <tp t="s">
        <v>#N/A N/A</v>
        <stp/>
        <stp>BDS|3218458640894629712</stp>
        <tr r="LS5" s="29"/>
      </tp>
      <tp t="s">
        <v>#N/A N/A</v>
        <stp/>
        <stp>BDS|1926557273672945176</stp>
        <tr r="SA5" s="21"/>
      </tp>
      <tp t="s">
        <v>#N/A N/A</v>
        <stp/>
        <stp>BDS|2532112250690160647</stp>
        <tr r="OA5" s="15"/>
      </tp>
      <tp t="s">
        <v>#N/A N/A</v>
        <stp/>
        <stp>BDS|5166510472882595563</stp>
        <tr r="O5" s="2"/>
      </tp>
      <tp t="s">
        <v>#N/A N/A</v>
        <stp/>
        <stp>BDS|4442708825729481831</stp>
        <tr r="AE5" s="25"/>
      </tp>
      <tp t="s">
        <v>#N/A N/A</v>
        <stp/>
        <stp>BDS|9037976430486858594</stp>
        <tr r="OO5" s="32"/>
      </tp>
      <tp t="s">
        <v>#N/A N/A</v>
        <stp/>
        <stp>BDS|5840880120137506834</stp>
        <tr r="SQ5" s="7"/>
      </tp>
      <tp t="s">
        <v>#N/A N/A</v>
        <stp/>
        <stp>BDS|7406820280051749673</stp>
        <tr r="QW5" s="34"/>
      </tp>
      <tp t="s">
        <v>#N/A N/A</v>
        <stp/>
        <stp>BDS|3840069918747607573</stp>
        <tr r="CM5" s="26"/>
      </tp>
      <tp t="s">
        <v>#N/A N/A</v>
        <stp/>
        <stp>BDS|7166907883714291273</stp>
        <tr r="DQ5" s="27"/>
        <tr r="JK5" s="10"/>
      </tp>
      <tp t="s">
        <v>#N/A N/A</v>
        <stp/>
        <stp>BDS|3312158223478287808</stp>
        <tr r="OA5" s="20"/>
      </tp>
      <tp t="s">
        <v>#N/A N/A</v>
        <stp/>
        <stp>BDS|7905594856271139602</stp>
        <tr r="EE5" s="39"/>
      </tp>
      <tp t="s">
        <v>#N/A N/A</v>
        <stp/>
        <stp>BDS|6224465879545116089</stp>
        <tr r="A5" s="1"/>
      </tp>
      <tp t="s">
        <v>#N/A N/A</v>
        <stp/>
        <stp>BDS|1403256784203592840</stp>
        <tr r="AS5" s="40"/>
      </tp>
      <tp t="s">
        <v>#N/A N/A</v>
        <stp/>
        <stp>BDS|3333625858522842255</stp>
        <tr r="OA5" s="12"/>
      </tp>
      <tp t="s">
        <v>#N/A N/A</v>
        <stp/>
        <stp>BDS|5528650130696533614</stp>
        <tr r="A5" s="6"/>
      </tp>
      <tp t="s">
        <v>#N/A N/A</v>
        <stp/>
        <stp>BDS|3575215031405540742</stp>
        <tr r="CM5" s="48"/>
      </tp>
      <tp t="s">
        <v>#N/A N/A</v>
        <stp/>
        <stp>BDS|6099122162642768323</stp>
        <tr r="AE5" s="20"/>
      </tp>
      <tp t="s">
        <v>#N/A N/A</v>
        <stp/>
        <stp>BDS|6362590406421048298</stp>
        <tr r="MG5" s="19"/>
      </tp>
      <tp t="s">
        <v>#N/A N/A</v>
        <stp/>
        <stp>BDS|8232480828287600917</stp>
        <tr r="IG5" s="17"/>
      </tp>
      <tp t="s">
        <v>#N/A N/A</v>
        <stp/>
        <stp>BDS|1927784290876232969</stp>
        <tr r="QI5" s="50"/>
      </tp>
      <tp t="s">
        <v>#N/A N/A</v>
        <stp/>
        <stp>BDS|1236050935055326745</stp>
        <tr r="UY5" s="35"/>
      </tp>
      <tp t="s">
        <v>#N/A N/A</v>
        <stp/>
        <stp>BDS|5772419236791908238</stp>
        <tr r="HQ5" s="9"/>
      </tp>
      <tp t="s">
        <v>#N/A N/A</v>
        <stp/>
        <stp>BDS|8496527928649685724</stp>
        <tr r="IU5" s="11"/>
      </tp>
      <tp t="s">
        <v>#N/A N/A</v>
        <stp/>
        <stp>BDS|3575197728966789788</stp>
        <tr r="O5" s="28"/>
      </tp>
      <tp t="s">
        <v>#N/A N/A</v>
        <stp/>
        <stp>BDS|3770187094473298924</stp>
        <tr r="DA5" s="6"/>
      </tp>
      <tp t="s">
        <v>#N/A N/A</v>
        <stp/>
        <stp>BDS|8997415362492361923</stp>
        <tr r="QI5" s="37"/>
      </tp>
      <tp t="s">
        <v>#N/A N/A</v>
        <stp/>
        <stp>BDS|2982108266057160366</stp>
        <tr r="IG5" s="39"/>
        <tr r="UY5" s="15"/>
        <tr r="EU5" s="17"/>
      </tp>
      <tp t="s">
        <v>#N/A N/A</v>
        <stp/>
        <stp>BDS|6021491801443519047</stp>
        <tr r="MG5" s="38"/>
        <tr r="O5" s="46"/>
      </tp>
      <tp t="s">
        <v>#N/A N/A</v>
        <stp/>
        <stp>BDS|9636504988410676512</stp>
        <tr r="PS5" s="6"/>
      </tp>
      <tp t="s">
        <v>#N/A N/A</v>
        <stp/>
        <stp>BDS|1669409132981204688</stp>
        <tr r="EU5" s="46"/>
      </tp>
      <tp t="s">
        <v>#N/A N/A</v>
        <stp/>
        <stp>BDS|4403887007874486915</stp>
        <tr r="AS5" s="45"/>
        <tr r="LC5" s="4"/>
      </tp>
      <tp t="s">
        <v>#N/A N/A</v>
        <stp/>
        <stp>BDS|3921240065205130372</stp>
        <tr r="BI5" s="14"/>
        <tr r="MW5" s="32"/>
      </tp>
      <tp t="s">
        <v>#N/A N/A</v>
        <stp/>
        <stp>BDS|7310785535152506046</stp>
        <tr r="AE5" s="41"/>
      </tp>
      <tp t="s">
        <v>#N/A N/A</v>
        <stp/>
        <stp>BDS|1913057084261740907</stp>
        <tr r="MW5" s="10"/>
        <tr r="RM5" s="23"/>
      </tp>
      <tp t="s">
        <v>#N/A N/A</v>
        <stp/>
        <stp>BDS|9939236435371540869</stp>
        <tr r="JY5" s="47"/>
      </tp>
      <tp t="s">
        <v>#N/A N/A</v>
        <stp/>
        <stp>BDS|4714395950115556676</stp>
        <tr r="HQ5" s="43"/>
      </tp>
      <tp t="s">
        <v>#N/A N/A</v>
        <stp/>
        <stp>BDS|9396531593654767060</stp>
        <tr r="EU5" s="39"/>
      </tp>
      <tp t="s">
        <v>#N/A N/A</v>
        <stp/>
        <stp>BDS|4700861374682570828</stp>
        <tr r="MG5" s="34"/>
      </tp>
      <tp t="s">
        <v>#N/A N/A</v>
        <stp/>
        <stp>BDS|4821470149670291561</stp>
        <tr r="UY5" s="14"/>
      </tp>
      <tp t="s">
        <v>#N/A N/A</v>
        <stp/>
        <stp>BDS|5401447348917244386</stp>
        <tr r="FI5" s="40"/>
      </tp>
      <tp t="s">
        <v>#N/A N/A</v>
        <stp/>
        <stp>BDS|2149911742188814689</stp>
        <tr r="DA5" s="17"/>
      </tp>
      <tp t="s">
        <v>#N/A N/A</v>
        <stp/>
        <stp>BDS|2692657285584335960</stp>
        <tr r="EU5" s="25"/>
      </tp>
      <tp t="s">
        <v>#N/A N/A</v>
        <stp/>
        <stp>BDS|7670741960574184302</stp>
        <tr r="JY5" s="31"/>
        <tr r="QW5" s="38"/>
      </tp>
      <tp t="s">
        <v>#N/A N/A</v>
        <stp/>
        <stp>BDS|4637356302264005229</stp>
        <tr r="BI5" s="5"/>
      </tp>
      <tp t="s">
        <v>#N/A N/A</v>
        <stp/>
        <stp>BDS|9407706310839387749</stp>
        <tr r="JY5" s="9"/>
      </tp>
      <tp t="s">
        <v>#N/A N/A</v>
        <stp/>
        <stp>BDS|1652597531404533285</stp>
        <tr r="EU5" s="4"/>
      </tp>
      <tp t="s">
        <v>#N/A N/A</v>
        <stp/>
        <stp>BDS|3875985339389186182</stp>
        <tr r="SQ5" s="44"/>
        <tr r="PE5" s="17"/>
        <tr r="UY5" s="28"/>
        <tr r="A5" s="22"/>
        <tr r="BI5" s="33"/>
        <tr r="AE5" s="13"/>
        <tr r="HC5" s="33"/>
        <tr r="DQ5" s="16"/>
        <tr r="FY5" s="37"/>
        <tr r="MW5" s="38"/>
        <tr r="IG5" s="3"/>
        <tr r="QI5" s="4"/>
      </tp>
      <tp t="s">
        <v>#N/A N/A</v>
        <stp/>
        <stp>BDS|1969258069816013241</stp>
        <tr r="BW5" s="39"/>
      </tp>
      <tp t="s">
        <v>#N/A N/A</v>
        <stp/>
        <stp>BDS|5682738739359440992</stp>
        <tr r="VM5" s="27"/>
      </tp>
      <tp t="s">
        <v>#N/A N/A</v>
        <stp/>
        <stp>BDS|7396545790883593947</stp>
        <tr r="MG5" s="1"/>
      </tp>
      <tp t="s">
        <v>#N/A N/A</v>
        <stp/>
        <stp>BDS|4067010475860779257</stp>
        <tr r="LC5" s="14"/>
        <tr r="O5" s="31"/>
      </tp>
      <tp t="s">
        <v>#N/A N/A</v>
        <stp/>
        <stp>BDS|3555625207905053161</stp>
        <tr r="IU5" s="8"/>
      </tp>
      <tp t="s">
        <v>#N/A N/A</v>
        <stp/>
        <stp>BDS|4302577696958422101</stp>
        <tr r="HQ5" s="4"/>
      </tp>
      <tp t="s">
        <v>#N/A N/A</v>
        <stp/>
        <stp>BDS|2266264030324443664</stp>
        <tr r="OO5" s="30"/>
      </tp>
      <tp t="s">
        <v>#N/A N/A</v>
        <stp/>
        <stp>BDS|4565738261546030202</stp>
        <tr r="IU5" s="48"/>
      </tp>
      <tp t="s">
        <v>#N/A N/A</v>
        <stp/>
        <stp>BDS|8526038780457363623</stp>
        <tr r="QW5" s="5"/>
        <tr r="DA5" s="23"/>
      </tp>
      <tp t="s">
        <v>#N/A N/A</v>
        <stp/>
        <stp>BDS|6411524713892213105</stp>
        <tr r="BI5" s="16"/>
      </tp>
      <tp t="s">
        <v>#N/A N/A</v>
        <stp/>
        <stp>BDS|2105531823750398450</stp>
        <tr r="UI5" s="45"/>
      </tp>
      <tp t="s">
        <v>#N/A N/A</v>
        <stp/>
        <stp>BDS|3995170714532891054</stp>
        <tr r="VM5" s="3"/>
      </tp>
      <tp t="s">
        <v>#N/A N/A</v>
        <stp/>
        <stp>BDS|7808756698248349011</stp>
        <tr r="HC5" s="30"/>
      </tp>
      <tp t="s">
        <v>#N/A N/A</v>
        <stp/>
        <stp>BDS|6757108553780855387</stp>
        <tr r="BI5" s="23"/>
      </tp>
      <tp t="s">
        <v>#N/A N/A</v>
        <stp/>
        <stp>BDS|5334732036476169637</stp>
        <tr r="TE5" s="9"/>
      </tp>
      <tp t="s">
        <v>#N/A N/A</v>
        <stp/>
        <stp>BDS|7743130368238830914</stp>
        <tr r="HC5" s="16"/>
      </tp>
      <tp t="s">
        <v>#N/A N/A</v>
        <stp/>
        <stp>BDS|5943185127696064130</stp>
        <tr r="TE5" s="21"/>
        <tr r="PS5" s="24"/>
      </tp>
      <tp t="s">
        <v>#N/A N/A</v>
        <stp/>
        <stp>BDS|2561877077409534551</stp>
        <tr r="KO5" s="42"/>
      </tp>
      <tp t="s">
        <v>#N/A N/A</v>
        <stp/>
        <stp>BDS|6356787866493415638</stp>
        <tr r="GM5" s="21"/>
      </tp>
      <tp t="s">
        <v>#N/A N/A</v>
        <stp/>
        <stp>BDS|6963525215981264169</stp>
        <tr r="MG5" s="45"/>
      </tp>
      <tp t="s">
        <v>#N/A N/A</v>
        <stp/>
        <stp>BDS|2287892240495666963</stp>
        <tr r="KO5" s="40"/>
        <tr r="HC5" s="8"/>
      </tp>
      <tp t="s">
        <v>#N/A N/A</v>
        <stp/>
        <stp>BDS|9439992936890504156</stp>
        <tr r="DA5" s="8"/>
        <tr r="QW5" s="47"/>
      </tp>
      <tp t="s">
        <v>#N/A N/A</v>
        <stp/>
        <stp>BDS|6490539892018795094</stp>
        <tr r="HQ5" s="12"/>
      </tp>
      <tp t="s">
        <v>#N/A N/A</v>
        <stp/>
        <stp>BDS|5109698085578181175</stp>
        <tr r="IG5" s="45"/>
      </tp>
      <tp t="s">
        <v>#N/A N/A</v>
        <stp/>
        <stp>BDS|8008429469618385030</stp>
        <tr r="NK5" s="42"/>
      </tp>
      <tp t="s">
        <v>#N/A N/A</v>
        <stp/>
        <stp>BDS|7320378106842315498</stp>
        <tr r="MG5" s="50"/>
      </tp>
      <tp t="s">
        <v>#N/A N/A</v>
        <stp/>
        <stp>BDS|5004210538671135709</stp>
        <tr r="OA5" s="49"/>
        <tr r="AE5" s="30"/>
        <tr r="UY5" s="11"/>
        <tr r="BI5" s="12"/>
        <tr r="DQ5" s="19"/>
        <tr r="FY5" s="26"/>
        <tr r="AE5" s="32"/>
        <tr r="EU5" s="47"/>
      </tp>
      <tp t="s">
        <v>#N/A N/A</v>
        <stp/>
        <stp>BDS|4030191020561429454</stp>
        <tr r="NK5" s="47"/>
      </tp>
      <tp t="s">
        <v>#N/A N/A</v>
        <stp/>
        <stp>BDS|8392803201962929037</stp>
        <tr r="AE5" s="46"/>
      </tp>
      <tp t="s">
        <v>#N/A N/A</v>
        <stp/>
        <stp>BDS|3237174779923475414</stp>
        <tr r="FI5" s="29"/>
        <tr r="EE5" s="24"/>
      </tp>
      <tp t="s">
        <v>#N/A N/A</v>
        <stp/>
        <stp>BDS|6921236450636542564</stp>
        <tr r="KO5" s="12"/>
      </tp>
      <tp t="s">
        <v>#N/A N/A</v>
        <stp/>
        <stp>BDS|7420710601206932447</stp>
        <tr r="AS5" s="39"/>
      </tp>
      <tp t="s">
        <v>#N/A N/A</v>
        <stp/>
        <stp>BDS|3594223738690063010</stp>
        <tr r="PS5" s="12"/>
      </tp>
      <tp t="s">
        <v>#N/A N/A</v>
        <stp/>
        <stp>BDS|3596051091550979865</stp>
        <tr r="CM5" s="3"/>
        <tr r="RM5" s="48"/>
      </tp>
      <tp t="s">
        <v>#N/A N/A</v>
        <stp/>
        <stp>BDS|5076890240642416928</stp>
        <tr r="FI5" s="2"/>
        <tr r="JY5" s="18"/>
      </tp>
      <tp t="s">
        <v>#N/A N/A</v>
        <stp/>
        <stp>BDS|4058094593288538708</stp>
        <tr r="TE5" s="16"/>
      </tp>
      <tp t="s">
        <v>#N/A N/A</v>
        <stp/>
        <stp>BDS|9183889621589655814</stp>
        <tr r="KO5" s="6"/>
      </tp>
      <tp t="s">
        <v>#N/A N/A</v>
        <stp/>
        <stp>BDS|1473523752404054784</stp>
        <tr r="AS5" s="11"/>
        <tr r="SA5" s="44"/>
      </tp>
      <tp t="s">
        <v>#N/A N/A</v>
        <stp/>
        <stp>BDS|5701421133578873832</stp>
        <tr r="MG5" s="10"/>
      </tp>
      <tp t="s">
        <v>#N/A N/A</v>
        <stp/>
        <stp>BDS|5611088817834072240</stp>
        <tr r="UY5" s="2"/>
      </tp>
      <tp t="s">
        <v>#N/A N/A</v>
        <stp/>
        <stp>BDS|4017573963630588534</stp>
        <tr r="SQ5" s="14"/>
      </tp>
      <tp t="s">
        <v>#N/A N/A</v>
        <stp/>
        <stp>BDS|6775108255967599758</stp>
        <tr r="KO5" s="46"/>
        <tr r="AE5" s="38"/>
      </tp>
      <tp t="s">
        <v>#N/A N/A</v>
        <stp/>
        <stp>BDS|4420404855823069428</stp>
        <tr r="GM5" s="36"/>
      </tp>
      <tp t="s">
        <v>#N/A N/A</v>
        <stp/>
        <stp>BDS|1641492361698827953</stp>
        <tr r="IG5" s="11"/>
      </tp>
      <tp t="s">
        <v>#N/A N/A</v>
        <stp/>
        <stp>BDS|7793022304706115305</stp>
        <tr r="EE5" s="30"/>
      </tp>
      <tp t="s">
        <v>#N/A N/A</v>
        <stp/>
        <stp>BDS|2777344837987655723</stp>
        <tr r="DQ5" s="26"/>
      </tp>
      <tp t="s">
        <v>#N/A N/A</v>
        <stp/>
        <stp>BDS|1997878181855627698</stp>
        <tr r="AS5" s="1"/>
      </tp>
      <tp t="s">
        <v>#N/A N/A</v>
        <stp/>
        <stp>BDS|1239166422239535933</stp>
        <tr r="BI5" s="32"/>
      </tp>
      <tp t="s">
        <v>#N/A N/A</v>
        <stp/>
        <stp>BDS|4371313407282098741</stp>
        <tr r="JY5" s="16"/>
      </tp>
      <tp t="s">
        <v>#N/A N/A</v>
        <stp/>
        <stp>BDS|7112030177425127759</stp>
        <tr r="CM5" s="14"/>
      </tp>
      <tp t="s">
        <v>#N/A N/A</v>
        <stp/>
        <stp>BDS|5256237715296591271</stp>
        <tr r="HQ5" s="28"/>
      </tp>
      <tp t="s">
        <v>#N/A N/A</v>
        <stp/>
        <stp>BDS|1844491772183224377</stp>
        <tr r="CM5" s="15"/>
        <tr r="IG5" s="42"/>
        <tr r="JK5" s="25"/>
        <tr r="KO5" s="35"/>
        <tr r="QI5" s="43"/>
      </tp>
      <tp t="s">
        <v>#N/A N/A</v>
        <stp/>
        <stp>BDS|9927493772170527817</stp>
        <tr r="TU5" s="4"/>
        <tr r="DQ5" s="15"/>
        <tr r="LS5" s="27"/>
        <tr r="BI5" s="29"/>
        <tr r="FY5" s="38"/>
      </tp>
      <tp t="s">
        <v>#N/A N/A</v>
        <stp/>
        <stp>BDS|6210066005450769400</stp>
        <tr r="A5" s="47"/>
      </tp>
      <tp t="s">
        <v>#N/A N/A</v>
        <stp/>
        <stp>BDS|7426199638663210432</stp>
        <tr r="JK5" s="6"/>
      </tp>
      <tp t="s">
        <v>#N/A N/A</v>
        <stp/>
        <stp>BDS|3035035787881023800</stp>
        <tr r="RM5" s="43"/>
      </tp>
      <tp t="s">
        <v>#N/A N/A</v>
        <stp/>
        <stp>BDS|8821355585301924054</stp>
        <tr r="AE5" s="24"/>
      </tp>
      <tp t="s">
        <v>#N/A N/A</v>
        <stp/>
        <stp>BDS|5464623402758317933</stp>
        <tr r="JY5" s="46"/>
        <tr r="VM5" s="32"/>
      </tp>
      <tp t="s">
        <v>#N/A N/A</v>
        <stp/>
        <stp>BDS|4318185058302536038</stp>
        <tr r="TE5" s="15"/>
      </tp>
      <tp t="s">
        <v>#N/A N/A</v>
        <stp/>
        <stp>BDS|9002000489017899444</stp>
        <tr r="O5" s="13"/>
      </tp>
      <tp t="s">
        <v>#N/A N/A</v>
        <stp/>
        <stp>BDS|2983286371224762129</stp>
        <tr r="AE5" s="19"/>
      </tp>
      <tp t="s">
        <v>#N/A N/A</v>
        <stp/>
        <stp>BDS|8758897528643772343</stp>
        <tr r="VM5" s="44"/>
      </tp>
      <tp t="s">
        <v>#N/A N/A</v>
        <stp/>
        <stp>BDS|5590237082109926574</stp>
        <tr r="GM5" s="35"/>
      </tp>
      <tp t="s">
        <v>#N/A N/A</v>
        <stp/>
        <stp>BDS|8445666863363313886</stp>
        <tr r="BW5" s="24"/>
      </tp>
      <tp t="s">
        <v>#N/A N/A</v>
        <stp/>
        <stp>BDS|4457585806703052105</stp>
        <tr r="PS5" s="48"/>
      </tp>
      <tp t="s">
        <v>#N/A N/A</v>
        <stp/>
        <stp>BDS|2417089180989060060</stp>
        <tr r="PE5" s="18"/>
      </tp>
      <tp t="s">
        <v>#N/A N/A</v>
        <stp/>
        <stp>BDS|2934336536204430538</stp>
        <tr r="FY5" s="18"/>
      </tp>
      <tp t="s">
        <v>#N/A N/A</v>
        <stp/>
        <stp>BDS|6979448994470292805</stp>
        <tr r="SQ5" s="15"/>
      </tp>
      <tp t="s">
        <v>#N/A N/A</v>
        <stp/>
        <stp>BDS|4924498379814524074</stp>
        <tr r="TE5" s="34"/>
      </tp>
      <tp t="s">
        <v>#N/A N/A</v>
        <stp/>
        <stp>BDS|7334946558441613911</stp>
        <tr r="DQ5" s="8"/>
        <tr r="OA5" s="8"/>
      </tp>
      <tp t="s">
        <v>#N/A N/A</v>
        <stp/>
        <stp>BDS|3916658920712777638</stp>
        <tr r="SQ5" s="29"/>
      </tp>
      <tp t="s">
        <v>#N/A N/A</v>
        <stp/>
        <stp>BDS|2695232739708287862</stp>
        <tr r="PS5" s="29"/>
      </tp>
      <tp t="s">
        <v>#N/A N/A</v>
        <stp/>
        <stp>BDS|4157980657669505225</stp>
        <tr r="DA5" s="4"/>
      </tp>
      <tp t="s">
        <v>#N/A N/A</v>
        <stp/>
        <stp>BDS|9445164167609529491</stp>
        <tr r="EU5" s="24"/>
      </tp>
      <tp t="s">
        <v>#N/A N/A</v>
        <stp/>
        <stp>BDS|3299550918044279026</stp>
        <tr r="SA5" s="50"/>
        <tr r="MG5" s="18"/>
      </tp>
      <tp t="s">
        <v>#N/A N/A</v>
        <stp/>
        <stp>BDS|9814802243296509028</stp>
        <tr r="PS5" s="33"/>
      </tp>
      <tp t="s">
        <v>#N/A N/A</v>
        <stp/>
        <stp>BDS|6529118714631962457</stp>
        <tr r="HQ5" s="29"/>
      </tp>
      <tp t="s">
        <v>#N/A N/A</v>
        <stp/>
        <stp>BDS|2156787968915945542</stp>
        <tr r="BI5" s="11"/>
        <tr r="AE5" s="16"/>
      </tp>
      <tp t="s">
        <v>#N/A N/A</v>
        <stp/>
        <stp>BDS|9819174303698230322</stp>
        <tr r="FI5" s="50"/>
      </tp>
      <tp t="s">
        <v>#N/A N/A</v>
        <stp/>
        <stp>BDS|2312203309446644502</stp>
        <tr r="QI5" s="19"/>
      </tp>
      <tp t="s">
        <v>#N/A N/A</v>
        <stp/>
        <stp>BDS|8281083736161683965</stp>
        <tr r="HQ5" s="3"/>
      </tp>
      <tp t="s">
        <v>#N/A N/A</v>
        <stp/>
        <stp>BDS|2095586262555259748</stp>
        <tr r="TU5" s="21"/>
      </tp>
      <tp t="s">
        <v>#N/A N/A</v>
        <stp/>
        <stp>BDS|2599141534071014283</stp>
        <tr r="AS5" s="37"/>
      </tp>
      <tp t="s">
        <v>#N/A N/A</v>
        <stp/>
        <stp>BDS|5776670308324187449</stp>
        <tr r="KO5" s="3"/>
      </tp>
      <tp t="s">
        <v>#N/A N/A</v>
        <stp/>
        <stp>BDS|5661016662733462332</stp>
        <tr r="TU5" s="26"/>
      </tp>
      <tp t="s">
        <v>#N/A N/A</v>
        <stp/>
        <stp>BDS|6600755809314925617</stp>
        <tr r="DQ5" s="28"/>
        <tr r="QI5" s="32"/>
      </tp>
      <tp t="s">
        <v>#N/A N/A</v>
        <stp/>
        <stp>BDS|6412022845338364926</stp>
        <tr r="AS5" s="29"/>
      </tp>
      <tp t="s">
        <v>#N/A N/A</v>
        <stp/>
        <stp>BDS|8867120351196813916</stp>
        <tr r="NK5" s="40"/>
        <tr r="FI5" s="28"/>
        <tr r="HQ5" s="32"/>
      </tp>
      <tp t="s">
        <v>#N/A N/A</v>
        <stp/>
        <stp>BDS|5730845686363632511</stp>
        <tr r="QI5" s="29"/>
      </tp>
      <tp t="s">
        <v>#N/A N/A</v>
        <stp/>
        <stp>BDS|3745999033329777394</stp>
        <tr r="MW5" s="1"/>
      </tp>
      <tp t="s">
        <v>#N/A N/A</v>
        <stp/>
        <stp>BDS|6738462210956899699</stp>
        <tr r="EE5" s="26"/>
      </tp>
      <tp t="s">
        <v>#N/A N/A</v>
        <stp/>
        <stp>BDS|3633231519147422488</stp>
        <tr r="EE5" s="34"/>
      </tp>
      <tp t="s">
        <v>#N/A N/A</v>
        <stp/>
        <stp>BDS|1053935861759598473</stp>
        <tr r="JK5" s="44"/>
      </tp>
      <tp t="s">
        <v>#N/A N/A</v>
        <stp/>
        <stp>BDS|3632449722093407547</stp>
        <tr r="PE5" s="33"/>
      </tp>
      <tp t="s">
        <v>#N/A N/A</v>
        <stp/>
        <stp>BDS|7389916383972153706</stp>
        <tr r="NK5" s="33"/>
      </tp>
      <tp t="s">
        <v>#N/A N/A</v>
        <stp/>
        <stp>BDS|6271173421620630637</stp>
        <tr r="JK5" s="31"/>
        <tr r="QI5" s="38"/>
      </tp>
      <tp t="s">
        <v>#N/A N/A</v>
        <stp/>
        <stp>BDS|6338541906769409941</stp>
        <tr r="PS5" s="41"/>
      </tp>
      <tp t="s">
        <v>#N/A N/A</v>
        <stp/>
        <stp>BDS|1099111679876902204</stp>
        <tr r="UI5" s="17"/>
      </tp>
      <tp t="s">
        <v>#N/A N/A</v>
        <stp/>
        <stp>BDS|3929906167956938913</stp>
        <tr r="SA5" s="11"/>
      </tp>
      <tp t="s">
        <v>#N/A N/A</v>
        <stp/>
        <stp>BDS|2740609369767095681</stp>
        <tr r="UY5" s="25"/>
      </tp>
      <tp t="s">
        <v>#N/A N/A</v>
        <stp/>
        <stp>BDS|5482227003321683551</stp>
        <tr r="DQ5" s="21"/>
        <tr r="JK5" s="50"/>
      </tp>
      <tp t="s">
        <v>#N/A N/A</v>
        <stp/>
        <stp>BDS|4136462147095024271</stp>
        <tr r="FI5" s="20"/>
      </tp>
      <tp t="s">
        <v>#N/A N/A</v>
        <stp/>
        <stp>BDS|5816494386058614265</stp>
        <tr r="AE5" s="7"/>
      </tp>
      <tp t="s">
        <v>#N/A N/A</v>
        <stp/>
        <stp>BDS|2387531964170846287</stp>
        <tr r="EE5" s="15"/>
        <tr r="UI5" s="4"/>
        <tr r="GM5" s="38"/>
        <tr r="MG5" s="27"/>
        <tr r="BW5" s="29"/>
      </tp>
      <tp t="s">
        <v>#N/A N/A</v>
        <stp/>
        <stp>BDS|4485741194831152813</stp>
        <tr r="O5" s="33"/>
      </tp>
      <tp t="s">
        <v>#N/A N/A</v>
        <stp/>
        <stp>BDS|7799045060045160774</stp>
        <tr r="LS5" s="45"/>
      </tp>
      <tp t="s">
        <v>#N/A N/A</v>
        <stp/>
        <stp>BDS|6443188130823150485</stp>
        <tr r="QI5" s="28"/>
      </tp>
      <tp t="s">
        <v>#N/A N/A</v>
        <stp/>
        <stp>BDS|2562204990568141217</stp>
        <tr r="HC5" s="22"/>
      </tp>
      <tp t="s">
        <v>#N/A N/A</v>
        <stp/>
        <stp>BDS|97183582077569774</stp>
        <tr r="TE5" s="39"/>
      </tp>
      <tp t="s">
        <v>#N/A N/A</v>
        <stp/>
        <stp>BDS|81886457223361194</stp>
        <tr r="PS5" s="2"/>
      </tp>
      <tp t="s">
        <v>#N/A N/A</v>
        <stp/>
        <stp>BDS|27739743057428816</stp>
        <tr r="OA5" s="42"/>
      </tp>
      <tp t="s">
        <v>#N/A N/A</v>
        <stp/>
        <stp>BDS|53343476185059286</stp>
        <tr r="GM5" s="27"/>
      </tp>
      <tp t="s">
        <v>#N/A N/A</v>
        <stp/>
        <stp>BDS|243475059573315773</stp>
        <tr r="QW5" s="19"/>
      </tp>
      <tp t="s">
        <v>#N/A N/A</v>
        <stp/>
        <stp>BDS|277277110262958453</stp>
        <tr r="FY5" s="2"/>
      </tp>
      <tp t="s">
        <v>#N/A N/A</v>
        <stp/>
        <stp>BDS|244156662575125720</stp>
        <tr r="KO5" s="14"/>
        <tr r="A5" s="31"/>
      </tp>
      <tp t="s">
        <v>#N/A N/A</v>
        <stp/>
        <stp>BDS|162732085178077262</stp>
        <tr r="HQ5" s="22"/>
      </tp>
      <tp t="s">
        <v>#N/A N/A</v>
        <stp/>
        <stp>BDS|153227726345601009</stp>
        <tr r="EE5" s="25"/>
      </tp>
      <tp t="s">
        <v>#N/A N/A</v>
        <stp/>
        <stp>BDS|457424163216196179</stp>
        <tr r="HQ5" s="47"/>
      </tp>
      <tp t="s">
        <v>#N/A N/A</v>
        <stp/>
        <stp>BDS|599244809010085672</stp>
        <tr r="JK5" s="23"/>
        <tr r="TU5" s="6"/>
      </tp>
      <tp t="s">
        <v>#N/A N/A</v>
        <stp/>
        <stp>BDS|786920381837801241</stp>
        <tr r="SA5" s="39"/>
      </tp>
      <tp t="s">
        <v>#N/A N/A</v>
        <stp/>
        <stp>BDS|952297459495271628</stp>
        <tr r="OA5" s="1"/>
        <tr r="QI5" s="13"/>
      </tp>
      <tp t="s">
        <v>#N/A N/A</v>
        <stp/>
        <stp>BDS|693309620530675544</stp>
        <tr r="PE5" s="26"/>
        <tr r="DQ5" s="38"/>
        <tr r="JK5" s="43"/>
      </tp>
      <tp t="s">
        <v>#N/A N/A</v>
        <stp/>
        <stp>BDS|279197962031713125</stp>
        <tr r="QW5" s="48"/>
      </tp>
      <tp t="s">
        <v>#N/A N/A</v>
        <stp/>
        <stp>BDS|284032350235196796</stp>
        <tr r="OA5" s="14"/>
      </tp>
      <tp t="s">
        <v>#N/A N/A</v>
        <stp/>
        <stp>BDS|890401587923503961</stp>
        <tr r="IG5" s="21"/>
      </tp>
      <tp t="s">
        <v>#N/A N/A</v>
        <stp/>
        <stp>BDS|112740958165349112</stp>
        <tr r="A5" s="16"/>
      </tp>
      <tp t="s">
        <v>#N/A N/A</v>
        <stp/>
        <stp>BDS|531274969720560260</stp>
        <tr r="KO5" s="43"/>
      </tp>
      <tp t="s">
        <v>#N/A N/A</v>
        <stp/>
        <stp>BDS|581609918606211758</stp>
        <tr r="QI5" s="42"/>
      </tp>
      <tp t="s">
        <v>#N/A N/A</v>
        <stp/>
        <stp>BDS|224887988526986007</stp>
        <tr r="AS5" s="4"/>
      </tp>
      <tp t="s">
        <v>#N/A N/A</v>
        <stp/>
        <stp>BDS|855546791872815817</stp>
        <tr r="UI5" s="41"/>
      </tp>
      <tp t="s">
        <v>#N/A N/A</v>
        <stp/>
        <stp>BDS|368137877648649869</stp>
        <tr r="JY5" s="4"/>
      </tp>
      <tp t="s">
        <v>#N/A N/A</v>
        <stp/>
        <stp>BDS|566833913448310772</stp>
        <tr r="OO5" s="42"/>
      </tp>
      <tp t="s">
        <v>#N/A N/A</v>
        <stp/>
        <stp>BDS|988951499850119669</stp>
        <tr r="UI5" s="36"/>
      </tp>
      <tp t="s">
        <v>#N/A N/A</v>
        <stp/>
        <stp>BDS|221455873390543536</stp>
        <tr r="EE5" s="10"/>
      </tp>
      <tp t="s">
        <v>#N/A N/A</v>
        <stp/>
        <stp>BDS|946324988539719473</stp>
        <tr r="EU5" s="21"/>
      </tp>
      <tp t="s">
        <v>#N/A N/A</v>
        <stp/>
        <stp>BDS|271208465381851416</stp>
        <tr r="FY5" s="28"/>
      </tp>
      <tp t="s">
        <v>#N/A N/A</v>
        <stp/>
        <stp>BDS|257256086633272896</stp>
        <tr r="PS5" s="49"/>
        <tr r="SA5" s="7"/>
      </tp>
      <tp t="s">
        <v>#N/A N/A</v>
        <stp/>
        <stp>BDS|670059418676894675</stp>
        <tr r="QW5" s="15"/>
        <tr r="AS5" s="28"/>
      </tp>
      <tp t="s">
        <v>#N/A N/A</v>
        <stp/>
        <stp>BDS|313559670783160022</stp>
        <tr r="EE5" s="31"/>
      </tp>
      <tp t="s">
        <v>#N/A N/A</v>
        <stp/>
        <stp>BDS|102952990272469333</stp>
        <tr r="BI5" s="37"/>
      </tp>
      <tp t="s">
        <v>#N/A N/A</v>
        <stp/>
        <stp>BDS|195055929831566349</stp>
        <tr r="IG5" s="1"/>
        <tr r="KO5" s="30"/>
      </tp>
      <tp t="s">
        <v>#N/A N/A</v>
        <stp/>
        <stp>BDS|109634041740880223</stp>
        <tr r="FY5" s="32"/>
      </tp>
      <tp t="s">
        <v>#N/A N/A</v>
        <stp/>
        <stp>BDS|247365937256575626</stp>
        <tr r="OA5" s="5"/>
      </tp>
      <tp t="s">
        <v>#N/A N/A</v>
        <stp/>
        <stp>BDS|902740215016575084</stp>
        <tr r="CM5" s="45"/>
      </tp>
      <tp t="s">
        <v>#N/A N/A</v>
        <stp/>
        <stp>BDS|796993991834734499</stp>
        <tr r="OO5" s="48"/>
      </tp>
      <tp t="s">
        <v>#N/A N/A</v>
        <stp/>
        <stp>BDS|289618323203959785</stp>
        <tr r="HQ5" s="21"/>
      </tp>
      <tp t="s">
        <v>#N/A N/A</v>
        <stp/>
        <stp>BDS|691926849749978790</stp>
        <tr r="O5" s="11"/>
      </tp>
      <tp t="s">
        <v>#N/A N/A</v>
        <stp/>
        <stp>BDS|497078661490884526</stp>
        <tr r="KO5" s="31"/>
      </tp>
      <tp t="s">
        <v>#N/A N/A</v>
        <stp/>
        <stp>BDS|797072149366424155</stp>
        <tr r="CM5" s="4"/>
      </tp>
      <tp t="s">
        <v>#N/A N/A</v>
        <stp/>
        <stp>BDS|864799710562391784</stp>
        <tr r="DA5" s="21"/>
      </tp>
      <tp t="s">
        <v>#N/A N/A</v>
        <stp/>
        <stp>BDS|806852762339802438</stp>
        <tr r="EU5" s="15"/>
      </tp>
      <tp t="s">
        <v>#N/A N/A</v>
        <stp/>
        <stp>BDS|969232179993234558</stp>
        <tr r="IG5" s="28"/>
      </tp>
      <tp t="s">
        <v>#N/A N/A</v>
        <stp/>
        <stp>BDS|218113454321505675</stp>
        <tr r="MW5" s="26"/>
      </tp>
      <tp t="s">
        <v>#N/A N/A</v>
        <stp/>
        <stp>BDS|914035423571786089</stp>
        <tr r="OO5" s="23"/>
        <tr r="DA5" s="29"/>
        <tr r="JY5" s="41"/>
      </tp>
      <tp t="s">
        <v>#N/A N/A</v>
        <stp/>
        <stp>BDS|825049281069965245</stp>
        <tr r="TE5" s="33"/>
      </tp>
      <tp t="s">
        <v>#N/A N/A</v>
        <stp/>
        <stp>BDS|563709089889838566</stp>
        <tr r="VM5" s="46"/>
      </tp>
      <tp t="s">
        <v>#N/A N/A</v>
        <stp/>
        <stp>BDS|191766419887515359</stp>
        <tr r="TE5" s="23"/>
      </tp>
      <tp t="s">
        <v>#N/A N/A</v>
        <stp/>
        <stp>BDS|359220209898139867</stp>
        <tr r="MW5" s="7"/>
      </tp>
      <tp t="s">
        <v>#N/A N/A</v>
        <stp/>
        <stp>BDS|798475722264814026</stp>
        <tr r="A5" s="43"/>
      </tp>
      <tp t="s">
        <v>#N/A N/A</v>
        <stp/>
        <stp>BDS|471823940716157877</stp>
        <tr r="O5" s="4"/>
      </tp>
      <tp t="s">
        <v>#N/A N/A</v>
        <stp/>
        <stp>BDS|958979775512536127</stp>
        <tr r="UI5" s="15"/>
        <tr r="LC5" s="18"/>
        <tr r="TE5" s="45"/>
      </tp>
      <tp t="s">
        <v>#N/A N/A</v>
        <stp/>
        <stp>BDS|270220949538381359</stp>
        <tr r="OO5" s="47"/>
      </tp>
      <tp t="s">
        <v>#N/A N/A</v>
        <stp/>
        <stp>BDS|112599436029457298</stp>
        <tr r="DA5" s="48"/>
      </tp>
      <tp t="s">
        <v>#N/A N/A</v>
        <stp/>
        <stp>BDS|861658206748080270</stp>
        <tr r="NK5" s="11"/>
      </tp>
      <tp t="s">
        <v>#N/A N/A</v>
        <stp/>
        <stp>BDS|335389447853583840</stp>
        <tr r="IU5" s="21"/>
      </tp>
      <tp t="s">
        <v>#N/A N/A</v>
        <stp/>
        <stp>BDS|612258695142968519</stp>
        <tr r="JK5" s="32"/>
        <tr r="DQ5" s="37"/>
      </tp>
      <tp t="s">
        <v>#N/A N/A</v>
        <stp/>
        <stp>BDS|681812954371038071</stp>
        <tr r="MW5" s="42"/>
      </tp>
      <tp t="s">
        <v>#N/A N/A</v>
        <stp/>
        <stp>BDS|821312109058535715</stp>
        <tr r="AE5" s="2"/>
        <tr r="SQ5" s="8"/>
      </tp>
      <tp t="s">
        <v>#N/A N/A</v>
        <stp/>
        <stp>BDS|496162380901273460</stp>
        <tr r="DQ5" s="25"/>
      </tp>
      <tp t="s">
        <v>#N/A N/A</v>
        <stp/>
        <stp>BDS|167873320802945717</stp>
        <tr r="QI5" s="9"/>
      </tp>
      <tp t="s">
        <v>#N/A N/A</v>
        <stp/>
        <stp>BDS|463585561265647917</stp>
        <tr r="HQ5" s="13"/>
      </tp>
      <tp t="s">
        <v>#N/A N/A</v>
        <stp/>
        <stp>BDS|622087636065159998</stp>
        <tr r="TE5" s="28"/>
      </tp>
      <tp t="s">
        <v>#N/A N/A</v>
        <stp/>
        <stp>BDS|522640757549788517</stp>
        <tr r="SA5" s="30"/>
      </tp>
      <tp t="s">
        <v>#N/A N/A</v>
        <stp/>
        <stp>BDS|764371600094645845</stp>
        <tr r="JK5" s="40"/>
      </tp>
      <tp t="s">
        <v>#N/A N/A</v>
        <stp/>
        <stp>BDS|487958626592992735</stp>
        <tr r="UI5" s="7"/>
        <tr r="DA5" s="20"/>
      </tp>
      <tp t="s">
        <v>#N/A N/A</v>
        <stp/>
        <stp>BDS|868971427605343067</stp>
        <tr r="KO5" s="48"/>
      </tp>
      <tp t="s">
        <v>#N/A N/A</v>
        <stp/>
        <stp>BDS|833055016927341860</stp>
        <tr r="EE5" s="41"/>
      </tp>
      <tp t="s">
        <v>#N/A N/A</v>
        <stp/>
        <stp>BDS|512311773482103822</stp>
        <tr r="DQ5" s="18"/>
      </tp>
      <tp t="s">
        <v>#N/A N/A</v>
        <stp/>
        <stp>BDS|661509987823439079</stp>
        <tr r="TU5" s="39"/>
      </tp>
      <tp t="s">
        <v>#N/A N/A</v>
        <stp/>
        <stp>BDS|366755784494006242</stp>
        <tr r="IU5" s="36"/>
      </tp>
      <tp t="s">
        <v>#N/A N/A</v>
        <stp/>
        <stp>BDS|446486555930400902</stp>
        <tr r="CM5" s="39"/>
      </tp>
      <tp t="s">
        <v>#N/A N/A</v>
        <stp/>
        <stp>BDS|311956657483865749</stp>
        <tr r="FY5" s="24"/>
      </tp>
      <tp t="s">
        <v>#N/A N/A</v>
        <stp/>
        <stp>BDS|243550947641164897</stp>
        <tr r="UI5" s="40"/>
      </tp>
      <tp t="s">
        <v>#N/A N/A</v>
        <stp/>
        <stp>BDS|859041685681226117</stp>
        <tr r="PE5" s="6"/>
      </tp>
      <tp t="s">
        <v>#N/A N/A</v>
        <stp/>
        <stp>BDS|366421081506463228</stp>
        <tr r="CM5" s="13"/>
      </tp>
      <tp t="s">
        <v>#N/A N/A</v>
        <stp/>
        <stp>BDS|562422731796447944</stp>
        <tr r="CM5" s="44"/>
      </tp>
      <tp t="s">
        <v>#N/A N/A</v>
        <stp/>
        <stp>BDS|286871526804685653</stp>
        <tr r="JY5" s="42"/>
        <tr r="DA5" s="37"/>
        <tr r="MG5" s="5"/>
        <tr r="O5" s="23"/>
        <tr r="SA5" s="42"/>
      </tp>
      <tp t="s">
        <v>#N/A N/A</v>
        <stp/>
        <stp>BDS|681033252238635512</stp>
        <tr r="FY5" s="13"/>
      </tp>
      <tp t="s">
        <v>#N/A N/A</v>
        <stp/>
        <stp>BDS|690791347859140181</stp>
        <tr r="LC5" s="38"/>
      </tp>
      <tp t="s">
        <v>#N/A N/A</v>
        <stp/>
        <stp>BDS|562201363676620890</stp>
        <tr r="IG5" s="9"/>
        <tr r="HC5" s="10"/>
      </tp>
      <tp t="s">
        <v>#N/A N/A</v>
        <stp/>
        <stp>BDS|519542085447662065</stp>
        <tr r="RM5" s="30"/>
      </tp>
      <tp t="s">
        <v>#N/A N/A</v>
        <stp/>
        <stp>BDS|257964652666125074</stp>
        <tr r="TE5" s="49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B9"/>
  <sheetViews>
    <sheetView workbookViewId="0">
      <selection activeCell="C5" sqref="C5"/>
    </sheetView>
  </sheetViews>
  <sheetFormatPr defaultRowHeight="15" x14ac:dyDescent="0.25"/>
  <cols>
    <col min="1" max="600" width="14" customWidth="1"/>
  </cols>
  <sheetData>
    <row r="1" spans="1:60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20</v>
      </c>
      <c r="AE2" s="3" t="s">
        <v>21</v>
      </c>
      <c r="BI2" s="3" t="s">
        <v>22</v>
      </c>
      <c r="CM2" s="3" t="s">
        <v>23</v>
      </c>
      <c r="DQ2" s="3" t="s">
        <v>24</v>
      </c>
      <c r="EU2" s="3" t="s">
        <v>25</v>
      </c>
      <c r="FY2" s="3" t="s">
        <v>26</v>
      </c>
      <c r="HC2" s="3" t="s">
        <v>27</v>
      </c>
      <c r="IG2" s="3" t="s">
        <v>28</v>
      </c>
      <c r="JK2" s="3" t="s">
        <v>29</v>
      </c>
      <c r="KO2" s="3" t="s">
        <v>30</v>
      </c>
      <c r="LS2" s="3" t="s">
        <v>31</v>
      </c>
      <c r="MW2" s="3" t="s">
        <v>32</v>
      </c>
      <c r="OA2" s="3" t="s">
        <v>33</v>
      </c>
      <c r="PE2" s="3" t="s">
        <v>34</v>
      </c>
      <c r="QI2" s="3" t="s">
        <v>35</v>
      </c>
      <c r="RM2" s="3" t="s">
        <v>36</v>
      </c>
      <c r="SQ2" s="3" t="s">
        <v>37</v>
      </c>
      <c r="TU2" s="3" t="s">
        <v>38</v>
      </c>
      <c r="UY2" s="3" t="s">
        <v>39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_xll.BDS("OA US Equity","SUPPLY_CHAIN_SUPPLIERS_ALL_DATA","cols=12;rows=1")</f>
        <v>FE US Equity</v>
      </c>
      <c r="C5">
        <v>-2.4245362661989844E-14</v>
      </c>
      <c r="D5">
        <v>-2.4245362661989844E-14</v>
      </c>
      <c r="E5" t="s">
        <v>1745</v>
      </c>
      <c r="F5">
        <v>2021</v>
      </c>
      <c r="G5" t="s">
        <v>2288</v>
      </c>
      <c r="H5" s="6">
        <v>44693</v>
      </c>
      <c r="I5">
        <v>1</v>
      </c>
      <c r="J5">
        <v>-2.4245362661989844E-14</v>
      </c>
      <c r="K5">
        <v>302916</v>
      </c>
      <c r="L5" t="s">
        <v>2289</v>
      </c>
      <c r="O5" t="str">
        <f>_xll.BDS("OA US Equity","SUPPLY_CHAIN_CUSTOMERS_ALL_DATA")</f>
        <v>#N/A N/A</v>
      </c>
      <c r="AE5" t="str">
        <f>_xll.BDS("CMLP US Equity","SUPPLY_CHAIN_SUPPLIERS_ALL_DATA")</f>
        <v>#N/A N/A</v>
      </c>
      <c r="AS5" t="str">
        <f>_xll.BDS("CMLP US Equity","SUPPLY_CHAIN_CUSTOMERS_ALL_DATA")</f>
        <v>#N/A N/A</v>
      </c>
      <c r="BI5" t="str">
        <f>_xll.BDS("V US Equity","SUPPLY_CHAIN_SUPPLIERS_ALL_DATA","cols=12;rows=5")</f>
        <v>ADBE US Equity</v>
      </c>
      <c r="BJ5" t="s">
        <v>1769</v>
      </c>
      <c r="BK5">
        <v>2.4598999999999999E-2</v>
      </c>
      <c r="BL5">
        <v>0.180587</v>
      </c>
      <c r="BM5" t="s">
        <v>1762</v>
      </c>
      <c r="BN5">
        <v>2025</v>
      </c>
      <c r="BO5" t="s">
        <v>2268</v>
      </c>
      <c r="BP5" s="6">
        <v>45838</v>
      </c>
      <c r="BQ5">
        <v>5</v>
      </c>
      <c r="BR5">
        <v>1444699</v>
      </c>
      <c r="BS5">
        <v>101689</v>
      </c>
      <c r="BT5" t="s">
        <v>2269</v>
      </c>
      <c r="BW5" t="str">
        <f>_xll.BDS("V US Equity","SUPPLY_CHAIN_CUSTOMERS_ALL_DATA","cols=12;rows=5")</f>
        <v>CDW US Equity</v>
      </c>
      <c r="BX5">
        <v>7.7307000000000001E-2</v>
      </c>
      <c r="BY5" t="s">
        <v>1786</v>
      </c>
      <c r="BZ5">
        <v>0.18192900000000001</v>
      </c>
      <c r="CA5" t="s">
        <v>1809</v>
      </c>
      <c r="CB5">
        <v>2025</v>
      </c>
      <c r="CC5" t="s">
        <v>1871</v>
      </c>
      <c r="CD5" s="6">
        <v>45820</v>
      </c>
      <c r="CE5">
        <v>5</v>
      </c>
      <c r="CF5">
        <v>7416881</v>
      </c>
      <c r="CG5">
        <v>12129192</v>
      </c>
      <c r="CH5" t="s">
        <v>1872</v>
      </c>
      <c r="CM5" t="str">
        <f>_xll.BDS("TT US Equity","SUPPLY_CHAIN_SUPPLIERS_ALL_DATA","cols=12;rows=5")</f>
        <v>NUE US Equity</v>
      </c>
      <c r="CN5" t="s">
        <v>1786</v>
      </c>
      <c r="CO5">
        <v>0.69614900000000002</v>
      </c>
      <c r="CP5">
        <v>1.845674</v>
      </c>
      <c r="CQ5" t="s">
        <v>1762</v>
      </c>
      <c r="CR5">
        <v>2025</v>
      </c>
      <c r="CS5" t="s">
        <v>4029</v>
      </c>
      <c r="CT5" s="6">
        <v>45870</v>
      </c>
      <c r="CU5">
        <v>5</v>
      </c>
      <c r="CV5">
        <v>58866388</v>
      </c>
      <c r="CW5">
        <v>101097</v>
      </c>
      <c r="CX5" t="s">
        <v>6264</v>
      </c>
      <c r="DA5" t="str">
        <f>_xll.BDS("TT US Equity","SUPPLY_CHAIN_CUSTOMERS_ALL_DATA","cols=12;rows=5")</f>
        <v>INTC US Equity</v>
      </c>
      <c r="DB5">
        <v>1.9606330000000001</v>
      </c>
      <c r="DC5" t="s">
        <v>1786</v>
      </c>
      <c r="DD5">
        <v>1.043668</v>
      </c>
      <c r="DE5" t="s">
        <v>1762</v>
      </c>
      <c r="DF5">
        <v>2025</v>
      </c>
      <c r="DG5" t="s">
        <v>4029</v>
      </c>
      <c r="DH5" s="6">
        <v>45870</v>
      </c>
      <c r="DI5">
        <v>5</v>
      </c>
      <c r="DJ5">
        <v>97238576</v>
      </c>
      <c r="DK5">
        <v>101729</v>
      </c>
      <c r="DL5" t="s">
        <v>2246</v>
      </c>
      <c r="DQ5" t="str">
        <f>_xll.BDS("TDAY US Equity","SUPPLY_CHAIN_SUPPLIERS_ALL_DATA","cols=12;rows=5")</f>
        <v>0864365D US Equity</v>
      </c>
      <c r="DS5">
        <v>-2.4245362661989844E-14</v>
      </c>
      <c r="DT5">
        <v>-2.4245362661989844E-14</v>
      </c>
      <c r="DU5" t="s">
        <v>1745</v>
      </c>
      <c r="DV5">
        <v>2024</v>
      </c>
      <c r="DW5" t="s">
        <v>6072</v>
      </c>
      <c r="DX5" s="6">
        <v>45391</v>
      </c>
      <c r="DY5">
        <v>5</v>
      </c>
      <c r="DZ5">
        <v>-2.4245362661989844E-14</v>
      </c>
      <c r="EA5">
        <v>36885763</v>
      </c>
      <c r="EB5" t="s">
        <v>6073</v>
      </c>
      <c r="EE5" t="str">
        <f>_xll.BDS("TDAY US Equity","SUPPLY_CHAIN_CUSTOMERS_ALL_DATA","cols=12;rows=5")</f>
        <v>0135042D US Equity</v>
      </c>
      <c r="EF5">
        <v>-2.4245362661989844E-14</v>
      </c>
      <c r="EH5">
        <v>-2.4245362661989844E-14</v>
      </c>
      <c r="EI5" t="s">
        <v>1745</v>
      </c>
      <c r="EJ5">
        <v>2022</v>
      </c>
      <c r="EK5" t="s">
        <v>6007</v>
      </c>
      <c r="EL5" s="6">
        <v>44980</v>
      </c>
      <c r="EM5">
        <v>5</v>
      </c>
      <c r="EN5">
        <v>-2.4245362661989844E-14</v>
      </c>
      <c r="EO5">
        <v>28963647</v>
      </c>
      <c r="EP5" t="s">
        <v>6008</v>
      </c>
      <c r="EU5" t="str">
        <f>_xll.BDS("605555Q US Equity","SUPPLY_CHAIN_SUPPLIERS_ALL_DATA","cols=12;rows=4")</f>
        <v>FRT US Equity</v>
      </c>
      <c r="EW5">
        <v>-2.4245362661989844E-14</v>
      </c>
      <c r="EX5">
        <v>-2.4245362661989844E-14</v>
      </c>
      <c r="EY5" t="s">
        <v>1745</v>
      </c>
      <c r="EZ5">
        <v>2022</v>
      </c>
      <c r="FA5" t="s">
        <v>6578</v>
      </c>
      <c r="FB5" s="6">
        <v>44965</v>
      </c>
      <c r="FC5">
        <v>4</v>
      </c>
      <c r="FD5">
        <v>-2.4245362661989844E-14</v>
      </c>
      <c r="FE5">
        <v>100558</v>
      </c>
      <c r="FF5" t="s">
        <v>4251</v>
      </c>
      <c r="FI5" t="str">
        <f>_xll.BDS("605555Q US Equity","SUPPLY_CHAIN_CUSTOMERS_ALL_DATA")</f>
        <v>#N/A N/A</v>
      </c>
      <c r="FY5" t="str">
        <f>_xll.BDS("MER US Equity","SUPPLY_CHAIN_SUPPLIERS_ALL_DATA")</f>
        <v>#N/A N/A</v>
      </c>
      <c r="GM5" t="str">
        <f>_xll.BDS("MER US Equity","SUPPLY_CHAIN_CUSTOMERS_ALL_DATA")</f>
        <v>#N/A N/A</v>
      </c>
      <c r="HC5" t="str">
        <f>_xll.BDS("NLY US Equity","SUPPLY_CHAIN_SUPPLIERS_ALL_DATA")</f>
        <v>#N/A N/A</v>
      </c>
      <c r="HQ5" t="str">
        <f>_xll.BDS("NLY US Equity","SUPPLY_CHAIN_CUSTOMERS_ALL_DATA")</f>
        <v>#N/A N/A</v>
      </c>
      <c r="IG5" t="str">
        <f>_xll.BDS("VMW US Equity","SUPPLY_CHAIN_SUPPLIERS_ALL_DATA","cols=12;rows=5")</f>
        <v>0956625D US Equity</v>
      </c>
      <c r="II5">
        <v>-2.4245362661989844E-14</v>
      </c>
      <c r="IJ5">
        <v>-2.4245362661989844E-14</v>
      </c>
      <c r="IK5" t="s">
        <v>1745</v>
      </c>
      <c r="IL5">
        <v>2023</v>
      </c>
      <c r="IM5" t="s">
        <v>2895</v>
      </c>
      <c r="IN5" s="6">
        <v>45196</v>
      </c>
      <c r="IO5">
        <v>5</v>
      </c>
      <c r="IP5">
        <v>-2.4245362661989844E-14</v>
      </c>
      <c r="IQ5">
        <v>39235779</v>
      </c>
      <c r="IR5" t="s">
        <v>2896</v>
      </c>
      <c r="IU5" t="str">
        <f>_xll.BDS("VMW US Equity","SUPPLY_CHAIN_CUSTOMERS_ALL_DATA","cols=12;rows=5")</f>
        <v>002642 CH Equity</v>
      </c>
      <c r="IV5">
        <v>-2.4245362661989844E-14</v>
      </c>
      <c r="IX5">
        <v>-2.4245362661989844E-14</v>
      </c>
      <c r="IY5" t="s">
        <v>1805</v>
      </c>
      <c r="IZ5">
        <v>2023</v>
      </c>
      <c r="JA5" t="s">
        <v>5436</v>
      </c>
      <c r="JB5" s="6">
        <v>45163</v>
      </c>
      <c r="JC5">
        <v>5</v>
      </c>
      <c r="JD5">
        <v>-2.4245362661989844E-14</v>
      </c>
      <c r="JE5">
        <v>23051544</v>
      </c>
      <c r="JF5" t="s">
        <v>5437</v>
      </c>
      <c r="JK5" t="str">
        <f>_xll.BDS("EPC US Equity","SUPPLY_CHAIN_SUPPLIERS_ALL_DATA","cols=12;rows=5")</f>
        <v>BABA US Equity</v>
      </c>
      <c r="JL5" t="s">
        <v>1769</v>
      </c>
      <c r="JM5">
        <v>1.1122E-2</v>
      </c>
      <c r="JN5">
        <v>2.0614919999999999</v>
      </c>
      <c r="JO5" t="s">
        <v>1809</v>
      </c>
      <c r="JP5">
        <v>2026</v>
      </c>
      <c r="JQ5" t="s">
        <v>2083</v>
      </c>
      <c r="JR5" s="6">
        <v>45973</v>
      </c>
      <c r="JS5">
        <v>5</v>
      </c>
      <c r="JT5">
        <v>3809600.27</v>
      </c>
      <c r="JU5">
        <v>16857643</v>
      </c>
      <c r="JV5" t="s">
        <v>2084</v>
      </c>
      <c r="JY5" t="str">
        <f>_xll.BDS("EPC US Equity","SUPPLY_CHAIN_CUSTOMERS_ALL_DATA","cols=12;rows=5")</f>
        <v>WMT US Equity</v>
      </c>
      <c r="JZ5">
        <v>17.399999999999999</v>
      </c>
      <c r="KA5" t="s">
        <v>1786</v>
      </c>
      <c r="KB5">
        <v>7.3280999999999999E-2</v>
      </c>
      <c r="KC5" t="s">
        <v>1745</v>
      </c>
      <c r="KD5">
        <v>2025</v>
      </c>
      <c r="KE5" t="s">
        <v>5161</v>
      </c>
      <c r="KF5" s="6">
        <v>45979</v>
      </c>
      <c r="KG5">
        <v>5</v>
      </c>
      <c r="KH5">
        <v>96722248</v>
      </c>
      <c r="KI5">
        <v>101616</v>
      </c>
      <c r="KJ5" t="s">
        <v>2098</v>
      </c>
      <c r="KO5" t="str">
        <f>_xll.BDS("QVCGA US Equity","SUPPLY_CHAIN_SUPPLIERS_ALL_DATA","cols=12;rows=5")</f>
        <v>GRMN US Equity</v>
      </c>
      <c r="KP5" t="s">
        <v>1786</v>
      </c>
      <c r="KQ5">
        <v>0.68698300000000001</v>
      </c>
      <c r="KR5">
        <v>0.87663500000000005</v>
      </c>
      <c r="KS5" t="s">
        <v>1762</v>
      </c>
      <c r="KT5">
        <v>2025</v>
      </c>
      <c r="KU5" t="s">
        <v>6039</v>
      </c>
      <c r="KV5" s="6">
        <v>45903</v>
      </c>
      <c r="KW5">
        <v>5</v>
      </c>
      <c r="KX5">
        <v>12465746</v>
      </c>
      <c r="KY5">
        <v>1184444</v>
      </c>
      <c r="KZ5" t="s">
        <v>6040</v>
      </c>
      <c r="LC5" t="str">
        <f>_xll.BDS("QVCGA US Equity","SUPPLY_CHAIN_CUSTOMERS_ALL_DATA","cols=12;rows=5")</f>
        <v>066570 KS Equity</v>
      </c>
      <c r="LD5">
        <v>0.13600400000000001</v>
      </c>
      <c r="LE5" t="s">
        <v>1769</v>
      </c>
      <c r="LF5">
        <v>9.8379999999999995E-2</v>
      </c>
      <c r="LG5" t="s">
        <v>1742</v>
      </c>
      <c r="LH5">
        <v>2025</v>
      </c>
      <c r="LI5" t="s">
        <v>2162</v>
      </c>
      <c r="LJ5" s="6">
        <v>46014</v>
      </c>
      <c r="LK5">
        <v>5</v>
      </c>
      <c r="LL5">
        <v>3011041.38</v>
      </c>
      <c r="LM5">
        <v>7583418</v>
      </c>
      <c r="LN5" t="s">
        <v>2163</v>
      </c>
      <c r="LS5" t="str">
        <f>_xll.BDS("SWY US Equity","SUPPLY_CHAIN_SUPPLIERS_ALL_DATA")</f>
        <v>#N/A N/A</v>
      </c>
      <c r="MG5" t="str">
        <f>_xll.BDS("SWY US Equity","SUPPLY_CHAIN_CUSTOMERS_ALL_DATA")</f>
        <v>#N/A N/A</v>
      </c>
      <c r="MW5" t="str">
        <f>_xll.BDS("COOP US Equity","SUPPLY_CHAIN_SUPPLIERS_ALL_DATA","cols=12;rows=3")</f>
        <v>BLND US Equity</v>
      </c>
      <c r="MX5" t="s">
        <v>1786</v>
      </c>
      <c r="MY5">
        <v>73.199996999999996</v>
      </c>
      <c r="MZ5">
        <v>6.992375</v>
      </c>
      <c r="NA5" t="s">
        <v>1762</v>
      </c>
      <c r="NB5">
        <v>2025</v>
      </c>
      <c r="NC5" t="s">
        <v>6149</v>
      </c>
      <c r="ND5" s="6">
        <v>45876</v>
      </c>
      <c r="NE5">
        <v>3</v>
      </c>
      <c r="NF5">
        <v>23074836</v>
      </c>
      <c r="NG5">
        <v>42447088</v>
      </c>
      <c r="NH5" t="s">
        <v>2838</v>
      </c>
      <c r="NK5" t="str">
        <f>_xll.BDS("COOP US Equity","SUPPLY_CHAIN_CUSTOMERS_ALL_DATA")</f>
        <v>#N/A N/A</v>
      </c>
      <c r="OA5" t="str">
        <f>_xll.BDS("PFE US Equity","SUPPLY_CHAIN_SUPPLIERS_ALL_DATA","cols=12;rows=5")</f>
        <v>BNTX US Equity</v>
      </c>
      <c r="OB5" t="s">
        <v>1786</v>
      </c>
      <c r="OC5">
        <v>73</v>
      </c>
      <c r="OD5">
        <v>12.187704999999999</v>
      </c>
      <c r="OE5" t="s">
        <v>1745</v>
      </c>
      <c r="OF5">
        <v>2024</v>
      </c>
      <c r="OG5" t="s">
        <v>5998</v>
      </c>
      <c r="OH5" s="6">
        <v>45726</v>
      </c>
      <c r="OI5">
        <v>5</v>
      </c>
      <c r="OJ5">
        <v>544064265</v>
      </c>
      <c r="OK5">
        <v>65839686</v>
      </c>
      <c r="OL5" t="s">
        <v>5999</v>
      </c>
      <c r="OO5" t="str">
        <f>_xll.BDS("PFE US Equity","SUPPLY_CHAIN_CUSTOMERS_ALL_DATA","cols=12;rows=5")</f>
        <v>MCK US Equity</v>
      </c>
      <c r="OP5">
        <v>25</v>
      </c>
      <c r="OQ5" t="s">
        <v>1786</v>
      </c>
      <c r="OR5">
        <v>4.0761390000000004</v>
      </c>
      <c r="OS5" t="s">
        <v>1745</v>
      </c>
      <c r="OT5">
        <v>2025</v>
      </c>
      <c r="OU5" t="s">
        <v>2145</v>
      </c>
      <c r="OV5" s="6">
        <v>46079</v>
      </c>
      <c r="OW5">
        <v>5</v>
      </c>
      <c r="OX5">
        <v>3911187456</v>
      </c>
      <c r="OY5">
        <v>154936</v>
      </c>
      <c r="OZ5" t="s">
        <v>2146</v>
      </c>
      <c r="PE5" t="str">
        <f>_xll.BDS("ORCL US Equity","SUPPLY_CHAIN_SUPPLIERS_ALL_DATA","cols=12;rows=5")</f>
        <v>NVDA US Equity</v>
      </c>
      <c r="PF5" t="s">
        <v>1820</v>
      </c>
      <c r="PG5">
        <v>1.9751799999999999</v>
      </c>
      <c r="PH5">
        <v>11.182838</v>
      </c>
      <c r="PI5" t="s">
        <v>1845</v>
      </c>
      <c r="PJ5">
        <v>2026</v>
      </c>
      <c r="PK5" t="s">
        <v>2311</v>
      </c>
      <c r="PL5" s="6">
        <v>46087</v>
      </c>
      <c r="PM5">
        <v>5</v>
      </c>
      <c r="PN5">
        <v>1345630848</v>
      </c>
      <c r="PO5">
        <v>313657</v>
      </c>
      <c r="PP5" t="s">
        <v>2312</v>
      </c>
      <c r="PS5" t="str">
        <f>_xll.BDS("ORCL US Equity","SUPPLY_CHAIN_CUSTOMERS_ALL_DATA","cols=12;rows=5")</f>
        <v>ACN US Equity</v>
      </c>
      <c r="PT5">
        <v>1.9061380000000001</v>
      </c>
      <c r="PU5" t="s">
        <v>1786</v>
      </c>
      <c r="PV5">
        <v>2.7725070000000001</v>
      </c>
      <c r="PW5" t="s">
        <v>1845</v>
      </c>
      <c r="PX5">
        <v>2025</v>
      </c>
      <c r="PY5" t="s">
        <v>1883</v>
      </c>
      <c r="PZ5" s="6">
        <v>45848</v>
      </c>
      <c r="QA5">
        <v>5</v>
      </c>
      <c r="QB5">
        <v>303133120</v>
      </c>
      <c r="QC5">
        <v>300787</v>
      </c>
      <c r="QD5" t="s">
        <v>1884</v>
      </c>
      <c r="QI5" t="str">
        <f>_xll.BDS("nan Equity","SUPPLY_CHAIN_SUPPLIERS_ALL_DATA")</f>
        <v>#N/A N/A</v>
      </c>
      <c r="QW5" t="str">
        <f>_xll.BDS("nan Equity","SUPPLY_CHAIN_CUSTOMERS_ALL_DATA")</f>
        <v>#N/A N/A</v>
      </c>
      <c r="RM5" t="str">
        <f>_xll.BDS("2641504Q US Equity","SUPPLY_CHAIN_SUPPLIERS_ALL_DATA")</f>
        <v>#N/A N/A</v>
      </c>
      <c r="SA5" t="str">
        <f>_xll.BDS("2641504Q US Equity","SUPPLY_CHAIN_CUSTOMERS_ALL_DATA")</f>
        <v>#N/A N/A</v>
      </c>
      <c r="SQ5" t="str">
        <f>_xll.BDS("0544749D US Equity","SUPPLY_CHAIN_SUPPLIERS_ALL_DATA")</f>
        <v>#N/A N/A</v>
      </c>
      <c r="TE5" t="str">
        <f>_xll.BDS("0544749D US Equity","SUPPLY_CHAIN_CUSTOMERS_ALL_DATA")</f>
        <v>#N/A N/A</v>
      </c>
      <c r="TU5" t="str">
        <f>_xll.BDS("1260972D US Equity","SUPPLY_CHAIN_SUPPLIERS_ALL_DATA")</f>
        <v>#N/A N/A</v>
      </c>
      <c r="UI5" t="str">
        <f>_xll.BDS("1260972D US Equity","SUPPLY_CHAIN_CUSTOMERS_ALL_DATA")</f>
        <v>#N/A N/A</v>
      </c>
      <c r="UY5" t="str">
        <f>_xll.BDS("3437127Q US Equity","SUPPLY_CHAIN_SUPPLIERS_ALL_DATA","cols=12;rows=2")</f>
        <v>141080 KS Equity</v>
      </c>
      <c r="VA5">
        <v>-2.4245362661989844E-14</v>
      </c>
      <c r="VB5">
        <v>-2.4245362661989844E-14</v>
      </c>
      <c r="VC5" t="s">
        <v>1798</v>
      </c>
      <c r="VD5">
        <v>2025</v>
      </c>
      <c r="VE5" t="s">
        <v>2657</v>
      </c>
      <c r="VF5" s="6">
        <v>45975</v>
      </c>
      <c r="VG5">
        <v>2</v>
      </c>
      <c r="VH5">
        <v>-2.4245362661989844E-14</v>
      </c>
      <c r="VI5">
        <v>34934611</v>
      </c>
      <c r="VJ5" t="s">
        <v>2658</v>
      </c>
      <c r="VM5" t="str">
        <f>_xll.BDS("3437127Q US Equity","SUPPLY_CHAIN_CUSTOMERS_ALL_DATA","cols=12;rows=2")</f>
        <v>CALA US Equity</v>
      </c>
      <c r="VN5">
        <v>-2.4245362661989844E-14</v>
      </c>
      <c r="VP5">
        <v>-2.4245362661989844E-14</v>
      </c>
      <c r="VQ5" t="s">
        <v>1745</v>
      </c>
      <c r="VR5">
        <v>2021</v>
      </c>
      <c r="VS5" t="s">
        <v>2461</v>
      </c>
      <c r="VT5" s="6">
        <v>44652</v>
      </c>
      <c r="VU5">
        <v>2</v>
      </c>
      <c r="VV5">
        <v>-2.4245362661989844E-14</v>
      </c>
      <c r="VW5">
        <v>20144557</v>
      </c>
      <c r="VX5" t="s">
        <v>2462</v>
      </c>
    </row>
    <row r="6" spans="1:600" x14ac:dyDescent="0.25">
      <c r="BI6" t="s">
        <v>4676</v>
      </c>
      <c r="BJ6" t="s">
        <v>1769</v>
      </c>
      <c r="BK6">
        <v>0.245</v>
      </c>
      <c r="BL6">
        <v>4.6059999999999997E-2</v>
      </c>
      <c r="BM6" t="s">
        <v>1805</v>
      </c>
      <c r="BN6">
        <v>2026</v>
      </c>
      <c r="BO6" t="s">
        <v>4677</v>
      </c>
      <c r="BP6" s="6">
        <v>45980</v>
      </c>
      <c r="BQ6">
        <v>5</v>
      </c>
      <c r="BR6">
        <v>427299.6</v>
      </c>
      <c r="BS6">
        <v>111277</v>
      </c>
      <c r="BT6" t="s">
        <v>4678</v>
      </c>
      <c r="BW6" t="s">
        <v>6363</v>
      </c>
      <c r="BX6">
        <v>-2.4245362661989844E-14</v>
      </c>
      <c r="BZ6">
        <v>-2.4245362661989844E-14</v>
      </c>
      <c r="CA6" t="s">
        <v>1745</v>
      </c>
      <c r="CB6">
        <v>2023</v>
      </c>
      <c r="CC6" t="s">
        <v>6364</v>
      </c>
      <c r="CD6" s="6">
        <v>45183</v>
      </c>
      <c r="CE6">
        <v>5</v>
      </c>
      <c r="CF6">
        <v>-2.4245362661989844E-14</v>
      </c>
      <c r="CG6">
        <v>55488126</v>
      </c>
      <c r="CH6" t="s">
        <v>6365</v>
      </c>
      <c r="CM6" t="s">
        <v>6265</v>
      </c>
      <c r="CN6" t="s">
        <v>1786</v>
      </c>
      <c r="CO6">
        <v>3.7716379999999998</v>
      </c>
      <c r="CP6">
        <v>0.87378199999999995</v>
      </c>
      <c r="CQ6" t="s">
        <v>1762</v>
      </c>
      <c r="CR6">
        <v>2026</v>
      </c>
      <c r="CS6" t="s">
        <v>6266</v>
      </c>
      <c r="CT6" s="6">
        <v>46000</v>
      </c>
      <c r="CU6">
        <v>5</v>
      </c>
      <c r="CV6">
        <v>27868632</v>
      </c>
      <c r="CW6">
        <v>105425</v>
      </c>
      <c r="CX6" t="s">
        <v>6267</v>
      </c>
      <c r="DA6" t="s">
        <v>6191</v>
      </c>
      <c r="DB6">
        <v>1.043463</v>
      </c>
      <c r="DC6" t="s">
        <v>1786</v>
      </c>
      <c r="DD6">
        <v>3.1111209999999998</v>
      </c>
      <c r="DE6" t="s">
        <v>1762</v>
      </c>
      <c r="DF6">
        <v>2025</v>
      </c>
      <c r="DG6" t="s">
        <v>4029</v>
      </c>
      <c r="DH6" s="6">
        <v>45870</v>
      </c>
      <c r="DI6">
        <v>5</v>
      </c>
      <c r="DJ6">
        <v>51751068</v>
      </c>
      <c r="DK6">
        <v>233062</v>
      </c>
      <c r="DL6" t="s">
        <v>6192</v>
      </c>
      <c r="DQ6" t="s">
        <v>6074</v>
      </c>
      <c r="DS6">
        <v>-2.4245362661989844E-14</v>
      </c>
      <c r="DT6">
        <v>-2.4245362661989844E-14</v>
      </c>
      <c r="DU6" t="s">
        <v>1745</v>
      </c>
      <c r="DV6">
        <v>2022</v>
      </c>
      <c r="DW6" t="s">
        <v>6007</v>
      </c>
      <c r="DX6" s="6">
        <v>44980</v>
      </c>
      <c r="DY6">
        <v>5</v>
      </c>
      <c r="DZ6">
        <v>-2.4245362661989844E-14</v>
      </c>
      <c r="EA6">
        <v>304177</v>
      </c>
      <c r="EB6" t="s">
        <v>6075</v>
      </c>
      <c r="EE6" t="s">
        <v>6009</v>
      </c>
      <c r="EF6">
        <v>-2.4245362661989844E-14</v>
      </c>
      <c r="EH6">
        <v>-2.4245362661989844E-14</v>
      </c>
      <c r="EI6" t="s">
        <v>1745</v>
      </c>
      <c r="EJ6">
        <v>2023</v>
      </c>
      <c r="EK6" t="s">
        <v>6010</v>
      </c>
      <c r="EL6" s="6">
        <v>45201</v>
      </c>
      <c r="EM6">
        <v>5</v>
      </c>
      <c r="EN6">
        <v>-2.4245362661989844E-14</v>
      </c>
      <c r="EO6">
        <v>55981712</v>
      </c>
      <c r="EP6" t="s">
        <v>6011</v>
      </c>
      <c r="EU6" t="s">
        <v>6579</v>
      </c>
      <c r="EW6">
        <v>-2.4245362661989844E-14</v>
      </c>
      <c r="EX6">
        <v>-2.4245362661989844E-14</v>
      </c>
      <c r="EY6" t="s">
        <v>1745</v>
      </c>
      <c r="EZ6">
        <v>2023</v>
      </c>
      <c r="FA6" t="s">
        <v>6580</v>
      </c>
      <c r="FB6" s="6">
        <v>45649</v>
      </c>
      <c r="FC6">
        <v>4</v>
      </c>
      <c r="FD6">
        <v>-2.4245362661989844E-14</v>
      </c>
      <c r="FE6">
        <v>52061253</v>
      </c>
      <c r="FF6" t="s">
        <v>6581</v>
      </c>
      <c r="IG6" t="s">
        <v>2897</v>
      </c>
      <c r="II6">
        <v>-2.4245362661989844E-14</v>
      </c>
      <c r="IJ6">
        <v>-2.4245362661989844E-14</v>
      </c>
      <c r="IK6" t="s">
        <v>1798</v>
      </c>
      <c r="IL6">
        <v>2023</v>
      </c>
      <c r="IM6" t="s">
        <v>2898</v>
      </c>
      <c r="IN6" s="6">
        <v>45243</v>
      </c>
      <c r="IO6">
        <v>5</v>
      </c>
      <c r="IP6">
        <v>-2.4245362661989844E-14</v>
      </c>
      <c r="IQ6">
        <v>45369408</v>
      </c>
      <c r="IR6" t="s">
        <v>2899</v>
      </c>
      <c r="IU6" t="s">
        <v>1789</v>
      </c>
      <c r="IV6">
        <v>-2.4245362661989844E-14</v>
      </c>
      <c r="IX6">
        <v>-2.4245362661989844E-14</v>
      </c>
      <c r="IY6" t="s">
        <v>1745</v>
      </c>
      <c r="IZ6">
        <v>2023</v>
      </c>
      <c r="JA6" t="s">
        <v>5438</v>
      </c>
      <c r="JB6" s="6">
        <v>45013</v>
      </c>
      <c r="JC6">
        <v>5</v>
      </c>
      <c r="JD6">
        <v>-2.4245362661989844E-14</v>
      </c>
      <c r="JE6">
        <v>117929</v>
      </c>
      <c r="JF6" t="s">
        <v>1791</v>
      </c>
      <c r="JK6" t="s">
        <v>2280</v>
      </c>
      <c r="JM6">
        <v>-2.4245362661989844E-14</v>
      </c>
      <c r="JN6">
        <v>-2.4245362661989844E-14</v>
      </c>
      <c r="JO6" t="s">
        <v>1745</v>
      </c>
      <c r="JP6">
        <v>2021</v>
      </c>
      <c r="JQ6" t="s">
        <v>2281</v>
      </c>
      <c r="JR6" s="6">
        <v>44693</v>
      </c>
      <c r="JS6">
        <v>5</v>
      </c>
      <c r="JT6">
        <v>-2.4245362661989844E-14</v>
      </c>
      <c r="JU6">
        <v>313098</v>
      </c>
      <c r="JV6" t="s">
        <v>2282</v>
      </c>
      <c r="JY6" t="s">
        <v>1854</v>
      </c>
      <c r="JZ6">
        <v>5.1140359999999996</v>
      </c>
      <c r="KA6" t="s">
        <v>1786</v>
      </c>
      <c r="KB6">
        <v>4.2745999999999999E-2</v>
      </c>
      <c r="KC6" t="s">
        <v>1742</v>
      </c>
      <c r="KD6">
        <v>2025</v>
      </c>
      <c r="KE6" t="s">
        <v>5162</v>
      </c>
      <c r="KF6" s="6">
        <v>45943</v>
      </c>
      <c r="KG6">
        <v>5</v>
      </c>
      <c r="KH6">
        <v>32075234</v>
      </c>
      <c r="KI6">
        <v>101758</v>
      </c>
      <c r="KJ6" t="s">
        <v>1856</v>
      </c>
      <c r="KO6" t="s">
        <v>6041</v>
      </c>
      <c r="KP6" t="s">
        <v>1786</v>
      </c>
      <c r="KQ6">
        <v>46.131107</v>
      </c>
      <c r="KR6">
        <v>0.57050800000000002</v>
      </c>
      <c r="KS6" t="s">
        <v>1745</v>
      </c>
      <c r="KT6">
        <v>2025</v>
      </c>
      <c r="KU6" t="s">
        <v>6042</v>
      </c>
      <c r="KV6" s="6">
        <v>45953</v>
      </c>
      <c r="KW6">
        <v>5</v>
      </c>
      <c r="KX6">
        <v>8926402.5199999996</v>
      </c>
      <c r="KY6">
        <v>28987796</v>
      </c>
      <c r="KZ6" t="s">
        <v>6043</v>
      </c>
      <c r="LC6" t="s">
        <v>3488</v>
      </c>
      <c r="LD6">
        <v>-2.4245362661989844E-14</v>
      </c>
      <c r="LF6">
        <v>-2.4245362661989844E-14</v>
      </c>
      <c r="LG6" t="s">
        <v>1745</v>
      </c>
      <c r="LH6">
        <v>2024</v>
      </c>
      <c r="LI6" t="s">
        <v>6506</v>
      </c>
      <c r="LJ6" s="6">
        <v>45715</v>
      </c>
      <c r="LK6">
        <v>5</v>
      </c>
      <c r="LL6">
        <v>-2.4245362661989844E-14</v>
      </c>
      <c r="LM6">
        <v>115545</v>
      </c>
      <c r="LN6" t="s">
        <v>3490</v>
      </c>
      <c r="MW6" t="s">
        <v>2936</v>
      </c>
      <c r="MY6">
        <v>-2.4245362661989844E-14</v>
      </c>
      <c r="MZ6">
        <v>-2.4245362661989844E-14</v>
      </c>
      <c r="NA6" t="s">
        <v>1762</v>
      </c>
      <c r="NB6">
        <v>2025</v>
      </c>
      <c r="NC6" t="s">
        <v>6150</v>
      </c>
      <c r="ND6" s="6">
        <v>45868</v>
      </c>
      <c r="NE6">
        <v>3</v>
      </c>
      <c r="NF6">
        <v>-2.4245362661989844E-14</v>
      </c>
      <c r="NG6">
        <v>43152573</v>
      </c>
      <c r="NH6" t="s">
        <v>2938</v>
      </c>
      <c r="OA6" t="s">
        <v>34</v>
      </c>
      <c r="OB6" t="s">
        <v>1786</v>
      </c>
      <c r="OC6">
        <v>0.22900000000000001</v>
      </c>
      <c r="OD6">
        <v>1.2800659999999999</v>
      </c>
      <c r="OE6" t="s">
        <v>1845</v>
      </c>
      <c r="OF6">
        <v>2025</v>
      </c>
      <c r="OG6" t="s">
        <v>1883</v>
      </c>
      <c r="OH6" s="6">
        <v>45848</v>
      </c>
      <c r="OI6">
        <v>5</v>
      </c>
      <c r="OJ6">
        <v>36417872</v>
      </c>
      <c r="OK6">
        <v>101752</v>
      </c>
      <c r="OL6" t="s">
        <v>2723</v>
      </c>
      <c r="OO6" t="s">
        <v>2147</v>
      </c>
      <c r="OP6">
        <v>16</v>
      </c>
      <c r="OQ6" t="s">
        <v>1786</v>
      </c>
      <c r="OR6">
        <v>3.190922</v>
      </c>
      <c r="OS6" t="s">
        <v>1745</v>
      </c>
      <c r="OT6">
        <v>2025</v>
      </c>
      <c r="OU6" t="s">
        <v>2145</v>
      </c>
      <c r="OV6" s="6">
        <v>46079</v>
      </c>
      <c r="OW6">
        <v>5</v>
      </c>
      <c r="OX6">
        <v>2503160064</v>
      </c>
      <c r="OY6">
        <v>156969</v>
      </c>
      <c r="OZ6" t="s">
        <v>2148</v>
      </c>
      <c r="PE6" t="s">
        <v>2313</v>
      </c>
      <c r="PF6" t="s">
        <v>1820</v>
      </c>
      <c r="PG6">
        <v>3.5808580000000001</v>
      </c>
      <c r="PH6">
        <v>3.236755</v>
      </c>
      <c r="PI6" t="s">
        <v>1762</v>
      </c>
      <c r="PJ6">
        <v>2025</v>
      </c>
      <c r="PK6" t="s">
        <v>2314</v>
      </c>
      <c r="PL6" s="6">
        <v>45947</v>
      </c>
      <c r="PM6">
        <v>5</v>
      </c>
      <c r="PN6">
        <v>275188928</v>
      </c>
      <c r="PO6">
        <v>100010</v>
      </c>
      <c r="PP6" t="s">
        <v>2315</v>
      </c>
      <c r="PS6" t="s">
        <v>1885</v>
      </c>
      <c r="PT6">
        <v>1.3419890000000001</v>
      </c>
      <c r="PU6" t="s">
        <v>1786</v>
      </c>
      <c r="PV6">
        <v>0.27725100000000003</v>
      </c>
      <c r="PW6" t="s">
        <v>1845</v>
      </c>
      <c r="PX6">
        <v>2025</v>
      </c>
      <c r="PY6" t="s">
        <v>1883</v>
      </c>
      <c r="PZ6" s="6">
        <v>45848</v>
      </c>
      <c r="QA6">
        <v>5</v>
      </c>
      <c r="QB6">
        <v>213416512</v>
      </c>
      <c r="QC6">
        <v>216952</v>
      </c>
      <c r="QD6" t="s">
        <v>1886</v>
      </c>
      <c r="UY6" t="s">
        <v>2659</v>
      </c>
      <c r="VA6">
        <v>-2.4245362661989844E-14</v>
      </c>
      <c r="VB6">
        <v>-2.4245362661989844E-14</v>
      </c>
      <c r="VC6" t="s">
        <v>1745</v>
      </c>
      <c r="VD6">
        <v>2023</v>
      </c>
      <c r="VE6" t="s">
        <v>2660</v>
      </c>
      <c r="VF6" s="6">
        <v>45378</v>
      </c>
      <c r="VG6">
        <v>2</v>
      </c>
      <c r="VH6">
        <v>-2.4245362661989844E-14</v>
      </c>
      <c r="VI6">
        <v>7580113</v>
      </c>
      <c r="VJ6" t="s">
        <v>2661</v>
      </c>
      <c r="VM6" t="s">
        <v>385</v>
      </c>
      <c r="VN6">
        <v>-2.4245362661989844E-14</v>
      </c>
      <c r="VP6">
        <v>-2.4245362661989844E-14</v>
      </c>
      <c r="VQ6" t="s">
        <v>1809</v>
      </c>
      <c r="VR6">
        <v>2025</v>
      </c>
      <c r="VS6" t="s">
        <v>2463</v>
      </c>
      <c r="VT6" s="6">
        <v>45762</v>
      </c>
      <c r="VU6">
        <v>2</v>
      </c>
      <c r="VV6">
        <v>-2.4245362661989844E-14</v>
      </c>
      <c r="VW6">
        <v>100828</v>
      </c>
      <c r="VX6" t="s">
        <v>2464</v>
      </c>
    </row>
    <row r="7" spans="1:600" x14ac:dyDescent="0.25">
      <c r="BI7" t="s">
        <v>6539</v>
      </c>
      <c r="BK7">
        <v>-2.4245362661989844E-14</v>
      </c>
      <c r="BL7">
        <v>-2.4245362661989844E-14</v>
      </c>
      <c r="BM7" t="s">
        <v>1745</v>
      </c>
      <c r="BN7">
        <v>2024</v>
      </c>
      <c r="BO7" t="s">
        <v>6540</v>
      </c>
      <c r="BP7" s="6">
        <v>45769</v>
      </c>
      <c r="BQ7">
        <v>5</v>
      </c>
      <c r="BR7">
        <v>-2.4245362661989844E-14</v>
      </c>
      <c r="BS7">
        <v>1456451</v>
      </c>
      <c r="BT7" t="s">
        <v>6541</v>
      </c>
      <c r="BW7" t="s">
        <v>6366</v>
      </c>
      <c r="BX7">
        <v>-2.4245362661989844E-14</v>
      </c>
      <c r="BZ7">
        <v>-2.4245362661989844E-14</v>
      </c>
      <c r="CA7" t="s">
        <v>1745</v>
      </c>
      <c r="CB7">
        <v>2022</v>
      </c>
      <c r="CC7" t="s">
        <v>6367</v>
      </c>
      <c r="CD7" s="6">
        <v>44680</v>
      </c>
      <c r="CE7">
        <v>5</v>
      </c>
      <c r="CF7">
        <v>-2.4245362661989844E-14</v>
      </c>
      <c r="CG7">
        <v>1422388</v>
      </c>
      <c r="CH7" t="s">
        <v>6368</v>
      </c>
      <c r="CM7" t="s">
        <v>6268</v>
      </c>
      <c r="CN7" t="s">
        <v>1786</v>
      </c>
      <c r="CO7">
        <v>0.74605100000000002</v>
      </c>
      <c r="CP7">
        <v>0.82080399999999998</v>
      </c>
      <c r="CQ7" t="s">
        <v>1845</v>
      </c>
      <c r="CR7">
        <v>2024</v>
      </c>
      <c r="CS7" t="s">
        <v>4029</v>
      </c>
      <c r="CT7" s="6">
        <v>45755</v>
      </c>
      <c r="CU7">
        <v>5</v>
      </c>
      <c r="CV7">
        <v>26178928</v>
      </c>
      <c r="CW7">
        <v>101582</v>
      </c>
      <c r="CX7" t="s">
        <v>6269</v>
      </c>
      <c r="DA7" t="s">
        <v>5777</v>
      </c>
      <c r="DB7">
        <v>0.89171900000000004</v>
      </c>
      <c r="DC7" t="s">
        <v>1786</v>
      </c>
      <c r="DD7">
        <v>3.0312990000000002</v>
      </c>
      <c r="DE7" t="s">
        <v>1762</v>
      </c>
      <c r="DF7">
        <v>2025</v>
      </c>
      <c r="DG7" t="s">
        <v>6193</v>
      </c>
      <c r="DH7" s="6">
        <v>45889</v>
      </c>
      <c r="DI7">
        <v>5</v>
      </c>
      <c r="DJ7">
        <v>44225256</v>
      </c>
      <c r="DK7">
        <v>107907</v>
      </c>
      <c r="DL7" t="s">
        <v>5778</v>
      </c>
      <c r="DQ7" t="s">
        <v>6076</v>
      </c>
      <c r="DS7">
        <v>-2.4245362661989844E-14</v>
      </c>
      <c r="DT7">
        <v>-2.4245362661989844E-14</v>
      </c>
      <c r="DU7" t="s">
        <v>1762</v>
      </c>
      <c r="DV7">
        <v>2024</v>
      </c>
      <c r="DW7" t="s">
        <v>6077</v>
      </c>
      <c r="DX7" s="6">
        <v>45202</v>
      </c>
      <c r="DY7">
        <v>5</v>
      </c>
      <c r="DZ7">
        <v>-2.4245362661989844E-14</v>
      </c>
      <c r="EA7">
        <v>28128949</v>
      </c>
      <c r="EB7" t="s">
        <v>6078</v>
      </c>
      <c r="EE7" t="s">
        <v>6012</v>
      </c>
      <c r="EF7">
        <v>-2.4245362661989844E-14</v>
      </c>
      <c r="EH7">
        <v>-2.4245362661989844E-14</v>
      </c>
      <c r="EI7" t="s">
        <v>1809</v>
      </c>
      <c r="EJ7">
        <v>2023</v>
      </c>
      <c r="EK7" t="s">
        <v>6013</v>
      </c>
      <c r="EL7" s="6">
        <v>45000</v>
      </c>
      <c r="EM7">
        <v>5</v>
      </c>
      <c r="EN7">
        <v>-2.4245362661989844E-14</v>
      </c>
      <c r="EO7">
        <v>64921057</v>
      </c>
      <c r="EP7" t="s">
        <v>6014</v>
      </c>
      <c r="EU7" t="s">
        <v>6582</v>
      </c>
      <c r="EW7">
        <v>-2.4245362661989844E-14</v>
      </c>
      <c r="EX7">
        <v>-2.4245362661989844E-14</v>
      </c>
      <c r="EY7" t="s">
        <v>1745</v>
      </c>
      <c r="EZ7">
        <v>2024</v>
      </c>
      <c r="FA7" t="s">
        <v>6583</v>
      </c>
      <c r="FB7" s="6">
        <v>45737</v>
      </c>
      <c r="FC7">
        <v>4</v>
      </c>
      <c r="FD7">
        <v>-2.4245362661989844E-14</v>
      </c>
      <c r="FE7">
        <v>13345994</v>
      </c>
      <c r="FF7" t="s">
        <v>6584</v>
      </c>
      <c r="IG7" t="s">
        <v>2900</v>
      </c>
      <c r="II7">
        <v>-2.4245362661989844E-14</v>
      </c>
      <c r="IJ7">
        <v>-2.4245362661989844E-14</v>
      </c>
      <c r="IK7" t="s">
        <v>1745</v>
      </c>
      <c r="IL7">
        <v>2022</v>
      </c>
      <c r="IM7" t="s">
        <v>2901</v>
      </c>
      <c r="IN7" s="6">
        <v>45044</v>
      </c>
      <c r="IO7">
        <v>5</v>
      </c>
      <c r="IP7">
        <v>-2.4245362661989844E-14</v>
      </c>
      <c r="IQ7">
        <v>64315983</v>
      </c>
      <c r="IR7" t="s">
        <v>2902</v>
      </c>
      <c r="IU7" t="s">
        <v>5439</v>
      </c>
      <c r="IV7">
        <v>-2.4245362661989844E-14</v>
      </c>
      <c r="IX7">
        <v>-2.4245362661989844E-14</v>
      </c>
      <c r="IY7" t="s">
        <v>1745</v>
      </c>
      <c r="IZ7">
        <v>2022</v>
      </c>
      <c r="JA7" t="s">
        <v>2904</v>
      </c>
      <c r="JB7" s="6">
        <v>44838</v>
      </c>
      <c r="JC7">
        <v>5</v>
      </c>
      <c r="JD7">
        <v>-2.4245362661989844E-14</v>
      </c>
      <c r="JE7">
        <v>938937</v>
      </c>
      <c r="JF7" t="s">
        <v>5440</v>
      </c>
      <c r="JK7" t="s">
        <v>2283</v>
      </c>
      <c r="JM7">
        <v>-2.4245362661989844E-14</v>
      </c>
      <c r="JN7">
        <v>-2.4245362661989844E-14</v>
      </c>
      <c r="JO7" t="s">
        <v>1745</v>
      </c>
      <c r="JP7">
        <v>2021</v>
      </c>
      <c r="JQ7" t="s">
        <v>2284</v>
      </c>
      <c r="JR7" s="6">
        <v>44693</v>
      </c>
      <c r="JS7">
        <v>5</v>
      </c>
      <c r="JT7">
        <v>-2.4245362661989844E-14</v>
      </c>
      <c r="JU7">
        <v>100060</v>
      </c>
      <c r="JV7" t="s">
        <v>2285</v>
      </c>
      <c r="JY7" t="s">
        <v>3139</v>
      </c>
      <c r="JZ7">
        <v>4.2625000000000002</v>
      </c>
      <c r="KA7" t="s">
        <v>1786</v>
      </c>
      <c r="KB7">
        <v>0.124755</v>
      </c>
      <c r="KC7" t="s">
        <v>1745</v>
      </c>
      <c r="KD7">
        <v>2025</v>
      </c>
      <c r="KE7" t="s">
        <v>5161</v>
      </c>
      <c r="KF7" s="6">
        <v>45979</v>
      </c>
      <c r="KG7">
        <v>5</v>
      </c>
      <c r="KH7">
        <v>23694172</v>
      </c>
      <c r="KI7">
        <v>100436</v>
      </c>
      <c r="KJ7" t="s">
        <v>3140</v>
      </c>
      <c r="KO7" t="s">
        <v>3014</v>
      </c>
      <c r="KP7" t="s">
        <v>1786</v>
      </c>
      <c r="KQ7">
        <v>3.7053000000000003E-2</v>
      </c>
      <c r="KR7">
        <v>0.33299200000000001</v>
      </c>
      <c r="KS7" t="s">
        <v>1742</v>
      </c>
      <c r="KT7">
        <v>2025</v>
      </c>
      <c r="KU7" t="s">
        <v>3015</v>
      </c>
      <c r="KV7" s="6">
        <v>45981</v>
      </c>
      <c r="KW7">
        <v>5</v>
      </c>
      <c r="KX7">
        <v>4865922.1900000004</v>
      </c>
      <c r="KY7">
        <v>115414</v>
      </c>
      <c r="KZ7" t="s">
        <v>3016</v>
      </c>
      <c r="LC7" t="s">
        <v>6507</v>
      </c>
      <c r="LD7">
        <v>-2.4245362661989844E-14</v>
      </c>
      <c r="LF7">
        <v>-2.4245362661989844E-14</v>
      </c>
      <c r="LG7" t="s">
        <v>1745</v>
      </c>
      <c r="LH7">
        <v>2022</v>
      </c>
      <c r="LI7" t="s">
        <v>6508</v>
      </c>
      <c r="LJ7" s="6">
        <v>44986</v>
      </c>
      <c r="LK7">
        <v>5</v>
      </c>
      <c r="LL7">
        <v>-2.4245362661989844E-14</v>
      </c>
      <c r="LM7">
        <v>171027</v>
      </c>
      <c r="LN7" t="s">
        <v>6509</v>
      </c>
      <c r="MW7" t="s">
        <v>6151</v>
      </c>
      <c r="MY7">
        <v>-2.4245362661989844E-14</v>
      </c>
      <c r="MZ7">
        <v>-2.4245362661989844E-14</v>
      </c>
      <c r="NA7" t="s">
        <v>1745</v>
      </c>
      <c r="NB7">
        <v>2021</v>
      </c>
      <c r="NC7" t="s">
        <v>6152</v>
      </c>
      <c r="ND7" s="6">
        <v>44636</v>
      </c>
      <c r="NE7">
        <v>3</v>
      </c>
      <c r="NF7">
        <v>-2.4245362661989844E-14</v>
      </c>
      <c r="NG7">
        <v>45576299</v>
      </c>
      <c r="NH7" t="s">
        <v>6153</v>
      </c>
      <c r="OA7" t="s">
        <v>5281</v>
      </c>
      <c r="OB7" t="s">
        <v>1786</v>
      </c>
      <c r="OC7">
        <v>3.7231350000000001</v>
      </c>
      <c r="OD7">
        <v>0.80518199999999995</v>
      </c>
      <c r="OE7" t="s">
        <v>1742</v>
      </c>
      <c r="OF7">
        <v>2025</v>
      </c>
      <c r="OG7" t="s">
        <v>5282</v>
      </c>
      <c r="OH7" s="6">
        <v>46069</v>
      </c>
      <c r="OI7">
        <v>5</v>
      </c>
      <c r="OJ7">
        <v>33600181.100000001</v>
      </c>
      <c r="OK7">
        <v>153809</v>
      </c>
      <c r="OL7" t="s">
        <v>5283</v>
      </c>
      <c r="OO7" t="s">
        <v>236</v>
      </c>
      <c r="OP7">
        <v>13</v>
      </c>
      <c r="OQ7" t="s">
        <v>1786</v>
      </c>
      <c r="OR7">
        <v>3.4525320000000002</v>
      </c>
      <c r="OS7" t="s">
        <v>1745</v>
      </c>
      <c r="OT7">
        <v>2025</v>
      </c>
      <c r="OU7" t="s">
        <v>2145</v>
      </c>
      <c r="OV7" s="6">
        <v>46079</v>
      </c>
      <c r="OW7">
        <v>5</v>
      </c>
      <c r="OX7">
        <v>2033817472</v>
      </c>
      <c r="OY7">
        <v>102782</v>
      </c>
      <c r="OZ7" t="s">
        <v>2149</v>
      </c>
      <c r="PE7" t="s">
        <v>2076</v>
      </c>
      <c r="PF7" t="s">
        <v>1820</v>
      </c>
      <c r="PG7">
        <v>0.91127400000000003</v>
      </c>
      <c r="PH7">
        <v>1.364298</v>
      </c>
      <c r="PI7" t="s">
        <v>1845</v>
      </c>
      <c r="PJ7">
        <v>2025</v>
      </c>
      <c r="PK7" t="s">
        <v>2316</v>
      </c>
      <c r="PL7" s="6">
        <v>46010</v>
      </c>
      <c r="PM7">
        <v>5</v>
      </c>
      <c r="PN7">
        <v>164166016</v>
      </c>
      <c r="PO7">
        <v>59907412</v>
      </c>
      <c r="PP7" t="s">
        <v>2077</v>
      </c>
      <c r="PS7" t="s">
        <v>357</v>
      </c>
      <c r="PT7">
        <v>1.0301469999999999</v>
      </c>
      <c r="PU7" t="s">
        <v>1786</v>
      </c>
      <c r="PV7">
        <v>1.0221020000000001</v>
      </c>
      <c r="PW7" t="s">
        <v>1845</v>
      </c>
      <c r="PX7">
        <v>2025</v>
      </c>
      <c r="PY7" t="s">
        <v>1887</v>
      </c>
      <c r="PZ7" s="6">
        <v>46056</v>
      </c>
      <c r="QA7">
        <v>5</v>
      </c>
      <c r="QB7">
        <v>165420976</v>
      </c>
      <c r="QC7">
        <v>1499717</v>
      </c>
      <c r="QD7" t="s">
        <v>1864</v>
      </c>
    </row>
    <row r="8" spans="1:600" x14ac:dyDescent="0.25">
      <c r="BI8" t="s">
        <v>6542</v>
      </c>
      <c r="BK8">
        <v>-2.4245362661989844E-14</v>
      </c>
      <c r="BL8">
        <v>-2.4245362661989844E-14</v>
      </c>
      <c r="BM8" t="s">
        <v>1805</v>
      </c>
      <c r="BN8">
        <v>2025</v>
      </c>
      <c r="BO8" t="s">
        <v>6543</v>
      </c>
      <c r="BP8" s="6">
        <v>45895</v>
      </c>
      <c r="BQ8">
        <v>5</v>
      </c>
      <c r="BR8">
        <v>-2.4245362661989844E-14</v>
      </c>
      <c r="BS8">
        <v>11390764</v>
      </c>
      <c r="BT8" t="s">
        <v>6544</v>
      </c>
      <c r="BW8" t="s">
        <v>6369</v>
      </c>
      <c r="BX8">
        <v>-2.4245362661989844E-14</v>
      </c>
      <c r="BZ8">
        <v>-2.4245362661989844E-14</v>
      </c>
      <c r="CA8" t="s">
        <v>1745</v>
      </c>
      <c r="CB8">
        <v>2024</v>
      </c>
      <c r="CC8" t="s">
        <v>6370</v>
      </c>
      <c r="CD8" s="6">
        <v>45772</v>
      </c>
      <c r="CE8">
        <v>5</v>
      </c>
      <c r="CF8">
        <v>-2.4245362661989844E-14</v>
      </c>
      <c r="CG8">
        <v>38114240</v>
      </c>
      <c r="CH8" t="s">
        <v>6371</v>
      </c>
      <c r="CM8" t="s">
        <v>6270</v>
      </c>
      <c r="CN8" t="s">
        <v>1786</v>
      </c>
      <c r="CO8">
        <v>0.873359</v>
      </c>
      <c r="CP8">
        <v>0.42542200000000002</v>
      </c>
      <c r="CQ8" t="s">
        <v>1762</v>
      </c>
      <c r="CR8">
        <v>2025</v>
      </c>
      <c r="CS8" t="s">
        <v>4029</v>
      </c>
      <c r="CT8" s="6">
        <v>45870</v>
      </c>
      <c r="CU8">
        <v>5</v>
      </c>
      <c r="CV8">
        <v>13568516</v>
      </c>
      <c r="CW8">
        <v>125136</v>
      </c>
      <c r="CX8" t="s">
        <v>6271</v>
      </c>
      <c r="DA8" t="s">
        <v>1878</v>
      </c>
      <c r="DB8">
        <v>0.35216399999999998</v>
      </c>
      <c r="DC8" t="s">
        <v>1786</v>
      </c>
      <c r="DD8">
        <v>0.112446</v>
      </c>
      <c r="DE8" t="s">
        <v>1762</v>
      </c>
      <c r="DF8">
        <v>2025</v>
      </c>
      <c r="DG8" t="s">
        <v>4029</v>
      </c>
      <c r="DH8" s="6">
        <v>45870</v>
      </c>
      <c r="DI8">
        <v>5</v>
      </c>
      <c r="DJ8">
        <v>17465750</v>
      </c>
      <c r="DK8">
        <v>876285</v>
      </c>
      <c r="DL8" t="s">
        <v>1879</v>
      </c>
      <c r="DQ8" t="s">
        <v>6079</v>
      </c>
      <c r="DS8">
        <v>-2.4245362661989844E-14</v>
      </c>
      <c r="DT8">
        <v>-2.4245362661989844E-14</v>
      </c>
      <c r="DU8" t="s">
        <v>1809</v>
      </c>
      <c r="DV8">
        <v>2024</v>
      </c>
      <c r="DW8" t="s">
        <v>6080</v>
      </c>
      <c r="DX8" s="6">
        <v>45448</v>
      </c>
      <c r="DY8">
        <v>5</v>
      </c>
      <c r="DZ8">
        <v>-2.4245362661989844E-14</v>
      </c>
      <c r="EA8">
        <v>26653335</v>
      </c>
      <c r="EB8" t="s">
        <v>6081</v>
      </c>
      <c r="EE8" t="s">
        <v>6015</v>
      </c>
      <c r="EF8">
        <v>-2.4245362661989844E-14</v>
      </c>
      <c r="EH8">
        <v>-2.4245362661989844E-14</v>
      </c>
      <c r="EI8" t="s">
        <v>1745</v>
      </c>
      <c r="EJ8">
        <v>2024</v>
      </c>
      <c r="EK8" t="s">
        <v>6010</v>
      </c>
      <c r="EL8" s="6">
        <v>45323</v>
      </c>
      <c r="EM8">
        <v>5</v>
      </c>
      <c r="EN8">
        <v>-2.4245362661989844E-14</v>
      </c>
      <c r="EO8">
        <v>7832705</v>
      </c>
      <c r="EP8" t="s">
        <v>6016</v>
      </c>
      <c r="EU8" t="s">
        <v>6585</v>
      </c>
      <c r="EW8">
        <v>-2.4245362661989844E-14</v>
      </c>
      <c r="EX8">
        <v>-2.4245362661989844E-14</v>
      </c>
      <c r="EY8" t="s">
        <v>1745</v>
      </c>
      <c r="EZ8">
        <v>2021</v>
      </c>
      <c r="FA8" t="s">
        <v>6586</v>
      </c>
      <c r="FB8" s="6">
        <v>44655</v>
      </c>
      <c r="FC8">
        <v>4</v>
      </c>
      <c r="FD8">
        <v>-2.4245362661989844E-14</v>
      </c>
      <c r="FE8">
        <v>115293</v>
      </c>
      <c r="FF8" t="s">
        <v>6587</v>
      </c>
      <c r="IG8" t="s">
        <v>2903</v>
      </c>
      <c r="II8">
        <v>-2.4245362661989844E-14</v>
      </c>
      <c r="IJ8">
        <v>-2.4245362661989844E-14</v>
      </c>
      <c r="IK8" t="s">
        <v>1745</v>
      </c>
      <c r="IL8">
        <v>2023</v>
      </c>
      <c r="IM8" t="s">
        <v>2904</v>
      </c>
      <c r="IN8" s="6">
        <v>45040</v>
      </c>
      <c r="IO8">
        <v>5</v>
      </c>
      <c r="IP8">
        <v>-2.4245362661989844E-14</v>
      </c>
      <c r="IQ8">
        <v>23836246</v>
      </c>
      <c r="IR8" t="s">
        <v>2905</v>
      </c>
      <c r="IU8" t="s">
        <v>5441</v>
      </c>
      <c r="IV8">
        <v>-2.4245362661989844E-14</v>
      </c>
      <c r="IX8">
        <v>-2.4245362661989844E-14</v>
      </c>
      <c r="IY8" t="s">
        <v>1745</v>
      </c>
      <c r="IZ8">
        <v>2022</v>
      </c>
      <c r="JA8" t="s">
        <v>5442</v>
      </c>
      <c r="JB8" s="6">
        <v>44644</v>
      </c>
      <c r="JC8">
        <v>5</v>
      </c>
      <c r="JD8">
        <v>-2.4245362661989844E-14</v>
      </c>
      <c r="JE8">
        <v>29964655</v>
      </c>
      <c r="JF8" t="s">
        <v>5443</v>
      </c>
      <c r="JK8" t="s">
        <v>428</v>
      </c>
      <c r="JM8">
        <v>-2.4245362661989844E-14</v>
      </c>
      <c r="JN8">
        <v>-2.4245362661989844E-14</v>
      </c>
      <c r="JO8" t="s">
        <v>1745</v>
      </c>
      <c r="JP8">
        <v>2021</v>
      </c>
      <c r="JQ8" t="s">
        <v>3264</v>
      </c>
      <c r="JR8" s="6">
        <v>44693</v>
      </c>
      <c r="JS8">
        <v>5</v>
      </c>
      <c r="JT8">
        <v>-2.4245362661989844E-14</v>
      </c>
      <c r="JU8">
        <v>101690</v>
      </c>
      <c r="JV8" t="s">
        <v>3265</v>
      </c>
      <c r="JY8" t="s">
        <v>2024</v>
      </c>
      <c r="JZ8">
        <v>3.2884180000000001</v>
      </c>
      <c r="KA8" t="s">
        <v>1786</v>
      </c>
      <c r="KB8">
        <v>0.11629</v>
      </c>
      <c r="KC8" t="s">
        <v>1809</v>
      </c>
      <c r="KD8">
        <v>2025</v>
      </c>
      <c r="KE8" t="s">
        <v>5162</v>
      </c>
      <c r="KF8" s="6">
        <v>45736</v>
      </c>
      <c r="KG8">
        <v>5</v>
      </c>
      <c r="KH8">
        <v>15731792</v>
      </c>
      <c r="KI8">
        <v>46386935</v>
      </c>
      <c r="KJ8" t="s">
        <v>2025</v>
      </c>
      <c r="KO8" t="s">
        <v>6044</v>
      </c>
      <c r="KP8" t="s">
        <v>1786</v>
      </c>
      <c r="KQ8">
        <v>8.4625000000000006E-2</v>
      </c>
      <c r="KR8">
        <v>0.16813</v>
      </c>
      <c r="KS8" t="s">
        <v>1762</v>
      </c>
      <c r="KT8">
        <v>2025</v>
      </c>
      <c r="KU8" t="s">
        <v>6045</v>
      </c>
      <c r="KV8" s="6">
        <v>45756</v>
      </c>
      <c r="KW8">
        <v>5</v>
      </c>
      <c r="KX8">
        <v>3302068</v>
      </c>
      <c r="KY8">
        <v>179046</v>
      </c>
      <c r="KZ8" t="s">
        <v>6046</v>
      </c>
      <c r="LC8" t="s">
        <v>6510</v>
      </c>
      <c r="LD8">
        <v>-2.4245362661989844E-14</v>
      </c>
      <c r="LF8">
        <v>-2.4245362661989844E-14</v>
      </c>
      <c r="LG8" t="s">
        <v>1745</v>
      </c>
      <c r="LH8">
        <v>2024</v>
      </c>
      <c r="LI8" t="s">
        <v>6506</v>
      </c>
      <c r="LJ8" s="6">
        <v>45715</v>
      </c>
      <c r="LK8">
        <v>5</v>
      </c>
      <c r="LL8">
        <v>-2.4245362661989844E-14</v>
      </c>
      <c r="LM8">
        <v>15994790</v>
      </c>
      <c r="LN8" t="s">
        <v>6511</v>
      </c>
      <c r="OA8" t="s">
        <v>1114</v>
      </c>
      <c r="OB8" t="s">
        <v>1786</v>
      </c>
      <c r="OC8">
        <v>0.238619</v>
      </c>
      <c r="OD8">
        <v>0.71575299999999997</v>
      </c>
      <c r="OE8" t="s">
        <v>1745</v>
      </c>
      <c r="OF8">
        <v>2025</v>
      </c>
      <c r="OG8" t="s">
        <v>2150</v>
      </c>
      <c r="OH8" s="6">
        <v>46064</v>
      </c>
      <c r="OI8">
        <v>5</v>
      </c>
      <c r="OJ8">
        <v>28750000</v>
      </c>
      <c r="OK8">
        <v>100225</v>
      </c>
      <c r="OL8" t="s">
        <v>2151</v>
      </c>
      <c r="OO8" t="s">
        <v>1114</v>
      </c>
      <c r="OP8">
        <v>11.153900999999999</v>
      </c>
      <c r="OQ8" t="s">
        <v>1786</v>
      </c>
      <c r="OR8">
        <v>50.086109</v>
      </c>
      <c r="OS8" t="s">
        <v>1745</v>
      </c>
      <c r="OT8">
        <v>2025</v>
      </c>
      <c r="OU8" t="s">
        <v>2150</v>
      </c>
      <c r="OV8" s="6">
        <v>46064</v>
      </c>
      <c r="OW8">
        <v>5</v>
      </c>
      <c r="OX8">
        <v>1745000000</v>
      </c>
      <c r="OY8">
        <v>100225</v>
      </c>
      <c r="OZ8" t="s">
        <v>2151</v>
      </c>
      <c r="PE8" t="s">
        <v>2317</v>
      </c>
      <c r="PF8" t="s">
        <v>1820</v>
      </c>
      <c r="PG8">
        <v>6.234559</v>
      </c>
      <c r="PH8">
        <v>1.5138720000000001</v>
      </c>
      <c r="PI8" t="s">
        <v>1762</v>
      </c>
      <c r="PJ8">
        <v>2025</v>
      </c>
      <c r="PK8" t="s">
        <v>2318</v>
      </c>
      <c r="PL8" s="6">
        <v>45897</v>
      </c>
      <c r="PM8">
        <v>5</v>
      </c>
      <c r="PN8">
        <v>137459552</v>
      </c>
      <c r="PO8">
        <v>16532368</v>
      </c>
      <c r="PP8" t="s">
        <v>2319</v>
      </c>
      <c r="PS8" t="s">
        <v>496</v>
      </c>
      <c r="PT8">
        <v>0.69902799999999998</v>
      </c>
      <c r="PU8" t="s">
        <v>1786</v>
      </c>
      <c r="PV8">
        <v>0.138625</v>
      </c>
      <c r="PW8" t="s">
        <v>1845</v>
      </c>
      <c r="PX8">
        <v>2025</v>
      </c>
      <c r="PY8" t="s">
        <v>1883</v>
      </c>
      <c r="PZ8" s="6">
        <v>45848</v>
      </c>
      <c r="QA8">
        <v>5</v>
      </c>
      <c r="QB8">
        <v>111166424</v>
      </c>
      <c r="QC8">
        <v>100976</v>
      </c>
      <c r="QD8" t="s">
        <v>1888</v>
      </c>
    </row>
    <row r="9" spans="1:600" x14ac:dyDescent="0.25">
      <c r="BI9" t="s">
        <v>6545</v>
      </c>
      <c r="BK9">
        <v>-2.4245362661989844E-14</v>
      </c>
      <c r="BL9">
        <v>-2.4245362661989844E-14</v>
      </c>
      <c r="BM9" t="s">
        <v>1745</v>
      </c>
      <c r="BN9">
        <v>2024</v>
      </c>
      <c r="BO9" t="s">
        <v>6546</v>
      </c>
      <c r="BP9" s="6">
        <v>45489</v>
      </c>
      <c r="BQ9">
        <v>5</v>
      </c>
      <c r="BR9">
        <v>-2.4245362661989844E-14</v>
      </c>
      <c r="BS9">
        <v>21719991</v>
      </c>
      <c r="BT9" t="s">
        <v>6547</v>
      </c>
      <c r="BW9" t="s">
        <v>1517</v>
      </c>
      <c r="BX9">
        <v>-2.4245362661989844E-14</v>
      </c>
      <c r="BZ9">
        <v>-2.4245362661989844E-14</v>
      </c>
      <c r="CA9" t="s">
        <v>1745</v>
      </c>
      <c r="CB9">
        <v>2024</v>
      </c>
      <c r="CC9" t="s">
        <v>6372</v>
      </c>
      <c r="CD9" s="6">
        <v>45715</v>
      </c>
      <c r="CE9">
        <v>5</v>
      </c>
      <c r="CF9">
        <v>-2.4245362661989844E-14</v>
      </c>
      <c r="CG9">
        <v>159743</v>
      </c>
      <c r="CH9" t="s">
        <v>5126</v>
      </c>
      <c r="CM9" t="s">
        <v>3414</v>
      </c>
      <c r="CN9" t="s">
        <v>1786</v>
      </c>
      <c r="CO9">
        <v>0.278505</v>
      </c>
      <c r="CP9">
        <v>0.37879400000000002</v>
      </c>
      <c r="CQ9" t="s">
        <v>1762</v>
      </c>
      <c r="CR9">
        <v>2025</v>
      </c>
      <c r="CS9" t="s">
        <v>4029</v>
      </c>
      <c r="CT9" s="6">
        <v>45870</v>
      </c>
      <c r="CU9">
        <v>5</v>
      </c>
      <c r="CV9">
        <v>12081351</v>
      </c>
      <c r="CW9">
        <v>114345</v>
      </c>
      <c r="CX9" t="s">
        <v>3416</v>
      </c>
      <c r="DA9" t="s">
        <v>2939</v>
      </c>
      <c r="DB9">
        <v>0.29819600000000002</v>
      </c>
      <c r="DC9" t="s">
        <v>1786</v>
      </c>
      <c r="DD9">
        <v>0.13664999999999999</v>
      </c>
      <c r="DE9" t="s">
        <v>1762</v>
      </c>
      <c r="DF9">
        <v>2025</v>
      </c>
      <c r="DG9" t="s">
        <v>4029</v>
      </c>
      <c r="DH9" s="6">
        <v>45870</v>
      </c>
      <c r="DI9">
        <v>5</v>
      </c>
      <c r="DJ9">
        <v>14789180</v>
      </c>
      <c r="DK9">
        <v>69716006</v>
      </c>
      <c r="DL9" t="s">
        <v>2941</v>
      </c>
      <c r="DQ9" t="s">
        <v>6082</v>
      </c>
      <c r="DS9">
        <v>-2.4245362661989844E-14</v>
      </c>
      <c r="DT9">
        <v>-2.4245362661989844E-14</v>
      </c>
      <c r="DU9" t="s">
        <v>1745</v>
      </c>
      <c r="DV9">
        <v>2023</v>
      </c>
      <c r="DW9" t="s">
        <v>6083</v>
      </c>
      <c r="DX9" s="6">
        <v>44965</v>
      </c>
      <c r="DY9">
        <v>5</v>
      </c>
      <c r="DZ9">
        <v>-2.4245362661989844E-14</v>
      </c>
      <c r="EA9">
        <v>56163620</v>
      </c>
      <c r="EB9" t="s">
        <v>6084</v>
      </c>
      <c r="EE9" t="s">
        <v>1761</v>
      </c>
      <c r="EF9">
        <v>-2.4245362661989844E-14</v>
      </c>
      <c r="EH9">
        <v>-2.4245362661989844E-14</v>
      </c>
      <c r="EI9" t="s">
        <v>1745</v>
      </c>
      <c r="EJ9">
        <v>2022</v>
      </c>
      <c r="EK9" t="s">
        <v>6007</v>
      </c>
      <c r="EL9" s="6">
        <v>44980</v>
      </c>
      <c r="EM9">
        <v>5</v>
      </c>
      <c r="EN9">
        <v>-2.4245362661989844E-14</v>
      </c>
      <c r="EO9">
        <v>101695</v>
      </c>
      <c r="EP9" t="s">
        <v>1764</v>
      </c>
      <c r="IG9" t="s">
        <v>2906</v>
      </c>
      <c r="II9">
        <v>-2.4245362661989844E-14</v>
      </c>
      <c r="IJ9">
        <v>-2.4245362661989844E-14</v>
      </c>
      <c r="IK9" t="s">
        <v>1745</v>
      </c>
      <c r="IL9">
        <v>2023</v>
      </c>
      <c r="IM9" t="s">
        <v>2907</v>
      </c>
      <c r="IN9" s="6">
        <v>45005</v>
      </c>
      <c r="IO9">
        <v>5</v>
      </c>
      <c r="IP9">
        <v>-2.4245362661989844E-14</v>
      </c>
      <c r="IQ9">
        <v>17481581</v>
      </c>
      <c r="IR9" t="s">
        <v>2908</v>
      </c>
      <c r="IU9" t="s">
        <v>5444</v>
      </c>
      <c r="IV9">
        <v>-2.4245362661989844E-14</v>
      </c>
      <c r="IX9">
        <v>-2.4245362661989844E-14</v>
      </c>
      <c r="IY9" t="s">
        <v>1798</v>
      </c>
      <c r="IZ9">
        <v>2023</v>
      </c>
      <c r="JA9" t="s">
        <v>5445</v>
      </c>
      <c r="JB9" s="6">
        <v>45244</v>
      </c>
      <c r="JC9">
        <v>5</v>
      </c>
      <c r="JD9">
        <v>-2.4245362661989844E-14</v>
      </c>
      <c r="JE9">
        <v>209099</v>
      </c>
      <c r="JF9" t="s">
        <v>5446</v>
      </c>
      <c r="JK9" t="s">
        <v>6049</v>
      </c>
      <c r="JM9">
        <v>-2.4245362661989844E-14</v>
      </c>
      <c r="JN9">
        <v>-2.4245362661989844E-14</v>
      </c>
      <c r="JO9" t="s">
        <v>1742</v>
      </c>
      <c r="JP9">
        <v>2023</v>
      </c>
      <c r="JQ9" t="s">
        <v>6050</v>
      </c>
      <c r="JR9" s="6">
        <v>45273</v>
      </c>
      <c r="JS9">
        <v>5</v>
      </c>
      <c r="JT9">
        <v>-2.4245362661989844E-14</v>
      </c>
      <c r="JU9">
        <v>108726</v>
      </c>
      <c r="JV9" t="s">
        <v>6051</v>
      </c>
      <c r="JY9" t="s">
        <v>1885</v>
      </c>
      <c r="JZ9">
        <v>3.0285289999999998</v>
      </c>
      <c r="KA9" t="s">
        <v>1786</v>
      </c>
      <c r="KB9">
        <v>2.3505999999999999E-2</v>
      </c>
      <c r="KC9" t="s">
        <v>1742</v>
      </c>
      <c r="KD9">
        <v>2025</v>
      </c>
      <c r="KE9" t="s">
        <v>5162</v>
      </c>
      <c r="KF9" s="6">
        <v>45943</v>
      </c>
      <c r="KG9">
        <v>5</v>
      </c>
      <c r="KH9">
        <v>18994934</v>
      </c>
      <c r="KI9">
        <v>216952</v>
      </c>
      <c r="KJ9" t="s">
        <v>1886</v>
      </c>
      <c r="KO9" t="s">
        <v>3505</v>
      </c>
      <c r="KP9" t="s">
        <v>1786</v>
      </c>
      <c r="KQ9">
        <v>1.0145E-2</v>
      </c>
      <c r="KR9">
        <v>0.21243100000000001</v>
      </c>
      <c r="KS9" t="s">
        <v>1762</v>
      </c>
      <c r="KT9">
        <v>2026</v>
      </c>
      <c r="KU9" t="s">
        <v>6047</v>
      </c>
      <c r="KV9" s="6">
        <v>45919</v>
      </c>
      <c r="KW9">
        <v>5</v>
      </c>
      <c r="KX9">
        <v>3020775</v>
      </c>
      <c r="KY9">
        <v>50985605</v>
      </c>
      <c r="KZ9" t="s">
        <v>3506</v>
      </c>
      <c r="LC9" t="s">
        <v>6512</v>
      </c>
      <c r="LD9">
        <v>-2.4245362661989844E-14</v>
      </c>
      <c r="LF9">
        <v>-2.4245362661989844E-14</v>
      </c>
      <c r="LG9" t="s">
        <v>1742</v>
      </c>
      <c r="LH9">
        <v>2024</v>
      </c>
      <c r="LI9" t="s">
        <v>6513</v>
      </c>
      <c r="LJ9" s="6">
        <v>45611</v>
      </c>
      <c r="LK9">
        <v>5</v>
      </c>
      <c r="LL9">
        <v>-2.4245362661989844E-14</v>
      </c>
      <c r="LM9">
        <v>159776</v>
      </c>
      <c r="LN9" t="s">
        <v>6514</v>
      </c>
      <c r="OA9" t="s">
        <v>5278</v>
      </c>
      <c r="OB9" t="s">
        <v>1786</v>
      </c>
      <c r="OC9">
        <v>0.82792200000000005</v>
      </c>
      <c r="OD9">
        <v>0.75151400000000002</v>
      </c>
      <c r="OE9" t="s">
        <v>1762</v>
      </c>
      <c r="OF9">
        <v>2025</v>
      </c>
      <c r="OG9" t="s">
        <v>5279</v>
      </c>
      <c r="OH9" s="6">
        <v>45959</v>
      </c>
      <c r="OI9">
        <v>5</v>
      </c>
      <c r="OJ9">
        <v>28398061.84</v>
      </c>
      <c r="OK9">
        <v>113332</v>
      </c>
      <c r="OL9" t="s">
        <v>5280</v>
      </c>
      <c r="OO9" t="s">
        <v>1801</v>
      </c>
      <c r="OP9">
        <v>6</v>
      </c>
      <c r="OR9">
        <v>-2.4245362661989844E-14</v>
      </c>
      <c r="OS9" t="s">
        <v>1745</v>
      </c>
      <c r="OT9">
        <v>2024</v>
      </c>
      <c r="OU9" t="s">
        <v>2152</v>
      </c>
      <c r="OV9" s="6">
        <v>45715</v>
      </c>
      <c r="OW9">
        <v>5</v>
      </c>
      <c r="OX9">
        <v>954404992</v>
      </c>
      <c r="OY9">
        <v>218252</v>
      </c>
      <c r="OZ9" t="s">
        <v>1803</v>
      </c>
      <c r="PE9" t="s">
        <v>734</v>
      </c>
      <c r="PF9" t="s">
        <v>1820</v>
      </c>
      <c r="PG9">
        <v>3.6037650000000001</v>
      </c>
      <c r="PH9">
        <v>0.90356199999999998</v>
      </c>
      <c r="PI9" t="s">
        <v>1762</v>
      </c>
      <c r="PJ9">
        <v>2026</v>
      </c>
      <c r="PK9" t="s">
        <v>2320</v>
      </c>
      <c r="PL9" s="6">
        <v>46059</v>
      </c>
      <c r="PM9">
        <v>5</v>
      </c>
      <c r="PN9">
        <v>108725592</v>
      </c>
      <c r="PO9">
        <v>101643</v>
      </c>
      <c r="PP9" t="s">
        <v>2321</v>
      </c>
      <c r="PS9" t="s">
        <v>842</v>
      </c>
      <c r="PT9">
        <v>0.66108800000000001</v>
      </c>
      <c r="PU9" t="s">
        <v>1786</v>
      </c>
      <c r="PV9">
        <v>0.122531</v>
      </c>
      <c r="PW9" t="s">
        <v>1845</v>
      </c>
      <c r="PX9">
        <v>2025</v>
      </c>
      <c r="PY9" t="s">
        <v>1883</v>
      </c>
      <c r="PZ9" s="6">
        <v>45848</v>
      </c>
      <c r="QA9">
        <v>5</v>
      </c>
      <c r="QB9">
        <v>105132824</v>
      </c>
      <c r="QC9">
        <v>101548</v>
      </c>
      <c r="QD9" t="s">
        <v>1889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74</v>
      </c>
      <c r="AE2" s="3" t="s">
        <v>75</v>
      </c>
      <c r="BI2" s="3" t="s">
        <v>76</v>
      </c>
      <c r="CM2" s="3" t="s">
        <v>77</v>
      </c>
      <c r="DQ2" s="3" t="s">
        <v>78</v>
      </c>
      <c r="EU2" s="3" t="s">
        <v>79</v>
      </c>
      <c r="FY2" s="3" t="s">
        <v>80</v>
      </c>
      <c r="HC2" s="3" t="s">
        <v>81</v>
      </c>
      <c r="IG2" s="3" t="s">
        <v>82</v>
      </c>
      <c r="JK2" s="3" t="s">
        <v>83</v>
      </c>
      <c r="KO2" s="3" t="s">
        <v>35</v>
      </c>
      <c r="LS2" s="3" t="s">
        <v>84</v>
      </c>
      <c r="MW2" s="3" t="s">
        <v>85</v>
      </c>
      <c r="OA2" s="3" t="s">
        <v>86</v>
      </c>
      <c r="PE2" s="3" t="s">
        <v>87</v>
      </c>
      <c r="QI2" s="3" t="s">
        <v>88</v>
      </c>
      <c r="RM2" s="3" t="s">
        <v>89</v>
      </c>
      <c r="SQ2" s="3" t="s">
        <v>90</v>
      </c>
      <c r="TU2" s="3" t="s">
        <v>91</v>
      </c>
      <c r="UY2" s="3" t="s">
        <v>92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_xll.BDS("PDCE US Equity","SUPPLY_CHAIN_SUPPLIERS_ALL_DATA","cols=12;rows=1")</f>
        <v>KNTK US Equity</v>
      </c>
      <c r="C5">
        <v>-2.4245362661989844E-14</v>
      </c>
      <c r="D5">
        <v>-2.4245362661989844E-14</v>
      </c>
      <c r="E5" t="s">
        <v>1845</v>
      </c>
      <c r="F5">
        <v>2022</v>
      </c>
      <c r="G5" t="s">
        <v>6242</v>
      </c>
      <c r="H5" s="6">
        <v>44985</v>
      </c>
      <c r="I5">
        <v>1</v>
      </c>
      <c r="J5">
        <v>-2.4245362661989844E-14</v>
      </c>
      <c r="K5">
        <v>53071268</v>
      </c>
      <c r="L5" t="s">
        <v>6243</v>
      </c>
      <c r="O5" t="str">
        <f>_xll.BDS("PDCE US Equity","SUPPLY_CHAIN_CUSTOMERS_ALL_DATA")</f>
        <v>#N/A N/A</v>
      </c>
      <c r="AE5" t="str">
        <f>_xll.BDS("VZ US Equity","SUPPLY_CHAIN_SUPPLIERS_ALL_DATA","cols=12;rows=5")</f>
        <v>AAPL US Equity</v>
      </c>
      <c r="AF5" t="s">
        <v>1786</v>
      </c>
      <c r="AG5">
        <v>2.0425080000000002</v>
      </c>
      <c r="AH5">
        <v>14.027474</v>
      </c>
      <c r="AI5" t="s">
        <v>1762</v>
      </c>
      <c r="AJ5">
        <v>2025</v>
      </c>
      <c r="AK5" t="s">
        <v>5981</v>
      </c>
      <c r="AL5" s="6">
        <v>45862</v>
      </c>
      <c r="AM5">
        <v>5</v>
      </c>
      <c r="AN5">
        <v>1947714816</v>
      </c>
      <c r="AO5">
        <v>101695</v>
      </c>
      <c r="AP5" t="s">
        <v>1764</v>
      </c>
      <c r="AS5" t="str">
        <f>_xll.BDS("VZ US Equity","SUPPLY_CHAIN_CUSTOMERS_ALL_DATA","cols=12;rows=5")</f>
        <v>SNX US Equity</v>
      </c>
      <c r="AT5">
        <v>0.47808400000000001</v>
      </c>
      <c r="AU5" t="s">
        <v>1786</v>
      </c>
      <c r="AV5">
        <v>1.074689</v>
      </c>
      <c r="AW5" t="s">
        <v>1845</v>
      </c>
      <c r="AX5">
        <v>2025</v>
      </c>
      <c r="AY5" t="s">
        <v>1887</v>
      </c>
      <c r="AZ5" s="6">
        <v>46056</v>
      </c>
      <c r="BA5">
        <v>5</v>
      </c>
      <c r="BB5">
        <v>173931856</v>
      </c>
      <c r="BC5">
        <v>1499717</v>
      </c>
      <c r="BD5" t="s">
        <v>1864</v>
      </c>
      <c r="BI5" t="str">
        <f>_xll.BDS("PSIXQ US Equity","SUPPLY_CHAIN_SUPPLIERS_ALL_DATA")</f>
        <v>#N/A N/A</v>
      </c>
      <c r="BW5" t="str">
        <f>_xll.BDS("PSIXQ US Equity","SUPPLY_CHAIN_CUSTOMERS_ALL_DATA")</f>
        <v>#N/A N/A</v>
      </c>
      <c r="CM5" t="str">
        <f>_xll.BDS("PARA US Equity","SUPPLY_CHAIN_SUPPLIERS_ALL_DATA","cols=12;rows=5")</f>
        <v>GTN US Equity</v>
      </c>
      <c r="CN5" t="s">
        <v>1769</v>
      </c>
      <c r="CO5">
        <v>38</v>
      </c>
      <c r="CP5">
        <v>20.797836</v>
      </c>
      <c r="CQ5" t="s">
        <v>1745</v>
      </c>
      <c r="CR5">
        <v>2024</v>
      </c>
      <c r="CS5" t="s">
        <v>1779</v>
      </c>
      <c r="CT5" s="6">
        <v>45715</v>
      </c>
      <c r="CU5">
        <v>5</v>
      </c>
      <c r="CV5">
        <v>346180000</v>
      </c>
      <c r="CW5">
        <v>104103</v>
      </c>
      <c r="CX5" t="s">
        <v>5748</v>
      </c>
      <c r="DA5" t="str">
        <f>_xll.BDS("PARA US Equity","SUPPLY_CHAIN_CUSTOMERS_ALL_DATA","cols=12;rows=5")</f>
        <v>002293 CH Equity</v>
      </c>
      <c r="DB5">
        <v>-2.4245362661989844E-14</v>
      </c>
      <c r="DD5">
        <v>-2.4245362661989844E-14</v>
      </c>
      <c r="DE5" t="s">
        <v>1745</v>
      </c>
      <c r="DF5">
        <v>2021</v>
      </c>
      <c r="DG5" t="s">
        <v>2229</v>
      </c>
      <c r="DH5" s="6">
        <v>44670</v>
      </c>
      <c r="DI5">
        <v>5</v>
      </c>
      <c r="DJ5">
        <v>-2.4245362661989844E-14</v>
      </c>
      <c r="DK5">
        <v>15166198</v>
      </c>
      <c r="DL5" t="s">
        <v>2230</v>
      </c>
      <c r="DQ5" t="str">
        <f>_xll.BDS("FIS US Equity","SUPPLY_CHAIN_SUPPLIERS_ALL_DATA","cols=12;rows=5")</f>
        <v>HPE US Equity</v>
      </c>
      <c r="DR5" t="s">
        <v>1786</v>
      </c>
      <c r="DS5">
        <v>0.337399</v>
      </c>
      <c r="DT5">
        <v>1.5567709999999999</v>
      </c>
      <c r="DU5" t="s">
        <v>1762</v>
      </c>
      <c r="DV5">
        <v>2025</v>
      </c>
      <c r="DW5" t="s">
        <v>3326</v>
      </c>
      <c r="DX5" s="6">
        <v>45846</v>
      </c>
      <c r="DY5">
        <v>5</v>
      </c>
      <c r="DZ5">
        <v>25733422</v>
      </c>
      <c r="EA5">
        <v>42602315</v>
      </c>
      <c r="EB5" t="s">
        <v>2176</v>
      </c>
      <c r="EE5" t="str">
        <f>_xll.BDS("FIS US Equity","SUPPLY_CHAIN_CUSTOMERS_ALL_DATA","cols=12;rows=5")</f>
        <v>IBM US Equity</v>
      </c>
      <c r="EF5">
        <v>0.52327299999999999</v>
      </c>
      <c r="EG5" t="s">
        <v>1786</v>
      </c>
      <c r="EH5">
        <v>0.20352200000000001</v>
      </c>
      <c r="EI5" t="s">
        <v>1809</v>
      </c>
      <c r="EJ5">
        <v>2025</v>
      </c>
      <c r="EK5" t="s">
        <v>2035</v>
      </c>
      <c r="EL5" s="6">
        <v>45797</v>
      </c>
      <c r="EM5">
        <v>5</v>
      </c>
      <c r="EN5">
        <v>13249282</v>
      </c>
      <c r="EO5">
        <v>100801</v>
      </c>
      <c r="EP5" t="s">
        <v>2095</v>
      </c>
      <c r="EU5" t="str">
        <f>_xll.BDS("CEMJQ US Equity","SUPPLY_CHAIN_SUPPLIERS_ALL_DATA")</f>
        <v>#N/A N/A</v>
      </c>
      <c r="FI5" t="str">
        <f>_xll.BDS("CEMJQ US Equity","SUPPLY_CHAIN_CUSTOMERS_ALL_DATA")</f>
        <v>#N/A N/A</v>
      </c>
      <c r="FY5" t="str">
        <f>_xll.BDS("CMLS US Equity","SUPPLY_CHAIN_SUPPLIERS_ALL_DATA","cols=12;rows=5")</f>
        <v>0322986Z US Equity</v>
      </c>
      <c r="GA5">
        <v>-2.4245362661989844E-14</v>
      </c>
      <c r="GB5">
        <v>-2.4245362661989844E-14</v>
      </c>
      <c r="GC5" t="s">
        <v>1745</v>
      </c>
      <c r="GD5">
        <v>2022</v>
      </c>
      <c r="GE5" t="s">
        <v>5153</v>
      </c>
      <c r="GF5" s="6">
        <v>44810</v>
      </c>
      <c r="GG5">
        <v>5</v>
      </c>
      <c r="GH5">
        <v>-2.4245362661989844E-14</v>
      </c>
      <c r="GI5">
        <v>938028</v>
      </c>
      <c r="GJ5" t="s">
        <v>6032</v>
      </c>
      <c r="GM5" t="str">
        <f>_xll.BDS("CMLS US Equity","SUPPLY_CHAIN_CUSTOMERS_ALL_DATA","cols=12;rows=1")</f>
        <v>0571898D US Equity</v>
      </c>
      <c r="GN5">
        <v>-2.4245362661989844E-14</v>
      </c>
      <c r="GP5">
        <v>-2.4245362661989844E-14</v>
      </c>
      <c r="GQ5" t="s">
        <v>1745</v>
      </c>
      <c r="GR5">
        <v>2022</v>
      </c>
      <c r="GS5" t="s">
        <v>5153</v>
      </c>
      <c r="GT5" s="6">
        <v>44810</v>
      </c>
      <c r="GU5">
        <v>1</v>
      </c>
      <c r="GV5">
        <v>-2.4245362661989844E-14</v>
      </c>
      <c r="GW5">
        <v>32313626</v>
      </c>
      <c r="GX5" t="s">
        <v>5154</v>
      </c>
      <c r="HC5" t="str">
        <f>_xll.BDS("NCF US Equity","SUPPLY_CHAIN_SUPPLIERS_ALL_DATA")</f>
        <v>#N/A N/A</v>
      </c>
      <c r="HQ5" t="str">
        <f>_xll.BDS("NCF US Equity","SUPPLY_CHAIN_CUSTOMERS_ALL_DATA")</f>
        <v>#N/A N/A</v>
      </c>
      <c r="IG5" t="str">
        <f>_xll.BDS("ZTS US Equity","SUPPLY_CHAIN_SUPPLIERS_ALL_DATA","cols=12;rows=5")</f>
        <v>PFE US Equity</v>
      </c>
      <c r="IH5" t="s">
        <v>1786</v>
      </c>
      <c r="II5">
        <v>1.5821999999999999E-2</v>
      </c>
      <c r="IJ5">
        <v>0.35722599999999999</v>
      </c>
      <c r="IK5" t="s">
        <v>1762</v>
      </c>
      <c r="IL5">
        <v>2025</v>
      </c>
      <c r="IM5" t="s">
        <v>3945</v>
      </c>
      <c r="IN5" s="6">
        <v>45914</v>
      </c>
      <c r="IO5">
        <v>5</v>
      </c>
      <c r="IP5">
        <v>2318398</v>
      </c>
      <c r="IQ5">
        <v>101166</v>
      </c>
      <c r="IR5" t="s">
        <v>3255</v>
      </c>
      <c r="IU5" t="str">
        <f>_xll.BDS("ZTS US Equity","SUPPLY_CHAIN_CUSTOMERS_ALL_DATA","cols=12;rows=5")</f>
        <v>COR US Equity</v>
      </c>
      <c r="IV5">
        <v>14.051076999999999</v>
      </c>
      <c r="IW5" t="s">
        <v>1786</v>
      </c>
      <c r="IX5">
        <v>0.41748800000000003</v>
      </c>
      <c r="IY5" t="s">
        <v>1742</v>
      </c>
      <c r="IZ5">
        <v>2025</v>
      </c>
      <c r="JA5" t="s">
        <v>5982</v>
      </c>
      <c r="JB5" s="6">
        <v>46050</v>
      </c>
      <c r="JC5">
        <v>5</v>
      </c>
      <c r="JD5">
        <v>337225856</v>
      </c>
      <c r="JE5">
        <v>156969</v>
      </c>
      <c r="JF5" t="s">
        <v>2148</v>
      </c>
      <c r="JK5" t="str">
        <f>_xll.BDS("DRE US Equity","SUPPLY_CHAIN_SUPPLIERS_ALL_DATA")</f>
        <v>#N/A N/A</v>
      </c>
      <c r="JY5" t="str">
        <f>_xll.BDS("DRE US Equity","SUPPLY_CHAIN_CUSTOMERS_ALL_DATA","cols=12;rows=1")</f>
        <v>FDX US Equity</v>
      </c>
      <c r="JZ5">
        <v>-2.4245362661989844E-14</v>
      </c>
      <c r="KB5">
        <v>-2.4245362661989844E-14</v>
      </c>
      <c r="KC5" t="s">
        <v>1745</v>
      </c>
      <c r="KD5">
        <v>2022</v>
      </c>
      <c r="KE5" t="s">
        <v>6148</v>
      </c>
      <c r="KF5" s="6">
        <v>44649</v>
      </c>
      <c r="KG5">
        <v>1</v>
      </c>
      <c r="KH5">
        <v>-2.4245362661989844E-14</v>
      </c>
      <c r="KI5">
        <v>100554</v>
      </c>
      <c r="KJ5" t="s">
        <v>4132</v>
      </c>
      <c r="KO5" t="str">
        <f>_xll.BDS("nan Equity","SUPPLY_CHAIN_SUPPLIERS_ALL_DATA")</f>
        <v>#N/A N/A</v>
      </c>
      <c r="LC5" t="str">
        <f>_xll.BDS("nan Equity","SUPPLY_CHAIN_CUSTOMERS_ALL_DATA")</f>
        <v>#N/A N/A</v>
      </c>
      <c r="LS5" t="str">
        <f>_xll.BDS("1910 HK Equity","SUPPLY_CHAIN_SUPPLIERS_ALL_DATA","cols=12;rows=5")</f>
        <v>LYB US Equity</v>
      </c>
      <c r="LT5" t="s">
        <v>1786</v>
      </c>
      <c r="LU5">
        <v>6.1710000000000001E-2</v>
      </c>
      <c r="LV5">
        <v>1.2910029999999999</v>
      </c>
      <c r="LW5" t="s">
        <v>1845</v>
      </c>
      <c r="LX5">
        <v>2025</v>
      </c>
      <c r="LY5" t="s">
        <v>5274</v>
      </c>
      <c r="LZ5" s="6">
        <v>46076</v>
      </c>
      <c r="MA5">
        <v>5</v>
      </c>
      <c r="MB5">
        <v>4375856</v>
      </c>
      <c r="MC5">
        <v>9932803</v>
      </c>
      <c r="MD5" t="s">
        <v>5275</v>
      </c>
      <c r="MG5" t="str">
        <f>_xll.BDS("1910 HK Equity","SUPPLY_CHAIN_CUSTOMERS_ALL_DATA","cols=12;rows=5")</f>
        <v>LIVEPOL1 MM Equity</v>
      </c>
      <c r="MH5">
        <v>0.43784899999999999</v>
      </c>
      <c r="MI5" t="s">
        <v>1786</v>
      </c>
      <c r="MJ5">
        <v>0.21176800000000001</v>
      </c>
      <c r="MK5" t="s">
        <v>1762</v>
      </c>
      <c r="ML5">
        <v>2025</v>
      </c>
      <c r="MM5" t="s">
        <v>2134</v>
      </c>
      <c r="MN5" s="6">
        <v>45908</v>
      </c>
      <c r="MO5">
        <v>5</v>
      </c>
      <c r="MP5">
        <v>3721877.81</v>
      </c>
      <c r="MQ5">
        <v>116755</v>
      </c>
      <c r="MR5" t="s">
        <v>2135</v>
      </c>
      <c r="MW5" t="str">
        <f>_xll.BDS("PHM US Equity","SUPPLY_CHAIN_SUPPLIERS_ALL_DATA","cols=12;rows=5")</f>
        <v>STRL US Equity</v>
      </c>
      <c r="MX5" t="s">
        <v>1786</v>
      </c>
      <c r="MY5">
        <v>1.039209</v>
      </c>
      <c r="MZ5">
        <v>0.19920499999999999</v>
      </c>
      <c r="NA5" t="s">
        <v>1762</v>
      </c>
      <c r="NB5">
        <v>2025</v>
      </c>
      <c r="NC5" t="s">
        <v>4760</v>
      </c>
      <c r="ND5" s="6">
        <v>45912</v>
      </c>
      <c r="NE5">
        <v>5</v>
      </c>
      <c r="NF5">
        <v>6385607</v>
      </c>
      <c r="NG5">
        <v>104534</v>
      </c>
      <c r="NH5" t="s">
        <v>4761</v>
      </c>
      <c r="NK5" t="str">
        <f>_xll.BDS("PHM US Equity","SUPPLY_CHAIN_CUSTOMERS_ALL_DATA")</f>
        <v>#N/A N/A</v>
      </c>
      <c r="OA5" t="str">
        <f>_xll.BDS("BRK/A US Equity","SUPPLY_CHAIN_SUPPLIERS_ALL_DATA","cols=12;rows=5")</f>
        <v>HSY US Equity</v>
      </c>
      <c r="OB5" t="s">
        <v>1786</v>
      </c>
      <c r="OC5">
        <v>27</v>
      </c>
      <c r="OD5">
        <v>1.2151259999999999</v>
      </c>
      <c r="OE5" t="s">
        <v>1745</v>
      </c>
      <c r="OF5">
        <v>2025</v>
      </c>
      <c r="OG5" t="s">
        <v>3041</v>
      </c>
      <c r="OH5" s="6">
        <v>46070</v>
      </c>
      <c r="OI5">
        <v>5</v>
      </c>
      <c r="OJ5">
        <v>789248896</v>
      </c>
      <c r="OK5">
        <v>100731</v>
      </c>
      <c r="OL5" t="s">
        <v>3042</v>
      </c>
      <c r="OO5" t="str">
        <f>_xll.BDS("BRK/A US Equity","SUPPLY_CHAIN_CUSTOMERS_ALL_DATA","cols=12;rows=5")</f>
        <v>WMT US Equity</v>
      </c>
      <c r="OP5">
        <v>2.1167449999999999</v>
      </c>
      <c r="OQ5" t="s">
        <v>1786</v>
      </c>
      <c r="OR5">
        <v>1.7547349999999999</v>
      </c>
      <c r="OS5" t="s">
        <v>1745</v>
      </c>
      <c r="OT5">
        <v>2024</v>
      </c>
      <c r="OU5" t="s">
        <v>3646</v>
      </c>
      <c r="OV5" s="6">
        <v>45712</v>
      </c>
      <c r="OW5">
        <v>5</v>
      </c>
      <c r="OX5">
        <v>2244977664</v>
      </c>
      <c r="OY5">
        <v>101616</v>
      </c>
      <c r="OZ5" t="s">
        <v>2098</v>
      </c>
      <c r="PE5" t="str">
        <f>_xll.BDS("MTX US Equity","SUPPLY_CHAIN_SUPPLIERS_ALL_DATA","cols=12;rows=5")</f>
        <v>200488 CH Equity</v>
      </c>
      <c r="PF5" t="s">
        <v>1786</v>
      </c>
      <c r="PG5">
        <v>1.9314000000000001E-2</v>
      </c>
      <c r="PH5">
        <v>3.8815000000000002E-2</v>
      </c>
      <c r="PI5" t="s">
        <v>1745</v>
      </c>
      <c r="PJ5">
        <v>2024</v>
      </c>
      <c r="PK5" t="s">
        <v>5373</v>
      </c>
      <c r="PL5" s="6">
        <v>45747</v>
      </c>
      <c r="PM5">
        <v>5</v>
      </c>
      <c r="PN5">
        <v>152436.89000000001</v>
      </c>
      <c r="PO5">
        <v>223179</v>
      </c>
      <c r="PP5" t="s">
        <v>5374</v>
      </c>
      <c r="PS5" t="str">
        <f>_xll.BDS("MTX US Equity","SUPPLY_CHAIN_CUSTOMERS_ALL_DATA","cols=12;rows=5")</f>
        <v>IP US Equity</v>
      </c>
      <c r="PT5">
        <v>2.7562509999999998</v>
      </c>
      <c r="PU5" t="s">
        <v>1786</v>
      </c>
      <c r="PV5">
        <v>0.34728900000000001</v>
      </c>
      <c r="PW5" t="s">
        <v>1845</v>
      </c>
      <c r="PX5">
        <v>2025</v>
      </c>
      <c r="PY5" t="s">
        <v>6295</v>
      </c>
      <c r="PZ5" s="6">
        <v>46070</v>
      </c>
      <c r="QA5">
        <v>5</v>
      </c>
      <c r="QB5">
        <v>14318724</v>
      </c>
      <c r="QC5">
        <v>100806</v>
      </c>
      <c r="QD5" t="s">
        <v>6595</v>
      </c>
      <c r="QI5" t="str">
        <f>_xll.BDS("FCH US Equity","SUPPLY_CHAIN_SUPPLIERS_ALL_DATA")</f>
        <v>#N/A N/A</v>
      </c>
      <c r="QW5" t="str">
        <f>_xll.BDS("FCH US Equity","SUPPLY_CHAIN_CUSTOMERS_ALL_DATA")</f>
        <v>#N/A N/A</v>
      </c>
      <c r="RM5" t="str">
        <f>_xll.BDS("NDAQ US Equity","SUPPLY_CHAIN_SUPPLIERS_ALL_DATA","cols=12;rows=5")</f>
        <v>ADBE US Equity</v>
      </c>
      <c r="RN5" t="s">
        <v>1769</v>
      </c>
      <c r="RO5">
        <v>1.84E-4</v>
      </c>
      <c r="RP5">
        <v>5.4031999999999997E-2</v>
      </c>
      <c r="RQ5" t="s">
        <v>1762</v>
      </c>
      <c r="RR5">
        <v>2025</v>
      </c>
      <c r="RS5" t="s">
        <v>2268</v>
      </c>
      <c r="RT5" s="6">
        <v>45838</v>
      </c>
      <c r="RU5">
        <v>5</v>
      </c>
      <c r="RV5">
        <v>10806</v>
      </c>
      <c r="RW5">
        <v>101689</v>
      </c>
      <c r="RX5" t="s">
        <v>2269</v>
      </c>
      <c r="SA5" t="str">
        <f>_xll.BDS("NDAQ US Equity","SUPPLY_CHAIN_CUSTOMERS_ALL_DATA","cols=12;rows=3")</f>
        <v>1046Z AR Equity</v>
      </c>
      <c r="SB5">
        <v>-2.4245362661989844E-14</v>
      </c>
      <c r="SD5">
        <v>-2.4245362661989844E-14</v>
      </c>
      <c r="SE5" t="s">
        <v>1745</v>
      </c>
      <c r="SF5">
        <v>2023</v>
      </c>
      <c r="SG5" t="s">
        <v>6380</v>
      </c>
      <c r="SH5" s="6">
        <v>45302</v>
      </c>
      <c r="SI5">
        <v>3</v>
      </c>
      <c r="SJ5">
        <v>-2.4245362661989844E-14</v>
      </c>
      <c r="SK5">
        <v>217250</v>
      </c>
      <c r="SL5" t="s">
        <v>6381</v>
      </c>
      <c r="SQ5" t="str">
        <f>_xll.BDS("CUBE US Equity","SUPPLY_CHAIN_SUPPLIERS_ALL_DATA","cols=12;rows=2")</f>
        <v>JBI US Equity</v>
      </c>
      <c r="SS5">
        <v>-2.4245362661989844E-14</v>
      </c>
      <c r="ST5">
        <v>-2.4245362661989844E-14</v>
      </c>
      <c r="SU5" t="s">
        <v>2435</v>
      </c>
      <c r="SV5">
        <v>2022</v>
      </c>
      <c r="SW5" t="s">
        <v>5018</v>
      </c>
      <c r="SX5" s="6">
        <v>44931</v>
      </c>
      <c r="SY5">
        <v>2</v>
      </c>
      <c r="SZ5">
        <v>-2.4245362661989844E-14</v>
      </c>
      <c r="TA5">
        <v>69539060</v>
      </c>
      <c r="TB5" t="s">
        <v>5019</v>
      </c>
      <c r="TE5" t="str">
        <f>_xll.BDS("CUBE US Equity","SUPPLY_CHAIN_CUSTOMERS_ALL_DATA")</f>
        <v>#N/A N/A</v>
      </c>
      <c r="TU5" t="str">
        <f>_xll.BDS("MLKN US Equity","SUPPLY_CHAIN_SUPPLIERS_ALL_DATA","cols=12;rows=5")</f>
        <v>LEG US Equity</v>
      </c>
      <c r="TV5" t="s">
        <v>1786</v>
      </c>
      <c r="TW5">
        <v>0.29801499999999997</v>
      </c>
      <c r="TX5">
        <v>0.52978199999999998</v>
      </c>
      <c r="TY5" t="s">
        <v>1742</v>
      </c>
      <c r="TZ5">
        <v>2025</v>
      </c>
      <c r="UA5" t="s">
        <v>3937</v>
      </c>
      <c r="UB5" s="6">
        <v>46049</v>
      </c>
      <c r="UC5">
        <v>5</v>
      </c>
      <c r="UD5">
        <v>3088627</v>
      </c>
      <c r="UE5">
        <v>100885</v>
      </c>
      <c r="UF5" t="s">
        <v>3938</v>
      </c>
      <c r="UI5" t="str">
        <f>_xll.BDS("MLKN US Equity","SUPPLY_CHAIN_CUSTOMERS_ALL_DATA","cols=12;rows=2")</f>
        <v>3352Z US Equity</v>
      </c>
      <c r="UJ5">
        <v>-2.4245362661989844E-14</v>
      </c>
      <c r="UL5">
        <v>-2.4245362661989844E-14</v>
      </c>
      <c r="UM5" t="s">
        <v>1745</v>
      </c>
      <c r="UN5">
        <v>2025</v>
      </c>
      <c r="UO5" t="s">
        <v>6003</v>
      </c>
      <c r="UP5" s="6">
        <v>45859</v>
      </c>
      <c r="UQ5">
        <v>2</v>
      </c>
      <c r="UR5">
        <v>-2.4245362661989844E-14</v>
      </c>
      <c r="US5">
        <v>218252</v>
      </c>
      <c r="UT5" t="s">
        <v>1803</v>
      </c>
      <c r="UY5" t="str">
        <f>_xll.BDS("OCR US Equity","SUPPLY_CHAIN_SUPPLIERS_ALL_DATA")</f>
        <v>#N/A N/A</v>
      </c>
      <c r="VM5" t="str">
        <f>_xll.BDS("OCR US Equity","SUPPLY_CHAIN_CUSTOMERS_ALL_DATA","cols=12;rows=2")</f>
        <v>3176 TT Equity</v>
      </c>
      <c r="VN5">
        <v>-2.4245362661989844E-14</v>
      </c>
      <c r="VP5">
        <v>-2.4245362661989844E-14</v>
      </c>
      <c r="VQ5" t="s">
        <v>1745</v>
      </c>
      <c r="VR5">
        <v>2021</v>
      </c>
      <c r="VS5" t="s">
        <v>2178</v>
      </c>
      <c r="VT5" s="6">
        <v>44699</v>
      </c>
      <c r="VU5">
        <v>2</v>
      </c>
      <c r="VV5">
        <v>-2.4245362661989844E-14</v>
      </c>
      <c r="VW5">
        <v>7254096</v>
      </c>
      <c r="VX5" t="s">
        <v>2179</v>
      </c>
    </row>
    <row r="6" spans="1:600" x14ac:dyDescent="0.25">
      <c r="AE6" t="s">
        <v>1789</v>
      </c>
      <c r="AF6" t="s">
        <v>1786</v>
      </c>
      <c r="AG6">
        <v>2.370431</v>
      </c>
      <c r="AH6">
        <v>9.0958559999999995</v>
      </c>
      <c r="AI6" t="s">
        <v>1762</v>
      </c>
      <c r="AJ6">
        <v>2025</v>
      </c>
      <c r="AK6" t="s">
        <v>3436</v>
      </c>
      <c r="AL6" s="6">
        <v>45952</v>
      </c>
      <c r="AM6">
        <v>5</v>
      </c>
      <c r="AN6">
        <v>1262769985.1900001</v>
      </c>
      <c r="AO6">
        <v>117929</v>
      </c>
      <c r="AP6" t="s">
        <v>1791</v>
      </c>
      <c r="AS6" t="s">
        <v>1814</v>
      </c>
      <c r="AT6">
        <v>0.203543</v>
      </c>
      <c r="AU6" t="s">
        <v>1786</v>
      </c>
      <c r="AV6">
        <v>1.128412</v>
      </c>
      <c r="AW6" t="s">
        <v>1809</v>
      </c>
      <c r="AX6">
        <v>2025</v>
      </c>
      <c r="AY6" t="s">
        <v>1815</v>
      </c>
      <c r="AZ6" s="6">
        <v>45784</v>
      </c>
      <c r="BA6">
        <v>5</v>
      </c>
      <c r="BB6">
        <v>68156368</v>
      </c>
      <c r="BC6">
        <v>100115</v>
      </c>
      <c r="BD6" t="s">
        <v>1816</v>
      </c>
      <c r="CM6" t="s">
        <v>5749</v>
      </c>
      <c r="CN6" t="s">
        <v>1786</v>
      </c>
      <c r="CO6">
        <v>0.89060499999999998</v>
      </c>
      <c r="CP6">
        <v>0.18792300000000001</v>
      </c>
      <c r="CQ6" t="s">
        <v>1845</v>
      </c>
      <c r="CR6">
        <v>2024</v>
      </c>
      <c r="CS6" t="s">
        <v>5750</v>
      </c>
      <c r="CT6" s="6">
        <v>45747</v>
      </c>
      <c r="CU6">
        <v>5</v>
      </c>
      <c r="CV6">
        <v>10696585</v>
      </c>
      <c r="CW6">
        <v>17257533</v>
      </c>
      <c r="CX6" t="s">
        <v>5751</v>
      </c>
      <c r="DA6" t="s">
        <v>2231</v>
      </c>
      <c r="DB6">
        <v>-2.4245362661989844E-14</v>
      </c>
      <c r="DD6">
        <v>-2.4245362661989844E-14</v>
      </c>
      <c r="DE6" t="s">
        <v>1993</v>
      </c>
      <c r="DF6">
        <v>2024</v>
      </c>
      <c r="DG6" t="s">
        <v>2232</v>
      </c>
      <c r="DH6" s="6">
        <v>45518</v>
      </c>
      <c r="DI6">
        <v>5</v>
      </c>
      <c r="DJ6">
        <v>-2.4245362661989844E-14</v>
      </c>
      <c r="DK6">
        <v>129195</v>
      </c>
      <c r="DL6" t="s">
        <v>2233</v>
      </c>
      <c r="DQ6" t="s">
        <v>6052</v>
      </c>
      <c r="DR6" t="s">
        <v>1769</v>
      </c>
      <c r="DS6">
        <v>1.2</v>
      </c>
      <c r="DT6">
        <v>0.120341</v>
      </c>
      <c r="DU6" t="s">
        <v>1745</v>
      </c>
      <c r="DV6">
        <v>2024</v>
      </c>
      <c r="DW6" t="s">
        <v>6053</v>
      </c>
      <c r="DX6" s="6">
        <v>45722</v>
      </c>
      <c r="DY6">
        <v>5</v>
      </c>
      <c r="DZ6">
        <v>657841.06999999995</v>
      </c>
      <c r="EA6">
        <v>8674508</v>
      </c>
      <c r="EB6" t="s">
        <v>6054</v>
      </c>
      <c r="EE6" t="s">
        <v>4500</v>
      </c>
      <c r="EF6">
        <v>-2.4245362661989844E-14</v>
      </c>
      <c r="EH6">
        <v>-2.4245362661989844E-14</v>
      </c>
      <c r="EI6" t="s">
        <v>1745</v>
      </c>
      <c r="EJ6">
        <v>2025</v>
      </c>
      <c r="EK6" t="s">
        <v>6359</v>
      </c>
      <c r="EL6" s="6">
        <v>45750</v>
      </c>
      <c r="EM6">
        <v>5</v>
      </c>
      <c r="EN6">
        <v>-2.4245362661989844E-14</v>
      </c>
      <c r="EO6">
        <v>69744938</v>
      </c>
      <c r="EP6" t="s">
        <v>4502</v>
      </c>
      <c r="FY6" t="s">
        <v>6033</v>
      </c>
      <c r="GA6">
        <v>-2.4245362661989844E-14</v>
      </c>
      <c r="GB6">
        <v>-2.4245362661989844E-14</v>
      </c>
      <c r="GC6" t="s">
        <v>1745</v>
      </c>
      <c r="GD6">
        <v>2022</v>
      </c>
      <c r="GE6" t="s">
        <v>5153</v>
      </c>
      <c r="GF6" s="6">
        <v>44810</v>
      </c>
      <c r="GG6">
        <v>5</v>
      </c>
      <c r="GH6">
        <v>-2.4245362661989844E-14</v>
      </c>
      <c r="GI6">
        <v>28173837</v>
      </c>
      <c r="GJ6" t="s">
        <v>6034</v>
      </c>
      <c r="IG6" t="s">
        <v>5605</v>
      </c>
      <c r="IH6" t="s">
        <v>1786</v>
      </c>
      <c r="II6">
        <v>3.6172999999999997E-2</v>
      </c>
      <c r="IJ6">
        <v>5.5662999999999997E-2</v>
      </c>
      <c r="IK6" t="s">
        <v>1762</v>
      </c>
      <c r="IL6">
        <v>2025</v>
      </c>
      <c r="IM6" t="s">
        <v>5606</v>
      </c>
      <c r="IN6" s="6">
        <v>45950</v>
      </c>
      <c r="IO6">
        <v>5</v>
      </c>
      <c r="IP6">
        <v>361111.31</v>
      </c>
      <c r="IQ6">
        <v>22262012</v>
      </c>
      <c r="IR6" t="s">
        <v>5607</v>
      </c>
      <c r="IU6" t="s">
        <v>6570</v>
      </c>
      <c r="IV6">
        <v>6.5099349999999996</v>
      </c>
      <c r="IW6" t="s">
        <v>1786</v>
      </c>
      <c r="IX6">
        <v>12.483226</v>
      </c>
      <c r="IY6" t="s">
        <v>1742</v>
      </c>
      <c r="IZ6">
        <v>2025</v>
      </c>
      <c r="JA6" t="s">
        <v>5982</v>
      </c>
      <c r="JB6" s="6">
        <v>46050</v>
      </c>
      <c r="JC6">
        <v>5</v>
      </c>
      <c r="JD6">
        <v>156238432</v>
      </c>
      <c r="JE6">
        <v>106030</v>
      </c>
      <c r="JF6" t="s">
        <v>6571</v>
      </c>
      <c r="LS6" t="s">
        <v>1758</v>
      </c>
      <c r="LT6" t="s">
        <v>1786</v>
      </c>
      <c r="LU6">
        <v>9.5800999999999997E-2</v>
      </c>
      <c r="LV6">
        <v>0.15912100000000001</v>
      </c>
      <c r="LW6" t="s">
        <v>1745</v>
      </c>
      <c r="LX6">
        <v>2024</v>
      </c>
      <c r="LY6" t="s">
        <v>5487</v>
      </c>
      <c r="LZ6" s="6">
        <v>45743</v>
      </c>
      <c r="MA6">
        <v>5</v>
      </c>
      <c r="MB6">
        <v>571636.46</v>
      </c>
      <c r="MC6">
        <v>9183698</v>
      </c>
      <c r="MD6" t="s">
        <v>1760</v>
      </c>
      <c r="MG6" t="s">
        <v>2136</v>
      </c>
      <c r="MH6">
        <v>0.42776199999999998</v>
      </c>
      <c r="MI6" t="s">
        <v>1786</v>
      </c>
      <c r="MJ6">
        <v>0.176731</v>
      </c>
      <c r="MK6" t="s">
        <v>1762</v>
      </c>
      <c r="ML6">
        <v>2026</v>
      </c>
      <c r="MM6" t="s">
        <v>2137</v>
      </c>
      <c r="MN6" s="6">
        <v>45936</v>
      </c>
      <c r="MO6">
        <v>5</v>
      </c>
      <c r="MP6">
        <v>3554060</v>
      </c>
      <c r="MQ6">
        <v>100862</v>
      </c>
      <c r="MR6" t="s">
        <v>2138</v>
      </c>
      <c r="MW6" t="s">
        <v>4410</v>
      </c>
      <c r="MX6" t="s">
        <v>1786</v>
      </c>
      <c r="MY6">
        <v>0.67926200000000003</v>
      </c>
      <c r="MZ6">
        <v>0.17585300000000001</v>
      </c>
      <c r="NA6" t="s">
        <v>1809</v>
      </c>
      <c r="NB6">
        <v>2026</v>
      </c>
      <c r="NC6" t="s">
        <v>4411</v>
      </c>
      <c r="ND6" s="6">
        <v>45891</v>
      </c>
      <c r="NE6">
        <v>5</v>
      </c>
      <c r="NF6">
        <v>5637059</v>
      </c>
      <c r="NG6">
        <v>7799313</v>
      </c>
      <c r="NH6" t="s">
        <v>4412</v>
      </c>
      <c r="OA6" t="s">
        <v>317</v>
      </c>
      <c r="OB6" t="s">
        <v>1820</v>
      </c>
      <c r="OC6">
        <v>6.6028770000000003</v>
      </c>
      <c r="OD6">
        <v>5.0506979999999997</v>
      </c>
      <c r="OE6" t="s">
        <v>1762</v>
      </c>
      <c r="OF6">
        <v>2025</v>
      </c>
      <c r="OG6" t="s">
        <v>3043</v>
      </c>
      <c r="OH6" s="6">
        <v>45915</v>
      </c>
      <c r="OI6">
        <v>5</v>
      </c>
      <c r="OJ6">
        <v>245362912</v>
      </c>
      <c r="OK6">
        <v>101464</v>
      </c>
      <c r="OL6" t="s">
        <v>3044</v>
      </c>
      <c r="OO6" t="s">
        <v>2969</v>
      </c>
      <c r="OP6">
        <v>1.615089</v>
      </c>
      <c r="OQ6" t="s">
        <v>1786</v>
      </c>
      <c r="OR6">
        <v>12.136977999999999</v>
      </c>
      <c r="OS6" t="s">
        <v>1745</v>
      </c>
      <c r="OT6">
        <v>2024</v>
      </c>
      <c r="OU6" t="s">
        <v>3646</v>
      </c>
      <c r="OV6" s="6">
        <v>45712</v>
      </c>
      <c r="OW6">
        <v>5</v>
      </c>
      <c r="OX6">
        <v>1712931072</v>
      </c>
      <c r="OY6">
        <v>9917432</v>
      </c>
      <c r="OZ6" t="s">
        <v>2971</v>
      </c>
      <c r="PE6" t="s">
        <v>5375</v>
      </c>
      <c r="PG6">
        <v>-2.4245362661989844E-14</v>
      </c>
      <c r="PH6">
        <v>-2.4245362661989844E-14</v>
      </c>
      <c r="PI6" t="s">
        <v>1745</v>
      </c>
      <c r="PJ6">
        <v>2024</v>
      </c>
      <c r="PK6" t="s">
        <v>5376</v>
      </c>
      <c r="PL6" s="6">
        <v>45587</v>
      </c>
      <c r="PM6">
        <v>5</v>
      </c>
      <c r="PN6">
        <v>-2.4245362661989844E-14</v>
      </c>
      <c r="PO6">
        <v>70975391</v>
      </c>
      <c r="PP6" t="s">
        <v>5377</v>
      </c>
      <c r="PS6" t="s">
        <v>6596</v>
      </c>
      <c r="PT6">
        <v>1.61</v>
      </c>
      <c r="PV6">
        <v>-2.4245362661989844E-14</v>
      </c>
      <c r="PW6" t="s">
        <v>1845</v>
      </c>
      <c r="PX6">
        <v>2025</v>
      </c>
      <c r="PY6" t="s">
        <v>6295</v>
      </c>
      <c r="PZ6" s="6">
        <v>46070</v>
      </c>
      <c r="QA6">
        <v>5</v>
      </c>
      <c r="QB6">
        <v>8363950</v>
      </c>
      <c r="QC6">
        <v>18671836</v>
      </c>
      <c r="QD6" t="s">
        <v>6597</v>
      </c>
      <c r="RM6" t="s">
        <v>6492</v>
      </c>
      <c r="RO6">
        <v>-2.4245362661989844E-14</v>
      </c>
      <c r="RP6">
        <v>-2.4245362661989844E-14</v>
      </c>
      <c r="RQ6" t="s">
        <v>1745</v>
      </c>
      <c r="RR6">
        <v>2023</v>
      </c>
      <c r="RS6" t="s">
        <v>6493</v>
      </c>
      <c r="RT6" s="6">
        <v>45146</v>
      </c>
      <c r="RU6">
        <v>5</v>
      </c>
      <c r="RV6">
        <v>-2.4245362661989844E-14</v>
      </c>
      <c r="RW6">
        <v>42453352</v>
      </c>
      <c r="RX6" t="s">
        <v>6494</v>
      </c>
      <c r="SA6" t="s">
        <v>6382</v>
      </c>
      <c r="SB6">
        <v>-2.4245362661989844E-14</v>
      </c>
      <c r="SD6">
        <v>-2.4245362661989844E-14</v>
      </c>
      <c r="SE6" t="s">
        <v>1745</v>
      </c>
      <c r="SF6">
        <v>2024</v>
      </c>
      <c r="SG6" t="s">
        <v>6383</v>
      </c>
      <c r="SH6" s="6">
        <v>45793</v>
      </c>
      <c r="SI6">
        <v>3</v>
      </c>
      <c r="SJ6">
        <v>-2.4245362661989844E-14</v>
      </c>
      <c r="SK6">
        <v>33142972</v>
      </c>
      <c r="SL6" t="s">
        <v>6384</v>
      </c>
      <c r="SQ6" t="s">
        <v>6279</v>
      </c>
      <c r="SS6">
        <v>-2.4245362661989844E-14</v>
      </c>
      <c r="ST6">
        <v>-2.4245362661989844E-14</v>
      </c>
      <c r="SU6" t="s">
        <v>1745</v>
      </c>
      <c r="SV6">
        <v>2021</v>
      </c>
      <c r="SW6" t="s">
        <v>6280</v>
      </c>
      <c r="SX6" s="6">
        <v>44634</v>
      </c>
      <c r="SY6">
        <v>2</v>
      </c>
      <c r="SZ6">
        <v>-2.4245362661989844E-14</v>
      </c>
      <c r="TA6">
        <v>39980720</v>
      </c>
      <c r="TB6" t="s">
        <v>6281</v>
      </c>
      <c r="TU6" t="s">
        <v>6133</v>
      </c>
      <c r="TV6" t="s">
        <v>1786</v>
      </c>
      <c r="TW6">
        <v>1.3741E-2</v>
      </c>
      <c r="TX6">
        <v>0.115006</v>
      </c>
      <c r="TY6" t="s">
        <v>1762</v>
      </c>
      <c r="TZ6">
        <v>2025</v>
      </c>
      <c r="UA6" t="s">
        <v>6134</v>
      </c>
      <c r="UB6" s="6">
        <v>45909</v>
      </c>
      <c r="UC6">
        <v>5</v>
      </c>
      <c r="UD6">
        <v>678903.53</v>
      </c>
      <c r="UE6">
        <v>101079</v>
      </c>
      <c r="UF6" t="s">
        <v>6135</v>
      </c>
      <c r="UI6" t="s">
        <v>6004</v>
      </c>
      <c r="UJ6">
        <v>-2.4245362661989844E-14</v>
      </c>
      <c r="UL6">
        <v>-2.4245362661989844E-14</v>
      </c>
      <c r="UM6" t="s">
        <v>1745</v>
      </c>
      <c r="UN6">
        <v>2023</v>
      </c>
      <c r="UO6" t="s">
        <v>6005</v>
      </c>
      <c r="UP6" s="6">
        <v>45378</v>
      </c>
      <c r="UQ6">
        <v>2</v>
      </c>
      <c r="UR6">
        <v>-2.4245362661989844E-14</v>
      </c>
      <c r="US6">
        <v>113805</v>
      </c>
      <c r="UT6" t="s">
        <v>6006</v>
      </c>
      <c r="VM6" t="s">
        <v>2180</v>
      </c>
      <c r="VN6">
        <v>-2.4245362661989844E-14</v>
      </c>
      <c r="VP6">
        <v>-2.4245362661989844E-14</v>
      </c>
      <c r="VQ6" t="s">
        <v>1762</v>
      </c>
      <c r="VR6">
        <v>2025</v>
      </c>
      <c r="VS6" t="s">
        <v>2181</v>
      </c>
      <c r="VT6" s="6">
        <v>45847</v>
      </c>
      <c r="VU6">
        <v>2</v>
      </c>
      <c r="VV6">
        <v>-2.4245362661989844E-14</v>
      </c>
      <c r="VW6">
        <v>11131878</v>
      </c>
      <c r="VX6" t="s">
        <v>2182</v>
      </c>
    </row>
    <row r="7" spans="1:600" x14ac:dyDescent="0.25">
      <c r="AE7" t="s">
        <v>2922</v>
      </c>
      <c r="AF7" t="s">
        <v>1786</v>
      </c>
      <c r="AG7">
        <v>14</v>
      </c>
      <c r="AH7">
        <v>2.6252870000000001</v>
      </c>
      <c r="AI7" t="s">
        <v>1745</v>
      </c>
      <c r="AJ7">
        <v>2025</v>
      </c>
      <c r="AK7" t="s">
        <v>2923</v>
      </c>
      <c r="AL7" s="6">
        <v>46077</v>
      </c>
      <c r="AM7">
        <v>5</v>
      </c>
      <c r="AN7">
        <v>372560992</v>
      </c>
      <c r="AO7">
        <v>210870</v>
      </c>
      <c r="AP7" t="s">
        <v>2924</v>
      </c>
      <c r="AS7" t="s">
        <v>1870</v>
      </c>
      <c r="AT7">
        <v>0.11801499999999999</v>
      </c>
      <c r="AU7" t="s">
        <v>1786</v>
      </c>
      <c r="AV7">
        <v>0.96932300000000005</v>
      </c>
      <c r="AW7" t="s">
        <v>1809</v>
      </c>
      <c r="AX7">
        <v>2025</v>
      </c>
      <c r="AY7" t="s">
        <v>1871</v>
      </c>
      <c r="AZ7" s="6">
        <v>45820</v>
      </c>
      <c r="BA7">
        <v>5</v>
      </c>
      <c r="BB7">
        <v>39517360</v>
      </c>
      <c r="BC7">
        <v>12129192</v>
      </c>
      <c r="BD7" t="s">
        <v>1872</v>
      </c>
      <c r="CM7" t="s">
        <v>3348</v>
      </c>
      <c r="CN7" t="s">
        <v>1786</v>
      </c>
      <c r="CO7">
        <v>1.8761030000000001</v>
      </c>
      <c r="CP7">
        <v>0.11766799999999999</v>
      </c>
      <c r="CQ7" t="s">
        <v>1809</v>
      </c>
      <c r="CR7">
        <v>2025</v>
      </c>
      <c r="CS7" t="s">
        <v>3349</v>
      </c>
      <c r="CT7" s="6">
        <v>45764</v>
      </c>
      <c r="CU7">
        <v>5</v>
      </c>
      <c r="CV7">
        <v>6697669</v>
      </c>
      <c r="CW7">
        <v>916504</v>
      </c>
      <c r="CX7" t="s">
        <v>3350</v>
      </c>
      <c r="DA7" t="s">
        <v>2234</v>
      </c>
      <c r="DB7">
        <v>-2.4245362661989844E-14</v>
      </c>
      <c r="DD7">
        <v>-2.4245362661989844E-14</v>
      </c>
      <c r="DE7" t="s">
        <v>1745</v>
      </c>
      <c r="DF7">
        <v>2025</v>
      </c>
      <c r="DG7" t="s">
        <v>2235</v>
      </c>
      <c r="DH7" s="6">
        <v>45691</v>
      </c>
      <c r="DI7">
        <v>5</v>
      </c>
      <c r="DJ7">
        <v>-2.4245362661989844E-14</v>
      </c>
      <c r="DK7">
        <v>26993503</v>
      </c>
      <c r="DL7" t="s">
        <v>2236</v>
      </c>
      <c r="DQ7" t="s">
        <v>4740</v>
      </c>
      <c r="DR7" t="s">
        <v>1769</v>
      </c>
      <c r="DS7">
        <v>5.0314999999999999E-2</v>
      </c>
      <c r="DT7">
        <v>3.3623E-2</v>
      </c>
      <c r="DU7" t="s">
        <v>1809</v>
      </c>
      <c r="DV7">
        <v>2026</v>
      </c>
      <c r="DW7" t="s">
        <v>4741</v>
      </c>
      <c r="DX7" s="6">
        <v>45944</v>
      </c>
      <c r="DY7">
        <v>5</v>
      </c>
      <c r="DZ7">
        <v>192328.72</v>
      </c>
      <c r="EA7">
        <v>14882485</v>
      </c>
      <c r="EB7" t="s">
        <v>4742</v>
      </c>
      <c r="EE7" t="s">
        <v>1899</v>
      </c>
      <c r="EF7">
        <v>-2.4245362661989844E-14</v>
      </c>
      <c r="EH7">
        <v>-2.4245362661989844E-14</v>
      </c>
      <c r="EI7" t="s">
        <v>1742</v>
      </c>
      <c r="EJ7">
        <v>2025</v>
      </c>
      <c r="EK7" t="s">
        <v>1900</v>
      </c>
      <c r="EL7" s="6">
        <v>45966</v>
      </c>
      <c r="EM7">
        <v>5</v>
      </c>
      <c r="EN7">
        <v>-2.4245362661989844E-14</v>
      </c>
      <c r="EO7">
        <v>38748702</v>
      </c>
      <c r="EP7" t="s">
        <v>1901</v>
      </c>
      <c r="FY7" t="s">
        <v>6035</v>
      </c>
      <c r="GA7">
        <v>-2.4245362661989844E-14</v>
      </c>
      <c r="GB7">
        <v>-2.4245362661989844E-14</v>
      </c>
      <c r="GC7" t="s">
        <v>1745</v>
      </c>
      <c r="GD7">
        <v>2025</v>
      </c>
      <c r="GE7" t="s">
        <v>5153</v>
      </c>
      <c r="GF7" s="6">
        <v>45706</v>
      </c>
      <c r="GG7">
        <v>5</v>
      </c>
      <c r="GH7">
        <v>-2.4245362661989844E-14</v>
      </c>
      <c r="GI7">
        <v>30909132</v>
      </c>
      <c r="GJ7" t="s">
        <v>6036</v>
      </c>
      <c r="IG7" t="s">
        <v>6228</v>
      </c>
      <c r="II7">
        <v>-2.4245362661989844E-14</v>
      </c>
      <c r="IJ7">
        <v>-2.4245362661989844E-14</v>
      </c>
      <c r="IK7" t="s">
        <v>1809</v>
      </c>
      <c r="IL7">
        <v>2024</v>
      </c>
      <c r="IM7" t="s">
        <v>6229</v>
      </c>
      <c r="IN7" s="6">
        <v>45405</v>
      </c>
      <c r="IO7">
        <v>5</v>
      </c>
      <c r="IP7">
        <v>-2.4245362661989844E-14</v>
      </c>
      <c r="IQ7">
        <v>118412</v>
      </c>
      <c r="IR7" t="s">
        <v>6230</v>
      </c>
      <c r="IU7" t="s">
        <v>6572</v>
      </c>
      <c r="IV7">
        <v>5.5</v>
      </c>
      <c r="IX7">
        <v>-2.4245362661989844E-14</v>
      </c>
      <c r="IY7" t="s">
        <v>1742</v>
      </c>
      <c r="IZ7">
        <v>2025</v>
      </c>
      <c r="JA7" t="s">
        <v>5982</v>
      </c>
      <c r="JB7" s="6">
        <v>46050</v>
      </c>
      <c r="JC7">
        <v>5</v>
      </c>
      <c r="JD7">
        <v>132000000</v>
      </c>
      <c r="JE7">
        <v>60161881</v>
      </c>
      <c r="JF7" t="s">
        <v>6573</v>
      </c>
      <c r="LS7" t="s">
        <v>5488</v>
      </c>
      <c r="LU7">
        <v>-2.4245362661989844E-14</v>
      </c>
      <c r="LV7">
        <v>-2.4245362661989844E-14</v>
      </c>
      <c r="LW7" t="s">
        <v>1798</v>
      </c>
      <c r="LX7">
        <v>2025</v>
      </c>
      <c r="LY7" t="s">
        <v>5489</v>
      </c>
      <c r="LZ7" s="6">
        <v>45975</v>
      </c>
      <c r="MA7">
        <v>5</v>
      </c>
      <c r="MB7">
        <v>-2.4245362661989844E-14</v>
      </c>
      <c r="MC7">
        <v>129393</v>
      </c>
      <c r="MD7" t="s">
        <v>5490</v>
      </c>
      <c r="MG7" t="s">
        <v>1870</v>
      </c>
      <c r="MH7">
        <v>0.36741600000000002</v>
      </c>
      <c r="MI7" t="s">
        <v>1786</v>
      </c>
      <c r="MJ7">
        <v>8.2017000000000007E-2</v>
      </c>
      <c r="MK7" t="s">
        <v>1809</v>
      </c>
      <c r="ML7">
        <v>2025</v>
      </c>
      <c r="MM7" t="s">
        <v>1871</v>
      </c>
      <c r="MN7" s="6">
        <v>45820</v>
      </c>
      <c r="MO7">
        <v>5</v>
      </c>
      <c r="MP7">
        <v>3343669</v>
      </c>
      <c r="MQ7">
        <v>12129192</v>
      </c>
      <c r="MR7" t="s">
        <v>1872</v>
      </c>
      <c r="MW7" t="s">
        <v>5699</v>
      </c>
      <c r="MX7" t="s">
        <v>1786</v>
      </c>
      <c r="MY7">
        <v>13</v>
      </c>
      <c r="MZ7">
        <v>3.6646999999999999E-2</v>
      </c>
      <c r="NA7" t="s">
        <v>2435</v>
      </c>
      <c r="NB7">
        <v>2025</v>
      </c>
      <c r="NC7" t="s">
        <v>5700</v>
      </c>
      <c r="ND7" s="6">
        <v>46029</v>
      </c>
      <c r="NE7">
        <v>5</v>
      </c>
      <c r="NF7">
        <v>1187550</v>
      </c>
      <c r="NG7">
        <v>136177</v>
      </c>
      <c r="NH7" t="s">
        <v>5701</v>
      </c>
      <c r="OA7" t="s">
        <v>3045</v>
      </c>
      <c r="OB7" t="s">
        <v>1786</v>
      </c>
      <c r="OC7">
        <v>18</v>
      </c>
      <c r="OD7">
        <v>0.28558099999999997</v>
      </c>
      <c r="OE7" t="s">
        <v>1745</v>
      </c>
      <c r="OF7">
        <v>2025</v>
      </c>
      <c r="OG7" t="s">
        <v>3046</v>
      </c>
      <c r="OH7" s="6">
        <v>46079</v>
      </c>
      <c r="OI7">
        <v>5</v>
      </c>
      <c r="OJ7">
        <v>185490768</v>
      </c>
      <c r="OK7">
        <v>103442</v>
      </c>
      <c r="OL7" t="s">
        <v>3047</v>
      </c>
      <c r="OO7" t="s">
        <v>1706</v>
      </c>
      <c r="OP7">
        <v>1.5294399999999999</v>
      </c>
      <c r="OR7">
        <v>-2.4245362661989844E-14</v>
      </c>
      <c r="OS7" t="s">
        <v>1745</v>
      </c>
      <c r="OT7">
        <v>2024</v>
      </c>
      <c r="OU7" t="s">
        <v>3646</v>
      </c>
      <c r="OV7" s="6">
        <v>45712</v>
      </c>
      <c r="OW7">
        <v>5</v>
      </c>
      <c r="OX7">
        <v>1622093696</v>
      </c>
      <c r="OY7">
        <v>302359</v>
      </c>
      <c r="OZ7" t="s">
        <v>3647</v>
      </c>
      <c r="PE7" t="s">
        <v>2484</v>
      </c>
      <c r="PG7">
        <v>-2.4245362661989844E-14</v>
      </c>
      <c r="PH7">
        <v>-2.4245362661989844E-14</v>
      </c>
      <c r="PI7" t="s">
        <v>1745</v>
      </c>
      <c r="PJ7">
        <v>2022</v>
      </c>
      <c r="PK7" t="s">
        <v>2485</v>
      </c>
      <c r="PL7" s="6">
        <v>44693</v>
      </c>
      <c r="PM7">
        <v>5</v>
      </c>
      <c r="PN7">
        <v>-2.4245362661989844E-14</v>
      </c>
      <c r="PO7">
        <v>114991</v>
      </c>
      <c r="PP7" t="s">
        <v>2486</v>
      </c>
      <c r="PS7" t="s">
        <v>6598</v>
      </c>
      <c r="PT7">
        <v>1.573035</v>
      </c>
      <c r="PU7" t="s">
        <v>1786</v>
      </c>
      <c r="PV7">
        <v>1.1843360000000001</v>
      </c>
      <c r="PW7" t="s">
        <v>1845</v>
      </c>
      <c r="PX7">
        <v>2025</v>
      </c>
      <c r="PY7" t="s">
        <v>6295</v>
      </c>
      <c r="PZ7" s="6">
        <v>46070</v>
      </c>
      <c r="QA7">
        <v>5</v>
      </c>
      <c r="QB7">
        <v>8171917</v>
      </c>
      <c r="QC7">
        <v>69684807</v>
      </c>
      <c r="QD7" t="s">
        <v>6599</v>
      </c>
      <c r="RM7" t="s">
        <v>2313</v>
      </c>
      <c r="RO7">
        <v>-2.4245362661989844E-14</v>
      </c>
      <c r="RP7">
        <v>-2.4245362661989844E-14</v>
      </c>
      <c r="RQ7" t="s">
        <v>1745</v>
      </c>
      <c r="RR7">
        <v>2022</v>
      </c>
      <c r="RS7" t="s">
        <v>6495</v>
      </c>
      <c r="RT7" s="6">
        <v>45723</v>
      </c>
      <c r="RU7">
        <v>5</v>
      </c>
      <c r="RV7">
        <v>-2.4245362661989844E-14</v>
      </c>
      <c r="RW7">
        <v>100010</v>
      </c>
      <c r="RX7" t="s">
        <v>2315</v>
      </c>
      <c r="SA7" t="s">
        <v>6385</v>
      </c>
      <c r="SB7">
        <v>-2.4245362661989844E-14</v>
      </c>
      <c r="SD7">
        <v>-2.4245362661989844E-14</v>
      </c>
      <c r="SE7" t="s">
        <v>1809</v>
      </c>
      <c r="SF7">
        <v>2024</v>
      </c>
      <c r="SG7" t="s">
        <v>6386</v>
      </c>
      <c r="SH7" s="6">
        <v>45428</v>
      </c>
      <c r="SI7">
        <v>3</v>
      </c>
      <c r="SJ7">
        <v>-2.4245362661989844E-14</v>
      </c>
      <c r="SK7">
        <v>359172</v>
      </c>
      <c r="SL7" t="s">
        <v>6387</v>
      </c>
      <c r="TU7" t="s">
        <v>6136</v>
      </c>
      <c r="TW7">
        <v>-2.4245362661989844E-14</v>
      </c>
      <c r="TX7">
        <v>-2.4245362661989844E-14</v>
      </c>
      <c r="TY7" t="s">
        <v>1745</v>
      </c>
      <c r="TZ7">
        <v>2024</v>
      </c>
      <c r="UA7" t="s">
        <v>6137</v>
      </c>
      <c r="UB7" s="6">
        <v>45806</v>
      </c>
      <c r="UC7">
        <v>5</v>
      </c>
      <c r="UD7">
        <v>-2.4245362661989844E-14</v>
      </c>
      <c r="UE7">
        <v>9285067</v>
      </c>
      <c r="UF7" t="s">
        <v>6138</v>
      </c>
    </row>
    <row r="8" spans="1:600" x14ac:dyDescent="0.25">
      <c r="AE8" t="s">
        <v>246</v>
      </c>
      <c r="AF8" t="s">
        <v>1786</v>
      </c>
      <c r="AG8">
        <v>0.38197399999999998</v>
      </c>
      <c r="AH8">
        <v>2.6527189999999998</v>
      </c>
      <c r="AI8" t="s">
        <v>1762</v>
      </c>
      <c r="AJ8">
        <v>2025</v>
      </c>
      <c r="AK8" t="s">
        <v>5981</v>
      </c>
      <c r="AL8" s="6">
        <v>45862</v>
      </c>
      <c r="AM8">
        <v>5</v>
      </c>
      <c r="AN8">
        <v>368330048</v>
      </c>
      <c r="AO8">
        <v>46946968</v>
      </c>
      <c r="AP8" t="s">
        <v>1765</v>
      </c>
      <c r="AS8" t="s">
        <v>1409</v>
      </c>
      <c r="AT8">
        <v>4.8992000000000001E-2</v>
      </c>
      <c r="AU8" t="s">
        <v>1786</v>
      </c>
      <c r="AV8">
        <v>1.135372</v>
      </c>
      <c r="AW8" t="s">
        <v>1845</v>
      </c>
      <c r="AX8">
        <v>2025</v>
      </c>
      <c r="AY8" t="s">
        <v>2208</v>
      </c>
      <c r="AZ8" s="6">
        <v>46091</v>
      </c>
      <c r="BA8">
        <v>5</v>
      </c>
      <c r="BB8">
        <v>17823852</v>
      </c>
      <c r="BC8">
        <v>156637</v>
      </c>
      <c r="BD8" t="s">
        <v>2209</v>
      </c>
      <c r="CM8" t="s">
        <v>5752</v>
      </c>
      <c r="CN8" t="s">
        <v>1769</v>
      </c>
      <c r="CO8">
        <v>13</v>
      </c>
      <c r="CP8">
        <v>0.32028699999999999</v>
      </c>
      <c r="CQ8" t="s">
        <v>1745</v>
      </c>
      <c r="CR8">
        <v>2024</v>
      </c>
      <c r="CS8" t="s">
        <v>5753</v>
      </c>
      <c r="CT8" s="6">
        <v>45761</v>
      </c>
      <c r="CU8">
        <v>5</v>
      </c>
      <c r="CV8">
        <v>5277818.2300000004</v>
      </c>
      <c r="CW8">
        <v>115383</v>
      </c>
      <c r="CX8" t="s">
        <v>5754</v>
      </c>
      <c r="DA8" t="s">
        <v>2237</v>
      </c>
      <c r="DB8">
        <v>-2.4245362661989844E-14</v>
      </c>
      <c r="DD8">
        <v>-2.4245362661989844E-14</v>
      </c>
      <c r="DE8" t="s">
        <v>1745</v>
      </c>
      <c r="DF8">
        <v>2024</v>
      </c>
      <c r="DG8" t="s">
        <v>2238</v>
      </c>
      <c r="DH8" s="6">
        <v>45734</v>
      </c>
      <c r="DI8">
        <v>5</v>
      </c>
      <c r="DJ8">
        <v>-2.4245362661989844E-14</v>
      </c>
      <c r="DK8">
        <v>7980587</v>
      </c>
      <c r="DL8" t="s">
        <v>2239</v>
      </c>
      <c r="DQ8" t="s">
        <v>3880</v>
      </c>
      <c r="DS8">
        <v>-2.4245362661989844E-14</v>
      </c>
      <c r="DT8">
        <v>-2.4245362661989844E-14</v>
      </c>
      <c r="DU8" t="s">
        <v>1745</v>
      </c>
      <c r="DV8">
        <v>2024</v>
      </c>
      <c r="DW8" t="s">
        <v>4347</v>
      </c>
      <c r="DX8" s="6">
        <v>45716</v>
      </c>
      <c r="DY8">
        <v>5</v>
      </c>
      <c r="DZ8">
        <v>-2.4245362661989844E-14</v>
      </c>
      <c r="EA8">
        <v>101145</v>
      </c>
      <c r="EB8" t="s">
        <v>3882</v>
      </c>
      <c r="EE8" t="s">
        <v>357</v>
      </c>
      <c r="EF8">
        <v>-2.4245362661989844E-14</v>
      </c>
      <c r="EH8">
        <v>-2.4245362661989844E-14</v>
      </c>
      <c r="EI8" t="s">
        <v>1745</v>
      </c>
      <c r="EJ8">
        <v>2021</v>
      </c>
      <c r="EK8" t="s">
        <v>3645</v>
      </c>
      <c r="EL8" s="6">
        <v>44656</v>
      </c>
      <c r="EM8">
        <v>5</v>
      </c>
      <c r="EN8">
        <v>-2.4245362661989844E-14</v>
      </c>
      <c r="EO8">
        <v>1499717</v>
      </c>
      <c r="EP8" t="s">
        <v>1864</v>
      </c>
      <c r="FY8" t="s">
        <v>5152</v>
      </c>
      <c r="GA8">
        <v>-2.4245362661989844E-14</v>
      </c>
      <c r="GB8">
        <v>-2.4245362661989844E-14</v>
      </c>
      <c r="GC8" t="s">
        <v>1745</v>
      </c>
      <c r="GD8">
        <v>2024</v>
      </c>
      <c r="GE8" t="s">
        <v>5153</v>
      </c>
      <c r="GF8" s="6">
        <v>45594</v>
      </c>
      <c r="GG8">
        <v>5</v>
      </c>
      <c r="GH8">
        <v>-2.4245362661989844E-14</v>
      </c>
      <c r="GI8">
        <v>32313626</v>
      </c>
      <c r="GJ8" t="s">
        <v>5154</v>
      </c>
      <c r="IG8" t="s">
        <v>2283</v>
      </c>
      <c r="II8">
        <v>-2.4245362661989844E-14</v>
      </c>
      <c r="IJ8">
        <v>-2.4245362661989844E-14</v>
      </c>
      <c r="IK8" t="s">
        <v>1745</v>
      </c>
      <c r="IL8">
        <v>2021</v>
      </c>
      <c r="IM8" t="s">
        <v>2284</v>
      </c>
      <c r="IN8" s="6">
        <v>44693</v>
      </c>
      <c r="IO8">
        <v>5</v>
      </c>
      <c r="IP8">
        <v>-2.4245362661989844E-14</v>
      </c>
      <c r="IQ8">
        <v>100060</v>
      </c>
      <c r="IR8" t="s">
        <v>2285</v>
      </c>
      <c r="IU8" t="s">
        <v>2096</v>
      </c>
      <c r="IV8">
        <v>3.4554779999999998</v>
      </c>
      <c r="IW8" t="s">
        <v>1786</v>
      </c>
      <c r="IX8">
        <v>6.1565000000000002E-2</v>
      </c>
      <c r="IY8" t="s">
        <v>1742</v>
      </c>
      <c r="IZ8">
        <v>2025</v>
      </c>
      <c r="JA8" t="s">
        <v>5982</v>
      </c>
      <c r="JB8" s="6">
        <v>46050</v>
      </c>
      <c r="JC8">
        <v>5</v>
      </c>
      <c r="JD8">
        <v>82931472</v>
      </c>
      <c r="JE8">
        <v>101616</v>
      </c>
      <c r="JF8" t="s">
        <v>2098</v>
      </c>
      <c r="LS8" t="s">
        <v>5491</v>
      </c>
      <c r="LU8">
        <v>-2.4245362661989844E-14</v>
      </c>
      <c r="LV8">
        <v>-2.4245362661989844E-14</v>
      </c>
      <c r="LW8" t="s">
        <v>1745</v>
      </c>
      <c r="LX8">
        <v>2024</v>
      </c>
      <c r="LY8" t="s">
        <v>5492</v>
      </c>
      <c r="LZ8" s="6">
        <v>45307</v>
      </c>
      <c r="MA8">
        <v>5</v>
      </c>
      <c r="MB8">
        <v>-2.4245362661989844E-14</v>
      </c>
      <c r="MC8">
        <v>30138126</v>
      </c>
      <c r="MD8" t="s">
        <v>5493</v>
      </c>
      <c r="MG8" t="s">
        <v>2139</v>
      </c>
      <c r="MH8">
        <v>2.49E-3</v>
      </c>
      <c r="MI8" t="s">
        <v>1786</v>
      </c>
      <c r="MJ8">
        <v>3.627E-3</v>
      </c>
      <c r="MK8" t="s">
        <v>1742</v>
      </c>
      <c r="ML8">
        <v>2025</v>
      </c>
      <c r="MM8" t="s">
        <v>2140</v>
      </c>
      <c r="MN8" s="6">
        <v>46034</v>
      </c>
      <c r="MO8">
        <v>5</v>
      </c>
      <c r="MP8">
        <v>20689</v>
      </c>
      <c r="MQ8">
        <v>313021</v>
      </c>
      <c r="MR8" t="s">
        <v>2141</v>
      </c>
      <c r="MW8" t="s">
        <v>2616</v>
      </c>
      <c r="MY8">
        <v>-2.4245362661989844E-14</v>
      </c>
      <c r="MZ8">
        <v>-2.4245362661989844E-14</v>
      </c>
      <c r="NA8" t="s">
        <v>1745</v>
      </c>
      <c r="NB8">
        <v>2025</v>
      </c>
      <c r="NC8" t="s">
        <v>2617</v>
      </c>
      <c r="ND8" s="6">
        <v>46070</v>
      </c>
      <c r="NE8">
        <v>5</v>
      </c>
      <c r="NF8">
        <v>-2.4245362661989844E-14</v>
      </c>
      <c r="NG8">
        <v>952888</v>
      </c>
      <c r="NH8" t="s">
        <v>2618</v>
      </c>
      <c r="OA8" t="s">
        <v>1578</v>
      </c>
      <c r="OB8" t="s">
        <v>1786</v>
      </c>
      <c r="OC8">
        <v>4.630776</v>
      </c>
      <c r="OD8">
        <v>0.19183800000000001</v>
      </c>
      <c r="OE8" t="s">
        <v>1742</v>
      </c>
      <c r="OF8">
        <v>2025</v>
      </c>
      <c r="OG8" t="s">
        <v>3048</v>
      </c>
      <c r="OH8" s="6">
        <v>45952</v>
      </c>
      <c r="OI8">
        <v>5</v>
      </c>
      <c r="OJ8">
        <v>125308800</v>
      </c>
      <c r="OK8">
        <v>171010</v>
      </c>
      <c r="OL8" t="s">
        <v>3049</v>
      </c>
      <c r="OO8" t="s">
        <v>1088</v>
      </c>
      <c r="OP8">
        <v>0.34598400000000001</v>
      </c>
      <c r="OQ8" t="s">
        <v>1786</v>
      </c>
      <c r="OR8">
        <v>1.684086</v>
      </c>
      <c r="OS8" t="s">
        <v>1762</v>
      </c>
      <c r="OT8">
        <v>2025</v>
      </c>
      <c r="OU8" t="s">
        <v>3484</v>
      </c>
      <c r="OV8" s="6">
        <v>45873</v>
      </c>
      <c r="OW8">
        <v>5</v>
      </c>
      <c r="OX8">
        <v>342105216</v>
      </c>
      <c r="OY8">
        <v>100211</v>
      </c>
      <c r="OZ8" t="s">
        <v>1851</v>
      </c>
      <c r="PE8" t="s">
        <v>4210</v>
      </c>
      <c r="PG8">
        <v>-2.4245362661989844E-14</v>
      </c>
      <c r="PH8">
        <v>-2.4245362661989844E-14</v>
      </c>
      <c r="PI8" t="s">
        <v>1745</v>
      </c>
      <c r="PJ8">
        <v>2022</v>
      </c>
      <c r="PK8" t="s">
        <v>4211</v>
      </c>
      <c r="PL8" s="6">
        <v>44693</v>
      </c>
      <c r="PM8">
        <v>5</v>
      </c>
      <c r="PN8">
        <v>-2.4245362661989844E-14</v>
      </c>
      <c r="PO8">
        <v>113413</v>
      </c>
      <c r="PP8" t="s">
        <v>4212</v>
      </c>
      <c r="PS8" t="s">
        <v>6600</v>
      </c>
      <c r="PT8">
        <v>1.033061</v>
      </c>
      <c r="PU8" t="s">
        <v>1786</v>
      </c>
      <c r="PV8">
        <v>0.55385099999999998</v>
      </c>
      <c r="PW8" t="s">
        <v>1845</v>
      </c>
      <c r="PX8">
        <v>2025</v>
      </c>
      <c r="PY8" t="s">
        <v>6295</v>
      </c>
      <c r="PZ8" s="6">
        <v>46070</v>
      </c>
      <c r="QA8">
        <v>5</v>
      </c>
      <c r="QB8">
        <v>5366752</v>
      </c>
      <c r="QC8">
        <v>7585298</v>
      </c>
      <c r="QD8" t="s">
        <v>6601</v>
      </c>
      <c r="RM8" t="s">
        <v>6496</v>
      </c>
      <c r="RO8">
        <v>-2.4245362661989844E-14</v>
      </c>
      <c r="RP8">
        <v>-2.4245362661989844E-14</v>
      </c>
      <c r="RQ8" t="s">
        <v>1809</v>
      </c>
      <c r="RR8">
        <v>2022</v>
      </c>
      <c r="RS8" t="s">
        <v>6497</v>
      </c>
      <c r="RT8" s="6">
        <v>44673</v>
      </c>
      <c r="RU8">
        <v>5</v>
      </c>
      <c r="RV8">
        <v>-2.4245362661989844E-14</v>
      </c>
      <c r="RW8">
        <v>885065</v>
      </c>
      <c r="RX8" t="s">
        <v>6498</v>
      </c>
      <c r="TU8" t="s">
        <v>6139</v>
      </c>
      <c r="TW8">
        <v>-2.4245362661989844E-14</v>
      </c>
      <c r="TX8">
        <v>-2.4245362661989844E-14</v>
      </c>
      <c r="TY8" t="s">
        <v>1745</v>
      </c>
      <c r="TZ8">
        <v>2022</v>
      </c>
      <c r="UA8" t="s">
        <v>6140</v>
      </c>
      <c r="UB8" s="6">
        <v>45075</v>
      </c>
      <c r="UC8">
        <v>5</v>
      </c>
      <c r="UD8">
        <v>-2.4245362661989844E-14</v>
      </c>
      <c r="UE8">
        <v>17310803</v>
      </c>
      <c r="UF8" t="s">
        <v>6141</v>
      </c>
    </row>
    <row r="9" spans="1:600" x14ac:dyDescent="0.25">
      <c r="AE9" t="s">
        <v>2919</v>
      </c>
      <c r="AF9" t="s">
        <v>1820</v>
      </c>
      <c r="AG9">
        <v>5.5977880000000004</v>
      </c>
      <c r="AH9">
        <v>7.6756450000000003</v>
      </c>
      <c r="AI9" t="s">
        <v>1742</v>
      </c>
      <c r="AJ9">
        <v>2025</v>
      </c>
      <c r="AK9" t="s">
        <v>2920</v>
      </c>
      <c r="AL9" s="6">
        <v>46029</v>
      </c>
      <c r="AM9">
        <v>5</v>
      </c>
      <c r="AN9">
        <v>330895084.14999998</v>
      </c>
      <c r="AO9">
        <v>115705</v>
      </c>
      <c r="AP9" t="s">
        <v>2921</v>
      </c>
      <c r="AS9" t="s">
        <v>2012</v>
      </c>
      <c r="AT9">
        <v>4.8830999999999999E-2</v>
      </c>
      <c r="AU9" t="s">
        <v>1786</v>
      </c>
      <c r="AV9">
        <v>2.7042419999999998</v>
      </c>
      <c r="AW9" t="s">
        <v>1742</v>
      </c>
      <c r="AX9">
        <v>2025</v>
      </c>
      <c r="AY9" t="s">
        <v>2013</v>
      </c>
      <c r="AZ9" s="6">
        <v>45840</v>
      </c>
      <c r="BA9">
        <v>5</v>
      </c>
      <c r="BB9">
        <v>16351064</v>
      </c>
      <c r="BC9">
        <v>136424</v>
      </c>
      <c r="BD9" t="s">
        <v>2014</v>
      </c>
      <c r="CM9" t="s">
        <v>5004</v>
      </c>
      <c r="CN9" t="s">
        <v>1769</v>
      </c>
      <c r="CO9">
        <v>2.3601529999999999</v>
      </c>
      <c r="CP9">
        <v>0.26850400000000002</v>
      </c>
      <c r="CQ9" t="s">
        <v>1745</v>
      </c>
      <c r="CR9">
        <v>2024</v>
      </c>
      <c r="CS9" t="s">
        <v>5005</v>
      </c>
      <c r="CT9" s="6">
        <v>45715</v>
      </c>
      <c r="CU9">
        <v>5</v>
      </c>
      <c r="CV9">
        <v>4469251</v>
      </c>
      <c r="CW9">
        <v>979463</v>
      </c>
      <c r="CX9" t="s">
        <v>5006</v>
      </c>
      <c r="DA9" t="s">
        <v>2240</v>
      </c>
      <c r="DB9">
        <v>-2.4245362661989844E-14</v>
      </c>
      <c r="DD9">
        <v>-2.4245362661989844E-14</v>
      </c>
      <c r="DE9" t="s">
        <v>1745</v>
      </c>
      <c r="DF9">
        <v>2024</v>
      </c>
      <c r="DG9" t="s">
        <v>2241</v>
      </c>
      <c r="DH9" s="6">
        <v>45333</v>
      </c>
      <c r="DI9">
        <v>5</v>
      </c>
      <c r="DJ9">
        <v>-2.4245362661989844E-14</v>
      </c>
      <c r="DK9">
        <v>136993</v>
      </c>
      <c r="DL9" t="s">
        <v>2242</v>
      </c>
      <c r="DQ9" t="s">
        <v>6055</v>
      </c>
      <c r="DS9">
        <v>-2.4245362661989844E-14</v>
      </c>
      <c r="DT9">
        <v>-2.4245362661989844E-14</v>
      </c>
      <c r="DU9" t="s">
        <v>1742</v>
      </c>
      <c r="DV9">
        <v>2024</v>
      </c>
      <c r="DW9" t="s">
        <v>6056</v>
      </c>
      <c r="DX9" s="6">
        <v>45617</v>
      </c>
      <c r="DY9">
        <v>5</v>
      </c>
      <c r="DZ9">
        <v>-2.4245362661989844E-14</v>
      </c>
      <c r="EA9">
        <v>10166446</v>
      </c>
      <c r="EB9" t="s">
        <v>6057</v>
      </c>
      <c r="EE9" t="s">
        <v>6360</v>
      </c>
      <c r="EF9">
        <v>-2.4245362661989844E-14</v>
      </c>
      <c r="EH9">
        <v>-2.4245362661989844E-14</v>
      </c>
      <c r="EI9" t="s">
        <v>1745</v>
      </c>
      <c r="EJ9">
        <v>2022</v>
      </c>
      <c r="EK9" t="s">
        <v>6361</v>
      </c>
      <c r="EL9" s="6">
        <v>44840</v>
      </c>
      <c r="EM9">
        <v>5</v>
      </c>
      <c r="EN9">
        <v>-2.4245362661989844E-14</v>
      </c>
      <c r="EO9">
        <v>14699050</v>
      </c>
      <c r="EP9" t="s">
        <v>6362</v>
      </c>
      <c r="FY9" t="s">
        <v>6037</v>
      </c>
      <c r="GA9">
        <v>-2.4245362661989844E-14</v>
      </c>
      <c r="GB9">
        <v>-2.4245362661989844E-14</v>
      </c>
      <c r="GC9" t="s">
        <v>1745</v>
      </c>
      <c r="GD9">
        <v>2022</v>
      </c>
      <c r="GE9" t="s">
        <v>5153</v>
      </c>
      <c r="GF9" s="6">
        <v>44810</v>
      </c>
      <c r="GG9">
        <v>5</v>
      </c>
      <c r="GH9">
        <v>-2.4245362661989844E-14</v>
      </c>
      <c r="GI9">
        <v>904046</v>
      </c>
      <c r="GJ9" t="s">
        <v>6038</v>
      </c>
      <c r="IG9" t="s">
        <v>86</v>
      </c>
      <c r="II9">
        <v>-2.4245362661989844E-14</v>
      </c>
      <c r="IJ9">
        <v>-2.4245362661989844E-14</v>
      </c>
      <c r="IK9" t="s">
        <v>1745</v>
      </c>
      <c r="IL9">
        <v>2021</v>
      </c>
      <c r="IM9" t="s">
        <v>2299</v>
      </c>
      <c r="IN9" s="6">
        <v>44693</v>
      </c>
      <c r="IO9">
        <v>5</v>
      </c>
      <c r="IP9">
        <v>-2.4245362661989844E-14</v>
      </c>
      <c r="IQ9">
        <v>100193</v>
      </c>
      <c r="IR9" t="s">
        <v>1849</v>
      </c>
      <c r="IU9" t="s">
        <v>1854</v>
      </c>
      <c r="IV9">
        <v>1.7020759999999999</v>
      </c>
      <c r="IW9" t="s">
        <v>1786</v>
      </c>
      <c r="IX9">
        <v>6.9817000000000004E-2</v>
      </c>
      <c r="IY9" t="s">
        <v>1742</v>
      </c>
      <c r="IZ9">
        <v>2025</v>
      </c>
      <c r="JA9" t="s">
        <v>5982</v>
      </c>
      <c r="JB9" s="6">
        <v>46050</v>
      </c>
      <c r="JC9">
        <v>5</v>
      </c>
      <c r="JD9">
        <v>40849824</v>
      </c>
      <c r="JE9">
        <v>101758</v>
      </c>
      <c r="JF9" t="s">
        <v>1856</v>
      </c>
      <c r="LS9" t="s">
        <v>2215</v>
      </c>
      <c r="LU9">
        <v>-2.4245362661989844E-14</v>
      </c>
      <c r="LV9">
        <v>-2.4245362661989844E-14</v>
      </c>
      <c r="LW9" t="s">
        <v>1745</v>
      </c>
      <c r="LX9">
        <v>2022</v>
      </c>
      <c r="LY9" t="s">
        <v>5494</v>
      </c>
      <c r="LZ9" s="6">
        <v>45009</v>
      </c>
      <c r="MA9">
        <v>5</v>
      </c>
      <c r="MB9">
        <v>-2.4245362661989844E-14</v>
      </c>
      <c r="MC9">
        <v>38007258</v>
      </c>
      <c r="MD9" t="s">
        <v>2217</v>
      </c>
      <c r="MG9" t="s">
        <v>2142</v>
      </c>
      <c r="MH9">
        <v>-2.4245362661989844E-14</v>
      </c>
      <c r="MJ9">
        <v>-2.4245362661989844E-14</v>
      </c>
      <c r="MK9" t="s">
        <v>1745</v>
      </c>
      <c r="ML9">
        <v>2021</v>
      </c>
      <c r="MM9" t="s">
        <v>2143</v>
      </c>
      <c r="MN9" s="6">
        <v>44677</v>
      </c>
      <c r="MO9">
        <v>5</v>
      </c>
      <c r="MP9">
        <v>-2.4245362661989844E-14</v>
      </c>
      <c r="MQ9">
        <v>28305517</v>
      </c>
      <c r="MR9" t="s">
        <v>2144</v>
      </c>
      <c r="MW9" t="s">
        <v>5702</v>
      </c>
      <c r="MY9">
        <v>-2.4245362661989844E-14</v>
      </c>
      <c r="MZ9">
        <v>-2.4245362661989844E-14</v>
      </c>
      <c r="NA9" t="s">
        <v>1745</v>
      </c>
      <c r="NB9">
        <v>2024</v>
      </c>
      <c r="NC9" t="s">
        <v>5703</v>
      </c>
      <c r="ND9" s="6">
        <v>46001</v>
      </c>
      <c r="NE9">
        <v>5</v>
      </c>
      <c r="NF9">
        <v>-2.4245362661989844E-14</v>
      </c>
      <c r="NG9">
        <v>72670003</v>
      </c>
      <c r="NH9" t="s">
        <v>5704</v>
      </c>
      <c r="OA9" t="s">
        <v>2919</v>
      </c>
      <c r="OB9" t="s">
        <v>1820</v>
      </c>
      <c r="OC9">
        <v>1.650523</v>
      </c>
      <c r="OD9">
        <v>1.7462089999999999</v>
      </c>
      <c r="OE9" t="s">
        <v>1742</v>
      </c>
      <c r="OF9">
        <v>2025</v>
      </c>
      <c r="OG9" t="s">
        <v>2920</v>
      </c>
      <c r="OH9" s="6">
        <v>46029</v>
      </c>
      <c r="OI9">
        <v>5</v>
      </c>
      <c r="OJ9">
        <v>97565313.560000002</v>
      </c>
      <c r="OK9">
        <v>115705</v>
      </c>
      <c r="OL9" t="s">
        <v>2921</v>
      </c>
      <c r="OO9" t="s">
        <v>1054</v>
      </c>
      <c r="OP9">
        <v>0.19926099999999999</v>
      </c>
      <c r="OQ9" t="s">
        <v>1786</v>
      </c>
      <c r="OR9">
        <v>1.1451750000000001</v>
      </c>
      <c r="OS9" t="s">
        <v>1762</v>
      </c>
      <c r="OT9">
        <v>2025</v>
      </c>
      <c r="OU9" t="s">
        <v>3638</v>
      </c>
      <c r="OV9" s="6">
        <v>45895</v>
      </c>
      <c r="OW9">
        <v>5</v>
      </c>
      <c r="OX9">
        <v>197027360</v>
      </c>
      <c r="OY9">
        <v>101555</v>
      </c>
      <c r="OZ9" t="s">
        <v>1848</v>
      </c>
      <c r="PE9" t="s">
        <v>2280</v>
      </c>
      <c r="PG9">
        <v>-2.4245362661989844E-14</v>
      </c>
      <c r="PH9">
        <v>-2.4245362661989844E-14</v>
      </c>
      <c r="PI9" t="s">
        <v>1745</v>
      </c>
      <c r="PJ9">
        <v>2021</v>
      </c>
      <c r="PK9" t="s">
        <v>2281</v>
      </c>
      <c r="PL9" s="6">
        <v>44693</v>
      </c>
      <c r="PM9">
        <v>5</v>
      </c>
      <c r="PN9">
        <v>-2.4245362661989844E-14</v>
      </c>
      <c r="PO9">
        <v>313098</v>
      </c>
      <c r="PP9" t="s">
        <v>2282</v>
      </c>
      <c r="PS9" t="s">
        <v>6602</v>
      </c>
      <c r="PT9">
        <v>1.0247710000000001</v>
      </c>
      <c r="PU9" t="s">
        <v>1786</v>
      </c>
      <c r="PV9">
        <v>0.29427300000000001</v>
      </c>
      <c r="PW9" t="s">
        <v>1845</v>
      </c>
      <c r="PX9">
        <v>2025</v>
      </c>
      <c r="PY9" t="s">
        <v>6295</v>
      </c>
      <c r="PZ9" s="6">
        <v>46070</v>
      </c>
      <c r="QA9">
        <v>5</v>
      </c>
      <c r="QB9">
        <v>5323685</v>
      </c>
      <c r="QC9">
        <v>967176</v>
      </c>
      <c r="QD9" t="s">
        <v>6603</v>
      </c>
      <c r="RM9" t="s">
        <v>6499</v>
      </c>
      <c r="RO9">
        <v>-2.4245362661989844E-14</v>
      </c>
      <c r="RP9">
        <v>-2.4245362661989844E-14</v>
      </c>
      <c r="RQ9" t="s">
        <v>1745</v>
      </c>
      <c r="RR9">
        <v>2023</v>
      </c>
      <c r="RS9" t="s">
        <v>6500</v>
      </c>
      <c r="RT9" s="6">
        <v>45322</v>
      </c>
      <c r="RU9">
        <v>5</v>
      </c>
      <c r="RV9">
        <v>-2.4245362661989844E-14</v>
      </c>
      <c r="RW9">
        <v>105115</v>
      </c>
      <c r="RX9" t="s">
        <v>6501</v>
      </c>
      <c r="TU9" t="s">
        <v>6142</v>
      </c>
      <c r="TW9">
        <v>-2.4245362661989844E-14</v>
      </c>
      <c r="TX9">
        <v>-2.4245362661989844E-14</v>
      </c>
      <c r="TY9" t="s">
        <v>1745</v>
      </c>
      <c r="TZ9">
        <v>2021</v>
      </c>
      <c r="UA9" t="s">
        <v>6143</v>
      </c>
      <c r="UB9" s="6">
        <v>44677</v>
      </c>
      <c r="UC9">
        <v>5</v>
      </c>
      <c r="UD9">
        <v>-2.4245362661989844E-14</v>
      </c>
      <c r="UE9">
        <v>183195</v>
      </c>
      <c r="UF9" t="s">
        <v>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113</v>
      </c>
      <c r="AE2" s="3" t="s">
        <v>114</v>
      </c>
      <c r="BI2" s="3" t="s">
        <v>115</v>
      </c>
      <c r="CM2" s="3" t="s">
        <v>116</v>
      </c>
      <c r="DQ2" s="3" t="s">
        <v>117</v>
      </c>
      <c r="EU2" s="3" t="s">
        <v>118</v>
      </c>
      <c r="FY2" s="3" t="s">
        <v>119</v>
      </c>
      <c r="HC2" s="3" t="s">
        <v>120</v>
      </c>
      <c r="IG2" s="3" t="s">
        <v>121</v>
      </c>
      <c r="JK2" s="3" t="s">
        <v>122</v>
      </c>
      <c r="KO2" s="3" t="s">
        <v>123</v>
      </c>
      <c r="LS2" s="3" t="s">
        <v>124</v>
      </c>
      <c r="MW2" s="3" t="s">
        <v>125</v>
      </c>
      <c r="OA2" s="3" t="s">
        <v>126</v>
      </c>
      <c r="PE2" s="3" t="s">
        <v>127</v>
      </c>
      <c r="QI2" s="3" t="s">
        <v>128</v>
      </c>
      <c r="RM2" s="3" t="s">
        <v>35</v>
      </c>
      <c r="SQ2" s="3" t="s">
        <v>129</v>
      </c>
      <c r="TU2" s="3" t="s">
        <v>130</v>
      </c>
      <c r="UY2" s="3" t="s">
        <v>131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_xll.BDS("KCI US Equity","SUPPLY_CHAIN_SUPPLIERS_ALL_DATA")</f>
        <v>#N/A N/A</v>
      </c>
      <c r="O5" t="str">
        <f>_xll.BDS("KCI US Equity","SUPPLY_CHAIN_CUSTOMERS_ALL_DATA")</f>
        <v>#N/A N/A</v>
      </c>
      <c r="AE5" t="str">
        <f>_xll.BDS("ARLP US Equity","SUPPLY_CHAIN_SUPPLIERS_ALL_DATA","cols=12;rows=5")</f>
        <v>CSX US Equity</v>
      </c>
      <c r="AF5" t="s">
        <v>1786</v>
      </c>
      <c r="AG5">
        <v>1.6511000000000001E-2</v>
      </c>
      <c r="AH5">
        <v>0.133081</v>
      </c>
      <c r="AI5" t="s">
        <v>1742</v>
      </c>
      <c r="AJ5">
        <v>2025</v>
      </c>
      <c r="AK5" t="s">
        <v>3215</v>
      </c>
      <c r="AL5" s="6">
        <v>45993</v>
      </c>
      <c r="AM5">
        <v>5</v>
      </c>
      <c r="AN5">
        <v>592250</v>
      </c>
      <c r="AO5">
        <v>100415</v>
      </c>
      <c r="AP5" t="s">
        <v>3216</v>
      </c>
      <c r="AS5" t="str">
        <f>_xll.BDS("ARLP US Equity","SUPPLY_CHAIN_CUSTOMERS_ALL_DATA","cols=12;rows=5")</f>
        <v>256775Z US Equity</v>
      </c>
      <c r="AT5">
        <v>-2.4245362661989844E-14</v>
      </c>
      <c r="AV5">
        <v>-2.4245362661989844E-14</v>
      </c>
      <c r="AW5" t="s">
        <v>1742</v>
      </c>
      <c r="AX5">
        <v>2025</v>
      </c>
      <c r="AY5" t="s">
        <v>6218</v>
      </c>
      <c r="AZ5" s="6">
        <v>45974</v>
      </c>
      <c r="BA5">
        <v>5</v>
      </c>
      <c r="BB5">
        <v>-2.4245362661989844E-14</v>
      </c>
      <c r="BC5">
        <v>8122179</v>
      </c>
      <c r="BD5" t="s">
        <v>6219</v>
      </c>
      <c r="BI5" t="str">
        <f>_xll.BDS("MCK US Equity","SUPPLY_CHAIN_SUPPLIERS_ALL_DATA","cols=12;rows=5")</f>
        <v>ABBV US Equity</v>
      </c>
      <c r="BJ5" t="s">
        <v>1786</v>
      </c>
      <c r="BK5">
        <v>30.713249000000001</v>
      </c>
      <c r="BL5">
        <v>6.8943349999999999</v>
      </c>
      <c r="BM5" t="s">
        <v>1845</v>
      </c>
      <c r="BN5">
        <v>2025</v>
      </c>
      <c r="BO5" t="s">
        <v>2798</v>
      </c>
      <c r="BP5" s="6">
        <v>46077</v>
      </c>
      <c r="BQ5">
        <v>5</v>
      </c>
      <c r="BR5">
        <v>5103927808</v>
      </c>
      <c r="BS5">
        <v>28046509</v>
      </c>
      <c r="BT5" t="s">
        <v>2799</v>
      </c>
      <c r="BW5" t="str">
        <f>_xll.BDS("MCK US Equity","SUPPLY_CHAIN_CUSTOMERS_ALL_DATA","cols=12;rows=5")</f>
        <v>CVS US Equity</v>
      </c>
      <c r="BX5">
        <v>24</v>
      </c>
      <c r="BY5" t="s">
        <v>1786</v>
      </c>
      <c r="BZ5">
        <v>26.455601000000001</v>
      </c>
      <c r="CA5" t="s">
        <v>1745</v>
      </c>
      <c r="CB5">
        <v>2025</v>
      </c>
      <c r="CC5" t="s">
        <v>3119</v>
      </c>
      <c r="CD5" s="6">
        <v>45786</v>
      </c>
      <c r="CE5">
        <v>5</v>
      </c>
      <c r="CF5">
        <v>21543059456</v>
      </c>
      <c r="CG5">
        <v>100976</v>
      </c>
      <c r="CH5" t="s">
        <v>1888</v>
      </c>
      <c r="CM5" t="str">
        <f>_xll.BDS("TALO US Equity","SUPPLY_CHAIN_SUPPLIERS_ALL_DATA","cols=12;rows=5")</f>
        <v>HLX US Equity</v>
      </c>
      <c r="CN5" t="s">
        <v>1820</v>
      </c>
      <c r="CO5">
        <v>12</v>
      </c>
      <c r="CP5">
        <v>12.623958999999999</v>
      </c>
      <c r="CQ5" t="s">
        <v>1745</v>
      </c>
      <c r="CR5">
        <v>2024</v>
      </c>
      <c r="CS5" t="s">
        <v>3730</v>
      </c>
      <c r="CT5" s="6">
        <v>45715</v>
      </c>
      <c r="CU5">
        <v>5</v>
      </c>
      <c r="CV5">
        <v>40756800</v>
      </c>
      <c r="CW5">
        <v>194556</v>
      </c>
      <c r="CX5" t="s">
        <v>3731</v>
      </c>
      <c r="DA5" t="str">
        <f>_xll.BDS("TALO US Equity","SUPPLY_CHAIN_CUSTOMERS_ALL_DATA","cols=12;rows=5")</f>
        <v>SHEL LN Equity</v>
      </c>
      <c r="DB5">
        <v>48</v>
      </c>
      <c r="DC5" t="s">
        <v>1786</v>
      </c>
      <c r="DD5">
        <v>0.44790400000000002</v>
      </c>
      <c r="DE5" t="s">
        <v>1745</v>
      </c>
      <c r="DF5">
        <v>2024</v>
      </c>
      <c r="DG5" t="s">
        <v>3535</v>
      </c>
      <c r="DH5" s="6">
        <v>45715</v>
      </c>
      <c r="DI5">
        <v>5</v>
      </c>
      <c r="DJ5">
        <v>236828160</v>
      </c>
      <c r="DK5">
        <v>9268711</v>
      </c>
      <c r="DL5" t="s">
        <v>3536</v>
      </c>
      <c r="DQ5" t="str">
        <f>_xll.BDS("AMAT US Equity","SUPPLY_CHAIN_SUPPLIERS_ALL_DATA","cols=12;rows=5")</f>
        <v>UCTT US Equity</v>
      </c>
      <c r="DR5" t="s">
        <v>1786</v>
      </c>
      <c r="DS5">
        <v>21.700001</v>
      </c>
      <c r="DT5">
        <v>3.0809289999999998</v>
      </c>
      <c r="DU5" t="s">
        <v>1745</v>
      </c>
      <c r="DV5">
        <v>2025</v>
      </c>
      <c r="DW5" t="s">
        <v>6022</v>
      </c>
      <c r="DX5" s="6">
        <v>46076</v>
      </c>
      <c r="DY5">
        <v>5</v>
      </c>
      <c r="DZ5">
        <v>111429504</v>
      </c>
      <c r="EA5">
        <v>8597928</v>
      </c>
      <c r="EB5" t="s">
        <v>6023</v>
      </c>
      <c r="EE5" t="str">
        <f>_xll.BDS("AMAT US Equity","SUPPLY_CHAIN_CUSTOMERS_ALL_DATA","cols=12;rows=5")</f>
        <v>2330 TT Equity</v>
      </c>
      <c r="EF5">
        <v>18</v>
      </c>
      <c r="EG5" t="s">
        <v>1820</v>
      </c>
      <c r="EH5">
        <v>15.083428</v>
      </c>
      <c r="EI5" t="s">
        <v>1993</v>
      </c>
      <c r="EJ5">
        <v>2025</v>
      </c>
      <c r="EK5" t="s">
        <v>6457</v>
      </c>
      <c r="EL5" s="6">
        <v>45799</v>
      </c>
      <c r="EM5">
        <v>5</v>
      </c>
      <c r="EN5">
        <v>1283939968</v>
      </c>
      <c r="EO5">
        <v>153737</v>
      </c>
      <c r="EP5" t="s">
        <v>2171</v>
      </c>
      <c r="EU5" t="str">
        <f>_xll.BDS("ZION US Equity","SUPPLY_CHAIN_SUPPLIERS_ALL_DATA","cols=12;rows=2")</f>
        <v>MUST SP Equity</v>
      </c>
      <c r="EW5">
        <v>-2.4245362661989844E-14</v>
      </c>
      <c r="EX5">
        <v>-2.4245362661989844E-14</v>
      </c>
      <c r="EY5" t="s">
        <v>1745</v>
      </c>
      <c r="EZ5">
        <v>2024</v>
      </c>
      <c r="FA5" t="s">
        <v>2839</v>
      </c>
      <c r="FB5" s="6">
        <v>45762</v>
      </c>
      <c r="FC5">
        <v>2</v>
      </c>
      <c r="FD5">
        <v>-2.4245362661989844E-14</v>
      </c>
      <c r="FE5">
        <v>46286147</v>
      </c>
      <c r="FF5" t="s">
        <v>2733</v>
      </c>
      <c r="FI5" t="str">
        <f>_xll.BDS("ZION US Equity","SUPPLY_CHAIN_CUSTOMERS_ALL_DATA")</f>
        <v>#N/A N/A</v>
      </c>
      <c r="FY5" t="str">
        <f>_xll.BDS("PDE US Equity","SUPPLY_CHAIN_SUPPLIERS_ALL_DATA")</f>
        <v>#N/A N/A</v>
      </c>
      <c r="GM5" t="str">
        <f>_xll.BDS("PDE US Equity","SUPPLY_CHAIN_CUSTOMERS_ALL_DATA")</f>
        <v>#N/A N/A</v>
      </c>
      <c r="HC5" t="str">
        <f>_xll.BDS("XRX US Equity","SUPPLY_CHAIN_SUPPLIERS_ALL_DATA","cols=12;rows=5")</f>
        <v>4901 JP Equity</v>
      </c>
      <c r="HD5" t="s">
        <v>1786</v>
      </c>
      <c r="HE5">
        <v>4.2803089999999999</v>
      </c>
      <c r="HF5">
        <v>20.793240000000001</v>
      </c>
      <c r="HG5" t="s">
        <v>1745</v>
      </c>
      <c r="HH5">
        <v>2024</v>
      </c>
      <c r="HI5" t="s">
        <v>5996</v>
      </c>
      <c r="HJ5" s="6">
        <v>45712</v>
      </c>
      <c r="HK5">
        <v>5</v>
      </c>
      <c r="HL5">
        <v>221499984</v>
      </c>
      <c r="HM5">
        <v>113590</v>
      </c>
      <c r="HN5" t="s">
        <v>5997</v>
      </c>
      <c r="HQ5" t="str">
        <f>_xll.BDS("XRX US Equity","SUPPLY_CHAIN_CUSTOMERS_ALL_DATA","cols=12;rows=5")</f>
        <v>SNX US Equity</v>
      </c>
      <c r="HR5">
        <v>1.5706199999999999</v>
      </c>
      <c r="HS5" t="s">
        <v>1786</v>
      </c>
      <c r="HT5">
        <v>0.19680800000000001</v>
      </c>
      <c r="HU5" t="s">
        <v>1845</v>
      </c>
      <c r="HV5">
        <v>2025</v>
      </c>
      <c r="HW5" t="s">
        <v>1887</v>
      </c>
      <c r="HX5" s="6">
        <v>46056</v>
      </c>
      <c r="HY5">
        <v>5</v>
      </c>
      <c r="HZ5">
        <v>31852174</v>
      </c>
      <c r="IA5">
        <v>1499717</v>
      </c>
      <c r="IB5" t="s">
        <v>1864</v>
      </c>
      <c r="IG5" t="str">
        <f>_xll.BDS("IBM US Equity","SUPPLY_CHAIN_SUPPLIERS_ALL_DATA","cols=12;rows=5")</f>
        <v>005930 KS Equity</v>
      </c>
      <c r="IH5" t="s">
        <v>1786</v>
      </c>
      <c r="II5">
        <v>0.49490499999999998</v>
      </c>
      <c r="IJ5">
        <v>4.1423690000000004</v>
      </c>
      <c r="IK5" t="s">
        <v>1809</v>
      </c>
      <c r="IL5">
        <v>2025</v>
      </c>
      <c r="IM5" t="s">
        <v>2035</v>
      </c>
      <c r="IN5" s="6">
        <v>45797</v>
      </c>
      <c r="IO5">
        <v>5</v>
      </c>
      <c r="IP5">
        <v>269668224</v>
      </c>
      <c r="IQ5">
        <v>117929</v>
      </c>
      <c r="IR5" t="s">
        <v>1791</v>
      </c>
      <c r="IU5" t="str">
        <f>_xll.BDS("IBM US Equity","SUPPLY_CHAIN_CUSTOMERS_ALL_DATA","cols=12;rows=5")</f>
        <v>AMZN US Equity</v>
      </c>
      <c r="IV5">
        <v>4.454224</v>
      </c>
      <c r="IW5" t="s">
        <v>1786</v>
      </c>
      <c r="IX5">
        <v>0.84141600000000005</v>
      </c>
      <c r="IY5" t="s">
        <v>1809</v>
      </c>
      <c r="IZ5">
        <v>2025</v>
      </c>
      <c r="JA5" t="s">
        <v>2035</v>
      </c>
      <c r="JB5" s="6">
        <v>45797</v>
      </c>
      <c r="JC5">
        <v>5</v>
      </c>
      <c r="JD5">
        <v>647688704</v>
      </c>
      <c r="JE5">
        <v>216952</v>
      </c>
      <c r="JF5" t="s">
        <v>1886</v>
      </c>
      <c r="JK5" t="str">
        <f>_xll.BDS("BKNG US Equity","SUPPLY_CHAIN_SUPPLIERS_ALL_DATA","cols=12;rows=5")</f>
        <v>TRIP US Equity</v>
      </c>
      <c r="JL5" t="s">
        <v>1769</v>
      </c>
      <c r="JM5">
        <v>8.7482140000000008</v>
      </c>
      <c r="JN5">
        <v>1.9793860000000001</v>
      </c>
      <c r="JO5" t="s">
        <v>1762</v>
      </c>
      <c r="JP5">
        <v>2025</v>
      </c>
      <c r="JQ5" t="s">
        <v>5448</v>
      </c>
      <c r="JR5" s="6">
        <v>45896</v>
      </c>
      <c r="JS5">
        <v>5</v>
      </c>
      <c r="JT5">
        <v>46278052</v>
      </c>
      <c r="JU5">
        <v>12130356</v>
      </c>
      <c r="JV5" t="s">
        <v>5449</v>
      </c>
      <c r="JY5" t="str">
        <f>_xll.BDS("BKNG US Equity","SUPPLY_CHAIN_CUSTOMERS_ALL_DATA","cols=12;rows=5")</f>
        <v>259206Z SL Equity</v>
      </c>
      <c r="JZ5">
        <v>-2.4245362661989844E-14</v>
      </c>
      <c r="KB5">
        <v>-2.4245362661989844E-14</v>
      </c>
      <c r="KC5" t="s">
        <v>1745</v>
      </c>
      <c r="KD5">
        <v>2022</v>
      </c>
      <c r="KE5" t="s">
        <v>6367</v>
      </c>
      <c r="KF5" s="6">
        <v>44680</v>
      </c>
      <c r="KG5">
        <v>5</v>
      </c>
      <c r="KH5">
        <v>-2.4245362661989844E-14</v>
      </c>
      <c r="KI5">
        <v>1422388</v>
      </c>
      <c r="KJ5" t="s">
        <v>6368</v>
      </c>
      <c r="KO5" t="str">
        <f>_xll.BDS("MFW US Equity","SUPPLY_CHAIN_SUPPLIERS_ALL_DATA","cols=12;rows=1")</f>
        <v>SNOW US Equity</v>
      </c>
      <c r="KQ5">
        <v>-2.4245362661989844E-14</v>
      </c>
      <c r="KR5">
        <v>-2.4245362661989844E-14</v>
      </c>
      <c r="KS5" t="s">
        <v>1745</v>
      </c>
      <c r="KT5">
        <v>2024</v>
      </c>
      <c r="KU5" t="s">
        <v>5447</v>
      </c>
      <c r="KV5" s="6">
        <v>45328</v>
      </c>
      <c r="KW5">
        <v>1</v>
      </c>
      <c r="KX5">
        <v>-2.4245362661989844E-14</v>
      </c>
      <c r="KY5">
        <v>42870442</v>
      </c>
      <c r="KZ5" t="s">
        <v>4721</v>
      </c>
      <c r="LC5" t="str">
        <f>_xll.BDS("MFW US Equity","SUPPLY_CHAIN_CUSTOMERS_ALL_DATA")</f>
        <v>#N/A N/A</v>
      </c>
      <c r="LS5" t="str">
        <f>_xll.BDS("APH US Equity","SUPPLY_CHAIN_SUPPLIERS_ALL_DATA","cols=12;rows=5")</f>
        <v>MRVL US Equity</v>
      </c>
      <c r="LT5" t="s">
        <v>1786</v>
      </c>
      <c r="LU5">
        <v>0.13163900000000001</v>
      </c>
      <c r="LV5">
        <v>0.104763</v>
      </c>
      <c r="LW5" t="s">
        <v>1762</v>
      </c>
      <c r="LX5">
        <v>2026</v>
      </c>
      <c r="LY5" t="s">
        <v>5378</v>
      </c>
      <c r="LZ5" s="6">
        <v>45908</v>
      </c>
      <c r="MA5">
        <v>5</v>
      </c>
      <c r="MB5">
        <v>2640810</v>
      </c>
      <c r="MC5">
        <v>12131688</v>
      </c>
      <c r="MD5" t="s">
        <v>5379</v>
      </c>
      <c r="MG5" t="str">
        <f>_xll.BDS("APH US Equity","SUPPLY_CHAIN_CUSTOMERS_ALL_DATA","cols=12;rows=5")</f>
        <v>AAPL US Equity</v>
      </c>
      <c r="MH5">
        <v>4.9102079999999999</v>
      </c>
      <c r="MI5" t="s">
        <v>1786</v>
      </c>
      <c r="MJ5">
        <v>0.370091</v>
      </c>
      <c r="MK5" t="s">
        <v>1762</v>
      </c>
      <c r="ML5">
        <v>2025</v>
      </c>
      <c r="MM5" t="s">
        <v>2372</v>
      </c>
      <c r="MN5" s="6">
        <v>45867</v>
      </c>
      <c r="MO5">
        <v>5</v>
      </c>
      <c r="MP5">
        <v>186866560</v>
      </c>
      <c r="MQ5">
        <v>101695</v>
      </c>
      <c r="MR5" t="s">
        <v>1764</v>
      </c>
      <c r="MW5" t="str">
        <f>_xll.BDS("FLG US Equity","SUPPLY_CHAIN_SUPPLIERS_ALL_DATA","cols=12;rows=5")</f>
        <v>CXM US Equity</v>
      </c>
      <c r="MY5">
        <v>-2.4245362661989844E-14</v>
      </c>
      <c r="MZ5">
        <v>-2.4245362661989844E-14</v>
      </c>
      <c r="NA5" t="s">
        <v>1762</v>
      </c>
      <c r="NB5">
        <v>2026</v>
      </c>
      <c r="NC5" t="s">
        <v>5164</v>
      </c>
      <c r="ND5" s="6">
        <v>45902</v>
      </c>
      <c r="NE5">
        <v>5</v>
      </c>
      <c r="NF5">
        <v>-2.4245362661989844E-14</v>
      </c>
      <c r="NG5">
        <v>34392121</v>
      </c>
      <c r="NH5" t="s">
        <v>4343</v>
      </c>
      <c r="NK5" t="str">
        <f>_xll.BDS("FLG US Equity","SUPPLY_CHAIN_CUSTOMERS_ALL_DATA")</f>
        <v>#N/A N/A</v>
      </c>
      <c r="OA5" t="str">
        <f>_xll.BDS("653707Q US Equity","SUPPLY_CHAIN_SUPPLIERS_ALL_DATA")</f>
        <v>#N/A N/A</v>
      </c>
      <c r="OO5" t="str">
        <f>_xll.BDS("653707Q US Equity","SUPPLY_CHAIN_CUSTOMERS_ALL_DATA")</f>
        <v>#N/A N/A</v>
      </c>
      <c r="PE5" t="str">
        <f>_xll.BDS("WP US Equity","SUPPLY_CHAIN_SUPPLIERS_ALL_DATA","cols=12;rows=2")</f>
        <v>AVPT US Equity</v>
      </c>
      <c r="PG5">
        <v>-2.4245362661989844E-14</v>
      </c>
      <c r="PH5">
        <v>-2.4245362661989844E-14</v>
      </c>
      <c r="PI5" t="s">
        <v>1809</v>
      </c>
      <c r="PJ5">
        <v>2023</v>
      </c>
      <c r="PK5" t="s">
        <v>6238</v>
      </c>
      <c r="PL5" s="6">
        <v>45056</v>
      </c>
      <c r="PM5">
        <v>2</v>
      </c>
      <c r="PN5">
        <v>-2.4245362661989844E-14</v>
      </c>
      <c r="PO5">
        <v>65608618</v>
      </c>
      <c r="PP5" t="s">
        <v>3028</v>
      </c>
      <c r="PS5" t="str">
        <f>_xll.BDS("WP US Equity","SUPPLY_CHAIN_CUSTOMERS_ALL_DATA","cols=12;rows=2")</f>
        <v>ACIW US Equity</v>
      </c>
      <c r="PT5">
        <v>-2.4245362661989844E-14</v>
      </c>
      <c r="PV5">
        <v>-2.4245362661989844E-14</v>
      </c>
      <c r="PW5" t="s">
        <v>1745</v>
      </c>
      <c r="PX5">
        <v>2024</v>
      </c>
      <c r="PY5" t="s">
        <v>3958</v>
      </c>
      <c r="PZ5" s="6">
        <v>45496</v>
      </c>
      <c r="QA5">
        <v>2</v>
      </c>
      <c r="QB5">
        <v>-2.4245362661989844E-14</v>
      </c>
      <c r="QC5">
        <v>159743</v>
      </c>
      <c r="QD5" t="s">
        <v>5126</v>
      </c>
      <c r="QI5" t="str">
        <f>_xll.BDS("RNR US Equity","SUPPLY_CHAIN_SUPPLIERS_ALL_DATA")</f>
        <v>#N/A N/A</v>
      </c>
      <c r="QW5" t="str">
        <f>_xll.BDS("RNR US Equity","SUPPLY_CHAIN_CUSTOMERS_ALL_DATA")</f>
        <v>#N/A N/A</v>
      </c>
      <c r="RM5" t="str">
        <f>_xll.BDS("nan Equity","SUPPLY_CHAIN_SUPPLIERS_ALL_DATA")</f>
        <v>#N/A N/A</v>
      </c>
      <c r="SA5" t="str">
        <f>_xll.BDS("nan Equity","SUPPLY_CHAIN_CUSTOMERS_ALL_DATA")</f>
        <v>#N/A N/A</v>
      </c>
      <c r="SQ5" t="str">
        <f>_xll.BDS("CY US Equity","SUPPLY_CHAIN_SUPPLIERS_ALL_DATA")</f>
        <v>#N/A N/A</v>
      </c>
      <c r="TE5" t="str">
        <f>_xll.BDS("CY US Equity","SUPPLY_CHAIN_CUSTOMERS_ALL_DATA")</f>
        <v>#N/A N/A</v>
      </c>
      <c r="TU5" t="str">
        <f>_xll.BDS("NFS US Equity","SUPPLY_CHAIN_SUPPLIERS_ALL_DATA")</f>
        <v>#N/A N/A</v>
      </c>
      <c r="UI5" t="str">
        <f>_xll.BDS("NFS US Equity","SUPPLY_CHAIN_CUSTOMERS_ALL_DATA")</f>
        <v>#N/A N/A</v>
      </c>
      <c r="UY5" t="str">
        <f>_xll.BDS("THC US Equity","SUPPLY_CHAIN_SUPPLIERS_ALL_DATA","cols=12;rows=5")</f>
        <v>ORCL US Equity</v>
      </c>
      <c r="UZ5" t="s">
        <v>1786</v>
      </c>
      <c r="VA5">
        <v>5.8312999999999997E-2</v>
      </c>
      <c r="VB5">
        <v>0.21387300000000001</v>
      </c>
      <c r="VC5" t="s">
        <v>1845</v>
      </c>
      <c r="VD5">
        <v>2025</v>
      </c>
      <c r="VE5" t="s">
        <v>1883</v>
      </c>
      <c r="VF5" s="6">
        <v>45848</v>
      </c>
      <c r="VG5">
        <v>5</v>
      </c>
      <c r="VH5">
        <v>9273516</v>
      </c>
      <c r="VI5">
        <v>101752</v>
      </c>
      <c r="VJ5" t="s">
        <v>2723</v>
      </c>
      <c r="VM5" t="str">
        <f>_xll.BDS("THC US Equity","SUPPLY_CHAIN_CUSTOMERS_ALL_DATA","cols=12;rows=3")</f>
        <v>0019676D US Equity</v>
      </c>
      <c r="VN5">
        <v>-2.4245362661989844E-14</v>
      </c>
      <c r="VP5">
        <v>-2.4245362661989844E-14</v>
      </c>
      <c r="VQ5" t="s">
        <v>1745</v>
      </c>
      <c r="VR5">
        <v>2022</v>
      </c>
      <c r="VS5" t="s">
        <v>5430</v>
      </c>
      <c r="VT5" s="6">
        <v>44854</v>
      </c>
      <c r="VU5">
        <v>3</v>
      </c>
      <c r="VV5">
        <v>-2.4245362661989844E-14</v>
      </c>
      <c r="VW5">
        <v>7819356</v>
      </c>
      <c r="VX5" t="s">
        <v>5431</v>
      </c>
    </row>
    <row r="6" spans="1:600" x14ac:dyDescent="0.25">
      <c r="AE6" t="s">
        <v>6343</v>
      </c>
      <c r="AG6">
        <v>-2.4245362661989844E-14</v>
      </c>
      <c r="AH6">
        <v>-2.4245362661989844E-14</v>
      </c>
      <c r="AI6" t="s">
        <v>1745</v>
      </c>
      <c r="AJ6">
        <v>2024</v>
      </c>
      <c r="AK6" t="s">
        <v>6344</v>
      </c>
      <c r="AL6" s="6">
        <v>45715</v>
      </c>
      <c r="AM6">
        <v>5</v>
      </c>
      <c r="AN6">
        <v>-2.4245362661989844E-14</v>
      </c>
      <c r="AO6">
        <v>17479733</v>
      </c>
      <c r="AP6" t="s">
        <v>6345</v>
      </c>
      <c r="AS6" t="s">
        <v>6220</v>
      </c>
      <c r="AT6">
        <v>-2.4245362661989844E-14</v>
      </c>
      <c r="AV6">
        <v>-2.4245362661989844E-14</v>
      </c>
      <c r="AW6" t="s">
        <v>1742</v>
      </c>
      <c r="AX6">
        <v>2025</v>
      </c>
      <c r="AY6" t="s">
        <v>6218</v>
      </c>
      <c r="AZ6" s="6">
        <v>45974</v>
      </c>
      <c r="BA6">
        <v>5</v>
      </c>
      <c r="BB6">
        <v>-2.4245362661989844E-14</v>
      </c>
      <c r="BC6">
        <v>1017176</v>
      </c>
      <c r="BD6" t="s">
        <v>6221</v>
      </c>
      <c r="BI6" t="s">
        <v>385</v>
      </c>
      <c r="BJ6" t="s">
        <v>1786</v>
      </c>
      <c r="BK6">
        <v>20.476745999999999</v>
      </c>
      <c r="BL6">
        <v>6.636412</v>
      </c>
      <c r="BM6" t="s">
        <v>1742</v>
      </c>
      <c r="BN6">
        <v>2025</v>
      </c>
      <c r="BO6" t="s">
        <v>2501</v>
      </c>
      <c r="BP6" s="6">
        <v>46018</v>
      </c>
      <c r="BQ6">
        <v>5</v>
      </c>
      <c r="BR6">
        <v>4912985600</v>
      </c>
      <c r="BS6">
        <v>100828</v>
      </c>
      <c r="BT6" t="s">
        <v>2464</v>
      </c>
      <c r="BW6" t="s">
        <v>2096</v>
      </c>
      <c r="BX6">
        <v>7.8761299999999999</v>
      </c>
      <c r="BY6" t="s">
        <v>1786</v>
      </c>
      <c r="BZ6">
        <v>4.5818329999999996</v>
      </c>
      <c r="CA6" t="s">
        <v>1809</v>
      </c>
      <c r="CB6">
        <v>2026</v>
      </c>
      <c r="CC6" t="s">
        <v>3120</v>
      </c>
      <c r="CD6" s="6">
        <v>45953</v>
      </c>
      <c r="CE6">
        <v>5</v>
      </c>
      <c r="CF6">
        <v>6083345408</v>
      </c>
      <c r="CG6">
        <v>101616</v>
      </c>
      <c r="CH6" t="s">
        <v>2098</v>
      </c>
      <c r="CM6" t="s">
        <v>3732</v>
      </c>
      <c r="CN6" t="s">
        <v>1820</v>
      </c>
      <c r="CO6">
        <v>11</v>
      </c>
      <c r="CP6">
        <v>32.801071</v>
      </c>
      <c r="CQ6" t="s">
        <v>1745</v>
      </c>
      <c r="CR6">
        <v>2025</v>
      </c>
      <c r="CS6" t="s">
        <v>3733</v>
      </c>
      <c r="CT6" s="6">
        <v>46079</v>
      </c>
      <c r="CU6">
        <v>5</v>
      </c>
      <c r="CV6">
        <v>39517500</v>
      </c>
      <c r="CW6">
        <v>69918736</v>
      </c>
      <c r="CX6" t="s">
        <v>3734</v>
      </c>
      <c r="DA6" t="s">
        <v>2123</v>
      </c>
      <c r="DB6">
        <v>17</v>
      </c>
      <c r="DC6" t="s">
        <v>1786</v>
      </c>
      <c r="DD6">
        <v>0.116175</v>
      </c>
      <c r="DE6" t="s">
        <v>1745</v>
      </c>
      <c r="DF6">
        <v>2024</v>
      </c>
      <c r="DG6" t="s">
        <v>3535</v>
      </c>
      <c r="DH6" s="6">
        <v>45715</v>
      </c>
      <c r="DI6">
        <v>5</v>
      </c>
      <c r="DJ6">
        <v>83876640</v>
      </c>
      <c r="DK6">
        <v>100546</v>
      </c>
      <c r="DL6" t="s">
        <v>2125</v>
      </c>
      <c r="DQ6" t="s">
        <v>2369</v>
      </c>
      <c r="DR6" t="s">
        <v>1786</v>
      </c>
      <c r="DS6">
        <v>3.0541680000000002</v>
      </c>
      <c r="DT6">
        <v>2.7595510000000001</v>
      </c>
      <c r="DU6" t="s">
        <v>1742</v>
      </c>
      <c r="DV6">
        <v>2025</v>
      </c>
      <c r="DW6" t="s">
        <v>2370</v>
      </c>
      <c r="DX6" s="6">
        <v>46013</v>
      </c>
      <c r="DY6">
        <v>5</v>
      </c>
      <c r="DZ6">
        <v>97550128</v>
      </c>
      <c r="EA6">
        <v>349266</v>
      </c>
      <c r="EB6" t="s">
        <v>2371</v>
      </c>
      <c r="EE6" t="s">
        <v>1789</v>
      </c>
      <c r="EF6">
        <v>17</v>
      </c>
      <c r="EG6" t="s">
        <v>1820</v>
      </c>
      <c r="EH6">
        <v>13.483905</v>
      </c>
      <c r="EI6" t="s">
        <v>1993</v>
      </c>
      <c r="EJ6">
        <v>2025</v>
      </c>
      <c r="EK6" t="s">
        <v>6457</v>
      </c>
      <c r="EL6" s="6">
        <v>45799</v>
      </c>
      <c r="EM6">
        <v>5</v>
      </c>
      <c r="EN6">
        <v>1212610048</v>
      </c>
      <c r="EO6">
        <v>117929</v>
      </c>
      <c r="EP6" t="s">
        <v>1791</v>
      </c>
      <c r="EU6" t="s">
        <v>4627</v>
      </c>
      <c r="EW6">
        <v>-2.4245362661989844E-14</v>
      </c>
      <c r="EX6">
        <v>-2.4245362661989844E-14</v>
      </c>
      <c r="EY6" t="s">
        <v>1745</v>
      </c>
      <c r="EZ6">
        <v>2023</v>
      </c>
      <c r="FA6" t="s">
        <v>4628</v>
      </c>
      <c r="FB6" s="6">
        <v>45336</v>
      </c>
      <c r="FC6">
        <v>2</v>
      </c>
      <c r="FD6">
        <v>-2.4245362661989844E-14</v>
      </c>
      <c r="FE6">
        <v>20828779</v>
      </c>
      <c r="FF6" t="s">
        <v>4629</v>
      </c>
      <c r="HC6" t="s">
        <v>2386</v>
      </c>
      <c r="HD6" t="s">
        <v>1786</v>
      </c>
      <c r="HE6">
        <v>1.489474</v>
      </c>
      <c r="HF6">
        <v>8.7893709999999992</v>
      </c>
      <c r="HG6" t="s">
        <v>1742</v>
      </c>
      <c r="HH6">
        <v>2025</v>
      </c>
      <c r="HI6" t="s">
        <v>2387</v>
      </c>
      <c r="HJ6" s="6">
        <v>45763</v>
      </c>
      <c r="HK6">
        <v>5</v>
      </c>
      <c r="HL6">
        <v>97649912</v>
      </c>
      <c r="HM6">
        <v>136547</v>
      </c>
      <c r="HN6" t="s">
        <v>2388</v>
      </c>
      <c r="HQ6" t="s">
        <v>2205</v>
      </c>
      <c r="HR6">
        <v>0.31558199999999997</v>
      </c>
      <c r="HS6" t="s">
        <v>1786</v>
      </c>
      <c r="HT6">
        <v>4.5779690000000004</v>
      </c>
      <c r="HU6" t="s">
        <v>1809</v>
      </c>
      <c r="HV6">
        <v>2026</v>
      </c>
      <c r="HW6" t="s">
        <v>2206</v>
      </c>
      <c r="HX6" s="6">
        <v>46063</v>
      </c>
      <c r="HY6">
        <v>5</v>
      </c>
      <c r="HZ6">
        <v>6400001</v>
      </c>
      <c r="IA6">
        <v>49991909</v>
      </c>
      <c r="IB6" t="s">
        <v>2207</v>
      </c>
      <c r="IG6" t="s">
        <v>1287</v>
      </c>
      <c r="IH6" t="s">
        <v>1786</v>
      </c>
      <c r="II6">
        <v>0.86485599999999996</v>
      </c>
      <c r="IJ6">
        <v>4.0630959999999998</v>
      </c>
      <c r="IK6" t="s">
        <v>1809</v>
      </c>
      <c r="IL6">
        <v>2025</v>
      </c>
      <c r="IM6" t="s">
        <v>2035</v>
      </c>
      <c r="IN6" s="6">
        <v>45797</v>
      </c>
      <c r="IO6">
        <v>5</v>
      </c>
      <c r="IP6">
        <v>264507552</v>
      </c>
      <c r="IQ6">
        <v>101376</v>
      </c>
      <c r="IR6" t="s">
        <v>1895</v>
      </c>
      <c r="IU6" t="s">
        <v>424</v>
      </c>
      <c r="IV6">
        <v>3.8131789999999999</v>
      </c>
      <c r="IW6" t="s">
        <v>1786</v>
      </c>
      <c r="IX6">
        <v>2.529652</v>
      </c>
      <c r="IY6" t="s">
        <v>1809</v>
      </c>
      <c r="IZ6">
        <v>2025</v>
      </c>
      <c r="JA6" t="s">
        <v>2035</v>
      </c>
      <c r="JB6" s="6">
        <v>45797</v>
      </c>
      <c r="JC6">
        <v>5</v>
      </c>
      <c r="JD6">
        <v>554474368</v>
      </c>
      <c r="JE6">
        <v>101743</v>
      </c>
      <c r="JF6" t="s">
        <v>1891</v>
      </c>
      <c r="JK6" t="s">
        <v>1899</v>
      </c>
      <c r="JL6" t="s">
        <v>1786</v>
      </c>
      <c r="JM6">
        <v>2.0749399999999998</v>
      </c>
      <c r="JN6">
        <v>0.39631499999999997</v>
      </c>
      <c r="JO6" t="s">
        <v>1845</v>
      </c>
      <c r="JP6">
        <v>2024</v>
      </c>
      <c r="JQ6" t="s">
        <v>5730</v>
      </c>
      <c r="JR6" s="6">
        <v>45771</v>
      </c>
      <c r="JS6">
        <v>5</v>
      </c>
      <c r="JT6">
        <v>14830094</v>
      </c>
      <c r="JU6">
        <v>38748702</v>
      </c>
      <c r="JV6" t="s">
        <v>1901</v>
      </c>
      <c r="JY6" t="s">
        <v>5394</v>
      </c>
      <c r="JZ6">
        <v>-2.4245362661989844E-14</v>
      </c>
      <c r="KB6">
        <v>-2.4245362661989844E-14</v>
      </c>
      <c r="KC6" t="s">
        <v>1745</v>
      </c>
      <c r="KD6">
        <v>2024</v>
      </c>
      <c r="KE6" t="s">
        <v>5395</v>
      </c>
      <c r="KF6" s="6">
        <v>45787</v>
      </c>
      <c r="KG6">
        <v>5</v>
      </c>
      <c r="KH6">
        <v>-2.4245362661989844E-14</v>
      </c>
      <c r="KI6">
        <v>22394869</v>
      </c>
      <c r="KJ6" t="s">
        <v>5396</v>
      </c>
      <c r="LS6" t="s">
        <v>5380</v>
      </c>
      <c r="LT6" t="s">
        <v>1786</v>
      </c>
      <c r="LU6">
        <v>34.389999000000003</v>
      </c>
      <c r="LV6">
        <v>7.7744999999999995E-2</v>
      </c>
      <c r="LW6" t="s">
        <v>1745</v>
      </c>
      <c r="LX6">
        <v>2024</v>
      </c>
      <c r="LY6" t="s">
        <v>5381</v>
      </c>
      <c r="LZ6" s="6">
        <v>45805</v>
      </c>
      <c r="MA6">
        <v>5</v>
      </c>
      <c r="MB6">
        <v>2177605.59</v>
      </c>
      <c r="MC6">
        <v>10144533</v>
      </c>
      <c r="MD6" t="s">
        <v>5382</v>
      </c>
      <c r="MG6" t="s">
        <v>1789</v>
      </c>
      <c r="MH6">
        <v>3.1897920000000002</v>
      </c>
      <c r="MI6" t="s">
        <v>1786</v>
      </c>
      <c r="MJ6">
        <v>0.34564499999999998</v>
      </c>
      <c r="MK6" t="s">
        <v>1762</v>
      </c>
      <c r="ML6">
        <v>2025</v>
      </c>
      <c r="MM6" t="s">
        <v>2372</v>
      </c>
      <c r="MN6" s="6">
        <v>45867</v>
      </c>
      <c r="MO6">
        <v>5</v>
      </c>
      <c r="MP6">
        <v>121393120</v>
      </c>
      <c r="MQ6">
        <v>117929</v>
      </c>
      <c r="MR6" t="s">
        <v>1791</v>
      </c>
      <c r="MW6" t="s">
        <v>5165</v>
      </c>
      <c r="MY6">
        <v>-2.4245362661989844E-14</v>
      </c>
      <c r="MZ6">
        <v>-2.4245362661989844E-14</v>
      </c>
      <c r="NA6" t="s">
        <v>1745</v>
      </c>
      <c r="NB6">
        <v>2023</v>
      </c>
      <c r="NC6" t="s">
        <v>5166</v>
      </c>
      <c r="ND6" s="6">
        <v>45350</v>
      </c>
      <c r="NE6">
        <v>5</v>
      </c>
      <c r="NF6">
        <v>-2.4245362661989844E-14</v>
      </c>
      <c r="NG6">
        <v>33628170</v>
      </c>
      <c r="NH6" t="s">
        <v>5167</v>
      </c>
      <c r="PE6" t="s">
        <v>6239</v>
      </c>
      <c r="PG6">
        <v>-2.4245362661989844E-14</v>
      </c>
      <c r="PH6">
        <v>-2.4245362661989844E-14</v>
      </c>
      <c r="PI6" t="s">
        <v>1745</v>
      </c>
      <c r="PJ6">
        <v>2025</v>
      </c>
      <c r="PK6" t="s">
        <v>6240</v>
      </c>
      <c r="PL6" s="6">
        <v>45827</v>
      </c>
      <c r="PM6">
        <v>2</v>
      </c>
      <c r="PN6">
        <v>-2.4245362661989844E-14</v>
      </c>
      <c r="PO6">
        <v>10802949</v>
      </c>
      <c r="PP6" t="s">
        <v>6241</v>
      </c>
      <c r="PS6" t="s">
        <v>6145</v>
      </c>
      <c r="PT6">
        <v>-2.4245362661989844E-14</v>
      </c>
      <c r="PV6">
        <v>-2.4245362661989844E-14</v>
      </c>
      <c r="PW6" t="s">
        <v>1742</v>
      </c>
      <c r="PX6">
        <v>2024</v>
      </c>
      <c r="PY6" t="s">
        <v>6146</v>
      </c>
      <c r="PZ6" s="6">
        <v>45596</v>
      </c>
      <c r="QA6">
        <v>2</v>
      </c>
      <c r="QB6">
        <v>-2.4245362661989844E-14</v>
      </c>
      <c r="QC6">
        <v>25597046</v>
      </c>
      <c r="QD6" t="s">
        <v>6147</v>
      </c>
      <c r="UY6" t="s">
        <v>6120</v>
      </c>
      <c r="UZ6" t="s">
        <v>1769</v>
      </c>
      <c r="VA6">
        <v>1.574166</v>
      </c>
      <c r="VB6">
        <v>0.133378</v>
      </c>
      <c r="VC6" t="s">
        <v>1745</v>
      </c>
      <c r="VD6">
        <v>2024</v>
      </c>
      <c r="VE6" t="s">
        <v>6121</v>
      </c>
      <c r="VF6" s="6">
        <v>45707</v>
      </c>
      <c r="VG6">
        <v>5</v>
      </c>
      <c r="VH6">
        <v>4991349.5</v>
      </c>
      <c r="VI6">
        <v>17318505</v>
      </c>
      <c r="VJ6" t="s">
        <v>6122</v>
      </c>
      <c r="VM6" t="s">
        <v>5432</v>
      </c>
      <c r="VN6">
        <v>-2.4245362661989844E-14</v>
      </c>
      <c r="VP6">
        <v>-2.4245362661989844E-14</v>
      </c>
      <c r="VQ6" t="s">
        <v>1745</v>
      </c>
      <c r="VR6">
        <v>2022</v>
      </c>
      <c r="VS6" t="s">
        <v>5433</v>
      </c>
      <c r="VT6" s="6">
        <v>44978</v>
      </c>
      <c r="VU6">
        <v>3</v>
      </c>
      <c r="VV6">
        <v>-2.4245362661989844E-14</v>
      </c>
      <c r="VW6">
        <v>1081218</v>
      </c>
      <c r="VX6" t="s">
        <v>5434</v>
      </c>
    </row>
    <row r="7" spans="1:600" x14ac:dyDescent="0.25">
      <c r="AE7" t="s">
        <v>6346</v>
      </c>
      <c r="AG7">
        <v>-2.4245362661989844E-14</v>
      </c>
      <c r="AH7">
        <v>-2.4245362661989844E-14</v>
      </c>
      <c r="AI7" t="s">
        <v>1745</v>
      </c>
      <c r="AJ7">
        <v>2024</v>
      </c>
      <c r="AK7" t="s">
        <v>6344</v>
      </c>
      <c r="AL7" s="6">
        <v>45715</v>
      </c>
      <c r="AM7">
        <v>5</v>
      </c>
      <c r="AN7">
        <v>-2.4245362661989844E-14</v>
      </c>
      <c r="AO7">
        <v>1448549</v>
      </c>
      <c r="AP7" t="s">
        <v>6347</v>
      </c>
      <c r="AS7" t="s">
        <v>6222</v>
      </c>
      <c r="AT7">
        <v>-2.4245362661989844E-14</v>
      </c>
      <c r="AV7">
        <v>-2.4245362661989844E-14</v>
      </c>
      <c r="AW7" t="s">
        <v>1742</v>
      </c>
      <c r="AX7">
        <v>2025</v>
      </c>
      <c r="AY7" t="s">
        <v>6218</v>
      </c>
      <c r="AZ7" s="6">
        <v>45974</v>
      </c>
      <c r="BA7">
        <v>5</v>
      </c>
      <c r="BB7">
        <v>-2.4245362661989844E-14</v>
      </c>
      <c r="BC7">
        <v>171064</v>
      </c>
      <c r="BD7" t="s">
        <v>6223</v>
      </c>
      <c r="BI7" t="s">
        <v>1114</v>
      </c>
      <c r="BJ7" t="s">
        <v>1786</v>
      </c>
      <c r="BK7">
        <v>36</v>
      </c>
      <c r="BL7">
        <v>4.5203889999999998</v>
      </c>
      <c r="BM7" t="s">
        <v>1745</v>
      </c>
      <c r="BN7">
        <v>2025</v>
      </c>
      <c r="BO7" t="s">
        <v>2150</v>
      </c>
      <c r="BP7" s="6">
        <v>46064</v>
      </c>
      <c r="BQ7">
        <v>5</v>
      </c>
      <c r="BR7">
        <v>4337460224</v>
      </c>
      <c r="BS7">
        <v>100225</v>
      </c>
      <c r="BT7" t="s">
        <v>2151</v>
      </c>
      <c r="BW7" t="s">
        <v>3121</v>
      </c>
      <c r="BX7">
        <v>4.2240000000000002</v>
      </c>
      <c r="BZ7">
        <v>-2.4245362661989844E-14</v>
      </c>
      <c r="CA7" t="s">
        <v>1809</v>
      </c>
      <c r="CB7">
        <v>2026</v>
      </c>
      <c r="CC7" t="s">
        <v>3120</v>
      </c>
      <c r="CD7" s="6">
        <v>45953</v>
      </c>
      <c r="CE7">
        <v>5</v>
      </c>
      <c r="CF7">
        <v>3262522624</v>
      </c>
      <c r="CG7">
        <v>48003505</v>
      </c>
      <c r="CH7" t="s">
        <v>3122</v>
      </c>
      <c r="CM7" t="s">
        <v>2787</v>
      </c>
      <c r="CN7" t="s">
        <v>1820</v>
      </c>
      <c r="CO7">
        <v>2.5509999999999999E-3</v>
      </c>
      <c r="CP7">
        <v>0.32240000000000002</v>
      </c>
      <c r="CQ7" t="s">
        <v>1742</v>
      </c>
      <c r="CR7">
        <v>2025</v>
      </c>
      <c r="CS7" t="s">
        <v>2788</v>
      </c>
      <c r="CT7" s="6">
        <v>45985</v>
      </c>
      <c r="CU7">
        <v>5</v>
      </c>
      <c r="CV7">
        <v>227753</v>
      </c>
      <c r="CW7">
        <v>101318</v>
      </c>
      <c r="CX7" t="s">
        <v>2789</v>
      </c>
      <c r="DA7" t="s">
        <v>3537</v>
      </c>
      <c r="DB7">
        <v>-2.4245362661989844E-14</v>
      </c>
      <c r="DD7">
        <v>-2.4245362661989844E-14</v>
      </c>
      <c r="DE7" t="s">
        <v>1745</v>
      </c>
      <c r="DF7">
        <v>2023</v>
      </c>
      <c r="DG7" t="s">
        <v>3538</v>
      </c>
      <c r="DH7" s="6">
        <v>45076</v>
      </c>
      <c r="DI7">
        <v>5</v>
      </c>
      <c r="DJ7">
        <v>-2.4245362661989844E-14</v>
      </c>
      <c r="DK7">
        <v>962207</v>
      </c>
      <c r="DL7" t="s">
        <v>3539</v>
      </c>
      <c r="DQ7" t="s">
        <v>6024</v>
      </c>
      <c r="DR7" t="s">
        <v>1786</v>
      </c>
      <c r="DS7">
        <v>26</v>
      </c>
      <c r="DT7">
        <v>2.6673879999999999</v>
      </c>
      <c r="DU7" t="s">
        <v>1745</v>
      </c>
      <c r="DV7">
        <v>2024</v>
      </c>
      <c r="DW7" t="s">
        <v>6025</v>
      </c>
      <c r="DX7" s="6">
        <v>45706</v>
      </c>
      <c r="DY7">
        <v>5</v>
      </c>
      <c r="DZ7">
        <v>96332728</v>
      </c>
      <c r="EA7">
        <v>171252</v>
      </c>
      <c r="EB7" t="s">
        <v>6026</v>
      </c>
      <c r="EE7" t="s">
        <v>910</v>
      </c>
      <c r="EF7">
        <v>3.1587649999999998</v>
      </c>
      <c r="EG7" t="s">
        <v>1820</v>
      </c>
      <c r="EH7">
        <v>4.0765820000000001</v>
      </c>
      <c r="EI7" t="s">
        <v>1742</v>
      </c>
      <c r="EJ7">
        <v>2025</v>
      </c>
      <c r="EK7" t="s">
        <v>3008</v>
      </c>
      <c r="EL7" s="6">
        <v>45931</v>
      </c>
      <c r="EM7">
        <v>5</v>
      </c>
      <c r="EN7">
        <v>230653024</v>
      </c>
      <c r="EO7">
        <v>100995</v>
      </c>
      <c r="EP7" t="s">
        <v>2390</v>
      </c>
      <c r="HC7" t="s">
        <v>420</v>
      </c>
      <c r="HD7" t="s">
        <v>1786</v>
      </c>
      <c r="HE7">
        <v>0.171538</v>
      </c>
      <c r="HF7">
        <v>1.2689820000000001</v>
      </c>
      <c r="HG7" t="s">
        <v>1762</v>
      </c>
      <c r="HH7">
        <v>2025</v>
      </c>
      <c r="HI7" t="s">
        <v>3326</v>
      </c>
      <c r="HJ7" s="6">
        <v>45846</v>
      </c>
      <c r="HK7">
        <v>5</v>
      </c>
      <c r="HL7">
        <v>13083203</v>
      </c>
      <c r="HM7">
        <v>42602315</v>
      </c>
      <c r="HN7" t="s">
        <v>2176</v>
      </c>
      <c r="HQ7" t="s">
        <v>1873</v>
      </c>
      <c r="HR7">
        <v>0.12892500000000001</v>
      </c>
      <c r="HS7" t="s">
        <v>1786</v>
      </c>
      <c r="HT7">
        <v>0.107617</v>
      </c>
      <c r="HU7" t="s">
        <v>1762</v>
      </c>
      <c r="HV7">
        <v>2025</v>
      </c>
      <c r="HW7" t="s">
        <v>1874</v>
      </c>
      <c r="HX7" s="6">
        <v>46008</v>
      </c>
      <c r="HY7">
        <v>5</v>
      </c>
      <c r="HZ7">
        <v>2502764.6800000002</v>
      </c>
      <c r="IA7">
        <v>349049</v>
      </c>
      <c r="IB7" t="s">
        <v>1875</v>
      </c>
      <c r="IG7" t="s">
        <v>1885</v>
      </c>
      <c r="IH7" t="s">
        <v>1786</v>
      </c>
      <c r="II7">
        <v>0.167933</v>
      </c>
      <c r="IJ7">
        <v>4.0156150000000004</v>
      </c>
      <c r="IK7" t="s">
        <v>1809</v>
      </c>
      <c r="IL7">
        <v>2025</v>
      </c>
      <c r="IM7" t="s">
        <v>2035</v>
      </c>
      <c r="IN7" s="6">
        <v>45797</v>
      </c>
      <c r="IO7">
        <v>5</v>
      </c>
      <c r="IP7">
        <v>261416544</v>
      </c>
      <c r="IQ7">
        <v>216952</v>
      </c>
      <c r="IR7" t="s">
        <v>1886</v>
      </c>
      <c r="IU7" t="s">
        <v>1789</v>
      </c>
      <c r="IV7">
        <v>3.1054590000000002</v>
      </c>
      <c r="IW7" t="s">
        <v>1786</v>
      </c>
      <c r="IX7">
        <v>1.2857479999999999</v>
      </c>
      <c r="IY7" t="s">
        <v>1809</v>
      </c>
      <c r="IZ7">
        <v>2025</v>
      </c>
      <c r="JA7" t="s">
        <v>2035</v>
      </c>
      <c r="JB7" s="6">
        <v>45797</v>
      </c>
      <c r="JC7">
        <v>5</v>
      </c>
      <c r="JD7">
        <v>451564800</v>
      </c>
      <c r="JE7">
        <v>117929</v>
      </c>
      <c r="JF7" t="s">
        <v>1791</v>
      </c>
      <c r="JK7" t="s">
        <v>3085</v>
      </c>
      <c r="JL7" t="s">
        <v>1786</v>
      </c>
      <c r="JM7">
        <v>0.20621400000000001</v>
      </c>
      <c r="JN7">
        <v>5.6577000000000002E-2</v>
      </c>
      <c r="JO7" t="s">
        <v>1809</v>
      </c>
      <c r="JP7">
        <v>2025</v>
      </c>
      <c r="JQ7" t="s">
        <v>3086</v>
      </c>
      <c r="JR7" s="6">
        <v>45834</v>
      </c>
      <c r="JS7">
        <v>5</v>
      </c>
      <c r="JT7">
        <v>2093359</v>
      </c>
      <c r="JU7">
        <v>393374</v>
      </c>
      <c r="JV7" t="s">
        <v>3087</v>
      </c>
      <c r="JY7" t="s">
        <v>6373</v>
      </c>
      <c r="JZ7">
        <v>-2.4245362661989844E-14</v>
      </c>
      <c r="KB7">
        <v>-2.4245362661989844E-14</v>
      </c>
      <c r="KC7" t="s">
        <v>1993</v>
      </c>
      <c r="KD7">
        <v>2024</v>
      </c>
      <c r="KE7" t="s">
        <v>6374</v>
      </c>
      <c r="KF7" s="6">
        <v>45540</v>
      </c>
      <c r="KG7">
        <v>5</v>
      </c>
      <c r="KH7">
        <v>-2.4245362661989844E-14</v>
      </c>
      <c r="KI7">
        <v>71914875</v>
      </c>
      <c r="KJ7" t="s">
        <v>6375</v>
      </c>
      <c r="LS7" t="s">
        <v>2912</v>
      </c>
      <c r="LT7" t="s">
        <v>1786</v>
      </c>
      <c r="LU7">
        <v>0.39169900000000002</v>
      </c>
      <c r="LV7">
        <v>1.9543000000000001E-2</v>
      </c>
      <c r="LW7" t="s">
        <v>1809</v>
      </c>
      <c r="LX7">
        <v>2025</v>
      </c>
      <c r="LY7" t="s">
        <v>2913</v>
      </c>
      <c r="LZ7" s="6">
        <v>45787</v>
      </c>
      <c r="MA7">
        <v>5</v>
      </c>
      <c r="MB7">
        <v>492636</v>
      </c>
      <c r="MC7">
        <v>100416</v>
      </c>
      <c r="MD7" t="s">
        <v>2914</v>
      </c>
      <c r="MG7" t="s">
        <v>1088</v>
      </c>
      <c r="MH7">
        <v>3.0346410000000001</v>
      </c>
      <c r="MI7" t="s">
        <v>1786</v>
      </c>
      <c r="MJ7">
        <v>0.67620199999999997</v>
      </c>
      <c r="MK7" t="s">
        <v>1762</v>
      </c>
      <c r="ML7">
        <v>2025</v>
      </c>
      <c r="MM7" t="s">
        <v>2372</v>
      </c>
      <c r="MN7" s="6">
        <v>45867</v>
      </c>
      <c r="MO7">
        <v>5</v>
      </c>
      <c r="MP7">
        <v>115488576</v>
      </c>
      <c r="MQ7">
        <v>100211</v>
      </c>
      <c r="MR7" t="s">
        <v>1851</v>
      </c>
      <c r="MW7" t="s">
        <v>5168</v>
      </c>
      <c r="MY7">
        <v>-2.4245362661989844E-14</v>
      </c>
      <c r="MZ7">
        <v>-2.4245362661989844E-14</v>
      </c>
      <c r="NA7" t="s">
        <v>1745</v>
      </c>
      <c r="NB7">
        <v>2024</v>
      </c>
      <c r="NC7" t="s">
        <v>5169</v>
      </c>
      <c r="ND7" s="6">
        <v>45716</v>
      </c>
      <c r="NE7">
        <v>5</v>
      </c>
      <c r="NF7">
        <v>-2.4245362661989844E-14</v>
      </c>
      <c r="NG7">
        <v>29175351</v>
      </c>
      <c r="NH7" t="s">
        <v>5170</v>
      </c>
      <c r="UY7" t="s">
        <v>773</v>
      </c>
      <c r="VA7">
        <v>0.69000899999999998</v>
      </c>
      <c r="VB7">
        <v>-2.4245362661989844E-14</v>
      </c>
      <c r="VC7" t="s">
        <v>1845</v>
      </c>
      <c r="VD7">
        <v>2024</v>
      </c>
      <c r="VE7" t="s">
        <v>5822</v>
      </c>
      <c r="VF7" s="6">
        <v>45691</v>
      </c>
      <c r="VG7">
        <v>5</v>
      </c>
      <c r="VH7">
        <v>4816179</v>
      </c>
      <c r="VI7">
        <v>70929473</v>
      </c>
      <c r="VJ7" t="s">
        <v>6123</v>
      </c>
      <c r="VM7" t="s">
        <v>2091</v>
      </c>
      <c r="VN7">
        <v>-2.4245362661989844E-14</v>
      </c>
      <c r="VP7">
        <v>-2.4245362661989844E-14</v>
      </c>
      <c r="VQ7" t="s">
        <v>1745</v>
      </c>
      <c r="VR7">
        <v>2024</v>
      </c>
      <c r="VS7" t="s">
        <v>5435</v>
      </c>
      <c r="VT7" s="6">
        <v>45706</v>
      </c>
      <c r="VU7">
        <v>3</v>
      </c>
      <c r="VV7">
        <v>-2.4245362661989844E-14</v>
      </c>
      <c r="VW7">
        <v>17483390</v>
      </c>
      <c r="VX7" t="s">
        <v>2093</v>
      </c>
    </row>
    <row r="8" spans="1:600" x14ac:dyDescent="0.25">
      <c r="AE8" t="s">
        <v>6348</v>
      </c>
      <c r="AG8">
        <v>-2.4245362661989844E-14</v>
      </c>
      <c r="AH8">
        <v>-2.4245362661989844E-14</v>
      </c>
      <c r="AI8" t="s">
        <v>1742</v>
      </c>
      <c r="AJ8">
        <v>2025</v>
      </c>
      <c r="AK8" t="s">
        <v>6349</v>
      </c>
      <c r="AL8" s="6">
        <v>45972</v>
      </c>
      <c r="AM8">
        <v>5</v>
      </c>
      <c r="AN8">
        <v>-2.4245362661989844E-14</v>
      </c>
      <c r="AO8">
        <v>7718496</v>
      </c>
      <c r="AP8" t="s">
        <v>6350</v>
      </c>
      <c r="AS8" t="s">
        <v>6224</v>
      </c>
      <c r="AT8">
        <v>-2.4245362661989844E-14</v>
      </c>
      <c r="AV8">
        <v>-2.4245362661989844E-14</v>
      </c>
      <c r="AW8" t="s">
        <v>1742</v>
      </c>
      <c r="AX8">
        <v>2025</v>
      </c>
      <c r="AY8" t="s">
        <v>6218</v>
      </c>
      <c r="AZ8" s="6">
        <v>45974</v>
      </c>
      <c r="BA8">
        <v>5</v>
      </c>
      <c r="BB8">
        <v>-2.4245362661989844E-14</v>
      </c>
      <c r="BC8">
        <v>186983</v>
      </c>
      <c r="BD8" t="s">
        <v>6225</v>
      </c>
      <c r="BI8" t="s">
        <v>273</v>
      </c>
      <c r="BJ8" t="s">
        <v>1786</v>
      </c>
      <c r="BK8">
        <v>23.281113000000001</v>
      </c>
      <c r="BL8">
        <v>5.5350809999999999</v>
      </c>
      <c r="BM8" t="s">
        <v>1742</v>
      </c>
      <c r="BN8">
        <v>2025</v>
      </c>
      <c r="BO8" t="s">
        <v>3253</v>
      </c>
      <c r="BP8" s="6">
        <v>46041</v>
      </c>
      <c r="BQ8">
        <v>5</v>
      </c>
      <c r="BR8">
        <v>4097661952</v>
      </c>
      <c r="BS8">
        <v>100894</v>
      </c>
      <c r="BT8" t="s">
        <v>3254</v>
      </c>
      <c r="BW8" t="s">
        <v>3123</v>
      </c>
      <c r="BX8">
        <v>4.17</v>
      </c>
      <c r="BZ8">
        <v>-2.4245362661989844E-14</v>
      </c>
      <c r="CA8" t="s">
        <v>1809</v>
      </c>
      <c r="CB8">
        <v>2026</v>
      </c>
      <c r="CC8" t="s">
        <v>3120</v>
      </c>
      <c r="CD8" s="6">
        <v>45953</v>
      </c>
      <c r="CE8">
        <v>5</v>
      </c>
      <c r="CF8">
        <v>3220814080</v>
      </c>
      <c r="CG8">
        <v>353064</v>
      </c>
      <c r="CH8" t="s">
        <v>3124</v>
      </c>
      <c r="CM8" t="s">
        <v>3735</v>
      </c>
      <c r="CN8" t="s">
        <v>1820</v>
      </c>
      <c r="CO8">
        <v>8.6499999999999999E-4</v>
      </c>
      <c r="CP8">
        <v>2.0929E-2</v>
      </c>
      <c r="CQ8" t="s">
        <v>1742</v>
      </c>
      <c r="CR8">
        <v>2025</v>
      </c>
      <c r="CS8" t="s">
        <v>3736</v>
      </c>
      <c r="CT8" s="6">
        <v>46076</v>
      </c>
      <c r="CU8">
        <v>5</v>
      </c>
      <c r="CV8">
        <v>14785</v>
      </c>
      <c r="CW8">
        <v>119151</v>
      </c>
      <c r="CX8" t="s">
        <v>3737</v>
      </c>
      <c r="DA8" t="s">
        <v>3540</v>
      </c>
      <c r="DB8">
        <v>-2.4245362661989844E-14</v>
      </c>
      <c r="DD8">
        <v>-2.4245362661989844E-14</v>
      </c>
      <c r="DE8" t="s">
        <v>1845</v>
      </c>
      <c r="DF8">
        <v>2022</v>
      </c>
      <c r="DG8" t="s">
        <v>3541</v>
      </c>
      <c r="DH8" s="6">
        <v>44991</v>
      </c>
      <c r="DI8">
        <v>5</v>
      </c>
      <c r="DJ8">
        <v>-2.4245362661989844E-14</v>
      </c>
      <c r="DK8">
        <v>376875</v>
      </c>
      <c r="DL8" t="s">
        <v>3542</v>
      </c>
      <c r="DQ8" t="s">
        <v>2820</v>
      </c>
      <c r="DR8" t="s">
        <v>1786</v>
      </c>
      <c r="DS8">
        <v>14</v>
      </c>
      <c r="DT8">
        <v>2.5732710000000001</v>
      </c>
      <c r="DU8" t="s">
        <v>1745</v>
      </c>
      <c r="DV8">
        <v>2025</v>
      </c>
      <c r="DW8" t="s">
        <v>6027</v>
      </c>
      <c r="DX8" s="6">
        <v>46077</v>
      </c>
      <c r="DY8">
        <v>5</v>
      </c>
      <c r="DZ8">
        <v>93068784</v>
      </c>
      <c r="EA8">
        <v>102417</v>
      </c>
      <c r="EB8" t="s">
        <v>2822</v>
      </c>
      <c r="EE8" t="s">
        <v>168</v>
      </c>
      <c r="EF8">
        <v>2.5439250000000002</v>
      </c>
      <c r="EG8" t="s">
        <v>1820</v>
      </c>
      <c r="EH8">
        <v>5.2326030000000001</v>
      </c>
      <c r="EI8" t="s">
        <v>1742</v>
      </c>
      <c r="EJ8">
        <v>2025</v>
      </c>
      <c r="EK8" t="s">
        <v>3008</v>
      </c>
      <c r="EL8" s="6">
        <v>45931</v>
      </c>
      <c r="EM8">
        <v>5</v>
      </c>
      <c r="EN8">
        <v>185757408</v>
      </c>
      <c r="EO8">
        <v>101729</v>
      </c>
      <c r="EP8" t="s">
        <v>2246</v>
      </c>
      <c r="HC8" t="s">
        <v>2850</v>
      </c>
      <c r="HD8" t="s">
        <v>1769</v>
      </c>
      <c r="HE8">
        <v>0.11415599999999999</v>
      </c>
      <c r="HF8">
        <v>1.9941009999999999</v>
      </c>
      <c r="HG8" t="s">
        <v>1742</v>
      </c>
      <c r="HH8">
        <v>2026</v>
      </c>
      <c r="HI8" t="s">
        <v>2851</v>
      </c>
      <c r="HJ8" s="6">
        <v>46058</v>
      </c>
      <c r="HK8">
        <v>5</v>
      </c>
      <c r="HL8">
        <v>8595589.2599999998</v>
      </c>
      <c r="HM8">
        <v>7259059</v>
      </c>
      <c r="HN8" t="s">
        <v>2852</v>
      </c>
      <c r="HQ8" t="s">
        <v>1870</v>
      </c>
      <c r="HR8">
        <v>0.115815</v>
      </c>
      <c r="HS8" t="s">
        <v>1786</v>
      </c>
      <c r="HT8">
        <v>4.1390999999999997E-2</v>
      </c>
      <c r="HU8" t="s">
        <v>1809</v>
      </c>
      <c r="HV8">
        <v>2025</v>
      </c>
      <c r="HW8" t="s">
        <v>1871</v>
      </c>
      <c r="HX8" s="6">
        <v>45820</v>
      </c>
      <c r="HY8">
        <v>5</v>
      </c>
      <c r="HZ8">
        <v>1687428</v>
      </c>
      <c r="IA8">
        <v>12129192</v>
      </c>
      <c r="IB8" t="s">
        <v>1872</v>
      </c>
      <c r="IG8" t="s">
        <v>357</v>
      </c>
      <c r="IH8" t="s">
        <v>1786</v>
      </c>
      <c r="II8">
        <v>0.893262</v>
      </c>
      <c r="IJ8">
        <v>1.9939499999999999</v>
      </c>
      <c r="IK8" t="s">
        <v>1809</v>
      </c>
      <c r="IL8">
        <v>2025</v>
      </c>
      <c r="IM8" t="s">
        <v>2035</v>
      </c>
      <c r="IN8" s="6">
        <v>45797</v>
      </c>
      <c r="IO8">
        <v>5</v>
      </c>
      <c r="IP8">
        <v>129806144</v>
      </c>
      <c r="IQ8">
        <v>1499717</v>
      </c>
      <c r="IR8" t="s">
        <v>1864</v>
      </c>
      <c r="IU8" t="s">
        <v>1814</v>
      </c>
      <c r="IV8">
        <v>0.94301500000000005</v>
      </c>
      <c r="IW8" t="s">
        <v>1786</v>
      </c>
      <c r="IX8">
        <v>2.2702520000000002</v>
      </c>
      <c r="IY8" t="s">
        <v>1809</v>
      </c>
      <c r="IZ8">
        <v>2025</v>
      </c>
      <c r="JA8" t="s">
        <v>1815</v>
      </c>
      <c r="JB8" s="6">
        <v>45784</v>
      </c>
      <c r="JC8">
        <v>5</v>
      </c>
      <c r="JD8">
        <v>137123792</v>
      </c>
      <c r="JE8">
        <v>100115</v>
      </c>
      <c r="JF8" t="s">
        <v>1816</v>
      </c>
      <c r="JK8" t="s">
        <v>5731</v>
      </c>
      <c r="JL8" t="s">
        <v>1786</v>
      </c>
      <c r="JM8">
        <v>5.2839999999999996E-3</v>
      </c>
      <c r="JN8">
        <v>2.0349999999999999E-3</v>
      </c>
      <c r="JO8" t="s">
        <v>1762</v>
      </c>
      <c r="JP8">
        <v>2025</v>
      </c>
      <c r="JQ8" t="s">
        <v>5732</v>
      </c>
      <c r="JR8" s="6">
        <v>45910</v>
      </c>
      <c r="JS8">
        <v>5</v>
      </c>
      <c r="JT8">
        <v>92493.15</v>
      </c>
      <c r="JU8">
        <v>18686622</v>
      </c>
      <c r="JV8" t="s">
        <v>5733</v>
      </c>
      <c r="JY8" t="s">
        <v>5731</v>
      </c>
      <c r="JZ8">
        <v>-2.4245362661989844E-14</v>
      </c>
      <c r="KB8">
        <v>-2.4245362661989844E-14</v>
      </c>
      <c r="KC8" t="s">
        <v>1745</v>
      </c>
      <c r="KD8">
        <v>2024</v>
      </c>
      <c r="KE8" t="s">
        <v>6376</v>
      </c>
      <c r="KF8" s="6">
        <v>45716</v>
      </c>
      <c r="KG8">
        <v>5</v>
      </c>
      <c r="KH8">
        <v>-2.4245362661989844E-14</v>
      </c>
      <c r="KI8">
        <v>18686622</v>
      </c>
      <c r="KJ8" t="s">
        <v>5733</v>
      </c>
      <c r="LS8" t="s">
        <v>3088</v>
      </c>
      <c r="LT8" t="s">
        <v>1786</v>
      </c>
      <c r="LU8">
        <v>3.2231000000000003E-2</v>
      </c>
      <c r="LV8">
        <v>1.5102000000000001E-2</v>
      </c>
      <c r="LW8" t="s">
        <v>1742</v>
      </c>
      <c r="LX8">
        <v>2025</v>
      </c>
      <c r="LY8" t="s">
        <v>3089</v>
      </c>
      <c r="LZ8" s="6">
        <v>46042</v>
      </c>
      <c r="MA8">
        <v>5</v>
      </c>
      <c r="MB8">
        <v>380678</v>
      </c>
      <c r="MC8">
        <v>16555266</v>
      </c>
      <c r="MD8" t="s">
        <v>3090</v>
      </c>
      <c r="MG8" t="s">
        <v>1878</v>
      </c>
      <c r="MH8">
        <v>2.3965960000000002</v>
      </c>
      <c r="MI8" t="s">
        <v>1786</v>
      </c>
      <c r="MJ8">
        <v>0.74290599999999996</v>
      </c>
      <c r="MK8" t="s">
        <v>1762</v>
      </c>
      <c r="ML8">
        <v>2025</v>
      </c>
      <c r="MM8" t="s">
        <v>2372</v>
      </c>
      <c r="MN8" s="6">
        <v>45867</v>
      </c>
      <c r="MO8">
        <v>5</v>
      </c>
      <c r="MP8">
        <v>91206656</v>
      </c>
      <c r="MQ8">
        <v>876285</v>
      </c>
      <c r="MR8" t="s">
        <v>1879</v>
      </c>
      <c r="MW8" t="s">
        <v>1896</v>
      </c>
      <c r="MY8">
        <v>-2.4245362661989844E-14</v>
      </c>
      <c r="MZ8">
        <v>-2.4245362661989844E-14</v>
      </c>
      <c r="NA8" t="s">
        <v>1798</v>
      </c>
      <c r="NB8">
        <v>2023</v>
      </c>
      <c r="NC8" t="s">
        <v>4921</v>
      </c>
      <c r="ND8" s="6">
        <v>45245</v>
      </c>
      <c r="NE8">
        <v>5</v>
      </c>
      <c r="NF8">
        <v>-2.4245362661989844E-14</v>
      </c>
      <c r="NG8">
        <v>103882</v>
      </c>
      <c r="NH8" t="s">
        <v>1898</v>
      </c>
      <c r="UY8" t="s">
        <v>2790</v>
      </c>
      <c r="UZ8" t="s">
        <v>1820</v>
      </c>
      <c r="VA8">
        <v>1.031E-3</v>
      </c>
      <c r="VB8">
        <v>4.1029999999999999E-3</v>
      </c>
      <c r="VC8" t="s">
        <v>1742</v>
      </c>
      <c r="VD8">
        <v>2025</v>
      </c>
      <c r="VE8" t="s">
        <v>2791</v>
      </c>
      <c r="VF8" s="6">
        <v>46022</v>
      </c>
      <c r="VG8">
        <v>5</v>
      </c>
      <c r="VH8">
        <v>11489</v>
      </c>
      <c r="VI8">
        <v>17300196</v>
      </c>
      <c r="VJ8" t="s">
        <v>2792</v>
      </c>
    </row>
    <row r="9" spans="1:600" x14ac:dyDescent="0.25">
      <c r="AE9" t="s">
        <v>6351</v>
      </c>
      <c r="AG9">
        <v>-2.4245362661989844E-14</v>
      </c>
      <c r="AH9">
        <v>-2.4245362661989844E-14</v>
      </c>
      <c r="AI9" t="s">
        <v>1745</v>
      </c>
      <c r="AJ9">
        <v>2024</v>
      </c>
      <c r="AK9" t="s">
        <v>6344</v>
      </c>
      <c r="AL9" s="6">
        <v>45715</v>
      </c>
      <c r="AM9">
        <v>5</v>
      </c>
      <c r="AN9">
        <v>-2.4245362661989844E-14</v>
      </c>
      <c r="AO9">
        <v>101078</v>
      </c>
      <c r="AP9" t="s">
        <v>6352</v>
      </c>
      <c r="AS9" t="s">
        <v>6226</v>
      </c>
      <c r="AT9">
        <v>-2.4245362661989844E-14</v>
      </c>
      <c r="AV9">
        <v>-2.4245362661989844E-14</v>
      </c>
      <c r="AW9" t="s">
        <v>1742</v>
      </c>
      <c r="AX9">
        <v>2025</v>
      </c>
      <c r="AY9" t="s">
        <v>6218</v>
      </c>
      <c r="AZ9" s="6">
        <v>45974</v>
      </c>
      <c r="BA9">
        <v>5</v>
      </c>
      <c r="BB9">
        <v>-2.4245362661989844E-14</v>
      </c>
      <c r="BC9">
        <v>7308844</v>
      </c>
      <c r="BD9" t="s">
        <v>6227</v>
      </c>
      <c r="BI9" t="s">
        <v>33</v>
      </c>
      <c r="BJ9" t="s">
        <v>1786</v>
      </c>
      <c r="BK9">
        <v>25</v>
      </c>
      <c r="BL9">
        <v>4.0761390000000004</v>
      </c>
      <c r="BM9" t="s">
        <v>1745</v>
      </c>
      <c r="BN9">
        <v>2025</v>
      </c>
      <c r="BO9" t="s">
        <v>2145</v>
      </c>
      <c r="BP9" s="6">
        <v>46079</v>
      </c>
      <c r="BQ9">
        <v>5</v>
      </c>
      <c r="BR9">
        <v>3911187456</v>
      </c>
      <c r="BS9">
        <v>101166</v>
      </c>
      <c r="BT9" t="s">
        <v>3255</v>
      </c>
      <c r="BW9" t="s">
        <v>1792</v>
      </c>
      <c r="BX9">
        <v>4.17</v>
      </c>
      <c r="BZ9">
        <v>-2.4245362661989844E-14</v>
      </c>
      <c r="CA9" t="s">
        <v>1809</v>
      </c>
      <c r="CB9">
        <v>2026</v>
      </c>
      <c r="CC9" t="s">
        <v>3120</v>
      </c>
      <c r="CD9" s="6">
        <v>45953</v>
      </c>
      <c r="CE9">
        <v>5</v>
      </c>
      <c r="CF9">
        <v>3220814080</v>
      </c>
      <c r="CG9">
        <v>962217</v>
      </c>
      <c r="CH9" t="s">
        <v>1794</v>
      </c>
      <c r="CM9" t="s">
        <v>3738</v>
      </c>
      <c r="CN9" t="s">
        <v>1786</v>
      </c>
      <c r="CO9">
        <v>5.0000000000000004E-6</v>
      </c>
      <c r="CP9">
        <v>1.7E-5</v>
      </c>
      <c r="CQ9" t="s">
        <v>1762</v>
      </c>
      <c r="CR9">
        <v>2025</v>
      </c>
      <c r="CS9" t="s">
        <v>3739</v>
      </c>
      <c r="CT9" s="6">
        <v>46034</v>
      </c>
      <c r="CU9">
        <v>5</v>
      </c>
      <c r="CV9">
        <v>71</v>
      </c>
      <c r="CW9">
        <v>116096</v>
      </c>
      <c r="CX9" t="s">
        <v>3740</v>
      </c>
      <c r="DA9" t="s">
        <v>3543</v>
      </c>
      <c r="DB9">
        <v>-2.4245362661989844E-14</v>
      </c>
      <c r="DD9">
        <v>-2.4245362661989844E-14</v>
      </c>
      <c r="DE9" t="s">
        <v>1745</v>
      </c>
      <c r="DF9">
        <v>2022</v>
      </c>
      <c r="DG9" t="s">
        <v>3544</v>
      </c>
      <c r="DH9" s="6">
        <v>44986</v>
      </c>
      <c r="DI9">
        <v>5</v>
      </c>
      <c r="DJ9">
        <v>-2.4245362661989844E-14</v>
      </c>
      <c r="DK9">
        <v>28399721</v>
      </c>
      <c r="DL9" t="s">
        <v>3545</v>
      </c>
      <c r="DQ9" t="s">
        <v>6028</v>
      </c>
      <c r="DR9" t="s">
        <v>1786</v>
      </c>
      <c r="DS9">
        <v>39.222942000000003</v>
      </c>
      <c r="DT9">
        <v>2.5692750000000002</v>
      </c>
      <c r="DU9" t="s">
        <v>1745</v>
      </c>
      <c r="DV9">
        <v>2025</v>
      </c>
      <c r="DW9" t="s">
        <v>6029</v>
      </c>
      <c r="DX9" s="6">
        <v>46073</v>
      </c>
      <c r="DY9">
        <v>5</v>
      </c>
      <c r="DZ9">
        <v>92924250</v>
      </c>
      <c r="EA9">
        <v>51018342</v>
      </c>
      <c r="EB9" t="s">
        <v>6030</v>
      </c>
      <c r="EE9" t="s">
        <v>2944</v>
      </c>
      <c r="EF9">
        <v>1.4184159999999999</v>
      </c>
      <c r="EG9" t="s">
        <v>1820</v>
      </c>
      <c r="EH9">
        <v>3.3443610000000001</v>
      </c>
      <c r="EI9" t="s">
        <v>1742</v>
      </c>
      <c r="EJ9">
        <v>2025</v>
      </c>
      <c r="EK9" t="s">
        <v>3008</v>
      </c>
      <c r="EL9" s="6">
        <v>45931</v>
      </c>
      <c r="EM9">
        <v>5</v>
      </c>
      <c r="EN9">
        <v>103572736</v>
      </c>
      <c r="EO9">
        <v>193974</v>
      </c>
      <c r="EP9" t="s">
        <v>2946</v>
      </c>
      <c r="HC9" t="s">
        <v>2795</v>
      </c>
      <c r="HD9" t="s">
        <v>1786</v>
      </c>
      <c r="HE9">
        <v>7.6977000000000004E-2</v>
      </c>
      <c r="HF9">
        <v>0.58445800000000003</v>
      </c>
      <c r="HG9" t="s">
        <v>1742</v>
      </c>
      <c r="HH9">
        <v>2025</v>
      </c>
      <c r="HI9" t="s">
        <v>2796</v>
      </c>
      <c r="HJ9" s="6">
        <v>45867</v>
      </c>
      <c r="HK9">
        <v>5</v>
      </c>
      <c r="HL9">
        <v>6025760</v>
      </c>
      <c r="HM9">
        <v>117092</v>
      </c>
      <c r="HN9" t="s">
        <v>2797</v>
      </c>
      <c r="HQ9" t="s">
        <v>1409</v>
      </c>
      <c r="HR9">
        <v>4.8992000000000001E-2</v>
      </c>
      <c r="HS9" t="s">
        <v>1786</v>
      </c>
      <c r="HT9">
        <v>6.3288999999999998E-2</v>
      </c>
      <c r="HU9" t="s">
        <v>1845</v>
      </c>
      <c r="HV9">
        <v>2025</v>
      </c>
      <c r="HW9" t="s">
        <v>2208</v>
      </c>
      <c r="HX9" s="6">
        <v>46091</v>
      </c>
      <c r="HY9">
        <v>5</v>
      </c>
      <c r="HZ9">
        <v>993554</v>
      </c>
      <c r="IA9">
        <v>156637</v>
      </c>
      <c r="IB9" t="s">
        <v>2209</v>
      </c>
      <c r="IG9" t="s">
        <v>2512</v>
      </c>
      <c r="IH9" t="s">
        <v>1786</v>
      </c>
      <c r="II9">
        <v>0.59890299999999996</v>
      </c>
      <c r="IJ9">
        <v>1.729209</v>
      </c>
      <c r="IK9" t="s">
        <v>1809</v>
      </c>
      <c r="IL9">
        <v>2025</v>
      </c>
      <c r="IM9" t="s">
        <v>2035</v>
      </c>
      <c r="IN9" s="6">
        <v>45797</v>
      </c>
      <c r="IO9">
        <v>5</v>
      </c>
      <c r="IP9">
        <v>112571504</v>
      </c>
      <c r="IQ9">
        <v>130929</v>
      </c>
      <c r="IR9" t="s">
        <v>2513</v>
      </c>
      <c r="IU9" t="s">
        <v>167</v>
      </c>
      <c r="IV9">
        <v>0.76780499999999996</v>
      </c>
      <c r="IW9" t="s">
        <v>1786</v>
      </c>
      <c r="IX9">
        <v>2.2920660000000002</v>
      </c>
      <c r="IY9" t="s">
        <v>1809</v>
      </c>
      <c r="IZ9">
        <v>2025</v>
      </c>
      <c r="JA9" t="s">
        <v>2035</v>
      </c>
      <c r="JB9" s="6">
        <v>45797</v>
      </c>
      <c r="JC9">
        <v>5</v>
      </c>
      <c r="JD9">
        <v>111646528</v>
      </c>
      <c r="JE9">
        <v>69423747</v>
      </c>
      <c r="JF9" t="s">
        <v>2036</v>
      </c>
      <c r="JK9" t="s">
        <v>5734</v>
      </c>
      <c r="JM9">
        <v>-2.4245362661989844E-14</v>
      </c>
      <c r="JN9">
        <v>-2.4245362661989844E-14</v>
      </c>
      <c r="JO9" t="s">
        <v>1845</v>
      </c>
      <c r="JP9">
        <v>2023</v>
      </c>
      <c r="JQ9" t="s">
        <v>5735</v>
      </c>
      <c r="JR9" s="6">
        <v>45351</v>
      </c>
      <c r="JS9">
        <v>5</v>
      </c>
      <c r="JT9">
        <v>-2.4245362661989844E-14</v>
      </c>
      <c r="JU9">
        <v>1479929</v>
      </c>
      <c r="JV9" t="s">
        <v>5736</v>
      </c>
      <c r="JY9" t="s">
        <v>6377</v>
      </c>
      <c r="JZ9">
        <v>-2.4245362661989844E-14</v>
      </c>
      <c r="KB9">
        <v>-2.4245362661989844E-14</v>
      </c>
      <c r="KC9" t="s">
        <v>1745</v>
      </c>
      <c r="KD9">
        <v>2023</v>
      </c>
      <c r="KE9" t="s">
        <v>6378</v>
      </c>
      <c r="KF9" s="6">
        <v>45497</v>
      </c>
      <c r="KG9">
        <v>5</v>
      </c>
      <c r="KH9">
        <v>-2.4245362661989844E-14</v>
      </c>
      <c r="KI9">
        <v>163303</v>
      </c>
      <c r="KJ9" t="s">
        <v>6379</v>
      </c>
      <c r="LS9" t="s">
        <v>5383</v>
      </c>
      <c r="LT9" t="s">
        <v>1786</v>
      </c>
      <c r="LU9">
        <v>0.261409</v>
      </c>
      <c r="LV9">
        <v>1.1283E-2</v>
      </c>
      <c r="LW9" t="s">
        <v>1762</v>
      </c>
      <c r="LX9">
        <v>2025</v>
      </c>
      <c r="LY9" t="s">
        <v>5384</v>
      </c>
      <c r="LZ9" s="6">
        <v>45996</v>
      </c>
      <c r="MA9">
        <v>5</v>
      </c>
      <c r="MB9">
        <v>283234.83</v>
      </c>
      <c r="MC9">
        <v>69740521</v>
      </c>
      <c r="MD9" t="s">
        <v>5385</v>
      </c>
      <c r="MG9" t="s">
        <v>1346</v>
      </c>
      <c r="MH9">
        <v>1.8928469999999999</v>
      </c>
      <c r="MI9" t="s">
        <v>1786</v>
      </c>
      <c r="MJ9">
        <v>1.1381829999999999</v>
      </c>
      <c r="MK9" t="s">
        <v>1762</v>
      </c>
      <c r="ML9">
        <v>2025</v>
      </c>
      <c r="MM9" t="s">
        <v>2372</v>
      </c>
      <c r="MN9" s="6">
        <v>45867</v>
      </c>
      <c r="MO9">
        <v>5</v>
      </c>
      <c r="MP9">
        <v>72035608</v>
      </c>
      <c r="MQ9">
        <v>100043</v>
      </c>
      <c r="MR9" t="s">
        <v>3434</v>
      </c>
      <c r="MW9" t="s">
        <v>2989</v>
      </c>
      <c r="MY9">
        <v>-2.4245362661989844E-14</v>
      </c>
      <c r="MZ9">
        <v>-2.4245362661989844E-14</v>
      </c>
      <c r="NA9" t="s">
        <v>1742</v>
      </c>
      <c r="NB9">
        <v>2023</v>
      </c>
      <c r="NC9" t="s">
        <v>3032</v>
      </c>
      <c r="ND9" s="6">
        <v>45231</v>
      </c>
      <c r="NE9">
        <v>5</v>
      </c>
      <c r="NF9">
        <v>-2.4245362661989844E-14</v>
      </c>
      <c r="NG9">
        <v>69762655</v>
      </c>
      <c r="NH9" t="s">
        <v>2991</v>
      </c>
      <c r="UY9" t="s">
        <v>6124</v>
      </c>
      <c r="VA9">
        <v>-2.4245362661989844E-14</v>
      </c>
      <c r="VB9">
        <v>-2.4245362661989844E-14</v>
      </c>
      <c r="VC9" t="s">
        <v>1745</v>
      </c>
      <c r="VD9">
        <v>2024</v>
      </c>
      <c r="VE9" t="s">
        <v>6125</v>
      </c>
      <c r="VF9" s="6">
        <v>45776</v>
      </c>
      <c r="VG9">
        <v>5</v>
      </c>
      <c r="VH9">
        <v>-2.4245362661989844E-14</v>
      </c>
      <c r="VI9">
        <v>23463925</v>
      </c>
      <c r="VJ9" t="s">
        <v>6126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152</v>
      </c>
      <c r="AE2" s="3" t="s">
        <v>153</v>
      </c>
      <c r="BI2" s="3" t="s">
        <v>154</v>
      </c>
      <c r="CM2" s="3" t="s">
        <v>155</v>
      </c>
      <c r="DQ2" s="3" t="s">
        <v>156</v>
      </c>
      <c r="EU2" s="3" t="s">
        <v>157</v>
      </c>
      <c r="FY2" s="3" t="s">
        <v>158</v>
      </c>
      <c r="HC2" s="3" t="s">
        <v>159</v>
      </c>
      <c r="IG2" s="3" t="s">
        <v>160</v>
      </c>
      <c r="JK2" s="3" t="s">
        <v>161</v>
      </c>
      <c r="KO2" s="3" t="s">
        <v>162</v>
      </c>
      <c r="LS2" s="3" t="s">
        <v>163</v>
      </c>
      <c r="MW2" s="3" t="s">
        <v>164</v>
      </c>
      <c r="OA2" s="3" t="s">
        <v>165</v>
      </c>
      <c r="PE2" s="3" t="s">
        <v>166</v>
      </c>
      <c r="QI2" s="3" t="s">
        <v>121</v>
      </c>
      <c r="RM2" s="3" t="s">
        <v>167</v>
      </c>
      <c r="SQ2" s="3" t="s">
        <v>168</v>
      </c>
      <c r="TU2" s="3" t="s">
        <v>169</v>
      </c>
      <c r="UY2" s="3" t="s">
        <v>170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_xll.BDS("POST US Equity","SUPPLY_CHAIN_SUPPLIERS_ALL_DATA","cols=12;rows=5")</f>
        <v>MDLZ US Equity</v>
      </c>
      <c r="B5" t="s">
        <v>1786</v>
      </c>
      <c r="C5">
        <v>4.0231000000000003E-2</v>
      </c>
      <c r="D5">
        <v>0.25195600000000001</v>
      </c>
      <c r="E5" t="s">
        <v>1742</v>
      </c>
      <c r="F5">
        <v>2025</v>
      </c>
      <c r="G5" t="s">
        <v>5361</v>
      </c>
      <c r="H5" s="6">
        <v>46000</v>
      </c>
      <c r="I5">
        <v>5</v>
      </c>
      <c r="J5">
        <v>3665145</v>
      </c>
      <c r="K5">
        <v>1176564</v>
      </c>
      <c r="L5" t="s">
        <v>5362</v>
      </c>
      <c r="O5" t="str">
        <f>_xll.BDS("POST US Equity","SUPPLY_CHAIN_CUSTOMERS_ALL_DATA","cols=12;rows=5")</f>
        <v>WMT US Equity</v>
      </c>
      <c r="P5">
        <v>17.399999999999999</v>
      </c>
      <c r="Q5" t="s">
        <v>1786</v>
      </c>
      <c r="R5">
        <v>0.26887100000000003</v>
      </c>
      <c r="S5" t="s">
        <v>1745</v>
      </c>
      <c r="T5">
        <v>2025</v>
      </c>
      <c r="U5" t="s">
        <v>6566</v>
      </c>
      <c r="V5" s="6">
        <v>45982</v>
      </c>
      <c r="W5">
        <v>5</v>
      </c>
      <c r="X5">
        <v>354877344</v>
      </c>
      <c r="Y5">
        <v>101616</v>
      </c>
      <c r="Z5" t="s">
        <v>2098</v>
      </c>
      <c r="AE5" t="str">
        <f>_xll.BDS("BPL US Equity","SUPPLY_CHAIN_SUPPLIERS_ALL_DATA")</f>
        <v>#N/A N/A</v>
      </c>
      <c r="AS5" t="str">
        <f>_xll.BDS("BPL US Equity","SUPPLY_CHAIN_CUSTOMERS_ALL_DATA","cols=12;rows=1")</f>
        <v>PBF US Equity</v>
      </c>
      <c r="AT5">
        <v>-2.4245362661989844E-14</v>
      </c>
      <c r="AV5">
        <v>-2.4245362661989844E-14</v>
      </c>
      <c r="AW5" t="s">
        <v>1745</v>
      </c>
      <c r="AX5">
        <v>2025</v>
      </c>
      <c r="AY5" t="s">
        <v>5549</v>
      </c>
      <c r="AZ5" s="6">
        <v>46065</v>
      </c>
      <c r="BA5">
        <v>1</v>
      </c>
      <c r="BB5">
        <v>-2.4245362661989844E-14</v>
      </c>
      <c r="BC5">
        <v>28345557</v>
      </c>
      <c r="BD5" t="s">
        <v>6021</v>
      </c>
      <c r="BI5" t="str">
        <f>_xll.BDS("GLW US Equity","SUPPLY_CHAIN_SUPPLIERS_ALL_DATA","cols=12;rows=5")</f>
        <v>300570 CH Equity</v>
      </c>
      <c r="BJ5" t="s">
        <v>1786</v>
      </c>
      <c r="BK5">
        <v>70.099997999999999</v>
      </c>
      <c r="BL5">
        <v>1.5170360000000001</v>
      </c>
      <c r="BM5" t="s">
        <v>1745</v>
      </c>
      <c r="BN5">
        <v>2024</v>
      </c>
      <c r="BO5" t="s">
        <v>5883</v>
      </c>
      <c r="BP5" s="6">
        <v>45745</v>
      </c>
      <c r="BQ5">
        <v>5</v>
      </c>
      <c r="BR5">
        <v>33536623.91</v>
      </c>
      <c r="BS5">
        <v>30291601</v>
      </c>
      <c r="BT5" t="s">
        <v>5884</v>
      </c>
      <c r="BW5" t="str">
        <f>_xll.BDS("GLW US Equity","SUPPLY_CHAIN_CUSTOMERS_ALL_DATA","cols=12;rows=5")</f>
        <v>005930 KS Equity</v>
      </c>
      <c r="BX5">
        <v>4.6196169999999999</v>
      </c>
      <c r="BY5" t="s">
        <v>1786</v>
      </c>
      <c r="BZ5">
        <v>0.49962600000000001</v>
      </c>
      <c r="CA5" t="s">
        <v>1742</v>
      </c>
      <c r="CB5">
        <v>2025</v>
      </c>
      <c r="CC5" t="s">
        <v>5722</v>
      </c>
      <c r="CD5" s="6">
        <v>45982</v>
      </c>
      <c r="CE5">
        <v>5</v>
      </c>
      <c r="CF5">
        <v>189404304</v>
      </c>
      <c r="CG5">
        <v>117929</v>
      </c>
      <c r="CH5" t="s">
        <v>1791</v>
      </c>
      <c r="CM5" t="str">
        <f>_xll.BDS("IDTI US Equity","SUPPLY_CHAIN_SUPPLIERS_ALL_DATA")</f>
        <v>#N/A N/A</v>
      </c>
      <c r="DA5" t="str">
        <f>_xll.BDS("IDTI US Equity","SUPPLY_CHAIN_CUSTOMERS_ALL_DATA")</f>
        <v>#N/A N/A</v>
      </c>
      <c r="DQ5" t="str">
        <f>_xll.BDS("AMGN US Equity","SUPPLY_CHAIN_SUPPLIERS_ALL_DATA","cols=12;rows=5")</f>
        <v>AZN LN Equity</v>
      </c>
      <c r="DR5" t="s">
        <v>1786</v>
      </c>
      <c r="DS5">
        <v>1.1178159999999999</v>
      </c>
      <c r="DT5">
        <v>5.8230849999999998</v>
      </c>
      <c r="DU5" t="s">
        <v>1742</v>
      </c>
      <c r="DV5">
        <v>2025</v>
      </c>
      <c r="DW5" t="s">
        <v>2730</v>
      </c>
      <c r="DX5" s="6">
        <v>46080</v>
      </c>
      <c r="DY5">
        <v>5</v>
      </c>
      <c r="DZ5">
        <v>173295008</v>
      </c>
      <c r="EA5">
        <v>111093</v>
      </c>
      <c r="EB5" t="s">
        <v>2414</v>
      </c>
      <c r="EE5" t="str">
        <f>_xll.BDS("AMGN US Equity","SUPPLY_CHAIN_CUSTOMERS_ALL_DATA","cols=12;rows=5")</f>
        <v>MCK US Equity</v>
      </c>
      <c r="EF5">
        <v>34</v>
      </c>
      <c r="EG5" t="s">
        <v>1786</v>
      </c>
      <c r="EH5">
        <v>3.2555800000000001</v>
      </c>
      <c r="EI5" t="s">
        <v>1745</v>
      </c>
      <c r="EJ5">
        <v>2025</v>
      </c>
      <c r="EK5" t="s">
        <v>5214</v>
      </c>
      <c r="EL5" s="6">
        <v>46066</v>
      </c>
      <c r="EM5">
        <v>5</v>
      </c>
      <c r="EN5">
        <v>3123834880</v>
      </c>
      <c r="EO5">
        <v>154936</v>
      </c>
      <c r="EP5" t="s">
        <v>2146</v>
      </c>
      <c r="EU5" t="str">
        <f>_xll.BDS("HLIT US Equity","SUPPLY_CHAIN_SUPPLIERS_ALL_DATA","cols=12;rows=5")</f>
        <v>KEYS US Equity</v>
      </c>
      <c r="EV5" t="s">
        <v>2416</v>
      </c>
      <c r="EW5">
        <v>2.0611999999999998E-2</v>
      </c>
      <c r="EX5">
        <v>0.85869600000000001</v>
      </c>
      <c r="EY5" t="s">
        <v>1762</v>
      </c>
      <c r="EZ5">
        <v>2025</v>
      </c>
      <c r="FA5" t="s">
        <v>6132</v>
      </c>
      <c r="FB5" s="6">
        <v>45820</v>
      </c>
      <c r="FC5">
        <v>5</v>
      </c>
      <c r="FD5">
        <v>269193</v>
      </c>
      <c r="FE5">
        <v>36909194</v>
      </c>
      <c r="FF5" t="s">
        <v>6168</v>
      </c>
      <c r="FI5" t="str">
        <f>_xll.BDS("HLIT US Equity","SUPPLY_CHAIN_CUSTOMERS_ALL_DATA","cols=12;rows=5")</f>
        <v>CMCSA US Equity</v>
      </c>
      <c r="FJ5">
        <v>43</v>
      </c>
      <c r="FK5" t="s">
        <v>1820</v>
      </c>
      <c r="FL5">
        <v>1.9936259999999999</v>
      </c>
      <c r="FM5" t="s">
        <v>1742</v>
      </c>
      <c r="FN5">
        <v>2025</v>
      </c>
      <c r="FO5" t="s">
        <v>6592</v>
      </c>
      <c r="FP5" s="6">
        <v>45965</v>
      </c>
      <c r="FQ5">
        <v>5</v>
      </c>
      <c r="FR5">
        <v>61224260</v>
      </c>
      <c r="FS5">
        <v>101712</v>
      </c>
      <c r="FT5" t="s">
        <v>1780</v>
      </c>
      <c r="FY5" t="str">
        <f>_xll.BDS("4622869Z US Equity","SUPPLY_CHAIN_SUPPLIERS_ALL_DATA")</f>
        <v>#N/A N/A</v>
      </c>
      <c r="GM5" t="str">
        <f>_xll.BDS("4622869Z US Equity","SUPPLY_CHAIN_CUSTOMERS_ALL_DATA")</f>
        <v>#N/A N/A</v>
      </c>
      <c r="HC5" t="str">
        <f>_xll.BDS("SPHR US Equity","SUPPLY_CHAIN_SUPPLIERS_ALL_DATA","cols=12;rows=5")</f>
        <v>MSGS US Equity</v>
      </c>
      <c r="HD5" t="s">
        <v>1769</v>
      </c>
      <c r="HE5">
        <v>15</v>
      </c>
      <c r="HF5">
        <v>34.074199999999998</v>
      </c>
      <c r="HG5" t="s">
        <v>1745</v>
      </c>
      <c r="HH5">
        <v>2025</v>
      </c>
      <c r="HI5" t="s">
        <v>5739</v>
      </c>
      <c r="HJ5" s="6">
        <v>45881</v>
      </c>
      <c r="HK5">
        <v>5</v>
      </c>
      <c r="HL5">
        <v>38970752</v>
      </c>
      <c r="HM5">
        <v>42924667</v>
      </c>
      <c r="HN5" t="s">
        <v>5740</v>
      </c>
      <c r="HQ5" t="str">
        <f>_xll.BDS("SPHR US Equity","SUPPLY_CHAIN_CUSTOMERS_ALL_DATA","cols=12;rows=5")</f>
        <v>0743746D US Equity</v>
      </c>
      <c r="HR5">
        <v>-2.4245362661989844E-14</v>
      </c>
      <c r="HT5">
        <v>-2.4245362661989844E-14</v>
      </c>
      <c r="HU5" t="s">
        <v>1745</v>
      </c>
      <c r="HV5">
        <v>2023</v>
      </c>
      <c r="HW5" t="s">
        <v>6336</v>
      </c>
      <c r="HX5" s="6">
        <v>45182</v>
      </c>
      <c r="HY5">
        <v>5</v>
      </c>
      <c r="HZ5">
        <v>-2.4245362661989844E-14</v>
      </c>
      <c r="IA5">
        <v>34699260</v>
      </c>
      <c r="IB5" t="s">
        <v>6337</v>
      </c>
      <c r="IG5" t="str">
        <f>_xll.BDS("EXPE US Equity","SUPPLY_CHAIN_SUPPLIERS_ALL_DATA","cols=12;rows=5")</f>
        <v>TRIP US Equity</v>
      </c>
      <c r="IH5" t="s">
        <v>1769</v>
      </c>
      <c r="II5">
        <v>13.251785999999999</v>
      </c>
      <c r="IJ5">
        <v>3.008667</v>
      </c>
      <c r="IK5" t="s">
        <v>1762</v>
      </c>
      <c r="IL5">
        <v>2025</v>
      </c>
      <c r="IM5" t="s">
        <v>5448</v>
      </c>
      <c r="IN5" s="6">
        <v>45896</v>
      </c>
      <c r="IO5">
        <v>5</v>
      </c>
      <c r="IP5">
        <v>70101952</v>
      </c>
      <c r="IQ5">
        <v>12130356</v>
      </c>
      <c r="IR5" t="s">
        <v>5449</v>
      </c>
      <c r="IU5" t="str">
        <f>_xll.BDS("EXPE US Equity","SUPPLY_CHAIN_CUSTOMERS_ALL_DATA","cols=12;rows=5")</f>
        <v>2731 TT Equity</v>
      </c>
      <c r="IV5">
        <v>-2.4245362661989844E-14</v>
      </c>
      <c r="IX5">
        <v>-2.4245362661989844E-14</v>
      </c>
      <c r="IY5" t="s">
        <v>1745</v>
      </c>
      <c r="IZ5">
        <v>2024</v>
      </c>
      <c r="JA5" t="s">
        <v>5395</v>
      </c>
      <c r="JB5" s="6">
        <v>45787</v>
      </c>
      <c r="JC5">
        <v>5</v>
      </c>
      <c r="JD5">
        <v>-2.4245362661989844E-14</v>
      </c>
      <c r="JE5">
        <v>22394869</v>
      </c>
      <c r="JF5" t="s">
        <v>5396</v>
      </c>
      <c r="JK5" t="str">
        <f>_xll.BDS("ANRZQ US Equity","SUPPLY_CHAIN_SUPPLIERS_ALL_DATA")</f>
        <v>#N/A N/A</v>
      </c>
      <c r="JY5" t="str">
        <f>_xll.BDS("ANRZQ US Equity","SUPPLY_CHAIN_CUSTOMERS_ALL_DATA")</f>
        <v>#N/A N/A</v>
      </c>
      <c r="KO5" t="str">
        <f>_xll.BDS("MTOR US Equity","SUPPLY_CHAIN_SUPPLIERS_ALL_DATA","cols=12;rows=5")</f>
        <v>000425 CH Equity</v>
      </c>
      <c r="KQ5">
        <v>-2.4245362661989844E-14</v>
      </c>
      <c r="KR5">
        <v>-2.4245362661989844E-14</v>
      </c>
      <c r="KS5" t="s">
        <v>1745</v>
      </c>
      <c r="KT5">
        <v>2021</v>
      </c>
      <c r="KU5" t="s">
        <v>4885</v>
      </c>
      <c r="KV5" s="6">
        <v>44669</v>
      </c>
      <c r="KW5">
        <v>5</v>
      </c>
      <c r="KX5">
        <v>-2.4245362661989844E-14</v>
      </c>
      <c r="KY5">
        <v>193520</v>
      </c>
      <c r="KZ5" t="s">
        <v>4886</v>
      </c>
      <c r="LC5" t="str">
        <f>_xll.BDS("MTOR US Equity","SUPPLY_CHAIN_CUSTOMERS_ALL_DATA","cols=12;rows=5")</f>
        <v>1912397D BB Equity</v>
      </c>
      <c r="LD5">
        <v>-2.4245362661989844E-14</v>
      </c>
      <c r="LF5">
        <v>-2.4245362661989844E-14</v>
      </c>
      <c r="LG5" t="s">
        <v>1762</v>
      </c>
      <c r="LH5">
        <v>2022</v>
      </c>
      <c r="LI5" t="s">
        <v>4859</v>
      </c>
      <c r="LJ5" s="6">
        <v>44685</v>
      </c>
      <c r="LK5">
        <v>5</v>
      </c>
      <c r="LL5">
        <v>-2.4245362661989844E-14</v>
      </c>
      <c r="LM5">
        <v>17099897</v>
      </c>
      <c r="LN5" t="s">
        <v>4860</v>
      </c>
      <c r="LS5" t="str">
        <f>_xll.BDS("ETN US Equity","SUPPLY_CHAIN_SUPPLIERS_ALL_DATA","cols=12;rows=5")</f>
        <v>300750 CH Equity</v>
      </c>
      <c r="LT5" t="s">
        <v>1786</v>
      </c>
      <c r="LU5">
        <v>0.33324300000000001</v>
      </c>
      <c r="LV5">
        <v>1.124708</v>
      </c>
      <c r="LW5" t="s">
        <v>1742</v>
      </c>
      <c r="LX5">
        <v>2025</v>
      </c>
      <c r="LY5" t="s">
        <v>2198</v>
      </c>
      <c r="LZ5" s="6">
        <v>46003</v>
      </c>
      <c r="MA5">
        <v>5</v>
      </c>
      <c r="MB5">
        <v>48508656</v>
      </c>
      <c r="MC5">
        <v>51309082</v>
      </c>
      <c r="MD5" t="s">
        <v>6485</v>
      </c>
      <c r="MG5" t="str">
        <f>_xll.BDS("ETN US Equity","SUPPLY_CHAIN_CUSTOMERS_ALL_DATA","cols=12;rows=5")</f>
        <v>WCC US Equity</v>
      </c>
      <c r="MH5">
        <v>4.0427220000000004</v>
      </c>
      <c r="MI5" t="s">
        <v>1786</v>
      </c>
      <c r="MJ5">
        <v>5.7870290000000004</v>
      </c>
      <c r="MK5" t="s">
        <v>1742</v>
      </c>
      <c r="ML5">
        <v>2025</v>
      </c>
      <c r="MM5" t="s">
        <v>2198</v>
      </c>
      <c r="MN5" s="6">
        <v>46003</v>
      </c>
      <c r="MO5">
        <v>5</v>
      </c>
      <c r="MP5">
        <v>282505408</v>
      </c>
      <c r="MQ5">
        <v>305945</v>
      </c>
      <c r="MR5" t="s">
        <v>2199</v>
      </c>
      <c r="MW5" t="str">
        <f>_xll.BDS("0574018D US Equity","SUPPLY_CHAIN_SUPPLIERS_ALL_DATA")</f>
        <v>#N/A N/A</v>
      </c>
      <c r="NK5" t="str">
        <f>_xll.BDS("0574018D US Equity","SUPPLY_CHAIN_CUSTOMERS_ALL_DATA")</f>
        <v>#N/A N/A</v>
      </c>
      <c r="OA5" t="str">
        <f>_xll.BDS("1837572D US Equity","SUPPLY_CHAIN_SUPPLIERS_ALL_DATA")</f>
        <v>#N/A N/A</v>
      </c>
      <c r="OO5" t="str">
        <f>_xll.BDS("1837572D US Equity","SUPPLY_CHAIN_CUSTOMERS_ALL_DATA")</f>
        <v>#N/A N/A</v>
      </c>
      <c r="PE5" t="str">
        <f>_xll.BDS("MFNXQ US Equity","SUPPLY_CHAIN_SUPPLIERS_ALL_DATA")</f>
        <v>#N/A N/A</v>
      </c>
      <c r="PS5" t="str">
        <f>_xll.BDS("MFNXQ US Equity","SUPPLY_CHAIN_CUSTOMERS_ALL_DATA")</f>
        <v>#N/A N/A</v>
      </c>
      <c r="QI5" t="str">
        <f>_xll.BDS("IBM US Equity","SUPPLY_CHAIN_SUPPLIERS_ALL_DATA","cols=12;rows=5")</f>
        <v>005930 KS Equity</v>
      </c>
      <c r="QJ5" t="s">
        <v>1786</v>
      </c>
      <c r="QK5">
        <v>0.49490499999999998</v>
      </c>
      <c r="QL5">
        <v>4.1423690000000004</v>
      </c>
      <c r="QM5" t="s">
        <v>1809</v>
      </c>
      <c r="QN5">
        <v>2025</v>
      </c>
      <c r="QO5" t="s">
        <v>2035</v>
      </c>
      <c r="QP5" s="6">
        <v>45797</v>
      </c>
      <c r="QQ5">
        <v>5</v>
      </c>
      <c r="QR5">
        <v>269668224</v>
      </c>
      <c r="QS5">
        <v>117929</v>
      </c>
      <c r="QT5" t="s">
        <v>1791</v>
      </c>
      <c r="QW5" t="str">
        <f>_xll.BDS("IBM US Equity","SUPPLY_CHAIN_CUSTOMERS_ALL_DATA","cols=12;rows=5")</f>
        <v>AMZN US Equity</v>
      </c>
      <c r="QX5">
        <v>4.454224</v>
      </c>
      <c r="QY5" t="s">
        <v>1786</v>
      </c>
      <c r="QZ5">
        <v>0.84141600000000005</v>
      </c>
      <c r="RA5" t="s">
        <v>1809</v>
      </c>
      <c r="RB5">
        <v>2025</v>
      </c>
      <c r="RC5" t="s">
        <v>2035</v>
      </c>
      <c r="RD5" s="6">
        <v>45797</v>
      </c>
      <c r="RE5">
        <v>5</v>
      </c>
      <c r="RF5">
        <v>647688704</v>
      </c>
      <c r="RG5">
        <v>216952</v>
      </c>
      <c r="RH5" t="s">
        <v>1886</v>
      </c>
      <c r="RM5" t="str">
        <f>_xll.BDS("CSCO US Equity","SUPPLY_CHAIN_SUPPLIERS_ALL_DATA","cols=12;rows=5")</f>
        <v>NVDA US Equity</v>
      </c>
      <c r="RN5" t="s">
        <v>1786</v>
      </c>
      <c r="RO5">
        <v>0.44414500000000001</v>
      </c>
      <c r="RP5">
        <v>5.627351</v>
      </c>
      <c r="RQ5" t="s">
        <v>1845</v>
      </c>
      <c r="RR5">
        <v>2026</v>
      </c>
      <c r="RS5" t="s">
        <v>2311</v>
      </c>
      <c r="RT5" s="6">
        <v>46087</v>
      </c>
      <c r="RU5">
        <v>5</v>
      </c>
      <c r="RV5">
        <v>302582656</v>
      </c>
      <c r="RW5">
        <v>313657</v>
      </c>
      <c r="RX5" t="s">
        <v>2312</v>
      </c>
      <c r="SA5" t="str">
        <f>_xll.BDS("CSCO US Equity","SUPPLY_CHAIN_CUSTOMERS_ALL_DATA","cols=12;rows=5")</f>
        <v>SNX US Equity</v>
      </c>
      <c r="SB5">
        <v>3.3352200000000001</v>
      </c>
      <c r="SC5" t="s">
        <v>1786</v>
      </c>
      <c r="SD5">
        <v>3.067034</v>
      </c>
      <c r="SE5" t="s">
        <v>1845</v>
      </c>
      <c r="SF5">
        <v>2025</v>
      </c>
      <c r="SG5" t="s">
        <v>1887</v>
      </c>
      <c r="SH5" s="6">
        <v>46056</v>
      </c>
      <c r="SI5">
        <v>5</v>
      </c>
      <c r="SJ5">
        <v>496380736</v>
      </c>
      <c r="SK5">
        <v>1499717</v>
      </c>
      <c r="SL5" t="s">
        <v>1864</v>
      </c>
      <c r="SQ5" t="str">
        <f>_xll.BDS("INTC US Equity","SUPPLY_CHAIN_SUPPLIERS_ALL_DATA","cols=12;rows=5")</f>
        <v>ASML NA Equity</v>
      </c>
      <c r="SR5" t="s">
        <v>1820</v>
      </c>
      <c r="SS5">
        <v>9.5417889999999996</v>
      </c>
      <c r="ST5">
        <v>34.554512000000003</v>
      </c>
      <c r="SU5" t="s">
        <v>1762</v>
      </c>
      <c r="SV5">
        <v>2025</v>
      </c>
      <c r="SW5" t="s">
        <v>3003</v>
      </c>
      <c r="SX5" s="6">
        <v>45979</v>
      </c>
      <c r="SY5">
        <v>5</v>
      </c>
      <c r="SZ5">
        <v>812256358.32000005</v>
      </c>
      <c r="TA5">
        <v>163205</v>
      </c>
      <c r="TB5" t="s">
        <v>3004</v>
      </c>
      <c r="TE5" t="str">
        <f>_xll.BDS("INTC US Equity","SUPPLY_CHAIN_CUSTOMERS_ALL_DATA","cols=12;rows=5")</f>
        <v>DELL US Equity</v>
      </c>
      <c r="TF5">
        <v>19.035398000000001</v>
      </c>
      <c r="TG5" t="s">
        <v>1786</v>
      </c>
      <c r="TH5">
        <v>12.156269</v>
      </c>
      <c r="TI5" t="s">
        <v>1845</v>
      </c>
      <c r="TJ5">
        <v>2025</v>
      </c>
      <c r="TK5" t="s">
        <v>2245</v>
      </c>
      <c r="TL5" s="6">
        <v>46048</v>
      </c>
      <c r="TM5">
        <v>5</v>
      </c>
      <c r="TN5">
        <v>2602900224</v>
      </c>
      <c r="TO5">
        <v>50985605</v>
      </c>
      <c r="TP5" t="s">
        <v>3506</v>
      </c>
      <c r="TU5" t="str">
        <f>_xll.BDS("BX US Equity","SUPPLY_CHAIN_SUPPLIERS_ALL_DATA","cols=12;rows=5")</f>
        <v>ORCL US Equity</v>
      </c>
      <c r="TV5" t="s">
        <v>1786</v>
      </c>
      <c r="TW5">
        <v>3.7003000000000001E-2</v>
      </c>
      <c r="TX5">
        <v>0.33128000000000002</v>
      </c>
      <c r="TY5" t="s">
        <v>1845</v>
      </c>
      <c r="TZ5">
        <v>2025</v>
      </c>
      <c r="UA5" t="s">
        <v>1883</v>
      </c>
      <c r="UB5" s="6">
        <v>45848</v>
      </c>
      <c r="UC5">
        <v>5</v>
      </c>
      <c r="UD5">
        <v>5884587</v>
      </c>
      <c r="UE5">
        <v>101752</v>
      </c>
      <c r="UF5" t="s">
        <v>2723</v>
      </c>
      <c r="UI5" t="str">
        <f>_xll.BDS("BX US Equity","SUPPLY_CHAIN_CUSTOMERS_ALL_DATA","cols=12;rows=5")</f>
        <v>002284 CH Equity</v>
      </c>
      <c r="UJ5">
        <v>-2.4245362661989844E-14</v>
      </c>
      <c r="UL5">
        <v>-2.4245362661989844E-14</v>
      </c>
      <c r="UM5" t="s">
        <v>1745</v>
      </c>
      <c r="UN5">
        <v>2024</v>
      </c>
      <c r="UO5" t="s">
        <v>3705</v>
      </c>
      <c r="UP5" s="6">
        <v>45744</v>
      </c>
      <c r="UQ5">
        <v>5</v>
      </c>
      <c r="UR5">
        <v>-2.4245362661989844E-14</v>
      </c>
      <c r="US5">
        <v>15069854</v>
      </c>
      <c r="UT5" t="s">
        <v>3192</v>
      </c>
      <c r="UY5" t="str">
        <f>_xll.BDS("166783Q US Equity","SUPPLY_CHAIN_SUPPLIERS_ALL_DATA")</f>
        <v>#N/A N/A</v>
      </c>
      <c r="VM5" t="str">
        <f>_xll.BDS("166783Q US Equity","SUPPLY_CHAIN_CUSTOMERS_ALL_DATA")</f>
        <v>#N/A N/A</v>
      </c>
    </row>
    <row r="6" spans="1:600" x14ac:dyDescent="0.25">
      <c r="A6" t="s">
        <v>845</v>
      </c>
      <c r="B6" t="s">
        <v>1786</v>
      </c>
      <c r="C6">
        <v>9.9113000000000007E-2</v>
      </c>
      <c r="D6">
        <v>0.15395200000000001</v>
      </c>
      <c r="E6" t="s">
        <v>1845</v>
      </c>
      <c r="F6">
        <v>2025</v>
      </c>
      <c r="G6" t="s">
        <v>5134</v>
      </c>
      <c r="H6" s="6">
        <v>45835</v>
      </c>
      <c r="I6">
        <v>5</v>
      </c>
      <c r="J6">
        <v>2162175</v>
      </c>
      <c r="K6">
        <v>101359</v>
      </c>
      <c r="L6" t="s">
        <v>5386</v>
      </c>
      <c r="O6" t="s">
        <v>5664</v>
      </c>
      <c r="P6">
        <v>7.1872030000000002</v>
      </c>
      <c r="Q6" t="s">
        <v>1786</v>
      </c>
      <c r="R6">
        <v>0.88877499999999998</v>
      </c>
      <c r="S6" t="s">
        <v>1762</v>
      </c>
      <c r="T6">
        <v>2025</v>
      </c>
      <c r="U6" t="s">
        <v>6567</v>
      </c>
      <c r="V6" s="6">
        <v>45867</v>
      </c>
      <c r="W6">
        <v>5</v>
      </c>
      <c r="X6">
        <v>142355136</v>
      </c>
      <c r="Y6">
        <v>101433</v>
      </c>
      <c r="Z6" t="s">
        <v>5665</v>
      </c>
      <c r="BI6" t="s">
        <v>4359</v>
      </c>
      <c r="BJ6" t="s">
        <v>1786</v>
      </c>
      <c r="BK6">
        <v>0.55191900000000005</v>
      </c>
      <c r="BL6">
        <v>0.33829599999999999</v>
      </c>
      <c r="BM6" t="s">
        <v>1809</v>
      </c>
      <c r="BN6">
        <v>2026</v>
      </c>
      <c r="BO6" t="s">
        <v>4360</v>
      </c>
      <c r="BP6" s="6">
        <v>45967</v>
      </c>
      <c r="BQ6">
        <v>5</v>
      </c>
      <c r="BR6">
        <v>8728047</v>
      </c>
      <c r="BS6">
        <v>104637</v>
      </c>
      <c r="BT6" t="s">
        <v>4361</v>
      </c>
      <c r="BW6" t="s">
        <v>5723</v>
      </c>
      <c r="BX6">
        <v>4.5903020000000003</v>
      </c>
      <c r="BY6" t="s">
        <v>1786</v>
      </c>
      <c r="BZ6">
        <v>10.347038</v>
      </c>
      <c r="CA6" t="s">
        <v>1742</v>
      </c>
      <c r="CB6">
        <v>2025</v>
      </c>
      <c r="CC6" t="s">
        <v>5722</v>
      </c>
      <c r="CD6" s="6">
        <v>45982</v>
      </c>
      <c r="CE6">
        <v>5</v>
      </c>
      <c r="CF6">
        <v>188202384</v>
      </c>
      <c r="CG6">
        <v>18170741</v>
      </c>
      <c r="CH6" t="s">
        <v>5724</v>
      </c>
      <c r="DQ6" t="s">
        <v>5278</v>
      </c>
      <c r="DR6" t="s">
        <v>1786</v>
      </c>
      <c r="DS6">
        <v>1.073509</v>
      </c>
      <c r="DT6">
        <v>1.223395</v>
      </c>
      <c r="DU6" t="s">
        <v>1762</v>
      </c>
      <c r="DV6">
        <v>2025</v>
      </c>
      <c r="DW6" t="s">
        <v>5279</v>
      </c>
      <c r="DX6" s="6">
        <v>45959</v>
      </c>
      <c r="DY6">
        <v>5</v>
      </c>
      <c r="DZ6">
        <v>36821796.350000001</v>
      </c>
      <c r="EA6">
        <v>113332</v>
      </c>
      <c r="EB6" t="s">
        <v>5280</v>
      </c>
      <c r="EE6" t="s">
        <v>2147</v>
      </c>
      <c r="EF6">
        <v>27</v>
      </c>
      <c r="EG6" t="s">
        <v>1786</v>
      </c>
      <c r="EH6">
        <v>3.1622810000000001</v>
      </c>
      <c r="EI6" t="s">
        <v>1745</v>
      </c>
      <c r="EJ6">
        <v>2025</v>
      </c>
      <c r="EK6" t="s">
        <v>5214</v>
      </c>
      <c r="EL6" s="6">
        <v>46066</v>
      </c>
      <c r="EM6">
        <v>5</v>
      </c>
      <c r="EN6">
        <v>2480692480</v>
      </c>
      <c r="EO6">
        <v>156969</v>
      </c>
      <c r="EP6" t="s">
        <v>2148</v>
      </c>
      <c r="EU6" t="s">
        <v>420</v>
      </c>
      <c r="EV6" t="s">
        <v>1820</v>
      </c>
      <c r="EW6">
        <v>1.044E-3</v>
      </c>
      <c r="EX6">
        <v>4.2535189999999998</v>
      </c>
      <c r="EY6" t="s">
        <v>1762</v>
      </c>
      <c r="EZ6">
        <v>2025</v>
      </c>
      <c r="FA6" t="s">
        <v>3326</v>
      </c>
      <c r="FB6" s="6">
        <v>45846</v>
      </c>
      <c r="FC6">
        <v>5</v>
      </c>
      <c r="FD6">
        <v>79626</v>
      </c>
      <c r="FE6">
        <v>42602315</v>
      </c>
      <c r="FF6" t="s">
        <v>2176</v>
      </c>
      <c r="FI6" t="s">
        <v>2953</v>
      </c>
      <c r="FJ6">
        <v>8.8378809999999994</v>
      </c>
      <c r="FK6" t="s">
        <v>1820</v>
      </c>
      <c r="FL6">
        <v>0.43299900000000002</v>
      </c>
      <c r="FM6" t="s">
        <v>1762</v>
      </c>
      <c r="FN6">
        <v>2025</v>
      </c>
      <c r="FO6" t="s">
        <v>3800</v>
      </c>
      <c r="FP6" s="6">
        <v>45875</v>
      </c>
      <c r="FQ6">
        <v>5</v>
      </c>
      <c r="FR6">
        <v>12198662</v>
      </c>
      <c r="FS6">
        <v>14038385</v>
      </c>
      <c r="FT6" t="s">
        <v>2955</v>
      </c>
      <c r="HC6" t="s">
        <v>4109</v>
      </c>
      <c r="HD6" t="s">
        <v>1769</v>
      </c>
      <c r="HE6">
        <v>3.9891000000000003E-2</v>
      </c>
      <c r="HF6">
        <v>1.8753489999999999</v>
      </c>
      <c r="HG6" t="s">
        <v>1762</v>
      </c>
      <c r="HH6">
        <v>2026</v>
      </c>
      <c r="HI6" t="s">
        <v>4110</v>
      </c>
      <c r="HJ6" s="6">
        <v>46022</v>
      </c>
      <c r="HK6">
        <v>5</v>
      </c>
      <c r="HL6">
        <v>1870330.72</v>
      </c>
      <c r="HM6">
        <v>174545</v>
      </c>
      <c r="HN6" t="s">
        <v>4111</v>
      </c>
      <c r="HQ6" t="s">
        <v>6338</v>
      </c>
      <c r="HR6">
        <v>-2.4245362661989844E-14</v>
      </c>
      <c r="HT6">
        <v>-2.4245362661989844E-14</v>
      </c>
      <c r="HU6" t="s">
        <v>1745</v>
      </c>
      <c r="HV6">
        <v>2022</v>
      </c>
      <c r="HW6" t="s">
        <v>6339</v>
      </c>
      <c r="HX6" s="6">
        <v>44792</v>
      </c>
      <c r="HY6">
        <v>5</v>
      </c>
      <c r="HZ6">
        <v>-2.4245362661989844E-14</v>
      </c>
      <c r="IA6">
        <v>33834257</v>
      </c>
      <c r="IB6" t="s">
        <v>6340</v>
      </c>
      <c r="IG6" t="s">
        <v>2310</v>
      </c>
      <c r="IH6" t="s">
        <v>1820</v>
      </c>
      <c r="II6">
        <v>8.4566000000000002E-2</v>
      </c>
      <c r="IJ6">
        <v>17.413955999999999</v>
      </c>
      <c r="IK6" t="s">
        <v>1845</v>
      </c>
      <c r="IL6">
        <v>2025</v>
      </c>
      <c r="IM6" t="s">
        <v>2311</v>
      </c>
      <c r="IN6" s="6">
        <v>45720</v>
      </c>
      <c r="IO6">
        <v>5</v>
      </c>
      <c r="IP6">
        <v>33260652</v>
      </c>
      <c r="IQ6">
        <v>313657</v>
      </c>
      <c r="IR6" t="s">
        <v>2312</v>
      </c>
      <c r="IU6" t="s">
        <v>3699</v>
      </c>
      <c r="IV6">
        <v>-2.4245362661989844E-14</v>
      </c>
      <c r="IX6">
        <v>-2.4245362661989844E-14</v>
      </c>
      <c r="IY6" t="s">
        <v>1745</v>
      </c>
      <c r="IZ6">
        <v>2025</v>
      </c>
      <c r="JA6" t="s">
        <v>5397</v>
      </c>
      <c r="JB6" s="6">
        <v>45917</v>
      </c>
      <c r="JC6">
        <v>5</v>
      </c>
      <c r="JD6">
        <v>-2.4245362661989844E-14</v>
      </c>
      <c r="JE6">
        <v>100024</v>
      </c>
      <c r="JF6" t="s">
        <v>3701</v>
      </c>
      <c r="KO6" t="s">
        <v>4887</v>
      </c>
      <c r="KQ6">
        <v>-2.4245362661989844E-14</v>
      </c>
      <c r="KR6">
        <v>-2.4245362661989844E-14</v>
      </c>
      <c r="KS6" t="s">
        <v>1745</v>
      </c>
      <c r="KT6">
        <v>2021</v>
      </c>
      <c r="KU6" t="s">
        <v>4888</v>
      </c>
      <c r="KV6" s="6">
        <v>44649</v>
      </c>
      <c r="KW6">
        <v>5</v>
      </c>
      <c r="KX6">
        <v>-2.4245362661989844E-14</v>
      </c>
      <c r="KY6">
        <v>17662270</v>
      </c>
      <c r="KZ6" t="s">
        <v>4889</v>
      </c>
      <c r="LC6" t="s">
        <v>4861</v>
      </c>
      <c r="LD6">
        <v>-2.4245362661989844E-14</v>
      </c>
      <c r="LF6">
        <v>-2.4245362661989844E-14</v>
      </c>
      <c r="LG6" t="s">
        <v>1745</v>
      </c>
      <c r="LH6">
        <v>2021</v>
      </c>
      <c r="LI6" t="s">
        <v>4862</v>
      </c>
      <c r="LJ6" s="6">
        <v>44662</v>
      </c>
      <c r="LK6">
        <v>5</v>
      </c>
      <c r="LL6">
        <v>-2.4245362661989844E-14</v>
      </c>
      <c r="LM6">
        <v>15182853</v>
      </c>
      <c r="LN6" t="s">
        <v>4863</v>
      </c>
      <c r="LS6" t="s">
        <v>6486</v>
      </c>
      <c r="LT6" t="s">
        <v>1786</v>
      </c>
      <c r="LU6">
        <v>0.15429000000000001</v>
      </c>
      <c r="LV6">
        <v>1.110466</v>
      </c>
      <c r="LW6" t="s">
        <v>1742</v>
      </c>
      <c r="LX6">
        <v>2024</v>
      </c>
      <c r="LY6" t="s">
        <v>2198</v>
      </c>
      <c r="LZ6" s="6">
        <v>45667</v>
      </c>
      <c r="MA6">
        <v>5</v>
      </c>
      <c r="MB6">
        <v>43297068</v>
      </c>
      <c r="MC6">
        <v>7791092</v>
      </c>
      <c r="MD6" t="s">
        <v>6487</v>
      </c>
      <c r="MG6" t="s">
        <v>840</v>
      </c>
      <c r="MH6">
        <v>2.9171480000000001</v>
      </c>
      <c r="MI6" t="s">
        <v>1786</v>
      </c>
      <c r="MJ6">
        <v>3.8580190000000001</v>
      </c>
      <c r="MK6" t="s">
        <v>1742</v>
      </c>
      <c r="ML6">
        <v>2025</v>
      </c>
      <c r="MM6" t="s">
        <v>2198</v>
      </c>
      <c r="MN6" s="6">
        <v>46003</v>
      </c>
      <c r="MO6">
        <v>5</v>
      </c>
      <c r="MP6">
        <v>203850304</v>
      </c>
      <c r="MQ6">
        <v>100142</v>
      </c>
      <c r="MR6" t="s">
        <v>2200</v>
      </c>
      <c r="QI6" t="s">
        <v>1287</v>
      </c>
      <c r="QJ6" t="s">
        <v>1786</v>
      </c>
      <c r="QK6">
        <v>0.86485599999999996</v>
      </c>
      <c r="QL6">
        <v>4.0630959999999998</v>
      </c>
      <c r="QM6" t="s">
        <v>1809</v>
      </c>
      <c r="QN6">
        <v>2025</v>
      </c>
      <c r="QO6" t="s">
        <v>2035</v>
      </c>
      <c r="QP6" s="6">
        <v>45797</v>
      </c>
      <c r="QQ6">
        <v>5</v>
      </c>
      <c r="QR6">
        <v>264507552</v>
      </c>
      <c r="QS6">
        <v>101376</v>
      </c>
      <c r="QT6" t="s">
        <v>1895</v>
      </c>
      <c r="QW6" t="s">
        <v>424</v>
      </c>
      <c r="QX6">
        <v>3.8131789999999999</v>
      </c>
      <c r="QY6" t="s">
        <v>1786</v>
      </c>
      <c r="QZ6">
        <v>2.529652</v>
      </c>
      <c r="RA6" t="s">
        <v>1809</v>
      </c>
      <c r="RB6">
        <v>2025</v>
      </c>
      <c r="RC6" t="s">
        <v>2035</v>
      </c>
      <c r="RD6" s="6">
        <v>45797</v>
      </c>
      <c r="RE6">
        <v>5</v>
      </c>
      <c r="RF6">
        <v>554474368</v>
      </c>
      <c r="RG6">
        <v>101743</v>
      </c>
      <c r="RH6" t="s">
        <v>1891</v>
      </c>
      <c r="RM6" t="s">
        <v>2383</v>
      </c>
      <c r="RN6" t="s">
        <v>1786</v>
      </c>
      <c r="RO6">
        <v>0.347161</v>
      </c>
      <c r="RP6">
        <v>4.1422239999999997</v>
      </c>
      <c r="RQ6" t="s">
        <v>1762</v>
      </c>
      <c r="RR6">
        <v>2025</v>
      </c>
      <c r="RS6" t="s">
        <v>2384</v>
      </c>
      <c r="RT6" s="6">
        <v>45889</v>
      </c>
      <c r="RU6">
        <v>5</v>
      </c>
      <c r="RV6">
        <v>201928052.13999999</v>
      </c>
      <c r="RW6">
        <v>119133</v>
      </c>
      <c r="RX6" t="s">
        <v>2385</v>
      </c>
      <c r="SA6" t="s">
        <v>424</v>
      </c>
      <c r="SB6">
        <v>2.8732120000000001</v>
      </c>
      <c r="SC6" t="s">
        <v>1820</v>
      </c>
      <c r="SD6">
        <v>2.4006630000000002</v>
      </c>
      <c r="SE6" t="s">
        <v>1762</v>
      </c>
      <c r="SF6">
        <v>2025</v>
      </c>
      <c r="SG6" t="s">
        <v>4062</v>
      </c>
      <c r="SH6" s="6">
        <v>45783</v>
      </c>
      <c r="SI6">
        <v>5</v>
      </c>
      <c r="SJ6">
        <v>401991104</v>
      </c>
      <c r="SK6">
        <v>101743</v>
      </c>
      <c r="SL6" t="s">
        <v>1891</v>
      </c>
      <c r="SQ6" t="s">
        <v>2170</v>
      </c>
      <c r="SR6" t="s">
        <v>1786</v>
      </c>
      <c r="SS6">
        <v>2.9053209999999998</v>
      </c>
      <c r="ST6">
        <v>8.9932630000000007</v>
      </c>
      <c r="SU6" t="s">
        <v>1845</v>
      </c>
      <c r="SV6">
        <v>2024</v>
      </c>
      <c r="SW6" t="s">
        <v>3435</v>
      </c>
      <c r="SX6" s="6">
        <v>45741</v>
      </c>
      <c r="SY6">
        <v>5</v>
      </c>
      <c r="SZ6">
        <v>779959532.52999997</v>
      </c>
      <c r="TA6">
        <v>153737</v>
      </c>
      <c r="TB6" t="s">
        <v>2171</v>
      </c>
      <c r="TE6" t="s">
        <v>204</v>
      </c>
      <c r="TF6">
        <v>12.003353000000001</v>
      </c>
      <c r="TG6" t="s">
        <v>1786</v>
      </c>
      <c r="TH6">
        <v>14.056165999999999</v>
      </c>
      <c r="TI6" t="s">
        <v>1845</v>
      </c>
      <c r="TJ6">
        <v>2025</v>
      </c>
      <c r="TK6" t="s">
        <v>2245</v>
      </c>
      <c r="TL6" s="6">
        <v>46048</v>
      </c>
      <c r="TM6">
        <v>5</v>
      </c>
      <c r="TN6">
        <v>1641338496</v>
      </c>
      <c r="TO6">
        <v>100732</v>
      </c>
      <c r="TP6" t="s">
        <v>2825</v>
      </c>
      <c r="TU6" t="s">
        <v>4796</v>
      </c>
      <c r="TV6" t="s">
        <v>1769</v>
      </c>
      <c r="TW6">
        <v>0.597939</v>
      </c>
      <c r="TX6">
        <v>5.9714000000000003E-2</v>
      </c>
      <c r="TY6" t="s">
        <v>1745</v>
      </c>
      <c r="TZ6">
        <v>2024</v>
      </c>
      <c r="UA6" t="s">
        <v>4797</v>
      </c>
      <c r="UB6" s="6">
        <v>45694</v>
      </c>
      <c r="UC6">
        <v>5</v>
      </c>
      <c r="UD6">
        <v>957052.25</v>
      </c>
      <c r="UE6">
        <v>103579</v>
      </c>
      <c r="UF6" t="s">
        <v>4798</v>
      </c>
      <c r="UI6" t="s">
        <v>3706</v>
      </c>
      <c r="UJ6">
        <v>-2.4245362661989844E-14</v>
      </c>
      <c r="UL6">
        <v>-2.4245362661989844E-14</v>
      </c>
      <c r="UM6" t="s">
        <v>1805</v>
      </c>
      <c r="UN6">
        <v>2025</v>
      </c>
      <c r="UO6" t="s">
        <v>3707</v>
      </c>
      <c r="UP6" s="6">
        <v>45894</v>
      </c>
      <c r="UQ6">
        <v>5</v>
      </c>
      <c r="UR6">
        <v>-2.4245362661989844E-14</v>
      </c>
      <c r="US6">
        <v>15149577</v>
      </c>
      <c r="UT6" t="s">
        <v>3708</v>
      </c>
    </row>
    <row r="7" spans="1:600" x14ac:dyDescent="0.25">
      <c r="A7" t="s">
        <v>5063</v>
      </c>
      <c r="B7" t="s">
        <v>1786</v>
      </c>
      <c r="C7">
        <v>3.2266999999999997E-2</v>
      </c>
      <c r="D7">
        <v>9.6430000000000002E-2</v>
      </c>
      <c r="E7" t="s">
        <v>1845</v>
      </c>
      <c r="F7">
        <v>2025</v>
      </c>
      <c r="G7" t="s">
        <v>5064</v>
      </c>
      <c r="H7" s="6">
        <v>45986</v>
      </c>
      <c r="I7">
        <v>5</v>
      </c>
      <c r="J7">
        <v>1480623.9</v>
      </c>
      <c r="K7">
        <v>300730</v>
      </c>
      <c r="L7" t="s">
        <v>5065</v>
      </c>
      <c r="O7" t="s">
        <v>6568</v>
      </c>
      <c r="P7">
        <v>5.3310769999999996</v>
      </c>
      <c r="Q7" t="s">
        <v>1786</v>
      </c>
      <c r="R7">
        <v>1.3647579999999999</v>
      </c>
      <c r="S7" t="s">
        <v>1762</v>
      </c>
      <c r="T7">
        <v>2025</v>
      </c>
      <c r="U7" t="s">
        <v>6567</v>
      </c>
      <c r="V7" s="6">
        <v>45867</v>
      </c>
      <c r="W7">
        <v>5</v>
      </c>
      <c r="X7">
        <v>105591312</v>
      </c>
      <c r="Y7">
        <v>24768554</v>
      </c>
      <c r="Z7" t="s">
        <v>6569</v>
      </c>
      <c r="BI7" t="s">
        <v>5683</v>
      </c>
      <c r="BJ7" t="s">
        <v>1786</v>
      </c>
      <c r="BK7">
        <v>0.948411</v>
      </c>
      <c r="BL7">
        <v>0.14854400000000001</v>
      </c>
      <c r="BM7" t="s">
        <v>1762</v>
      </c>
      <c r="BN7">
        <v>2025</v>
      </c>
      <c r="BO7" t="s">
        <v>5684</v>
      </c>
      <c r="BP7" s="6">
        <v>45902</v>
      </c>
      <c r="BQ7">
        <v>5</v>
      </c>
      <c r="BR7">
        <v>3669042</v>
      </c>
      <c r="BS7">
        <v>47762945</v>
      </c>
      <c r="BT7" t="s">
        <v>5685</v>
      </c>
      <c r="BW7" t="s">
        <v>5725</v>
      </c>
      <c r="BX7">
        <v>3.8943539999999999</v>
      </c>
      <c r="BY7" t="s">
        <v>1786</v>
      </c>
      <c r="BZ7">
        <v>2.5072610000000002</v>
      </c>
      <c r="CA7" t="s">
        <v>1742</v>
      </c>
      <c r="CB7">
        <v>2025</v>
      </c>
      <c r="CC7" t="s">
        <v>5722</v>
      </c>
      <c r="CD7" s="6">
        <v>45982</v>
      </c>
      <c r="CE7">
        <v>5</v>
      </c>
      <c r="CF7">
        <v>159668512</v>
      </c>
      <c r="CG7">
        <v>221432</v>
      </c>
      <c r="CH7" t="s">
        <v>5726</v>
      </c>
      <c r="DQ7" t="s">
        <v>5281</v>
      </c>
      <c r="DR7" t="s">
        <v>1786</v>
      </c>
      <c r="DS7">
        <v>2.3738000000000001</v>
      </c>
      <c r="DT7">
        <v>0.71700799999999998</v>
      </c>
      <c r="DU7" t="s">
        <v>1742</v>
      </c>
      <c r="DV7">
        <v>2025</v>
      </c>
      <c r="DW7" t="s">
        <v>5282</v>
      </c>
      <c r="DX7" s="6">
        <v>46069</v>
      </c>
      <c r="DY7">
        <v>5</v>
      </c>
      <c r="DZ7">
        <v>21422836.649999999</v>
      </c>
      <c r="EA7">
        <v>153809</v>
      </c>
      <c r="EB7" t="s">
        <v>5283</v>
      </c>
      <c r="EE7" t="s">
        <v>236</v>
      </c>
      <c r="EF7">
        <v>16</v>
      </c>
      <c r="EG7" t="s">
        <v>1786</v>
      </c>
      <c r="EH7">
        <v>2.4954839999999998</v>
      </c>
      <c r="EI7" t="s">
        <v>1745</v>
      </c>
      <c r="EJ7">
        <v>2025</v>
      </c>
      <c r="EK7" t="s">
        <v>5214</v>
      </c>
      <c r="EL7" s="6">
        <v>46066</v>
      </c>
      <c r="EM7">
        <v>5</v>
      </c>
      <c r="EN7">
        <v>1470040064</v>
      </c>
      <c r="EO7">
        <v>102782</v>
      </c>
      <c r="EP7" t="s">
        <v>2149</v>
      </c>
      <c r="EU7" t="s">
        <v>3348</v>
      </c>
      <c r="EV7" t="s">
        <v>1786</v>
      </c>
      <c r="EW7">
        <v>7.5299999999999998E-4</v>
      </c>
      <c r="EX7">
        <v>3.5430000000000001E-3</v>
      </c>
      <c r="EY7" t="s">
        <v>1845</v>
      </c>
      <c r="EZ7">
        <v>2025</v>
      </c>
      <c r="FA7" t="s">
        <v>3349</v>
      </c>
      <c r="FB7" s="6">
        <v>46018</v>
      </c>
      <c r="FC7">
        <v>5</v>
      </c>
      <c r="FD7">
        <v>2312</v>
      </c>
      <c r="FE7">
        <v>916504</v>
      </c>
      <c r="FF7" t="s">
        <v>3350</v>
      </c>
      <c r="FI7" t="s">
        <v>1287</v>
      </c>
      <c r="FJ7">
        <v>5.170668</v>
      </c>
      <c r="FK7" t="s">
        <v>1820</v>
      </c>
      <c r="FL7">
        <v>0.14088600000000001</v>
      </c>
      <c r="FM7" t="s">
        <v>1762</v>
      </c>
      <c r="FN7">
        <v>2025</v>
      </c>
      <c r="FO7" t="s">
        <v>3800</v>
      </c>
      <c r="FP7" s="6">
        <v>45875</v>
      </c>
      <c r="FQ7">
        <v>5</v>
      </c>
      <c r="FR7">
        <v>7136918</v>
      </c>
      <c r="FS7">
        <v>101376</v>
      </c>
      <c r="FT7" t="s">
        <v>1895</v>
      </c>
      <c r="HC7" t="s">
        <v>157</v>
      </c>
      <c r="HD7" t="s">
        <v>1820</v>
      </c>
      <c r="HE7">
        <v>6.1630000000000001E-3</v>
      </c>
      <c r="HF7">
        <v>4.8631000000000001E-2</v>
      </c>
      <c r="HG7" t="s">
        <v>1762</v>
      </c>
      <c r="HH7">
        <v>2025</v>
      </c>
      <c r="HI7" t="s">
        <v>3800</v>
      </c>
      <c r="HJ7" s="6">
        <v>45875</v>
      </c>
      <c r="HK7">
        <v>5</v>
      </c>
      <c r="HL7">
        <v>8507</v>
      </c>
      <c r="HM7">
        <v>171007</v>
      </c>
      <c r="HN7" t="s">
        <v>3801</v>
      </c>
      <c r="HQ7" t="s">
        <v>6012</v>
      </c>
      <c r="HR7">
        <v>-2.4245362661989844E-14</v>
      </c>
      <c r="HT7">
        <v>-2.4245362661989844E-14</v>
      </c>
      <c r="HU7" t="s">
        <v>1809</v>
      </c>
      <c r="HV7">
        <v>2023</v>
      </c>
      <c r="HW7" t="s">
        <v>6013</v>
      </c>
      <c r="HX7" s="6">
        <v>45000</v>
      </c>
      <c r="HY7">
        <v>5</v>
      </c>
      <c r="HZ7">
        <v>-2.4245362661989844E-14</v>
      </c>
      <c r="IA7">
        <v>64921057</v>
      </c>
      <c r="IB7" t="s">
        <v>6014</v>
      </c>
      <c r="IG7" t="s">
        <v>3797</v>
      </c>
      <c r="IH7" t="s">
        <v>1769</v>
      </c>
      <c r="II7">
        <v>5.7837880000000004</v>
      </c>
      <c r="IJ7">
        <v>0.227356</v>
      </c>
      <c r="IK7" t="s">
        <v>1805</v>
      </c>
      <c r="IL7">
        <v>2025</v>
      </c>
      <c r="IM7" t="s">
        <v>3798</v>
      </c>
      <c r="IN7" s="6">
        <v>45881</v>
      </c>
      <c r="IO7">
        <v>5</v>
      </c>
      <c r="IP7">
        <v>4953328.4800000004</v>
      </c>
      <c r="IQ7">
        <v>111471</v>
      </c>
      <c r="IR7" t="s">
        <v>3799</v>
      </c>
      <c r="IU7" t="s">
        <v>5398</v>
      </c>
      <c r="IV7">
        <v>-2.4245362661989844E-14</v>
      </c>
      <c r="IX7">
        <v>-2.4245362661989844E-14</v>
      </c>
      <c r="IY7" t="s">
        <v>1745</v>
      </c>
      <c r="IZ7">
        <v>2023</v>
      </c>
      <c r="JA7" t="s">
        <v>5399</v>
      </c>
      <c r="JB7" s="6">
        <v>45331</v>
      </c>
      <c r="JC7">
        <v>5</v>
      </c>
      <c r="JD7">
        <v>-2.4245362661989844E-14</v>
      </c>
      <c r="JE7">
        <v>100061</v>
      </c>
      <c r="JF7" t="s">
        <v>5400</v>
      </c>
      <c r="KO7" t="s">
        <v>4890</v>
      </c>
      <c r="KQ7">
        <v>-2.4245362661989844E-14</v>
      </c>
      <c r="KR7">
        <v>-2.4245362661989844E-14</v>
      </c>
      <c r="KS7" t="s">
        <v>1745</v>
      </c>
      <c r="KT7">
        <v>2021</v>
      </c>
      <c r="KU7" t="s">
        <v>4891</v>
      </c>
      <c r="KV7" s="6">
        <v>44659</v>
      </c>
      <c r="KW7">
        <v>5</v>
      </c>
      <c r="KX7">
        <v>-2.4245362661989844E-14</v>
      </c>
      <c r="KY7">
        <v>22738924</v>
      </c>
      <c r="KZ7" t="s">
        <v>4892</v>
      </c>
      <c r="LC7" t="s">
        <v>4864</v>
      </c>
      <c r="LD7">
        <v>-2.4245362661989844E-14</v>
      </c>
      <c r="LF7">
        <v>-2.4245362661989844E-14</v>
      </c>
      <c r="LG7" t="s">
        <v>1762</v>
      </c>
      <c r="LH7">
        <v>2022</v>
      </c>
      <c r="LI7" t="s">
        <v>4865</v>
      </c>
      <c r="LJ7" s="6">
        <v>44686</v>
      </c>
      <c r="LK7">
        <v>5</v>
      </c>
      <c r="LL7">
        <v>-2.4245362661989844E-14</v>
      </c>
      <c r="LM7">
        <v>22250552</v>
      </c>
      <c r="LN7" t="s">
        <v>4866</v>
      </c>
      <c r="LS7" t="s">
        <v>6488</v>
      </c>
      <c r="LT7" t="s">
        <v>1786</v>
      </c>
      <c r="LU7">
        <v>10.517855000000001</v>
      </c>
      <c r="LV7">
        <v>0.56149499999999997</v>
      </c>
      <c r="LW7" t="s">
        <v>1742</v>
      </c>
      <c r="LX7">
        <v>2025</v>
      </c>
      <c r="LY7" t="s">
        <v>6489</v>
      </c>
      <c r="LZ7" s="6">
        <v>45974</v>
      </c>
      <c r="MA7">
        <v>5</v>
      </c>
      <c r="MB7">
        <v>24221812.379999999</v>
      </c>
      <c r="MC7">
        <v>162709</v>
      </c>
      <c r="MD7" t="s">
        <v>6490</v>
      </c>
      <c r="MG7" t="s">
        <v>1814</v>
      </c>
      <c r="MH7">
        <v>2.3630979999999999</v>
      </c>
      <c r="MI7" t="s">
        <v>1786</v>
      </c>
      <c r="MJ7">
        <v>2.494936</v>
      </c>
      <c r="MK7" t="s">
        <v>1809</v>
      </c>
      <c r="ML7">
        <v>2025</v>
      </c>
      <c r="MM7" t="s">
        <v>2198</v>
      </c>
      <c r="MN7" s="6">
        <v>45806</v>
      </c>
      <c r="MO7">
        <v>5</v>
      </c>
      <c r="MP7">
        <v>150694752</v>
      </c>
      <c r="MQ7">
        <v>100115</v>
      </c>
      <c r="MR7" t="s">
        <v>1816</v>
      </c>
      <c r="QI7" t="s">
        <v>1885</v>
      </c>
      <c r="QJ7" t="s">
        <v>1786</v>
      </c>
      <c r="QK7">
        <v>0.167933</v>
      </c>
      <c r="QL7">
        <v>4.0156150000000004</v>
      </c>
      <c r="QM7" t="s">
        <v>1809</v>
      </c>
      <c r="QN7">
        <v>2025</v>
      </c>
      <c r="QO7" t="s">
        <v>2035</v>
      </c>
      <c r="QP7" s="6">
        <v>45797</v>
      </c>
      <c r="QQ7">
        <v>5</v>
      </c>
      <c r="QR7">
        <v>261416544</v>
      </c>
      <c r="QS7">
        <v>216952</v>
      </c>
      <c r="QT7" t="s">
        <v>1886</v>
      </c>
      <c r="QW7" t="s">
        <v>1789</v>
      </c>
      <c r="QX7">
        <v>3.1054590000000002</v>
      </c>
      <c r="QY7" t="s">
        <v>1786</v>
      </c>
      <c r="QZ7">
        <v>1.2857479999999999</v>
      </c>
      <c r="RA7" t="s">
        <v>1809</v>
      </c>
      <c r="RB7">
        <v>2025</v>
      </c>
      <c r="RC7" t="s">
        <v>2035</v>
      </c>
      <c r="RD7" s="6">
        <v>45797</v>
      </c>
      <c r="RE7">
        <v>5</v>
      </c>
      <c r="RF7">
        <v>451564800</v>
      </c>
      <c r="RG7">
        <v>117929</v>
      </c>
      <c r="RH7" t="s">
        <v>1791</v>
      </c>
      <c r="RM7" t="s">
        <v>2170</v>
      </c>
      <c r="RN7" t="s">
        <v>1786</v>
      </c>
      <c r="RO7">
        <v>0.664825</v>
      </c>
      <c r="RP7">
        <v>3.6327410000000002</v>
      </c>
      <c r="RQ7" t="s">
        <v>1845</v>
      </c>
      <c r="RR7">
        <v>2024</v>
      </c>
      <c r="RS7" t="s">
        <v>3435</v>
      </c>
      <c r="RT7" s="6">
        <v>45741</v>
      </c>
      <c r="RU7">
        <v>5</v>
      </c>
      <c r="RV7">
        <v>178478249.27000001</v>
      </c>
      <c r="RW7">
        <v>153737</v>
      </c>
      <c r="RX7" t="s">
        <v>2171</v>
      </c>
      <c r="SA7" t="s">
        <v>1789</v>
      </c>
      <c r="SB7">
        <v>2.64514</v>
      </c>
      <c r="SC7" t="s">
        <v>1786</v>
      </c>
      <c r="SD7">
        <v>1.094911</v>
      </c>
      <c r="SE7" t="s">
        <v>1762</v>
      </c>
      <c r="SF7">
        <v>2025</v>
      </c>
      <c r="SG7" t="s">
        <v>4062</v>
      </c>
      <c r="SH7" s="6">
        <v>45783</v>
      </c>
      <c r="SI7">
        <v>5</v>
      </c>
      <c r="SJ7">
        <v>370081536</v>
      </c>
      <c r="SK7">
        <v>117929</v>
      </c>
      <c r="SL7" t="s">
        <v>1791</v>
      </c>
      <c r="SQ7" t="s">
        <v>2944</v>
      </c>
      <c r="SR7" t="s">
        <v>1786</v>
      </c>
      <c r="SS7">
        <v>1.4676359999999999</v>
      </c>
      <c r="ST7">
        <v>2.8381699999999999</v>
      </c>
      <c r="SU7" t="s">
        <v>1742</v>
      </c>
      <c r="SV7">
        <v>2025</v>
      </c>
      <c r="SW7" t="s">
        <v>2945</v>
      </c>
      <c r="SX7" s="6">
        <v>46080</v>
      </c>
      <c r="SY7">
        <v>5</v>
      </c>
      <c r="SZ7">
        <v>258849259.34</v>
      </c>
      <c r="TA7">
        <v>193974</v>
      </c>
      <c r="TB7" t="s">
        <v>2946</v>
      </c>
      <c r="TE7" t="s">
        <v>2512</v>
      </c>
      <c r="TF7">
        <v>12.001497000000001</v>
      </c>
      <c r="TG7" t="s">
        <v>1786</v>
      </c>
      <c r="TH7">
        <v>9.4830839999999998</v>
      </c>
      <c r="TI7" t="s">
        <v>1845</v>
      </c>
      <c r="TJ7">
        <v>2025</v>
      </c>
      <c r="TK7" t="s">
        <v>2245</v>
      </c>
      <c r="TL7" s="6">
        <v>46048</v>
      </c>
      <c r="TM7">
        <v>5</v>
      </c>
      <c r="TN7">
        <v>1641084672</v>
      </c>
      <c r="TO7">
        <v>130929</v>
      </c>
      <c r="TP7" t="s">
        <v>2513</v>
      </c>
      <c r="TU7" t="s">
        <v>4799</v>
      </c>
      <c r="TV7" t="s">
        <v>1786</v>
      </c>
      <c r="TW7">
        <v>7.4065000000000006E-2</v>
      </c>
      <c r="TX7">
        <v>2.879E-3</v>
      </c>
      <c r="TY7" t="s">
        <v>1745</v>
      </c>
      <c r="TZ7">
        <v>2024</v>
      </c>
      <c r="UA7" t="s">
        <v>4800</v>
      </c>
      <c r="UB7" s="6">
        <v>45758</v>
      </c>
      <c r="UC7">
        <v>5</v>
      </c>
      <c r="UD7">
        <v>46697.46</v>
      </c>
      <c r="UE7">
        <v>130878</v>
      </c>
      <c r="UF7" t="s">
        <v>4801</v>
      </c>
      <c r="UI7" t="s">
        <v>3709</v>
      </c>
      <c r="UJ7">
        <v>-2.4245362661989844E-14</v>
      </c>
      <c r="UL7">
        <v>-2.4245362661989844E-14</v>
      </c>
      <c r="UM7" t="s">
        <v>1762</v>
      </c>
      <c r="UN7">
        <v>2024</v>
      </c>
      <c r="UO7" t="s">
        <v>3710</v>
      </c>
      <c r="UP7" s="6">
        <v>45433</v>
      </c>
      <c r="UQ7">
        <v>5</v>
      </c>
      <c r="UR7">
        <v>-2.4245362661989844E-14</v>
      </c>
      <c r="US7">
        <v>27196144</v>
      </c>
      <c r="UT7" t="s">
        <v>3711</v>
      </c>
    </row>
    <row r="8" spans="1:600" x14ac:dyDescent="0.25">
      <c r="A8" t="s">
        <v>2700</v>
      </c>
      <c r="C8">
        <v>-2.4245362661989844E-14</v>
      </c>
      <c r="D8">
        <v>-2.4245362661989844E-14</v>
      </c>
      <c r="E8" t="s">
        <v>1745</v>
      </c>
      <c r="F8">
        <v>2021</v>
      </c>
      <c r="G8" t="s">
        <v>2701</v>
      </c>
      <c r="H8" s="6">
        <v>44693</v>
      </c>
      <c r="I8">
        <v>5</v>
      </c>
      <c r="J8">
        <v>-2.4245362661989844E-14</v>
      </c>
      <c r="K8">
        <v>101139</v>
      </c>
      <c r="L8" t="s">
        <v>2702</v>
      </c>
      <c r="O8" t="s">
        <v>985</v>
      </c>
      <c r="P8">
        <v>4.4040460000000001</v>
      </c>
      <c r="Q8" t="s">
        <v>1786</v>
      </c>
      <c r="R8">
        <v>0.252467</v>
      </c>
      <c r="S8" t="s">
        <v>1762</v>
      </c>
      <c r="T8">
        <v>2025</v>
      </c>
      <c r="U8" t="s">
        <v>6567</v>
      </c>
      <c r="V8" s="6">
        <v>45867</v>
      </c>
      <c r="W8">
        <v>5</v>
      </c>
      <c r="X8">
        <v>87229840</v>
      </c>
      <c r="Y8">
        <v>100864</v>
      </c>
      <c r="Z8" t="s">
        <v>1971</v>
      </c>
      <c r="BI8" t="s">
        <v>3868</v>
      </c>
      <c r="BJ8" t="s">
        <v>1786</v>
      </c>
      <c r="BK8">
        <v>1.0460000000000001E-2</v>
      </c>
      <c r="BL8">
        <v>6.7876000000000006E-2</v>
      </c>
      <c r="BM8" t="s">
        <v>1742</v>
      </c>
      <c r="BN8">
        <v>2025</v>
      </c>
      <c r="BO8" t="s">
        <v>3869</v>
      </c>
      <c r="BP8" s="6">
        <v>46003</v>
      </c>
      <c r="BQ8">
        <v>5</v>
      </c>
      <c r="BR8">
        <v>1751541.21</v>
      </c>
      <c r="BS8">
        <v>115694</v>
      </c>
      <c r="BT8" t="s">
        <v>3870</v>
      </c>
      <c r="BW8" t="s">
        <v>1761</v>
      </c>
      <c r="BX8">
        <v>3.708545</v>
      </c>
      <c r="BY8" t="s">
        <v>1786</v>
      </c>
      <c r="BZ8">
        <v>0.28092400000000001</v>
      </c>
      <c r="CA8" t="s">
        <v>1742</v>
      </c>
      <c r="CB8">
        <v>2025</v>
      </c>
      <c r="CC8" t="s">
        <v>5722</v>
      </c>
      <c r="CD8" s="6">
        <v>45982</v>
      </c>
      <c r="CE8">
        <v>5</v>
      </c>
      <c r="CF8">
        <v>152050352</v>
      </c>
      <c r="CG8">
        <v>101695</v>
      </c>
      <c r="CH8" t="s">
        <v>1764</v>
      </c>
      <c r="DQ8" t="s">
        <v>306</v>
      </c>
      <c r="DR8" t="s">
        <v>2416</v>
      </c>
      <c r="DS8">
        <v>1.459176</v>
      </c>
      <c r="DT8">
        <v>0.86356999999999995</v>
      </c>
      <c r="DU8" t="s">
        <v>1762</v>
      </c>
      <c r="DV8">
        <v>2025</v>
      </c>
      <c r="DW8" t="s">
        <v>2880</v>
      </c>
      <c r="DX8" s="6">
        <v>45921</v>
      </c>
      <c r="DY8">
        <v>5</v>
      </c>
      <c r="DZ8">
        <v>15060666</v>
      </c>
      <c r="EA8">
        <v>963610</v>
      </c>
      <c r="EB8" t="s">
        <v>2881</v>
      </c>
      <c r="EE8" t="s">
        <v>2502</v>
      </c>
      <c r="EF8">
        <v>3.6153759999999999</v>
      </c>
      <c r="EG8" t="s">
        <v>1786</v>
      </c>
      <c r="EH8">
        <v>0.54387399999999997</v>
      </c>
      <c r="EI8" t="s">
        <v>1762</v>
      </c>
      <c r="EJ8">
        <v>2025</v>
      </c>
      <c r="EK8" t="s">
        <v>5215</v>
      </c>
      <c r="EL8" s="6">
        <v>45929</v>
      </c>
      <c r="EM8">
        <v>5</v>
      </c>
      <c r="EN8">
        <v>331855360</v>
      </c>
      <c r="EO8">
        <v>60401289</v>
      </c>
      <c r="EP8" t="s">
        <v>2503</v>
      </c>
      <c r="EU8" t="s">
        <v>6169</v>
      </c>
      <c r="EW8">
        <v>-2.4245362661989844E-14</v>
      </c>
      <c r="EX8">
        <v>-2.4245362661989844E-14</v>
      </c>
      <c r="EY8" t="s">
        <v>1745</v>
      </c>
      <c r="EZ8">
        <v>2025</v>
      </c>
      <c r="FA8" t="s">
        <v>6170</v>
      </c>
      <c r="FB8" s="6">
        <v>45741</v>
      </c>
      <c r="FC8">
        <v>5</v>
      </c>
      <c r="FD8">
        <v>-2.4245362661989844E-14</v>
      </c>
      <c r="FE8">
        <v>20126161</v>
      </c>
      <c r="FF8" t="s">
        <v>6171</v>
      </c>
      <c r="FI8" t="s">
        <v>6593</v>
      </c>
      <c r="FJ8">
        <v>4.130395</v>
      </c>
      <c r="FK8" t="s">
        <v>1820</v>
      </c>
      <c r="FL8">
        <v>0.188251</v>
      </c>
      <c r="FM8" t="s">
        <v>1762</v>
      </c>
      <c r="FN8">
        <v>2025</v>
      </c>
      <c r="FO8" t="s">
        <v>3800</v>
      </c>
      <c r="FP8" s="6">
        <v>45875</v>
      </c>
      <c r="FQ8">
        <v>5</v>
      </c>
      <c r="FR8">
        <v>5701060</v>
      </c>
      <c r="FS8">
        <v>180556</v>
      </c>
      <c r="FT8" t="s">
        <v>6594</v>
      </c>
      <c r="HC8" t="s">
        <v>5741</v>
      </c>
      <c r="HD8" t="s">
        <v>1786</v>
      </c>
      <c r="HE8">
        <v>1.1769999999999999E-2</v>
      </c>
      <c r="HF8">
        <v>1.6149999999999999E-3</v>
      </c>
      <c r="HG8" t="s">
        <v>1762</v>
      </c>
      <c r="HH8">
        <v>2025</v>
      </c>
      <c r="HI8" t="s">
        <v>5742</v>
      </c>
      <c r="HJ8" s="6">
        <v>45931</v>
      </c>
      <c r="HK8">
        <v>5</v>
      </c>
      <c r="HL8">
        <v>5376</v>
      </c>
      <c r="HM8">
        <v>66280962</v>
      </c>
      <c r="HN8" t="s">
        <v>5743</v>
      </c>
      <c r="HQ8" t="s">
        <v>4584</v>
      </c>
      <c r="HR8">
        <v>-2.4245362661989844E-14</v>
      </c>
      <c r="HT8">
        <v>-2.4245362661989844E-14</v>
      </c>
      <c r="HU8" t="s">
        <v>1745</v>
      </c>
      <c r="HV8">
        <v>2022</v>
      </c>
      <c r="HW8" t="s">
        <v>6339</v>
      </c>
      <c r="HX8" s="6">
        <v>44792</v>
      </c>
      <c r="HY8">
        <v>5</v>
      </c>
      <c r="HZ8">
        <v>-2.4245362661989844E-14</v>
      </c>
      <c r="IA8">
        <v>70068664</v>
      </c>
      <c r="IB8" t="s">
        <v>4585</v>
      </c>
      <c r="IG8" t="s">
        <v>2975</v>
      </c>
      <c r="IH8" t="s">
        <v>1769</v>
      </c>
      <c r="II8">
        <v>1.7655179999999999</v>
      </c>
      <c r="IJ8">
        <v>0.19648399999999999</v>
      </c>
      <c r="IK8" t="s">
        <v>1745</v>
      </c>
      <c r="IL8">
        <v>2025</v>
      </c>
      <c r="IM8" t="s">
        <v>2976</v>
      </c>
      <c r="IN8" s="6">
        <v>46058</v>
      </c>
      <c r="IO8">
        <v>5</v>
      </c>
      <c r="IP8">
        <v>4386500</v>
      </c>
      <c r="IQ8">
        <v>106045</v>
      </c>
      <c r="IR8" t="s">
        <v>2977</v>
      </c>
      <c r="IU8" t="s">
        <v>641</v>
      </c>
      <c r="IV8">
        <v>-2.4245362661989844E-14</v>
      </c>
      <c r="IX8">
        <v>-2.4245362661989844E-14</v>
      </c>
      <c r="IY8" t="s">
        <v>1745</v>
      </c>
      <c r="IZ8">
        <v>2025</v>
      </c>
      <c r="JA8" t="s">
        <v>5401</v>
      </c>
      <c r="JB8" s="6">
        <v>45714</v>
      </c>
      <c r="JC8">
        <v>5</v>
      </c>
      <c r="JD8">
        <v>-2.4245362661989844E-14</v>
      </c>
      <c r="JE8">
        <v>101374</v>
      </c>
      <c r="JF8" t="s">
        <v>3126</v>
      </c>
      <c r="KO8" t="s">
        <v>4893</v>
      </c>
      <c r="KQ8">
        <v>-2.4245362661989844E-14</v>
      </c>
      <c r="KR8">
        <v>-2.4245362661989844E-14</v>
      </c>
      <c r="KS8" t="s">
        <v>1745</v>
      </c>
      <c r="KT8">
        <v>2021</v>
      </c>
      <c r="KU8" t="s">
        <v>4894</v>
      </c>
      <c r="KV8" s="6">
        <v>44672</v>
      </c>
      <c r="KW8">
        <v>5</v>
      </c>
      <c r="KX8">
        <v>-2.4245362661989844E-14</v>
      </c>
      <c r="KY8">
        <v>21763709</v>
      </c>
      <c r="KZ8" t="s">
        <v>4895</v>
      </c>
      <c r="LC8" t="s">
        <v>4867</v>
      </c>
      <c r="LD8">
        <v>-2.4245362661989844E-14</v>
      </c>
      <c r="LF8">
        <v>-2.4245362661989844E-14</v>
      </c>
      <c r="LG8" t="s">
        <v>1745</v>
      </c>
      <c r="LH8">
        <v>2022</v>
      </c>
      <c r="LI8" t="s">
        <v>4868</v>
      </c>
      <c r="LJ8" s="6">
        <v>44757</v>
      </c>
      <c r="LK8">
        <v>5</v>
      </c>
      <c r="LL8">
        <v>-2.4245362661989844E-14</v>
      </c>
      <c r="LM8">
        <v>223616</v>
      </c>
      <c r="LN8" t="s">
        <v>4869</v>
      </c>
      <c r="LS8" t="s">
        <v>603</v>
      </c>
      <c r="LT8" t="s">
        <v>1786</v>
      </c>
      <c r="LU8">
        <v>0.88870400000000005</v>
      </c>
      <c r="LV8">
        <v>0.29457</v>
      </c>
      <c r="LW8" t="s">
        <v>1762</v>
      </c>
      <c r="LX8">
        <v>2025</v>
      </c>
      <c r="LY8" t="s">
        <v>5976</v>
      </c>
      <c r="LZ8" s="6">
        <v>45943</v>
      </c>
      <c r="MA8">
        <v>5</v>
      </c>
      <c r="MB8">
        <v>13052396</v>
      </c>
      <c r="MC8">
        <v>358385</v>
      </c>
      <c r="MD8" t="s">
        <v>6491</v>
      </c>
      <c r="MG8" t="s">
        <v>2201</v>
      </c>
      <c r="MH8">
        <v>1.987827</v>
      </c>
      <c r="MI8" t="s">
        <v>1786</v>
      </c>
      <c r="MJ8">
        <v>0.169678</v>
      </c>
      <c r="MK8" t="s">
        <v>1742</v>
      </c>
      <c r="ML8">
        <v>2025</v>
      </c>
      <c r="MM8" t="s">
        <v>2198</v>
      </c>
      <c r="MN8" s="6">
        <v>46003</v>
      </c>
      <c r="MO8">
        <v>5</v>
      </c>
      <c r="MP8">
        <v>138909344</v>
      </c>
      <c r="MQ8">
        <v>115757</v>
      </c>
      <c r="MR8" t="s">
        <v>2202</v>
      </c>
      <c r="QI8" t="s">
        <v>357</v>
      </c>
      <c r="QJ8" t="s">
        <v>1786</v>
      </c>
      <c r="QK8">
        <v>0.893262</v>
      </c>
      <c r="QL8">
        <v>1.9939499999999999</v>
      </c>
      <c r="QM8" t="s">
        <v>1809</v>
      </c>
      <c r="QN8">
        <v>2025</v>
      </c>
      <c r="QO8" t="s">
        <v>2035</v>
      </c>
      <c r="QP8" s="6">
        <v>45797</v>
      </c>
      <c r="QQ8">
        <v>5</v>
      </c>
      <c r="QR8">
        <v>129806144</v>
      </c>
      <c r="QS8">
        <v>1499717</v>
      </c>
      <c r="QT8" t="s">
        <v>1864</v>
      </c>
      <c r="QW8" t="s">
        <v>1814</v>
      </c>
      <c r="QX8">
        <v>0.94301500000000005</v>
      </c>
      <c r="QY8" t="s">
        <v>1786</v>
      </c>
      <c r="QZ8">
        <v>2.2702520000000002</v>
      </c>
      <c r="RA8" t="s">
        <v>1809</v>
      </c>
      <c r="RB8">
        <v>2025</v>
      </c>
      <c r="RC8" t="s">
        <v>1815</v>
      </c>
      <c r="RD8" s="6">
        <v>45784</v>
      </c>
      <c r="RE8">
        <v>5</v>
      </c>
      <c r="RF8">
        <v>137123792</v>
      </c>
      <c r="RG8">
        <v>100115</v>
      </c>
      <c r="RH8" t="s">
        <v>1816</v>
      </c>
      <c r="RM8" t="s">
        <v>2386</v>
      </c>
      <c r="RN8" t="s">
        <v>1786</v>
      </c>
      <c r="RO8">
        <v>2.6461350000000001</v>
      </c>
      <c r="RP8">
        <v>3.5549309999999998</v>
      </c>
      <c r="RQ8" t="s">
        <v>1742</v>
      </c>
      <c r="RR8">
        <v>2025</v>
      </c>
      <c r="RS8" t="s">
        <v>2387</v>
      </c>
      <c r="RT8" s="6">
        <v>45763</v>
      </c>
      <c r="RU8">
        <v>5</v>
      </c>
      <c r="RV8">
        <v>173480608</v>
      </c>
      <c r="RW8">
        <v>136547</v>
      </c>
      <c r="RX8" t="s">
        <v>2388</v>
      </c>
      <c r="SA8" t="s">
        <v>1885</v>
      </c>
      <c r="SB8">
        <v>2.5842719999999999</v>
      </c>
      <c r="SC8" t="s">
        <v>1820</v>
      </c>
      <c r="SD8">
        <v>1.4451639999999999</v>
      </c>
      <c r="SE8" t="s">
        <v>1762</v>
      </c>
      <c r="SF8">
        <v>2025</v>
      </c>
      <c r="SG8" t="s">
        <v>4062</v>
      </c>
      <c r="SH8" s="6">
        <v>45783</v>
      </c>
      <c r="SI8">
        <v>5</v>
      </c>
      <c r="SJ8">
        <v>361565504</v>
      </c>
      <c r="SK8">
        <v>216952</v>
      </c>
      <c r="SL8" t="s">
        <v>1886</v>
      </c>
      <c r="SQ8" t="s">
        <v>1789</v>
      </c>
      <c r="SR8" t="s">
        <v>1786</v>
      </c>
      <c r="SS8">
        <v>0.36901099999999998</v>
      </c>
      <c r="ST8">
        <v>2.1074079999999999</v>
      </c>
      <c r="SU8" t="s">
        <v>1762</v>
      </c>
      <c r="SV8">
        <v>2025</v>
      </c>
      <c r="SW8" t="s">
        <v>3436</v>
      </c>
      <c r="SX8" s="6">
        <v>45952</v>
      </c>
      <c r="SY8">
        <v>5</v>
      </c>
      <c r="SZ8">
        <v>196578595.78</v>
      </c>
      <c r="TA8">
        <v>117929</v>
      </c>
      <c r="TB8" t="s">
        <v>1791</v>
      </c>
      <c r="TE8" t="s">
        <v>3507</v>
      </c>
      <c r="TF8">
        <v>6.9003030000000001</v>
      </c>
      <c r="TG8" t="s">
        <v>1786</v>
      </c>
      <c r="TH8">
        <v>13.993990999999999</v>
      </c>
      <c r="TI8" t="s">
        <v>1745</v>
      </c>
      <c r="TJ8">
        <v>2024</v>
      </c>
      <c r="TK8" t="s">
        <v>3508</v>
      </c>
      <c r="TL8" s="6">
        <v>45786</v>
      </c>
      <c r="TM8">
        <v>5</v>
      </c>
      <c r="TN8">
        <v>924964005.08000004</v>
      </c>
      <c r="TO8">
        <v>9568853</v>
      </c>
      <c r="TP8" t="s">
        <v>3509</v>
      </c>
      <c r="TU8" t="s">
        <v>3928</v>
      </c>
      <c r="TV8" t="s">
        <v>1820</v>
      </c>
      <c r="TW8">
        <v>2.0240000000000002E-3</v>
      </c>
      <c r="TX8">
        <v>2.6168E-2</v>
      </c>
      <c r="TY8" t="s">
        <v>1742</v>
      </c>
      <c r="TZ8">
        <v>2025</v>
      </c>
      <c r="UA8" t="s">
        <v>3929</v>
      </c>
      <c r="UB8" s="6">
        <v>45964</v>
      </c>
      <c r="UC8">
        <v>5</v>
      </c>
      <c r="UD8">
        <v>10506</v>
      </c>
      <c r="UE8">
        <v>16546862</v>
      </c>
      <c r="UF8" t="s">
        <v>3930</v>
      </c>
      <c r="UI8" t="s">
        <v>3712</v>
      </c>
      <c r="UJ8">
        <v>-2.4245362661989844E-14</v>
      </c>
      <c r="UL8">
        <v>-2.4245362661989844E-14</v>
      </c>
      <c r="UM8" t="s">
        <v>1745</v>
      </c>
      <c r="UN8">
        <v>2024</v>
      </c>
      <c r="UO8" t="s">
        <v>3713</v>
      </c>
      <c r="UP8" s="6">
        <v>45771</v>
      </c>
      <c r="UQ8">
        <v>5</v>
      </c>
      <c r="UR8">
        <v>-2.4245362661989844E-14</v>
      </c>
      <c r="US8">
        <v>135686</v>
      </c>
      <c r="UT8" t="s">
        <v>3714</v>
      </c>
    </row>
    <row r="9" spans="1:600" x14ac:dyDescent="0.25">
      <c r="A9" t="s">
        <v>428</v>
      </c>
      <c r="C9">
        <v>-2.4245362661989844E-14</v>
      </c>
      <c r="D9">
        <v>-2.4245362661989844E-14</v>
      </c>
      <c r="E9" t="s">
        <v>1745</v>
      </c>
      <c r="F9">
        <v>2021</v>
      </c>
      <c r="G9" t="s">
        <v>3264</v>
      </c>
      <c r="H9" s="6">
        <v>44693</v>
      </c>
      <c r="I9">
        <v>5</v>
      </c>
      <c r="J9">
        <v>-2.4245362661989844E-14</v>
      </c>
      <c r="K9">
        <v>101690</v>
      </c>
      <c r="L9" t="s">
        <v>3265</v>
      </c>
      <c r="O9" t="s">
        <v>2024</v>
      </c>
      <c r="P9">
        <v>3.7606730000000002</v>
      </c>
      <c r="Q9" t="s">
        <v>1786</v>
      </c>
      <c r="R9">
        <v>0.41056500000000001</v>
      </c>
      <c r="S9" t="s">
        <v>1762</v>
      </c>
      <c r="T9">
        <v>2025</v>
      </c>
      <c r="U9" t="s">
        <v>6567</v>
      </c>
      <c r="V9" s="6">
        <v>45867</v>
      </c>
      <c r="W9">
        <v>5</v>
      </c>
      <c r="X9">
        <v>74486712</v>
      </c>
      <c r="Y9">
        <v>46386935</v>
      </c>
      <c r="Z9" t="s">
        <v>2025</v>
      </c>
      <c r="BI9" t="s">
        <v>3294</v>
      </c>
      <c r="BJ9" t="s">
        <v>1769</v>
      </c>
      <c r="BK9">
        <v>2.8</v>
      </c>
      <c r="BL9">
        <v>0.25838499999999998</v>
      </c>
      <c r="BM9" t="s">
        <v>1745</v>
      </c>
      <c r="BN9">
        <v>2024</v>
      </c>
      <c r="BO9" t="s">
        <v>3295</v>
      </c>
      <c r="BP9" s="6">
        <v>45794</v>
      </c>
      <c r="BQ9">
        <v>5</v>
      </c>
      <c r="BR9">
        <v>1325627.46</v>
      </c>
      <c r="BS9">
        <v>42581762</v>
      </c>
      <c r="BT9" t="s">
        <v>3296</v>
      </c>
      <c r="BW9" t="s">
        <v>75</v>
      </c>
      <c r="BX9">
        <v>3.6126870000000002</v>
      </c>
      <c r="BY9" t="s">
        <v>1820</v>
      </c>
      <c r="BZ9">
        <v>3.4366629999999998</v>
      </c>
      <c r="CA9" t="s">
        <v>1742</v>
      </c>
      <c r="CB9">
        <v>2025</v>
      </c>
      <c r="CC9" t="s">
        <v>5722</v>
      </c>
      <c r="CD9" s="6">
        <v>45982</v>
      </c>
      <c r="CE9">
        <v>5</v>
      </c>
      <c r="CF9">
        <v>148120160</v>
      </c>
      <c r="CG9">
        <v>100185</v>
      </c>
      <c r="CH9" t="s">
        <v>1894</v>
      </c>
      <c r="DQ9" t="s">
        <v>4486</v>
      </c>
      <c r="DR9" t="s">
        <v>1786</v>
      </c>
      <c r="DS9">
        <v>0.27685399999999999</v>
      </c>
      <c r="DT9">
        <v>0.36708800000000003</v>
      </c>
      <c r="DU9" t="s">
        <v>1809</v>
      </c>
      <c r="DV9">
        <v>2025</v>
      </c>
      <c r="DW9" t="s">
        <v>4487</v>
      </c>
      <c r="DX9" s="6">
        <v>45795</v>
      </c>
      <c r="DY9">
        <v>5</v>
      </c>
      <c r="DZ9">
        <v>10895174</v>
      </c>
      <c r="EA9">
        <v>100499</v>
      </c>
      <c r="EB9" t="s">
        <v>4488</v>
      </c>
      <c r="EE9" t="s">
        <v>5216</v>
      </c>
      <c r="EF9">
        <v>0.72379000000000004</v>
      </c>
      <c r="EG9" t="s">
        <v>1786</v>
      </c>
      <c r="EH9">
        <v>38.702872999999997</v>
      </c>
      <c r="EI9" t="s">
        <v>1745</v>
      </c>
      <c r="EJ9">
        <v>2025</v>
      </c>
      <c r="EK9" t="s">
        <v>5214</v>
      </c>
      <c r="EL9" s="6">
        <v>46066</v>
      </c>
      <c r="EM9">
        <v>5</v>
      </c>
      <c r="EN9">
        <v>66500000</v>
      </c>
      <c r="EO9">
        <v>47826561</v>
      </c>
      <c r="EP9" t="s">
        <v>5217</v>
      </c>
      <c r="EU9" t="s">
        <v>6172</v>
      </c>
      <c r="EW9">
        <v>-2.4245362661989844E-14</v>
      </c>
      <c r="EX9">
        <v>-2.4245362661989844E-14</v>
      </c>
      <c r="EY9" t="s">
        <v>1745</v>
      </c>
      <c r="EZ9">
        <v>2024</v>
      </c>
      <c r="FA9" t="s">
        <v>6170</v>
      </c>
      <c r="FB9" s="6">
        <v>45559</v>
      </c>
      <c r="FC9">
        <v>5</v>
      </c>
      <c r="FD9">
        <v>-2.4245362661989844E-14</v>
      </c>
      <c r="FE9">
        <v>812075</v>
      </c>
      <c r="FF9" t="s">
        <v>6173</v>
      </c>
      <c r="FI9" t="s">
        <v>1885</v>
      </c>
      <c r="FJ9">
        <v>1.865543</v>
      </c>
      <c r="FK9" t="s">
        <v>1820</v>
      </c>
      <c r="FL9">
        <v>8.0009999999999994E-3</v>
      </c>
      <c r="FM9" t="s">
        <v>1762</v>
      </c>
      <c r="FN9">
        <v>2025</v>
      </c>
      <c r="FO9" t="s">
        <v>3800</v>
      </c>
      <c r="FP9" s="6">
        <v>45875</v>
      </c>
      <c r="FQ9">
        <v>5</v>
      </c>
      <c r="FR9">
        <v>2574953</v>
      </c>
      <c r="FS9">
        <v>216952</v>
      </c>
      <c r="FT9" t="s">
        <v>1886</v>
      </c>
      <c r="HC9" t="s">
        <v>5744</v>
      </c>
      <c r="HE9">
        <v>-2.4245362661989844E-14</v>
      </c>
      <c r="HF9">
        <v>-2.4245362661989844E-14</v>
      </c>
      <c r="HG9" t="s">
        <v>1798</v>
      </c>
      <c r="HH9">
        <v>2025</v>
      </c>
      <c r="HI9" t="s">
        <v>5745</v>
      </c>
      <c r="HJ9" s="6">
        <v>45975</v>
      </c>
      <c r="HK9">
        <v>5</v>
      </c>
      <c r="HL9">
        <v>-2.4245362661989844E-14</v>
      </c>
      <c r="HM9">
        <v>68735736</v>
      </c>
      <c r="HN9" t="s">
        <v>5746</v>
      </c>
      <c r="HQ9" t="s">
        <v>6341</v>
      </c>
      <c r="HR9">
        <v>-2.4245362661989844E-14</v>
      </c>
      <c r="HT9">
        <v>-2.4245362661989844E-14</v>
      </c>
      <c r="HU9" t="s">
        <v>1745</v>
      </c>
      <c r="HV9">
        <v>2022</v>
      </c>
      <c r="HW9" t="s">
        <v>6339</v>
      </c>
      <c r="HX9" s="6">
        <v>44792</v>
      </c>
      <c r="HY9">
        <v>5</v>
      </c>
      <c r="HZ9">
        <v>-2.4245362661989844E-14</v>
      </c>
      <c r="IA9">
        <v>115114</v>
      </c>
      <c r="IB9" t="s">
        <v>6342</v>
      </c>
      <c r="IG9" t="s">
        <v>195</v>
      </c>
      <c r="IH9" t="s">
        <v>1769</v>
      </c>
      <c r="II9">
        <v>6.8681000000000006E-2</v>
      </c>
      <c r="IJ9">
        <v>0.18884100000000001</v>
      </c>
      <c r="IK9" t="s">
        <v>1762</v>
      </c>
      <c r="IL9">
        <v>2025</v>
      </c>
      <c r="IM9" t="s">
        <v>2268</v>
      </c>
      <c r="IN9" s="6">
        <v>45838</v>
      </c>
      <c r="IO9">
        <v>5</v>
      </c>
      <c r="IP9">
        <v>4033635</v>
      </c>
      <c r="IQ9">
        <v>101689</v>
      </c>
      <c r="IR9" t="s">
        <v>2269</v>
      </c>
      <c r="IU9" t="s">
        <v>5402</v>
      </c>
      <c r="IV9">
        <v>-2.4245362661989844E-14</v>
      </c>
      <c r="IX9">
        <v>-2.4245362661989844E-14</v>
      </c>
      <c r="IY9" t="s">
        <v>1745</v>
      </c>
      <c r="IZ9">
        <v>2023</v>
      </c>
      <c r="JA9" t="s">
        <v>5397</v>
      </c>
      <c r="JB9" s="6">
        <v>45265</v>
      </c>
      <c r="JC9">
        <v>5</v>
      </c>
      <c r="JD9">
        <v>-2.4245362661989844E-14</v>
      </c>
      <c r="JE9">
        <v>11379994</v>
      </c>
      <c r="JF9" t="s">
        <v>5403</v>
      </c>
      <c r="KO9" t="s">
        <v>4896</v>
      </c>
      <c r="KQ9">
        <v>-2.4245362661989844E-14</v>
      </c>
      <c r="KR9">
        <v>-2.4245362661989844E-14</v>
      </c>
      <c r="KS9" t="s">
        <v>1745</v>
      </c>
      <c r="KT9">
        <v>2022</v>
      </c>
      <c r="KU9" t="s">
        <v>4897</v>
      </c>
      <c r="KV9" s="6">
        <v>44761</v>
      </c>
      <c r="KW9">
        <v>5</v>
      </c>
      <c r="KX9">
        <v>-2.4245362661989844E-14</v>
      </c>
      <c r="KY9">
        <v>113285</v>
      </c>
      <c r="KZ9" t="s">
        <v>4898</v>
      </c>
      <c r="LC9" t="s">
        <v>4870</v>
      </c>
      <c r="LD9">
        <v>-2.4245362661989844E-14</v>
      </c>
      <c r="LF9">
        <v>-2.4245362661989844E-14</v>
      </c>
      <c r="LG9" t="s">
        <v>1762</v>
      </c>
      <c r="LH9">
        <v>2022</v>
      </c>
      <c r="LI9" t="s">
        <v>4871</v>
      </c>
      <c r="LJ9" s="6">
        <v>44686</v>
      </c>
      <c r="LK9">
        <v>5</v>
      </c>
      <c r="LL9">
        <v>-2.4245362661989844E-14</v>
      </c>
      <c r="LM9">
        <v>8850348</v>
      </c>
      <c r="LN9" t="s">
        <v>4872</v>
      </c>
      <c r="LS9" t="s">
        <v>2993</v>
      </c>
      <c r="LT9" t="s">
        <v>1786</v>
      </c>
      <c r="LU9">
        <v>0.19365499999999999</v>
      </c>
      <c r="LV9">
        <v>0.32871499999999998</v>
      </c>
      <c r="LW9" t="s">
        <v>1742</v>
      </c>
      <c r="LX9">
        <v>2024</v>
      </c>
      <c r="LY9" t="s">
        <v>2198</v>
      </c>
      <c r="LZ9" s="6">
        <v>45667</v>
      </c>
      <c r="MA9">
        <v>5</v>
      </c>
      <c r="MB9">
        <v>12816598</v>
      </c>
      <c r="MC9">
        <v>115110</v>
      </c>
      <c r="MD9" t="s">
        <v>2995</v>
      </c>
      <c r="MG9" t="s">
        <v>1088</v>
      </c>
      <c r="MH9">
        <v>1.8460829999999999</v>
      </c>
      <c r="MI9" t="s">
        <v>1786</v>
      </c>
      <c r="MJ9">
        <v>0.50303900000000001</v>
      </c>
      <c r="MK9" t="s">
        <v>1742</v>
      </c>
      <c r="ML9">
        <v>2025</v>
      </c>
      <c r="MM9" t="s">
        <v>2198</v>
      </c>
      <c r="MN9" s="6">
        <v>46003</v>
      </c>
      <c r="MO9">
        <v>5</v>
      </c>
      <c r="MP9">
        <v>129004280</v>
      </c>
      <c r="MQ9">
        <v>100211</v>
      </c>
      <c r="MR9" t="s">
        <v>1851</v>
      </c>
      <c r="QI9" t="s">
        <v>2512</v>
      </c>
      <c r="QJ9" t="s">
        <v>1786</v>
      </c>
      <c r="QK9">
        <v>0.59890299999999996</v>
      </c>
      <c r="QL9">
        <v>1.729209</v>
      </c>
      <c r="QM9" t="s">
        <v>1809</v>
      </c>
      <c r="QN9">
        <v>2025</v>
      </c>
      <c r="QO9" t="s">
        <v>2035</v>
      </c>
      <c r="QP9" s="6">
        <v>45797</v>
      </c>
      <c r="QQ9">
        <v>5</v>
      </c>
      <c r="QR9">
        <v>112571504</v>
      </c>
      <c r="QS9">
        <v>130929</v>
      </c>
      <c r="QT9" t="s">
        <v>2513</v>
      </c>
      <c r="QW9" t="s">
        <v>167</v>
      </c>
      <c r="QX9">
        <v>0.76780499999999996</v>
      </c>
      <c r="QY9" t="s">
        <v>1786</v>
      </c>
      <c r="QZ9">
        <v>2.2920660000000002</v>
      </c>
      <c r="RA9" t="s">
        <v>1809</v>
      </c>
      <c r="RB9">
        <v>2025</v>
      </c>
      <c r="RC9" t="s">
        <v>2035</v>
      </c>
      <c r="RD9" s="6">
        <v>45797</v>
      </c>
      <c r="RE9">
        <v>5</v>
      </c>
      <c r="RF9">
        <v>111646528</v>
      </c>
      <c r="RG9">
        <v>69423747</v>
      </c>
      <c r="RH9" t="s">
        <v>2036</v>
      </c>
      <c r="RM9" t="s">
        <v>3919</v>
      </c>
      <c r="RN9" t="s">
        <v>1786</v>
      </c>
      <c r="RO9">
        <v>18.200001</v>
      </c>
      <c r="RP9">
        <v>3.1899000000000002</v>
      </c>
      <c r="RQ9" t="s">
        <v>1745</v>
      </c>
      <c r="RR9">
        <v>2025</v>
      </c>
      <c r="RS9" t="s">
        <v>4118</v>
      </c>
      <c r="RT9" s="6">
        <v>45888</v>
      </c>
      <c r="RU9">
        <v>5</v>
      </c>
      <c r="RV9">
        <v>155579376</v>
      </c>
      <c r="RW9">
        <v>9858567</v>
      </c>
      <c r="RX9" t="s">
        <v>3921</v>
      </c>
      <c r="SA9" t="s">
        <v>1287</v>
      </c>
      <c r="SB9">
        <v>1.966375</v>
      </c>
      <c r="SC9" t="s">
        <v>1820</v>
      </c>
      <c r="SD9">
        <v>5.4308940000000003</v>
      </c>
      <c r="SE9" t="s">
        <v>1762</v>
      </c>
      <c r="SF9">
        <v>2025</v>
      </c>
      <c r="SG9" t="s">
        <v>4062</v>
      </c>
      <c r="SH9" s="6">
        <v>45783</v>
      </c>
      <c r="SI9">
        <v>5</v>
      </c>
      <c r="SJ9">
        <v>275115520</v>
      </c>
      <c r="SK9">
        <v>101376</v>
      </c>
      <c r="SL9" t="s">
        <v>1895</v>
      </c>
      <c r="SQ9" t="s">
        <v>117</v>
      </c>
      <c r="SR9" t="s">
        <v>1820</v>
      </c>
      <c r="SS9">
        <v>2.5439250000000002</v>
      </c>
      <c r="ST9">
        <v>5.2326030000000001</v>
      </c>
      <c r="SU9" t="s">
        <v>1742</v>
      </c>
      <c r="SV9">
        <v>2025</v>
      </c>
      <c r="SW9" t="s">
        <v>3008</v>
      </c>
      <c r="SX9" s="6">
        <v>45931</v>
      </c>
      <c r="SY9">
        <v>5</v>
      </c>
      <c r="SZ9">
        <v>185757408</v>
      </c>
      <c r="TA9">
        <v>102032</v>
      </c>
      <c r="TB9" t="s">
        <v>3009</v>
      </c>
      <c r="TE9" t="s">
        <v>3510</v>
      </c>
      <c r="TF9">
        <v>3.0830000000000002</v>
      </c>
      <c r="TG9" t="s">
        <v>1786</v>
      </c>
      <c r="TH9">
        <v>9.6257199999999994</v>
      </c>
      <c r="TI9" t="s">
        <v>1762</v>
      </c>
      <c r="TJ9">
        <v>2025</v>
      </c>
      <c r="TK9" t="s">
        <v>3511</v>
      </c>
      <c r="TL9" s="6">
        <v>45958</v>
      </c>
      <c r="TM9">
        <v>5</v>
      </c>
      <c r="TN9">
        <v>416758099.12</v>
      </c>
      <c r="TO9">
        <v>1456094</v>
      </c>
      <c r="TP9" t="s">
        <v>3512</v>
      </c>
      <c r="TU9" t="s">
        <v>4802</v>
      </c>
      <c r="TV9" t="s">
        <v>1786</v>
      </c>
      <c r="TW9">
        <v>1.2467000000000001E-2</v>
      </c>
      <c r="TX9">
        <v>4.5800000000000002E-4</v>
      </c>
      <c r="TY9" t="s">
        <v>1762</v>
      </c>
      <c r="TZ9">
        <v>2025</v>
      </c>
      <c r="UA9" t="s">
        <v>4803</v>
      </c>
      <c r="UB9" s="6">
        <v>45744</v>
      </c>
      <c r="UC9">
        <v>5</v>
      </c>
      <c r="UD9">
        <v>6232.4</v>
      </c>
      <c r="UE9">
        <v>28653435</v>
      </c>
      <c r="UF9" t="s">
        <v>4804</v>
      </c>
      <c r="UI9" t="s">
        <v>3715</v>
      </c>
      <c r="UJ9">
        <v>-2.4245362661989844E-14</v>
      </c>
      <c r="UL9">
        <v>-2.4245362661989844E-14</v>
      </c>
      <c r="UM9" t="s">
        <v>1745</v>
      </c>
      <c r="UN9">
        <v>2022</v>
      </c>
      <c r="UO9" t="s">
        <v>3716</v>
      </c>
      <c r="UP9" s="6">
        <v>45083</v>
      </c>
      <c r="UQ9">
        <v>5</v>
      </c>
      <c r="UR9">
        <v>-2.4245362661989844E-14</v>
      </c>
      <c r="US9">
        <v>34532225</v>
      </c>
      <c r="UT9" t="s">
        <v>3717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172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173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179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180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181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182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183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184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185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186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187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188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189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190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191</v>
      </c>
      <c r="AE2" s="3" t="s">
        <v>192</v>
      </c>
      <c r="BI2" s="3" t="s">
        <v>193</v>
      </c>
      <c r="CM2" s="3" t="s">
        <v>194</v>
      </c>
      <c r="DQ2" s="3" t="s">
        <v>195</v>
      </c>
      <c r="EU2" s="3" t="s">
        <v>196</v>
      </c>
      <c r="FY2" s="3" t="s">
        <v>197</v>
      </c>
      <c r="HC2" s="3" t="s">
        <v>198</v>
      </c>
      <c r="IG2" s="3" t="s">
        <v>199</v>
      </c>
      <c r="JK2" s="3" t="s">
        <v>200</v>
      </c>
      <c r="KO2" s="3" t="s">
        <v>167</v>
      </c>
      <c r="LS2" s="3" t="s">
        <v>201</v>
      </c>
      <c r="MW2" s="3" t="s">
        <v>202</v>
      </c>
      <c r="OA2" s="3" t="s">
        <v>203</v>
      </c>
      <c r="PE2" s="3" t="s">
        <v>204</v>
      </c>
      <c r="QI2" s="3" t="s">
        <v>205</v>
      </c>
      <c r="RM2" s="3" t="s">
        <v>206</v>
      </c>
      <c r="SQ2" s="3" t="s">
        <v>207</v>
      </c>
      <c r="TU2" s="3" t="s">
        <v>208</v>
      </c>
      <c r="UY2" s="3" t="s">
        <v>209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_xll.BDS("BRCD US Equity","SUPPLY_CHAIN_SUPPLIERS_ALL_DATA")</f>
        <v>#N/A N/A</v>
      </c>
      <c r="O5" t="str">
        <f>_xll.BDS("BRCD US Equity","SUPPLY_CHAIN_CUSTOMERS_ALL_DATA")</f>
        <v>#N/A N/A</v>
      </c>
      <c r="AE5" t="str">
        <f>_xll.BDS("SD US Equity","SUPPLY_CHAIN_SUPPLIERS_ALL_DATA")</f>
        <v>#N/A N/A</v>
      </c>
      <c r="AS5" t="str">
        <f>_xll.BDS("SD US Equity","SUPPLY_CHAIN_CUSTOMERS_ALL_DATA","cols=12;rows=4")</f>
        <v>PAGP US Equity</v>
      </c>
      <c r="AT5">
        <v>40.299999</v>
      </c>
      <c r="AU5" t="s">
        <v>1786</v>
      </c>
      <c r="AV5">
        <v>0.104421</v>
      </c>
      <c r="AW5" t="s">
        <v>1745</v>
      </c>
      <c r="AX5">
        <v>2024</v>
      </c>
      <c r="AY5" t="s">
        <v>6289</v>
      </c>
      <c r="AZ5" s="6">
        <v>45727</v>
      </c>
      <c r="BA5">
        <v>4</v>
      </c>
      <c r="BB5">
        <v>12622968</v>
      </c>
      <c r="BC5">
        <v>13161367</v>
      </c>
      <c r="BD5" t="s">
        <v>4281</v>
      </c>
      <c r="BI5" t="str">
        <f>_xll.BDS("KEYS US Equity","SUPPLY_CHAIN_SUPPLIERS_ALL_DATA","cols=12;rows=5")</f>
        <v>JBL US Equity</v>
      </c>
      <c r="BJ5" t="s">
        <v>1786</v>
      </c>
      <c r="BK5">
        <v>0.110863</v>
      </c>
      <c r="BL5">
        <v>1.7638929999999999</v>
      </c>
      <c r="BM5" t="s">
        <v>1742</v>
      </c>
      <c r="BN5">
        <v>2025</v>
      </c>
      <c r="BO5" t="s">
        <v>2796</v>
      </c>
      <c r="BP5" s="6">
        <v>45867</v>
      </c>
      <c r="BQ5">
        <v>5</v>
      </c>
      <c r="BR5">
        <v>8678356</v>
      </c>
      <c r="BS5">
        <v>117092</v>
      </c>
      <c r="BT5" t="s">
        <v>2797</v>
      </c>
      <c r="BW5" t="str">
        <f>_xll.BDS("KEYS US Equity","SUPPLY_CHAIN_CUSTOMERS_ALL_DATA","cols=12;rows=5")</f>
        <v>NVDA US Equity</v>
      </c>
      <c r="BX5">
        <v>4.1141690000000004</v>
      </c>
      <c r="BY5" t="s">
        <v>2416</v>
      </c>
      <c r="BZ5">
        <v>1.3469800000000001</v>
      </c>
      <c r="CA5" t="s">
        <v>1762</v>
      </c>
      <c r="CB5">
        <v>2025</v>
      </c>
      <c r="CC5" t="s">
        <v>6132</v>
      </c>
      <c r="CD5" s="6">
        <v>45820</v>
      </c>
      <c r="CE5">
        <v>5</v>
      </c>
      <c r="CF5">
        <v>53731048</v>
      </c>
      <c r="CG5">
        <v>313657</v>
      </c>
      <c r="CH5" t="s">
        <v>2312</v>
      </c>
      <c r="CM5" t="str">
        <f>_xll.BDS("ACH US Equity","SUPPLY_CHAIN_SUPPLIERS_ALL_DATA","cols=12;rows=5")</f>
        <v>CAH US Equity</v>
      </c>
      <c r="CN5" t="s">
        <v>1786</v>
      </c>
      <c r="CO5">
        <v>0.38073899999999999</v>
      </c>
      <c r="CP5">
        <v>10.801985999999999</v>
      </c>
      <c r="CQ5" t="s">
        <v>1845</v>
      </c>
      <c r="CR5">
        <v>2025</v>
      </c>
      <c r="CS5" t="s">
        <v>3843</v>
      </c>
      <c r="CT5" s="6">
        <v>45954</v>
      </c>
      <c r="CU5">
        <v>5</v>
      </c>
      <c r="CV5">
        <v>229048768</v>
      </c>
      <c r="CW5">
        <v>102782</v>
      </c>
      <c r="CX5" t="s">
        <v>2149</v>
      </c>
      <c r="DA5" t="str">
        <f>_xll.BDS("ACH US Equity","SUPPLY_CHAIN_CUSTOMERS_ALL_DATA","cols=12;rows=4")</f>
        <v>1339564D US Equity</v>
      </c>
      <c r="DB5">
        <v>33</v>
      </c>
      <c r="DD5">
        <v>-2.4245362661989844E-14</v>
      </c>
      <c r="DE5" t="s">
        <v>1745</v>
      </c>
      <c r="DF5">
        <v>2024</v>
      </c>
      <c r="DG5" t="s">
        <v>5956</v>
      </c>
      <c r="DH5" s="6">
        <v>45716</v>
      </c>
      <c r="DI5">
        <v>4</v>
      </c>
      <c r="DJ5">
        <v>882822848</v>
      </c>
      <c r="DK5">
        <v>48003505</v>
      </c>
      <c r="DL5" t="s">
        <v>3122</v>
      </c>
      <c r="DQ5" t="str">
        <f>_xll.BDS("ADBE US Equity","SUPPLY_CHAIN_SUPPLIERS_ALL_DATA","cols=12;rows=5")</f>
        <v>NVDA US Equity</v>
      </c>
      <c r="DR5" t="s">
        <v>1786</v>
      </c>
      <c r="DS5">
        <v>3.0667E-2</v>
      </c>
      <c r="DT5">
        <v>3.2191839999999998</v>
      </c>
      <c r="DU5" t="s">
        <v>1845</v>
      </c>
      <c r="DV5">
        <v>2026</v>
      </c>
      <c r="DW5" t="s">
        <v>2311</v>
      </c>
      <c r="DX5" s="6">
        <v>46087</v>
      </c>
      <c r="DY5">
        <v>5</v>
      </c>
      <c r="DZ5">
        <v>20892508</v>
      </c>
      <c r="EA5">
        <v>313657</v>
      </c>
      <c r="EB5" t="s">
        <v>2312</v>
      </c>
      <c r="EE5" t="str">
        <f>_xll.BDS("ADBE US Equity","SUPPLY_CHAIN_CUSTOMERS_ALL_DATA","cols=12;rows=5")</f>
        <v>TSCO LN Equity</v>
      </c>
      <c r="EF5">
        <v>1.001385</v>
      </c>
      <c r="EG5" t="s">
        <v>1786</v>
      </c>
      <c r="EH5">
        <v>0.275866</v>
      </c>
      <c r="EI5" t="s">
        <v>1809</v>
      </c>
      <c r="EJ5">
        <v>2026</v>
      </c>
      <c r="EK5" t="s">
        <v>1834</v>
      </c>
      <c r="EL5" s="6">
        <v>45898</v>
      </c>
      <c r="EM5">
        <v>5</v>
      </c>
      <c r="EN5">
        <v>58534355.460000001</v>
      </c>
      <c r="EO5">
        <v>112370</v>
      </c>
      <c r="EP5" t="s">
        <v>1835</v>
      </c>
      <c r="EU5" t="str">
        <f>_xll.BDS("9876552D US Equity","SUPPLY_CHAIN_SUPPLIERS_ALL_DATA")</f>
        <v>#N/A N/A</v>
      </c>
      <c r="FI5" t="str">
        <f>_xll.BDS("9876552D US Equity","SUPPLY_CHAIN_CUSTOMERS_ALL_DATA")</f>
        <v>#N/A N/A</v>
      </c>
      <c r="FY5" t="str">
        <f>_xll.BDS("GMH US Equity","SUPPLY_CHAIN_SUPPLIERS_ALL_DATA")</f>
        <v>#N/A N/A</v>
      </c>
      <c r="GM5" t="str">
        <f>_xll.BDS("GMH US Equity","SUPPLY_CHAIN_CUSTOMERS_ALL_DATA")</f>
        <v>#N/A N/A</v>
      </c>
      <c r="HC5" t="str">
        <f>_xll.BDS("LPNT US Equity","SUPPLY_CHAIN_SUPPLIERS_ALL_DATA")</f>
        <v>#N/A N/A</v>
      </c>
      <c r="HQ5" t="str">
        <f>_xll.BDS("LPNT US Equity","SUPPLY_CHAIN_CUSTOMERS_ALL_DATA")</f>
        <v>#N/A N/A</v>
      </c>
      <c r="IG5" t="str">
        <f>_xll.BDS("3867693Z US Equity","SUPPLY_CHAIN_SUPPLIERS_ALL_DATA")</f>
        <v>#N/A N/A</v>
      </c>
      <c r="IU5" t="str">
        <f>_xll.BDS("3867693Z US Equity","SUPPLY_CHAIN_CUSTOMERS_ALL_DATA")</f>
        <v>#N/A N/A</v>
      </c>
      <c r="JK5" t="str">
        <f>_xll.BDS("BBWI US Equity","SUPPLY_CHAIN_SUPPLIERS_ALL_DATA","cols=12;rows=5")</f>
        <v>ATR US Equity</v>
      </c>
      <c r="JL5" t="s">
        <v>1786</v>
      </c>
      <c r="JM5">
        <v>0.41639100000000001</v>
      </c>
      <c r="JN5">
        <v>0.41030899999999998</v>
      </c>
      <c r="JO5" t="s">
        <v>1762</v>
      </c>
      <c r="JP5">
        <v>2025</v>
      </c>
      <c r="JQ5" t="s">
        <v>6620</v>
      </c>
      <c r="JR5" s="6">
        <v>45914</v>
      </c>
      <c r="JS5">
        <v>5</v>
      </c>
      <c r="JT5">
        <v>3729708</v>
      </c>
      <c r="JU5">
        <v>117116</v>
      </c>
      <c r="JV5" t="s">
        <v>6621</v>
      </c>
      <c r="JY5" t="str">
        <f>_xll.BDS("BBWI US Equity","SUPPLY_CHAIN_CUSTOMERS_ALL_DATA","cols=12;rows=3")</f>
        <v>1928 HK Equity</v>
      </c>
      <c r="JZ5">
        <v>-2.4245362661989844E-14</v>
      </c>
      <c r="KB5">
        <v>-2.4245362661989844E-14</v>
      </c>
      <c r="KC5" t="s">
        <v>1745</v>
      </c>
      <c r="KD5">
        <v>2022</v>
      </c>
      <c r="KE5" t="s">
        <v>2061</v>
      </c>
      <c r="KF5" s="6">
        <v>45016</v>
      </c>
      <c r="KG5">
        <v>3</v>
      </c>
      <c r="KH5">
        <v>-2.4245362661989844E-14</v>
      </c>
      <c r="KI5">
        <v>17387973</v>
      </c>
      <c r="KJ5" t="s">
        <v>2062</v>
      </c>
      <c r="KO5" t="str">
        <f>_xll.BDS("CSCO US Equity","SUPPLY_CHAIN_SUPPLIERS_ALL_DATA","cols=12;rows=5")</f>
        <v>NVDA US Equity</v>
      </c>
      <c r="KP5" t="s">
        <v>1786</v>
      </c>
      <c r="KQ5">
        <v>0.44414500000000001</v>
      </c>
      <c r="KR5">
        <v>5.627351</v>
      </c>
      <c r="KS5" t="s">
        <v>1845</v>
      </c>
      <c r="KT5">
        <v>2026</v>
      </c>
      <c r="KU5" t="s">
        <v>2311</v>
      </c>
      <c r="KV5" s="6">
        <v>46087</v>
      </c>
      <c r="KW5">
        <v>5</v>
      </c>
      <c r="KX5">
        <v>302582656</v>
      </c>
      <c r="KY5">
        <v>313657</v>
      </c>
      <c r="KZ5" t="s">
        <v>2312</v>
      </c>
      <c r="LC5" t="str">
        <f>_xll.BDS("CSCO US Equity","SUPPLY_CHAIN_CUSTOMERS_ALL_DATA","cols=12;rows=5")</f>
        <v>SNX US Equity</v>
      </c>
      <c r="LD5">
        <v>3.3352200000000001</v>
      </c>
      <c r="LE5" t="s">
        <v>1786</v>
      </c>
      <c r="LF5">
        <v>3.067034</v>
      </c>
      <c r="LG5" t="s">
        <v>1845</v>
      </c>
      <c r="LH5">
        <v>2025</v>
      </c>
      <c r="LI5" t="s">
        <v>1887</v>
      </c>
      <c r="LJ5" s="6">
        <v>46056</v>
      </c>
      <c r="LK5">
        <v>5</v>
      </c>
      <c r="LL5">
        <v>496380736</v>
      </c>
      <c r="LM5">
        <v>1499717</v>
      </c>
      <c r="LN5" t="s">
        <v>1864</v>
      </c>
      <c r="LS5" t="str">
        <f>_xll.BDS("AGN US Equity","SUPPLY_CHAIN_SUPPLIERS_ALL_DATA","cols=12;rows=5")</f>
        <v>AEE US Equity</v>
      </c>
      <c r="LU5">
        <v>-2.4245362661989844E-14</v>
      </c>
      <c r="LV5">
        <v>-2.4245362661989844E-14</v>
      </c>
      <c r="LW5" t="s">
        <v>1745</v>
      </c>
      <c r="LX5">
        <v>2021</v>
      </c>
      <c r="LY5" t="s">
        <v>2281</v>
      </c>
      <c r="LZ5" s="6">
        <v>44693</v>
      </c>
      <c r="MA5">
        <v>5</v>
      </c>
      <c r="MB5">
        <v>-2.4245362661989844E-14</v>
      </c>
      <c r="MC5">
        <v>313098</v>
      </c>
      <c r="MD5" t="s">
        <v>2282</v>
      </c>
      <c r="MG5" t="str">
        <f>_xll.BDS("AGN US Equity","SUPPLY_CHAIN_CUSTOMERS_ALL_DATA","cols=12;rows=1")</f>
        <v>4569 JP Equity</v>
      </c>
      <c r="MH5">
        <v>-2.4245362661989844E-14</v>
      </c>
      <c r="MJ5">
        <v>-2.4245362661989844E-14</v>
      </c>
      <c r="MK5" t="s">
        <v>1745</v>
      </c>
      <c r="ML5">
        <v>2022</v>
      </c>
      <c r="MM5" t="s">
        <v>3152</v>
      </c>
      <c r="MN5" s="6">
        <v>44736</v>
      </c>
      <c r="MO5">
        <v>1</v>
      </c>
      <c r="MP5">
        <v>-2.4245362661989844E-14</v>
      </c>
      <c r="MQ5">
        <v>10499395</v>
      </c>
      <c r="MR5" t="s">
        <v>3153</v>
      </c>
      <c r="MW5" t="str">
        <f>_xll.BDS("ELNK US Equity","SUPPLY_CHAIN_SUPPLIERS_ALL_DATA")</f>
        <v>#N/A N/A</v>
      </c>
      <c r="NK5" t="str">
        <f>_xll.BDS("ELNK US Equity","SUPPLY_CHAIN_CUSTOMERS_ALL_DATA")</f>
        <v>#N/A N/A</v>
      </c>
      <c r="OA5" t="str">
        <f>_xll.BDS("2309719Q US Equity","SUPPLY_CHAIN_SUPPLIERS_ALL_DATA")</f>
        <v>#N/A N/A</v>
      </c>
      <c r="OO5" t="str">
        <f>_xll.BDS("2309719Q US Equity","SUPPLY_CHAIN_CUSTOMERS_ALL_DATA")</f>
        <v>#N/A N/A</v>
      </c>
      <c r="PE5" t="str">
        <f>_xll.BDS("HPQ US Equity","SUPPLY_CHAIN_SUPPLIERS_ALL_DATA","cols=12;rows=5")</f>
        <v>2356 TT Equity</v>
      </c>
      <c r="PF5" t="s">
        <v>1786</v>
      </c>
      <c r="PG5">
        <v>36.343342</v>
      </c>
      <c r="PH5">
        <v>18.051394999999999</v>
      </c>
      <c r="PI5" t="s">
        <v>1742</v>
      </c>
      <c r="PJ5">
        <v>2025</v>
      </c>
      <c r="PK5" t="s">
        <v>2243</v>
      </c>
      <c r="PL5" s="6">
        <v>46035</v>
      </c>
      <c r="PM5">
        <v>5</v>
      </c>
      <c r="PN5">
        <v>2141270971.6500001</v>
      </c>
      <c r="PO5">
        <v>193712</v>
      </c>
      <c r="PP5" t="s">
        <v>2244</v>
      </c>
      <c r="PS5" t="str">
        <f>_xll.BDS("HPQ US Equity","SUPPLY_CHAIN_CUSTOMERS_ALL_DATA","cols=12;rows=5")</f>
        <v>SNX US Equity</v>
      </c>
      <c r="PT5">
        <v>12</v>
      </c>
      <c r="PU5" t="s">
        <v>1786</v>
      </c>
      <c r="PV5">
        <v>11.690618000000001</v>
      </c>
      <c r="PW5" t="s">
        <v>1745</v>
      </c>
      <c r="PX5">
        <v>2025</v>
      </c>
      <c r="PY5" t="s">
        <v>1863</v>
      </c>
      <c r="PZ5" s="6">
        <v>46001</v>
      </c>
      <c r="QA5">
        <v>5</v>
      </c>
      <c r="QB5">
        <v>1658850048</v>
      </c>
      <c r="QC5">
        <v>1499717</v>
      </c>
      <c r="QD5" t="s">
        <v>1864</v>
      </c>
      <c r="QI5" t="str">
        <f>_xll.BDS("MRK US Equity","SUPPLY_CHAIN_SUPPLIERS_ALL_DATA","cols=12;rows=5")</f>
        <v>AZN LN Equity</v>
      </c>
      <c r="QJ5" t="s">
        <v>1786</v>
      </c>
      <c r="QK5">
        <v>1.1917120000000001</v>
      </c>
      <c r="QL5">
        <v>4.272983</v>
      </c>
      <c r="QM5" t="s">
        <v>1745</v>
      </c>
      <c r="QN5">
        <v>2025</v>
      </c>
      <c r="QO5" t="s">
        <v>5322</v>
      </c>
      <c r="QP5" s="6">
        <v>46077</v>
      </c>
      <c r="QQ5">
        <v>5</v>
      </c>
      <c r="QR5">
        <v>175000000</v>
      </c>
      <c r="QS5">
        <v>111093</v>
      </c>
      <c r="QT5" t="s">
        <v>2414</v>
      </c>
      <c r="QW5" t="str">
        <f>_xll.BDS("MRK US Equity","SUPPLY_CHAIN_CUSTOMERS_ALL_DATA","cols=12;rows=5")</f>
        <v>COR US Equity</v>
      </c>
      <c r="QX5">
        <v>9.6931790000000007</v>
      </c>
      <c r="QY5" t="s">
        <v>1786</v>
      </c>
      <c r="QZ5">
        <v>2.073159</v>
      </c>
      <c r="RA5" t="s">
        <v>1742</v>
      </c>
      <c r="RB5">
        <v>2025</v>
      </c>
      <c r="RC5" t="s">
        <v>2224</v>
      </c>
      <c r="RD5" s="6">
        <v>45985</v>
      </c>
      <c r="RE5">
        <v>5</v>
      </c>
      <c r="RF5">
        <v>1674593664</v>
      </c>
      <c r="RG5">
        <v>156969</v>
      </c>
      <c r="RH5" t="s">
        <v>2148</v>
      </c>
      <c r="RM5" t="str">
        <f>_xll.BDS("CCMP US Equity","SUPPLY_CHAIN_SUPPLIERS_ALL_DATA","cols=12;rows=5")</f>
        <v>CHE-U CN Equity</v>
      </c>
      <c r="RO5">
        <v>-2.4245362661989844E-14</v>
      </c>
      <c r="RP5">
        <v>-2.4245362661989844E-14</v>
      </c>
      <c r="RQ5" t="s">
        <v>1745</v>
      </c>
      <c r="RR5">
        <v>2021</v>
      </c>
      <c r="RS5" t="s">
        <v>5805</v>
      </c>
      <c r="RT5" s="6">
        <v>44634</v>
      </c>
      <c r="RU5">
        <v>5</v>
      </c>
      <c r="RV5">
        <v>-2.4245362661989844E-14</v>
      </c>
      <c r="RW5">
        <v>1749903</v>
      </c>
      <c r="RX5" t="s">
        <v>4944</v>
      </c>
      <c r="SA5" t="str">
        <f>_xll.BDS("CCMP US Equity","SUPPLY_CHAIN_CUSTOMERS_ALL_DATA","cols=12;rows=3")</f>
        <v>8374 TT Equity</v>
      </c>
      <c r="SB5">
        <v>-2.4245362661989844E-14</v>
      </c>
      <c r="SD5">
        <v>-2.4245362661989844E-14</v>
      </c>
      <c r="SE5" t="s">
        <v>1745</v>
      </c>
      <c r="SF5">
        <v>2021</v>
      </c>
      <c r="SG5" t="s">
        <v>5344</v>
      </c>
      <c r="SH5" s="6">
        <v>44707</v>
      </c>
      <c r="SI5">
        <v>3</v>
      </c>
      <c r="SJ5">
        <v>-2.4245362661989844E-14</v>
      </c>
      <c r="SK5">
        <v>8141783</v>
      </c>
      <c r="SL5" t="s">
        <v>5345</v>
      </c>
      <c r="SQ5" t="str">
        <f>_xll.BDS("2556796D US Equity","SUPPLY_CHAIN_SUPPLIERS_ALL_DATA")</f>
        <v>#N/A N/A</v>
      </c>
      <c r="TE5" t="str">
        <f>_xll.BDS("2556796D US Equity","SUPPLY_CHAIN_CUSTOMERS_ALL_DATA")</f>
        <v>#N/A N/A</v>
      </c>
      <c r="TU5" t="str">
        <f>_xll.BDS("XEC US Equity","SUPPLY_CHAIN_SUPPLIERS_ALL_DATA")</f>
        <v>#N/A N/A</v>
      </c>
      <c r="UI5" t="str">
        <f>_xll.BDS("XEC US Equity","SUPPLY_CHAIN_CUSTOMERS_ALL_DATA")</f>
        <v>#N/A N/A</v>
      </c>
      <c r="UY5" t="str">
        <f>_xll.BDS("SVU US Equity","SUPPLY_CHAIN_SUPPLIERS_ALL_DATA")</f>
        <v>#N/A N/A</v>
      </c>
      <c r="VM5" t="str">
        <f>_xll.BDS("SVU US Equity","SUPPLY_CHAIN_CUSTOMERS_ALL_DATA")</f>
        <v>#N/A N/A</v>
      </c>
    </row>
    <row r="6" spans="1:600" x14ac:dyDescent="0.25">
      <c r="AS6" t="s">
        <v>2869</v>
      </c>
      <c r="AT6">
        <v>36.900002000000001</v>
      </c>
      <c r="AU6" t="s">
        <v>1786</v>
      </c>
      <c r="AV6">
        <v>0.38126300000000002</v>
      </c>
      <c r="AW6" t="s">
        <v>1745</v>
      </c>
      <c r="AX6">
        <v>2024</v>
      </c>
      <c r="AY6" t="s">
        <v>6289</v>
      </c>
      <c r="AZ6" s="6">
        <v>45727</v>
      </c>
      <c r="BA6">
        <v>4</v>
      </c>
      <c r="BB6">
        <v>11558002</v>
      </c>
      <c r="BC6">
        <v>13041324</v>
      </c>
      <c r="BD6" t="s">
        <v>2871</v>
      </c>
      <c r="BI6" t="s">
        <v>124</v>
      </c>
      <c r="BJ6" t="s">
        <v>1786</v>
      </c>
      <c r="BK6">
        <v>0.158719</v>
      </c>
      <c r="BL6">
        <v>1.2277089999999999</v>
      </c>
      <c r="BM6" t="s">
        <v>1762</v>
      </c>
      <c r="BN6">
        <v>2025</v>
      </c>
      <c r="BO6" t="s">
        <v>2372</v>
      </c>
      <c r="BP6" s="6">
        <v>45867</v>
      </c>
      <c r="BQ6">
        <v>5</v>
      </c>
      <c r="BR6">
        <v>6040329</v>
      </c>
      <c r="BS6">
        <v>225605</v>
      </c>
      <c r="BT6" t="s">
        <v>2373</v>
      </c>
      <c r="BW6" t="s">
        <v>5977</v>
      </c>
      <c r="BX6">
        <v>3.8211909999999998</v>
      </c>
      <c r="BY6" t="s">
        <v>2416</v>
      </c>
      <c r="BZ6">
        <v>7.4107900000000004</v>
      </c>
      <c r="CA6" t="s">
        <v>1762</v>
      </c>
      <c r="CB6">
        <v>2025</v>
      </c>
      <c r="CC6" t="s">
        <v>6132</v>
      </c>
      <c r="CD6" s="6">
        <v>45820</v>
      </c>
      <c r="CE6">
        <v>5</v>
      </c>
      <c r="CF6">
        <v>49904752</v>
      </c>
      <c r="CG6">
        <v>128107</v>
      </c>
      <c r="CH6" t="s">
        <v>5979</v>
      </c>
      <c r="CM6" t="s">
        <v>33</v>
      </c>
      <c r="CN6" t="s">
        <v>1786</v>
      </c>
      <c r="CO6">
        <v>0.96265599999999996</v>
      </c>
      <c r="CP6">
        <v>6.652323</v>
      </c>
      <c r="CQ6" t="s">
        <v>1762</v>
      </c>
      <c r="CR6">
        <v>2025</v>
      </c>
      <c r="CS6" t="s">
        <v>3945</v>
      </c>
      <c r="CT6" s="6">
        <v>45914</v>
      </c>
      <c r="CU6">
        <v>5</v>
      </c>
      <c r="CV6">
        <v>141057984</v>
      </c>
      <c r="CW6">
        <v>101166</v>
      </c>
      <c r="CX6" t="s">
        <v>3255</v>
      </c>
      <c r="DA6" t="s">
        <v>3123</v>
      </c>
      <c r="DB6">
        <v>21</v>
      </c>
      <c r="DD6">
        <v>-2.4245362661989844E-14</v>
      </c>
      <c r="DE6" t="s">
        <v>1745</v>
      </c>
      <c r="DF6">
        <v>2024</v>
      </c>
      <c r="DG6" t="s">
        <v>5956</v>
      </c>
      <c r="DH6" s="6">
        <v>45716</v>
      </c>
      <c r="DI6">
        <v>4</v>
      </c>
      <c r="DJ6">
        <v>561796352</v>
      </c>
      <c r="DK6">
        <v>353064</v>
      </c>
      <c r="DL6" t="s">
        <v>3124</v>
      </c>
      <c r="DQ6" t="s">
        <v>2947</v>
      </c>
      <c r="DR6" t="s">
        <v>1769</v>
      </c>
      <c r="DS6">
        <v>2.5072190000000001</v>
      </c>
      <c r="DT6">
        <v>0.34607399999999999</v>
      </c>
      <c r="DU6" t="s">
        <v>1745</v>
      </c>
      <c r="DV6">
        <v>2025</v>
      </c>
      <c r="DW6" t="s">
        <v>2948</v>
      </c>
      <c r="DX6" s="6">
        <v>46064</v>
      </c>
      <c r="DY6">
        <v>5</v>
      </c>
      <c r="DZ6">
        <v>6974250</v>
      </c>
      <c r="EA6">
        <v>202222</v>
      </c>
      <c r="EB6" t="s">
        <v>2949</v>
      </c>
      <c r="EE6" t="s">
        <v>357</v>
      </c>
      <c r="EF6">
        <v>0.72984499999999997</v>
      </c>
      <c r="EG6" t="s">
        <v>1786</v>
      </c>
      <c r="EH6">
        <v>0.30837399999999998</v>
      </c>
      <c r="EI6" t="s">
        <v>1762</v>
      </c>
      <c r="EJ6">
        <v>2025</v>
      </c>
      <c r="EK6" t="s">
        <v>2268</v>
      </c>
      <c r="EL6" s="6">
        <v>45838</v>
      </c>
      <c r="EM6">
        <v>5</v>
      </c>
      <c r="EN6">
        <v>42863796</v>
      </c>
      <c r="EO6">
        <v>1499717</v>
      </c>
      <c r="EP6" t="s">
        <v>1864</v>
      </c>
      <c r="JK6" t="s">
        <v>3061</v>
      </c>
      <c r="JL6" t="s">
        <v>1769</v>
      </c>
      <c r="JM6">
        <v>1.81</v>
      </c>
      <c r="JN6">
        <v>0.47441</v>
      </c>
      <c r="JO6" t="s">
        <v>1745</v>
      </c>
      <c r="JP6">
        <v>2024</v>
      </c>
      <c r="JQ6" t="s">
        <v>3062</v>
      </c>
      <c r="JR6" s="6">
        <v>45719</v>
      </c>
      <c r="JS6">
        <v>5</v>
      </c>
      <c r="JT6">
        <v>2332913.5</v>
      </c>
      <c r="JU6">
        <v>126294</v>
      </c>
      <c r="JV6" t="s">
        <v>3063</v>
      </c>
      <c r="JY6" t="s">
        <v>6479</v>
      </c>
      <c r="JZ6">
        <v>-2.4245362661989844E-14</v>
      </c>
      <c r="KB6">
        <v>-2.4245362661989844E-14</v>
      </c>
      <c r="KC6" t="s">
        <v>1745</v>
      </c>
      <c r="KD6">
        <v>2023</v>
      </c>
      <c r="KE6" t="s">
        <v>6480</v>
      </c>
      <c r="KF6" s="6">
        <v>45209</v>
      </c>
      <c r="KG6">
        <v>3</v>
      </c>
      <c r="KH6">
        <v>-2.4245362661989844E-14</v>
      </c>
      <c r="KI6">
        <v>193341</v>
      </c>
      <c r="KJ6" t="s">
        <v>6481</v>
      </c>
      <c r="KO6" t="s">
        <v>2383</v>
      </c>
      <c r="KP6" t="s">
        <v>1786</v>
      </c>
      <c r="KQ6">
        <v>0.347161</v>
      </c>
      <c r="KR6">
        <v>4.1422239999999997</v>
      </c>
      <c r="KS6" t="s">
        <v>1762</v>
      </c>
      <c r="KT6">
        <v>2025</v>
      </c>
      <c r="KU6" t="s">
        <v>2384</v>
      </c>
      <c r="KV6" s="6">
        <v>45889</v>
      </c>
      <c r="KW6">
        <v>5</v>
      </c>
      <c r="KX6">
        <v>201928052.13999999</v>
      </c>
      <c r="KY6">
        <v>119133</v>
      </c>
      <c r="KZ6" t="s">
        <v>2385</v>
      </c>
      <c r="LC6" t="s">
        <v>424</v>
      </c>
      <c r="LD6">
        <v>2.8732120000000001</v>
      </c>
      <c r="LE6" t="s">
        <v>1820</v>
      </c>
      <c r="LF6">
        <v>2.4006630000000002</v>
      </c>
      <c r="LG6" t="s">
        <v>1762</v>
      </c>
      <c r="LH6">
        <v>2025</v>
      </c>
      <c r="LI6" t="s">
        <v>4062</v>
      </c>
      <c r="LJ6" s="6">
        <v>45783</v>
      </c>
      <c r="LK6">
        <v>5</v>
      </c>
      <c r="LL6">
        <v>401991104</v>
      </c>
      <c r="LM6">
        <v>101743</v>
      </c>
      <c r="LN6" t="s">
        <v>1891</v>
      </c>
      <c r="LS6" t="s">
        <v>2283</v>
      </c>
      <c r="LU6">
        <v>-2.4245362661989844E-14</v>
      </c>
      <c r="LV6">
        <v>-2.4245362661989844E-14</v>
      </c>
      <c r="LW6" t="s">
        <v>1745</v>
      </c>
      <c r="LX6">
        <v>2021</v>
      </c>
      <c r="LY6" t="s">
        <v>2284</v>
      </c>
      <c r="LZ6" s="6">
        <v>44693</v>
      </c>
      <c r="MA6">
        <v>5</v>
      </c>
      <c r="MB6">
        <v>-2.4245362661989844E-14</v>
      </c>
      <c r="MC6">
        <v>100060</v>
      </c>
      <c r="MD6" t="s">
        <v>2285</v>
      </c>
      <c r="PE6" t="s">
        <v>168</v>
      </c>
      <c r="PF6" t="s">
        <v>1786</v>
      </c>
      <c r="PG6">
        <v>12.003353000000001</v>
      </c>
      <c r="PH6">
        <v>14.056165999999999</v>
      </c>
      <c r="PI6" t="s">
        <v>1845</v>
      </c>
      <c r="PJ6">
        <v>2025</v>
      </c>
      <c r="PK6" t="s">
        <v>2245</v>
      </c>
      <c r="PL6" s="6">
        <v>46048</v>
      </c>
      <c r="PM6">
        <v>5</v>
      </c>
      <c r="PN6">
        <v>1641338496</v>
      </c>
      <c r="PO6">
        <v>101729</v>
      </c>
      <c r="PP6" t="s">
        <v>2246</v>
      </c>
      <c r="PS6" t="s">
        <v>1350</v>
      </c>
      <c r="PT6">
        <v>1.5894710000000001</v>
      </c>
      <c r="PU6" t="s">
        <v>1786</v>
      </c>
      <c r="PV6">
        <v>2.6168589999999998</v>
      </c>
      <c r="PW6" t="s">
        <v>1762</v>
      </c>
      <c r="PX6">
        <v>2026</v>
      </c>
      <c r="PY6" t="s">
        <v>1865</v>
      </c>
      <c r="PZ6" s="6">
        <v>45932</v>
      </c>
      <c r="QA6">
        <v>5</v>
      </c>
      <c r="QB6">
        <v>221445152</v>
      </c>
      <c r="QC6">
        <v>100197</v>
      </c>
      <c r="QD6" t="s">
        <v>1866</v>
      </c>
      <c r="QI6" t="s">
        <v>385</v>
      </c>
      <c r="QJ6" t="s">
        <v>1786</v>
      </c>
      <c r="QK6">
        <v>0.57338800000000001</v>
      </c>
      <c r="QL6">
        <v>3.5686900000000001</v>
      </c>
      <c r="QM6" t="s">
        <v>1742</v>
      </c>
      <c r="QN6">
        <v>2025</v>
      </c>
      <c r="QO6" t="s">
        <v>2501</v>
      </c>
      <c r="QP6" s="6">
        <v>46018</v>
      </c>
      <c r="QQ6">
        <v>5</v>
      </c>
      <c r="QR6">
        <v>137572976</v>
      </c>
      <c r="QS6">
        <v>100828</v>
      </c>
      <c r="QT6" t="s">
        <v>2464</v>
      </c>
      <c r="QW6" t="s">
        <v>115</v>
      </c>
      <c r="QX6">
        <v>9.6462509999999995</v>
      </c>
      <c r="QY6" t="s">
        <v>1786</v>
      </c>
      <c r="QZ6">
        <v>2.2510729999999999</v>
      </c>
      <c r="RA6" t="s">
        <v>1742</v>
      </c>
      <c r="RB6">
        <v>2025</v>
      </c>
      <c r="RC6" t="s">
        <v>2224</v>
      </c>
      <c r="RD6" s="6">
        <v>45985</v>
      </c>
      <c r="RE6">
        <v>5</v>
      </c>
      <c r="RF6">
        <v>1666486272</v>
      </c>
      <c r="RG6">
        <v>154936</v>
      </c>
      <c r="RH6" t="s">
        <v>2146</v>
      </c>
      <c r="RM6" t="s">
        <v>3364</v>
      </c>
      <c r="RO6">
        <v>-2.4245362661989844E-14</v>
      </c>
      <c r="RP6">
        <v>-2.4245362661989844E-14</v>
      </c>
      <c r="RQ6" t="s">
        <v>1745</v>
      </c>
      <c r="RR6">
        <v>2021</v>
      </c>
      <c r="RS6" t="s">
        <v>3365</v>
      </c>
      <c r="RT6" s="6">
        <v>44693</v>
      </c>
      <c r="RU6">
        <v>5</v>
      </c>
      <c r="RV6">
        <v>-2.4245362661989844E-14</v>
      </c>
      <c r="RW6">
        <v>171311</v>
      </c>
      <c r="RX6" t="s">
        <v>3366</v>
      </c>
      <c r="SA6" t="s">
        <v>5346</v>
      </c>
      <c r="SB6">
        <v>-2.4245362661989844E-14</v>
      </c>
      <c r="SD6">
        <v>-2.4245362661989844E-14</v>
      </c>
      <c r="SE6" t="s">
        <v>1745</v>
      </c>
      <c r="SF6">
        <v>2021</v>
      </c>
      <c r="SG6" t="s">
        <v>5347</v>
      </c>
      <c r="SH6" s="6">
        <v>44630</v>
      </c>
      <c r="SI6">
        <v>3</v>
      </c>
      <c r="SJ6">
        <v>-2.4245362661989844E-14</v>
      </c>
      <c r="SK6">
        <v>69501206</v>
      </c>
      <c r="SL6" t="s">
        <v>5348</v>
      </c>
    </row>
    <row r="7" spans="1:600" x14ac:dyDescent="0.25">
      <c r="AS7" t="s">
        <v>6290</v>
      </c>
      <c r="AT7">
        <v>-2.4245362661989844E-14</v>
      </c>
      <c r="AV7">
        <v>-2.4245362661989844E-14</v>
      </c>
      <c r="AW7" t="s">
        <v>1745</v>
      </c>
      <c r="AX7">
        <v>2022</v>
      </c>
      <c r="AY7" t="s">
        <v>6291</v>
      </c>
      <c r="AZ7" s="6">
        <v>45000</v>
      </c>
      <c r="BA7">
        <v>4</v>
      </c>
      <c r="BB7">
        <v>-2.4245362661989844E-14</v>
      </c>
      <c r="BC7">
        <v>13884095</v>
      </c>
      <c r="BD7" t="s">
        <v>6292</v>
      </c>
      <c r="BI7" t="s">
        <v>806</v>
      </c>
      <c r="BJ7" t="s">
        <v>1786</v>
      </c>
      <c r="BK7">
        <v>0.30580400000000002</v>
      </c>
      <c r="BL7">
        <v>0.41852699999999998</v>
      </c>
      <c r="BM7" t="s">
        <v>1742</v>
      </c>
      <c r="BN7">
        <v>2025</v>
      </c>
      <c r="BO7" t="s">
        <v>2072</v>
      </c>
      <c r="BP7" s="6">
        <v>46001</v>
      </c>
      <c r="BQ7">
        <v>5</v>
      </c>
      <c r="BR7">
        <v>2301897</v>
      </c>
      <c r="BS7">
        <v>1182195</v>
      </c>
      <c r="BT7" t="s">
        <v>3476</v>
      </c>
      <c r="BW7" t="s">
        <v>357</v>
      </c>
      <c r="BX7">
        <v>3.5192040000000002</v>
      </c>
      <c r="BY7" t="s">
        <v>1786</v>
      </c>
      <c r="BZ7">
        <v>0.33960299999999999</v>
      </c>
      <c r="CA7" t="s">
        <v>1762</v>
      </c>
      <c r="CB7">
        <v>2025</v>
      </c>
      <c r="CC7" t="s">
        <v>6132</v>
      </c>
      <c r="CD7" s="6">
        <v>45820</v>
      </c>
      <c r="CE7">
        <v>5</v>
      </c>
      <c r="CF7">
        <v>45960804</v>
      </c>
      <c r="CG7">
        <v>1499717</v>
      </c>
      <c r="CH7" t="s">
        <v>1864</v>
      </c>
      <c r="CM7" t="s">
        <v>6091</v>
      </c>
      <c r="CN7" t="s">
        <v>1786</v>
      </c>
      <c r="CO7">
        <v>0.260772</v>
      </c>
      <c r="CP7">
        <v>0.513567</v>
      </c>
      <c r="CQ7" t="s">
        <v>1762</v>
      </c>
      <c r="CR7">
        <v>2025</v>
      </c>
      <c r="CS7" t="s">
        <v>6092</v>
      </c>
      <c r="CT7" s="6">
        <v>45882</v>
      </c>
      <c r="CU7">
        <v>5</v>
      </c>
      <c r="CV7">
        <v>10889839</v>
      </c>
      <c r="CW7">
        <v>107244</v>
      </c>
      <c r="CX7" t="s">
        <v>6093</v>
      </c>
      <c r="DA7" t="s">
        <v>5819</v>
      </c>
      <c r="DB7">
        <v>10</v>
      </c>
      <c r="DC7" t="s">
        <v>1786</v>
      </c>
      <c r="DD7">
        <v>1.781817</v>
      </c>
      <c r="DE7" t="s">
        <v>1745</v>
      </c>
      <c r="DF7">
        <v>2024</v>
      </c>
      <c r="DG7" t="s">
        <v>5956</v>
      </c>
      <c r="DH7" s="6">
        <v>45716</v>
      </c>
      <c r="DI7">
        <v>4</v>
      </c>
      <c r="DJ7">
        <v>267522080</v>
      </c>
      <c r="DK7">
        <v>21445200</v>
      </c>
      <c r="DL7" t="s">
        <v>5821</v>
      </c>
      <c r="DQ7" t="s">
        <v>121</v>
      </c>
      <c r="DR7" t="s">
        <v>1786</v>
      </c>
      <c r="DS7">
        <v>4.1959999999999997E-2</v>
      </c>
      <c r="DT7">
        <v>0.98093300000000005</v>
      </c>
      <c r="DU7" t="s">
        <v>1809</v>
      </c>
      <c r="DV7">
        <v>2025</v>
      </c>
      <c r="DW7" t="s">
        <v>2035</v>
      </c>
      <c r="DX7" s="6">
        <v>45797</v>
      </c>
      <c r="DY7">
        <v>5</v>
      </c>
      <c r="DZ7">
        <v>6101404</v>
      </c>
      <c r="EA7">
        <v>100801</v>
      </c>
      <c r="EB7" t="s">
        <v>2095</v>
      </c>
      <c r="EE7" t="s">
        <v>1885</v>
      </c>
      <c r="EF7">
        <v>0.70327099999999998</v>
      </c>
      <c r="EG7" t="s">
        <v>1786</v>
      </c>
      <c r="EH7">
        <v>5.3657000000000003E-2</v>
      </c>
      <c r="EI7" t="s">
        <v>1762</v>
      </c>
      <c r="EJ7">
        <v>2025</v>
      </c>
      <c r="EK7" t="s">
        <v>2268</v>
      </c>
      <c r="EL7" s="6">
        <v>45838</v>
      </c>
      <c r="EM7">
        <v>5</v>
      </c>
      <c r="EN7">
        <v>41303104</v>
      </c>
      <c r="EO7">
        <v>216952</v>
      </c>
      <c r="EP7" t="s">
        <v>1886</v>
      </c>
      <c r="JK7" t="s">
        <v>4489</v>
      </c>
      <c r="JL7" t="s">
        <v>1769</v>
      </c>
      <c r="JM7">
        <v>0.33457599999999998</v>
      </c>
      <c r="JN7">
        <v>0.22211500000000001</v>
      </c>
      <c r="JO7" t="s">
        <v>1745</v>
      </c>
      <c r="JP7">
        <v>2024</v>
      </c>
      <c r="JQ7" t="s">
        <v>4490</v>
      </c>
      <c r="JR7" s="6">
        <v>45698</v>
      </c>
      <c r="JS7">
        <v>5</v>
      </c>
      <c r="JT7">
        <v>1092250</v>
      </c>
      <c r="JU7">
        <v>24112045</v>
      </c>
      <c r="JV7" t="s">
        <v>4491</v>
      </c>
      <c r="JY7" t="s">
        <v>6482</v>
      </c>
      <c r="JZ7">
        <v>-2.4245362661989844E-14</v>
      </c>
      <c r="KB7">
        <v>-2.4245362661989844E-14</v>
      </c>
      <c r="KC7" t="s">
        <v>1805</v>
      </c>
      <c r="KD7">
        <v>2025</v>
      </c>
      <c r="KE7" t="s">
        <v>6483</v>
      </c>
      <c r="KF7" s="6">
        <v>45919</v>
      </c>
      <c r="KG7">
        <v>3</v>
      </c>
      <c r="KH7">
        <v>-2.4245362661989844E-14</v>
      </c>
      <c r="KI7">
        <v>112011</v>
      </c>
      <c r="KJ7" t="s">
        <v>6484</v>
      </c>
      <c r="KO7" t="s">
        <v>2170</v>
      </c>
      <c r="KP7" t="s">
        <v>1786</v>
      </c>
      <c r="KQ7">
        <v>0.664825</v>
      </c>
      <c r="KR7">
        <v>3.6327410000000002</v>
      </c>
      <c r="KS7" t="s">
        <v>1845</v>
      </c>
      <c r="KT7">
        <v>2024</v>
      </c>
      <c r="KU7" t="s">
        <v>3435</v>
      </c>
      <c r="KV7" s="6">
        <v>45741</v>
      </c>
      <c r="KW7">
        <v>5</v>
      </c>
      <c r="KX7">
        <v>178478249.27000001</v>
      </c>
      <c r="KY7">
        <v>153737</v>
      </c>
      <c r="KZ7" t="s">
        <v>2171</v>
      </c>
      <c r="LC7" t="s">
        <v>1789</v>
      </c>
      <c r="LD7">
        <v>2.64514</v>
      </c>
      <c r="LE7" t="s">
        <v>1786</v>
      </c>
      <c r="LF7">
        <v>1.094911</v>
      </c>
      <c r="LG7" t="s">
        <v>1762</v>
      </c>
      <c r="LH7">
        <v>2025</v>
      </c>
      <c r="LI7" t="s">
        <v>4062</v>
      </c>
      <c r="LJ7" s="6">
        <v>45783</v>
      </c>
      <c r="LK7">
        <v>5</v>
      </c>
      <c r="LL7">
        <v>370081536</v>
      </c>
      <c r="LM7">
        <v>117929</v>
      </c>
      <c r="LN7" t="s">
        <v>1791</v>
      </c>
      <c r="LS7" t="s">
        <v>428</v>
      </c>
      <c r="LU7">
        <v>-2.4245362661989844E-14</v>
      </c>
      <c r="LV7">
        <v>-2.4245362661989844E-14</v>
      </c>
      <c r="LW7" t="s">
        <v>1745</v>
      </c>
      <c r="LX7">
        <v>2021</v>
      </c>
      <c r="LY7" t="s">
        <v>3264</v>
      </c>
      <c r="LZ7" s="6">
        <v>44693</v>
      </c>
      <c r="MA7">
        <v>5</v>
      </c>
      <c r="MB7">
        <v>-2.4245362661989844E-14</v>
      </c>
      <c r="MC7">
        <v>101690</v>
      </c>
      <c r="MD7" t="s">
        <v>3265</v>
      </c>
      <c r="PE7" t="s">
        <v>2247</v>
      </c>
      <c r="PF7" t="s">
        <v>1786</v>
      </c>
      <c r="PG7">
        <v>6.8536460000000003</v>
      </c>
      <c r="PH7">
        <v>9.6768190000000001</v>
      </c>
      <c r="PI7" t="s">
        <v>1809</v>
      </c>
      <c r="PJ7">
        <v>2025</v>
      </c>
      <c r="PK7" t="s">
        <v>2248</v>
      </c>
      <c r="PL7" s="6">
        <v>45812</v>
      </c>
      <c r="PM7">
        <v>5</v>
      </c>
      <c r="PN7">
        <v>1011895282.72</v>
      </c>
      <c r="PO7">
        <v>330541</v>
      </c>
      <c r="PP7" t="s">
        <v>2249</v>
      </c>
      <c r="PS7" t="s">
        <v>1867</v>
      </c>
      <c r="PT7">
        <v>1.3641749999999999</v>
      </c>
      <c r="PU7" t="s">
        <v>1786</v>
      </c>
      <c r="PV7">
        <v>0.69426200000000005</v>
      </c>
      <c r="PW7" t="s">
        <v>1809</v>
      </c>
      <c r="PX7">
        <v>2025</v>
      </c>
      <c r="PY7" t="s">
        <v>1868</v>
      </c>
      <c r="PZ7" s="6">
        <v>45797</v>
      </c>
      <c r="QA7">
        <v>5</v>
      </c>
      <c r="QB7">
        <v>183924678.06999999</v>
      </c>
      <c r="QC7">
        <v>223340</v>
      </c>
      <c r="QD7" t="s">
        <v>1869</v>
      </c>
      <c r="QI7" t="s">
        <v>2226</v>
      </c>
      <c r="QJ7" t="s">
        <v>1786</v>
      </c>
      <c r="QK7">
        <v>6.0908949999999997</v>
      </c>
      <c r="QL7">
        <v>2.5669719999999998</v>
      </c>
      <c r="QM7" t="s">
        <v>1745</v>
      </c>
      <c r="QN7">
        <v>2024</v>
      </c>
      <c r="QO7" t="s">
        <v>2227</v>
      </c>
      <c r="QP7" s="6">
        <v>45713</v>
      </c>
      <c r="QQ7">
        <v>5</v>
      </c>
      <c r="QR7">
        <v>97500000</v>
      </c>
      <c r="QS7">
        <v>69483676</v>
      </c>
      <c r="QT7" t="s">
        <v>2228</v>
      </c>
      <c r="QW7" t="s">
        <v>236</v>
      </c>
      <c r="QX7">
        <v>7.5766629999999999</v>
      </c>
      <c r="QY7" t="s">
        <v>1786</v>
      </c>
      <c r="QZ7">
        <v>2.12181</v>
      </c>
      <c r="RA7" t="s">
        <v>1742</v>
      </c>
      <c r="RB7">
        <v>2025</v>
      </c>
      <c r="RC7" t="s">
        <v>2224</v>
      </c>
      <c r="RD7" s="6">
        <v>45985</v>
      </c>
      <c r="RE7">
        <v>5</v>
      </c>
      <c r="RF7">
        <v>1308944256</v>
      </c>
      <c r="RG7">
        <v>102782</v>
      </c>
      <c r="RH7" t="s">
        <v>2149</v>
      </c>
      <c r="RM7" t="s">
        <v>5806</v>
      </c>
      <c r="RO7">
        <v>-2.4245362661989844E-14</v>
      </c>
      <c r="RP7">
        <v>-2.4245362661989844E-14</v>
      </c>
      <c r="RQ7" t="s">
        <v>1745</v>
      </c>
      <c r="RR7">
        <v>2021</v>
      </c>
      <c r="RS7" t="s">
        <v>5807</v>
      </c>
      <c r="RT7" s="6">
        <v>44693</v>
      </c>
      <c r="RU7">
        <v>5</v>
      </c>
      <c r="RV7">
        <v>-2.4245362661989844E-14</v>
      </c>
      <c r="RW7">
        <v>115724</v>
      </c>
      <c r="RX7" t="s">
        <v>5808</v>
      </c>
      <c r="SA7" t="s">
        <v>2170</v>
      </c>
      <c r="SB7">
        <v>-2.4245362661989844E-14</v>
      </c>
      <c r="SD7">
        <v>-2.4245362661989844E-14</v>
      </c>
      <c r="SE7" t="s">
        <v>1745</v>
      </c>
      <c r="SF7">
        <v>2021</v>
      </c>
      <c r="SG7" t="s">
        <v>5349</v>
      </c>
      <c r="SH7" s="6">
        <v>44665</v>
      </c>
      <c r="SI7">
        <v>3</v>
      </c>
      <c r="SJ7">
        <v>-2.4245362661989844E-14</v>
      </c>
      <c r="SK7">
        <v>153737</v>
      </c>
      <c r="SL7" t="s">
        <v>2171</v>
      </c>
    </row>
    <row r="8" spans="1:600" x14ac:dyDescent="0.25">
      <c r="AS8" t="s">
        <v>396</v>
      </c>
      <c r="AT8">
        <v>-2.4245362661989844E-14</v>
      </c>
      <c r="AV8">
        <v>-2.4245362661989844E-14</v>
      </c>
      <c r="AW8" t="s">
        <v>1745</v>
      </c>
      <c r="AX8">
        <v>2021</v>
      </c>
      <c r="AY8" t="s">
        <v>6293</v>
      </c>
      <c r="AZ8" s="6">
        <v>44631</v>
      </c>
      <c r="BA8">
        <v>4</v>
      </c>
      <c r="BB8">
        <v>-2.4245362661989844E-14</v>
      </c>
      <c r="BC8">
        <v>344604</v>
      </c>
      <c r="BD8" t="s">
        <v>6294</v>
      </c>
      <c r="BI8" t="s">
        <v>2805</v>
      </c>
      <c r="BJ8" t="s">
        <v>1786</v>
      </c>
      <c r="BK8">
        <v>6.6073999999999994E-2</v>
      </c>
      <c r="BL8">
        <v>0.36740600000000001</v>
      </c>
      <c r="BM8" t="s">
        <v>1742</v>
      </c>
      <c r="BN8">
        <v>2025</v>
      </c>
      <c r="BO8" t="s">
        <v>2806</v>
      </c>
      <c r="BP8" s="6">
        <v>45891</v>
      </c>
      <c r="BQ8">
        <v>5</v>
      </c>
      <c r="BR8">
        <v>1903161</v>
      </c>
      <c r="BS8">
        <v>100097</v>
      </c>
      <c r="BT8" t="s">
        <v>2807</v>
      </c>
      <c r="BW8" t="s">
        <v>1789</v>
      </c>
      <c r="BX8">
        <v>3.333253</v>
      </c>
      <c r="BY8" t="s">
        <v>2416</v>
      </c>
      <c r="BZ8">
        <v>0.69981400000000005</v>
      </c>
      <c r="CA8" t="s">
        <v>1762</v>
      </c>
      <c r="CB8">
        <v>2025</v>
      </c>
      <c r="CC8" t="s">
        <v>6132</v>
      </c>
      <c r="CD8" s="6">
        <v>45820</v>
      </c>
      <c r="CE8">
        <v>5</v>
      </c>
      <c r="CF8">
        <v>43532284</v>
      </c>
      <c r="CG8">
        <v>117929</v>
      </c>
      <c r="CH8" t="s">
        <v>1791</v>
      </c>
      <c r="CM8" t="s">
        <v>2484</v>
      </c>
      <c r="CO8">
        <v>-2.4245362661989844E-14</v>
      </c>
      <c r="CP8">
        <v>-2.4245362661989844E-14</v>
      </c>
      <c r="CQ8" t="s">
        <v>1745</v>
      </c>
      <c r="CR8">
        <v>2022</v>
      </c>
      <c r="CS8" t="s">
        <v>2485</v>
      </c>
      <c r="CT8" s="6">
        <v>44693</v>
      </c>
      <c r="CU8">
        <v>5</v>
      </c>
      <c r="CV8">
        <v>-2.4245362661989844E-14</v>
      </c>
      <c r="CW8">
        <v>114991</v>
      </c>
      <c r="CX8" t="s">
        <v>2486</v>
      </c>
      <c r="DA8" t="s">
        <v>5957</v>
      </c>
      <c r="DB8">
        <v>-2.4245362661989844E-14</v>
      </c>
      <c r="DD8">
        <v>-2.4245362661989844E-14</v>
      </c>
      <c r="DE8" t="s">
        <v>1745</v>
      </c>
      <c r="DF8">
        <v>2021</v>
      </c>
      <c r="DG8" t="s">
        <v>5958</v>
      </c>
      <c r="DH8" s="6">
        <v>44650</v>
      </c>
      <c r="DI8">
        <v>4</v>
      </c>
      <c r="DJ8">
        <v>-2.4245362661989844E-14</v>
      </c>
      <c r="DK8">
        <v>9371524</v>
      </c>
      <c r="DL8" t="s">
        <v>5959</v>
      </c>
      <c r="DQ8" t="s">
        <v>424</v>
      </c>
      <c r="DR8" t="s">
        <v>1786</v>
      </c>
      <c r="DS8">
        <v>8.6090000000000003E-3</v>
      </c>
      <c r="DT8">
        <v>0.94545199999999996</v>
      </c>
      <c r="DU8" t="s">
        <v>1742</v>
      </c>
      <c r="DV8">
        <v>2025</v>
      </c>
      <c r="DW8" t="s">
        <v>2528</v>
      </c>
      <c r="DX8" s="6">
        <v>45843</v>
      </c>
      <c r="DY8">
        <v>5</v>
      </c>
      <c r="DZ8">
        <v>6031982</v>
      </c>
      <c r="EA8">
        <v>101743</v>
      </c>
      <c r="EB8" t="s">
        <v>1891</v>
      </c>
      <c r="EE8" t="s">
        <v>423</v>
      </c>
      <c r="EF8">
        <v>0.60699000000000003</v>
      </c>
      <c r="EG8" t="s">
        <v>1769</v>
      </c>
      <c r="EH8">
        <v>0.15107200000000001</v>
      </c>
      <c r="EI8" t="s">
        <v>1762</v>
      </c>
      <c r="EJ8">
        <v>2025</v>
      </c>
      <c r="EK8" t="s">
        <v>2268</v>
      </c>
      <c r="EL8" s="6">
        <v>45838</v>
      </c>
      <c r="EM8">
        <v>5</v>
      </c>
      <c r="EN8">
        <v>35648524</v>
      </c>
      <c r="EO8">
        <v>100312</v>
      </c>
      <c r="EP8" t="s">
        <v>3933</v>
      </c>
      <c r="JK8" t="s">
        <v>6622</v>
      </c>
      <c r="JL8" t="s">
        <v>1769</v>
      </c>
      <c r="JM8">
        <v>0.8</v>
      </c>
      <c r="JN8">
        <v>8.5361999999999993E-2</v>
      </c>
      <c r="JO8" t="s">
        <v>1745</v>
      </c>
      <c r="JP8">
        <v>2024</v>
      </c>
      <c r="JQ8" t="s">
        <v>6623</v>
      </c>
      <c r="JR8" s="6">
        <v>45701</v>
      </c>
      <c r="JS8">
        <v>5</v>
      </c>
      <c r="JT8">
        <v>422473.63</v>
      </c>
      <c r="JU8">
        <v>69883901</v>
      </c>
      <c r="JV8" t="s">
        <v>6624</v>
      </c>
      <c r="KO8" t="s">
        <v>2386</v>
      </c>
      <c r="KP8" t="s">
        <v>1786</v>
      </c>
      <c r="KQ8">
        <v>2.6461350000000001</v>
      </c>
      <c r="KR8">
        <v>3.5549309999999998</v>
      </c>
      <c r="KS8" t="s">
        <v>1742</v>
      </c>
      <c r="KT8">
        <v>2025</v>
      </c>
      <c r="KU8" t="s">
        <v>2387</v>
      </c>
      <c r="KV8" s="6">
        <v>45763</v>
      </c>
      <c r="KW8">
        <v>5</v>
      </c>
      <c r="KX8">
        <v>173480608</v>
      </c>
      <c r="KY8">
        <v>136547</v>
      </c>
      <c r="KZ8" t="s">
        <v>2388</v>
      </c>
      <c r="LC8" t="s">
        <v>1885</v>
      </c>
      <c r="LD8">
        <v>2.5842719999999999</v>
      </c>
      <c r="LE8" t="s">
        <v>1820</v>
      </c>
      <c r="LF8">
        <v>1.4451639999999999</v>
      </c>
      <c r="LG8" t="s">
        <v>1762</v>
      </c>
      <c r="LH8">
        <v>2025</v>
      </c>
      <c r="LI8" t="s">
        <v>4062</v>
      </c>
      <c r="LJ8" s="6">
        <v>45783</v>
      </c>
      <c r="LK8">
        <v>5</v>
      </c>
      <c r="LL8">
        <v>361565504</v>
      </c>
      <c r="LM8">
        <v>216952</v>
      </c>
      <c r="LN8" t="s">
        <v>1886</v>
      </c>
      <c r="LS8" t="s">
        <v>86</v>
      </c>
      <c r="LU8">
        <v>-2.4245362661989844E-14</v>
      </c>
      <c r="LV8">
        <v>-2.4245362661989844E-14</v>
      </c>
      <c r="LW8" t="s">
        <v>1745</v>
      </c>
      <c r="LX8">
        <v>2021</v>
      </c>
      <c r="LY8" t="s">
        <v>2299</v>
      </c>
      <c r="LZ8" s="6">
        <v>44693</v>
      </c>
      <c r="MA8">
        <v>5</v>
      </c>
      <c r="MB8">
        <v>-2.4245362661989844E-14</v>
      </c>
      <c r="MC8">
        <v>100193</v>
      </c>
      <c r="MD8" t="s">
        <v>1849</v>
      </c>
      <c r="PE8" t="s">
        <v>2250</v>
      </c>
      <c r="PF8" t="s">
        <v>1786</v>
      </c>
      <c r="PG8">
        <v>4.2738360000000002</v>
      </c>
      <c r="PH8">
        <v>6.6693020000000001</v>
      </c>
      <c r="PI8" t="s">
        <v>1742</v>
      </c>
      <c r="PJ8">
        <v>2025</v>
      </c>
      <c r="PK8" t="s">
        <v>2251</v>
      </c>
      <c r="PL8" s="6">
        <v>46087</v>
      </c>
      <c r="PM8">
        <v>5</v>
      </c>
      <c r="PN8">
        <v>811049598.16999996</v>
      </c>
      <c r="PO8">
        <v>7975354</v>
      </c>
      <c r="PP8" t="s">
        <v>2252</v>
      </c>
      <c r="PS8" t="s">
        <v>1870</v>
      </c>
      <c r="PT8">
        <v>0.59423499999999996</v>
      </c>
      <c r="PU8" t="s">
        <v>1786</v>
      </c>
      <c r="PV8">
        <v>1.9269499999999999</v>
      </c>
      <c r="PW8" t="s">
        <v>1809</v>
      </c>
      <c r="PX8">
        <v>2025</v>
      </c>
      <c r="PY8" t="s">
        <v>1871</v>
      </c>
      <c r="PZ8" s="6">
        <v>45820</v>
      </c>
      <c r="QA8">
        <v>5</v>
      </c>
      <c r="QB8">
        <v>78557896</v>
      </c>
      <c r="QC8">
        <v>12129192</v>
      </c>
      <c r="QD8" t="s">
        <v>1872</v>
      </c>
      <c r="QI8" t="s">
        <v>5323</v>
      </c>
      <c r="QJ8" t="s">
        <v>2416</v>
      </c>
      <c r="QK8">
        <v>-2.4245362661989844E-14</v>
      </c>
      <c r="QL8">
        <v>1.9000570000000001</v>
      </c>
      <c r="QM8" t="s">
        <v>1745</v>
      </c>
      <c r="QN8">
        <v>2025</v>
      </c>
      <c r="QO8" t="s">
        <v>5322</v>
      </c>
      <c r="QP8" s="6">
        <v>46077</v>
      </c>
      <c r="QQ8">
        <v>5</v>
      </c>
      <c r="QR8">
        <v>75000000</v>
      </c>
      <c r="QS8">
        <v>71999429</v>
      </c>
      <c r="QT8" t="s">
        <v>5324</v>
      </c>
      <c r="QW8" t="s">
        <v>1114</v>
      </c>
      <c r="QX8">
        <v>0.787219</v>
      </c>
      <c r="QY8" t="s">
        <v>1786</v>
      </c>
      <c r="QZ8">
        <v>3.9592429999999998</v>
      </c>
      <c r="RA8" t="s">
        <v>1742</v>
      </c>
      <c r="RB8">
        <v>2025</v>
      </c>
      <c r="RC8" t="s">
        <v>2225</v>
      </c>
      <c r="RD8" s="6">
        <v>45966</v>
      </c>
      <c r="RE8">
        <v>5</v>
      </c>
      <c r="RF8">
        <v>136000000</v>
      </c>
      <c r="RG8">
        <v>100225</v>
      </c>
      <c r="RH8" t="s">
        <v>2151</v>
      </c>
      <c r="RM8" t="s">
        <v>4210</v>
      </c>
      <c r="RO8">
        <v>-2.4245362661989844E-14</v>
      </c>
      <c r="RP8">
        <v>-2.4245362661989844E-14</v>
      </c>
      <c r="RQ8" t="s">
        <v>1745</v>
      </c>
      <c r="RR8">
        <v>2022</v>
      </c>
      <c r="RS8" t="s">
        <v>4211</v>
      </c>
      <c r="RT8" s="6">
        <v>44693</v>
      </c>
      <c r="RU8">
        <v>5</v>
      </c>
      <c r="RV8">
        <v>-2.4245362661989844E-14</v>
      </c>
      <c r="RW8">
        <v>113413</v>
      </c>
      <c r="RX8" t="s">
        <v>4212</v>
      </c>
    </row>
    <row r="9" spans="1:600" x14ac:dyDescent="0.25">
      <c r="BI9" t="s">
        <v>3928</v>
      </c>
      <c r="BJ9" t="s">
        <v>1820</v>
      </c>
      <c r="BK9">
        <v>3.62E-3</v>
      </c>
      <c r="BL9">
        <v>6.0610999999999998E-2</v>
      </c>
      <c r="BM9" t="s">
        <v>1742</v>
      </c>
      <c r="BN9">
        <v>2025</v>
      </c>
      <c r="BO9" t="s">
        <v>3929</v>
      </c>
      <c r="BP9" s="6">
        <v>45964</v>
      </c>
      <c r="BQ9">
        <v>5</v>
      </c>
      <c r="BR9">
        <v>18790</v>
      </c>
      <c r="BS9">
        <v>16546862</v>
      </c>
      <c r="BT9" t="s">
        <v>3930</v>
      </c>
      <c r="BW9" t="s">
        <v>246</v>
      </c>
      <c r="BX9">
        <v>2.9894419999999999</v>
      </c>
      <c r="BY9" t="s">
        <v>1820</v>
      </c>
      <c r="BZ9">
        <v>0.22702900000000001</v>
      </c>
      <c r="CA9" t="s">
        <v>1762</v>
      </c>
      <c r="CB9">
        <v>2025</v>
      </c>
      <c r="CC9" t="s">
        <v>6132</v>
      </c>
      <c r="CD9" s="6">
        <v>45820</v>
      </c>
      <c r="CE9">
        <v>5</v>
      </c>
      <c r="CF9">
        <v>39042112</v>
      </c>
      <c r="CG9">
        <v>46946968</v>
      </c>
      <c r="CH9" t="s">
        <v>1765</v>
      </c>
      <c r="CM9" t="s">
        <v>2280</v>
      </c>
      <c r="CO9">
        <v>-2.4245362661989844E-14</v>
      </c>
      <c r="CP9">
        <v>-2.4245362661989844E-14</v>
      </c>
      <c r="CQ9" t="s">
        <v>1745</v>
      </c>
      <c r="CR9">
        <v>2021</v>
      </c>
      <c r="CS9" t="s">
        <v>2281</v>
      </c>
      <c r="CT9" s="6">
        <v>44693</v>
      </c>
      <c r="CU9">
        <v>5</v>
      </c>
      <c r="CV9">
        <v>-2.4245362661989844E-14</v>
      </c>
      <c r="CW9">
        <v>313098</v>
      </c>
      <c r="CX9" t="s">
        <v>2282</v>
      </c>
      <c r="DQ9" t="s">
        <v>1962</v>
      </c>
      <c r="DR9" t="s">
        <v>1786</v>
      </c>
      <c r="DS9">
        <v>0.27634599999999998</v>
      </c>
      <c r="DT9">
        <v>0.25924000000000003</v>
      </c>
      <c r="DU9" t="s">
        <v>1762</v>
      </c>
      <c r="DV9">
        <v>2026</v>
      </c>
      <c r="DW9" t="s">
        <v>2011</v>
      </c>
      <c r="DX9" s="6">
        <v>46036</v>
      </c>
      <c r="DY9">
        <v>5</v>
      </c>
      <c r="DZ9">
        <v>1682466</v>
      </c>
      <c r="EA9">
        <v>194585</v>
      </c>
      <c r="EB9" t="s">
        <v>1964</v>
      </c>
      <c r="EE9" t="s">
        <v>204</v>
      </c>
      <c r="EF9">
        <v>0.587646</v>
      </c>
      <c r="EG9" t="s">
        <v>1786</v>
      </c>
      <c r="EH9">
        <v>0.32928600000000002</v>
      </c>
      <c r="EI9" t="s">
        <v>1762</v>
      </c>
      <c r="EJ9">
        <v>2025</v>
      </c>
      <c r="EK9" t="s">
        <v>2268</v>
      </c>
      <c r="EL9" s="6">
        <v>45838</v>
      </c>
      <c r="EM9">
        <v>5</v>
      </c>
      <c r="EN9">
        <v>34512448</v>
      </c>
      <c r="EO9">
        <v>100732</v>
      </c>
      <c r="EP9" t="s">
        <v>2825</v>
      </c>
      <c r="JK9" t="s">
        <v>6625</v>
      </c>
      <c r="JL9" t="s">
        <v>1769</v>
      </c>
      <c r="JM9">
        <v>0.70679000000000003</v>
      </c>
      <c r="JN9">
        <v>6.7551E-2</v>
      </c>
      <c r="JO9" t="s">
        <v>1745</v>
      </c>
      <c r="JP9">
        <v>2024</v>
      </c>
      <c r="JQ9" t="s">
        <v>6626</v>
      </c>
      <c r="JR9" s="6">
        <v>45700</v>
      </c>
      <c r="JS9">
        <v>5</v>
      </c>
      <c r="JT9">
        <v>334323.34999999998</v>
      </c>
      <c r="JU9">
        <v>307064</v>
      </c>
      <c r="JV9" t="s">
        <v>6627</v>
      </c>
      <c r="KO9" t="s">
        <v>3919</v>
      </c>
      <c r="KP9" t="s">
        <v>1786</v>
      </c>
      <c r="KQ9">
        <v>18.200001</v>
      </c>
      <c r="KR9">
        <v>3.1899000000000002</v>
      </c>
      <c r="KS9" t="s">
        <v>1745</v>
      </c>
      <c r="KT9">
        <v>2025</v>
      </c>
      <c r="KU9" t="s">
        <v>4118</v>
      </c>
      <c r="KV9" s="6">
        <v>45888</v>
      </c>
      <c r="KW9">
        <v>5</v>
      </c>
      <c r="KX9">
        <v>155579376</v>
      </c>
      <c r="KY9">
        <v>9858567</v>
      </c>
      <c r="KZ9" t="s">
        <v>3921</v>
      </c>
      <c r="LC9" t="s">
        <v>1287</v>
      </c>
      <c r="LD9">
        <v>1.966375</v>
      </c>
      <c r="LE9" t="s">
        <v>1820</v>
      </c>
      <c r="LF9">
        <v>5.4308940000000003</v>
      </c>
      <c r="LG9" t="s">
        <v>1762</v>
      </c>
      <c r="LH9">
        <v>2025</v>
      </c>
      <c r="LI9" t="s">
        <v>4062</v>
      </c>
      <c r="LJ9" s="6">
        <v>45783</v>
      </c>
      <c r="LK9">
        <v>5</v>
      </c>
      <c r="LL9">
        <v>275115520</v>
      </c>
      <c r="LM9">
        <v>101376</v>
      </c>
      <c r="LN9" t="s">
        <v>1895</v>
      </c>
      <c r="LS9" t="s">
        <v>2346</v>
      </c>
      <c r="LU9">
        <v>-2.4245362661989844E-14</v>
      </c>
      <c r="LV9">
        <v>-2.4245362661989844E-14</v>
      </c>
      <c r="LW9" t="s">
        <v>1745</v>
      </c>
      <c r="LX9">
        <v>2021</v>
      </c>
      <c r="LY9" t="s">
        <v>2347</v>
      </c>
      <c r="LZ9" s="6">
        <v>44693</v>
      </c>
      <c r="MA9">
        <v>5</v>
      </c>
      <c r="MB9">
        <v>-2.4245362661989844E-14</v>
      </c>
      <c r="MC9">
        <v>100481</v>
      </c>
      <c r="MD9" t="s">
        <v>2348</v>
      </c>
      <c r="PE9" t="s">
        <v>2253</v>
      </c>
      <c r="PF9" t="s">
        <v>1786</v>
      </c>
      <c r="PG9">
        <v>10.5</v>
      </c>
      <c r="PH9">
        <v>7.349405</v>
      </c>
      <c r="PI9" t="s">
        <v>1745</v>
      </c>
      <c r="PJ9">
        <v>2024</v>
      </c>
      <c r="PK9" t="s">
        <v>2254</v>
      </c>
      <c r="PL9" s="6">
        <v>45744</v>
      </c>
      <c r="PM9">
        <v>5</v>
      </c>
      <c r="PN9">
        <v>778954139.5</v>
      </c>
      <c r="PO9">
        <v>113389</v>
      </c>
      <c r="PP9" t="s">
        <v>2255</v>
      </c>
      <c r="PS9" t="s">
        <v>1873</v>
      </c>
      <c r="PT9">
        <v>0.56558799999999998</v>
      </c>
      <c r="PU9" t="s">
        <v>1786</v>
      </c>
      <c r="PV9">
        <v>3.5370110000000001</v>
      </c>
      <c r="PW9" t="s">
        <v>1762</v>
      </c>
      <c r="PX9">
        <v>2025</v>
      </c>
      <c r="PY9" t="s">
        <v>1874</v>
      </c>
      <c r="PZ9" s="6">
        <v>46008</v>
      </c>
      <c r="QA9">
        <v>5</v>
      </c>
      <c r="QB9">
        <v>82257509.170000002</v>
      </c>
      <c r="QC9">
        <v>349049</v>
      </c>
      <c r="QD9" t="s">
        <v>1875</v>
      </c>
      <c r="QI9" t="s">
        <v>3871</v>
      </c>
      <c r="QJ9" t="s">
        <v>1769</v>
      </c>
      <c r="QK9">
        <v>1.6404799999999999</v>
      </c>
      <c r="QL9">
        <v>2.2485889999999999</v>
      </c>
      <c r="QM9" t="s">
        <v>1845</v>
      </c>
      <c r="QN9">
        <v>2025</v>
      </c>
      <c r="QO9" t="s">
        <v>3872</v>
      </c>
      <c r="QP9" s="6">
        <v>45796</v>
      </c>
      <c r="QQ9">
        <v>5</v>
      </c>
      <c r="QR9">
        <v>57397160.810000002</v>
      </c>
      <c r="QS9">
        <v>995671</v>
      </c>
      <c r="QT9" t="s">
        <v>3873</v>
      </c>
      <c r="QW9" t="s">
        <v>2226</v>
      </c>
      <c r="QX9">
        <v>0.61089599999999999</v>
      </c>
      <c r="QY9" t="s">
        <v>1786</v>
      </c>
      <c r="QZ9">
        <v>14.583333</v>
      </c>
      <c r="RA9" t="s">
        <v>1745</v>
      </c>
      <c r="RB9">
        <v>2024</v>
      </c>
      <c r="RC9" t="s">
        <v>2227</v>
      </c>
      <c r="RD9" s="6">
        <v>45713</v>
      </c>
      <c r="RE9">
        <v>5</v>
      </c>
      <c r="RF9">
        <v>98000000</v>
      </c>
      <c r="RG9">
        <v>69483676</v>
      </c>
      <c r="RH9" t="s">
        <v>2228</v>
      </c>
      <c r="RM9" t="s">
        <v>310</v>
      </c>
      <c r="RO9">
        <v>-2.4245362661989844E-14</v>
      </c>
      <c r="RP9">
        <v>-2.4245362661989844E-14</v>
      </c>
      <c r="RQ9" t="s">
        <v>1745</v>
      </c>
      <c r="RR9">
        <v>2021</v>
      </c>
      <c r="RS9" t="s">
        <v>4973</v>
      </c>
      <c r="RT9" s="6">
        <v>44693</v>
      </c>
      <c r="RU9">
        <v>5</v>
      </c>
      <c r="RV9">
        <v>-2.4245362661989844E-14</v>
      </c>
      <c r="RW9">
        <v>101668</v>
      </c>
      <c r="RX9" t="s">
        <v>4974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211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212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213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214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215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216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217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218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219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220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221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222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223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224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225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226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227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228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229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230</v>
      </c>
      <c r="AE2" s="3" t="s">
        <v>231</v>
      </c>
      <c r="BI2" s="3" t="s">
        <v>232</v>
      </c>
      <c r="CM2" s="3" t="s">
        <v>233</v>
      </c>
      <c r="DQ2" s="3" t="s">
        <v>234</v>
      </c>
      <c r="EU2" s="3" t="s">
        <v>235</v>
      </c>
      <c r="FY2" s="3" t="s">
        <v>236</v>
      </c>
      <c r="HC2" s="3" t="s">
        <v>237</v>
      </c>
      <c r="IG2" s="3" t="s">
        <v>238</v>
      </c>
      <c r="JK2" s="3" t="s">
        <v>239</v>
      </c>
      <c r="KO2" s="3" t="s">
        <v>240</v>
      </c>
      <c r="LS2" s="3" t="s">
        <v>241</v>
      </c>
      <c r="MW2" s="3" t="s">
        <v>242</v>
      </c>
      <c r="OA2" s="3" t="s">
        <v>243</v>
      </c>
      <c r="PE2" s="3" t="s">
        <v>244</v>
      </c>
      <c r="QI2" s="3" t="s">
        <v>245</v>
      </c>
      <c r="RM2" s="3" t="s">
        <v>246</v>
      </c>
      <c r="SQ2" s="3" t="s">
        <v>247</v>
      </c>
      <c r="TU2" s="3" t="s">
        <v>248</v>
      </c>
      <c r="UY2" s="3" t="s">
        <v>166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 US Equity","SUPPLY_CHAIN_SUPPLIERS_ALL_DATA","cols=12;rows=5")</f>
        <v>UPS US Equity</v>
      </c>
      <c r="B5" t="s">
        <v>1786</v>
      </c>
      <c r="C5">
        <v>0.92627999999999999</v>
      </c>
      <c r="D5">
        <v>6.9479110000000004</v>
      </c>
      <c r="E5" t="s">
        <v>1742</v>
      </c>
      <c r="F5">
        <v>2025</v>
      </c>
      <c r="G5" t="s">
        <v>1821</v>
      </c>
      <c r="H5" s="6">
        <v>46007</v>
      </c>
      <c r="I5">
        <v>5</v>
      </c>
      <c r="J5">
        <v>198362864</v>
      </c>
      <c r="K5">
        <v>143027</v>
      </c>
      <c r="L5" t="s">
        <v>1822</v>
      </c>
      <c r="O5" t="str">
        <f>_xll.BDS("M US Equity","SUPPLY_CHAIN_CUSTOMERS_ALL_DATA","cols=12;rows=5")</f>
        <v>002790 KS Equity</v>
      </c>
      <c r="P5">
        <v>-2.4245362661989844E-14</v>
      </c>
      <c r="R5">
        <v>-2.4245362661989844E-14</v>
      </c>
      <c r="S5" t="s">
        <v>1798</v>
      </c>
      <c r="T5">
        <v>2025</v>
      </c>
      <c r="U5" t="s">
        <v>6097</v>
      </c>
      <c r="V5" s="6">
        <v>45975</v>
      </c>
      <c r="W5">
        <v>5</v>
      </c>
      <c r="X5">
        <v>-2.4245362661989844E-14</v>
      </c>
      <c r="Y5">
        <v>129299</v>
      </c>
      <c r="Z5" t="s">
        <v>6098</v>
      </c>
      <c r="AE5" t="str">
        <f>_xll.BDS("PVR US Equity","SUPPLY_CHAIN_SUPPLIERS_ALL_DATA")</f>
        <v>#N/A N/A</v>
      </c>
      <c r="AS5" t="str">
        <f>_xll.BDS("PVR US Equity","SUPPLY_CHAIN_CUSTOMERS_ALL_DATA")</f>
        <v>#N/A N/A</v>
      </c>
      <c r="BI5" t="str">
        <f>_xll.BDS("FNFG US Equity","SUPPLY_CHAIN_SUPPLIERS_ALL_DATA")</f>
        <v>#N/A N/A</v>
      </c>
      <c r="BW5" t="str">
        <f>_xll.BDS("FNFG US Equity","SUPPLY_CHAIN_CUSTOMERS_ALL_DATA")</f>
        <v>#N/A N/A</v>
      </c>
      <c r="CM5" t="str">
        <f>_xll.BDS("AF US Equity","SUPPLY_CHAIN_SUPPLIERS_ALL_DATA")</f>
        <v>#N/A N/A</v>
      </c>
      <c r="DA5" t="str">
        <f>_xll.BDS("AF US Equity","SUPPLY_CHAIN_CUSTOMERS_ALL_DATA")</f>
        <v>#N/A N/A</v>
      </c>
      <c r="DQ5" t="str">
        <f>_xll.BDS("GD US Equity","SUPPLY_CHAIN_SUPPLIERS_ALL_DATA","cols=12;rows=5")</f>
        <v>RTX US Equity</v>
      </c>
      <c r="DR5" t="s">
        <v>1786</v>
      </c>
      <c r="DS5">
        <v>0.86519299999999999</v>
      </c>
      <c r="DT5">
        <v>1.683351</v>
      </c>
      <c r="DU5" t="s">
        <v>1762</v>
      </c>
      <c r="DV5">
        <v>2025</v>
      </c>
      <c r="DW5" t="s">
        <v>3638</v>
      </c>
      <c r="DX5" s="6">
        <v>45895</v>
      </c>
      <c r="DY5">
        <v>5</v>
      </c>
      <c r="DZ5">
        <v>186717296</v>
      </c>
      <c r="EA5">
        <v>101555</v>
      </c>
      <c r="EB5" t="s">
        <v>1848</v>
      </c>
      <c r="EE5" t="str">
        <f>_xll.BDS("GD US Equity","SUPPLY_CHAIN_CUSTOMERS_ALL_DATA","cols=12;rows=5")</f>
        <v>3352Z US Equity</v>
      </c>
      <c r="EF5">
        <v>68.043769999999995</v>
      </c>
      <c r="EH5">
        <v>-2.4245362661989844E-14</v>
      </c>
      <c r="EI5" t="s">
        <v>1745</v>
      </c>
      <c r="EJ5">
        <v>2025</v>
      </c>
      <c r="EK5" t="s">
        <v>4039</v>
      </c>
      <c r="EL5" s="6">
        <v>46052</v>
      </c>
      <c r="EM5">
        <v>5</v>
      </c>
      <c r="EN5">
        <v>8939250000</v>
      </c>
      <c r="EO5">
        <v>218252</v>
      </c>
      <c r="EP5" t="s">
        <v>1803</v>
      </c>
      <c r="EU5" t="str">
        <f>_xll.BDS("1859004D US Equity","SUPPLY_CHAIN_SUPPLIERS_ALL_DATA")</f>
        <v>#N/A N/A</v>
      </c>
      <c r="FI5" t="str">
        <f>_xll.BDS("1859004D US Equity","SUPPLY_CHAIN_CUSTOMERS_ALL_DATA")</f>
        <v>#N/A N/A</v>
      </c>
      <c r="FY5" t="str">
        <f>_xll.BDS("CAH US Equity","SUPPLY_CHAIN_SUPPLIERS_ALL_DATA","cols=12;rows=5")</f>
        <v>LLY US Equity</v>
      </c>
      <c r="FZ5" t="s">
        <v>1786</v>
      </c>
      <c r="GA5">
        <v>19.020800000000001</v>
      </c>
      <c r="GB5">
        <v>5.4268320000000001</v>
      </c>
      <c r="GC5" t="s">
        <v>1742</v>
      </c>
      <c r="GD5">
        <v>2025</v>
      </c>
      <c r="GE5" t="s">
        <v>3253</v>
      </c>
      <c r="GF5" s="6">
        <v>46041</v>
      </c>
      <c r="GG5">
        <v>5</v>
      </c>
      <c r="GH5">
        <v>3347812864</v>
      </c>
      <c r="GI5">
        <v>100894</v>
      </c>
      <c r="GJ5" t="s">
        <v>3254</v>
      </c>
      <c r="GM5" t="str">
        <f>_xll.BDS("CAH US Equity","SUPPLY_CHAIN_CUSTOMERS_ALL_DATA","cols=12;rows=5")</f>
        <v>CVS US Equity</v>
      </c>
      <c r="GN5">
        <v>30</v>
      </c>
      <c r="GO5" t="s">
        <v>1786</v>
      </c>
      <c r="GP5">
        <v>20.040337000000001</v>
      </c>
      <c r="GQ5" t="s">
        <v>1745</v>
      </c>
      <c r="GR5">
        <v>2025</v>
      </c>
      <c r="GS5" t="s">
        <v>3842</v>
      </c>
      <c r="GT5" s="6">
        <v>45881</v>
      </c>
      <c r="GU5">
        <v>5</v>
      </c>
      <c r="GV5">
        <v>16693350400</v>
      </c>
      <c r="GW5">
        <v>100976</v>
      </c>
      <c r="GX5" t="s">
        <v>1888</v>
      </c>
      <c r="HC5" t="str">
        <f>_xll.BDS("LEE US Equity","SUPPLY_CHAIN_SUPPLIERS_ALL_DATA","cols=12;rows=1")</f>
        <v>AMZN US Equity</v>
      </c>
      <c r="HE5">
        <v>-2.4245362661989844E-14</v>
      </c>
      <c r="HF5">
        <v>-2.4245362661989844E-14</v>
      </c>
      <c r="HG5" t="s">
        <v>1745</v>
      </c>
      <c r="HH5">
        <v>2024</v>
      </c>
      <c r="HI5" t="s">
        <v>5163</v>
      </c>
      <c r="HJ5" s="6">
        <v>45642</v>
      </c>
      <c r="HK5">
        <v>1</v>
      </c>
      <c r="HL5">
        <v>-2.4245362661989844E-14</v>
      </c>
      <c r="HM5">
        <v>216952</v>
      </c>
      <c r="HN5" t="s">
        <v>1886</v>
      </c>
      <c r="HQ5" t="str">
        <f>_xll.BDS("LEE US Equity","SUPPLY_CHAIN_CUSTOMERS_ALL_DATA","cols=12;rows=2")</f>
        <v>2118736D US Equity</v>
      </c>
      <c r="HR5">
        <v>-2.4245362661989844E-14</v>
      </c>
      <c r="HT5">
        <v>-2.4245362661989844E-14</v>
      </c>
      <c r="HU5" t="s">
        <v>1745</v>
      </c>
      <c r="HV5">
        <v>2025</v>
      </c>
      <c r="HW5" t="s">
        <v>5163</v>
      </c>
      <c r="HX5" s="6">
        <v>45708</v>
      </c>
      <c r="HY5">
        <v>2</v>
      </c>
      <c r="HZ5">
        <v>-2.4245362661989844E-14</v>
      </c>
      <c r="IA5">
        <v>70463451</v>
      </c>
      <c r="IB5" t="s">
        <v>6017</v>
      </c>
      <c r="IG5" t="str">
        <f>_xll.BDS("1825471D US Equity","SUPPLY_CHAIN_SUPPLIERS_ALL_DATA","cols=12;rows=5")</f>
        <v>LXP US Equity</v>
      </c>
      <c r="II5">
        <v>1.474461</v>
      </c>
      <c r="IJ5">
        <v>-2.4245362661989844E-14</v>
      </c>
      <c r="IK5" t="s">
        <v>1809</v>
      </c>
      <c r="IL5">
        <v>2025</v>
      </c>
      <c r="IM5" t="s">
        <v>6611</v>
      </c>
      <c r="IN5" s="6">
        <v>45779</v>
      </c>
      <c r="IO5">
        <v>5</v>
      </c>
      <c r="IP5">
        <v>1310250</v>
      </c>
      <c r="IQ5">
        <v>126246</v>
      </c>
      <c r="IR5" t="s">
        <v>6612</v>
      </c>
      <c r="IU5" t="str">
        <f>_xll.BDS("1825471D US Equity","SUPPLY_CHAIN_CUSTOMERS_ALL_DATA","cols=12;rows=5")</f>
        <v>AIT US Equity</v>
      </c>
      <c r="IV5">
        <v>-2.4245362661989844E-14</v>
      </c>
      <c r="IX5">
        <v>-2.4245362661989844E-14</v>
      </c>
      <c r="IY5" t="s">
        <v>1742</v>
      </c>
      <c r="IZ5">
        <v>2025</v>
      </c>
      <c r="JA5" t="s">
        <v>6353</v>
      </c>
      <c r="JB5" s="6">
        <v>45824</v>
      </c>
      <c r="JC5">
        <v>5</v>
      </c>
      <c r="JD5">
        <v>-2.4245362661989844E-14</v>
      </c>
      <c r="JE5">
        <v>100181</v>
      </c>
      <c r="JF5" t="s">
        <v>6354</v>
      </c>
      <c r="JK5" t="str">
        <f>_xll.BDS("9995522D US Equity","SUPPLY_CHAIN_SUPPLIERS_ALL_DATA","cols=12;rows=5")</f>
        <v>300464 CH Equity</v>
      </c>
      <c r="JM5">
        <v>-2.4245362661989844E-14</v>
      </c>
      <c r="JN5">
        <v>-2.4245362661989844E-14</v>
      </c>
      <c r="JO5" t="s">
        <v>1805</v>
      </c>
      <c r="JP5">
        <v>2022</v>
      </c>
      <c r="JQ5" t="s">
        <v>6297</v>
      </c>
      <c r="JR5" s="6">
        <v>44802</v>
      </c>
      <c r="JS5">
        <v>5</v>
      </c>
      <c r="JT5">
        <v>-2.4245362661989844E-14</v>
      </c>
      <c r="JU5">
        <v>40231171</v>
      </c>
      <c r="JV5" t="s">
        <v>6298</v>
      </c>
      <c r="JY5" t="str">
        <f>_xll.BDS("9995522D US Equity","SUPPLY_CHAIN_CUSTOMERS_ALL_DATA","cols=12;rows=1")</f>
        <v>0883189D US Equity</v>
      </c>
      <c r="JZ5">
        <v>-2.4245362661989844E-14</v>
      </c>
      <c r="KB5">
        <v>-2.4245362661989844E-14</v>
      </c>
      <c r="KC5" t="s">
        <v>1745</v>
      </c>
      <c r="KD5">
        <v>2025</v>
      </c>
      <c r="KE5" t="s">
        <v>6094</v>
      </c>
      <c r="KF5" s="6">
        <v>45894</v>
      </c>
      <c r="KG5">
        <v>1</v>
      </c>
      <c r="KH5">
        <v>-2.4245362661989844E-14</v>
      </c>
      <c r="KI5">
        <v>25193478</v>
      </c>
      <c r="KJ5" t="s">
        <v>6095</v>
      </c>
      <c r="KO5" t="str">
        <f>_xll.BDS("MHK US Equity","SUPPLY_CHAIN_SUPPLIERS_ALL_DATA","cols=12;rows=5")</f>
        <v>XPO US Equity</v>
      </c>
      <c r="KP5" t="s">
        <v>1786</v>
      </c>
      <c r="KQ5">
        <v>7.5403999999999999E-2</v>
      </c>
      <c r="KR5">
        <v>7.5125999999999998E-2</v>
      </c>
      <c r="KS5" t="s">
        <v>1762</v>
      </c>
      <c r="KT5">
        <v>2025</v>
      </c>
      <c r="KU5" t="s">
        <v>5364</v>
      </c>
      <c r="KV5" s="6">
        <v>45916</v>
      </c>
      <c r="KW5">
        <v>5</v>
      </c>
      <c r="KX5">
        <v>1568403</v>
      </c>
      <c r="KY5">
        <v>7359873</v>
      </c>
      <c r="KZ5" t="s">
        <v>5365</v>
      </c>
      <c r="LC5" t="str">
        <f>_xll.BDS("MHK US Equity","SUPPLY_CHAIN_CUSTOMERS_ALL_DATA","cols=12;rows=5")</f>
        <v>HD US Equity</v>
      </c>
      <c r="LD5">
        <v>5.4519000000000002</v>
      </c>
      <c r="LE5" t="s">
        <v>1786</v>
      </c>
      <c r="LF5">
        <v>0.50665899999999997</v>
      </c>
      <c r="LG5" t="s">
        <v>1762</v>
      </c>
      <c r="LH5">
        <v>2025</v>
      </c>
      <c r="LI5" t="s">
        <v>3860</v>
      </c>
      <c r="LJ5" s="6">
        <v>45890</v>
      </c>
      <c r="LK5">
        <v>5</v>
      </c>
      <c r="LL5">
        <v>152767696</v>
      </c>
      <c r="LM5">
        <v>100743</v>
      </c>
      <c r="LN5" t="s">
        <v>2169</v>
      </c>
      <c r="LS5" t="str">
        <f>_xll.BDS("1986522D US Equity","SUPPLY_CHAIN_SUPPLIERS_ALL_DATA","cols=12;rows=1")</f>
        <v>FE US Equity</v>
      </c>
      <c r="LU5">
        <v>-2.4245362661989844E-14</v>
      </c>
      <c r="LV5">
        <v>-2.4245362661989844E-14</v>
      </c>
      <c r="LW5" t="s">
        <v>1745</v>
      </c>
      <c r="LX5">
        <v>2021</v>
      </c>
      <c r="LY5" t="s">
        <v>2288</v>
      </c>
      <c r="LZ5" s="6">
        <v>44693</v>
      </c>
      <c r="MA5">
        <v>1</v>
      </c>
      <c r="MB5">
        <v>-2.4245362661989844E-14</v>
      </c>
      <c r="MC5">
        <v>302916</v>
      </c>
      <c r="MD5" t="s">
        <v>2289</v>
      </c>
      <c r="MG5" t="str">
        <f>_xll.BDS("1986522D US Equity","SUPPLY_CHAIN_CUSTOMERS_ALL_DATA")</f>
        <v>#N/A N/A</v>
      </c>
      <c r="MW5" t="str">
        <f>_xll.BDS("QTRN US Equity","SUPPLY_CHAIN_SUPPLIERS_ALL_DATA")</f>
        <v>#N/A N/A</v>
      </c>
      <c r="NK5" t="str">
        <f>_xll.BDS("QTRN US Equity","SUPPLY_CHAIN_CUSTOMERS_ALL_DATA")</f>
        <v>#N/A N/A</v>
      </c>
      <c r="OA5" t="str">
        <f>_xll.BDS("ITG US Equity","SUPPLY_CHAIN_SUPPLIERS_ALL_DATA")</f>
        <v>#N/A N/A</v>
      </c>
      <c r="OO5" t="str">
        <f>_xll.BDS("ITG US Equity","SUPPLY_CHAIN_CUSTOMERS_ALL_DATA")</f>
        <v>#N/A N/A</v>
      </c>
      <c r="PE5" t="str">
        <f>_xll.BDS("L US Equity","SUPPLY_CHAIN_SUPPLIERS_ALL_DATA","cols=12;rows=5")</f>
        <v>ECL US Equity</v>
      </c>
      <c r="PF5" t="s">
        <v>1786</v>
      </c>
      <c r="PG5">
        <v>5.5258000000000002E-2</v>
      </c>
      <c r="PH5">
        <v>0.10644099999999999</v>
      </c>
      <c r="PI5" t="s">
        <v>1845</v>
      </c>
      <c r="PJ5">
        <v>2025</v>
      </c>
      <c r="PK5" t="s">
        <v>4487</v>
      </c>
      <c r="PL5" s="6">
        <v>46071</v>
      </c>
      <c r="PM5">
        <v>5</v>
      </c>
      <c r="PN5">
        <v>2174596</v>
      </c>
      <c r="PO5">
        <v>100499</v>
      </c>
      <c r="PP5" t="s">
        <v>4488</v>
      </c>
      <c r="PS5" t="str">
        <f>_xll.BDS("L US Equity","SUPPLY_CHAIN_CUSTOMERS_ALL_DATA","cols=12;rows=1")</f>
        <v>ETR US Equity</v>
      </c>
      <c r="PT5">
        <v>-2.4245362661989844E-14</v>
      </c>
      <c r="PV5">
        <v>-2.4245362661989844E-14</v>
      </c>
      <c r="PW5" t="s">
        <v>1745</v>
      </c>
      <c r="PX5">
        <v>2024</v>
      </c>
      <c r="PY5" t="s">
        <v>5387</v>
      </c>
      <c r="PZ5" s="6">
        <v>45706</v>
      </c>
      <c r="QA5">
        <v>1</v>
      </c>
      <c r="QB5">
        <v>-2.4245362661989844E-14</v>
      </c>
      <c r="QC5">
        <v>100532</v>
      </c>
      <c r="QD5" t="s">
        <v>3371</v>
      </c>
      <c r="QI5" t="str">
        <f>_xll.BDS("HSY US Equity","SUPPLY_CHAIN_SUPPLIERS_ALL_DATA","cols=12;rows=5")</f>
        <v>NESN SW Equity</v>
      </c>
      <c r="QJ5" t="s">
        <v>1786</v>
      </c>
      <c r="QK5">
        <v>0.160747</v>
      </c>
      <c r="QL5">
        <v>2.3724829999999999</v>
      </c>
      <c r="QM5" t="s">
        <v>1762</v>
      </c>
      <c r="QN5">
        <v>2025</v>
      </c>
      <c r="QO5" t="s">
        <v>5218</v>
      </c>
      <c r="QP5" s="6">
        <v>45896</v>
      </c>
      <c r="QQ5">
        <v>5</v>
      </c>
      <c r="QR5">
        <v>43188161</v>
      </c>
      <c r="QS5">
        <v>112571</v>
      </c>
      <c r="QT5" t="s">
        <v>3104</v>
      </c>
      <c r="QW5" t="str">
        <f>_xll.BDS("HSY US Equity","SUPPLY_CHAIN_CUSTOMERS_ALL_DATA","cols=12;rows=5")</f>
        <v>BRK/A US Equity</v>
      </c>
      <c r="QX5">
        <v>27</v>
      </c>
      <c r="QY5" t="s">
        <v>1786</v>
      </c>
      <c r="QZ5">
        <v>1.2151259999999999</v>
      </c>
      <c r="RA5" t="s">
        <v>1745</v>
      </c>
      <c r="RB5">
        <v>2025</v>
      </c>
      <c r="RC5" t="s">
        <v>3041</v>
      </c>
      <c r="RD5" s="6">
        <v>46070</v>
      </c>
      <c r="RE5">
        <v>5</v>
      </c>
      <c r="RF5">
        <v>789248896</v>
      </c>
      <c r="RG5">
        <v>100193</v>
      </c>
      <c r="RH5" t="s">
        <v>1849</v>
      </c>
      <c r="RM5" t="str">
        <f>_xll.BDS("GOOGL US Equity","SUPPLY_CHAIN_SUPPLIERS_ALL_DATA","cols=12;rows=5")</f>
        <v>300459 CH Equity</v>
      </c>
      <c r="RO5">
        <v>30.98</v>
      </c>
      <c r="RP5">
        <v>-2.4245362661989844E-14</v>
      </c>
      <c r="RQ5" t="s">
        <v>1745</v>
      </c>
      <c r="RR5">
        <v>2024</v>
      </c>
      <c r="RS5" t="s">
        <v>5284</v>
      </c>
      <c r="RT5" s="6">
        <v>45775</v>
      </c>
      <c r="RU5">
        <v>5</v>
      </c>
      <c r="RV5">
        <v>12293920332643.84</v>
      </c>
      <c r="RW5">
        <v>26369530</v>
      </c>
      <c r="RX5" t="s">
        <v>5285</v>
      </c>
      <c r="SA5" t="str">
        <f>_xll.BDS("GOOGL US Equity","SUPPLY_CHAIN_CUSTOMERS_ALL_DATA","cols=12;rows=5")</f>
        <v>VZ US Equity</v>
      </c>
      <c r="SB5">
        <v>0.38197399999999998</v>
      </c>
      <c r="SC5" t="s">
        <v>1786</v>
      </c>
      <c r="SD5">
        <v>2.6527189999999998</v>
      </c>
      <c r="SE5" t="s">
        <v>1762</v>
      </c>
      <c r="SF5">
        <v>2025</v>
      </c>
      <c r="SG5" t="s">
        <v>5981</v>
      </c>
      <c r="SH5" s="6">
        <v>45862</v>
      </c>
      <c r="SI5">
        <v>5</v>
      </c>
      <c r="SJ5">
        <v>368330048</v>
      </c>
      <c r="SK5">
        <v>100185</v>
      </c>
      <c r="SL5" t="s">
        <v>1894</v>
      </c>
      <c r="SQ5" t="str">
        <f>_xll.BDS("SSNC US Equity","SUPPLY_CHAIN_SUPPLIERS_ALL_DATA","cols=12;rows=5")</f>
        <v>D-U CN Equity</v>
      </c>
      <c r="SR5" t="s">
        <v>1769</v>
      </c>
      <c r="SS5">
        <v>4.0999999999999996</v>
      </c>
      <c r="ST5">
        <v>0.51905900000000005</v>
      </c>
      <c r="SU5" t="s">
        <v>1742</v>
      </c>
      <c r="SV5">
        <v>2025</v>
      </c>
      <c r="SW5" t="s">
        <v>6458</v>
      </c>
      <c r="SX5" s="6">
        <v>45967</v>
      </c>
      <c r="SY5">
        <v>5</v>
      </c>
      <c r="SZ5">
        <v>1367986.04</v>
      </c>
      <c r="TA5">
        <v>179603</v>
      </c>
      <c r="TB5" t="s">
        <v>6459</v>
      </c>
      <c r="TE5" t="str">
        <f>_xll.BDS("SSNC US Equity","SUPPLY_CHAIN_CUSTOMERS_ALL_DATA","cols=12;rows=5")</f>
        <v>AYX US Equity</v>
      </c>
      <c r="TF5">
        <v>-2.4245362661989844E-14</v>
      </c>
      <c r="TH5">
        <v>-2.4245362661989844E-14</v>
      </c>
      <c r="TI5" t="s">
        <v>1745</v>
      </c>
      <c r="TJ5">
        <v>2022</v>
      </c>
      <c r="TK5" t="s">
        <v>6401</v>
      </c>
      <c r="TL5" s="6">
        <v>44967</v>
      </c>
      <c r="TM5">
        <v>5</v>
      </c>
      <c r="TN5">
        <v>-2.4245362661989844E-14</v>
      </c>
      <c r="TO5">
        <v>20343647</v>
      </c>
      <c r="TP5" t="s">
        <v>6402</v>
      </c>
      <c r="TU5" t="str">
        <f>_xll.BDS("WSFS US Equity","SUPPLY_CHAIN_SUPPLIERS_ALL_DATA","cols=12;rows=1")</f>
        <v>1748433D US Equity</v>
      </c>
      <c r="TW5">
        <v>-2.4245362661989844E-14</v>
      </c>
      <c r="TX5">
        <v>-2.4245362661989844E-14</v>
      </c>
      <c r="TY5" t="s">
        <v>1745</v>
      </c>
      <c r="TZ5">
        <v>2025</v>
      </c>
      <c r="UA5" t="s">
        <v>6183</v>
      </c>
      <c r="UB5" s="6">
        <v>45974</v>
      </c>
      <c r="UC5">
        <v>1</v>
      </c>
      <c r="UD5">
        <v>-2.4245362661989844E-14</v>
      </c>
      <c r="UE5">
        <v>65899254</v>
      </c>
      <c r="UF5" t="s">
        <v>6184</v>
      </c>
      <c r="UI5" t="str">
        <f>_xll.BDS("WSFS US Equity","SUPPLY_CHAIN_CUSTOMERS_ALL_DATA")</f>
        <v>#N/A N/A</v>
      </c>
      <c r="UY5" t="str">
        <f>_xll.BDS("MFNXQ US Equity","SUPPLY_CHAIN_SUPPLIERS_ALL_DATA")</f>
        <v>#N/A N/A</v>
      </c>
      <c r="VM5" t="str">
        <f>_xll.BDS("MFNXQ US Equity","SUPPLY_CHAIN_CUSTOMERS_ALL_DATA")</f>
        <v>#N/A N/A</v>
      </c>
    </row>
    <row r="6" spans="1:600" x14ac:dyDescent="0.25">
      <c r="A6" t="s">
        <v>1857</v>
      </c>
      <c r="B6" t="s">
        <v>1786</v>
      </c>
      <c r="C6">
        <v>18</v>
      </c>
      <c r="D6">
        <v>4.1672849999999997</v>
      </c>
      <c r="E6" t="s">
        <v>1745</v>
      </c>
      <c r="F6">
        <v>2025</v>
      </c>
      <c r="G6" t="s">
        <v>6574</v>
      </c>
      <c r="H6" s="6">
        <v>45740</v>
      </c>
      <c r="I6">
        <v>5</v>
      </c>
      <c r="J6">
        <v>143135824</v>
      </c>
      <c r="K6">
        <v>104159</v>
      </c>
      <c r="L6" t="s">
        <v>1859</v>
      </c>
      <c r="O6" t="s">
        <v>6099</v>
      </c>
      <c r="P6">
        <v>-2.4245362661989844E-14</v>
      </c>
      <c r="R6">
        <v>-2.4245362661989844E-14</v>
      </c>
      <c r="S6" t="s">
        <v>1745</v>
      </c>
      <c r="T6">
        <v>2023</v>
      </c>
      <c r="U6" t="s">
        <v>6100</v>
      </c>
      <c r="V6" s="6">
        <v>45195</v>
      </c>
      <c r="W6">
        <v>5</v>
      </c>
      <c r="X6">
        <v>-2.4245362661989844E-14</v>
      </c>
      <c r="Y6">
        <v>7223873</v>
      </c>
      <c r="Z6" t="s">
        <v>6101</v>
      </c>
      <c r="DQ6" t="s">
        <v>2422</v>
      </c>
      <c r="DR6" t="s">
        <v>1786</v>
      </c>
      <c r="DS6">
        <v>1.8061149999999999</v>
      </c>
      <c r="DT6">
        <v>1.370322</v>
      </c>
      <c r="DU6" t="s">
        <v>1762</v>
      </c>
      <c r="DV6">
        <v>2025</v>
      </c>
      <c r="DW6" t="s">
        <v>2423</v>
      </c>
      <c r="DX6" s="6">
        <v>45874</v>
      </c>
      <c r="DY6">
        <v>5</v>
      </c>
      <c r="DZ6">
        <v>152133629.88</v>
      </c>
      <c r="EA6">
        <v>115519</v>
      </c>
      <c r="EB6" t="s">
        <v>2424</v>
      </c>
      <c r="EE6" t="s">
        <v>3562</v>
      </c>
      <c r="EF6">
        <v>0.77161500000000005</v>
      </c>
      <c r="EG6" t="s">
        <v>1820</v>
      </c>
      <c r="EH6">
        <v>-2.4245362661989844E-14</v>
      </c>
      <c r="EI6" t="s">
        <v>1745</v>
      </c>
      <c r="EJ6">
        <v>2025</v>
      </c>
      <c r="EK6" t="s">
        <v>3563</v>
      </c>
      <c r="EL6" s="6">
        <v>45925</v>
      </c>
      <c r="EM6">
        <v>5</v>
      </c>
      <c r="EN6">
        <v>95700000</v>
      </c>
      <c r="EO6">
        <v>340053</v>
      </c>
      <c r="EP6" t="s">
        <v>3564</v>
      </c>
      <c r="FY6" t="s">
        <v>1699</v>
      </c>
      <c r="FZ6" t="s">
        <v>1786</v>
      </c>
      <c r="GA6">
        <v>18.560427000000001</v>
      </c>
      <c r="GB6">
        <v>4.8780200000000002</v>
      </c>
      <c r="GC6" t="s">
        <v>1845</v>
      </c>
      <c r="GD6">
        <v>2025</v>
      </c>
      <c r="GE6" t="s">
        <v>2798</v>
      </c>
      <c r="GF6" s="6">
        <v>46077</v>
      </c>
      <c r="GG6">
        <v>5</v>
      </c>
      <c r="GH6">
        <v>3084371712</v>
      </c>
      <c r="GI6">
        <v>28046509</v>
      </c>
      <c r="GJ6" t="s">
        <v>2799</v>
      </c>
      <c r="GM6" t="s">
        <v>3121</v>
      </c>
      <c r="GN6">
        <v>4</v>
      </c>
      <c r="GP6">
        <v>-2.4245362661989844E-14</v>
      </c>
      <c r="GQ6" t="s">
        <v>1845</v>
      </c>
      <c r="GR6">
        <v>2025</v>
      </c>
      <c r="GS6" t="s">
        <v>3843</v>
      </c>
      <c r="GT6" s="6">
        <v>45954</v>
      </c>
      <c r="GU6">
        <v>5</v>
      </c>
      <c r="GV6">
        <v>2406360064</v>
      </c>
      <c r="GW6">
        <v>48003505</v>
      </c>
      <c r="GX6" t="s">
        <v>3122</v>
      </c>
      <c r="HQ6" t="s">
        <v>6018</v>
      </c>
      <c r="HR6">
        <v>-2.4245362661989844E-14</v>
      </c>
      <c r="HT6">
        <v>-2.4245362661989844E-14</v>
      </c>
      <c r="HU6" t="s">
        <v>1745</v>
      </c>
      <c r="HV6">
        <v>2022</v>
      </c>
      <c r="HW6" t="s">
        <v>6019</v>
      </c>
      <c r="HX6" s="6">
        <v>44986</v>
      </c>
      <c r="HY6">
        <v>2</v>
      </c>
      <c r="HZ6">
        <v>-2.4245362661989844E-14</v>
      </c>
      <c r="IA6">
        <v>61451412</v>
      </c>
      <c r="IB6" t="s">
        <v>6020</v>
      </c>
      <c r="IG6" t="s">
        <v>6613</v>
      </c>
      <c r="II6">
        <v>-2.4245362661989844E-14</v>
      </c>
      <c r="IJ6">
        <v>-2.4245362661989844E-14</v>
      </c>
      <c r="IK6" t="s">
        <v>1745</v>
      </c>
      <c r="IL6">
        <v>2023</v>
      </c>
      <c r="IM6" t="s">
        <v>6614</v>
      </c>
      <c r="IN6" s="6">
        <v>45180</v>
      </c>
      <c r="IO6">
        <v>5</v>
      </c>
      <c r="IP6">
        <v>-2.4245362661989844E-14</v>
      </c>
      <c r="IQ6">
        <v>61989641</v>
      </c>
      <c r="IR6" t="s">
        <v>6615</v>
      </c>
      <c r="IU6" t="s">
        <v>2619</v>
      </c>
      <c r="IV6">
        <v>-2.4245362661989844E-14</v>
      </c>
      <c r="IX6">
        <v>-2.4245362661989844E-14</v>
      </c>
      <c r="IY6" t="s">
        <v>1745</v>
      </c>
      <c r="IZ6">
        <v>2024</v>
      </c>
      <c r="JA6" t="s">
        <v>2620</v>
      </c>
      <c r="JB6" s="6">
        <v>45706</v>
      </c>
      <c r="JC6">
        <v>5</v>
      </c>
      <c r="JD6">
        <v>-2.4245362661989844E-14</v>
      </c>
      <c r="JE6">
        <v>9152706</v>
      </c>
      <c r="JF6" t="s">
        <v>2621</v>
      </c>
      <c r="JK6" t="s">
        <v>4489</v>
      </c>
      <c r="JM6">
        <v>-2.4245362661989844E-14</v>
      </c>
      <c r="JN6">
        <v>-2.4245362661989844E-14</v>
      </c>
      <c r="JO6" t="s">
        <v>1745</v>
      </c>
      <c r="JP6">
        <v>2024</v>
      </c>
      <c r="JQ6" t="s">
        <v>4490</v>
      </c>
      <c r="JR6" s="6">
        <v>45698</v>
      </c>
      <c r="JS6">
        <v>5</v>
      </c>
      <c r="JT6">
        <v>-2.4245362661989844E-14</v>
      </c>
      <c r="JU6">
        <v>24112045</v>
      </c>
      <c r="JV6" t="s">
        <v>4491</v>
      </c>
      <c r="KO6" t="s">
        <v>2487</v>
      </c>
      <c r="KP6" t="s">
        <v>1820</v>
      </c>
      <c r="KQ6">
        <v>0.110773</v>
      </c>
      <c r="KR6">
        <v>0.473244</v>
      </c>
      <c r="KS6" t="s">
        <v>1845</v>
      </c>
      <c r="KT6">
        <v>2024</v>
      </c>
      <c r="KU6" t="s">
        <v>2488</v>
      </c>
      <c r="KV6" s="6">
        <v>45719</v>
      </c>
      <c r="KW6">
        <v>5</v>
      </c>
      <c r="KX6">
        <v>761638.40000000002</v>
      </c>
      <c r="KY6">
        <v>117826</v>
      </c>
      <c r="KZ6" t="s">
        <v>2489</v>
      </c>
      <c r="LC6" t="s">
        <v>633</v>
      </c>
      <c r="LD6">
        <v>3.1890830000000001</v>
      </c>
      <c r="LE6" t="s">
        <v>1786</v>
      </c>
      <c r="LF6">
        <v>0.56350900000000004</v>
      </c>
      <c r="LG6" t="s">
        <v>1762</v>
      </c>
      <c r="LH6">
        <v>2025</v>
      </c>
      <c r="LI6" t="s">
        <v>3860</v>
      </c>
      <c r="LJ6" s="6">
        <v>45890</v>
      </c>
      <c r="LK6">
        <v>5</v>
      </c>
      <c r="LL6">
        <v>89361296</v>
      </c>
      <c r="LM6">
        <v>100916</v>
      </c>
      <c r="LN6" t="s">
        <v>3995</v>
      </c>
      <c r="PE6" t="s">
        <v>1985</v>
      </c>
      <c r="PF6" t="s">
        <v>1786</v>
      </c>
      <c r="PG6">
        <v>2.7185000000000001E-2</v>
      </c>
      <c r="PH6">
        <v>1.2517E-2</v>
      </c>
      <c r="PI6" t="s">
        <v>1742</v>
      </c>
      <c r="PJ6">
        <v>2025</v>
      </c>
      <c r="PK6" t="s">
        <v>2490</v>
      </c>
      <c r="PL6" s="6">
        <v>46027</v>
      </c>
      <c r="PM6">
        <v>5</v>
      </c>
      <c r="PN6">
        <v>172353</v>
      </c>
      <c r="PO6">
        <v>36965288</v>
      </c>
      <c r="PP6" t="s">
        <v>1987</v>
      </c>
      <c r="QI6" t="s">
        <v>5063</v>
      </c>
      <c r="QJ6" t="s">
        <v>1786</v>
      </c>
      <c r="QK6">
        <v>0.49921399999999999</v>
      </c>
      <c r="QL6">
        <v>1.0756730000000001</v>
      </c>
      <c r="QM6" t="s">
        <v>1845</v>
      </c>
      <c r="QN6">
        <v>2025</v>
      </c>
      <c r="QO6" t="s">
        <v>5064</v>
      </c>
      <c r="QP6" s="6">
        <v>45986</v>
      </c>
      <c r="QQ6">
        <v>5</v>
      </c>
      <c r="QR6">
        <v>22907247.199999999</v>
      </c>
      <c r="QS6">
        <v>300730</v>
      </c>
      <c r="QT6" t="s">
        <v>5065</v>
      </c>
      <c r="QW6" t="s">
        <v>2096</v>
      </c>
      <c r="QX6">
        <v>7.8475960000000002</v>
      </c>
      <c r="QY6" t="s">
        <v>1786</v>
      </c>
      <c r="QZ6">
        <v>0.18534100000000001</v>
      </c>
      <c r="RA6" t="s">
        <v>1742</v>
      </c>
      <c r="RB6">
        <v>2025</v>
      </c>
      <c r="RC6" t="s">
        <v>6031</v>
      </c>
      <c r="RD6" s="6">
        <v>46007</v>
      </c>
      <c r="RE6">
        <v>5</v>
      </c>
      <c r="RF6">
        <v>249664832</v>
      </c>
      <c r="RG6">
        <v>101616</v>
      </c>
      <c r="RH6" t="s">
        <v>2098</v>
      </c>
      <c r="RM6" t="s">
        <v>2310</v>
      </c>
      <c r="RN6" t="s">
        <v>1820</v>
      </c>
      <c r="RO6">
        <v>4.8652389999999999</v>
      </c>
      <c r="RP6">
        <v>11.900978</v>
      </c>
      <c r="RQ6" t="s">
        <v>1845</v>
      </c>
      <c r="RR6">
        <v>2026</v>
      </c>
      <c r="RS6" t="s">
        <v>2311</v>
      </c>
      <c r="RT6" s="6">
        <v>46087</v>
      </c>
      <c r="RU6">
        <v>5</v>
      </c>
      <c r="RV6">
        <v>3314541312</v>
      </c>
      <c r="RW6">
        <v>313657</v>
      </c>
      <c r="RX6" t="s">
        <v>2312</v>
      </c>
      <c r="SA6" t="s">
        <v>357</v>
      </c>
      <c r="SB6">
        <v>0.23885600000000001</v>
      </c>
      <c r="SC6" t="s">
        <v>1786</v>
      </c>
      <c r="SD6">
        <v>1.5104679999999999</v>
      </c>
      <c r="SE6" t="s">
        <v>1845</v>
      </c>
      <c r="SF6">
        <v>2025</v>
      </c>
      <c r="SG6" t="s">
        <v>1887</v>
      </c>
      <c r="SH6" s="6">
        <v>46056</v>
      </c>
      <c r="SI6">
        <v>5</v>
      </c>
      <c r="SJ6">
        <v>244460032</v>
      </c>
      <c r="SK6">
        <v>1499717</v>
      </c>
      <c r="SL6" t="s">
        <v>1864</v>
      </c>
      <c r="SQ6" t="s">
        <v>6460</v>
      </c>
      <c r="SS6">
        <v>-2.4245362661989844E-14</v>
      </c>
      <c r="ST6">
        <v>-2.4245362661989844E-14</v>
      </c>
      <c r="SU6" t="s">
        <v>1809</v>
      </c>
      <c r="SV6">
        <v>2026</v>
      </c>
      <c r="SW6" t="s">
        <v>6461</v>
      </c>
      <c r="SX6" s="6">
        <v>45862</v>
      </c>
      <c r="SY6">
        <v>5</v>
      </c>
      <c r="SZ6">
        <v>-2.4245362661989844E-14</v>
      </c>
      <c r="TA6">
        <v>68511165</v>
      </c>
      <c r="TB6" t="s">
        <v>6462</v>
      </c>
      <c r="TE6" t="s">
        <v>6403</v>
      </c>
      <c r="TF6">
        <v>-2.4245362661989844E-14</v>
      </c>
      <c r="TH6">
        <v>-2.4245362661989844E-14</v>
      </c>
      <c r="TI6" t="s">
        <v>1745</v>
      </c>
      <c r="TJ6">
        <v>2024</v>
      </c>
      <c r="TK6" t="s">
        <v>6404</v>
      </c>
      <c r="TL6" s="6">
        <v>45544</v>
      </c>
      <c r="TM6">
        <v>5</v>
      </c>
      <c r="TN6">
        <v>-2.4245362661989844E-14</v>
      </c>
      <c r="TO6">
        <v>101650</v>
      </c>
      <c r="TP6" t="s">
        <v>6405</v>
      </c>
    </row>
    <row r="7" spans="1:600" x14ac:dyDescent="0.25">
      <c r="A7" t="s">
        <v>2082</v>
      </c>
      <c r="B7" t="s">
        <v>1769</v>
      </c>
      <c r="C7">
        <v>0.284082</v>
      </c>
      <c r="D7">
        <v>5.0358939999999999</v>
      </c>
      <c r="E7" t="s">
        <v>1809</v>
      </c>
      <c r="F7">
        <v>2026</v>
      </c>
      <c r="G7" t="s">
        <v>2083</v>
      </c>
      <c r="H7" s="6">
        <v>45973</v>
      </c>
      <c r="I7">
        <v>5</v>
      </c>
      <c r="J7">
        <v>97306139.719999999</v>
      </c>
      <c r="K7">
        <v>16857643</v>
      </c>
      <c r="L7" t="s">
        <v>2084</v>
      </c>
      <c r="O7" t="s">
        <v>6102</v>
      </c>
      <c r="P7">
        <v>-2.4245362661989844E-14</v>
      </c>
      <c r="R7">
        <v>-2.4245362661989844E-14</v>
      </c>
      <c r="S7" t="s">
        <v>1745</v>
      </c>
      <c r="T7">
        <v>2025</v>
      </c>
      <c r="U7" t="s">
        <v>6103</v>
      </c>
      <c r="V7" s="6">
        <v>45737</v>
      </c>
      <c r="W7">
        <v>5</v>
      </c>
      <c r="X7">
        <v>-2.4245362661989844E-14</v>
      </c>
      <c r="Y7">
        <v>24278089</v>
      </c>
      <c r="Z7" t="s">
        <v>6104</v>
      </c>
      <c r="DQ7" t="s">
        <v>3925</v>
      </c>
      <c r="DR7" t="s">
        <v>1786</v>
      </c>
      <c r="DS7">
        <v>2.19069</v>
      </c>
      <c r="DT7">
        <v>1.2499830000000001</v>
      </c>
      <c r="DU7" t="s">
        <v>1762</v>
      </c>
      <c r="DV7">
        <v>2025</v>
      </c>
      <c r="DW7" t="s">
        <v>3926</v>
      </c>
      <c r="DX7" s="6">
        <v>45873</v>
      </c>
      <c r="DY7">
        <v>5</v>
      </c>
      <c r="DZ7">
        <v>138750110.75</v>
      </c>
      <c r="EA7">
        <v>112185</v>
      </c>
      <c r="EB7" t="s">
        <v>3927</v>
      </c>
      <c r="EE7" t="s">
        <v>4040</v>
      </c>
      <c r="EF7">
        <v>0.3236</v>
      </c>
      <c r="EG7" t="s">
        <v>1786</v>
      </c>
      <c r="EH7">
        <v>1.6738</v>
      </c>
      <c r="EI7" t="s">
        <v>1762</v>
      </c>
      <c r="EJ7">
        <v>2025</v>
      </c>
      <c r="EK7" t="s">
        <v>4041</v>
      </c>
      <c r="EL7" s="6">
        <v>45902</v>
      </c>
      <c r="EM7">
        <v>5</v>
      </c>
      <c r="EN7">
        <v>42200676</v>
      </c>
      <c r="EO7">
        <v>24061601</v>
      </c>
      <c r="EP7" t="s">
        <v>4042</v>
      </c>
      <c r="FY7" t="s">
        <v>385</v>
      </c>
      <c r="FZ7" t="s">
        <v>1786</v>
      </c>
      <c r="GA7">
        <v>12.373919000000001</v>
      </c>
      <c r="GB7">
        <v>4.81257</v>
      </c>
      <c r="GC7" t="s">
        <v>1742</v>
      </c>
      <c r="GD7">
        <v>2025</v>
      </c>
      <c r="GE7" t="s">
        <v>2501</v>
      </c>
      <c r="GF7" s="6">
        <v>46018</v>
      </c>
      <c r="GG7">
        <v>5</v>
      </c>
      <c r="GH7">
        <v>2968874496</v>
      </c>
      <c r="GI7">
        <v>100828</v>
      </c>
      <c r="GJ7" t="s">
        <v>2464</v>
      </c>
      <c r="GM7" t="s">
        <v>3123</v>
      </c>
      <c r="GN7">
        <v>3.75</v>
      </c>
      <c r="GP7">
        <v>-2.4245362661989844E-14</v>
      </c>
      <c r="GQ7" t="s">
        <v>1845</v>
      </c>
      <c r="GR7">
        <v>2025</v>
      </c>
      <c r="GS7" t="s">
        <v>3843</v>
      </c>
      <c r="GT7" s="6">
        <v>45954</v>
      </c>
      <c r="GU7">
        <v>5</v>
      </c>
      <c r="GV7">
        <v>2255962624</v>
      </c>
      <c r="GW7">
        <v>353064</v>
      </c>
      <c r="GX7" t="s">
        <v>3124</v>
      </c>
      <c r="IG7" t="s">
        <v>2296</v>
      </c>
      <c r="II7">
        <v>-2.4245362661989844E-14</v>
      </c>
      <c r="IJ7">
        <v>-2.4245362661989844E-14</v>
      </c>
      <c r="IK7" t="s">
        <v>1762</v>
      </c>
      <c r="IL7">
        <v>2025</v>
      </c>
      <c r="IM7" t="s">
        <v>2297</v>
      </c>
      <c r="IN7" s="6">
        <v>45635</v>
      </c>
      <c r="IO7">
        <v>5</v>
      </c>
      <c r="IP7">
        <v>-2.4245362661989844E-14</v>
      </c>
      <c r="IQ7">
        <v>69314473</v>
      </c>
      <c r="IR7" t="s">
        <v>2298</v>
      </c>
      <c r="IU7" t="s">
        <v>2622</v>
      </c>
      <c r="IV7">
        <v>-2.4245362661989844E-14</v>
      </c>
      <c r="IX7">
        <v>-2.4245362661989844E-14</v>
      </c>
      <c r="IY7" t="s">
        <v>1745</v>
      </c>
      <c r="IZ7">
        <v>2024</v>
      </c>
      <c r="JA7" t="s">
        <v>2623</v>
      </c>
      <c r="JB7" s="6">
        <v>45715</v>
      </c>
      <c r="JC7">
        <v>5</v>
      </c>
      <c r="JD7">
        <v>-2.4245362661989844E-14</v>
      </c>
      <c r="JE7">
        <v>8898179</v>
      </c>
      <c r="JF7" t="s">
        <v>2624</v>
      </c>
      <c r="JK7" t="s">
        <v>2287</v>
      </c>
      <c r="JM7">
        <v>-2.4245362661989844E-14</v>
      </c>
      <c r="JN7">
        <v>-2.4245362661989844E-14</v>
      </c>
      <c r="JO7" t="s">
        <v>1745</v>
      </c>
      <c r="JP7">
        <v>2021</v>
      </c>
      <c r="JQ7" t="s">
        <v>2288</v>
      </c>
      <c r="JR7" s="6">
        <v>44693</v>
      </c>
      <c r="JS7">
        <v>5</v>
      </c>
      <c r="JT7">
        <v>-2.4245362661989844E-14</v>
      </c>
      <c r="JU7">
        <v>302916</v>
      </c>
      <c r="JV7" t="s">
        <v>2289</v>
      </c>
      <c r="KO7" t="s">
        <v>4075</v>
      </c>
      <c r="KP7" t="s">
        <v>1786</v>
      </c>
      <c r="KQ7">
        <v>0.56845400000000001</v>
      </c>
      <c r="KR7">
        <v>2.1093000000000001E-2</v>
      </c>
      <c r="KS7" t="s">
        <v>1845</v>
      </c>
      <c r="KT7">
        <v>2024</v>
      </c>
      <c r="KU7" t="s">
        <v>4076</v>
      </c>
      <c r="KV7" s="6">
        <v>45846</v>
      </c>
      <c r="KW7">
        <v>5</v>
      </c>
      <c r="KX7">
        <v>409736</v>
      </c>
      <c r="KY7">
        <v>847909</v>
      </c>
      <c r="KZ7" t="s">
        <v>4077</v>
      </c>
      <c r="LC7" t="s">
        <v>6000</v>
      </c>
      <c r="LD7">
        <v>2.9329299999999998</v>
      </c>
      <c r="LE7" t="s">
        <v>1786</v>
      </c>
      <c r="LF7">
        <v>1.561833</v>
      </c>
      <c r="LG7" t="s">
        <v>1762</v>
      </c>
      <c r="LH7">
        <v>2025</v>
      </c>
      <c r="LI7" t="s">
        <v>3860</v>
      </c>
      <c r="LJ7" s="6">
        <v>45890</v>
      </c>
      <c r="LK7">
        <v>5</v>
      </c>
      <c r="LL7">
        <v>82183632</v>
      </c>
      <c r="LM7">
        <v>71547029</v>
      </c>
      <c r="LN7" t="s">
        <v>6001</v>
      </c>
      <c r="PE7" t="s">
        <v>4508</v>
      </c>
      <c r="PG7">
        <v>-2.4245362661989844E-14</v>
      </c>
      <c r="PH7">
        <v>-2.4245362661989844E-14</v>
      </c>
      <c r="PI7" t="s">
        <v>1762</v>
      </c>
      <c r="PJ7">
        <v>2023</v>
      </c>
      <c r="PK7" t="s">
        <v>4509</v>
      </c>
      <c r="PL7" s="6">
        <v>45145</v>
      </c>
      <c r="PM7">
        <v>5</v>
      </c>
      <c r="PN7">
        <v>-2.4245362661989844E-14</v>
      </c>
      <c r="PO7">
        <v>876842</v>
      </c>
      <c r="PP7" t="s">
        <v>4510</v>
      </c>
      <c r="QI7" t="s">
        <v>5360</v>
      </c>
      <c r="QJ7" t="s">
        <v>1786</v>
      </c>
      <c r="QK7">
        <v>0.102342</v>
      </c>
      <c r="QL7">
        <v>0.43485299999999999</v>
      </c>
      <c r="QM7" t="s">
        <v>1742</v>
      </c>
      <c r="QN7">
        <v>2025</v>
      </c>
      <c r="QO7" t="s">
        <v>5361</v>
      </c>
      <c r="QP7" s="6">
        <v>46000</v>
      </c>
      <c r="QQ7">
        <v>5</v>
      </c>
      <c r="QR7">
        <v>9323612</v>
      </c>
      <c r="QS7">
        <v>1176564</v>
      </c>
      <c r="QT7" t="s">
        <v>5362</v>
      </c>
      <c r="QW7" t="s">
        <v>1854</v>
      </c>
      <c r="QX7">
        <v>3.9371740000000002</v>
      </c>
      <c r="QY7" t="s">
        <v>1786</v>
      </c>
      <c r="QZ7">
        <v>0.21407999999999999</v>
      </c>
      <c r="RA7" t="s">
        <v>1742</v>
      </c>
      <c r="RB7">
        <v>2025</v>
      </c>
      <c r="RC7" t="s">
        <v>6031</v>
      </c>
      <c r="RD7" s="6">
        <v>46007</v>
      </c>
      <c r="RE7">
        <v>5</v>
      </c>
      <c r="RF7">
        <v>125257960</v>
      </c>
      <c r="RG7">
        <v>101758</v>
      </c>
      <c r="RH7" t="s">
        <v>1856</v>
      </c>
      <c r="RM7" t="s">
        <v>2076</v>
      </c>
      <c r="RN7" t="s">
        <v>1820</v>
      </c>
      <c r="RO7">
        <v>12.78093</v>
      </c>
      <c r="RP7">
        <v>9.6125100000000003</v>
      </c>
      <c r="RQ7" t="s">
        <v>1845</v>
      </c>
      <c r="RR7">
        <v>2025</v>
      </c>
      <c r="RS7" t="s">
        <v>2316</v>
      </c>
      <c r="RT7" s="6">
        <v>46010</v>
      </c>
      <c r="RU7">
        <v>5</v>
      </c>
      <c r="RV7">
        <v>2302484480</v>
      </c>
      <c r="RW7">
        <v>59907412</v>
      </c>
      <c r="RX7" t="s">
        <v>2077</v>
      </c>
      <c r="SA7" t="s">
        <v>1287</v>
      </c>
      <c r="SB7">
        <v>0.23884</v>
      </c>
      <c r="SC7" t="s">
        <v>1786</v>
      </c>
      <c r="SD7">
        <v>1.871626</v>
      </c>
      <c r="SE7" t="s">
        <v>1762</v>
      </c>
      <c r="SF7">
        <v>2025</v>
      </c>
      <c r="SG7" t="s">
        <v>2918</v>
      </c>
      <c r="SH7" s="6">
        <v>45863</v>
      </c>
      <c r="SI7">
        <v>5</v>
      </c>
      <c r="SJ7">
        <v>230308256</v>
      </c>
      <c r="SK7">
        <v>101376</v>
      </c>
      <c r="SL7" t="s">
        <v>1895</v>
      </c>
      <c r="SQ7" t="s">
        <v>6463</v>
      </c>
      <c r="SS7">
        <v>-2.4245362661989844E-14</v>
      </c>
      <c r="ST7">
        <v>-2.4245362661989844E-14</v>
      </c>
      <c r="SU7" t="s">
        <v>1745</v>
      </c>
      <c r="SV7">
        <v>2023</v>
      </c>
      <c r="SW7" t="s">
        <v>6404</v>
      </c>
      <c r="SX7" s="6">
        <v>45035</v>
      </c>
      <c r="SY7">
        <v>5</v>
      </c>
      <c r="SZ7">
        <v>-2.4245362661989844E-14</v>
      </c>
      <c r="TA7">
        <v>67873882</v>
      </c>
      <c r="TB7" t="s">
        <v>6464</v>
      </c>
      <c r="TE7" t="s">
        <v>6406</v>
      </c>
      <c r="TF7">
        <v>-2.4245362661989844E-14</v>
      </c>
      <c r="TH7">
        <v>-2.4245362661989844E-14</v>
      </c>
      <c r="TI7" t="s">
        <v>1745</v>
      </c>
      <c r="TJ7">
        <v>2025</v>
      </c>
      <c r="TK7" t="s">
        <v>6404</v>
      </c>
      <c r="TL7" s="6">
        <v>45756</v>
      </c>
      <c r="TM7">
        <v>5</v>
      </c>
      <c r="TN7">
        <v>-2.4245362661989844E-14</v>
      </c>
      <c r="TO7">
        <v>107412</v>
      </c>
      <c r="TP7" t="s">
        <v>6407</v>
      </c>
    </row>
    <row r="8" spans="1:600" x14ac:dyDescent="0.25">
      <c r="A8" t="s">
        <v>4680</v>
      </c>
      <c r="B8" t="s">
        <v>1786</v>
      </c>
      <c r="C8">
        <v>4.5774710000000001</v>
      </c>
      <c r="D8">
        <v>2.8154309999999998</v>
      </c>
      <c r="E8" t="s">
        <v>1809</v>
      </c>
      <c r="F8">
        <v>2026</v>
      </c>
      <c r="G8" t="s">
        <v>4681</v>
      </c>
      <c r="H8" s="6">
        <v>45884</v>
      </c>
      <c r="I8">
        <v>5</v>
      </c>
      <c r="J8">
        <v>78691304</v>
      </c>
      <c r="K8">
        <v>225160</v>
      </c>
      <c r="L8" t="s">
        <v>4682</v>
      </c>
      <c r="O8" t="s">
        <v>6105</v>
      </c>
      <c r="P8">
        <v>-2.4245362661989844E-14</v>
      </c>
      <c r="R8">
        <v>-2.4245362661989844E-14</v>
      </c>
      <c r="S8" t="s">
        <v>1745</v>
      </c>
      <c r="T8">
        <v>2023</v>
      </c>
      <c r="U8" t="s">
        <v>6106</v>
      </c>
      <c r="V8" s="6">
        <v>45001</v>
      </c>
      <c r="W8">
        <v>5</v>
      </c>
      <c r="X8">
        <v>-2.4245362661989844E-14</v>
      </c>
      <c r="Y8">
        <v>69650894</v>
      </c>
      <c r="Z8" t="s">
        <v>6107</v>
      </c>
      <c r="DQ8" t="s">
        <v>1571</v>
      </c>
      <c r="DR8" t="s">
        <v>1786</v>
      </c>
      <c r="DS8">
        <v>1.748761</v>
      </c>
      <c r="DT8">
        <v>0.78238600000000003</v>
      </c>
      <c r="DU8" t="s">
        <v>1845</v>
      </c>
      <c r="DV8">
        <v>2025</v>
      </c>
      <c r="DW8" t="s">
        <v>4106</v>
      </c>
      <c r="DX8" s="6">
        <v>45894</v>
      </c>
      <c r="DY8">
        <v>5</v>
      </c>
      <c r="DZ8">
        <v>86782264</v>
      </c>
      <c r="EA8">
        <v>101149</v>
      </c>
      <c r="EB8" t="s">
        <v>4107</v>
      </c>
      <c r="EE8" t="s">
        <v>1870</v>
      </c>
      <c r="EF8">
        <v>0.16686100000000001</v>
      </c>
      <c r="EG8" t="s">
        <v>1786</v>
      </c>
      <c r="EH8">
        <v>0.50028099999999998</v>
      </c>
      <c r="EI8" t="s">
        <v>1809</v>
      </c>
      <c r="EJ8">
        <v>2025</v>
      </c>
      <c r="EK8" t="s">
        <v>1871</v>
      </c>
      <c r="EL8" s="6">
        <v>45820</v>
      </c>
      <c r="EM8">
        <v>5</v>
      </c>
      <c r="EN8">
        <v>20395456</v>
      </c>
      <c r="EO8">
        <v>12129192</v>
      </c>
      <c r="EP8" t="s">
        <v>1872</v>
      </c>
      <c r="FY8" t="s">
        <v>1114</v>
      </c>
      <c r="FZ8" t="s">
        <v>1786</v>
      </c>
      <c r="GA8">
        <v>22</v>
      </c>
      <c r="GB8">
        <v>4.4996770000000001</v>
      </c>
      <c r="GC8" t="s">
        <v>1745</v>
      </c>
      <c r="GD8">
        <v>2025</v>
      </c>
      <c r="GE8" t="s">
        <v>2150</v>
      </c>
      <c r="GF8" s="6">
        <v>46064</v>
      </c>
      <c r="GG8">
        <v>5</v>
      </c>
      <c r="GH8">
        <v>2650670080</v>
      </c>
      <c r="GI8">
        <v>100225</v>
      </c>
      <c r="GJ8" t="s">
        <v>2151</v>
      </c>
      <c r="GM8" t="s">
        <v>985</v>
      </c>
      <c r="GN8">
        <v>3.1469290000000001</v>
      </c>
      <c r="GO8" t="s">
        <v>1786</v>
      </c>
      <c r="GP8">
        <v>7.2451629999999998</v>
      </c>
      <c r="GQ8" t="s">
        <v>1845</v>
      </c>
      <c r="GR8">
        <v>2025</v>
      </c>
      <c r="GS8" t="s">
        <v>3843</v>
      </c>
      <c r="GT8" s="6">
        <v>45954</v>
      </c>
      <c r="GU8">
        <v>5</v>
      </c>
      <c r="GV8">
        <v>1893160960</v>
      </c>
      <c r="GW8">
        <v>100864</v>
      </c>
      <c r="GX8" t="s">
        <v>1971</v>
      </c>
      <c r="IG8" t="s">
        <v>6616</v>
      </c>
      <c r="II8">
        <v>-2.4245362661989844E-14</v>
      </c>
      <c r="IJ8">
        <v>-2.4245362661989844E-14</v>
      </c>
      <c r="IK8" t="s">
        <v>1742</v>
      </c>
      <c r="IL8">
        <v>2023</v>
      </c>
      <c r="IM8" t="s">
        <v>6617</v>
      </c>
      <c r="IN8" s="6">
        <v>45246</v>
      </c>
      <c r="IO8">
        <v>5</v>
      </c>
      <c r="IP8">
        <v>-2.4245362661989844E-14</v>
      </c>
      <c r="IQ8">
        <v>65056912</v>
      </c>
      <c r="IR8" t="s">
        <v>6618</v>
      </c>
      <c r="IU8" t="s">
        <v>6355</v>
      </c>
      <c r="IV8">
        <v>-2.4245362661989844E-14</v>
      </c>
      <c r="IX8">
        <v>-2.4245362661989844E-14</v>
      </c>
      <c r="IY8" t="s">
        <v>1745</v>
      </c>
      <c r="IZ8">
        <v>2022</v>
      </c>
      <c r="JA8" t="s">
        <v>6356</v>
      </c>
      <c r="JB8" s="6">
        <v>44987</v>
      </c>
      <c r="JC8">
        <v>5</v>
      </c>
      <c r="JD8">
        <v>-2.4245362661989844E-14</v>
      </c>
      <c r="JE8">
        <v>117687</v>
      </c>
      <c r="JF8" t="s">
        <v>6357</v>
      </c>
      <c r="JK8" t="s">
        <v>6299</v>
      </c>
      <c r="JM8">
        <v>-2.4245362661989844E-14</v>
      </c>
      <c r="JN8">
        <v>-2.4245362661989844E-14</v>
      </c>
      <c r="JO8" t="s">
        <v>1745</v>
      </c>
      <c r="JP8">
        <v>2025</v>
      </c>
      <c r="JQ8" t="s">
        <v>6300</v>
      </c>
      <c r="JR8" s="6">
        <v>46066</v>
      </c>
      <c r="JS8">
        <v>5</v>
      </c>
      <c r="JT8">
        <v>-2.4245362661989844E-14</v>
      </c>
      <c r="JU8">
        <v>1184415</v>
      </c>
      <c r="JV8" t="s">
        <v>6301</v>
      </c>
      <c r="KO8" t="s">
        <v>6185</v>
      </c>
      <c r="KQ8">
        <v>-2.4245362661989844E-14</v>
      </c>
      <c r="KR8">
        <v>-2.4245362661989844E-14</v>
      </c>
      <c r="KS8" t="s">
        <v>1798</v>
      </c>
      <c r="KT8">
        <v>2025</v>
      </c>
      <c r="KU8" t="s">
        <v>6186</v>
      </c>
      <c r="KV8" s="6">
        <v>45975</v>
      </c>
      <c r="KW8">
        <v>5</v>
      </c>
      <c r="KX8">
        <v>-2.4245362661989844E-14</v>
      </c>
      <c r="KY8">
        <v>8821742</v>
      </c>
      <c r="KZ8" t="s">
        <v>6187</v>
      </c>
      <c r="LC8" t="s">
        <v>531</v>
      </c>
      <c r="LD8">
        <v>2.1373730000000002</v>
      </c>
      <c r="LE8" t="s">
        <v>1786</v>
      </c>
      <c r="LF8">
        <v>0.86022299999999996</v>
      </c>
      <c r="LG8" t="s">
        <v>1762</v>
      </c>
      <c r="LH8">
        <v>2025</v>
      </c>
      <c r="LI8" t="s">
        <v>3860</v>
      </c>
      <c r="LJ8" s="6">
        <v>45890</v>
      </c>
      <c r="LK8">
        <v>5</v>
      </c>
      <c r="LL8">
        <v>59891328</v>
      </c>
      <c r="LM8">
        <v>103445</v>
      </c>
      <c r="LN8" t="s">
        <v>6002</v>
      </c>
      <c r="PE8" t="s">
        <v>4511</v>
      </c>
      <c r="PG8">
        <v>-2.4245362661989844E-14</v>
      </c>
      <c r="PH8">
        <v>-2.4245362661989844E-14</v>
      </c>
      <c r="PI8" t="s">
        <v>1745</v>
      </c>
      <c r="PJ8">
        <v>2022</v>
      </c>
      <c r="PK8" t="s">
        <v>4512</v>
      </c>
      <c r="PL8" s="6">
        <v>44896</v>
      </c>
      <c r="PM8">
        <v>5</v>
      </c>
      <c r="PN8">
        <v>-2.4245362661989844E-14</v>
      </c>
      <c r="PO8">
        <v>55033875</v>
      </c>
      <c r="PP8" t="s">
        <v>4513</v>
      </c>
      <c r="QI8" t="s">
        <v>4486</v>
      </c>
      <c r="QJ8" t="s">
        <v>1786</v>
      </c>
      <c r="QK8">
        <v>0.10711900000000001</v>
      </c>
      <c r="QL8">
        <v>0.19661100000000001</v>
      </c>
      <c r="QM8" t="s">
        <v>1845</v>
      </c>
      <c r="QN8">
        <v>2025</v>
      </c>
      <c r="QO8" t="s">
        <v>4487</v>
      </c>
      <c r="QP8" s="6">
        <v>46071</v>
      </c>
      <c r="QQ8">
        <v>5</v>
      </c>
      <c r="QR8">
        <v>4215508</v>
      </c>
      <c r="QS8">
        <v>100499</v>
      </c>
      <c r="QT8" t="s">
        <v>4488</v>
      </c>
      <c r="QW8" t="s">
        <v>985</v>
      </c>
      <c r="QX8">
        <v>3.885424</v>
      </c>
      <c r="QY8" t="s">
        <v>1786</v>
      </c>
      <c r="QZ8">
        <v>0.476217</v>
      </c>
      <c r="RA8" t="s">
        <v>1742</v>
      </c>
      <c r="RB8">
        <v>2025</v>
      </c>
      <c r="RC8" t="s">
        <v>6031</v>
      </c>
      <c r="RD8" s="6">
        <v>46007</v>
      </c>
      <c r="RE8">
        <v>5</v>
      </c>
      <c r="RF8">
        <v>123611576</v>
      </c>
      <c r="RG8">
        <v>100864</v>
      </c>
      <c r="RH8" t="s">
        <v>1971</v>
      </c>
      <c r="RM8" t="s">
        <v>2383</v>
      </c>
      <c r="RN8" t="s">
        <v>1820</v>
      </c>
      <c r="RO8">
        <v>2.5768610000000001</v>
      </c>
      <c r="RP8">
        <v>6.6721240000000002</v>
      </c>
      <c r="RQ8" t="s">
        <v>1762</v>
      </c>
      <c r="RR8">
        <v>2025</v>
      </c>
      <c r="RS8" t="s">
        <v>2384</v>
      </c>
      <c r="RT8" s="6">
        <v>45889</v>
      </c>
      <c r="RU8">
        <v>5</v>
      </c>
      <c r="RV8">
        <v>1498845043.1900001</v>
      </c>
      <c r="RW8">
        <v>119133</v>
      </c>
      <c r="RX8" t="s">
        <v>2385</v>
      </c>
      <c r="SA8" t="s">
        <v>4179</v>
      </c>
      <c r="SB8">
        <v>0.17849499999999999</v>
      </c>
      <c r="SC8" t="s">
        <v>1786</v>
      </c>
      <c r="SD8">
        <v>2.3335089999999998</v>
      </c>
      <c r="SE8" t="s">
        <v>1762</v>
      </c>
      <c r="SF8">
        <v>2025</v>
      </c>
      <c r="SG8" t="s">
        <v>6591</v>
      </c>
      <c r="SH8" s="6">
        <v>45863</v>
      </c>
      <c r="SI8">
        <v>5</v>
      </c>
      <c r="SJ8">
        <v>172119616</v>
      </c>
      <c r="SK8">
        <v>8779219</v>
      </c>
      <c r="SL8" t="s">
        <v>4180</v>
      </c>
      <c r="SQ8" t="s">
        <v>2859</v>
      </c>
      <c r="SS8">
        <v>-2.4245362661989844E-14</v>
      </c>
      <c r="ST8">
        <v>-2.4245362661989844E-14</v>
      </c>
      <c r="SU8" t="s">
        <v>1745</v>
      </c>
      <c r="SV8">
        <v>2021</v>
      </c>
      <c r="SW8" t="s">
        <v>2860</v>
      </c>
      <c r="SX8" s="6">
        <v>44693</v>
      </c>
      <c r="SY8">
        <v>5</v>
      </c>
      <c r="SZ8">
        <v>-2.4245362661989844E-14</v>
      </c>
      <c r="TA8">
        <v>54282724</v>
      </c>
      <c r="TB8" t="s">
        <v>2861</v>
      </c>
      <c r="TE8" t="s">
        <v>4599</v>
      </c>
      <c r="TF8">
        <v>-2.4245362661989844E-14</v>
      </c>
      <c r="TH8">
        <v>-2.4245362661989844E-14</v>
      </c>
      <c r="TI8" t="s">
        <v>1745</v>
      </c>
      <c r="TJ8">
        <v>2023</v>
      </c>
      <c r="TK8" t="s">
        <v>4600</v>
      </c>
      <c r="TL8" s="6">
        <v>45027</v>
      </c>
      <c r="TM8">
        <v>5</v>
      </c>
      <c r="TN8">
        <v>-2.4245362661989844E-14</v>
      </c>
      <c r="TO8">
        <v>1096220</v>
      </c>
      <c r="TP8" t="s">
        <v>4601</v>
      </c>
    </row>
    <row r="9" spans="1:600" x14ac:dyDescent="0.25">
      <c r="A9" t="s">
        <v>6575</v>
      </c>
      <c r="B9" t="s">
        <v>1786</v>
      </c>
      <c r="C9">
        <v>3.9025400000000001</v>
      </c>
      <c r="D9">
        <v>2.7696170000000002</v>
      </c>
      <c r="E9" t="s">
        <v>1809</v>
      </c>
      <c r="F9">
        <v>2026</v>
      </c>
      <c r="G9" t="s">
        <v>6576</v>
      </c>
      <c r="H9" s="6">
        <v>45874</v>
      </c>
      <c r="I9">
        <v>5</v>
      </c>
      <c r="J9">
        <v>77410784</v>
      </c>
      <c r="K9">
        <v>101175</v>
      </c>
      <c r="L9" t="s">
        <v>6577</v>
      </c>
      <c r="O9" t="s">
        <v>6108</v>
      </c>
      <c r="P9">
        <v>-2.4245362661989844E-14</v>
      </c>
      <c r="R9">
        <v>-2.4245362661989844E-14</v>
      </c>
      <c r="S9" t="s">
        <v>1745</v>
      </c>
      <c r="T9">
        <v>2023</v>
      </c>
      <c r="U9" t="s">
        <v>6109</v>
      </c>
      <c r="V9" s="6">
        <v>45001</v>
      </c>
      <c r="W9">
        <v>5</v>
      </c>
      <c r="X9">
        <v>-2.4245362661989844E-14</v>
      </c>
      <c r="Y9">
        <v>103335</v>
      </c>
      <c r="Z9" t="s">
        <v>6110</v>
      </c>
      <c r="DQ9" t="s">
        <v>274</v>
      </c>
      <c r="DR9" t="s">
        <v>1786</v>
      </c>
      <c r="DS9">
        <v>4.2578709999999997</v>
      </c>
      <c r="DT9">
        <v>0.81780799999999998</v>
      </c>
      <c r="DU9" t="s">
        <v>1762</v>
      </c>
      <c r="DV9">
        <v>2025</v>
      </c>
      <c r="DW9" t="s">
        <v>2172</v>
      </c>
      <c r="DX9" s="6">
        <v>45791</v>
      </c>
      <c r="DY9">
        <v>5</v>
      </c>
      <c r="DZ9">
        <v>84479568</v>
      </c>
      <c r="EA9">
        <v>116988</v>
      </c>
      <c r="EB9" t="s">
        <v>4108</v>
      </c>
      <c r="EE9" t="s">
        <v>4043</v>
      </c>
      <c r="EF9">
        <v>7.0043999999999995E-2</v>
      </c>
      <c r="EG9" t="s">
        <v>1786</v>
      </c>
      <c r="EH9">
        <v>0.716028</v>
      </c>
      <c r="EI9" t="s">
        <v>1845</v>
      </c>
      <c r="EJ9">
        <v>2024</v>
      </c>
      <c r="EK9" t="s">
        <v>4041</v>
      </c>
      <c r="EL9" s="6">
        <v>45706</v>
      </c>
      <c r="EM9">
        <v>5</v>
      </c>
      <c r="EN9">
        <v>9342469</v>
      </c>
      <c r="EO9">
        <v>202402</v>
      </c>
      <c r="EP9" t="s">
        <v>4044</v>
      </c>
      <c r="FY9" t="s">
        <v>381</v>
      </c>
      <c r="FZ9" t="s">
        <v>1786</v>
      </c>
      <c r="GA9">
        <v>29</v>
      </c>
      <c r="GB9">
        <v>3.6236459999999999</v>
      </c>
      <c r="GC9" t="s">
        <v>1745</v>
      </c>
      <c r="GD9">
        <v>2025</v>
      </c>
      <c r="GE9" t="s">
        <v>2391</v>
      </c>
      <c r="GF9" s="6">
        <v>46077</v>
      </c>
      <c r="GG9">
        <v>5</v>
      </c>
      <c r="GH9">
        <v>2134617472</v>
      </c>
      <c r="GI9">
        <v>104161</v>
      </c>
      <c r="GJ9" t="s">
        <v>3950</v>
      </c>
      <c r="GM9" t="s">
        <v>3844</v>
      </c>
      <c r="GN9">
        <v>1.1000000000000001</v>
      </c>
      <c r="GP9">
        <v>-2.4245362661989844E-14</v>
      </c>
      <c r="GQ9" t="s">
        <v>1845</v>
      </c>
      <c r="GR9">
        <v>2025</v>
      </c>
      <c r="GS9" t="s">
        <v>3843</v>
      </c>
      <c r="GT9" s="6">
        <v>45954</v>
      </c>
      <c r="GU9">
        <v>5</v>
      </c>
      <c r="GV9">
        <v>661748992</v>
      </c>
      <c r="GW9">
        <v>935121</v>
      </c>
      <c r="GX9" t="s">
        <v>3845</v>
      </c>
      <c r="IG9" t="s">
        <v>1284</v>
      </c>
      <c r="II9">
        <v>-2.4245362661989844E-14</v>
      </c>
      <c r="IJ9">
        <v>-2.4245362661989844E-14</v>
      </c>
      <c r="IK9" t="s">
        <v>1745</v>
      </c>
      <c r="IL9">
        <v>2022</v>
      </c>
      <c r="IM9" t="s">
        <v>4233</v>
      </c>
      <c r="IN9" s="6">
        <v>45071</v>
      </c>
      <c r="IO9">
        <v>5</v>
      </c>
      <c r="IP9">
        <v>-2.4245362661989844E-14</v>
      </c>
      <c r="IQ9">
        <v>63511081</v>
      </c>
      <c r="IR9" t="s">
        <v>6619</v>
      </c>
      <c r="IU9" t="s">
        <v>4683</v>
      </c>
      <c r="IV9">
        <v>-2.4245362661989844E-14</v>
      </c>
      <c r="IX9">
        <v>-2.4245362661989844E-14</v>
      </c>
      <c r="IY9" t="s">
        <v>1745</v>
      </c>
      <c r="IZ9">
        <v>2024</v>
      </c>
      <c r="JA9" t="s">
        <v>6358</v>
      </c>
      <c r="JB9" s="6">
        <v>45731</v>
      </c>
      <c r="JC9">
        <v>5</v>
      </c>
      <c r="JD9">
        <v>-2.4245362661989844E-14</v>
      </c>
      <c r="JE9">
        <v>116941</v>
      </c>
      <c r="JF9" t="s">
        <v>4685</v>
      </c>
      <c r="JK9" t="s">
        <v>6302</v>
      </c>
      <c r="JM9">
        <v>-2.4245362661989844E-14</v>
      </c>
      <c r="JN9">
        <v>-2.4245362661989844E-14</v>
      </c>
      <c r="JO9" t="s">
        <v>1745</v>
      </c>
      <c r="JP9">
        <v>2025</v>
      </c>
      <c r="JQ9" t="s">
        <v>6303</v>
      </c>
      <c r="JR9" s="6">
        <v>46066</v>
      </c>
      <c r="JS9">
        <v>5</v>
      </c>
      <c r="JT9">
        <v>-2.4245362661989844E-14</v>
      </c>
      <c r="JU9">
        <v>101065</v>
      </c>
      <c r="JV9" t="s">
        <v>6304</v>
      </c>
      <c r="KO9" t="s">
        <v>6188</v>
      </c>
      <c r="KQ9">
        <v>-2.4245362661989844E-14</v>
      </c>
      <c r="KR9">
        <v>-2.4245362661989844E-14</v>
      </c>
      <c r="KS9" t="s">
        <v>1805</v>
      </c>
      <c r="KT9">
        <v>2024</v>
      </c>
      <c r="KU9" t="s">
        <v>6189</v>
      </c>
      <c r="KV9" s="6">
        <v>45533</v>
      </c>
      <c r="KW9">
        <v>5</v>
      </c>
      <c r="KX9">
        <v>-2.4245362661989844E-14</v>
      </c>
      <c r="KY9">
        <v>64116522</v>
      </c>
      <c r="KZ9" t="s">
        <v>6190</v>
      </c>
      <c r="LC9" t="s">
        <v>1885</v>
      </c>
      <c r="LD9">
        <v>1.651213</v>
      </c>
      <c r="LE9" t="s">
        <v>1786</v>
      </c>
      <c r="LF9">
        <v>5.7257000000000002E-2</v>
      </c>
      <c r="LG9" t="s">
        <v>1762</v>
      </c>
      <c r="LH9">
        <v>2025</v>
      </c>
      <c r="LI9" t="s">
        <v>3860</v>
      </c>
      <c r="LJ9" s="6">
        <v>45890</v>
      </c>
      <c r="LK9">
        <v>5</v>
      </c>
      <c r="LL9">
        <v>46268640</v>
      </c>
      <c r="LM9">
        <v>216952</v>
      </c>
      <c r="LN9" t="s">
        <v>1886</v>
      </c>
      <c r="PE9" t="s">
        <v>4419</v>
      </c>
      <c r="PG9">
        <v>-2.4245362661989844E-14</v>
      </c>
      <c r="PH9">
        <v>-2.4245362661989844E-14</v>
      </c>
      <c r="PI9" t="s">
        <v>1742</v>
      </c>
      <c r="PJ9">
        <v>2022</v>
      </c>
      <c r="PK9" t="s">
        <v>4420</v>
      </c>
      <c r="PL9" s="6">
        <v>44882</v>
      </c>
      <c r="PM9">
        <v>5</v>
      </c>
      <c r="PN9">
        <v>-2.4245362661989844E-14</v>
      </c>
      <c r="PO9">
        <v>225752</v>
      </c>
      <c r="PP9" t="s">
        <v>4421</v>
      </c>
      <c r="QI9" t="s">
        <v>5363</v>
      </c>
      <c r="QJ9" t="s">
        <v>1786</v>
      </c>
      <c r="QK9">
        <v>0.121179</v>
      </c>
      <c r="QL9">
        <v>0.13860900000000001</v>
      </c>
      <c r="QM9" t="s">
        <v>1762</v>
      </c>
      <c r="QN9">
        <v>2025</v>
      </c>
      <c r="QO9" t="s">
        <v>5364</v>
      </c>
      <c r="QP9" s="6">
        <v>45916</v>
      </c>
      <c r="QQ9">
        <v>5</v>
      </c>
      <c r="QR9">
        <v>2520523</v>
      </c>
      <c r="QS9">
        <v>7359873</v>
      </c>
      <c r="QT9" t="s">
        <v>5365</v>
      </c>
      <c r="QW9" t="s">
        <v>4479</v>
      </c>
      <c r="QX9">
        <v>2.5138630000000002</v>
      </c>
      <c r="QY9" t="s">
        <v>1786</v>
      </c>
      <c r="QZ9">
        <v>0.53107700000000002</v>
      </c>
      <c r="RA9" t="s">
        <v>1742</v>
      </c>
      <c r="RB9">
        <v>2025</v>
      </c>
      <c r="RC9" t="s">
        <v>6031</v>
      </c>
      <c r="RD9" s="6">
        <v>46007</v>
      </c>
      <c r="RE9">
        <v>5</v>
      </c>
      <c r="RF9">
        <v>79976488</v>
      </c>
      <c r="RG9">
        <v>47114179</v>
      </c>
      <c r="RH9" t="s">
        <v>4481</v>
      </c>
      <c r="RM9" t="s">
        <v>2944</v>
      </c>
      <c r="RN9" t="s">
        <v>1820</v>
      </c>
      <c r="RO9">
        <v>7.3190790000000003</v>
      </c>
      <c r="RP9">
        <v>4.4339519999999997</v>
      </c>
      <c r="RQ9" t="s">
        <v>1742</v>
      </c>
      <c r="RR9">
        <v>2025</v>
      </c>
      <c r="RS9" t="s">
        <v>2945</v>
      </c>
      <c r="RT9" s="6">
        <v>46080</v>
      </c>
      <c r="RU9">
        <v>5</v>
      </c>
      <c r="RV9">
        <v>1290877323.8699999</v>
      </c>
      <c r="RW9">
        <v>193974</v>
      </c>
      <c r="RX9" t="s">
        <v>2946</v>
      </c>
      <c r="SA9" t="s">
        <v>1873</v>
      </c>
      <c r="SB9">
        <v>6.148E-2</v>
      </c>
      <c r="SC9" t="s">
        <v>1786</v>
      </c>
      <c r="SD9">
        <v>2.6783929999999998</v>
      </c>
      <c r="SE9" t="s">
        <v>1762</v>
      </c>
      <c r="SF9">
        <v>2025</v>
      </c>
      <c r="SG9" t="s">
        <v>1874</v>
      </c>
      <c r="SH9" s="6">
        <v>46008</v>
      </c>
      <c r="SI9">
        <v>5</v>
      </c>
      <c r="SJ9">
        <v>62289296.270000003</v>
      </c>
      <c r="SK9">
        <v>349049</v>
      </c>
      <c r="SL9" t="s">
        <v>1875</v>
      </c>
      <c r="SQ9" t="s">
        <v>6465</v>
      </c>
      <c r="SS9">
        <v>-2.4245362661989844E-14</v>
      </c>
      <c r="ST9">
        <v>-2.4245362661989844E-14</v>
      </c>
      <c r="SU9" t="s">
        <v>1745</v>
      </c>
      <c r="SV9">
        <v>2024</v>
      </c>
      <c r="SW9" t="s">
        <v>6404</v>
      </c>
      <c r="SX9" s="6">
        <v>45330</v>
      </c>
      <c r="SY9">
        <v>5</v>
      </c>
      <c r="SZ9">
        <v>-2.4245362661989844E-14</v>
      </c>
      <c r="TA9">
        <v>49422174</v>
      </c>
      <c r="TB9" t="s">
        <v>6466</v>
      </c>
      <c r="TE9" t="s">
        <v>6408</v>
      </c>
      <c r="TF9">
        <v>-2.4245362661989844E-14</v>
      </c>
      <c r="TH9">
        <v>-2.4245362661989844E-14</v>
      </c>
      <c r="TI9" t="s">
        <v>1745</v>
      </c>
      <c r="TJ9">
        <v>2022</v>
      </c>
      <c r="TK9" t="s">
        <v>6409</v>
      </c>
      <c r="TL9" s="6">
        <v>44734</v>
      </c>
      <c r="TM9">
        <v>5</v>
      </c>
      <c r="TN9">
        <v>-2.4245362661989844E-14</v>
      </c>
      <c r="TO9">
        <v>11011052</v>
      </c>
      <c r="TP9" t="s">
        <v>6410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250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251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252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253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254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255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256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257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258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259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260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261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262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263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264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265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266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267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268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35</v>
      </c>
      <c r="AE2" s="3" t="s">
        <v>269</v>
      </c>
      <c r="BI2" s="3" t="s">
        <v>270</v>
      </c>
      <c r="CM2" s="3" t="s">
        <v>204</v>
      </c>
      <c r="DQ2" s="3" t="s">
        <v>271</v>
      </c>
      <c r="EU2" s="3" t="s">
        <v>272</v>
      </c>
      <c r="FY2" s="3" t="s">
        <v>273</v>
      </c>
      <c r="HC2" s="3" t="s">
        <v>274</v>
      </c>
      <c r="IG2" s="3" t="s">
        <v>275</v>
      </c>
      <c r="JK2" s="3" t="s">
        <v>276</v>
      </c>
      <c r="KO2" s="3" t="s">
        <v>34</v>
      </c>
      <c r="LS2" s="3" t="s">
        <v>277</v>
      </c>
      <c r="MW2" s="3" t="s">
        <v>278</v>
      </c>
      <c r="OA2" s="3" t="s">
        <v>279</v>
      </c>
      <c r="PE2" s="3" t="s">
        <v>280</v>
      </c>
      <c r="QI2" s="3" t="s">
        <v>281</v>
      </c>
      <c r="RM2" s="3" t="s">
        <v>282</v>
      </c>
      <c r="SQ2" s="3" t="s">
        <v>283</v>
      </c>
      <c r="TU2" s="3" t="s">
        <v>284</v>
      </c>
      <c r="UY2" s="3" t="s">
        <v>285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_xll.BDS("nan Equity","SUPPLY_CHAIN_SUPPLIERS_ALL_DATA")</f>
        <v>#N/A N/A</v>
      </c>
      <c r="O5" t="str">
        <f>_xll.BDS("nan Equity","SUPPLY_CHAIN_CUSTOMERS_ALL_DATA")</f>
        <v>#N/A N/A</v>
      </c>
      <c r="AE5" t="str">
        <f>_xll.BDS("MHS US Equity","SUPPLY_CHAIN_SUPPLIERS_ALL_DATA")</f>
        <v>#N/A N/A</v>
      </c>
      <c r="AS5" t="str">
        <f>_xll.BDS("MHS US Equity","SUPPLY_CHAIN_CUSTOMERS_ALL_DATA")</f>
        <v>#N/A N/A</v>
      </c>
      <c r="BI5" t="str">
        <f>_xll.BDS("TLRDQ US Equity","SUPPLY_CHAIN_SUPPLIERS_ALL_DATA","cols=12;rows=5")</f>
        <v>BRX US Equity</v>
      </c>
      <c r="BK5">
        <v>-2.4245362661989844E-14</v>
      </c>
      <c r="BL5">
        <v>-2.4245362661989844E-14</v>
      </c>
      <c r="BM5" t="s">
        <v>1745</v>
      </c>
      <c r="BN5">
        <v>2024</v>
      </c>
      <c r="BO5" t="s">
        <v>4490</v>
      </c>
      <c r="BP5" s="6">
        <v>45698</v>
      </c>
      <c r="BQ5">
        <v>5</v>
      </c>
      <c r="BR5">
        <v>-2.4245362661989844E-14</v>
      </c>
      <c r="BS5">
        <v>24112045</v>
      </c>
      <c r="BT5" t="s">
        <v>4491</v>
      </c>
      <c r="BW5" t="str">
        <f>_xll.BDS("TLRDQ US Equity","SUPPLY_CHAIN_CUSTOMERS_ALL_DATA")</f>
        <v>#N/A N/A</v>
      </c>
      <c r="CM5" t="str">
        <f>_xll.BDS("HPQ US Equity","SUPPLY_CHAIN_SUPPLIERS_ALL_DATA","cols=12;rows=5")</f>
        <v>2356 TT Equity</v>
      </c>
      <c r="CN5" t="s">
        <v>1786</v>
      </c>
      <c r="CO5">
        <v>36.343342</v>
      </c>
      <c r="CP5">
        <v>18.051394999999999</v>
      </c>
      <c r="CQ5" t="s">
        <v>1742</v>
      </c>
      <c r="CR5">
        <v>2025</v>
      </c>
      <c r="CS5" t="s">
        <v>2243</v>
      </c>
      <c r="CT5" s="6">
        <v>46035</v>
      </c>
      <c r="CU5">
        <v>5</v>
      </c>
      <c r="CV5">
        <v>2141270971.6500001</v>
      </c>
      <c r="CW5">
        <v>193712</v>
      </c>
      <c r="CX5" t="s">
        <v>2244</v>
      </c>
      <c r="DA5" t="str">
        <f>_xll.BDS("HPQ US Equity","SUPPLY_CHAIN_CUSTOMERS_ALL_DATA","cols=12;rows=5")</f>
        <v>SNX US Equity</v>
      </c>
      <c r="DB5">
        <v>12</v>
      </c>
      <c r="DC5" t="s">
        <v>1786</v>
      </c>
      <c r="DD5">
        <v>11.690618000000001</v>
      </c>
      <c r="DE5" t="s">
        <v>1745</v>
      </c>
      <c r="DF5">
        <v>2025</v>
      </c>
      <c r="DG5" t="s">
        <v>1863</v>
      </c>
      <c r="DH5" s="6">
        <v>46001</v>
      </c>
      <c r="DI5">
        <v>5</v>
      </c>
      <c r="DJ5">
        <v>1658850048</v>
      </c>
      <c r="DK5">
        <v>1499717</v>
      </c>
      <c r="DL5" t="s">
        <v>1864</v>
      </c>
      <c r="DQ5" t="str">
        <f>_xll.BDS("RFMD US Equity","SUPPLY_CHAIN_SUPPLIERS_ALL_DATA")</f>
        <v>#N/A N/A</v>
      </c>
      <c r="EE5" t="str">
        <f>_xll.BDS("RFMD US Equity","SUPPLY_CHAIN_CUSTOMERS_ALL_DATA")</f>
        <v>#N/A N/A</v>
      </c>
      <c r="EU5" t="str">
        <f>_xll.BDS("THRY US Equity","SUPPLY_CHAIN_SUPPLIERS_ALL_DATA","cols=12;rows=5")</f>
        <v>2416880D US Equity</v>
      </c>
      <c r="EW5">
        <v>-2.4245362661989844E-14</v>
      </c>
      <c r="EX5">
        <v>-2.4245362661989844E-14</v>
      </c>
      <c r="EY5" t="s">
        <v>1745</v>
      </c>
      <c r="EZ5">
        <v>2022</v>
      </c>
      <c r="FA5" t="s">
        <v>5171</v>
      </c>
      <c r="FB5" s="6">
        <v>44980</v>
      </c>
      <c r="FC5">
        <v>5</v>
      </c>
      <c r="FD5">
        <v>-2.4245362661989844E-14</v>
      </c>
      <c r="FE5">
        <v>27593431</v>
      </c>
      <c r="FF5" t="s">
        <v>5172</v>
      </c>
      <c r="FI5" t="str">
        <f>_xll.BDS("THRY US Equity","SUPPLY_CHAIN_CUSTOMERS_ALL_DATA","cols=12;rows=1")</f>
        <v>TRKAQ US Equity</v>
      </c>
      <c r="FJ5">
        <v>-2.4245362661989844E-14</v>
      </c>
      <c r="FL5">
        <v>-2.4245362661989844E-14</v>
      </c>
      <c r="FM5" t="s">
        <v>1845</v>
      </c>
      <c r="FN5">
        <v>2023</v>
      </c>
      <c r="FO5" t="s">
        <v>3744</v>
      </c>
      <c r="FP5" s="6">
        <v>45267</v>
      </c>
      <c r="FQ5">
        <v>1</v>
      </c>
      <c r="FR5">
        <v>-2.4245362661989844E-14</v>
      </c>
      <c r="FS5">
        <v>54982534</v>
      </c>
      <c r="FT5" t="s">
        <v>3745</v>
      </c>
      <c r="FY5" t="str">
        <f>_xll.BDS("LLY US Equity","SUPPLY_CHAIN_SUPPLIERS_ALL_DATA","cols=12;rows=5")</f>
        <v>RIGL US Equity</v>
      </c>
      <c r="FZ5" t="s">
        <v>1786</v>
      </c>
      <c r="GA5">
        <v>39</v>
      </c>
      <c r="GB5">
        <v>1.782985</v>
      </c>
      <c r="GC5" t="s">
        <v>1762</v>
      </c>
      <c r="GD5">
        <v>2025</v>
      </c>
      <c r="GE5" t="s">
        <v>2872</v>
      </c>
      <c r="GF5" s="6">
        <v>45874</v>
      </c>
      <c r="GG5">
        <v>5</v>
      </c>
      <c r="GH5">
        <v>39657152</v>
      </c>
      <c r="GI5">
        <v>1176875</v>
      </c>
      <c r="GJ5" t="s">
        <v>2873</v>
      </c>
      <c r="GM5" t="str">
        <f>_xll.BDS("LLY US Equity","SUPPLY_CHAIN_CUSTOMERS_ALL_DATA","cols=12;rows=5")</f>
        <v>MCK US Equity</v>
      </c>
      <c r="GN5">
        <v>23.281113000000001</v>
      </c>
      <c r="GO5" t="s">
        <v>1786</v>
      </c>
      <c r="GP5">
        <v>5.5350809999999999</v>
      </c>
      <c r="GQ5" t="s">
        <v>1742</v>
      </c>
      <c r="GR5">
        <v>2025</v>
      </c>
      <c r="GS5" t="s">
        <v>3253</v>
      </c>
      <c r="GT5" s="6">
        <v>46041</v>
      </c>
      <c r="GU5">
        <v>5</v>
      </c>
      <c r="GV5">
        <v>4097661952</v>
      </c>
      <c r="GW5">
        <v>154936</v>
      </c>
      <c r="GX5" t="s">
        <v>2146</v>
      </c>
      <c r="HC5" t="str">
        <f>_xll.BDS("SANM US Equity","SUPPLY_CHAIN_SUPPLIERS_ALL_DATA","cols=12;rows=5")</f>
        <v>MU US Equity</v>
      </c>
      <c r="HD5" t="s">
        <v>1786</v>
      </c>
      <c r="HE5">
        <v>0.57996300000000001</v>
      </c>
      <c r="HF5">
        <v>2.6846100000000002</v>
      </c>
      <c r="HG5" t="s">
        <v>1809</v>
      </c>
      <c r="HH5">
        <v>2026</v>
      </c>
      <c r="HI5" t="s">
        <v>2389</v>
      </c>
      <c r="HJ5" s="6">
        <v>46079</v>
      </c>
      <c r="HK5">
        <v>5</v>
      </c>
      <c r="HL5">
        <v>79124352</v>
      </c>
      <c r="HM5">
        <v>100995</v>
      </c>
      <c r="HN5" t="s">
        <v>2390</v>
      </c>
      <c r="HQ5" t="str">
        <f>_xll.BDS("SANM US Equity","SUPPLY_CHAIN_CUSTOMERS_ALL_DATA","cols=12;rows=5")</f>
        <v>MSI US Equity</v>
      </c>
      <c r="HR5">
        <v>11.295623000000001</v>
      </c>
      <c r="HS5" t="s">
        <v>1786</v>
      </c>
      <c r="HT5">
        <v>18.250340999999999</v>
      </c>
      <c r="HU5" t="s">
        <v>1762</v>
      </c>
      <c r="HV5">
        <v>2025</v>
      </c>
      <c r="HW5" t="s">
        <v>2172</v>
      </c>
      <c r="HX5" s="6">
        <v>45791</v>
      </c>
      <c r="HY5">
        <v>5</v>
      </c>
      <c r="HZ5">
        <v>224114192</v>
      </c>
      <c r="IA5">
        <v>101021</v>
      </c>
      <c r="IB5" t="s">
        <v>2173</v>
      </c>
      <c r="IG5" t="str">
        <f>_xll.BDS("AA US Equity","SUPPLY_CHAIN_SUPPLIERS_ALL_DATA","cols=12;rows=5")</f>
        <v>MAADEN AB Equity</v>
      </c>
      <c r="IH5" t="s">
        <v>1786</v>
      </c>
      <c r="II5">
        <v>4.2572039999999998</v>
      </c>
      <c r="IJ5">
        <v>3.644434</v>
      </c>
      <c r="IK5" t="s">
        <v>1745</v>
      </c>
      <c r="IL5">
        <v>2024</v>
      </c>
      <c r="IM5" t="s">
        <v>2045</v>
      </c>
      <c r="IN5" s="6">
        <v>45729</v>
      </c>
      <c r="IO5">
        <v>5</v>
      </c>
      <c r="IP5">
        <v>91511433.980000004</v>
      </c>
      <c r="IQ5">
        <v>948635</v>
      </c>
      <c r="IR5" t="s">
        <v>2046</v>
      </c>
      <c r="IU5" t="str">
        <f>_xll.BDS("AA US Equity","SUPPLY_CHAIN_CUSTOMERS_ALL_DATA","cols=12;rows=5")</f>
        <v>MAADEN AB Equity</v>
      </c>
      <c r="IV5">
        <v>1.3594E-2</v>
      </c>
      <c r="IW5" t="s">
        <v>1786</v>
      </c>
      <c r="IX5">
        <v>2.6039E-2</v>
      </c>
      <c r="IY5" t="s">
        <v>1745</v>
      </c>
      <c r="IZ5">
        <v>2024</v>
      </c>
      <c r="JA5" t="s">
        <v>2045</v>
      </c>
      <c r="JB5" s="6">
        <v>45729</v>
      </c>
      <c r="JC5">
        <v>5</v>
      </c>
      <c r="JD5">
        <v>404250.67</v>
      </c>
      <c r="JE5">
        <v>948635</v>
      </c>
      <c r="JF5" t="s">
        <v>2046</v>
      </c>
      <c r="JK5" t="str">
        <f>_xll.BDS("YELLQ US Equity","SUPPLY_CHAIN_SUPPLIERS_ALL_DATA","cols=12;rows=5")</f>
        <v>ML FP Equity</v>
      </c>
      <c r="JL5" t="s">
        <v>1786</v>
      </c>
      <c r="JM5">
        <v>2.2783999999999999E-2</v>
      </c>
      <c r="JN5">
        <v>0.154611</v>
      </c>
      <c r="JO5" t="s">
        <v>1845</v>
      </c>
      <c r="JP5">
        <v>2024</v>
      </c>
      <c r="JQ5" t="s">
        <v>5482</v>
      </c>
      <c r="JR5" s="6">
        <v>45762</v>
      </c>
      <c r="JS5">
        <v>5</v>
      </c>
      <c r="JT5">
        <v>1667198.38</v>
      </c>
      <c r="JU5">
        <v>115439</v>
      </c>
      <c r="JV5" t="s">
        <v>5483</v>
      </c>
      <c r="JY5" t="str">
        <f>_xll.BDS("YELLQ US Equity","SUPPLY_CHAIN_CUSTOMERS_ALL_DATA","cols=12;rows=5")</f>
        <v>0219682Z US Equity</v>
      </c>
      <c r="JZ5">
        <v>-2.4245362661989844E-14</v>
      </c>
      <c r="KB5">
        <v>-2.4245362661989844E-14</v>
      </c>
      <c r="KC5" t="s">
        <v>1745</v>
      </c>
      <c r="KD5">
        <v>2022</v>
      </c>
      <c r="KE5" t="s">
        <v>2153</v>
      </c>
      <c r="KF5" s="6">
        <v>44630</v>
      </c>
      <c r="KG5">
        <v>5</v>
      </c>
      <c r="KH5">
        <v>-2.4245362661989844E-14</v>
      </c>
      <c r="KI5">
        <v>962205</v>
      </c>
      <c r="KJ5" t="s">
        <v>1796</v>
      </c>
      <c r="KO5" t="str">
        <f>_xll.BDS("ORCL US Equity","SUPPLY_CHAIN_SUPPLIERS_ALL_DATA","cols=12;rows=5")</f>
        <v>NVDA US Equity</v>
      </c>
      <c r="KP5" t="s">
        <v>1820</v>
      </c>
      <c r="KQ5">
        <v>1.9751799999999999</v>
      </c>
      <c r="KR5">
        <v>11.182838</v>
      </c>
      <c r="KS5" t="s">
        <v>1845</v>
      </c>
      <c r="KT5">
        <v>2026</v>
      </c>
      <c r="KU5" t="s">
        <v>2311</v>
      </c>
      <c r="KV5" s="6">
        <v>46087</v>
      </c>
      <c r="KW5">
        <v>5</v>
      </c>
      <c r="KX5">
        <v>1345630848</v>
      </c>
      <c r="KY5">
        <v>313657</v>
      </c>
      <c r="KZ5" t="s">
        <v>2312</v>
      </c>
      <c r="LC5" t="str">
        <f>_xll.BDS("ORCL US Equity","SUPPLY_CHAIN_CUSTOMERS_ALL_DATA","cols=12;rows=5")</f>
        <v>ACN US Equity</v>
      </c>
      <c r="LD5">
        <v>1.9061380000000001</v>
      </c>
      <c r="LE5" t="s">
        <v>1786</v>
      </c>
      <c r="LF5">
        <v>2.7725070000000001</v>
      </c>
      <c r="LG5" t="s">
        <v>1845</v>
      </c>
      <c r="LH5">
        <v>2025</v>
      </c>
      <c r="LI5" t="s">
        <v>1883</v>
      </c>
      <c r="LJ5" s="6">
        <v>45848</v>
      </c>
      <c r="LK5">
        <v>5</v>
      </c>
      <c r="LL5">
        <v>303133120</v>
      </c>
      <c r="LM5">
        <v>300787</v>
      </c>
      <c r="LN5" t="s">
        <v>1884</v>
      </c>
      <c r="LS5" t="str">
        <f>_xll.BDS("9876456D US Equity","SUPPLY_CHAIN_SUPPLIERS_ALL_DATA")</f>
        <v>#N/A N/A</v>
      </c>
      <c r="MG5" t="str">
        <f>_xll.BDS("9876456D US Equity","SUPPLY_CHAIN_CUSTOMERS_ALL_DATA")</f>
        <v>#N/A N/A</v>
      </c>
      <c r="MW5" t="str">
        <f>_xll.BDS("UCOMA US Equity","SUPPLY_CHAIN_SUPPLIERS_ALL_DATA")</f>
        <v>#N/A N/A</v>
      </c>
      <c r="NK5" t="str">
        <f>_xll.BDS("UCOMA US Equity","SUPPLY_CHAIN_CUSTOMERS_ALL_DATA")</f>
        <v>#N/A N/A</v>
      </c>
      <c r="OA5" t="str">
        <f>_xll.BDS("EXE US Equity","SUPPLY_CHAIN_SUPPLIERS_ALL_DATA","cols=12;rows=5")</f>
        <v>PRIM US Equity</v>
      </c>
      <c r="OB5" t="s">
        <v>1786</v>
      </c>
      <c r="OC5">
        <v>1.7344569999999999</v>
      </c>
      <c r="OD5">
        <v>1.9459360000000001</v>
      </c>
      <c r="OE5" t="s">
        <v>1809</v>
      </c>
      <c r="OF5">
        <v>2025</v>
      </c>
      <c r="OG5" t="s">
        <v>2865</v>
      </c>
      <c r="OH5" s="6">
        <v>45863</v>
      </c>
      <c r="OI5">
        <v>5</v>
      </c>
      <c r="OJ5">
        <v>28585794</v>
      </c>
      <c r="OK5">
        <v>10832677</v>
      </c>
      <c r="OL5" t="s">
        <v>2866</v>
      </c>
      <c r="OO5" t="str">
        <f>_xll.BDS("EXE US Equity","SUPPLY_CHAIN_CUSTOMERS_ALL_DATA","cols=12;rows=3")</f>
        <v>37895Z CY Equity</v>
      </c>
      <c r="OP5">
        <v>-2.4245362661989844E-14</v>
      </c>
      <c r="OR5">
        <v>-2.4245362661989844E-14</v>
      </c>
      <c r="OS5" t="s">
        <v>1745</v>
      </c>
      <c r="OT5">
        <v>2023</v>
      </c>
      <c r="OU5" t="s">
        <v>5329</v>
      </c>
      <c r="OV5" s="6">
        <v>45343</v>
      </c>
      <c r="OW5">
        <v>3</v>
      </c>
      <c r="OX5">
        <v>-2.4245362661989844E-14</v>
      </c>
      <c r="OY5">
        <v>27049163</v>
      </c>
      <c r="OZ5" t="s">
        <v>5371</v>
      </c>
      <c r="PE5" t="str">
        <f>_xll.BDS("ICBC US Equity","SUPPLY_CHAIN_SUPPLIERS_ALL_DATA")</f>
        <v>#N/A N/A</v>
      </c>
      <c r="PS5" t="str">
        <f>_xll.BDS("ICBC US Equity","SUPPLY_CHAIN_CUSTOMERS_ALL_DATA")</f>
        <v>#N/A N/A</v>
      </c>
      <c r="QI5" t="str">
        <f>_xll.BDS("WBMD US Equity","SUPPLY_CHAIN_SUPPLIERS_ALL_DATA","cols=12;rows=1")</f>
        <v>LSPK CN Equity</v>
      </c>
      <c r="QK5">
        <v>-2.4245362661989844E-14</v>
      </c>
      <c r="QL5">
        <v>-2.4245362661989844E-14</v>
      </c>
      <c r="QM5" t="s">
        <v>1745</v>
      </c>
      <c r="QN5">
        <v>2025</v>
      </c>
      <c r="QO5" t="s">
        <v>6455</v>
      </c>
      <c r="QP5" s="6">
        <v>45785</v>
      </c>
      <c r="QQ5">
        <v>1</v>
      </c>
      <c r="QR5">
        <v>-2.4245362661989844E-14</v>
      </c>
      <c r="QS5">
        <v>68864892</v>
      </c>
      <c r="QT5" t="s">
        <v>6456</v>
      </c>
      <c r="QW5" t="str">
        <f>_xll.BDS("WBMD US Equity","SUPPLY_CHAIN_CUSTOMERS_ALL_DATA")</f>
        <v>#N/A N/A</v>
      </c>
      <c r="RM5" t="str">
        <f>_xll.BDS("LNWO US Equity","SUPPLY_CHAIN_SUPPLIERS_ALL_DATA","cols=12;rows=5")</f>
        <v>HAS US Equity</v>
      </c>
      <c r="RN5" t="s">
        <v>1786</v>
      </c>
      <c r="RO5">
        <v>0.180285</v>
      </c>
      <c r="RP5">
        <v>0.863487</v>
      </c>
      <c r="RQ5" t="s">
        <v>1845</v>
      </c>
      <c r="RR5">
        <v>2024</v>
      </c>
      <c r="RS5" t="s">
        <v>2711</v>
      </c>
      <c r="RT5" s="6">
        <v>45769</v>
      </c>
      <c r="RU5">
        <v>5</v>
      </c>
      <c r="RV5">
        <v>1986020</v>
      </c>
      <c r="RW5">
        <v>104314</v>
      </c>
      <c r="RX5" t="s">
        <v>2712</v>
      </c>
      <c r="SA5" t="str">
        <f>_xll.BDS("LNWO US Equity","SUPPLY_CHAIN_CUSTOMERS_ALL_DATA","cols=12;rows=5")</f>
        <v>ENT LN Equity</v>
      </c>
      <c r="SB5">
        <v>-2.4245362661989844E-14</v>
      </c>
      <c r="SD5">
        <v>-2.4245362661989844E-14</v>
      </c>
      <c r="SE5" t="s">
        <v>1745</v>
      </c>
      <c r="SF5">
        <v>2022</v>
      </c>
      <c r="SG5" t="s">
        <v>2447</v>
      </c>
      <c r="SH5" s="6">
        <v>44665</v>
      </c>
      <c r="SI5">
        <v>5</v>
      </c>
      <c r="SJ5">
        <v>-2.4245362661989844E-14</v>
      </c>
      <c r="SK5">
        <v>9335259</v>
      </c>
      <c r="SL5" t="s">
        <v>2448</v>
      </c>
      <c r="SQ5" t="str">
        <f>_xll.BDS("TRUL CN Equity","SUPPLY_CHAIN_SUPPLIERS_ALL_DATA","cols=12;rows=2")</f>
        <v>IIPR US Equity</v>
      </c>
      <c r="SR5" t="s">
        <v>1769</v>
      </c>
      <c r="SS5">
        <v>6.1999820000000003</v>
      </c>
      <c r="ST5">
        <v>4.2618799999999997</v>
      </c>
      <c r="SU5" t="s">
        <v>1745</v>
      </c>
      <c r="SV5">
        <v>2024</v>
      </c>
      <c r="SW5" t="s">
        <v>6127</v>
      </c>
      <c r="SX5" s="6">
        <v>45709</v>
      </c>
      <c r="SY5">
        <v>2</v>
      </c>
      <c r="SZ5">
        <v>4782000</v>
      </c>
      <c r="TA5">
        <v>51395836</v>
      </c>
      <c r="TB5" t="s">
        <v>6128</v>
      </c>
      <c r="TE5" t="str">
        <f>_xll.BDS("TRUL CN Equity","SUPPLY_CHAIN_CUSTOMERS_ALL_DATA")</f>
        <v>#N/A N/A</v>
      </c>
      <c r="TU5" t="str">
        <f>_xll.BDS("WAMUQ US Equity","SUPPLY_CHAIN_SUPPLIERS_ALL_DATA")</f>
        <v>#N/A N/A</v>
      </c>
      <c r="UI5" t="str">
        <f>_xll.BDS("WAMUQ US Equity","SUPPLY_CHAIN_CUSTOMERS_ALL_DATA")</f>
        <v>#N/A N/A</v>
      </c>
      <c r="UY5" t="str">
        <f>_xll.BDS("2258717D US Equity","SUPPLY_CHAIN_SUPPLIERS_ALL_DATA")</f>
        <v>#N/A N/A</v>
      </c>
      <c r="VM5" t="str">
        <f>_xll.BDS("2258717D US Equity","SUPPLY_CHAIN_CUSTOMERS_ALL_DATA")</f>
        <v>#N/A N/A</v>
      </c>
    </row>
    <row r="6" spans="1:600" x14ac:dyDescent="0.25">
      <c r="BI6" t="s">
        <v>4492</v>
      </c>
      <c r="BK6">
        <v>-2.4245362661989844E-14</v>
      </c>
      <c r="BL6">
        <v>-2.4245362661989844E-14</v>
      </c>
      <c r="BM6" t="s">
        <v>1809</v>
      </c>
      <c r="BN6">
        <v>2023</v>
      </c>
      <c r="BO6" t="s">
        <v>4493</v>
      </c>
      <c r="BP6" s="6">
        <v>45111</v>
      </c>
      <c r="BQ6">
        <v>5</v>
      </c>
      <c r="BR6">
        <v>-2.4245362661989844E-14</v>
      </c>
      <c r="BS6">
        <v>11063370</v>
      </c>
      <c r="BT6" t="s">
        <v>4494</v>
      </c>
      <c r="CM6" t="s">
        <v>168</v>
      </c>
      <c r="CN6" t="s">
        <v>1786</v>
      </c>
      <c r="CO6">
        <v>12.003353000000001</v>
      </c>
      <c r="CP6">
        <v>14.056165999999999</v>
      </c>
      <c r="CQ6" t="s">
        <v>1845</v>
      </c>
      <c r="CR6">
        <v>2025</v>
      </c>
      <c r="CS6" t="s">
        <v>2245</v>
      </c>
      <c r="CT6" s="6">
        <v>46048</v>
      </c>
      <c r="CU6">
        <v>5</v>
      </c>
      <c r="CV6">
        <v>1641338496</v>
      </c>
      <c r="CW6">
        <v>101729</v>
      </c>
      <c r="CX6" t="s">
        <v>2246</v>
      </c>
      <c r="DA6" t="s">
        <v>1350</v>
      </c>
      <c r="DB6">
        <v>1.5894710000000001</v>
      </c>
      <c r="DC6" t="s">
        <v>1786</v>
      </c>
      <c r="DD6">
        <v>2.6168589999999998</v>
      </c>
      <c r="DE6" t="s">
        <v>1762</v>
      </c>
      <c r="DF6">
        <v>2026</v>
      </c>
      <c r="DG6" t="s">
        <v>1865</v>
      </c>
      <c r="DH6" s="6">
        <v>45932</v>
      </c>
      <c r="DI6">
        <v>5</v>
      </c>
      <c r="DJ6">
        <v>221445152</v>
      </c>
      <c r="DK6">
        <v>100197</v>
      </c>
      <c r="DL6" t="s">
        <v>1866</v>
      </c>
      <c r="EU6" t="s">
        <v>347</v>
      </c>
      <c r="EW6">
        <v>-2.4245362661989844E-14</v>
      </c>
      <c r="EX6">
        <v>-2.4245362661989844E-14</v>
      </c>
      <c r="EY6" t="s">
        <v>1745</v>
      </c>
      <c r="EZ6">
        <v>2024</v>
      </c>
      <c r="FA6" t="s">
        <v>5173</v>
      </c>
      <c r="FB6" s="6">
        <v>45715</v>
      </c>
      <c r="FC6">
        <v>5</v>
      </c>
      <c r="FD6">
        <v>-2.4245362661989844E-14</v>
      </c>
      <c r="FE6">
        <v>186130</v>
      </c>
      <c r="FF6" t="s">
        <v>5174</v>
      </c>
      <c r="FY6" t="s">
        <v>2874</v>
      </c>
      <c r="FZ6" t="s">
        <v>1786</v>
      </c>
      <c r="GA6">
        <v>2.8125499999999999</v>
      </c>
      <c r="GB6">
        <v>1.308325</v>
      </c>
      <c r="GC6" t="s">
        <v>1745</v>
      </c>
      <c r="GD6">
        <v>2025</v>
      </c>
      <c r="GE6" t="s">
        <v>2875</v>
      </c>
      <c r="GF6" s="6">
        <v>46063</v>
      </c>
      <c r="GG6">
        <v>5</v>
      </c>
      <c r="GH6">
        <v>36150000</v>
      </c>
      <c r="GI6">
        <v>126255</v>
      </c>
      <c r="GJ6" t="s">
        <v>2876</v>
      </c>
      <c r="GM6" t="s">
        <v>2147</v>
      </c>
      <c r="GN6">
        <v>22.163627999999999</v>
      </c>
      <c r="GO6" t="s">
        <v>1786</v>
      </c>
      <c r="GP6">
        <v>4.8294360000000003</v>
      </c>
      <c r="GQ6" t="s">
        <v>1742</v>
      </c>
      <c r="GR6">
        <v>2025</v>
      </c>
      <c r="GS6" t="s">
        <v>3253</v>
      </c>
      <c r="GT6" s="6">
        <v>46041</v>
      </c>
      <c r="GU6">
        <v>5</v>
      </c>
      <c r="GV6">
        <v>3900975616</v>
      </c>
      <c r="GW6">
        <v>156969</v>
      </c>
      <c r="GX6" t="s">
        <v>2148</v>
      </c>
      <c r="HC6" t="s">
        <v>6256</v>
      </c>
      <c r="HD6" t="s">
        <v>1786</v>
      </c>
      <c r="HE6">
        <v>0.20922399999999999</v>
      </c>
      <c r="HF6">
        <v>0.10945100000000001</v>
      </c>
      <c r="HG6" t="s">
        <v>1809</v>
      </c>
      <c r="HH6">
        <v>2025</v>
      </c>
      <c r="HI6" t="s">
        <v>6257</v>
      </c>
      <c r="HJ6" s="6">
        <v>45792</v>
      </c>
      <c r="HK6">
        <v>5</v>
      </c>
      <c r="HL6">
        <v>1978310.01</v>
      </c>
      <c r="HM6">
        <v>130409</v>
      </c>
      <c r="HN6" t="s">
        <v>6258</v>
      </c>
      <c r="HQ6" t="s">
        <v>2174</v>
      </c>
      <c r="HR6">
        <v>9.3316560000000006</v>
      </c>
      <c r="HS6" t="s">
        <v>1786</v>
      </c>
      <c r="HT6">
        <v>6.8551380000000002</v>
      </c>
      <c r="HU6" t="s">
        <v>1762</v>
      </c>
      <c r="HV6">
        <v>2025</v>
      </c>
      <c r="HW6" t="s">
        <v>2172</v>
      </c>
      <c r="HX6" s="6">
        <v>45791</v>
      </c>
      <c r="HY6">
        <v>5</v>
      </c>
      <c r="HZ6">
        <v>185147520</v>
      </c>
      <c r="IA6">
        <v>115790</v>
      </c>
      <c r="IB6" t="s">
        <v>2175</v>
      </c>
      <c r="IG6" t="s">
        <v>5683</v>
      </c>
      <c r="IH6" t="s">
        <v>1786</v>
      </c>
      <c r="II6">
        <v>2.854762</v>
      </c>
      <c r="IJ6">
        <v>0.41643999999999998</v>
      </c>
      <c r="IK6" t="s">
        <v>1762</v>
      </c>
      <c r="IL6">
        <v>2025</v>
      </c>
      <c r="IM6" t="s">
        <v>5684</v>
      </c>
      <c r="IN6" s="6">
        <v>45902</v>
      </c>
      <c r="IO6">
        <v>5</v>
      </c>
      <c r="IP6">
        <v>11043989</v>
      </c>
      <c r="IQ6">
        <v>47762945</v>
      </c>
      <c r="IR6" t="s">
        <v>5685</v>
      </c>
      <c r="IU6" t="s">
        <v>2047</v>
      </c>
      <c r="IV6">
        <v>-2.4245362661989844E-14</v>
      </c>
      <c r="IX6">
        <v>-2.4245362661989844E-14</v>
      </c>
      <c r="IY6" t="s">
        <v>1745</v>
      </c>
      <c r="IZ6">
        <v>2022</v>
      </c>
      <c r="JA6" t="s">
        <v>2048</v>
      </c>
      <c r="JB6" s="6">
        <v>44665</v>
      </c>
      <c r="JC6">
        <v>5</v>
      </c>
      <c r="JD6">
        <v>-2.4245362661989844E-14</v>
      </c>
      <c r="JE6">
        <v>32508551</v>
      </c>
      <c r="JF6" t="s">
        <v>2049</v>
      </c>
      <c r="JK6" t="s">
        <v>5936</v>
      </c>
      <c r="JM6">
        <v>-2.4245362661989844E-14</v>
      </c>
      <c r="JN6">
        <v>-2.4245362661989844E-14</v>
      </c>
      <c r="JO6" t="s">
        <v>1742</v>
      </c>
      <c r="JP6">
        <v>2023</v>
      </c>
      <c r="JQ6" t="s">
        <v>2154</v>
      </c>
      <c r="JR6" s="6">
        <v>45144</v>
      </c>
      <c r="JS6">
        <v>5</v>
      </c>
      <c r="JT6">
        <v>-2.4245362661989844E-14</v>
      </c>
      <c r="JU6">
        <v>30302096</v>
      </c>
      <c r="JV6" t="s">
        <v>5937</v>
      </c>
      <c r="JY6" t="s">
        <v>1801</v>
      </c>
      <c r="JZ6">
        <v>-2.4245362661989844E-14</v>
      </c>
      <c r="KB6">
        <v>-2.4245362661989844E-14</v>
      </c>
      <c r="KC6" t="s">
        <v>1745</v>
      </c>
      <c r="KD6">
        <v>2022</v>
      </c>
      <c r="KE6" t="s">
        <v>2153</v>
      </c>
      <c r="KF6" s="6">
        <v>44630</v>
      </c>
      <c r="KG6">
        <v>5</v>
      </c>
      <c r="KH6">
        <v>-2.4245362661989844E-14</v>
      </c>
      <c r="KI6">
        <v>218252</v>
      </c>
      <c r="KJ6" t="s">
        <v>1803</v>
      </c>
      <c r="KO6" t="s">
        <v>2313</v>
      </c>
      <c r="KP6" t="s">
        <v>1820</v>
      </c>
      <c r="KQ6">
        <v>3.5808580000000001</v>
      </c>
      <c r="KR6">
        <v>3.236755</v>
      </c>
      <c r="KS6" t="s">
        <v>1762</v>
      </c>
      <c r="KT6">
        <v>2025</v>
      </c>
      <c r="KU6" t="s">
        <v>2314</v>
      </c>
      <c r="KV6" s="6">
        <v>45947</v>
      </c>
      <c r="KW6">
        <v>5</v>
      </c>
      <c r="KX6">
        <v>275188928</v>
      </c>
      <c r="KY6">
        <v>100010</v>
      </c>
      <c r="KZ6" t="s">
        <v>2315</v>
      </c>
      <c r="LC6" t="s">
        <v>1885</v>
      </c>
      <c r="LD6">
        <v>1.3419890000000001</v>
      </c>
      <c r="LE6" t="s">
        <v>1786</v>
      </c>
      <c r="LF6">
        <v>0.27725100000000003</v>
      </c>
      <c r="LG6" t="s">
        <v>1845</v>
      </c>
      <c r="LH6">
        <v>2025</v>
      </c>
      <c r="LI6" t="s">
        <v>1883</v>
      </c>
      <c r="LJ6" s="6">
        <v>45848</v>
      </c>
      <c r="LK6">
        <v>5</v>
      </c>
      <c r="LL6">
        <v>213416512</v>
      </c>
      <c r="LM6">
        <v>216952</v>
      </c>
      <c r="LN6" t="s">
        <v>1886</v>
      </c>
      <c r="OA6" t="s">
        <v>1379</v>
      </c>
      <c r="OB6" t="s">
        <v>1820</v>
      </c>
      <c r="OC6">
        <v>6.8882709999999996</v>
      </c>
      <c r="OD6">
        <v>4.017131</v>
      </c>
      <c r="OE6" t="s">
        <v>1762</v>
      </c>
      <c r="OF6">
        <v>2025</v>
      </c>
      <c r="OG6" t="s">
        <v>2867</v>
      </c>
      <c r="OH6" s="6">
        <v>45929</v>
      </c>
      <c r="OI6">
        <v>5</v>
      </c>
      <c r="OJ6">
        <v>26392548</v>
      </c>
      <c r="OK6">
        <v>13070762</v>
      </c>
      <c r="OL6" t="s">
        <v>2868</v>
      </c>
      <c r="OO6" t="s">
        <v>3534</v>
      </c>
      <c r="OP6">
        <v>-2.4245362661989844E-14</v>
      </c>
      <c r="OR6">
        <v>-2.4245362661989844E-14</v>
      </c>
      <c r="OS6" t="s">
        <v>1745</v>
      </c>
      <c r="OT6">
        <v>2023</v>
      </c>
      <c r="OU6" t="s">
        <v>5329</v>
      </c>
      <c r="OV6" s="6">
        <v>45343</v>
      </c>
      <c r="OW6">
        <v>3</v>
      </c>
      <c r="OX6">
        <v>-2.4245362661989844E-14</v>
      </c>
      <c r="OY6">
        <v>9268711</v>
      </c>
      <c r="OZ6" t="s">
        <v>3536</v>
      </c>
      <c r="RM6" t="s">
        <v>2713</v>
      </c>
      <c r="RN6" t="s">
        <v>1786</v>
      </c>
      <c r="RO6">
        <v>6</v>
      </c>
      <c r="RP6">
        <v>0.27959600000000001</v>
      </c>
      <c r="RQ6" t="s">
        <v>1745</v>
      </c>
      <c r="RR6">
        <v>2024</v>
      </c>
      <c r="RS6" t="s">
        <v>2714</v>
      </c>
      <c r="RT6" s="6">
        <v>45740</v>
      </c>
      <c r="RU6">
        <v>5</v>
      </c>
      <c r="RV6">
        <v>650760</v>
      </c>
      <c r="RW6">
        <v>194466</v>
      </c>
      <c r="RX6" t="s">
        <v>2715</v>
      </c>
      <c r="SA6" t="s">
        <v>2449</v>
      </c>
      <c r="SB6">
        <v>-2.4245362661989844E-14</v>
      </c>
      <c r="SD6">
        <v>-2.4245362661989844E-14</v>
      </c>
      <c r="SE6" t="s">
        <v>1745</v>
      </c>
      <c r="SF6">
        <v>2024</v>
      </c>
      <c r="SG6" t="s">
        <v>2450</v>
      </c>
      <c r="SH6" s="6">
        <v>45776</v>
      </c>
      <c r="SI6">
        <v>5</v>
      </c>
      <c r="SJ6">
        <v>-2.4245362661989844E-14</v>
      </c>
      <c r="SK6">
        <v>8540383</v>
      </c>
      <c r="SL6" t="s">
        <v>2451</v>
      </c>
      <c r="SQ6" t="s">
        <v>6129</v>
      </c>
      <c r="SS6">
        <v>-2.4245362661989844E-14</v>
      </c>
      <c r="ST6">
        <v>-2.4245362661989844E-14</v>
      </c>
      <c r="SU6" t="s">
        <v>1745</v>
      </c>
      <c r="SV6">
        <v>2022</v>
      </c>
      <c r="SW6" t="s">
        <v>6130</v>
      </c>
      <c r="SX6" s="6">
        <v>44665</v>
      </c>
      <c r="SY6">
        <v>2</v>
      </c>
      <c r="SZ6">
        <v>-2.4245362661989844E-14</v>
      </c>
      <c r="TA6">
        <v>62709880</v>
      </c>
      <c r="TB6" t="s">
        <v>6131</v>
      </c>
    </row>
    <row r="7" spans="1:600" x14ac:dyDescent="0.25">
      <c r="BI7" t="s">
        <v>2972</v>
      </c>
      <c r="BK7">
        <v>-2.4245362661989844E-14</v>
      </c>
      <c r="BL7">
        <v>-2.4245362661989844E-14</v>
      </c>
      <c r="BM7" t="s">
        <v>1745</v>
      </c>
      <c r="BN7">
        <v>2025</v>
      </c>
      <c r="BO7" t="s">
        <v>2973</v>
      </c>
      <c r="BP7" s="6">
        <v>46066</v>
      </c>
      <c r="BQ7">
        <v>5</v>
      </c>
      <c r="BR7">
        <v>-2.4245362661989844E-14</v>
      </c>
      <c r="BS7">
        <v>126273</v>
      </c>
      <c r="BT7" t="s">
        <v>2974</v>
      </c>
      <c r="CM7" t="s">
        <v>2247</v>
      </c>
      <c r="CN7" t="s">
        <v>1786</v>
      </c>
      <c r="CO7">
        <v>6.8536460000000003</v>
      </c>
      <c r="CP7">
        <v>9.6768190000000001</v>
      </c>
      <c r="CQ7" t="s">
        <v>1809</v>
      </c>
      <c r="CR7">
        <v>2025</v>
      </c>
      <c r="CS7" t="s">
        <v>2248</v>
      </c>
      <c r="CT7" s="6">
        <v>45812</v>
      </c>
      <c r="CU7">
        <v>5</v>
      </c>
      <c r="CV7">
        <v>1011895282.72</v>
      </c>
      <c r="CW7">
        <v>330541</v>
      </c>
      <c r="CX7" t="s">
        <v>2249</v>
      </c>
      <c r="DA7" t="s">
        <v>1867</v>
      </c>
      <c r="DB7">
        <v>1.3641749999999999</v>
      </c>
      <c r="DC7" t="s">
        <v>1786</v>
      </c>
      <c r="DD7">
        <v>0.69426200000000005</v>
      </c>
      <c r="DE7" t="s">
        <v>1809</v>
      </c>
      <c r="DF7">
        <v>2025</v>
      </c>
      <c r="DG7" t="s">
        <v>1868</v>
      </c>
      <c r="DH7" s="6">
        <v>45797</v>
      </c>
      <c r="DI7">
        <v>5</v>
      </c>
      <c r="DJ7">
        <v>183924678.06999999</v>
      </c>
      <c r="DK7">
        <v>223340</v>
      </c>
      <c r="DL7" t="s">
        <v>1869</v>
      </c>
      <c r="EU7" t="s">
        <v>5175</v>
      </c>
      <c r="EW7">
        <v>-2.4245362661989844E-14</v>
      </c>
      <c r="EX7">
        <v>-2.4245362661989844E-14</v>
      </c>
      <c r="EY7" t="s">
        <v>1745</v>
      </c>
      <c r="EZ7">
        <v>2022</v>
      </c>
      <c r="FA7" t="s">
        <v>5171</v>
      </c>
      <c r="FB7" s="6">
        <v>44980</v>
      </c>
      <c r="FC7">
        <v>5</v>
      </c>
      <c r="FD7">
        <v>-2.4245362661989844E-14</v>
      </c>
      <c r="FE7">
        <v>239643</v>
      </c>
      <c r="FF7" t="s">
        <v>5176</v>
      </c>
      <c r="FY7" t="s">
        <v>2877</v>
      </c>
      <c r="FZ7" t="s">
        <v>1786</v>
      </c>
      <c r="GA7">
        <v>13.694044</v>
      </c>
      <c r="GB7">
        <v>1.0251479999999999</v>
      </c>
      <c r="GC7" t="s">
        <v>1745</v>
      </c>
      <c r="GD7">
        <v>2024</v>
      </c>
      <c r="GE7" t="s">
        <v>2878</v>
      </c>
      <c r="GF7" s="6">
        <v>45735</v>
      </c>
      <c r="GG7">
        <v>5</v>
      </c>
      <c r="GH7">
        <v>21575000</v>
      </c>
      <c r="GI7">
        <v>10664510</v>
      </c>
      <c r="GJ7" t="s">
        <v>2879</v>
      </c>
      <c r="GM7" t="s">
        <v>236</v>
      </c>
      <c r="GN7">
        <v>19.020800000000001</v>
      </c>
      <c r="GO7" t="s">
        <v>1786</v>
      </c>
      <c r="GP7">
        <v>5.4268320000000001</v>
      </c>
      <c r="GQ7" t="s">
        <v>1742</v>
      </c>
      <c r="GR7">
        <v>2025</v>
      </c>
      <c r="GS7" t="s">
        <v>3253</v>
      </c>
      <c r="GT7" s="6">
        <v>46041</v>
      </c>
      <c r="GU7">
        <v>5</v>
      </c>
      <c r="GV7">
        <v>3347812864</v>
      </c>
      <c r="GW7">
        <v>102782</v>
      </c>
      <c r="GX7" t="s">
        <v>2149</v>
      </c>
      <c r="HC7" t="s">
        <v>1276</v>
      </c>
      <c r="HD7" t="s">
        <v>1786</v>
      </c>
      <c r="HE7">
        <v>0.14935000000000001</v>
      </c>
      <c r="HF7">
        <v>5.7569000000000002E-2</v>
      </c>
      <c r="HG7" t="s">
        <v>1742</v>
      </c>
      <c r="HH7">
        <v>2025</v>
      </c>
      <c r="HI7" t="s">
        <v>3655</v>
      </c>
      <c r="HJ7" s="6">
        <v>46009</v>
      </c>
      <c r="HK7">
        <v>5</v>
      </c>
      <c r="HL7">
        <v>1096822</v>
      </c>
      <c r="HM7">
        <v>101601</v>
      </c>
      <c r="HN7" t="s">
        <v>6259</v>
      </c>
      <c r="HQ7" t="s">
        <v>2073</v>
      </c>
      <c r="HR7">
        <v>7.3442259999999999</v>
      </c>
      <c r="HS7" t="s">
        <v>1786</v>
      </c>
      <c r="HT7">
        <v>0.93168399999999996</v>
      </c>
      <c r="HU7" t="s">
        <v>1762</v>
      </c>
      <c r="HV7">
        <v>2025</v>
      </c>
      <c r="HW7" t="s">
        <v>2172</v>
      </c>
      <c r="HX7" s="6">
        <v>45791</v>
      </c>
      <c r="HY7">
        <v>5</v>
      </c>
      <c r="HZ7">
        <v>145715312</v>
      </c>
      <c r="IA7">
        <v>156923</v>
      </c>
      <c r="IB7" t="s">
        <v>2074</v>
      </c>
      <c r="IG7" t="s">
        <v>2290</v>
      </c>
      <c r="IH7" t="s">
        <v>1786</v>
      </c>
      <c r="II7">
        <v>1.885923</v>
      </c>
      <c r="IJ7">
        <v>0.25189800000000001</v>
      </c>
      <c r="IK7" t="s">
        <v>1742</v>
      </c>
      <c r="IL7">
        <v>2025</v>
      </c>
      <c r="IM7" t="s">
        <v>2291</v>
      </c>
      <c r="IN7" s="6">
        <v>46010</v>
      </c>
      <c r="IO7">
        <v>5</v>
      </c>
      <c r="IP7">
        <v>6788644</v>
      </c>
      <c r="IQ7">
        <v>12189467</v>
      </c>
      <c r="IR7" t="s">
        <v>2292</v>
      </c>
      <c r="IU7" t="s">
        <v>2050</v>
      </c>
      <c r="IV7">
        <v>-2.4245362661989844E-14</v>
      </c>
      <c r="IX7">
        <v>-2.4245362661989844E-14</v>
      </c>
      <c r="IY7" t="s">
        <v>1745</v>
      </c>
      <c r="IZ7">
        <v>2023</v>
      </c>
      <c r="JA7" t="s">
        <v>2048</v>
      </c>
      <c r="JB7" s="6">
        <v>45061</v>
      </c>
      <c r="JC7">
        <v>5</v>
      </c>
      <c r="JD7">
        <v>-2.4245362661989844E-14</v>
      </c>
      <c r="JE7">
        <v>35869103</v>
      </c>
      <c r="JF7" t="s">
        <v>2051</v>
      </c>
      <c r="JK7" t="s">
        <v>5938</v>
      </c>
      <c r="JM7">
        <v>-2.4245362661989844E-14</v>
      </c>
      <c r="JN7">
        <v>-2.4245362661989844E-14</v>
      </c>
      <c r="JO7" t="s">
        <v>1742</v>
      </c>
      <c r="JP7">
        <v>2023</v>
      </c>
      <c r="JQ7" t="s">
        <v>2154</v>
      </c>
      <c r="JR7" s="6">
        <v>45144</v>
      </c>
      <c r="JS7">
        <v>5</v>
      </c>
      <c r="JT7">
        <v>-2.4245362661989844E-14</v>
      </c>
      <c r="JU7">
        <v>7421868</v>
      </c>
      <c r="JV7" t="s">
        <v>5939</v>
      </c>
      <c r="JY7" t="s">
        <v>1885</v>
      </c>
      <c r="JZ7">
        <v>-2.4245362661989844E-14</v>
      </c>
      <c r="KB7">
        <v>-2.4245362661989844E-14</v>
      </c>
      <c r="KC7" t="s">
        <v>1742</v>
      </c>
      <c r="KD7">
        <v>2023</v>
      </c>
      <c r="KE7" t="s">
        <v>2154</v>
      </c>
      <c r="KF7" s="6">
        <v>45144</v>
      </c>
      <c r="KG7">
        <v>5</v>
      </c>
      <c r="KH7">
        <v>-2.4245362661989844E-14</v>
      </c>
      <c r="KI7">
        <v>216952</v>
      </c>
      <c r="KJ7" t="s">
        <v>1886</v>
      </c>
      <c r="KO7" t="s">
        <v>2076</v>
      </c>
      <c r="KP7" t="s">
        <v>1820</v>
      </c>
      <c r="KQ7">
        <v>0.91127400000000003</v>
      </c>
      <c r="KR7">
        <v>1.364298</v>
      </c>
      <c r="KS7" t="s">
        <v>1845</v>
      </c>
      <c r="KT7">
        <v>2025</v>
      </c>
      <c r="KU7" t="s">
        <v>2316</v>
      </c>
      <c r="KV7" s="6">
        <v>46010</v>
      </c>
      <c r="KW7">
        <v>5</v>
      </c>
      <c r="KX7">
        <v>164166016</v>
      </c>
      <c r="KY7">
        <v>59907412</v>
      </c>
      <c r="KZ7" t="s">
        <v>2077</v>
      </c>
      <c r="LC7" t="s">
        <v>357</v>
      </c>
      <c r="LD7">
        <v>1.0301469999999999</v>
      </c>
      <c r="LE7" t="s">
        <v>1786</v>
      </c>
      <c r="LF7">
        <v>1.0221020000000001</v>
      </c>
      <c r="LG7" t="s">
        <v>1845</v>
      </c>
      <c r="LH7">
        <v>2025</v>
      </c>
      <c r="LI7" t="s">
        <v>1887</v>
      </c>
      <c r="LJ7" s="6">
        <v>46056</v>
      </c>
      <c r="LK7">
        <v>5</v>
      </c>
      <c r="LL7">
        <v>165420976</v>
      </c>
      <c r="LM7">
        <v>1499717</v>
      </c>
      <c r="LN7" t="s">
        <v>1864</v>
      </c>
      <c r="OA7" t="s">
        <v>1985</v>
      </c>
      <c r="OB7" t="s">
        <v>1786</v>
      </c>
      <c r="OC7">
        <v>0.46423900000000001</v>
      </c>
      <c r="OD7">
        <v>0.187949</v>
      </c>
      <c r="OE7" t="s">
        <v>1742</v>
      </c>
      <c r="OF7">
        <v>2025</v>
      </c>
      <c r="OG7" t="s">
        <v>2490</v>
      </c>
      <c r="OH7" s="6">
        <v>46027</v>
      </c>
      <c r="OI7">
        <v>5</v>
      </c>
      <c r="OJ7">
        <v>2943275</v>
      </c>
      <c r="OK7">
        <v>36965288</v>
      </c>
      <c r="OL7" t="s">
        <v>1987</v>
      </c>
      <c r="OO7" t="s">
        <v>769</v>
      </c>
      <c r="OP7">
        <v>-2.4245362661989844E-14</v>
      </c>
      <c r="OR7">
        <v>-2.4245362661989844E-14</v>
      </c>
      <c r="OS7" t="s">
        <v>1745</v>
      </c>
      <c r="OT7">
        <v>2023</v>
      </c>
      <c r="OU7" t="s">
        <v>5329</v>
      </c>
      <c r="OV7" s="6">
        <v>45343</v>
      </c>
      <c r="OW7">
        <v>3</v>
      </c>
      <c r="OX7">
        <v>-2.4245362661989844E-14</v>
      </c>
      <c r="OY7">
        <v>225906</v>
      </c>
      <c r="OZ7" t="s">
        <v>5372</v>
      </c>
      <c r="RM7" t="s">
        <v>2716</v>
      </c>
      <c r="RO7">
        <v>-2.4245362661989844E-14</v>
      </c>
      <c r="RP7">
        <v>-2.4245362661989844E-14</v>
      </c>
      <c r="RQ7" t="s">
        <v>1745</v>
      </c>
      <c r="RR7">
        <v>2024</v>
      </c>
      <c r="RS7" t="s">
        <v>2717</v>
      </c>
      <c r="RT7" s="6">
        <v>45765</v>
      </c>
      <c r="RU7">
        <v>5</v>
      </c>
      <c r="RV7">
        <v>-2.4245362661989844E-14</v>
      </c>
      <c r="RW7">
        <v>29636955</v>
      </c>
      <c r="RX7" t="s">
        <v>2718</v>
      </c>
      <c r="SA7" t="s">
        <v>2452</v>
      </c>
      <c r="SB7">
        <v>-2.4245362661989844E-14</v>
      </c>
      <c r="SD7">
        <v>-2.4245362661989844E-14</v>
      </c>
      <c r="SE7" t="s">
        <v>1745</v>
      </c>
      <c r="SF7">
        <v>2024</v>
      </c>
      <c r="SG7" t="s">
        <v>2453</v>
      </c>
      <c r="SH7" s="6">
        <v>45760</v>
      </c>
      <c r="SI7">
        <v>5</v>
      </c>
      <c r="SJ7">
        <v>-2.4245362661989844E-14</v>
      </c>
      <c r="SK7">
        <v>7855260</v>
      </c>
      <c r="SL7" t="s">
        <v>2454</v>
      </c>
    </row>
    <row r="8" spans="1:600" x14ac:dyDescent="0.25">
      <c r="BI8" t="s">
        <v>739</v>
      </c>
      <c r="BK8">
        <v>-2.4245362661989844E-14</v>
      </c>
      <c r="BL8">
        <v>-2.4245362661989844E-14</v>
      </c>
      <c r="BM8" t="s">
        <v>1745</v>
      </c>
      <c r="BN8">
        <v>2023</v>
      </c>
      <c r="BO8" t="s">
        <v>4495</v>
      </c>
      <c r="BP8" s="6">
        <v>45335</v>
      </c>
      <c r="BQ8">
        <v>5</v>
      </c>
      <c r="BR8">
        <v>-2.4245362661989844E-14</v>
      </c>
      <c r="BS8">
        <v>116906</v>
      </c>
      <c r="BT8" t="s">
        <v>4496</v>
      </c>
      <c r="CM8" t="s">
        <v>2250</v>
      </c>
      <c r="CN8" t="s">
        <v>1786</v>
      </c>
      <c r="CO8">
        <v>4.2738360000000002</v>
      </c>
      <c r="CP8">
        <v>6.6693020000000001</v>
      </c>
      <c r="CQ8" t="s">
        <v>1742</v>
      </c>
      <c r="CR8">
        <v>2025</v>
      </c>
      <c r="CS8" t="s">
        <v>2251</v>
      </c>
      <c r="CT8" s="6">
        <v>46087</v>
      </c>
      <c r="CU8">
        <v>5</v>
      </c>
      <c r="CV8">
        <v>811049598.16999996</v>
      </c>
      <c r="CW8">
        <v>7975354</v>
      </c>
      <c r="CX8" t="s">
        <v>2252</v>
      </c>
      <c r="DA8" t="s">
        <v>1870</v>
      </c>
      <c r="DB8">
        <v>0.59423499999999996</v>
      </c>
      <c r="DC8" t="s">
        <v>1786</v>
      </c>
      <c r="DD8">
        <v>1.9269499999999999</v>
      </c>
      <c r="DE8" t="s">
        <v>1809</v>
      </c>
      <c r="DF8">
        <v>2025</v>
      </c>
      <c r="DG8" t="s">
        <v>1871</v>
      </c>
      <c r="DH8" s="6">
        <v>45820</v>
      </c>
      <c r="DI8">
        <v>5</v>
      </c>
      <c r="DJ8">
        <v>78557896</v>
      </c>
      <c r="DK8">
        <v>12129192</v>
      </c>
      <c r="DL8" t="s">
        <v>1872</v>
      </c>
      <c r="EU8" t="s">
        <v>5177</v>
      </c>
      <c r="EW8">
        <v>-2.4245362661989844E-14</v>
      </c>
      <c r="EX8">
        <v>-2.4245362661989844E-14</v>
      </c>
      <c r="EY8" t="s">
        <v>1745</v>
      </c>
      <c r="EZ8">
        <v>2024</v>
      </c>
      <c r="FA8" t="s">
        <v>5178</v>
      </c>
      <c r="FB8" s="6">
        <v>45643</v>
      </c>
      <c r="FC8">
        <v>5</v>
      </c>
      <c r="FD8">
        <v>-2.4245362661989844E-14</v>
      </c>
      <c r="FE8">
        <v>305698</v>
      </c>
      <c r="FF8" t="s">
        <v>5179</v>
      </c>
      <c r="FY8" t="s">
        <v>306</v>
      </c>
      <c r="FZ8" t="s">
        <v>2416</v>
      </c>
      <c r="GA8">
        <v>2.0662310000000002</v>
      </c>
      <c r="GB8">
        <v>0.63925799999999999</v>
      </c>
      <c r="GC8" t="s">
        <v>1762</v>
      </c>
      <c r="GD8">
        <v>2025</v>
      </c>
      <c r="GE8" t="s">
        <v>2880</v>
      </c>
      <c r="GF8" s="6">
        <v>45921</v>
      </c>
      <c r="GG8">
        <v>5</v>
      </c>
      <c r="GH8">
        <v>21326292</v>
      </c>
      <c r="GI8">
        <v>963610</v>
      </c>
      <c r="GJ8" t="s">
        <v>2881</v>
      </c>
      <c r="GM8" t="s">
        <v>3746</v>
      </c>
      <c r="GN8">
        <v>5.4489999999999998</v>
      </c>
      <c r="GP8">
        <v>-2.4245362661989844E-14</v>
      </c>
      <c r="GQ8" t="s">
        <v>1742</v>
      </c>
      <c r="GR8">
        <v>2025</v>
      </c>
      <c r="GS8" t="s">
        <v>3253</v>
      </c>
      <c r="GT8" s="6">
        <v>46041</v>
      </c>
      <c r="GU8">
        <v>5</v>
      </c>
      <c r="GV8">
        <v>959067584</v>
      </c>
      <c r="GW8">
        <v>199844</v>
      </c>
      <c r="GX8" t="s">
        <v>3747</v>
      </c>
      <c r="HC8" t="s">
        <v>1076</v>
      </c>
      <c r="HD8" t="s">
        <v>1786</v>
      </c>
      <c r="HE8">
        <v>0.10244399999999999</v>
      </c>
      <c r="HF8">
        <v>1.5996E-2</v>
      </c>
      <c r="HG8" t="s">
        <v>1845</v>
      </c>
      <c r="HH8">
        <v>2025</v>
      </c>
      <c r="HI8" t="s">
        <v>6194</v>
      </c>
      <c r="HJ8" s="6">
        <v>45894</v>
      </c>
      <c r="HK8">
        <v>5</v>
      </c>
      <c r="HL8">
        <v>297600</v>
      </c>
      <c r="HM8">
        <v>126302</v>
      </c>
      <c r="HN8" t="s">
        <v>6260</v>
      </c>
      <c r="HQ8" t="s">
        <v>420</v>
      </c>
      <c r="HR8">
        <v>5.7157530000000003</v>
      </c>
      <c r="HS8" t="s">
        <v>1786</v>
      </c>
      <c r="HT8">
        <v>2.0400269999999998</v>
      </c>
      <c r="HU8" t="s">
        <v>1762</v>
      </c>
      <c r="HV8">
        <v>2025</v>
      </c>
      <c r="HW8" t="s">
        <v>2172</v>
      </c>
      <c r="HX8" s="6">
        <v>45791</v>
      </c>
      <c r="HY8">
        <v>5</v>
      </c>
      <c r="HZ8">
        <v>113405112</v>
      </c>
      <c r="IA8">
        <v>42602315</v>
      </c>
      <c r="IB8" t="s">
        <v>2176</v>
      </c>
      <c r="IG8" t="s">
        <v>4486</v>
      </c>
      <c r="IH8" t="s">
        <v>1786</v>
      </c>
      <c r="II8">
        <v>0.14258699999999999</v>
      </c>
      <c r="IJ8">
        <v>0.19661200000000001</v>
      </c>
      <c r="IK8" t="s">
        <v>1845</v>
      </c>
      <c r="IL8">
        <v>2025</v>
      </c>
      <c r="IM8" t="s">
        <v>4487</v>
      </c>
      <c r="IN8" s="6">
        <v>46071</v>
      </c>
      <c r="IO8">
        <v>5</v>
      </c>
      <c r="IP8">
        <v>5611298</v>
      </c>
      <c r="IQ8">
        <v>100499</v>
      </c>
      <c r="IR8" t="s">
        <v>4488</v>
      </c>
      <c r="IU8" t="s">
        <v>2052</v>
      </c>
      <c r="IV8">
        <v>-2.4245362661989844E-14</v>
      </c>
      <c r="IX8">
        <v>-2.4245362661989844E-14</v>
      </c>
      <c r="IY8" t="s">
        <v>1798</v>
      </c>
      <c r="IZ8">
        <v>2025</v>
      </c>
      <c r="JA8" t="s">
        <v>2053</v>
      </c>
      <c r="JB8" s="6">
        <v>45975</v>
      </c>
      <c r="JC8">
        <v>5</v>
      </c>
      <c r="JD8">
        <v>-2.4245362661989844E-14</v>
      </c>
      <c r="JE8">
        <v>33634105</v>
      </c>
      <c r="JF8" t="s">
        <v>2054</v>
      </c>
      <c r="JK8" t="s">
        <v>1772</v>
      </c>
      <c r="JM8">
        <v>-2.4245362661989844E-14</v>
      </c>
      <c r="JN8">
        <v>-2.4245362661989844E-14</v>
      </c>
      <c r="JO8" t="s">
        <v>1742</v>
      </c>
      <c r="JP8">
        <v>2023</v>
      </c>
      <c r="JQ8" t="s">
        <v>2154</v>
      </c>
      <c r="JR8" s="6">
        <v>45144</v>
      </c>
      <c r="JS8">
        <v>5</v>
      </c>
      <c r="JT8">
        <v>-2.4245362661989844E-14</v>
      </c>
      <c r="JU8">
        <v>69491275</v>
      </c>
      <c r="JV8" t="s">
        <v>1773</v>
      </c>
      <c r="JY8" t="s">
        <v>1281</v>
      </c>
      <c r="JZ8">
        <v>-2.4245362661989844E-14</v>
      </c>
      <c r="KB8">
        <v>-2.4245362661989844E-14</v>
      </c>
      <c r="KC8" t="s">
        <v>1742</v>
      </c>
      <c r="KD8">
        <v>2023</v>
      </c>
      <c r="KE8" t="s">
        <v>2154</v>
      </c>
      <c r="KF8" s="6">
        <v>45144</v>
      </c>
      <c r="KG8">
        <v>5</v>
      </c>
      <c r="KH8">
        <v>-2.4245362661989844E-14</v>
      </c>
      <c r="KI8">
        <v>102354</v>
      </c>
      <c r="KJ8" t="s">
        <v>2155</v>
      </c>
      <c r="KO8" t="s">
        <v>2317</v>
      </c>
      <c r="KP8" t="s">
        <v>1820</v>
      </c>
      <c r="KQ8">
        <v>6.234559</v>
      </c>
      <c r="KR8">
        <v>1.5138720000000001</v>
      </c>
      <c r="KS8" t="s">
        <v>1762</v>
      </c>
      <c r="KT8">
        <v>2025</v>
      </c>
      <c r="KU8" t="s">
        <v>2318</v>
      </c>
      <c r="KV8" s="6">
        <v>45897</v>
      </c>
      <c r="KW8">
        <v>5</v>
      </c>
      <c r="KX8">
        <v>137459552</v>
      </c>
      <c r="KY8">
        <v>16532368</v>
      </c>
      <c r="KZ8" t="s">
        <v>2319</v>
      </c>
      <c r="LC8" t="s">
        <v>496</v>
      </c>
      <c r="LD8">
        <v>0.69902799999999998</v>
      </c>
      <c r="LE8" t="s">
        <v>1786</v>
      </c>
      <c r="LF8">
        <v>0.138625</v>
      </c>
      <c r="LG8" t="s">
        <v>1845</v>
      </c>
      <c r="LH8">
        <v>2025</v>
      </c>
      <c r="LI8" t="s">
        <v>1883</v>
      </c>
      <c r="LJ8" s="6">
        <v>45848</v>
      </c>
      <c r="LK8">
        <v>5</v>
      </c>
      <c r="LL8">
        <v>111166424</v>
      </c>
      <c r="LM8">
        <v>100976</v>
      </c>
      <c r="LN8" t="s">
        <v>1888</v>
      </c>
      <c r="OA8" t="s">
        <v>5328</v>
      </c>
      <c r="OC8">
        <v>-2.4245362661989844E-14</v>
      </c>
      <c r="OD8">
        <v>-2.4245362661989844E-14</v>
      </c>
      <c r="OE8" t="s">
        <v>1745</v>
      </c>
      <c r="OF8">
        <v>2023</v>
      </c>
      <c r="OG8" t="s">
        <v>5329</v>
      </c>
      <c r="OH8" s="6">
        <v>45343</v>
      </c>
      <c r="OI8">
        <v>5</v>
      </c>
      <c r="OJ8">
        <v>-2.4245362661989844E-14</v>
      </c>
      <c r="OK8">
        <v>50563862</v>
      </c>
      <c r="OL8" t="s">
        <v>5330</v>
      </c>
      <c r="RM8" t="s">
        <v>1287</v>
      </c>
      <c r="RO8">
        <v>-2.4245362661989844E-14</v>
      </c>
      <c r="RP8">
        <v>-2.4245362661989844E-14</v>
      </c>
      <c r="RQ8" t="s">
        <v>1745</v>
      </c>
      <c r="RR8">
        <v>2023</v>
      </c>
      <c r="RS8" t="s">
        <v>2719</v>
      </c>
      <c r="RT8" s="6">
        <v>45350</v>
      </c>
      <c r="RU8">
        <v>5</v>
      </c>
      <c r="RV8">
        <v>-2.4245362661989844E-14</v>
      </c>
      <c r="RW8">
        <v>101376</v>
      </c>
      <c r="RX8" t="s">
        <v>1895</v>
      </c>
      <c r="SA8" t="s">
        <v>2455</v>
      </c>
      <c r="SB8">
        <v>-2.4245362661989844E-14</v>
      </c>
      <c r="SD8">
        <v>-2.4245362661989844E-14</v>
      </c>
      <c r="SE8" t="s">
        <v>1745</v>
      </c>
      <c r="SF8">
        <v>2024</v>
      </c>
      <c r="SG8" t="s">
        <v>2456</v>
      </c>
      <c r="SH8" s="6">
        <v>45786</v>
      </c>
      <c r="SI8">
        <v>5</v>
      </c>
      <c r="SJ8">
        <v>-2.4245362661989844E-14</v>
      </c>
      <c r="SK8">
        <v>7321067</v>
      </c>
      <c r="SL8" t="s">
        <v>2457</v>
      </c>
    </row>
    <row r="9" spans="1:600" x14ac:dyDescent="0.25">
      <c r="BI9" t="s">
        <v>4497</v>
      </c>
      <c r="BK9">
        <v>-2.4245362661989844E-14</v>
      </c>
      <c r="BL9">
        <v>-2.4245362661989844E-14</v>
      </c>
      <c r="BM9" t="s">
        <v>1745</v>
      </c>
      <c r="BN9">
        <v>2023</v>
      </c>
      <c r="BO9" t="s">
        <v>4498</v>
      </c>
      <c r="BP9" s="6">
        <v>45035</v>
      </c>
      <c r="BQ9">
        <v>5</v>
      </c>
      <c r="BR9">
        <v>-2.4245362661989844E-14</v>
      </c>
      <c r="BS9">
        <v>34426116</v>
      </c>
      <c r="BT9" t="s">
        <v>4499</v>
      </c>
      <c r="CM9" t="s">
        <v>2253</v>
      </c>
      <c r="CN9" t="s">
        <v>1786</v>
      </c>
      <c r="CO9">
        <v>10.5</v>
      </c>
      <c r="CP9">
        <v>7.349405</v>
      </c>
      <c r="CQ9" t="s">
        <v>1745</v>
      </c>
      <c r="CR9">
        <v>2024</v>
      </c>
      <c r="CS9" t="s">
        <v>2254</v>
      </c>
      <c r="CT9" s="6">
        <v>45744</v>
      </c>
      <c r="CU9">
        <v>5</v>
      </c>
      <c r="CV9">
        <v>778954139.5</v>
      </c>
      <c r="CW9">
        <v>113389</v>
      </c>
      <c r="CX9" t="s">
        <v>2255</v>
      </c>
      <c r="DA9" t="s">
        <v>1873</v>
      </c>
      <c r="DB9">
        <v>0.56558799999999998</v>
      </c>
      <c r="DC9" t="s">
        <v>1786</v>
      </c>
      <c r="DD9">
        <v>3.5370110000000001</v>
      </c>
      <c r="DE9" t="s">
        <v>1762</v>
      </c>
      <c r="DF9">
        <v>2025</v>
      </c>
      <c r="DG9" t="s">
        <v>1874</v>
      </c>
      <c r="DH9" s="6">
        <v>46008</v>
      </c>
      <c r="DI9">
        <v>5</v>
      </c>
      <c r="DJ9">
        <v>82257509.170000002</v>
      </c>
      <c r="DK9">
        <v>349049</v>
      </c>
      <c r="DL9" t="s">
        <v>1875</v>
      </c>
      <c r="EU9" t="s">
        <v>246</v>
      </c>
      <c r="EW9">
        <v>-2.4245362661989844E-14</v>
      </c>
      <c r="EX9">
        <v>-2.4245362661989844E-14</v>
      </c>
      <c r="EY9" t="s">
        <v>1745</v>
      </c>
      <c r="EZ9">
        <v>2024</v>
      </c>
      <c r="FA9" t="s">
        <v>5173</v>
      </c>
      <c r="FB9" s="6">
        <v>45715</v>
      </c>
      <c r="FC9">
        <v>5</v>
      </c>
      <c r="FD9">
        <v>-2.4245362661989844E-14</v>
      </c>
      <c r="FE9">
        <v>46946968</v>
      </c>
      <c r="FF9" t="s">
        <v>1765</v>
      </c>
      <c r="FY9" t="s">
        <v>2882</v>
      </c>
      <c r="FZ9" t="s">
        <v>1769</v>
      </c>
      <c r="GA9">
        <v>2.8060939999999999</v>
      </c>
      <c r="GB9">
        <v>0.76549599999999995</v>
      </c>
      <c r="GC9" t="s">
        <v>1745</v>
      </c>
      <c r="GD9">
        <v>2025</v>
      </c>
      <c r="GE9" t="s">
        <v>2883</v>
      </c>
      <c r="GF9" s="6">
        <v>46048</v>
      </c>
      <c r="GG9">
        <v>5</v>
      </c>
      <c r="GH9">
        <v>21232000</v>
      </c>
      <c r="GI9">
        <v>216867</v>
      </c>
      <c r="GJ9" t="s">
        <v>2884</v>
      </c>
      <c r="GM9" t="s">
        <v>3748</v>
      </c>
      <c r="GN9">
        <v>0.28446199999999999</v>
      </c>
      <c r="GO9" t="s">
        <v>1786</v>
      </c>
      <c r="GP9">
        <v>0.82704999999999995</v>
      </c>
      <c r="GQ9" t="s">
        <v>1742</v>
      </c>
      <c r="GR9">
        <v>2025</v>
      </c>
      <c r="GS9" t="s">
        <v>3253</v>
      </c>
      <c r="GT9" s="6">
        <v>46041</v>
      </c>
      <c r="GU9">
        <v>5</v>
      </c>
      <c r="GV9">
        <v>50067588</v>
      </c>
      <c r="GW9">
        <v>169936</v>
      </c>
      <c r="GX9" t="s">
        <v>3749</v>
      </c>
      <c r="HC9" t="s">
        <v>6261</v>
      </c>
      <c r="HD9" t="s">
        <v>1786</v>
      </c>
      <c r="HE9">
        <v>4.5275999999999997E-2</v>
      </c>
      <c r="HF9">
        <v>8.3560000000000006E-3</v>
      </c>
      <c r="HG9" t="s">
        <v>1845</v>
      </c>
      <c r="HH9">
        <v>2024</v>
      </c>
      <c r="HI9" t="s">
        <v>6262</v>
      </c>
      <c r="HJ9" s="6">
        <v>45727</v>
      </c>
      <c r="HK9">
        <v>5</v>
      </c>
      <c r="HL9">
        <v>153621</v>
      </c>
      <c r="HM9">
        <v>103370</v>
      </c>
      <c r="HN9" t="s">
        <v>6263</v>
      </c>
      <c r="HQ9" t="s">
        <v>234</v>
      </c>
      <c r="HR9">
        <v>4.2578709999999997</v>
      </c>
      <c r="HS9" t="s">
        <v>1786</v>
      </c>
      <c r="HT9">
        <v>0.81780799999999998</v>
      </c>
      <c r="HU9" t="s">
        <v>1762</v>
      </c>
      <c r="HV9">
        <v>2025</v>
      </c>
      <c r="HW9" t="s">
        <v>2172</v>
      </c>
      <c r="HX9" s="6">
        <v>45791</v>
      </c>
      <c r="HY9">
        <v>5</v>
      </c>
      <c r="HZ9">
        <v>84479568</v>
      </c>
      <c r="IA9">
        <v>100631</v>
      </c>
      <c r="IB9" t="s">
        <v>2177</v>
      </c>
      <c r="IG9" t="s">
        <v>2826</v>
      </c>
      <c r="IH9" t="s">
        <v>1786</v>
      </c>
      <c r="II9">
        <v>0.14130899999999999</v>
      </c>
      <c r="IJ9">
        <v>0.17785999999999999</v>
      </c>
      <c r="IK9" t="s">
        <v>1809</v>
      </c>
      <c r="IL9">
        <v>2025</v>
      </c>
      <c r="IM9" t="s">
        <v>2827</v>
      </c>
      <c r="IN9" s="6">
        <v>45849</v>
      </c>
      <c r="IO9">
        <v>5</v>
      </c>
      <c r="IP9">
        <v>4336195.59</v>
      </c>
      <c r="IQ9">
        <v>179551</v>
      </c>
      <c r="IR9" t="s">
        <v>2828</v>
      </c>
      <c r="IU9" t="s">
        <v>2055</v>
      </c>
      <c r="IV9">
        <v>-2.4245362661989844E-14</v>
      </c>
      <c r="IX9">
        <v>-2.4245362661989844E-14</v>
      </c>
      <c r="IY9" t="s">
        <v>1745</v>
      </c>
      <c r="IZ9">
        <v>2021</v>
      </c>
      <c r="JA9" t="s">
        <v>2056</v>
      </c>
      <c r="JB9" s="6">
        <v>44701</v>
      </c>
      <c r="JC9">
        <v>5</v>
      </c>
      <c r="JD9">
        <v>-2.4245362661989844E-14</v>
      </c>
      <c r="JE9">
        <v>384698</v>
      </c>
      <c r="JF9" t="s">
        <v>2057</v>
      </c>
      <c r="JK9" t="s">
        <v>86</v>
      </c>
      <c r="JM9">
        <v>-2.4245362661989844E-14</v>
      </c>
      <c r="JN9">
        <v>-2.4245362661989844E-14</v>
      </c>
      <c r="JO9" t="s">
        <v>1742</v>
      </c>
      <c r="JP9">
        <v>2023</v>
      </c>
      <c r="JQ9" t="s">
        <v>2154</v>
      </c>
      <c r="JR9" s="6">
        <v>45144</v>
      </c>
      <c r="JS9">
        <v>5</v>
      </c>
      <c r="JT9">
        <v>-2.4245362661989844E-14</v>
      </c>
      <c r="JU9">
        <v>100193</v>
      </c>
      <c r="JV9" t="s">
        <v>1849</v>
      </c>
      <c r="JY9" t="s">
        <v>2156</v>
      </c>
      <c r="JZ9">
        <v>-2.4245362661989844E-14</v>
      </c>
      <c r="KB9">
        <v>-2.4245362661989844E-14</v>
      </c>
      <c r="KC9" t="s">
        <v>1742</v>
      </c>
      <c r="KD9">
        <v>2023</v>
      </c>
      <c r="KE9" t="s">
        <v>2154</v>
      </c>
      <c r="KF9" s="6">
        <v>45144</v>
      </c>
      <c r="KG9">
        <v>5</v>
      </c>
      <c r="KH9">
        <v>-2.4245362661989844E-14</v>
      </c>
      <c r="KI9">
        <v>170003</v>
      </c>
      <c r="KJ9" t="s">
        <v>2157</v>
      </c>
      <c r="KO9" t="s">
        <v>734</v>
      </c>
      <c r="KP9" t="s">
        <v>1820</v>
      </c>
      <c r="KQ9">
        <v>3.6037650000000001</v>
      </c>
      <c r="KR9">
        <v>0.90356199999999998</v>
      </c>
      <c r="KS9" t="s">
        <v>1762</v>
      </c>
      <c r="KT9">
        <v>2026</v>
      </c>
      <c r="KU9" t="s">
        <v>2320</v>
      </c>
      <c r="KV9" s="6">
        <v>46059</v>
      </c>
      <c r="KW9">
        <v>5</v>
      </c>
      <c r="KX9">
        <v>108725592</v>
      </c>
      <c r="KY9">
        <v>101643</v>
      </c>
      <c r="KZ9" t="s">
        <v>2321</v>
      </c>
      <c r="LC9" t="s">
        <v>842</v>
      </c>
      <c r="LD9">
        <v>0.66108800000000001</v>
      </c>
      <c r="LE9" t="s">
        <v>1786</v>
      </c>
      <c r="LF9">
        <v>0.122531</v>
      </c>
      <c r="LG9" t="s">
        <v>1845</v>
      </c>
      <c r="LH9">
        <v>2025</v>
      </c>
      <c r="LI9" t="s">
        <v>1883</v>
      </c>
      <c r="LJ9" s="6">
        <v>45848</v>
      </c>
      <c r="LK9">
        <v>5</v>
      </c>
      <c r="LL9">
        <v>105132824</v>
      </c>
      <c r="LM9">
        <v>101548</v>
      </c>
      <c r="LN9" t="s">
        <v>1889</v>
      </c>
      <c r="OA9" t="s">
        <v>5331</v>
      </c>
      <c r="OC9">
        <v>-2.4245362661989844E-14</v>
      </c>
      <c r="OD9">
        <v>-2.4245362661989844E-14</v>
      </c>
      <c r="OE9" t="s">
        <v>1745</v>
      </c>
      <c r="OF9">
        <v>2026</v>
      </c>
      <c r="OG9" t="s">
        <v>5332</v>
      </c>
      <c r="OH9" s="6">
        <v>46077</v>
      </c>
      <c r="OI9">
        <v>5</v>
      </c>
      <c r="OJ9">
        <v>-2.4245362661989844E-14</v>
      </c>
      <c r="OK9">
        <v>71762443</v>
      </c>
      <c r="OL9" t="s">
        <v>5333</v>
      </c>
      <c r="RM9" t="s">
        <v>1761</v>
      </c>
      <c r="RO9">
        <v>-2.4245362661989844E-14</v>
      </c>
      <c r="RP9">
        <v>-2.4245362661989844E-14</v>
      </c>
      <c r="RQ9" t="s">
        <v>1745</v>
      </c>
      <c r="RR9">
        <v>2024</v>
      </c>
      <c r="RS9" t="s">
        <v>2720</v>
      </c>
      <c r="RT9" s="6">
        <v>45713</v>
      </c>
      <c r="RU9">
        <v>5</v>
      </c>
      <c r="RV9">
        <v>-2.4245362661989844E-14</v>
      </c>
      <c r="RW9">
        <v>101695</v>
      </c>
      <c r="RX9" t="s">
        <v>1764</v>
      </c>
      <c r="SA9" t="s">
        <v>2458</v>
      </c>
      <c r="SB9">
        <v>-2.4245362661989844E-14</v>
      </c>
      <c r="SD9">
        <v>-2.4245362661989844E-14</v>
      </c>
      <c r="SE9" t="s">
        <v>1745</v>
      </c>
      <c r="SF9">
        <v>2025</v>
      </c>
      <c r="SG9" t="s">
        <v>2459</v>
      </c>
      <c r="SH9" s="6">
        <v>46066</v>
      </c>
      <c r="SI9">
        <v>5</v>
      </c>
      <c r="SJ9">
        <v>-2.4245362661989844E-14</v>
      </c>
      <c r="SK9">
        <v>69790650</v>
      </c>
      <c r="SL9" t="s">
        <v>2460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287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288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289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290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291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292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293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294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295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296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297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298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299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300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301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302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303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304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305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306</v>
      </c>
      <c r="AE2" s="3" t="s">
        <v>35</v>
      </c>
      <c r="BI2" s="3" t="s">
        <v>307</v>
      </c>
      <c r="CM2" s="3" t="s">
        <v>308</v>
      </c>
      <c r="DQ2" s="3" t="s">
        <v>309</v>
      </c>
      <c r="EU2" s="3" t="s">
        <v>310</v>
      </c>
      <c r="FY2" s="3" t="s">
        <v>35</v>
      </c>
      <c r="HC2" s="3" t="s">
        <v>311</v>
      </c>
      <c r="IG2" s="3" t="s">
        <v>312</v>
      </c>
      <c r="JK2" s="3" t="s">
        <v>313</v>
      </c>
      <c r="KO2" s="3" t="s">
        <v>314</v>
      </c>
      <c r="LS2" s="3" t="s">
        <v>315</v>
      </c>
      <c r="MW2" s="3" t="s">
        <v>316</v>
      </c>
      <c r="OA2" s="3" t="s">
        <v>309</v>
      </c>
      <c r="PE2" s="3" t="s">
        <v>317</v>
      </c>
      <c r="QI2" s="3" t="s">
        <v>318</v>
      </c>
      <c r="RM2" s="3" t="s">
        <v>319</v>
      </c>
      <c r="SQ2" s="3" t="s">
        <v>75</v>
      </c>
      <c r="TU2" s="3" t="s">
        <v>320</v>
      </c>
      <c r="UY2" s="3" t="s">
        <v>35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_xll.BDS("CRL US Equity","SUPPLY_CHAIN_SUPPLIERS_ALL_DATA","cols=12;rows=5")</f>
        <v>ARE US Equity</v>
      </c>
      <c r="B5" t="s">
        <v>1769</v>
      </c>
      <c r="C5">
        <v>0.66765699999999994</v>
      </c>
      <c r="D5">
        <v>2.7193830000000001</v>
      </c>
      <c r="E5" t="s">
        <v>1745</v>
      </c>
      <c r="F5">
        <v>2025</v>
      </c>
      <c r="G5" t="s">
        <v>2883</v>
      </c>
      <c r="H5" s="6">
        <v>46048</v>
      </c>
      <c r="I5">
        <v>5</v>
      </c>
      <c r="J5">
        <v>5051750</v>
      </c>
      <c r="K5">
        <v>216867</v>
      </c>
      <c r="L5" t="s">
        <v>2884</v>
      </c>
      <c r="O5" t="str">
        <f>_xll.BDS("CRL US Equity","SUPPLY_CHAIN_CUSTOMERS_ALL_DATA","cols=12;rows=5")</f>
        <v>JNJ US Equity</v>
      </c>
      <c r="P5">
        <v>2.310165</v>
      </c>
      <c r="Q5" t="s">
        <v>2416</v>
      </c>
      <c r="R5">
        <v>0.67815800000000004</v>
      </c>
      <c r="S5" t="s">
        <v>1762</v>
      </c>
      <c r="T5">
        <v>2025</v>
      </c>
      <c r="U5" t="s">
        <v>2880</v>
      </c>
      <c r="V5" s="6">
        <v>45921</v>
      </c>
      <c r="W5">
        <v>5</v>
      </c>
      <c r="X5">
        <v>23844022</v>
      </c>
      <c r="Y5">
        <v>100828</v>
      </c>
      <c r="Z5" t="s">
        <v>2464</v>
      </c>
      <c r="AE5" t="str">
        <f>_xll.BDS("nan Equity","SUPPLY_CHAIN_SUPPLIERS_ALL_DATA")</f>
        <v>#N/A N/A</v>
      </c>
      <c r="AS5" t="str">
        <f>_xll.BDS("nan Equity","SUPPLY_CHAIN_CUSTOMERS_ALL_DATA")</f>
        <v>#N/A N/A</v>
      </c>
      <c r="BI5" t="str">
        <f>_xll.BDS("WFC US Equity","SUPPLY_CHAIN_SUPPLIERS_ALL_DATA","cols=12;rows=5")</f>
        <v>ADBE US Equity</v>
      </c>
      <c r="BJ5" t="s">
        <v>1769</v>
      </c>
      <c r="BK5">
        <v>0.357321</v>
      </c>
      <c r="BL5">
        <v>0.15107200000000001</v>
      </c>
      <c r="BM5" t="s">
        <v>1762</v>
      </c>
      <c r="BN5">
        <v>2025</v>
      </c>
      <c r="BO5" t="s">
        <v>2268</v>
      </c>
      <c r="BP5" s="6">
        <v>45838</v>
      </c>
      <c r="BQ5">
        <v>5</v>
      </c>
      <c r="BR5">
        <v>20985462</v>
      </c>
      <c r="BS5">
        <v>101689</v>
      </c>
      <c r="BT5" t="s">
        <v>2269</v>
      </c>
      <c r="BW5" t="str">
        <f>_xll.BDS("WFC US Equity","SUPPLY_CHAIN_CUSTOMERS_ALL_DATA","cols=12;rows=5")</f>
        <v>CDW US Equity</v>
      </c>
      <c r="BX5">
        <v>4.1894000000000001E-2</v>
      </c>
      <c r="BY5" t="s">
        <v>1786</v>
      </c>
      <c r="BZ5">
        <v>0.304456</v>
      </c>
      <c r="CA5" t="s">
        <v>1809</v>
      </c>
      <c r="CB5">
        <v>2025</v>
      </c>
      <c r="CC5" t="s">
        <v>1871</v>
      </c>
      <c r="CD5" s="6">
        <v>45820</v>
      </c>
      <c r="CE5">
        <v>5</v>
      </c>
      <c r="CF5">
        <v>12412062</v>
      </c>
      <c r="CG5">
        <v>12129192</v>
      </c>
      <c r="CH5" t="s">
        <v>1872</v>
      </c>
      <c r="CM5" t="str">
        <f>_xll.BDS("JNY US Equity","SUPPLY_CHAIN_SUPPLIERS_ALL_DATA")</f>
        <v>#N/A N/A</v>
      </c>
      <c r="DA5" t="str">
        <f>_xll.BDS("JNY US Equity","SUPPLY_CHAIN_CUSTOMERS_ALL_DATA","cols=12;rows=1")</f>
        <v>MAPI IJ Equity</v>
      </c>
      <c r="DB5">
        <v>-2.4245362661989844E-14</v>
      </c>
      <c r="DD5">
        <v>-2.4245362661989844E-14</v>
      </c>
      <c r="DE5" t="s">
        <v>1745</v>
      </c>
      <c r="DF5">
        <v>2023</v>
      </c>
      <c r="DG5" t="s">
        <v>1759</v>
      </c>
      <c r="DH5" s="6">
        <v>45412</v>
      </c>
      <c r="DI5">
        <v>1</v>
      </c>
      <c r="DJ5">
        <v>-2.4245362661989844E-14</v>
      </c>
      <c r="DK5">
        <v>9183698</v>
      </c>
      <c r="DL5" t="s">
        <v>1760</v>
      </c>
      <c r="DQ5" t="str">
        <f>_xll.BDS("1856613D US Equity","SUPPLY_CHAIN_SUPPLIERS_ALL_DATA")</f>
        <v>#N/A N/A</v>
      </c>
      <c r="EE5" t="str">
        <f>_xll.BDS("1856613D US Equity","SUPPLY_CHAIN_CUSTOMERS_ALL_DATA")</f>
        <v>#N/A N/A</v>
      </c>
      <c r="EU5" t="str">
        <f>_xll.BDS("WEC US Equity","SUPPLY_CHAIN_SUPPLIERS_ALL_DATA","cols=12;rows=5")</f>
        <v>LNT US Equity</v>
      </c>
      <c r="EV5" t="s">
        <v>1786</v>
      </c>
      <c r="EW5">
        <v>0.40190900000000002</v>
      </c>
      <c r="EX5">
        <v>0.60241</v>
      </c>
      <c r="EY5" t="s">
        <v>1745</v>
      </c>
      <c r="EZ5">
        <v>2024</v>
      </c>
      <c r="FA5" t="s">
        <v>6467</v>
      </c>
      <c r="FB5" s="6">
        <v>45709</v>
      </c>
      <c r="FC5">
        <v>5</v>
      </c>
      <c r="FD5">
        <v>3999999.25</v>
      </c>
      <c r="FE5">
        <v>101674</v>
      </c>
      <c r="FF5" t="s">
        <v>6468</v>
      </c>
      <c r="FI5" t="str">
        <f>_xll.BDS("WEC US Equity","SUPPLY_CHAIN_CUSTOMERS_ALL_DATA","cols=12;rows=5")</f>
        <v>LNT US Equity</v>
      </c>
      <c r="FJ5">
        <v>1.7674620000000001</v>
      </c>
      <c r="FK5" t="s">
        <v>1786</v>
      </c>
      <c r="FL5">
        <v>10.375427</v>
      </c>
      <c r="FM5" t="s">
        <v>1745</v>
      </c>
      <c r="FN5">
        <v>2024</v>
      </c>
      <c r="FO5" t="s">
        <v>6467</v>
      </c>
      <c r="FP5" s="6">
        <v>45709</v>
      </c>
      <c r="FQ5">
        <v>5</v>
      </c>
      <c r="FR5">
        <v>38000000</v>
      </c>
      <c r="FS5">
        <v>101674</v>
      </c>
      <c r="FT5" t="s">
        <v>6468</v>
      </c>
      <c r="FY5" t="str">
        <f>_xll.BDS("nan Equity","SUPPLY_CHAIN_SUPPLIERS_ALL_DATA")</f>
        <v>#N/A N/A</v>
      </c>
      <c r="GM5" t="str">
        <f>_xll.BDS("nan Equity","SUPPLY_CHAIN_CUSTOMERS_ALL_DATA")</f>
        <v>#N/A N/A</v>
      </c>
      <c r="HC5" t="str">
        <f>_xll.BDS("CNSL US Equity","SUPPLY_CHAIN_SUPPLIERS_ALL_DATA","cols=12;rows=5")</f>
        <v>DY US Equity</v>
      </c>
      <c r="HD5" t="s">
        <v>1820</v>
      </c>
      <c r="HE5">
        <v>0.457036</v>
      </c>
      <c r="HF5">
        <v>4.6460840000000001</v>
      </c>
      <c r="HG5" t="s">
        <v>1845</v>
      </c>
      <c r="HH5">
        <v>2025</v>
      </c>
      <c r="HI5" t="s">
        <v>2672</v>
      </c>
      <c r="HJ5" s="6">
        <v>45756</v>
      </c>
      <c r="HK5">
        <v>5</v>
      </c>
      <c r="HL5">
        <v>4956674</v>
      </c>
      <c r="HM5">
        <v>100487</v>
      </c>
      <c r="HN5" t="s">
        <v>2673</v>
      </c>
      <c r="HQ5" t="str">
        <f>_xll.BDS("CNSL US Equity","SUPPLY_CHAIN_CUSTOMERS_ALL_DATA","cols=12;rows=2")</f>
        <v>SCSC US Equity</v>
      </c>
      <c r="HR5">
        <v>-2.4245362661989844E-14</v>
      </c>
      <c r="HT5">
        <v>-2.4245362661989844E-14</v>
      </c>
      <c r="HU5" t="s">
        <v>1809</v>
      </c>
      <c r="HV5">
        <v>2024</v>
      </c>
      <c r="HW5" t="s">
        <v>2514</v>
      </c>
      <c r="HX5" s="6">
        <v>45265</v>
      </c>
      <c r="HY5">
        <v>2</v>
      </c>
      <c r="HZ5">
        <v>-2.4245362661989844E-14</v>
      </c>
      <c r="IA5">
        <v>136424</v>
      </c>
      <c r="IB5" t="s">
        <v>2014</v>
      </c>
      <c r="IG5" t="str">
        <f>_xll.BDS("KMPR US Equity","SUPPLY_CHAIN_SUPPLIERS_ALL_DATA")</f>
        <v>#N/A N/A</v>
      </c>
      <c r="IU5" t="str">
        <f>_xll.BDS("KMPR US Equity","SUPPLY_CHAIN_CUSTOMERS_ALL_DATA")</f>
        <v>#N/A N/A</v>
      </c>
      <c r="JK5" t="str">
        <f>_xll.BDS("HTV US Equity","SUPPLY_CHAIN_SUPPLIERS_ALL_DATA","cols=12;rows=2")</f>
        <v>IAS US Equity</v>
      </c>
      <c r="JM5">
        <v>-2.4245362661989844E-14</v>
      </c>
      <c r="JN5">
        <v>-2.4245362661989844E-14</v>
      </c>
      <c r="JO5" t="s">
        <v>1745</v>
      </c>
      <c r="JP5">
        <v>2022</v>
      </c>
      <c r="JQ5" t="s">
        <v>5686</v>
      </c>
      <c r="JR5" s="6">
        <v>44679</v>
      </c>
      <c r="JS5">
        <v>2</v>
      </c>
      <c r="JT5">
        <v>-2.4245362661989844E-14</v>
      </c>
      <c r="JU5">
        <v>69609689</v>
      </c>
      <c r="JV5" t="s">
        <v>5687</v>
      </c>
      <c r="JY5" t="str">
        <f>_xll.BDS("HTV US Equity","SUPPLY_CHAIN_CUSTOMERS_ALL_DATA")</f>
        <v>#N/A N/A</v>
      </c>
      <c r="KO5" t="str">
        <f>_xll.BDS("BKD US Equity","SUPPLY_CHAIN_SUPPLIERS_ALL_DATA","cols=12;rows=4")</f>
        <v>VTR US Equity</v>
      </c>
      <c r="KP5" t="s">
        <v>1769</v>
      </c>
      <c r="KQ5">
        <v>3.1</v>
      </c>
      <c r="KR5">
        <v>82.137343999999999</v>
      </c>
      <c r="KS5" t="s">
        <v>1745</v>
      </c>
      <c r="KT5">
        <v>2024</v>
      </c>
      <c r="KU5" t="s">
        <v>1770</v>
      </c>
      <c r="KV5" s="6">
        <v>45701</v>
      </c>
      <c r="KW5">
        <v>4</v>
      </c>
      <c r="KX5">
        <v>38163060</v>
      </c>
      <c r="KY5">
        <v>101595</v>
      </c>
      <c r="KZ5" t="s">
        <v>5755</v>
      </c>
      <c r="LC5" t="str">
        <f>_xll.BDS("BKD US Equity","SUPPLY_CHAIN_CUSTOMERS_ALL_DATA","cols=12;rows=1")</f>
        <v>9877893Z US Equity</v>
      </c>
      <c r="LD5">
        <v>-2.4245362661989844E-14</v>
      </c>
      <c r="LF5">
        <v>-2.4245362661989844E-14</v>
      </c>
      <c r="LG5" t="s">
        <v>1745</v>
      </c>
      <c r="LH5">
        <v>2023</v>
      </c>
      <c r="LI5" t="s">
        <v>5407</v>
      </c>
      <c r="LJ5" s="6">
        <v>45344</v>
      </c>
      <c r="LK5">
        <v>1</v>
      </c>
      <c r="LL5">
        <v>-2.4245362661989844E-14</v>
      </c>
      <c r="LM5">
        <v>17483390</v>
      </c>
      <c r="LN5" t="s">
        <v>2093</v>
      </c>
      <c r="LS5" t="str">
        <f>_xll.BDS("3692470Q US Equity","SUPPLY_CHAIN_SUPPLIERS_ALL_DATA")</f>
        <v>#N/A N/A</v>
      </c>
      <c r="MG5" t="str">
        <f>_xll.BDS("3692470Q US Equity","SUPPLY_CHAIN_CUSTOMERS_ALL_DATA")</f>
        <v>#N/A N/A</v>
      </c>
      <c r="MW5" t="str">
        <f>_xll.BDS("EXR US Equity","SUPPLY_CHAIN_SUPPLIERS_ALL_DATA","cols=12;rows=5")</f>
        <v>WPC US Equity</v>
      </c>
      <c r="MX5" t="s">
        <v>1769</v>
      </c>
      <c r="MY5">
        <v>2.2461530000000001</v>
      </c>
      <c r="MZ5">
        <v>27.791716000000001</v>
      </c>
      <c r="NA5" t="s">
        <v>1745</v>
      </c>
      <c r="NB5">
        <v>2024</v>
      </c>
      <c r="NC5" t="s">
        <v>5310</v>
      </c>
      <c r="ND5" s="6">
        <v>45700</v>
      </c>
      <c r="NE5">
        <v>5</v>
      </c>
      <c r="NF5">
        <v>8889250</v>
      </c>
      <c r="NG5">
        <v>310190</v>
      </c>
      <c r="NH5" t="s">
        <v>5311</v>
      </c>
      <c r="NK5" t="str">
        <f>_xll.BDS("EXR US Equity","SUPPLY_CHAIN_CUSTOMERS_ALL_DATA")</f>
        <v>#N/A N/A</v>
      </c>
      <c r="OA5" t="str">
        <f>_xll.BDS("1856613D US Equity","SUPPLY_CHAIN_SUPPLIERS_ALL_DATA")</f>
        <v>#N/A N/A</v>
      </c>
      <c r="OO5" t="str">
        <f>_xll.BDS("1856613D US Equity","SUPPLY_CHAIN_CUSTOMERS_ALL_DATA")</f>
        <v>#N/A N/A</v>
      </c>
      <c r="PE5" t="str">
        <f>_xll.BDS("TXT US Equity","SUPPLY_CHAIN_SUPPLIERS_ALL_DATA","cols=12;rows=5")</f>
        <v>RR/ LN Equity</v>
      </c>
      <c r="PF5" t="s">
        <v>1786</v>
      </c>
      <c r="PG5">
        <v>1.544897</v>
      </c>
      <c r="PH5">
        <v>3.251614</v>
      </c>
      <c r="PI5" t="s">
        <v>1762</v>
      </c>
      <c r="PJ5">
        <v>2025</v>
      </c>
      <c r="PK5" t="s">
        <v>3926</v>
      </c>
      <c r="PL5" s="6">
        <v>45873</v>
      </c>
      <c r="PM5">
        <v>5</v>
      </c>
      <c r="PN5">
        <v>97847994.530000001</v>
      </c>
      <c r="PO5">
        <v>112185</v>
      </c>
      <c r="PP5" t="s">
        <v>3927</v>
      </c>
      <c r="PS5" t="str">
        <f>_xll.BDS("TXT US Equity","SUPPLY_CHAIN_CUSTOMERS_ALL_DATA","cols=12;rows=5")</f>
        <v>3352Z US Equity</v>
      </c>
      <c r="PT5">
        <v>26.981552000000001</v>
      </c>
      <c r="PV5">
        <v>-2.4245362661989844E-14</v>
      </c>
      <c r="PW5" t="s">
        <v>1745</v>
      </c>
      <c r="PX5">
        <v>2025</v>
      </c>
      <c r="PY5" t="s">
        <v>4131</v>
      </c>
      <c r="PZ5" s="6">
        <v>46064</v>
      </c>
      <c r="QA5">
        <v>5</v>
      </c>
      <c r="QB5">
        <v>998250000</v>
      </c>
      <c r="QC5">
        <v>218252</v>
      </c>
      <c r="QD5" t="s">
        <v>1803</v>
      </c>
      <c r="QI5" t="str">
        <f>_xll.BDS("1919709D US Equity","SUPPLY_CHAIN_SUPPLIERS_ALL_DATA")</f>
        <v>#N/A N/A</v>
      </c>
      <c r="QW5" t="str">
        <f>_xll.BDS("1919709D US Equity","SUPPLY_CHAIN_CUSTOMERS_ALL_DATA")</f>
        <v>#N/A N/A</v>
      </c>
      <c r="RM5" t="str">
        <f>_xll.BDS("CLP US Equity","SUPPLY_CHAIN_SUPPLIERS_ALL_DATA")</f>
        <v>#N/A N/A</v>
      </c>
      <c r="SA5" t="str">
        <f>_xll.BDS("CLP US Equity","SUPPLY_CHAIN_CUSTOMERS_ALL_DATA")</f>
        <v>#N/A N/A</v>
      </c>
      <c r="SQ5" t="str">
        <f>_xll.BDS("VZ US Equity","SUPPLY_CHAIN_SUPPLIERS_ALL_DATA","cols=12;rows=5")</f>
        <v>AAPL US Equity</v>
      </c>
      <c r="SR5" t="s">
        <v>1786</v>
      </c>
      <c r="SS5">
        <v>2.0425080000000002</v>
      </c>
      <c r="ST5">
        <v>14.027474</v>
      </c>
      <c r="SU5" t="s">
        <v>1762</v>
      </c>
      <c r="SV5">
        <v>2025</v>
      </c>
      <c r="SW5" t="s">
        <v>5981</v>
      </c>
      <c r="SX5" s="6">
        <v>45862</v>
      </c>
      <c r="SY5">
        <v>5</v>
      </c>
      <c r="SZ5">
        <v>1947714816</v>
      </c>
      <c r="TA5">
        <v>101695</v>
      </c>
      <c r="TB5" t="s">
        <v>1764</v>
      </c>
      <c r="TE5" t="str">
        <f>_xll.BDS("VZ US Equity","SUPPLY_CHAIN_CUSTOMERS_ALL_DATA","cols=12;rows=5")</f>
        <v>SNX US Equity</v>
      </c>
      <c r="TF5">
        <v>0.47808400000000001</v>
      </c>
      <c r="TG5" t="s">
        <v>1786</v>
      </c>
      <c r="TH5">
        <v>1.074689</v>
      </c>
      <c r="TI5" t="s">
        <v>1845</v>
      </c>
      <c r="TJ5">
        <v>2025</v>
      </c>
      <c r="TK5" t="s">
        <v>1887</v>
      </c>
      <c r="TL5" s="6">
        <v>46056</v>
      </c>
      <c r="TM5">
        <v>5</v>
      </c>
      <c r="TN5">
        <v>173931856</v>
      </c>
      <c r="TO5">
        <v>1499717</v>
      </c>
      <c r="TP5" t="s">
        <v>1864</v>
      </c>
      <c r="TU5" t="str">
        <f>_xll.BDS("A US Equity","SUPPLY_CHAIN_SUPPLIERS_ALL_DATA","cols=12;rows=5")</f>
        <v>FLEX US Equity</v>
      </c>
      <c r="TV5" t="s">
        <v>1786</v>
      </c>
      <c r="TW5">
        <v>0.34430100000000002</v>
      </c>
      <c r="TX5">
        <v>2.8864930000000002</v>
      </c>
      <c r="TY5" t="s">
        <v>1742</v>
      </c>
      <c r="TZ5">
        <v>2025</v>
      </c>
      <c r="UA5" t="s">
        <v>2387</v>
      </c>
      <c r="UB5" s="6">
        <v>45763</v>
      </c>
      <c r="UC5">
        <v>5</v>
      </c>
      <c r="UD5">
        <v>22572374</v>
      </c>
      <c r="UE5">
        <v>136547</v>
      </c>
      <c r="UF5" t="s">
        <v>2388</v>
      </c>
      <c r="UI5" t="str">
        <f>_xll.BDS("A US Equity","SUPPLY_CHAIN_CUSTOMERS_ALL_DATA","cols=12;rows=5")</f>
        <v>6661 TT Equity</v>
      </c>
      <c r="UJ5">
        <v>2.7417E-2</v>
      </c>
      <c r="UK5" t="s">
        <v>1786</v>
      </c>
      <c r="UL5">
        <v>31.630337000000001</v>
      </c>
      <c r="UM5" t="s">
        <v>1745</v>
      </c>
      <c r="UN5">
        <v>2024</v>
      </c>
      <c r="UO5" t="s">
        <v>2597</v>
      </c>
      <c r="UP5" s="6">
        <v>45783</v>
      </c>
      <c r="UQ5">
        <v>5</v>
      </c>
      <c r="UR5">
        <v>459641.5</v>
      </c>
      <c r="US5">
        <v>55506031</v>
      </c>
      <c r="UT5" t="s">
        <v>2598</v>
      </c>
      <c r="UY5" t="str">
        <f>_xll.BDS("nan Equity","SUPPLY_CHAIN_SUPPLIERS_ALL_DATA")</f>
        <v>#N/A N/A</v>
      </c>
      <c r="VM5" t="str">
        <f>_xll.BDS("nan Equity","SUPPLY_CHAIN_CUSTOMERS_ALL_DATA")</f>
        <v>#N/A N/A</v>
      </c>
    </row>
    <row r="6" spans="1:600" x14ac:dyDescent="0.25">
      <c r="A6" t="s">
        <v>5840</v>
      </c>
      <c r="C6">
        <v>-2.4245362661989844E-14</v>
      </c>
      <c r="D6">
        <v>-2.4245362661989844E-14</v>
      </c>
      <c r="E6" t="s">
        <v>1809</v>
      </c>
      <c r="F6">
        <v>2024</v>
      </c>
      <c r="G6" t="s">
        <v>5841</v>
      </c>
      <c r="H6" s="6">
        <v>45447</v>
      </c>
      <c r="I6">
        <v>5</v>
      </c>
      <c r="J6">
        <v>-2.4245362661989844E-14</v>
      </c>
      <c r="K6">
        <v>26550514</v>
      </c>
      <c r="L6" t="s">
        <v>5842</v>
      </c>
      <c r="O6" t="s">
        <v>1114</v>
      </c>
      <c r="P6">
        <v>2.1586439999999998</v>
      </c>
      <c r="Q6" t="s">
        <v>2416</v>
      </c>
      <c r="R6">
        <v>0.86357099999999998</v>
      </c>
      <c r="S6" t="s">
        <v>1762</v>
      </c>
      <c r="T6">
        <v>2025</v>
      </c>
      <c r="U6" t="s">
        <v>2880</v>
      </c>
      <c r="V6" s="6">
        <v>45921</v>
      </c>
      <c r="W6">
        <v>5</v>
      </c>
      <c r="X6">
        <v>22280120</v>
      </c>
      <c r="Y6">
        <v>100225</v>
      </c>
      <c r="Z6" t="s">
        <v>2151</v>
      </c>
      <c r="BI6" t="s">
        <v>2273</v>
      </c>
      <c r="BJ6" t="s">
        <v>1769</v>
      </c>
      <c r="BK6">
        <v>5.2993949999999996</v>
      </c>
      <c r="BL6">
        <v>7.1481000000000003E-2</v>
      </c>
      <c r="BM6" t="s">
        <v>1809</v>
      </c>
      <c r="BN6">
        <v>2026</v>
      </c>
      <c r="BO6" t="s">
        <v>2274</v>
      </c>
      <c r="BP6" s="6">
        <v>45898</v>
      </c>
      <c r="BQ6">
        <v>5</v>
      </c>
      <c r="BR6">
        <v>9563900.9100000001</v>
      </c>
      <c r="BS6">
        <v>178651</v>
      </c>
      <c r="BT6" t="s">
        <v>2275</v>
      </c>
      <c r="BW6" t="s">
        <v>3143</v>
      </c>
      <c r="BX6">
        <v>-2.4245362661989844E-14</v>
      </c>
      <c r="BZ6">
        <v>-2.4245362661989844E-14</v>
      </c>
      <c r="CA6" t="s">
        <v>1745</v>
      </c>
      <c r="CB6">
        <v>2024</v>
      </c>
      <c r="CC6" t="s">
        <v>3144</v>
      </c>
      <c r="CD6" s="6">
        <v>45756</v>
      </c>
      <c r="CE6">
        <v>5</v>
      </c>
      <c r="CF6">
        <v>-2.4245362661989844E-14</v>
      </c>
      <c r="CG6">
        <v>23063237</v>
      </c>
      <c r="CH6" t="s">
        <v>3145</v>
      </c>
      <c r="EU6" t="s">
        <v>6469</v>
      </c>
      <c r="EW6">
        <v>-2.4245362661989844E-14</v>
      </c>
      <c r="EX6">
        <v>-2.4245362661989844E-14</v>
      </c>
      <c r="EY6" t="s">
        <v>1745</v>
      </c>
      <c r="EZ6">
        <v>2024</v>
      </c>
      <c r="FA6" t="s">
        <v>6470</v>
      </c>
      <c r="FB6" s="6">
        <v>45709</v>
      </c>
      <c r="FC6">
        <v>5</v>
      </c>
      <c r="FD6">
        <v>-2.4245362661989844E-14</v>
      </c>
      <c r="FE6">
        <v>311103</v>
      </c>
      <c r="FF6" t="s">
        <v>6471</v>
      </c>
      <c r="FI6" t="s">
        <v>6515</v>
      </c>
      <c r="FJ6">
        <v>-2.4245362661989844E-14</v>
      </c>
      <c r="FL6">
        <v>-2.4245362661989844E-14</v>
      </c>
      <c r="FM6" t="s">
        <v>1745</v>
      </c>
      <c r="FN6">
        <v>2021</v>
      </c>
      <c r="FO6" t="s">
        <v>4973</v>
      </c>
      <c r="FP6" s="6">
        <v>44693</v>
      </c>
      <c r="FQ6">
        <v>5</v>
      </c>
      <c r="FR6">
        <v>-2.4245362661989844E-14</v>
      </c>
      <c r="FS6">
        <v>18488759</v>
      </c>
      <c r="FT6" t="s">
        <v>6516</v>
      </c>
      <c r="HC6" t="s">
        <v>1208</v>
      </c>
      <c r="HD6" t="s">
        <v>1820</v>
      </c>
      <c r="HE6">
        <v>4.9496999999999999E-2</v>
      </c>
      <c r="HF6">
        <v>0.59395500000000001</v>
      </c>
      <c r="HG6" t="s">
        <v>1809</v>
      </c>
      <c r="HH6">
        <v>2025</v>
      </c>
      <c r="HI6" t="s">
        <v>1890</v>
      </c>
      <c r="HJ6" s="6">
        <v>45847</v>
      </c>
      <c r="HK6">
        <v>5</v>
      </c>
      <c r="HL6">
        <v>633661</v>
      </c>
      <c r="HM6">
        <v>929589</v>
      </c>
      <c r="HN6" t="s">
        <v>2674</v>
      </c>
      <c r="HQ6" t="s">
        <v>2515</v>
      </c>
      <c r="HR6">
        <v>-2.4245362661989844E-14</v>
      </c>
      <c r="HT6">
        <v>-2.4245362661989844E-14</v>
      </c>
      <c r="HU6" t="s">
        <v>1745</v>
      </c>
      <c r="HV6">
        <v>2022</v>
      </c>
      <c r="HW6" t="s">
        <v>2516</v>
      </c>
      <c r="HX6" s="6">
        <v>44705</v>
      </c>
      <c r="HY6">
        <v>2</v>
      </c>
      <c r="HZ6">
        <v>-2.4245362661989844E-14</v>
      </c>
      <c r="IA6">
        <v>1067639</v>
      </c>
      <c r="IB6" t="s">
        <v>2517</v>
      </c>
      <c r="JK6" t="s">
        <v>5688</v>
      </c>
      <c r="JM6">
        <v>-2.4245362661989844E-14</v>
      </c>
      <c r="JN6">
        <v>-2.4245362661989844E-14</v>
      </c>
      <c r="JO6" t="s">
        <v>1745</v>
      </c>
      <c r="JP6">
        <v>2023</v>
      </c>
      <c r="JQ6" t="s">
        <v>5689</v>
      </c>
      <c r="JR6" s="6">
        <v>45351</v>
      </c>
      <c r="JS6">
        <v>2</v>
      </c>
      <c r="JT6">
        <v>-2.4245362661989844E-14</v>
      </c>
      <c r="JU6">
        <v>1750446</v>
      </c>
      <c r="JV6" t="s">
        <v>5690</v>
      </c>
      <c r="KO6" t="s">
        <v>1371</v>
      </c>
      <c r="KP6" t="s">
        <v>1769</v>
      </c>
      <c r="KQ6">
        <v>4.7364920000000001</v>
      </c>
      <c r="KR6">
        <v>27.789932</v>
      </c>
      <c r="KS6" t="s">
        <v>1745</v>
      </c>
      <c r="KT6">
        <v>2024</v>
      </c>
      <c r="KU6" t="s">
        <v>3036</v>
      </c>
      <c r="KV6" s="6">
        <v>45693</v>
      </c>
      <c r="KW6">
        <v>4</v>
      </c>
      <c r="KX6">
        <v>12449750</v>
      </c>
      <c r="KY6">
        <v>115223</v>
      </c>
      <c r="KZ6" t="s">
        <v>3037</v>
      </c>
      <c r="MW6" t="s">
        <v>3061</v>
      </c>
      <c r="MY6">
        <v>-2.4245362661989844E-14</v>
      </c>
      <c r="MZ6">
        <v>-2.4245362661989844E-14</v>
      </c>
      <c r="NA6" t="s">
        <v>1745</v>
      </c>
      <c r="NB6">
        <v>2024</v>
      </c>
      <c r="NC6" t="s">
        <v>3062</v>
      </c>
      <c r="ND6" s="6">
        <v>45719</v>
      </c>
      <c r="NE6">
        <v>5</v>
      </c>
      <c r="NF6">
        <v>-2.4245362661989844E-14</v>
      </c>
      <c r="NG6">
        <v>126294</v>
      </c>
      <c r="NH6" t="s">
        <v>3063</v>
      </c>
      <c r="PE6" t="s">
        <v>1054</v>
      </c>
      <c r="PF6" t="s">
        <v>1786</v>
      </c>
      <c r="PG6">
        <v>0.40776600000000002</v>
      </c>
      <c r="PH6">
        <v>2.926504</v>
      </c>
      <c r="PI6" t="s">
        <v>1762</v>
      </c>
      <c r="PJ6">
        <v>2025</v>
      </c>
      <c r="PK6" t="s">
        <v>3638</v>
      </c>
      <c r="PL6" s="6">
        <v>45895</v>
      </c>
      <c r="PM6">
        <v>5</v>
      </c>
      <c r="PN6">
        <v>87999984</v>
      </c>
      <c r="PO6">
        <v>101555</v>
      </c>
      <c r="PP6" t="s">
        <v>1848</v>
      </c>
      <c r="PS6" t="s">
        <v>86</v>
      </c>
      <c r="PT6">
        <v>6.6028770000000003</v>
      </c>
      <c r="PU6" t="s">
        <v>1820</v>
      </c>
      <c r="PV6">
        <v>5.0506979999999997</v>
      </c>
      <c r="PW6" t="s">
        <v>1762</v>
      </c>
      <c r="PX6">
        <v>2025</v>
      </c>
      <c r="PY6" t="s">
        <v>3043</v>
      </c>
      <c r="PZ6" s="6">
        <v>45915</v>
      </c>
      <c r="QA6">
        <v>5</v>
      </c>
      <c r="QB6">
        <v>245362912</v>
      </c>
      <c r="QC6">
        <v>100193</v>
      </c>
      <c r="QD6" t="s">
        <v>1849</v>
      </c>
      <c r="SQ6" t="s">
        <v>1789</v>
      </c>
      <c r="SR6" t="s">
        <v>1786</v>
      </c>
      <c r="SS6">
        <v>2.370431</v>
      </c>
      <c r="ST6">
        <v>9.0958559999999995</v>
      </c>
      <c r="SU6" t="s">
        <v>1762</v>
      </c>
      <c r="SV6">
        <v>2025</v>
      </c>
      <c r="SW6" t="s">
        <v>3436</v>
      </c>
      <c r="SX6" s="6">
        <v>45952</v>
      </c>
      <c r="SY6">
        <v>5</v>
      </c>
      <c r="SZ6">
        <v>1262769985.1900001</v>
      </c>
      <c r="TA6">
        <v>117929</v>
      </c>
      <c r="TB6" t="s">
        <v>1791</v>
      </c>
      <c r="TE6" t="s">
        <v>1814</v>
      </c>
      <c r="TF6">
        <v>0.203543</v>
      </c>
      <c r="TG6" t="s">
        <v>1786</v>
      </c>
      <c r="TH6">
        <v>1.128412</v>
      </c>
      <c r="TI6" t="s">
        <v>1809</v>
      </c>
      <c r="TJ6">
        <v>2025</v>
      </c>
      <c r="TK6" t="s">
        <v>1815</v>
      </c>
      <c r="TL6" s="6">
        <v>45784</v>
      </c>
      <c r="TM6">
        <v>5</v>
      </c>
      <c r="TN6">
        <v>68156368</v>
      </c>
      <c r="TO6">
        <v>100115</v>
      </c>
      <c r="TP6" t="s">
        <v>1816</v>
      </c>
      <c r="TU6" t="s">
        <v>2909</v>
      </c>
      <c r="TV6" t="s">
        <v>1786</v>
      </c>
      <c r="TW6">
        <v>0.394424</v>
      </c>
      <c r="TX6">
        <v>0.34537699999999999</v>
      </c>
      <c r="TY6" t="s">
        <v>1809</v>
      </c>
      <c r="TZ6">
        <v>2025</v>
      </c>
      <c r="UA6" t="s">
        <v>2910</v>
      </c>
      <c r="UB6" s="6">
        <v>45958</v>
      </c>
      <c r="UC6">
        <v>5</v>
      </c>
      <c r="UD6">
        <v>2908786.82</v>
      </c>
      <c r="UE6">
        <v>111769</v>
      </c>
      <c r="UF6" t="s">
        <v>2911</v>
      </c>
      <c r="UI6" t="s">
        <v>2599</v>
      </c>
      <c r="UJ6">
        <v>-2.4245362661989844E-14</v>
      </c>
      <c r="UL6">
        <v>-2.4245362661989844E-14</v>
      </c>
      <c r="UM6" t="s">
        <v>1745</v>
      </c>
      <c r="UN6">
        <v>2022</v>
      </c>
      <c r="UO6" t="s">
        <v>2600</v>
      </c>
      <c r="UP6" s="6">
        <v>45044</v>
      </c>
      <c r="UQ6">
        <v>5</v>
      </c>
      <c r="UR6">
        <v>-2.4245362661989844E-14</v>
      </c>
      <c r="US6">
        <v>21756021</v>
      </c>
      <c r="UT6" t="s">
        <v>2601</v>
      </c>
    </row>
    <row r="7" spans="1:600" x14ac:dyDescent="0.25">
      <c r="A7" t="s">
        <v>5843</v>
      </c>
      <c r="C7">
        <v>-2.4245362661989844E-14</v>
      </c>
      <c r="D7">
        <v>-2.4245362661989844E-14</v>
      </c>
      <c r="E7" t="s">
        <v>1762</v>
      </c>
      <c r="F7">
        <v>2023</v>
      </c>
      <c r="G7" t="s">
        <v>5844</v>
      </c>
      <c r="H7" s="6">
        <v>45190</v>
      </c>
      <c r="I7">
        <v>5</v>
      </c>
      <c r="J7">
        <v>-2.4245362661989844E-14</v>
      </c>
      <c r="K7">
        <v>56403996</v>
      </c>
      <c r="L7" t="s">
        <v>5845</v>
      </c>
      <c r="O7" t="s">
        <v>2418</v>
      </c>
      <c r="P7">
        <v>2.1099600000000001</v>
      </c>
      <c r="Q7" t="s">
        <v>2416</v>
      </c>
      <c r="R7">
        <v>0.56132099999999996</v>
      </c>
      <c r="S7" t="s">
        <v>1762</v>
      </c>
      <c r="T7">
        <v>2025</v>
      </c>
      <c r="U7" t="s">
        <v>2880</v>
      </c>
      <c r="V7" s="6">
        <v>45921</v>
      </c>
      <c r="W7">
        <v>5</v>
      </c>
      <c r="X7">
        <v>21777636</v>
      </c>
      <c r="Y7">
        <v>115785</v>
      </c>
      <c r="Z7" t="s">
        <v>2419</v>
      </c>
      <c r="BI7" t="s">
        <v>2972</v>
      </c>
      <c r="BJ7" t="s">
        <v>1769</v>
      </c>
      <c r="BK7">
        <v>0.56072500000000003</v>
      </c>
      <c r="BL7">
        <v>1.5883999999999999E-2</v>
      </c>
      <c r="BM7" t="s">
        <v>1745</v>
      </c>
      <c r="BN7">
        <v>2025</v>
      </c>
      <c r="BO7" t="s">
        <v>2973</v>
      </c>
      <c r="BP7" s="6">
        <v>46066</v>
      </c>
      <c r="BQ7">
        <v>5</v>
      </c>
      <c r="BR7">
        <v>2177750</v>
      </c>
      <c r="BS7">
        <v>126273</v>
      </c>
      <c r="BT7" t="s">
        <v>2974</v>
      </c>
      <c r="BW7" t="s">
        <v>2139</v>
      </c>
      <c r="BX7">
        <v>-2.4245362661989844E-14</v>
      </c>
      <c r="BZ7">
        <v>-2.4245362661989844E-14</v>
      </c>
      <c r="CA7" t="s">
        <v>1809</v>
      </c>
      <c r="CB7">
        <v>2025</v>
      </c>
      <c r="CC7" t="s">
        <v>3146</v>
      </c>
      <c r="CD7" s="6">
        <v>45799</v>
      </c>
      <c r="CE7">
        <v>5</v>
      </c>
      <c r="CF7">
        <v>-2.4245362661989844E-14</v>
      </c>
      <c r="CG7">
        <v>313021</v>
      </c>
      <c r="CH7" t="s">
        <v>2141</v>
      </c>
      <c r="EU7" t="s">
        <v>6472</v>
      </c>
      <c r="EW7">
        <v>-2.4245362661989844E-14</v>
      </c>
      <c r="EX7">
        <v>-2.4245362661989844E-14</v>
      </c>
      <c r="EY7" t="s">
        <v>1745</v>
      </c>
      <c r="EZ7">
        <v>2024</v>
      </c>
      <c r="FA7" t="s">
        <v>6473</v>
      </c>
      <c r="FB7" s="6">
        <v>45608</v>
      </c>
      <c r="FC7">
        <v>5</v>
      </c>
      <c r="FD7">
        <v>-2.4245362661989844E-14</v>
      </c>
      <c r="FE7">
        <v>31725564</v>
      </c>
      <c r="FF7" t="s">
        <v>6474</v>
      </c>
      <c r="FI7" t="s">
        <v>6517</v>
      </c>
      <c r="FJ7">
        <v>-2.4245362661989844E-14</v>
      </c>
      <c r="FL7">
        <v>-2.4245362661989844E-14</v>
      </c>
      <c r="FM7" t="s">
        <v>1745</v>
      </c>
      <c r="FN7">
        <v>2021</v>
      </c>
      <c r="FO7" t="s">
        <v>4973</v>
      </c>
      <c r="FP7" s="6">
        <v>44693</v>
      </c>
      <c r="FQ7">
        <v>5</v>
      </c>
      <c r="FR7">
        <v>-2.4245362661989844E-14</v>
      </c>
      <c r="FS7">
        <v>26191671</v>
      </c>
      <c r="FT7" t="s">
        <v>6518</v>
      </c>
      <c r="HC7" t="s">
        <v>1016</v>
      </c>
      <c r="HD7" t="s">
        <v>1820</v>
      </c>
      <c r="HE7">
        <v>3.4476E-2</v>
      </c>
      <c r="HF7">
        <v>0.363265</v>
      </c>
      <c r="HG7" t="s">
        <v>1845</v>
      </c>
      <c r="HH7">
        <v>2024</v>
      </c>
      <c r="HI7" t="s">
        <v>2675</v>
      </c>
      <c r="HJ7" s="6">
        <v>45687</v>
      </c>
      <c r="HK7">
        <v>5</v>
      </c>
      <c r="HL7">
        <v>387549</v>
      </c>
      <c r="HM7">
        <v>211040</v>
      </c>
      <c r="HN7" t="s">
        <v>2676</v>
      </c>
      <c r="KO7" t="s">
        <v>5756</v>
      </c>
      <c r="KP7" t="s">
        <v>1769</v>
      </c>
      <c r="KQ7">
        <v>4.6981849999999996</v>
      </c>
      <c r="KR7">
        <v>5.3048159999999998</v>
      </c>
      <c r="KS7" t="s">
        <v>1745</v>
      </c>
      <c r="KT7">
        <v>2024</v>
      </c>
      <c r="KU7" t="s">
        <v>5757</v>
      </c>
      <c r="KV7" s="6">
        <v>45712</v>
      </c>
      <c r="KW7">
        <v>4</v>
      </c>
      <c r="KX7">
        <v>2464750</v>
      </c>
      <c r="KY7">
        <v>115220</v>
      </c>
      <c r="KZ7" t="s">
        <v>5758</v>
      </c>
      <c r="MW7" t="s">
        <v>5312</v>
      </c>
      <c r="MY7">
        <v>-2.4245362661989844E-14</v>
      </c>
      <c r="MZ7">
        <v>-2.4245362661989844E-14</v>
      </c>
      <c r="NA7" t="s">
        <v>1745</v>
      </c>
      <c r="NB7">
        <v>2024</v>
      </c>
      <c r="NC7" t="s">
        <v>5313</v>
      </c>
      <c r="ND7" s="6">
        <v>45776</v>
      </c>
      <c r="NE7">
        <v>5</v>
      </c>
      <c r="NF7">
        <v>-2.4245362661989844E-14</v>
      </c>
      <c r="NG7">
        <v>330960</v>
      </c>
      <c r="NH7" t="s">
        <v>5314</v>
      </c>
      <c r="PE7" t="s">
        <v>1346</v>
      </c>
      <c r="PF7" t="s">
        <v>1786</v>
      </c>
      <c r="PG7">
        <v>0.65316700000000005</v>
      </c>
      <c r="PH7">
        <v>2.248615</v>
      </c>
      <c r="PI7" t="s">
        <v>1762</v>
      </c>
      <c r="PJ7">
        <v>2025</v>
      </c>
      <c r="PK7" t="s">
        <v>2368</v>
      </c>
      <c r="PL7" s="6">
        <v>45898</v>
      </c>
      <c r="PM7">
        <v>5</v>
      </c>
      <c r="PN7">
        <v>67615848</v>
      </c>
      <c r="PO7">
        <v>100043</v>
      </c>
      <c r="PP7" t="s">
        <v>3434</v>
      </c>
      <c r="PS7" t="s">
        <v>536</v>
      </c>
      <c r="PT7">
        <v>1.0461879999999999</v>
      </c>
      <c r="PU7" t="s">
        <v>1820</v>
      </c>
      <c r="PV7">
        <v>2.6392630000000001</v>
      </c>
      <c r="PW7" t="s">
        <v>1762</v>
      </c>
      <c r="PX7">
        <v>2025</v>
      </c>
      <c r="PY7" t="s">
        <v>3043</v>
      </c>
      <c r="PZ7" s="6">
        <v>45915</v>
      </c>
      <c r="QA7">
        <v>5</v>
      </c>
      <c r="QB7">
        <v>38876344</v>
      </c>
      <c r="QC7">
        <v>100554</v>
      </c>
      <c r="QD7" t="s">
        <v>4132</v>
      </c>
      <c r="SQ7" t="s">
        <v>2922</v>
      </c>
      <c r="SR7" t="s">
        <v>1786</v>
      </c>
      <c r="SS7">
        <v>14</v>
      </c>
      <c r="ST7">
        <v>2.6252870000000001</v>
      </c>
      <c r="SU7" t="s">
        <v>1745</v>
      </c>
      <c r="SV7">
        <v>2025</v>
      </c>
      <c r="SW7" t="s">
        <v>2923</v>
      </c>
      <c r="SX7" s="6">
        <v>46077</v>
      </c>
      <c r="SY7">
        <v>5</v>
      </c>
      <c r="SZ7">
        <v>372560992</v>
      </c>
      <c r="TA7">
        <v>210870</v>
      </c>
      <c r="TB7" t="s">
        <v>2924</v>
      </c>
      <c r="TE7" t="s">
        <v>1870</v>
      </c>
      <c r="TF7">
        <v>0.11801499999999999</v>
      </c>
      <c r="TG7" t="s">
        <v>1786</v>
      </c>
      <c r="TH7">
        <v>0.96932300000000005</v>
      </c>
      <c r="TI7" t="s">
        <v>1809</v>
      </c>
      <c r="TJ7">
        <v>2025</v>
      </c>
      <c r="TK7" t="s">
        <v>1871</v>
      </c>
      <c r="TL7" s="6">
        <v>45820</v>
      </c>
      <c r="TM7">
        <v>5</v>
      </c>
      <c r="TN7">
        <v>39517360</v>
      </c>
      <c r="TO7">
        <v>12129192</v>
      </c>
      <c r="TP7" t="s">
        <v>1872</v>
      </c>
      <c r="TU7" t="s">
        <v>2805</v>
      </c>
      <c r="TV7" t="s">
        <v>1786</v>
      </c>
      <c r="TW7">
        <v>5.0733E-2</v>
      </c>
      <c r="TX7">
        <v>0.18220500000000001</v>
      </c>
      <c r="TY7" t="s">
        <v>1742</v>
      </c>
      <c r="TZ7">
        <v>2025</v>
      </c>
      <c r="UA7" t="s">
        <v>2806</v>
      </c>
      <c r="UB7" s="6">
        <v>45891</v>
      </c>
      <c r="UC7">
        <v>5</v>
      </c>
      <c r="UD7">
        <v>1461287</v>
      </c>
      <c r="UE7">
        <v>100097</v>
      </c>
      <c r="UF7" t="s">
        <v>2807</v>
      </c>
      <c r="UI7" t="s">
        <v>1902</v>
      </c>
      <c r="UJ7">
        <v>-2.4245362661989844E-14</v>
      </c>
      <c r="UL7">
        <v>-2.4245362661989844E-14</v>
      </c>
      <c r="UM7" t="s">
        <v>1805</v>
      </c>
      <c r="UN7">
        <v>2025</v>
      </c>
      <c r="UO7" t="s">
        <v>1903</v>
      </c>
      <c r="UP7" s="6">
        <v>45888</v>
      </c>
      <c r="UQ7">
        <v>5</v>
      </c>
      <c r="UR7">
        <v>-2.4245362661989844E-14</v>
      </c>
      <c r="US7">
        <v>61902583</v>
      </c>
      <c r="UT7" t="s">
        <v>1904</v>
      </c>
    </row>
    <row r="8" spans="1:600" x14ac:dyDescent="0.25">
      <c r="A8" t="s">
        <v>5846</v>
      </c>
      <c r="C8">
        <v>-2.4245362661989844E-14</v>
      </c>
      <c r="D8">
        <v>-2.4245362661989844E-14</v>
      </c>
      <c r="E8" t="s">
        <v>1742</v>
      </c>
      <c r="F8">
        <v>2023</v>
      </c>
      <c r="G8" t="s">
        <v>5847</v>
      </c>
      <c r="H8" s="6">
        <v>45300</v>
      </c>
      <c r="I8">
        <v>5</v>
      </c>
      <c r="J8">
        <v>-2.4245362661989844E-14</v>
      </c>
      <c r="K8">
        <v>64048583</v>
      </c>
      <c r="L8" t="s">
        <v>5848</v>
      </c>
      <c r="O8" t="s">
        <v>273</v>
      </c>
      <c r="P8">
        <v>2.0662310000000002</v>
      </c>
      <c r="Q8" t="s">
        <v>2416</v>
      </c>
      <c r="R8">
        <v>0.63925799999999999</v>
      </c>
      <c r="S8" t="s">
        <v>1762</v>
      </c>
      <c r="T8">
        <v>2025</v>
      </c>
      <c r="U8" t="s">
        <v>2880</v>
      </c>
      <c r="V8" s="6">
        <v>45921</v>
      </c>
      <c r="W8">
        <v>5</v>
      </c>
      <c r="X8">
        <v>21326292</v>
      </c>
      <c r="Y8">
        <v>100894</v>
      </c>
      <c r="Z8" t="s">
        <v>3254</v>
      </c>
      <c r="BI8" t="s">
        <v>2975</v>
      </c>
      <c r="BJ8" t="s">
        <v>1769</v>
      </c>
      <c r="BK8">
        <v>0.78817400000000004</v>
      </c>
      <c r="BL8">
        <v>1.4283000000000001E-2</v>
      </c>
      <c r="BM8" t="s">
        <v>1745</v>
      </c>
      <c r="BN8">
        <v>2025</v>
      </c>
      <c r="BO8" t="s">
        <v>2976</v>
      </c>
      <c r="BP8" s="6">
        <v>46058</v>
      </c>
      <c r="BQ8">
        <v>5</v>
      </c>
      <c r="BR8">
        <v>1958250</v>
      </c>
      <c r="BS8">
        <v>106045</v>
      </c>
      <c r="BT8" t="s">
        <v>2977</v>
      </c>
      <c r="BW8" t="s">
        <v>733</v>
      </c>
      <c r="BX8">
        <v>-2.4245362661989844E-14</v>
      </c>
      <c r="BZ8">
        <v>-2.4245362661989844E-14</v>
      </c>
      <c r="CA8" t="s">
        <v>1745</v>
      </c>
      <c r="CB8">
        <v>2022</v>
      </c>
      <c r="CC8" t="s">
        <v>3147</v>
      </c>
      <c r="CD8" s="6">
        <v>44986</v>
      </c>
      <c r="CE8">
        <v>5</v>
      </c>
      <c r="CF8">
        <v>-2.4245362661989844E-14</v>
      </c>
      <c r="CG8">
        <v>394590</v>
      </c>
      <c r="CH8" t="s">
        <v>3148</v>
      </c>
      <c r="EU8" t="s">
        <v>6475</v>
      </c>
      <c r="EW8">
        <v>-2.4245362661989844E-14</v>
      </c>
      <c r="EX8">
        <v>-2.4245362661989844E-14</v>
      </c>
      <c r="EY8" t="s">
        <v>1745</v>
      </c>
      <c r="EZ8">
        <v>2024</v>
      </c>
      <c r="FA8" t="s">
        <v>6470</v>
      </c>
      <c r="FB8" s="6">
        <v>45709</v>
      </c>
      <c r="FC8">
        <v>5</v>
      </c>
      <c r="FD8">
        <v>-2.4245362661989844E-14</v>
      </c>
      <c r="FE8">
        <v>19995253</v>
      </c>
      <c r="FF8" t="s">
        <v>6476</v>
      </c>
      <c r="FI8" t="s">
        <v>6469</v>
      </c>
      <c r="FJ8">
        <v>-2.4245362661989844E-14</v>
      </c>
      <c r="FL8">
        <v>-2.4245362661989844E-14</v>
      </c>
      <c r="FM8" t="s">
        <v>1745</v>
      </c>
      <c r="FN8">
        <v>2022</v>
      </c>
      <c r="FO8" t="s">
        <v>6519</v>
      </c>
      <c r="FP8" s="6">
        <v>44980</v>
      </c>
      <c r="FQ8">
        <v>5</v>
      </c>
      <c r="FR8">
        <v>-2.4245362661989844E-14</v>
      </c>
      <c r="FS8">
        <v>311103</v>
      </c>
      <c r="FT8" t="s">
        <v>6471</v>
      </c>
      <c r="HC8" t="s">
        <v>2677</v>
      </c>
      <c r="HD8" t="s">
        <v>1786</v>
      </c>
      <c r="HE8">
        <v>3.9360000000000003E-3</v>
      </c>
      <c r="HF8">
        <v>7.9015000000000002E-2</v>
      </c>
      <c r="HG8" t="s">
        <v>1742</v>
      </c>
      <c r="HH8">
        <v>2025</v>
      </c>
      <c r="HI8" t="s">
        <v>2678</v>
      </c>
      <c r="HJ8" s="6">
        <v>45974</v>
      </c>
      <c r="HK8">
        <v>5</v>
      </c>
      <c r="HL8">
        <v>96555.28</v>
      </c>
      <c r="HM8">
        <v>193571</v>
      </c>
      <c r="HN8" t="s">
        <v>2679</v>
      </c>
      <c r="KO8" t="s">
        <v>5759</v>
      </c>
      <c r="KQ8">
        <v>-2.4245362661989844E-14</v>
      </c>
      <c r="KR8">
        <v>-2.4245362661989844E-14</v>
      </c>
      <c r="KS8" t="s">
        <v>1745</v>
      </c>
      <c r="KT8">
        <v>2021</v>
      </c>
      <c r="KU8" t="s">
        <v>5760</v>
      </c>
      <c r="KV8" s="6">
        <v>44693</v>
      </c>
      <c r="KW8">
        <v>4</v>
      </c>
      <c r="KX8">
        <v>-2.4245362661989844E-14</v>
      </c>
      <c r="KY8">
        <v>36484351</v>
      </c>
      <c r="KZ8" t="s">
        <v>5761</v>
      </c>
      <c r="MW8" t="s">
        <v>5017</v>
      </c>
      <c r="MY8">
        <v>-2.4245362661989844E-14</v>
      </c>
      <c r="MZ8">
        <v>-2.4245362661989844E-14</v>
      </c>
      <c r="NA8" t="s">
        <v>1745</v>
      </c>
      <c r="NB8">
        <v>2023</v>
      </c>
      <c r="NC8" t="s">
        <v>5315</v>
      </c>
      <c r="ND8" s="6">
        <v>45174</v>
      </c>
      <c r="NE8">
        <v>5</v>
      </c>
      <c r="NF8">
        <v>-2.4245362661989844E-14</v>
      </c>
      <c r="NG8">
        <v>69539060</v>
      </c>
      <c r="NH8" t="s">
        <v>5019</v>
      </c>
      <c r="PE8" t="s">
        <v>454</v>
      </c>
      <c r="PF8" t="s">
        <v>1786</v>
      </c>
      <c r="PG8">
        <v>0.52513100000000001</v>
      </c>
      <c r="PH8">
        <v>1.9250149999999999</v>
      </c>
      <c r="PI8" t="s">
        <v>1762</v>
      </c>
      <c r="PJ8">
        <v>2025</v>
      </c>
      <c r="PK8" t="s">
        <v>1877</v>
      </c>
      <c r="PL8" s="6">
        <v>45888</v>
      </c>
      <c r="PM8">
        <v>5</v>
      </c>
      <c r="PN8">
        <v>57885192</v>
      </c>
      <c r="PO8">
        <v>100632</v>
      </c>
      <c r="PP8" t="s">
        <v>1850</v>
      </c>
      <c r="PS8" t="s">
        <v>3236</v>
      </c>
      <c r="PT8">
        <v>0.36827399999999999</v>
      </c>
      <c r="PU8" t="s">
        <v>1786</v>
      </c>
      <c r="PV8">
        <v>3.6235999999999997E-2</v>
      </c>
      <c r="PW8" t="s">
        <v>1762</v>
      </c>
      <c r="PX8">
        <v>2025</v>
      </c>
      <c r="PY8" t="s">
        <v>3043</v>
      </c>
      <c r="PZ8" s="6">
        <v>45915</v>
      </c>
      <c r="QA8">
        <v>5</v>
      </c>
      <c r="QB8">
        <v>13685062</v>
      </c>
      <c r="QC8">
        <v>16632863</v>
      </c>
      <c r="QD8" t="s">
        <v>3238</v>
      </c>
      <c r="SQ8" t="s">
        <v>246</v>
      </c>
      <c r="SR8" t="s">
        <v>1786</v>
      </c>
      <c r="SS8">
        <v>0.38197399999999998</v>
      </c>
      <c r="ST8">
        <v>2.6527189999999998</v>
      </c>
      <c r="SU8" t="s">
        <v>1762</v>
      </c>
      <c r="SV8">
        <v>2025</v>
      </c>
      <c r="SW8" t="s">
        <v>5981</v>
      </c>
      <c r="SX8" s="6">
        <v>45862</v>
      </c>
      <c r="SY8">
        <v>5</v>
      </c>
      <c r="SZ8">
        <v>368330048</v>
      </c>
      <c r="TA8">
        <v>46946968</v>
      </c>
      <c r="TB8" t="s">
        <v>1765</v>
      </c>
      <c r="TE8" t="s">
        <v>1409</v>
      </c>
      <c r="TF8">
        <v>4.8992000000000001E-2</v>
      </c>
      <c r="TG8" t="s">
        <v>1786</v>
      </c>
      <c r="TH8">
        <v>1.135372</v>
      </c>
      <c r="TI8" t="s">
        <v>1845</v>
      </c>
      <c r="TJ8">
        <v>2025</v>
      </c>
      <c r="TK8" t="s">
        <v>2208</v>
      </c>
      <c r="TL8" s="6">
        <v>46091</v>
      </c>
      <c r="TM8">
        <v>5</v>
      </c>
      <c r="TN8">
        <v>17823852</v>
      </c>
      <c r="TO8">
        <v>156637</v>
      </c>
      <c r="TP8" t="s">
        <v>2209</v>
      </c>
      <c r="TU8" t="s">
        <v>2912</v>
      </c>
      <c r="TV8" t="s">
        <v>1786</v>
      </c>
      <c r="TW8">
        <v>0.44491900000000001</v>
      </c>
      <c r="TX8">
        <v>7.1555999999999995E-2</v>
      </c>
      <c r="TY8" t="s">
        <v>1809</v>
      </c>
      <c r="TZ8">
        <v>2025</v>
      </c>
      <c r="UA8" t="s">
        <v>2913</v>
      </c>
      <c r="UB8" s="6">
        <v>45787</v>
      </c>
      <c r="UC8">
        <v>5</v>
      </c>
      <c r="UD8">
        <v>559570</v>
      </c>
      <c r="UE8">
        <v>100416</v>
      </c>
      <c r="UF8" t="s">
        <v>2914</v>
      </c>
      <c r="UI8" t="s">
        <v>2602</v>
      </c>
      <c r="UJ8">
        <v>-2.4245362661989844E-14</v>
      </c>
      <c r="UL8">
        <v>-2.4245362661989844E-14</v>
      </c>
      <c r="UM8" t="s">
        <v>1798</v>
      </c>
      <c r="UN8">
        <v>2025</v>
      </c>
      <c r="UO8" t="s">
        <v>2603</v>
      </c>
      <c r="UP8" s="6">
        <v>45975</v>
      </c>
      <c r="UQ8">
        <v>5</v>
      </c>
      <c r="UR8">
        <v>-2.4245362661989844E-14</v>
      </c>
      <c r="US8">
        <v>815829</v>
      </c>
      <c r="UT8" t="s">
        <v>2604</v>
      </c>
    </row>
    <row r="9" spans="1:600" x14ac:dyDescent="0.25">
      <c r="A9" t="s">
        <v>5849</v>
      </c>
      <c r="C9">
        <v>-2.4245362661989844E-14</v>
      </c>
      <c r="D9">
        <v>-2.4245362661989844E-14</v>
      </c>
      <c r="E9" t="s">
        <v>1809</v>
      </c>
      <c r="F9">
        <v>2024</v>
      </c>
      <c r="G9" t="s">
        <v>5841</v>
      </c>
      <c r="H9" s="6">
        <v>45447</v>
      </c>
      <c r="I9">
        <v>5</v>
      </c>
      <c r="J9">
        <v>-2.4245362661989844E-14</v>
      </c>
      <c r="K9">
        <v>64841808</v>
      </c>
      <c r="L9" t="s">
        <v>5850</v>
      </c>
      <c r="O9" t="s">
        <v>33</v>
      </c>
      <c r="P9">
        <v>2.0274320000000001</v>
      </c>
      <c r="Q9" t="s">
        <v>2416</v>
      </c>
      <c r="R9">
        <v>0.84310399999999996</v>
      </c>
      <c r="S9" t="s">
        <v>1762</v>
      </c>
      <c r="T9">
        <v>2025</v>
      </c>
      <c r="U9" t="s">
        <v>2880</v>
      </c>
      <c r="V9" s="6">
        <v>45921</v>
      </c>
      <c r="W9">
        <v>5</v>
      </c>
      <c r="X9">
        <v>20925836</v>
      </c>
      <c r="Y9">
        <v>101166</v>
      </c>
      <c r="Z9" t="s">
        <v>3255</v>
      </c>
      <c r="BI9" t="s">
        <v>2978</v>
      </c>
      <c r="BJ9" t="s">
        <v>1769</v>
      </c>
      <c r="BK9">
        <v>0.777281</v>
      </c>
      <c r="BL9">
        <v>1.0723999999999999E-2</v>
      </c>
      <c r="BM9" t="s">
        <v>1745</v>
      </c>
      <c r="BN9">
        <v>2024</v>
      </c>
      <c r="BO9" t="s">
        <v>2979</v>
      </c>
      <c r="BP9" s="6">
        <v>45694</v>
      </c>
      <c r="BQ9">
        <v>5</v>
      </c>
      <c r="BR9">
        <v>1463750</v>
      </c>
      <c r="BS9">
        <v>106543</v>
      </c>
      <c r="BT9" t="s">
        <v>2980</v>
      </c>
      <c r="BW9" t="s">
        <v>3149</v>
      </c>
      <c r="BX9">
        <v>-2.4245362661989844E-14</v>
      </c>
      <c r="BZ9">
        <v>-2.4245362661989844E-14</v>
      </c>
      <c r="CA9" t="s">
        <v>1745</v>
      </c>
      <c r="CB9">
        <v>2023</v>
      </c>
      <c r="CC9" t="s">
        <v>3150</v>
      </c>
      <c r="CD9" s="6">
        <v>45175</v>
      </c>
      <c r="CE9">
        <v>5</v>
      </c>
      <c r="CF9">
        <v>-2.4245362661989844E-14</v>
      </c>
      <c r="CG9">
        <v>100555</v>
      </c>
      <c r="CH9" t="s">
        <v>3151</v>
      </c>
      <c r="EU9" t="s">
        <v>6477</v>
      </c>
      <c r="EW9">
        <v>-2.4245362661989844E-14</v>
      </c>
      <c r="EX9">
        <v>-2.4245362661989844E-14</v>
      </c>
      <c r="EY9" t="s">
        <v>1745</v>
      </c>
      <c r="EZ9">
        <v>2024</v>
      </c>
      <c r="FA9" t="s">
        <v>6470</v>
      </c>
      <c r="FB9" s="6">
        <v>45709</v>
      </c>
      <c r="FC9">
        <v>5</v>
      </c>
      <c r="FD9">
        <v>-2.4245362661989844E-14</v>
      </c>
      <c r="FE9">
        <v>968870</v>
      </c>
      <c r="FF9" t="s">
        <v>6478</v>
      </c>
      <c r="FI9" t="s">
        <v>5586</v>
      </c>
      <c r="FJ9">
        <v>-2.4245362661989844E-14</v>
      </c>
      <c r="FL9">
        <v>-2.4245362661989844E-14</v>
      </c>
      <c r="FM9" t="s">
        <v>1745</v>
      </c>
      <c r="FN9">
        <v>2021</v>
      </c>
      <c r="FO9" t="s">
        <v>4973</v>
      </c>
      <c r="FP9" s="6">
        <v>44693</v>
      </c>
      <c r="FQ9">
        <v>5</v>
      </c>
      <c r="FR9">
        <v>-2.4245362661989844E-14</v>
      </c>
      <c r="FS9">
        <v>961545</v>
      </c>
      <c r="FT9" t="s">
        <v>5588</v>
      </c>
      <c r="HC9" t="s">
        <v>2680</v>
      </c>
      <c r="HE9">
        <v>-2.4245362661989844E-14</v>
      </c>
      <c r="HF9">
        <v>-2.4245362661989844E-14</v>
      </c>
      <c r="HG9" t="s">
        <v>1745</v>
      </c>
      <c r="HH9">
        <v>2023</v>
      </c>
      <c r="HI9" t="s">
        <v>2516</v>
      </c>
      <c r="HJ9" s="6">
        <v>45302</v>
      </c>
      <c r="HK9">
        <v>5</v>
      </c>
      <c r="HL9">
        <v>-2.4245362661989844E-14</v>
      </c>
      <c r="HM9">
        <v>931651</v>
      </c>
      <c r="HN9" t="s">
        <v>2681</v>
      </c>
      <c r="MW9" t="s">
        <v>2972</v>
      </c>
      <c r="MY9">
        <v>-2.4245362661989844E-14</v>
      </c>
      <c r="MZ9">
        <v>-2.4245362661989844E-14</v>
      </c>
      <c r="NA9" t="s">
        <v>1745</v>
      </c>
      <c r="NB9">
        <v>2024</v>
      </c>
      <c r="NC9" t="s">
        <v>5316</v>
      </c>
      <c r="ND9" s="6">
        <v>45702</v>
      </c>
      <c r="NE9">
        <v>5</v>
      </c>
      <c r="NF9">
        <v>-2.4245362661989844E-14</v>
      </c>
      <c r="NG9">
        <v>126273</v>
      </c>
      <c r="NH9" t="s">
        <v>2974</v>
      </c>
      <c r="PE9" t="s">
        <v>274</v>
      </c>
      <c r="PF9" t="s">
        <v>1786</v>
      </c>
      <c r="PG9">
        <v>2.507603</v>
      </c>
      <c r="PH9">
        <v>1.8620080000000001</v>
      </c>
      <c r="PI9" t="s">
        <v>1762</v>
      </c>
      <c r="PJ9">
        <v>2025</v>
      </c>
      <c r="PK9" t="s">
        <v>2172</v>
      </c>
      <c r="PL9" s="6">
        <v>45791</v>
      </c>
      <c r="PM9">
        <v>5</v>
      </c>
      <c r="PN9">
        <v>49752848</v>
      </c>
      <c r="PO9">
        <v>116988</v>
      </c>
      <c r="PP9" t="s">
        <v>4108</v>
      </c>
      <c r="PS9" t="s">
        <v>1870</v>
      </c>
      <c r="PT9">
        <v>0.14956900000000001</v>
      </c>
      <c r="PU9" t="s">
        <v>1786</v>
      </c>
      <c r="PV9">
        <v>0.12129</v>
      </c>
      <c r="PW9" t="s">
        <v>1809</v>
      </c>
      <c r="PX9">
        <v>2025</v>
      </c>
      <c r="PY9" t="s">
        <v>1871</v>
      </c>
      <c r="PZ9" s="6">
        <v>45820</v>
      </c>
      <c r="QA9">
        <v>5</v>
      </c>
      <c r="QB9">
        <v>4944751</v>
      </c>
      <c r="QC9">
        <v>12129192</v>
      </c>
      <c r="QD9" t="s">
        <v>1872</v>
      </c>
      <c r="SQ9" t="s">
        <v>2919</v>
      </c>
      <c r="SR9" t="s">
        <v>1820</v>
      </c>
      <c r="SS9">
        <v>5.5977880000000004</v>
      </c>
      <c r="ST9">
        <v>7.6756450000000003</v>
      </c>
      <c r="SU9" t="s">
        <v>1742</v>
      </c>
      <c r="SV9">
        <v>2025</v>
      </c>
      <c r="SW9" t="s">
        <v>2920</v>
      </c>
      <c r="SX9" s="6">
        <v>46029</v>
      </c>
      <c r="SY9">
        <v>5</v>
      </c>
      <c r="SZ9">
        <v>330895084.14999998</v>
      </c>
      <c r="TA9">
        <v>115705</v>
      </c>
      <c r="TB9" t="s">
        <v>2921</v>
      </c>
      <c r="TE9" t="s">
        <v>2012</v>
      </c>
      <c r="TF9">
        <v>4.8830999999999999E-2</v>
      </c>
      <c r="TG9" t="s">
        <v>1786</v>
      </c>
      <c r="TH9">
        <v>2.7042419999999998</v>
      </c>
      <c r="TI9" t="s">
        <v>1742</v>
      </c>
      <c r="TJ9">
        <v>2025</v>
      </c>
      <c r="TK9" t="s">
        <v>2013</v>
      </c>
      <c r="TL9" s="6">
        <v>45840</v>
      </c>
      <c r="TM9">
        <v>5</v>
      </c>
      <c r="TN9">
        <v>16351064</v>
      </c>
      <c r="TO9">
        <v>136424</v>
      </c>
      <c r="TP9" t="s">
        <v>2014</v>
      </c>
      <c r="TU9" t="s">
        <v>2915</v>
      </c>
      <c r="TV9" t="s">
        <v>1786</v>
      </c>
      <c r="TW9">
        <v>4.2673999999999997E-2</v>
      </c>
      <c r="TX9">
        <v>5.7613999999999999E-2</v>
      </c>
      <c r="TY9" t="s">
        <v>1742</v>
      </c>
      <c r="TZ9">
        <v>2025</v>
      </c>
      <c r="UA9" t="s">
        <v>2916</v>
      </c>
      <c r="UB9" s="6">
        <v>45905</v>
      </c>
      <c r="UC9">
        <v>5</v>
      </c>
      <c r="UD9">
        <v>489723</v>
      </c>
      <c r="UE9">
        <v>104365</v>
      </c>
      <c r="UF9" t="s">
        <v>2917</v>
      </c>
      <c r="UI9" t="s">
        <v>2605</v>
      </c>
      <c r="UJ9">
        <v>-2.4245362661989844E-14</v>
      </c>
      <c r="UL9">
        <v>-2.4245362661989844E-14</v>
      </c>
      <c r="UM9" t="s">
        <v>1745</v>
      </c>
      <c r="UN9">
        <v>2024</v>
      </c>
      <c r="UO9" t="s">
        <v>2606</v>
      </c>
      <c r="UP9" s="6">
        <v>45512</v>
      </c>
      <c r="UQ9">
        <v>5</v>
      </c>
      <c r="UR9">
        <v>-2.4245362661989844E-14</v>
      </c>
      <c r="US9">
        <v>36817400</v>
      </c>
      <c r="UT9" t="s">
        <v>2607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322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323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324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325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326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327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328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329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330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331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332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333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334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335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336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337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338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339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340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341</v>
      </c>
      <c r="AE2" s="3" t="s">
        <v>342</v>
      </c>
      <c r="BI2" s="3" t="s">
        <v>343</v>
      </c>
      <c r="CM2" s="3" t="s">
        <v>344</v>
      </c>
      <c r="DQ2" s="3" t="s">
        <v>345</v>
      </c>
      <c r="EU2" s="3" t="s">
        <v>346</v>
      </c>
      <c r="FY2" s="3" t="s">
        <v>347</v>
      </c>
      <c r="HC2" s="3" t="s">
        <v>348</v>
      </c>
      <c r="IG2" s="3" t="s">
        <v>349</v>
      </c>
      <c r="JK2" s="3" t="s">
        <v>350</v>
      </c>
      <c r="KO2" s="3" t="s">
        <v>351</v>
      </c>
      <c r="LS2" s="3" t="s">
        <v>352</v>
      </c>
      <c r="MW2" s="3" t="s">
        <v>353</v>
      </c>
      <c r="OA2" s="3" t="s">
        <v>354</v>
      </c>
      <c r="PE2" s="3" t="s">
        <v>355</v>
      </c>
      <c r="QI2" s="3" t="s">
        <v>356</v>
      </c>
      <c r="RM2" s="3" t="s">
        <v>154</v>
      </c>
      <c r="SQ2" s="3" t="s">
        <v>357</v>
      </c>
      <c r="TU2" s="3" t="s">
        <v>358</v>
      </c>
      <c r="UY2" s="3" t="s">
        <v>359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_xll.BDS("CIVI US Equity","SUPPLY_CHAIN_SUPPLIERS_ALL_DATA","cols=12;rows=5")</f>
        <v>PNRG US Equity</v>
      </c>
      <c r="B5" t="s">
        <v>1786</v>
      </c>
      <c r="C5">
        <v>16.505337000000001</v>
      </c>
      <c r="D5">
        <v>1.1399109999999999</v>
      </c>
      <c r="E5" t="s">
        <v>1745</v>
      </c>
      <c r="F5">
        <v>2024</v>
      </c>
      <c r="G5" t="s">
        <v>5651</v>
      </c>
      <c r="H5" s="6">
        <v>45762</v>
      </c>
      <c r="I5">
        <v>5</v>
      </c>
      <c r="J5">
        <v>9658840</v>
      </c>
      <c r="K5">
        <v>106186</v>
      </c>
      <c r="L5" t="s">
        <v>5652</v>
      </c>
      <c r="O5" t="str">
        <f>_xll.BDS("CIVI US Equity","SUPPLY_CHAIN_CUSTOMERS_ALL_DATA")</f>
        <v>#N/A N/A</v>
      </c>
      <c r="AE5" t="str">
        <f>_xll.BDS("SCI US Equity","SUPPLY_CHAIN_SUPPLIERS_ALL_DATA")</f>
        <v>#N/A N/A</v>
      </c>
      <c r="AS5" t="str">
        <f>_xll.BDS("SCI US Equity","SUPPLY_CHAIN_CUSTOMERS_ALL_DATA")</f>
        <v>#N/A N/A</v>
      </c>
      <c r="BI5" t="str">
        <f>_xll.BDS("HWC US Equity","SUPPLY_CHAIN_SUPPLIERS_ALL_DATA","cols=12;rows=1")</f>
        <v>NMRK US Equity</v>
      </c>
      <c r="BK5">
        <v>-2.4245362661989844E-14</v>
      </c>
      <c r="BL5">
        <v>-2.4245362661989844E-14</v>
      </c>
      <c r="BM5" t="s">
        <v>1745</v>
      </c>
      <c r="BN5">
        <v>2023</v>
      </c>
      <c r="BO5" t="s">
        <v>4477</v>
      </c>
      <c r="BP5" s="6">
        <v>45174</v>
      </c>
      <c r="BQ5">
        <v>1</v>
      </c>
      <c r="BR5">
        <v>-2.4245362661989844E-14</v>
      </c>
      <c r="BS5">
        <v>55742501</v>
      </c>
      <c r="BT5" t="s">
        <v>4478</v>
      </c>
      <c r="BW5" t="str">
        <f>_xll.BDS("HWC US Equity","SUPPLY_CHAIN_CUSTOMERS_ALL_DATA")</f>
        <v>#N/A N/A</v>
      </c>
      <c r="CM5" t="str">
        <f>_xll.BDS("FNB US Equity","SUPPLY_CHAIN_SUPPLIERS_ALL_DATA","cols=12;rows=1")</f>
        <v>HY US Equity</v>
      </c>
      <c r="CO5">
        <v>-2.4245362661989844E-14</v>
      </c>
      <c r="CP5">
        <v>-2.4245362661989844E-14</v>
      </c>
      <c r="CQ5" t="s">
        <v>1745</v>
      </c>
      <c r="CR5">
        <v>2024</v>
      </c>
      <c r="CS5" t="s">
        <v>4948</v>
      </c>
      <c r="CT5" s="6">
        <v>45427</v>
      </c>
      <c r="CU5">
        <v>1</v>
      </c>
      <c r="CV5">
        <v>-2.4245362661989844E-14</v>
      </c>
      <c r="CW5">
        <v>159242</v>
      </c>
      <c r="CX5" t="s">
        <v>4949</v>
      </c>
      <c r="DA5" t="str">
        <f>_xll.BDS("FNB US Equity","SUPPLY_CHAIN_CUSTOMERS_ALL_DATA")</f>
        <v>#N/A N/A</v>
      </c>
      <c r="DQ5" t="str">
        <f>_xll.BDS("EBAY US Equity","SUPPLY_CHAIN_SUPPLIERS_ALL_DATA","cols=12;rows=5")</f>
        <v>NVDA US Equity</v>
      </c>
      <c r="DR5" t="s">
        <v>1820</v>
      </c>
      <c r="DS5">
        <v>2.3053000000000001E-2</v>
      </c>
      <c r="DT5">
        <v>13.423348000000001</v>
      </c>
      <c r="DU5" t="s">
        <v>1845</v>
      </c>
      <c r="DV5">
        <v>2026</v>
      </c>
      <c r="DW5" t="s">
        <v>2311</v>
      </c>
      <c r="DX5" s="6">
        <v>46087</v>
      </c>
      <c r="DY5">
        <v>5</v>
      </c>
      <c r="DZ5">
        <v>15705317</v>
      </c>
      <c r="EA5">
        <v>313657</v>
      </c>
      <c r="EB5" t="s">
        <v>2312</v>
      </c>
      <c r="EE5" t="str">
        <f>_xll.BDS("EBAY US Equity","SUPPLY_CHAIN_CUSTOMERS_ALL_DATA","cols=12;rows=5")</f>
        <v>3048 JP Equity</v>
      </c>
      <c r="EF5">
        <v>1.7252E-2</v>
      </c>
      <c r="EG5" t="s">
        <v>1786</v>
      </c>
      <c r="EH5">
        <v>3.9722E-2</v>
      </c>
      <c r="EI5" t="s">
        <v>1845</v>
      </c>
      <c r="EJ5">
        <v>2025</v>
      </c>
      <c r="EK5" t="s">
        <v>6154</v>
      </c>
      <c r="EL5" s="6">
        <v>46013</v>
      </c>
      <c r="EM5">
        <v>5</v>
      </c>
      <c r="EN5">
        <v>490132.1</v>
      </c>
      <c r="EO5">
        <v>9414129</v>
      </c>
      <c r="EP5" t="s">
        <v>6155</v>
      </c>
      <c r="EU5" t="str">
        <f>_xll.BDS("3029830Q US Equity","SUPPLY_CHAIN_SUPPLIERS_ALL_DATA")</f>
        <v>#N/A N/A</v>
      </c>
      <c r="FI5" t="str">
        <f>_xll.BDS("3029830Q US Equity","SUPPLY_CHAIN_CUSTOMERS_ALL_DATA")</f>
        <v>#N/A N/A</v>
      </c>
      <c r="FY5" t="str">
        <f>_xll.BDS("ATBA AV Equity","SUPPLY_CHAIN_SUPPLIERS_ALL_DATA","cols=12;rows=5")</f>
        <v>000676 CH Equity</v>
      </c>
      <c r="GA5">
        <v>-2.4245362661989844E-14</v>
      </c>
      <c r="GB5">
        <v>-2.4245362661989844E-14</v>
      </c>
      <c r="GC5" t="s">
        <v>1805</v>
      </c>
      <c r="GD5">
        <v>2025</v>
      </c>
      <c r="GE5" t="s">
        <v>5853</v>
      </c>
      <c r="GF5" s="6">
        <v>45896</v>
      </c>
      <c r="GG5">
        <v>5</v>
      </c>
      <c r="GH5">
        <v>-2.4245362661989844E-14</v>
      </c>
      <c r="GI5">
        <v>193970</v>
      </c>
      <c r="GJ5" t="s">
        <v>5854</v>
      </c>
      <c r="GM5" t="str">
        <f>_xll.BDS("ATBA AV Equity","SUPPLY_CHAIN_CUSTOMERS_ALL_DATA","cols=12;rows=5")</f>
        <v>066570 KS Equity</v>
      </c>
      <c r="GN5">
        <v>-2.4245362661989844E-14</v>
      </c>
      <c r="GP5">
        <v>-2.4245362661989844E-14</v>
      </c>
      <c r="GQ5" t="s">
        <v>1745</v>
      </c>
      <c r="GR5">
        <v>2025</v>
      </c>
      <c r="GS5" t="s">
        <v>6388</v>
      </c>
      <c r="GT5" s="6">
        <v>45757</v>
      </c>
      <c r="GU5">
        <v>5</v>
      </c>
      <c r="GV5">
        <v>-2.4245362661989844E-14</v>
      </c>
      <c r="GW5">
        <v>7583418</v>
      </c>
      <c r="GX5" t="s">
        <v>2163</v>
      </c>
      <c r="HC5" t="str">
        <f>_xll.BDS("611214Q US Equity","SUPPLY_CHAIN_SUPPLIERS_ALL_DATA")</f>
        <v>#N/A N/A</v>
      </c>
      <c r="HQ5" t="str">
        <f>_xll.BDS("611214Q US Equity","SUPPLY_CHAIN_CUSTOMERS_ALL_DATA")</f>
        <v>#N/A N/A</v>
      </c>
      <c r="IG5" t="str">
        <f>_xll.BDS("PTEN US Equity","SUPPLY_CHAIN_SUPPLIERS_ALL_DATA","cols=12;rows=5")</f>
        <v>DNOW US Equity</v>
      </c>
      <c r="IH5" t="s">
        <v>1786</v>
      </c>
      <c r="II5">
        <v>0.181116</v>
      </c>
      <c r="IJ5">
        <v>0.102577</v>
      </c>
      <c r="IK5" t="s">
        <v>1742</v>
      </c>
      <c r="IL5">
        <v>2025</v>
      </c>
      <c r="IM5" t="s">
        <v>2490</v>
      </c>
      <c r="IN5" s="6">
        <v>46027</v>
      </c>
      <c r="IO5">
        <v>5</v>
      </c>
      <c r="IP5">
        <v>1148275</v>
      </c>
      <c r="IQ5">
        <v>36965288</v>
      </c>
      <c r="IR5" t="s">
        <v>1987</v>
      </c>
      <c r="IU5" t="str">
        <f>_xll.BDS("PTEN US Equity","SUPPLY_CHAIN_CUSTOMERS_ALL_DATA","cols=12;rows=3")</f>
        <v>ARCH NO Equity</v>
      </c>
      <c r="IV5">
        <v>-2.4245362661989844E-14</v>
      </c>
      <c r="IX5">
        <v>-2.4245362661989844E-14</v>
      </c>
      <c r="IY5" t="s">
        <v>1745</v>
      </c>
      <c r="IZ5">
        <v>2025</v>
      </c>
      <c r="JA5" t="s">
        <v>5419</v>
      </c>
      <c r="JB5" s="6">
        <v>46037</v>
      </c>
      <c r="JC5">
        <v>3</v>
      </c>
      <c r="JD5">
        <v>-2.4245362661989844E-14</v>
      </c>
      <c r="JE5">
        <v>13297516</v>
      </c>
      <c r="JF5" t="s">
        <v>4473</v>
      </c>
      <c r="JK5" t="str">
        <f>_xll.BDS("AMH US Equity","SUPPLY_CHAIN_SUPPLIERS_ALL_DATA","cols=12;rows=2")</f>
        <v>VHI US Equity</v>
      </c>
      <c r="JL5" t="s">
        <v>1786</v>
      </c>
      <c r="JM5">
        <v>0.47757500000000003</v>
      </c>
      <c r="JN5">
        <v>47.694060999999998</v>
      </c>
      <c r="JO5" t="s">
        <v>1745</v>
      </c>
      <c r="JP5">
        <v>2024</v>
      </c>
      <c r="JQ5" t="s">
        <v>5467</v>
      </c>
      <c r="JR5" s="6">
        <v>45722</v>
      </c>
      <c r="JS5">
        <v>2</v>
      </c>
      <c r="JT5">
        <v>2513000</v>
      </c>
      <c r="JU5">
        <v>101587</v>
      </c>
      <c r="JV5" t="s">
        <v>4418</v>
      </c>
      <c r="JY5" t="str">
        <f>_xll.BDS("AMH US Equity","SUPPLY_CHAIN_CUSTOMERS_ALL_DATA")</f>
        <v>#N/A N/A</v>
      </c>
      <c r="KO5" t="str">
        <f>_xll.BDS("DRI US Equity","SUPPLY_CHAIN_SUPPLIERS_ALL_DATA","cols=12;rows=5")</f>
        <v>PFGC US Equity</v>
      </c>
      <c r="KP5" t="s">
        <v>1786</v>
      </c>
      <c r="KQ5">
        <v>0.524061</v>
      </c>
      <c r="KR5">
        <v>3.6958709999999999</v>
      </c>
      <c r="KS5" t="s">
        <v>1809</v>
      </c>
      <c r="KT5">
        <v>2026</v>
      </c>
      <c r="KU5" t="s">
        <v>4480</v>
      </c>
      <c r="KV5" s="6">
        <v>45996</v>
      </c>
      <c r="KW5">
        <v>5</v>
      </c>
      <c r="KX5">
        <v>89488128</v>
      </c>
      <c r="KY5">
        <v>47114179</v>
      </c>
      <c r="KZ5" t="s">
        <v>4481</v>
      </c>
      <c r="LC5" t="str">
        <f>_xll.BDS("DRI US Equity","SUPPLY_CHAIN_CUSTOMERS_ALL_DATA","cols=12;rows=3")</f>
        <v>CMRB MM Equity</v>
      </c>
      <c r="LD5">
        <v>-2.4245362661989844E-14</v>
      </c>
      <c r="LF5">
        <v>-2.4245362661989844E-14</v>
      </c>
      <c r="LG5" t="s">
        <v>1742</v>
      </c>
      <c r="LH5">
        <v>2025</v>
      </c>
      <c r="LI5" t="s">
        <v>5248</v>
      </c>
      <c r="LJ5" s="6">
        <v>45958</v>
      </c>
      <c r="LK5">
        <v>3</v>
      </c>
      <c r="LL5">
        <v>-2.4245362661989844E-14</v>
      </c>
      <c r="LM5">
        <v>219483</v>
      </c>
      <c r="LN5" t="s">
        <v>5249</v>
      </c>
      <c r="LS5" t="str">
        <f>_xll.BDS("CAR US Equity","SUPPLY_CHAIN_SUPPLIERS_ALL_DATA","cols=12;rows=5")</f>
        <v>VRRM US Equity</v>
      </c>
      <c r="LT5" t="s">
        <v>1786</v>
      </c>
      <c r="LU5">
        <v>13.5</v>
      </c>
      <c r="LV5">
        <v>1.973611</v>
      </c>
      <c r="LW5" t="s">
        <v>1745</v>
      </c>
      <c r="LX5">
        <v>2024</v>
      </c>
      <c r="LY5" t="s">
        <v>4514</v>
      </c>
      <c r="LZ5" s="6">
        <v>45715</v>
      </c>
      <c r="MA5">
        <v>5</v>
      </c>
      <c r="MB5">
        <v>29673236</v>
      </c>
      <c r="MC5">
        <v>51985055</v>
      </c>
      <c r="MD5" t="s">
        <v>4515</v>
      </c>
      <c r="MG5" t="str">
        <f>_xll.BDS("CAR US Equity","SUPPLY_CHAIN_CUSTOMERS_ALL_DATA","cols=12;rows=5")</f>
        <v>EIH IN Equity</v>
      </c>
      <c r="MH5">
        <v>1.306E-2</v>
      </c>
      <c r="MI5" t="s">
        <v>1786</v>
      </c>
      <c r="MJ5">
        <v>0.69246200000000002</v>
      </c>
      <c r="MK5" t="s">
        <v>1745</v>
      </c>
      <c r="ML5">
        <v>2025</v>
      </c>
      <c r="MM5" t="s">
        <v>1990</v>
      </c>
      <c r="MN5" s="6">
        <v>45850</v>
      </c>
      <c r="MO5">
        <v>5</v>
      </c>
      <c r="MP5">
        <v>381034.1</v>
      </c>
      <c r="MQ5">
        <v>162657</v>
      </c>
      <c r="MR5" t="s">
        <v>1991</v>
      </c>
      <c r="MW5" t="str">
        <f>_xll.BDS("PCH US Equity","SUPPLY_CHAIN_SUPPLIERS_ALL_DATA","cols=12;rows=1")</f>
        <v>ETR US Equity</v>
      </c>
      <c r="MY5">
        <v>-2.4245362661989844E-14</v>
      </c>
      <c r="MZ5">
        <v>-2.4245362661989844E-14</v>
      </c>
      <c r="NA5" t="s">
        <v>1745</v>
      </c>
      <c r="NB5">
        <v>2021</v>
      </c>
      <c r="NC5" t="s">
        <v>3370</v>
      </c>
      <c r="ND5" s="6">
        <v>44693</v>
      </c>
      <c r="NE5">
        <v>1</v>
      </c>
      <c r="NF5">
        <v>-2.4245362661989844E-14</v>
      </c>
      <c r="NG5">
        <v>100532</v>
      </c>
      <c r="NH5" t="s">
        <v>3371</v>
      </c>
      <c r="NK5" t="str">
        <f>_xll.BDS("PCH US Equity","SUPPLY_CHAIN_CUSTOMERS_ALL_DATA","cols=12;rows=1")</f>
        <v>TTI US Equity</v>
      </c>
      <c r="NL5">
        <v>-2.4245362661989844E-14</v>
      </c>
      <c r="NN5">
        <v>-2.4245362661989844E-14</v>
      </c>
      <c r="NO5" t="s">
        <v>1745</v>
      </c>
      <c r="NP5">
        <v>2025</v>
      </c>
      <c r="NQ5" t="s">
        <v>5123</v>
      </c>
      <c r="NR5" s="6">
        <v>45693</v>
      </c>
      <c r="NS5">
        <v>1</v>
      </c>
      <c r="NT5">
        <v>-2.4245362661989844E-14</v>
      </c>
      <c r="NU5">
        <v>107445</v>
      </c>
      <c r="NV5" t="s">
        <v>5124</v>
      </c>
      <c r="OA5" t="str">
        <f>_xll.BDS("8394653Q US Equity","SUPPLY_CHAIN_SUPPLIERS_ALL_DATA")</f>
        <v>#N/A N/A</v>
      </c>
      <c r="OO5" t="str">
        <f>_xll.BDS("8394653Q US Equity","SUPPLY_CHAIN_CUSTOMERS_ALL_DATA")</f>
        <v>#N/A N/A</v>
      </c>
      <c r="PE5" t="str">
        <f>_xll.BDS("C US Equity","SUPPLY_CHAIN_SUPPLIERS_ALL_DATA","cols=12;rows=5")</f>
        <v>ORCL US Equity</v>
      </c>
      <c r="PF5" t="s">
        <v>1786</v>
      </c>
      <c r="PG5">
        <v>0.204793</v>
      </c>
      <c r="PH5">
        <v>0.242594</v>
      </c>
      <c r="PI5" t="s">
        <v>1845</v>
      </c>
      <c r="PJ5">
        <v>2025</v>
      </c>
      <c r="PK5" t="s">
        <v>1883</v>
      </c>
      <c r="PL5" s="6">
        <v>45848</v>
      </c>
      <c r="PM5">
        <v>5</v>
      </c>
      <c r="PN5">
        <v>32568232</v>
      </c>
      <c r="PO5">
        <v>101752</v>
      </c>
      <c r="PP5" t="s">
        <v>2723</v>
      </c>
      <c r="PS5" t="str">
        <f>_xll.BDS("C US Equity","SUPPLY_CHAIN_CUSTOMERS_ALL_DATA","cols=12;rows=5")</f>
        <v>ANTO LN Equity</v>
      </c>
      <c r="PT5">
        <v>1.76E-4</v>
      </c>
      <c r="PU5" t="s">
        <v>1786</v>
      </c>
      <c r="PV5">
        <v>7.3010000000000002E-3</v>
      </c>
      <c r="PW5" t="s">
        <v>1745</v>
      </c>
      <c r="PX5">
        <v>2024</v>
      </c>
      <c r="PY5" t="s">
        <v>5964</v>
      </c>
      <c r="PZ5" s="6">
        <v>45743</v>
      </c>
      <c r="QA5">
        <v>5</v>
      </c>
      <c r="QB5">
        <v>74999.5</v>
      </c>
      <c r="QC5">
        <v>111100</v>
      </c>
      <c r="QD5" t="s">
        <v>5965</v>
      </c>
      <c r="QI5" t="str">
        <f>_xll.BDS("HIG US Equity","SUPPLY_CHAIN_SUPPLIERS_ALL_DATA","cols=12;rows=5")</f>
        <v>OPITQ US Equity</v>
      </c>
      <c r="QK5">
        <v>1.1000000000000001</v>
      </c>
      <c r="QL5">
        <v>-2.4245362661989844E-14</v>
      </c>
      <c r="QM5" t="s">
        <v>1762</v>
      </c>
      <c r="QN5">
        <v>2025</v>
      </c>
      <c r="QO5" t="s">
        <v>3224</v>
      </c>
      <c r="QP5" s="6">
        <v>45868</v>
      </c>
      <c r="QQ5">
        <v>5</v>
      </c>
      <c r="QR5">
        <v>1259489</v>
      </c>
      <c r="QS5">
        <v>15671511</v>
      </c>
      <c r="QT5" t="s">
        <v>3225</v>
      </c>
      <c r="QW5" t="str">
        <f>_xll.BDS("HIG US Equity","SUPPLY_CHAIN_CUSTOMERS_ALL_DATA")</f>
        <v>#N/A N/A</v>
      </c>
      <c r="RM5" t="str">
        <f>_xll.BDS("GLW US Equity","SUPPLY_CHAIN_SUPPLIERS_ALL_DATA","cols=12;rows=5")</f>
        <v>300570 CH Equity</v>
      </c>
      <c r="RN5" t="s">
        <v>1786</v>
      </c>
      <c r="RO5">
        <v>70.099997999999999</v>
      </c>
      <c r="RP5">
        <v>1.5170360000000001</v>
      </c>
      <c r="RQ5" t="s">
        <v>1745</v>
      </c>
      <c r="RR5">
        <v>2024</v>
      </c>
      <c r="RS5" t="s">
        <v>5883</v>
      </c>
      <c r="RT5" s="6">
        <v>45745</v>
      </c>
      <c r="RU5">
        <v>5</v>
      </c>
      <c r="RV5">
        <v>33536623.91</v>
      </c>
      <c r="RW5">
        <v>30291601</v>
      </c>
      <c r="RX5" t="s">
        <v>5884</v>
      </c>
      <c r="SA5" t="str">
        <f>_xll.BDS("GLW US Equity","SUPPLY_CHAIN_CUSTOMERS_ALL_DATA","cols=12;rows=5")</f>
        <v>005930 KS Equity</v>
      </c>
      <c r="SB5">
        <v>4.6196169999999999</v>
      </c>
      <c r="SC5" t="s">
        <v>1786</v>
      </c>
      <c r="SD5">
        <v>0.49962600000000001</v>
      </c>
      <c r="SE5" t="s">
        <v>1742</v>
      </c>
      <c r="SF5">
        <v>2025</v>
      </c>
      <c r="SG5" t="s">
        <v>5722</v>
      </c>
      <c r="SH5" s="6">
        <v>45982</v>
      </c>
      <c r="SI5">
        <v>5</v>
      </c>
      <c r="SJ5">
        <v>189404304</v>
      </c>
      <c r="SK5">
        <v>117929</v>
      </c>
      <c r="SL5" t="s">
        <v>1791</v>
      </c>
      <c r="SQ5" t="str">
        <f>_xll.BDS("SNX US Equity","SUPPLY_CHAIN_SUPPLIERS_ALL_DATA","cols=12;rows=5")</f>
        <v>HPQ US Equity</v>
      </c>
      <c r="SR5" t="s">
        <v>1786</v>
      </c>
      <c r="SS5">
        <v>12</v>
      </c>
      <c r="ST5">
        <v>11.690618000000001</v>
      </c>
      <c r="SU5" t="s">
        <v>1745</v>
      </c>
      <c r="SV5">
        <v>2025</v>
      </c>
      <c r="SW5" t="s">
        <v>1863</v>
      </c>
      <c r="SX5" s="6">
        <v>46001</v>
      </c>
      <c r="SY5">
        <v>5</v>
      </c>
      <c r="SZ5">
        <v>1658850048</v>
      </c>
      <c r="TA5">
        <v>100732</v>
      </c>
      <c r="TB5" t="s">
        <v>2825</v>
      </c>
      <c r="TE5" t="str">
        <f>_xll.BDS("SNX US Equity","SUPPLY_CHAIN_CUSTOMERS_ALL_DATA","cols=12;rows=5")</f>
        <v>NSIT US Equity</v>
      </c>
      <c r="TF5">
        <v>1.2451030000000001</v>
      </c>
      <c r="TG5" t="s">
        <v>1786</v>
      </c>
      <c r="TH5">
        <v>12</v>
      </c>
      <c r="TI5" t="s">
        <v>1745</v>
      </c>
      <c r="TJ5">
        <v>2025</v>
      </c>
      <c r="TK5" t="s">
        <v>2524</v>
      </c>
      <c r="TL5" s="6">
        <v>46065</v>
      </c>
      <c r="TM5">
        <v>5</v>
      </c>
      <c r="TN5">
        <v>194572592</v>
      </c>
      <c r="TO5">
        <v>156637</v>
      </c>
      <c r="TP5" t="s">
        <v>2209</v>
      </c>
      <c r="TU5" t="str">
        <f>_xll.BDS("SYK US Equity","SUPPLY_CHAIN_SUPPLIERS_ALL_DATA","cols=12;rows=5")</f>
        <v>FLEX US Equity</v>
      </c>
      <c r="TV5" t="s">
        <v>1786</v>
      </c>
      <c r="TW5">
        <v>0.99592000000000003</v>
      </c>
      <c r="TX5">
        <v>2.886495</v>
      </c>
      <c r="TY5" t="s">
        <v>1742</v>
      </c>
      <c r="TZ5">
        <v>2025</v>
      </c>
      <c r="UA5" t="s">
        <v>2387</v>
      </c>
      <c r="UB5" s="6">
        <v>45763</v>
      </c>
      <c r="UC5">
        <v>5</v>
      </c>
      <c r="UD5">
        <v>65292516</v>
      </c>
      <c r="UE5">
        <v>136547</v>
      </c>
      <c r="UF5" t="s">
        <v>2388</v>
      </c>
      <c r="UI5" t="str">
        <f>_xll.BDS("SYK US Equity","SUPPLY_CHAIN_CUSTOMERS_ALL_DATA","cols=12;rows=5")</f>
        <v>CNXN US Equity</v>
      </c>
      <c r="UJ5">
        <v>4.0249999999999999E-3</v>
      </c>
      <c r="UK5" t="s">
        <v>1786</v>
      </c>
      <c r="UL5">
        <v>4.2737999999999998E-2</v>
      </c>
      <c r="UM5" t="s">
        <v>1742</v>
      </c>
      <c r="UN5">
        <v>2025</v>
      </c>
      <c r="UO5" t="s">
        <v>2140</v>
      </c>
      <c r="UP5" s="6">
        <v>46034</v>
      </c>
      <c r="UQ5">
        <v>5</v>
      </c>
      <c r="UR5">
        <v>243787</v>
      </c>
      <c r="US5">
        <v>313021</v>
      </c>
      <c r="UT5" t="s">
        <v>2141</v>
      </c>
      <c r="UY5" t="str">
        <f>_xll.BDS("2207158D US Equity","SUPPLY_CHAIN_SUPPLIERS_ALL_DATA")</f>
        <v>#N/A N/A</v>
      </c>
      <c r="VM5" t="str">
        <f>_xll.BDS("2207158D US Equity","SUPPLY_CHAIN_CUSTOMERS_ALL_DATA")</f>
        <v>#N/A N/A</v>
      </c>
    </row>
    <row r="6" spans="1:600" x14ac:dyDescent="0.25">
      <c r="A6" t="s">
        <v>3473</v>
      </c>
      <c r="C6">
        <v>-2.4245362661989844E-14</v>
      </c>
      <c r="D6">
        <v>-2.4245362661989844E-14</v>
      </c>
      <c r="E6" t="s">
        <v>1742</v>
      </c>
      <c r="F6">
        <v>2025</v>
      </c>
      <c r="G6" t="s">
        <v>5653</v>
      </c>
      <c r="H6" s="6">
        <v>45994</v>
      </c>
      <c r="I6">
        <v>5</v>
      </c>
      <c r="J6">
        <v>-2.4245362661989844E-14</v>
      </c>
      <c r="K6">
        <v>60242829</v>
      </c>
      <c r="L6" t="s">
        <v>3475</v>
      </c>
      <c r="DQ6" t="s">
        <v>6313</v>
      </c>
      <c r="DR6" t="s">
        <v>1769</v>
      </c>
      <c r="DS6">
        <v>0.54386900000000005</v>
      </c>
      <c r="DT6">
        <v>0.33741900000000002</v>
      </c>
      <c r="DU6" t="s">
        <v>1742</v>
      </c>
      <c r="DV6">
        <v>2025</v>
      </c>
      <c r="DW6" t="s">
        <v>6314</v>
      </c>
      <c r="DX6" s="6">
        <v>45993</v>
      </c>
      <c r="DY6">
        <v>5</v>
      </c>
      <c r="DZ6">
        <v>2997596.46</v>
      </c>
      <c r="EA6">
        <v>17720101</v>
      </c>
      <c r="EB6" t="s">
        <v>6315</v>
      </c>
      <c r="EE6" t="s">
        <v>6156</v>
      </c>
      <c r="EF6">
        <v>-2.4245362661989844E-14</v>
      </c>
      <c r="EH6">
        <v>-2.4245362661989844E-14</v>
      </c>
      <c r="EI6" t="s">
        <v>1798</v>
      </c>
      <c r="EJ6">
        <v>2025</v>
      </c>
      <c r="EK6" t="s">
        <v>6157</v>
      </c>
      <c r="EL6" s="6">
        <v>45975</v>
      </c>
      <c r="EM6">
        <v>5</v>
      </c>
      <c r="EN6">
        <v>-2.4245362661989844E-14</v>
      </c>
      <c r="EO6">
        <v>129450</v>
      </c>
      <c r="EP6" t="s">
        <v>6158</v>
      </c>
      <c r="FY6" t="s">
        <v>5666</v>
      </c>
      <c r="GA6">
        <v>-2.4245362661989844E-14</v>
      </c>
      <c r="GB6">
        <v>-2.4245362661989844E-14</v>
      </c>
      <c r="GC6" t="s">
        <v>1993</v>
      </c>
      <c r="GD6">
        <v>2023</v>
      </c>
      <c r="GE6" t="s">
        <v>5855</v>
      </c>
      <c r="GF6" s="6">
        <v>45152</v>
      </c>
      <c r="GG6">
        <v>5</v>
      </c>
      <c r="GH6">
        <v>-2.4245362661989844E-14</v>
      </c>
      <c r="GI6">
        <v>9996300</v>
      </c>
      <c r="GJ6" t="s">
        <v>5668</v>
      </c>
      <c r="GM6" t="s">
        <v>6389</v>
      </c>
      <c r="GN6">
        <v>-2.4245362661989844E-14</v>
      </c>
      <c r="GP6">
        <v>-2.4245362661989844E-14</v>
      </c>
      <c r="GQ6" t="s">
        <v>1798</v>
      </c>
      <c r="GR6">
        <v>2022</v>
      </c>
      <c r="GS6" t="s">
        <v>6390</v>
      </c>
      <c r="GT6" s="6">
        <v>44916</v>
      </c>
      <c r="GU6">
        <v>5</v>
      </c>
      <c r="GV6">
        <v>-2.4245362661989844E-14</v>
      </c>
      <c r="GW6">
        <v>7312672</v>
      </c>
      <c r="GX6" t="s">
        <v>6391</v>
      </c>
      <c r="IG6" t="s">
        <v>2283</v>
      </c>
      <c r="II6">
        <v>-2.4245362661989844E-14</v>
      </c>
      <c r="IJ6">
        <v>-2.4245362661989844E-14</v>
      </c>
      <c r="IK6" t="s">
        <v>1745</v>
      </c>
      <c r="IL6">
        <v>2021</v>
      </c>
      <c r="IM6" t="s">
        <v>2284</v>
      </c>
      <c r="IN6" s="6">
        <v>44693</v>
      </c>
      <c r="IO6">
        <v>5</v>
      </c>
      <c r="IP6">
        <v>-2.4245362661989844E-14</v>
      </c>
      <c r="IQ6">
        <v>100060</v>
      </c>
      <c r="IR6" t="s">
        <v>2285</v>
      </c>
      <c r="IU6" t="s">
        <v>4010</v>
      </c>
      <c r="IV6">
        <v>-2.4245362661989844E-14</v>
      </c>
      <c r="IX6">
        <v>-2.4245362661989844E-14</v>
      </c>
      <c r="IY6" t="s">
        <v>1745</v>
      </c>
      <c r="IZ6">
        <v>2022</v>
      </c>
      <c r="JA6" t="s">
        <v>5420</v>
      </c>
      <c r="JB6" s="6">
        <v>44658</v>
      </c>
      <c r="JC6">
        <v>3</v>
      </c>
      <c r="JD6">
        <v>-2.4245362661989844E-14</v>
      </c>
      <c r="JE6">
        <v>101174</v>
      </c>
      <c r="JF6" t="s">
        <v>4011</v>
      </c>
      <c r="JK6" t="s">
        <v>5468</v>
      </c>
      <c r="JM6">
        <v>-2.4245362661989844E-14</v>
      </c>
      <c r="JN6">
        <v>-2.4245362661989844E-14</v>
      </c>
      <c r="JO6" t="s">
        <v>1745</v>
      </c>
      <c r="JP6">
        <v>2022</v>
      </c>
      <c r="JQ6" t="s">
        <v>5469</v>
      </c>
      <c r="JR6" s="6">
        <v>44648</v>
      </c>
      <c r="JS6">
        <v>2</v>
      </c>
      <c r="JT6">
        <v>-2.4245362661989844E-14</v>
      </c>
      <c r="JU6">
        <v>69630613</v>
      </c>
      <c r="JV6" t="s">
        <v>5470</v>
      </c>
      <c r="KO6" t="s">
        <v>3218</v>
      </c>
      <c r="KP6" t="s">
        <v>1769</v>
      </c>
      <c r="KQ6">
        <v>42.749554000000003</v>
      </c>
      <c r="KR6">
        <v>17.792269000000001</v>
      </c>
      <c r="KS6" t="s">
        <v>1745</v>
      </c>
      <c r="KT6">
        <v>2024</v>
      </c>
      <c r="KU6" t="s">
        <v>4482</v>
      </c>
      <c r="KV6" s="6">
        <v>45701</v>
      </c>
      <c r="KW6">
        <v>5</v>
      </c>
      <c r="KX6">
        <v>28650000</v>
      </c>
      <c r="KY6">
        <v>46177523</v>
      </c>
      <c r="KZ6" t="s">
        <v>3220</v>
      </c>
      <c r="LC6" t="s">
        <v>5250</v>
      </c>
      <c r="LD6">
        <v>-2.4245362661989844E-14</v>
      </c>
      <c r="LF6">
        <v>-2.4245362661989844E-14</v>
      </c>
      <c r="LG6" t="s">
        <v>1742</v>
      </c>
      <c r="LH6">
        <v>2023</v>
      </c>
      <c r="LI6" t="s">
        <v>5251</v>
      </c>
      <c r="LJ6" s="6">
        <v>45239</v>
      </c>
      <c r="LK6">
        <v>3</v>
      </c>
      <c r="LL6">
        <v>-2.4245362661989844E-14</v>
      </c>
      <c r="LM6">
        <v>17465207</v>
      </c>
      <c r="LN6" t="s">
        <v>5252</v>
      </c>
      <c r="LS6" t="s">
        <v>4516</v>
      </c>
      <c r="LT6" t="s">
        <v>1786</v>
      </c>
      <c r="LU6">
        <v>0.38619700000000001</v>
      </c>
      <c r="LV6">
        <v>0.47442000000000001</v>
      </c>
      <c r="LW6" t="s">
        <v>1762</v>
      </c>
      <c r="LX6">
        <v>2025</v>
      </c>
      <c r="LY6" t="s">
        <v>4517</v>
      </c>
      <c r="LZ6" s="6">
        <v>45952</v>
      </c>
      <c r="MA6">
        <v>5</v>
      </c>
      <c r="MB6">
        <v>7236754.0099999998</v>
      </c>
      <c r="MC6">
        <v>27639867</v>
      </c>
      <c r="MD6" t="s">
        <v>4518</v>
      </c>
      <c r="MG6" t="s">
        <v>1992</v>
      </c>
      <c r="MH6">
        <v>-2.4245362661989844E-14</v>
      </c>
      <c r="MJ6">
        <v>-2.4245362661989844E-14</v>
      </c>
      <c r="MK6" t="s">
        <v>1993</v>
      </c>
      <c r="ML6">
        <v>2024</v>
      </c>
      <c r="MM6" t="s">
        <v>1994</v>
      </c>
      <c r="MN6" s="6">
        <v>45518</v>
      </c>
      <c r="MO6">
        <v>5</v>
      </c>
      <c r="MP6">
        <v>-2.4245362661989844E-14</v>
      </c>
      <c r="MQ6">
        <v>130119</v>
      </c>
      <c r="MR6" t="s">
        <v>1995</v>
      </c>
      <c r="PE6" t="s">
        <v>195</v>
      </c>
      <c r="PF6" t="s">
        <v>1769</v>
      </c>
      <c r="PG6">
        <v>0.1295</v>
      </c>
      <c r="PH6">
        <v>5.6652000000000001E-2</v>
      </c>
      <c r="PI6" t="s">
        <v>1762</v>
      </c>
      <c r="PJ6">
        <v>2025</v>
      </c>
      <c r="PK6" t="s">
        <v>2268</v>
      </c>
      <c r="PL6" s="6">
        <v>45838</v>
      </c>
      <c r="PM6">
        <v>5</v>
      </c>
      <c r="PN6">
        <v>7605535</v>
      </c>
      <c r="PO6">
        <v>101689</v>
      </c>
      <c r="PP6" t="s">
        <v>2269</v>
      </c>
      <c r="PS6" t="s">
        <v>5966</v>
      </c>
      <c r="PT6">
        <v>-2.4245362661989844E-14</v>
      </c>
      <c r="PV6">
        <v>-2.4245362661989844E-14</v>
      </c>
      <c r="PW6" t="s">
        <v>1745</v>
      </c>
      <c r="PX6">
        <v>2023</v>
      </c>
      <c r="PY6" t="s">
        <v>5967</v>
      </c>
      <c r="PZ6" s="6">
        <v>45198</v>
      </c>
      <c r="QA6">
        <v>5</v>
      </c>
      <c r="QB6">
        <v>-2.4245362661989844E-14</v>
      </c>
      <c r="QC6">
        <v>61660379</v>
      </c>
      <c r="QD6" t="s">
        <v>5968</v>
      </c>
      <c r="QI6" t="s">
        <v>5910</v>
      </c>
      <c r="QK6">
        <v>-2.4245362661989844E-14</v>
      </c>
      <c r="QL6">
        <v>-2.4245362661989844E-14</v>
      </c>
      <c r="QM6" t="s">
        <v>1745</v>
      </c>
      <c r="QN6">
        <v>2022</v>
      </c>
      <c r="QO6" t="s">
        <v>5911</v>
      </c>
      <c r="QP6" s="6">
        <v>44862</v>
      </c>
      <c r="QQ6">
        <v>5</v>
      </c>
      <c r="QR6">
        <v>-2.4245362661989844E-14</v>
      </c>
      <c r="QS6">
        <v>68654798</v>
      </c>
      <c r="QT6" t="s">
        <v>5912</v>
      </c>
      <c r="RM6" t="s">
        <v>4359</v>
      </c>
      <c r="RN6" t="s">
        <v>1786</v>
      </c>
      <c r="RO6">
        <v>0.55191900000000005</v>
      </c>
      <c r="RP6">
        <v>0.33829599999999999</v>
      </c>
      <c r="RQ6" t="s">
        <v>1809</v>
      </c>
      <c r="RR6">
        <v>2026</v>
      </c>
      <c r="RS6" t="s">
        <v>4360</v>
      </c>
      <c r="RT6" s="6">
        <v>45967</v>
      </c>
      <c r="RU6">
        <v>5</v>
      </c>
      <c r="RV6">
        <v>8728047</v>
      </c>
      <c r="RW6">
        <v>104637</v>
      </c>
      <c r="RX6" t="s">
        <v>4361</v>
      </c>
      <c r="SA6" t="s">
        <v>5723</v>
      </c>
      <c r="SB6">
        <v>4.5903020000000003</v>
      </c>
      <c r="SC6" t="s">
        <v>1786</v>
      </c>
      <c r="SD6">
        <v>10.347038</v>
      </c>
      <c r="SE6" t="s">
        <v>1742</v>
      </c>
      <c r="SF6">
        <v>2025</v>
      </c>
      <c r="SG6" t="s">
        <v>5722</v>
      </c>
      <c r="SH6" s="6">
        <v>45982</v>
      </c>
      <c r="SI6">
        <v>5</v>
      </c>
      <c r="SJ6">
        <v>188202384</v>
      </c>
      <c r="SK6">
        <v>18170741</v>
      </c>
      <c r="SL6" t="s">
        <v>5724</v>
      </c>
      <c r="SQ6" t="s">
        <v>1761</v>
      </c>
      <c r="SR6" t="s">
        <v>1786</v>
      </c>
      <c r="SS6">
        <v>0.98990599999999995</v>
      </c>
      <c r="ST6">
        <v>8.7927250000000008</v>
      </c>
      <c r="SU6" t="s">
        <v>1845</v>
      </c>
      <c r="SV6">
        <v>2025</v>
      </c>
      <c r="SW6" t="s">
        <v>1887</v>
      </c>
      <c r="SX6" s="6">
        <v>46056</v>
      </c>
      <c r="SY6">
        <v>5</v>
      </c>
      <c r="SZ6">
        <v>1423048960</v>
      </c>
      <c r="TA6">
        <v>101695</v>
      </c>
      <c r="TB6" t="s">
        <v>1764</v>
      </c>
      <c r="TE6" t="s">
        <v>121</v>
      </c>
      <c r="TF6">
        <v>0.893262</v>
      </c>
      <c r="TG6" t="s">
        <v>1786</v>
      </c>
      <c r="TH6">
        <v>1.9939499999999999</v>
      </c>
      <c r="TI6" t="s">
        <v>1809</v>
      </c>
      <c r="TJ6">
        <v>2025</v>
      </c>
      <c r="TK6" t="s">
        <v>2035</v>
      </c>
      <c r="TL6" s="6">
        <v>45797</v>
      </c>
      <c r="TM6">
        <v>5</v>
      </c>
      <c r="TN6">
        <v>129806144</v>
      </c>
      <c r="TO6">
        <v>100801</v>
      </c>
      <c r="TP6" t="s">
        <v>2095</v>
      </c>
      <c r="TU6" t="s">
        <v>2811</v>
      </c>
      <c r="TV6" t="s">
        <v>1786</v>
      </c>
      <c r="TW6">
        <v>21.5</v>
      </c>
      <c r="TX6">
        <v>1.4319010000000001</v>
      </c>
      <c r="TY6" t="s">
        <v>1745</v>
      </c>
      <c r="TZ6">
        <v>2025</v>
      </c>
      <c r="UA6" t="s">
        <v>2812</v>
      </c>
      <c r="UB6" s="6">
        <v>46080</v>
      </c>
      <c r="UC6">
        <v>5</v>
      </c>
      <c r="UD6">
        <v>32400338</v>
      </c>
      <c r="UE6">
        <v>126764</v>
      </c>
      <c r="UF6" t="s">
        <v>2813</v>
      </c>
      <c r="UI6" t="s">
        <v>2569</v>
      </c>
      <c r="UJ6">
        <v>-2.4245362661989844E-14</v>
      </c>
      <c r="UL6">
        <v>-2.4245362661989844E-14</v>
      </c>
      <c r="UM6" t="s">
        <v>1798</v>
      </c>
      <c r="UN6">
        <v>2025</v>
      </c>
      <c r="UO6" t="s">
        <v>2570</v>
      </c>
      <c r="UP6" s="6">
        <v>45975</v>
      </c>
      <c r="UQ6">
        <v>5</v>
      </c>
      <c r="UR6">
        <v>-2.4245362661989844E-14</v>
      </c>
      <c r="US6">
        <v>129466</v>
      </c>
      <c r="UT6" t="s">
        <v>2571</v>
      </c>
    </row>
    <row r="7" spans="1:600" x14ac:dyDescent="0.25">
      <c r="A7" t="s">
        <v>5654</v>
      </c>
      <c r="C7">
        <v>-2.4245362661989844E-14</v>
      </c>
      <c r="D7">
        <v>-2.4245362661989844E-14</v>
      </c>
      <c r="E7" t="s">
        <v>1762</v>
      </c>
      <c r="F7">
        <v>2025</v>
      </c>
      <c r="G7" t="s">
        <v>5655</v>
      </c>
      <c r="H7" s="6">
        <v>45910</v>
      </c>
      <c r="I7">
        <v>5</v>
      </c>
      <c r="J7">
        <v>-2.4245362661989844E-14</v>
      </c>
      <c r="K7">
        <v>11957636</v>
      </c>
      <c r="L7" t="s">
        <v>5656</v>
      </c>
      <c r="DQ7" t="s">
        <v>2677</v>
      </c>
      <c r="DR7" t="s">
        <v>1786</v>
      </c>
      <c r="DS7">
        <v>6.5024999999999999E-2</v>
      </c>
      <c r="DT7">
        <v>0.194164</v>
      </c>
      <c r="DU7" t="s">
        <v>1742</v>
      </c>
      <c r="DV7">
        <v>2025</v>
      </c>
      <c r="DW7" t="s">
        <v>2678</v>
      </c>
      <c r="DX7" s="6">
        <v>45974</v>
      </c>
      <c r="DY7">
        <v>5</v>
      </c>
      <c r="DZ7">
        <v>1595148.95</v>
      </c>
      <c r="EA7">
        <v>193571</v>
      </c>
      <c r="EB7" t="s">
        <v>2679</v>
      </c>
      <c r="EE7" t="s">
        <v>6159</v>
      </c>
      <c r="EF7">
        <v>-2.4245362661989844E-14</v>
      </c>
      <c r="EH7">
        <v>-2.4245362661989844E-14</v>
      </c>
      <c r="EI7" t="s">
        <v>1745</v>
      </c>
      <c r="EJ7">
        <v>2024</v>
      </c>
      <c r="EK7" t="s">
        <v>6160</v>
      </c>
      <c r="EL7" s="6">
        <v>45772</v>
      </c>
      <c r="EM7">
        <v>5</v>
      </c>
      <c r="EN7">
        <v>-2.4245362661989844E-14</v>
      </c>
      <c r="EO7">
        <v>11236563</v>
      </c>
      <c r="EP7" t="s">
        <v>6161</v>
      </c>
      <c r="FY7" t="s">
        <v>5856</v>
      </c>
      <c r="GA7">
        <v>-2.4245362661989844E-14</v>
      </c>
      <c r="GB7">
        <v>-2.4245362661989844E-14</v>
      </c>
      <c r="GC7" t="s">
        <v>1745</v>
      </c>
      <c r="GD7">
        <v>2021</v>
      </c>
      <c r="GE7" t="s">
        <v>5857</v>
      </c>
      <c r="GF7" s="6">
        <v>44642</v>
      </c>
      <c r="GG7">
        <v>5</v>
      </c>
      <c r="GH7">
        <v>-2.4245362661989844E-14</v>
      </c>
      <c r="GI7">
        <v>27882222</v>
      </c>
      <c r="GJ7" t="s">
        <v>5858</v>
      </c>
      <c r="GM7" t="s">
        <v>6392</v>
      </c>
      <c r="GN7">
        <v>-2.4245362661989844E-14</v>
      </c>
      <c r="GP7">
        <v>-2.4245362661989844E-14</v>
      </c>
      <c r="GQ7" t="s">
        <v>1762</v>
      </c>
      <c r="GR7">
        <v>2026</v>
      </c>
      <c r="GS7" t="s">
        <v>6393</v>
      </c>
      <c r="GT7" s="6">
        <v>45974</v>
      </c>
      <c r="GU7">
        <v>5</v>
      </c>
      <c r="GV7">
        <v>-2.4245362661989844E-14</v>
      </c>
      <c r="GW7">
        <v>19060015</v>
      </c>
      <c r="GX7" t="s">
        <v>6394</v>
      </c>
      <c r="IG7" t="s">
        <v>2300</v>
      </c>
      <c r="II7">
        <v>-2.4245362661989844E-14</v>
      </c>
      <c r="IJ7">
        <v>-2.4245362661989844E-14</v>
      </c>
      <c r="IK7" t="s">
        <v>1745</v>
      </c>
      <c r="IL7">
        <v>2021</v>
      </c>
      <c r="IM7" t="s">
        <v>2301</v>
      </c>
      <c r="IN7" s="6">
        <v>44693</v>
      </c>
      <c r="IO7">
        <v>5</v>
      </c>
      <c r="IP7">
        <v>-2.4245362661989844E-14</v>
      </c>
      <c r="IQ7">
        <v>100760</v>
      </c>
      <c r="IR7" t="s">
        <v>2302</v>
      </c>
      <c r="IU7" t="s">
        <v>5421</v>
      </c>
      <c r="IV7">
        <v>-2.4245362661989844E-14</v>
      </c>
      <c r="IX7">
        <v>-2.4245362661989844E-14</v>
      </c>
      <c r="IY7" t="s">
        <v>1745</v>
      </c>
      <c r="IZ7">
        <v>2023</v>
      </c>
      <c r="JA7" t="s">
        <v>5422</v>
      </c>
      <c r="JB7" s="6">
        <v>45412</v>
      </c>
      <c r="JC7">
        <v>3</v>
      </c>
      <c r="JD7">
        <v>-2.4245362661989844E-14</v>
      </c>
      <c r="JE7">
        <v>53353279</v>
      </c>
      <c r="JF7" t="s">
        <v>5423</v>
      </c>
      <c r="KO7" t="s">
        <v>4483</v>
      </c>
      <c r="KP7" t="s">
        <v>1786</v>
      </c>
      <c r="KQ7">
        <v>2.1885089999999998</v>
      </c>
      <c r="KR7">
        <v>0.42971799999999999</v>
      </c>
      <c r="KS7" t="s">
        <v>1845</v>
      </c>
      <c r="KT7">
        <v>2025</v>
      </c>
      <c r="KU7" t="s">
        <v>4484</v>
      </c>
      <c r="KV7" s="6">
        <v>45950</v>
      </c>
      <c r="KW7">
        <v>5</v>
      </c>
      <c r="KX7">
        <v>10404763</v>
      </c>
      <c r="KY7">
        <v>104988</v>
      </c>
      <c r="KZ7" t="s">
        <v>4485</v>
      </c>
      <c r="LC7" t="s">
        <v>4483</v>
      </c>
      <c r="LD7">
        <v>-2.4245362661989844E-14</v>
      </c>
      <c r="LF7">
        <v>-2.4245362661989844E-14</v>
      </c>
      <c r="LG7" t="s">
        <v>1762</v>
      </c>
      <c r="LH7">
        <v>2026</v>
      </c>
      <c r="LI7" t="s">
        <v>5253</v>
      </c>
      <c r="LJ7" s="6">
        <v>46087</v>
      </c>
      <c r="LK7">
        <v>3</v>
      </c>
      <c r="LL7">
        <v>-2.4245362661989844E-14</v>
      </c>
      <c r="LM7">
        <v>104988</v>
      </c>
      <c r="LN7" t="s">
        <v>4485</v>
      </c>
      <c r="LS7" t="s">
        <v>4519</v>
      </c>
      <c r="LT7" t="s">
        <v>1820</v>
      </c>
      <c r="LU7">
        <v>0.254056</v>
      </c>
      <c r="LV7">
        <v>0.26785799999999998</v>
      </c>
      <c r="LW7" t="s">
        <v>1845</v>
      </c>
      <c r="LX7">
        <v>2024</v>
      </c>
      <c r="LY7" t="s">
        <v>4520</v>
      </c>
      <c r="LZ7" s="6">
        <v>45770</v>
      </c>
      <c r="MA7">
        <v>5</v>
      </c>
      <c r="MB7">
        <v>4756853.6399999997</v>
      </c>
      <c r="MC7">
        <v>186659</v>
      </c>
      <c r="MD7" t="s">
        <v>4521</v>
      </c>
      <c r="MG7" t="s">
        <v>1996</v>
      </c>
      <c r="MH7">
        <v>-2.4245362661989844E-14</v>
      </c>
      <c r="MJ7">
        <v>-2.4245362661989844E-14</v>
      </c>
      <c r="MK7" t="s">
        <v>1993</v>
      </c>
      <c r="ML7">
        <v>2024</v>
      </c>
      <c r="MM7" t="s">
        <v>1997</v>
      </c>
      <c r="MN7" s="6">
        <v>45518</v>
      </c>
      <c r="MO7">
        <v>5</v>
      </c>
      <c r="MP7">
        <v>-2.4245362661989844E-14</v>
      </c>
      <c r="MQ7">
        <v>227699</v>
      </c>
      <c r="MR7" t="s">
        <v>1998</v>
      </c>
      <c r="PE7" t="s">
        <v>6085</v>
      </c>
      <c r="PF7" t="s">
        <v>1769</v>
      </c>
      <c r="PG7">
        <v>0.91660699999999995</v>
      </c>
      <c r="PH7">
        <v>2.2012E-2</v>
      </c>
      <c r="PI7" t="s">
        <v>1845</v>
      </c>
      <c r="PJ7">
        <v>2024</v>
      </c>
      <c r="PK7" t="s">
        <v>6086</v>
      </c>
      <c r="PL7" s="6">
        <v>45776</v>
      </c>
      <c r="PM7">
        <v>5</v>
      </c>
      <c r="PN7">
        <v>2902454</v>
      </c>
      <c r="PO7">
        <v>171490</v>
      </c>
      <c r="PP7" t="s">
        <v>6087</v>
      </c>
      <c r="PS7" t="s">
        <v>5969</v>
      </c>
      <c r="PT7">
        <v>-2.4245362661989844E-14</v>
      </c>
      <c r="PV7">
        <v>-2.4245362661989844E-14</v>
      </c>
      <c r="PW7" t="s">
        <v>1745</v>
      </c>
      <c r="PX7">
        <v>2023</v>
      </c>
      <c r="PY7" t="s">
        <v>5967</v>
      </c>
      <c r="PZ7" s="6">
        <v>45188</v>
      </c>
      <c r="QA7">
        <v>5</v>
      </c>
      <c r="QB7">
        <v>-2.4245362661989844E-14</v>
      </c>
      <c r="QC7">
        <v>71227770</v>
      </c>
      <c r="QD7" t="s">
        <v>5970</v>
      </c>
      <c r="QI7" t="s">
        <v>4377</v>
      </c>
      <c r="QK7">
        <v>-2.4245362661989844E-14</v>
      </c>
      <c r="QL7">
        <v>-2.4245362661989844E-14</v>
      </c>
      <c r="QM7" t="s">
        <v>1745</v>
      </c>
      <c r="QN7">
        <v>2022</v>
      </c>
      <c r="QO7" t="s">
        <v>5913</v>
      </c>
      <c r="QP7" s="6">
        <v>44983</v>
      </c>
      <c r="QQ7">
        <v>5</v>
      </c>
      <c r="QR7">
        <v>-2.4245362661989844E-14</v>
      </c>
      <c r="QS7">
        <v>51446588</v>
      </c>
      <c r="QT7" t="s">
        <v>4379</v>
      </c>
      <c r="RM7" t="s">
        <v>5683</v>
      </c>
      <c r="RN7" t="s">
        <v>1786</v>
      </c>
      <c r="RO7">
        <v>0.948411</v>
      </c>
      <c r="RP7">
        <v>0.14854400000000001</v>
      </c>
      <c r="RQ7" t="s">
        <v>1762</v>
      </c>
      <c r="RR7">
        <v>2025</v>
      </c>
      <c r="RS7" t="s">
        <v>5684</v>
      </c>
      <c r="RT7" s="6">
        <v>45902</v>
      </c>
      <c r="RU7">
        <v>5</v>
      </c>
      <c r="RV7">
        <v>3669042</v>
      </c>
      <c r="RW7">
        <v>47762945</v>
      </c>
      <c r="RX7" t="s">
        <v>5685</v>
      </c>
      <c r="SA7" t="s">
        <v>5725</v>
      </c>
      <c r="SB7">
        <v>3.8943539999999999</v>
      </c>
      <c r="SC7" t="s">
        <v>1786</v>
      </c>
      <c r="SD7">
        <v>2.5072610000000002</v>
      </c>
      <c r="SE7" t="s">
        <v>1742</v>
      </c>
      <c r="SF7">
        <v>2025</v>
      </c>
      <c r="SG7" t="s">
        <v>5722</v>
      </c>
      <c r="SH7" s="6">
        <v>45982</v>
      </c>
      <c r="SI7">
        <v>5</v>
      </c>
      <c r="SJ7">
        <v>159668512</v>
      </c>
      <c r="SK7">
        <v>221432</v>
      </c>
      <c r="SL7" t="s">
        <v>5726</v>
      </c>
      <c r="SQ7" t="s">
        <v>424</v>
      </c>
      <c r="SR7" t="s">
        <v>1786</v>
      </c>
      <c r="SS7">
        <v>0.94513400000000003</v>
      </c>
      <c r="ST7">
        <v>4.7461719999999996</v>
      </c>
      <c r="SU7" t="s">
        <v>1845</v>
      </c>
      <c r="SV7">
        <v>2025</v>
      </c>
      <c r="SW7" t="s">
        <v>1887</v>
      </c>
      <c r="SX7" s="6">
        <v>46056</v>
      </c>
      <c r="SY7">
        <v>5</v>
      </c>
      <c r="SZ7">
        <v>768139008</v>
      </c>
      <c r="TA7">
        <v>101743</v>
      </c>
      <c r="TB7" t="s">
        <v>1891</v>
      </c>
      <c r="TE7" t="s">
        <v>1870</v>
      </c>
      <c r="TF7">
        <v>0.59423499999999996</v>
      </c>
      <c r="TG7" t="s">
        <v>1786</v>
      </c>
      <c r="TH7">
        <v>2.1181450000000002</v>
      </c>
      <c r="TI7" t="s">
        <v>1809</v>
      </c>
      <c r="TJ7">
        <v>2025</v>
      </c>
      <c r="TK7" t="s">
        <v>1871</v>
      </c>
      <c r="TL7" s="6">
        <v>45820</v>
      </c>
      <c r="TM7">
        <v>5</v>
      </c>
      <c r="TN7">
        <v>86352536</v>
      </c>
      <c r="TO7">
        <v>12129192</v>
      </c>
      <c r="TP7" t="s">
        <v>1872</v>
      </c>
      <c r="TU7" t="s">
        <v>2814</v>
      </c>
      <c r="TV7" t="s">
        <v>1786</v>
      </c>
      <c r="TW7">
        <v>3.73936</v>
      </c>
      <c r="TX7">
        <v>0.75532200000000005</v>
      </c>
      <c r="TY7" t="s">
        <v>1742</v>
      </c>
      <c r="TZ7">
        <v>2025</v>
      </c>
      <c r="UA7" t="s">
        <v>2815</v>
      </c>
      <c r="UB7" s="6">
        <v>45797</v>
      </c>
      <c r="UC7">
        <v>5</v>
      </c>
      <c r="UD7">
        <v>16027925</v>
      </c>
      <c r="UE7">
        <v>21175033</v>
      </c>
      <c r="UF7" t="s">
        <v>2816</v>
      </c>
      <c r="UI7" t="s">
        <v>2572</v>
      </c>
      <c r="UJ7">
        <v>-2.4245362661989844E-14</v>
      </c>
      <c r="UL7">
        <v>-2.4245362661989844E-14</v>
      </c>
      <c r="UM7" t="s">
        <v>1798</v>
      </c>
      <c r="UN7">
        <v>2025</v>
      </c>
      <c r="UO7" t="s">
        <v>2573</v>
      </c>
      <c r="UP7" s="6">
        <v>45975</v>
      </c>
      <c r="UQ7">
        <v>5</v>
      </c>
      <c r="UR7">
        <v>-2.4245362661989844E-14</v>
      </c>
      <c r="US7">
        <v>31351558</v>
      </c>
      <c r="UT7" t="s">
        <v>2574</v>
      </c>
    </row>
    <row r="8" spans="1:600" x14ac:dyDescent="0.25">
      <c r="A8" t="s">
        <v>5657</v>
      </c>
      <c r="C8">
        <v>-2.4245362661989844E-14</v>
      </c>
      <c r="D8">
        <v>-2.4245362661989844E-14</v>
      </c>
      <c r="E8" t="s">
        <v>1762</v>
      </c>
      <c r="F8">
        <v>2023</v>
      </c>
      <c r="G8" t="s">
        <v>5658</v>
      </c>
      <c r="H8" s="6">
        <v>45191</v>
      </c>
      <c r="I8">
        <v>5</v>
      </c>
      <c r="J8">
        <v>-2.4245362661989844E-14</v>
      </c>
      <c r="K8">
        <v>53770945</v>
      </c>
      <c r="L8" t="s">
        <v>5659</v>
      </c>
      <c r="DQ8" t="s">
        <v>3085</v>
      </c>
      <c r="DR8" t="s">
        <v>1786</v>
      </c>
      <c r="DS8">
        <v>0.115412</v>
      </c>
      <c r="DT8">
        <v>0.162046</v>
      </c>
      <c r="DU8" t="s">
        <v>1809</v>
      </c>
      <c r="DV8">
        <v>2025</v>
      </c>
      <c r="DW8" t="s">
        <v>3086</v>
      </c>
      <c r="DX8" s="6">
        <v>45834</v>
      </c>
      <c r="DY8">
        <v>5</v>
      </c>
      <c r="DZ8">
        <v>1171592</v>
      </c>
      <c r="EA8">
        <v>393374</v>
      </c>
      <c r="EB8" t="s">
        <v>3087</v>
      </c>
      <c r="EE8" t="s">
        <v>6162</v>
      </c>
      <c r="EF8">
        <v>-2.4245362661989844E-14</v>
      </c>
      <c r="EH8">
        <v>-2.4245362661989844E-14</v>
      </c>
      <c r="EI8" t="s">
        <v>1745</v>
      </c>
      <c r="EJ8">
        <v>2021</v>
      </c>
      <c r="EK8" t="s">
        <v>6163</v>
      </c>
      <c r="EL8" s="6">
        <v>44678</v>
      </c>
      <c r="EM8">
        <v>5</v>
      </c>
      <c r="EN8">
        <v>-2.4245362661989844E-14</v>
      </c>
      <c r="EO8">
        <v>13256827</v>
      </c>
      <c r="EP8" t="s">
        <v>6164</v>
      </c>
      <c r="FY8" t="s">
        <v>5859</v>
      </c>
      <c r="GA8">
        <v>-2.4245362661989844E-14</v>
      </c>
      <c r="GB8">
        <v>-2.4245362661989844E-14</v>
      </c>
      <c r="GC8" t="s">
        <v>1745</v>
      </c>
      <c r="GD8">
        <v>2024</v>
      </c>
      <c r="GE8" t="s">
        <v>5860</v>
      </c>
      <c r="GF8" s="6">
        <v>45803</v>
      </c>
      <c r="GG8">
        <v>5</v>
      </c>
      <c r="GH8">
        <v>-2.4245362661989844E-14</v>
      </c>
      <c r="GI8">
        <v>870231</v>
      </c>
      <c r="GJ8" t="s">
        <v>5861</v>
      </c>
      <c r="GM8" t="s">
        <v>6395</v>
      </c>
      <c r="GN8">
        <v>-2.4245362661989844E-14</v>
      </c>
      <c r="GP8">
        <v>-2.4245362661989844E-14</v>
      </c>
      <c r="GQ8" t="s">
        <v>1745</v>
      </c>
      <c r="GR8">
        <v>2024</v>
      </c>
      <c r="GS8" t="s">
        <v>6396</v>
      </c>
      <c r="GT8" s="6">
        <v>45767</v>
      </c>
      <c r="GU8">
        <v>5</v>
      </c>
      <c r="GV8">
        <v>-2.4245362661989844E-14</v>
      </c>
      <c r="GW8">
        <v>26949139</v>
      </c>
      <c r="GX8" t="s">
        <v>6397</v>
      </c>
      <c r="IG8" t="s">
        <v>4100</v>
      </c>
      <c r="II8">
        <v>-2.4245362661989844E-14</v>
      </c>
      <c r="IJ8">
        <v>-2.4245362661989844E-14</v>
      </c>
      <c r="IK8" t="s">
        <v>1762</v>
      </c>
      <c r="IL8">
        <v>2025</v>
      </c>
      <c r="IM8" t="s">
        <v>5513</v>
      </c>
      <c r="IN8" s="6">
        <v>45904</v>
      </c>
      <c r="IO8">
        <v>5</v>
      </c>
      <c r="IP8">
        <v>-2.4245362661989844E-14</v>
      </c>
      <c r="IQ8">
        <v>69818423</v>
      </c>
      <c r="IR8" t="s">
        <v>4102</v>
      </c>
      <c r="KO8" t="s">
        <v>4486</v>
      </c>
      <c r="KP8" t="s">
        <v>1786</v>
      </c>
      <c r="KQ8">
        <v>7.3316000000000006E-2</v>
      </c>
      <c r="KR8">
        <v>0.116712</v>
      </c>
      <c r="KS8" t="s">
        <v>1845</v>
      </c>
      <c r="KT8">
        <v>2025</v>
      </c>
      <c r="KU8" t="s">
        <v>4487</v>
      </c>
      <c r="KV8" s="6">
        <v>46071</v>
      </c>
      <c r="KW8">
        <v>5</v>
      </c>
      <c r="KX8">
        <v>2885241</v>
      </c>
      <c r="KY8">
        <v>100499</v>
      </c>
      <c r="KZ8" t="s">
        <v>4488</v>
      </c>
      <c r="LS8" t="s">
        <v>34</v>
      </c>
      <c r="LT8" t="s">
        <v>1786</v>
      </c>
      <c r="LU8">
        <v>2.1909000000000001E-2</v>
      </c>
      <c r="LV8">
        <v>0.25751600000000002</v>
      </c>
      <c r="LW8" t="s">
        <v>1845</v>
      </c>
      <c r="LX8">
        <v>2025</v>
      </c>
      <c r="LY8" t="s">
        <v>1883</v>
      </c>
      <c r="LZ8" s="6">
        <v>45848</v>
      </c>
      <c r="MA8">
        <v>5</v>
      </c>
      <c r="MB8">
        <v>3484188</v>
      </c>
      <c r="MC8">
        <v>101752</v>
      </c>
      <c r="MD8" t="s">
        <v>2723</v>
      </c>
      <c r="MG8" t="s">
        <v>1999</v>
      </c>
      <c r="MH8">
        <v>-2.4245362661989844E-14</v>
      </c>
      <c r="MJ8">
        <v>-2.4245362661989844E-14</v>
      </c>
      <c r="MK8" t="s">
        <v>1798</v>
      </c>
      <c r="ML8">
        <v>2025</v>
      </c>
      <c r="MM8" t="s">
        <v>2000</v>
      </c>
      <c r="MN8" s="6">
        <v>45975</v>
      </c>
      <c r="MO8">
        <v>5</v>
      </c>
      <c r="MP8">
        <v>-2.4245362661989844E-14</v>
      </c>
      <c r="MQ8">
        <v>9760711</v>
      </c>
      <c r="MR8" t="s">
        <v>2001</v>
      </c>
      <c r="PE8" t="s">
        <v>3339</v>
      </c>
      <c r="PF8" t="s">
        <v>1786</v>
      </c>
      <c r="PG8">
        <v>1.0791219999999999</v>
      </c>
      <c r="PH8">
        <v>2.0365000000000001E-2</v>
      </c>
      <c r="PI8" t="s">
        <v>1845</v>
      </c>
      <c r="PJ8">
        <v>2024</v>
      </c>
      <c r="PK8" t="s">
        <v>3340</v>
      </c>
      <c r="PL8" s="6">
        <v>45709</v>
      </c>
      <c r="PM8">
        <v>5</v>
      </c>
      <c r="PN8">
        <v>2698409</v>
      </c>
      <c r="PO8">
        <v>1713474</v>
      </c>
      <c r="PP8" t="s">
        <v>3341</v>
      </c>
      <c r="PS8" t="s">
        <v>5971</v>
      </c>
      <c r="PT8">
        <v>-2.4245362661989844E-14</v>
      </c>
      <c r="PV8">
        <v>-2.4245362661989844E-14</v>
      </c>
      <c r="PW8" t="s">
        <v>1745</v>
      </c>
      <c r="PX8">
        <v>2024</v>
      </c>
      <c r="PY8" t="s">
        <v>5972</v>
      </c>
      <c r="PZ8" s="6">
        <v>45320</v>
      </c>
      <c r="QA8">
        <v>5</v>
      </c>
      <c r="QB8">
        <v>-2.4245362661989844E-14</v>
      </c>
      <c r="QC8">
        <v>100460</v>
      </c>
      <c r="QD8" t="s">
        <v>5973</v>
      </c>
      <c r="QI8" t="s">
        <v>2351</v>
      </c>
      <c r="QK8">
        <v>-2.4245362661989844E-14</v>
      </c>
      <c r="QL8">
        <v>-2.4245362661989844E-14</v>
      </c>
      <c r="QM8" t="s">
        <v>1745</v>
      </c>
      <c r="QN8">
        <v>2024</v>
      </c>
      <c r="QO8" t="s">
        <v>3622</v>
      </c>
      <c r="QP8" s="6">
        <v>45733</v>
      </c>
      <c r="QQ8">
        <v>5</v>
      </c>
      <c r="QR8">
        <v>-2.4245362661989844E-14</v>
      </c>
      <c r="QS8">
        <v>1183488</v>
      </c>
      <c r="QT8" t="s">
        <v>2353</v>
      </c>
      <c r="RM8" t="s">
        <v>3868</v>
      </c>
      <c r="RN8" t="s">
        <v>1786</v>
      </c>
      <c r="RO8">
        <v>1.0460000000000001E-2</v>
      </c>
      <c r="RP8">
        <v>6.7876000000000006E-2</v>
      </c>
      <c r="RQ8" t="s">
        <v>1742</v>
      </c>
      <c r="RR8">
        <v>2025</v>
      </c>
      <c r="RS8" t="s">
        <v>3869</v>
      </c>
      <c r="RT8" s="6">
        <v>46003</v>
      </c>
      <c r="RU8">
        <v>5</v>
      </c>
      <c r="RV8">
        <v>1751541.21</v>
      </c>
      <c r="RW8">
        <v>115694</v>
      </c>
      <c r="RX8" t="s">
        <v>3870</v>
      </c>
      <c r="SA8" t="s">
        <v>1761</v>
      </c>
      <c r="SB8">
        <v>3.708545</v>
      </c>
      <c r="SC8" t="s">
        <v>1786</v>
      </c>
      <c r="SD8">
        <v>0.28092400000000001</v>
      </c>
      <c r="SE8" t="s">
        <v>1742</v>
      </c>
      <c r="SF8">
        <v>2025</v>
      </c>
      <c r="SG8" t="s">
        <v>5722</v>
      </c>
      <c r="SH8" s="6">
        <v>45982</v>
      </c>
      <c r="SI8">
        <v>5</v>
      </c>
      <c r="SJ8">
        <v>152050352</v>
      </c>
      <c r="SK8">
        <v>101695</v>
      </c>
      <c r="SL8" t="s">
        <v>1764</v>
      </c>
      <c r="SQ8" t="s">
        <v>167</v>
      </c>
      <c r="SR8" t="s">
        <v>1786</v>
      </c>
      <c r="SS8">
        <v>3.3352200000000001</v>
      </c>
      <c r="ST8">
        <v>3.067034</v>
      </c>
      <c r="SU8" t="s">
        <v>1845</v>
      </c>
      <c r="SV8">
        <v>2025</v>
      </c>
      <c r="SW8" t="s">
        <v>1887</v>
      </c>
      <c r="SX8" s="6">
        <v>46056</v>
      </c>
      <c r="SY8">
        <v>5</v>
      </c>
      <c r="SZ8">
        <v>496380736</v>
      </c>
      <c r="TA8">
        <v>69423747</v>
      </c>
      <c r="TB8" t="s">
        <v>2036</v>
      </c>
      <c r="TE8" t="s">
        <v>2139</v>
      </c>
      <c r="TF8">
        <v>0.41504600000000003</v>
      </c>
      <c r="TG8" t="s">
        <v>1786</v>
      </c>
      <c r="TH8">
        <v>12.645267</v>
      </c>
      <c r="TI8" t="s">
        <v>1742</v>
      </c>
      <c r="TJ8">
        <v>2025</v>
      </c>
      <c r="TK8" t="s">
        <v>2140</v>
      </c>
      <c r="TL8" s="6">
        <v>46034</v>
      </c>
      <c r="TM8">
        <v>5</v>
      </c>
      <c r="TN8">
        <v>72131512</v>
      </c>
      <c r="TO8">
        <v>313021</v>
      </c>
      <c r="TP8" t="s">
        <v>2141</v>
      </c>
      <c r="TU8" t="s">
        <v>2817</v>
      </c>
      <c r="TV8" t="s">
        <v>1786</v>
      </c>
      <c r="TW8">
        <v>0.39843600000000001</v>
      </c>
      <c r="TX8">
        <v>0.58359499999999997</v>
      </c>
      <c r="TY8" t="s">
        <v>1845</v>
      </c>
      <c r="TZ8">
        <v>2025</v>
      </c>
      <c r="UA8" t="s">
        <v>2818</v>
      </c>
      <c r="UB8" s="6">
        <v>46072</v>
      </c>
      <c r="UC8">
        <v>5</v>
      </c>
      <c r="UD8">
        <v>14843609.470000001</v>
      </c>
      <c r="UE8">
        <v>70579391</v>
      </c>
      <c r="UF8" t="s">
        <v>2819</v>
      </c>
      <c r="UI8" t="s">
        <v>2575</v>
      </c>
      <c r="UJ8">
        <v>-2.4245362661989844E-14</v>
      </c>
      <c r="UL8">
        <v>-2.4245362661989844E-14</v>
      </c>
      <c r="UM8" t="s">
        <v>1745</v>
      </c>
      <c r="UN8">
        <v>2024</v>
      </c>
      <c r="UO8" t="s">
        <v>2576</v>
      </c>
      <c r="UP8" s="6">
        <v>45785</v>
      </c>
      <c r="UQ8">
        <v>5</v>
      </c>
      <c r="UR8">
        <v>-2.4245362661989844E-14</v>
      </c>
      <c r="US8">
        <v>71626870</v>
      </c>
      <c r="UT8" t="s">
        <v>2577</v>
      </c>
    </row>
    <row r="9" spans="1:600" x14ac:dyDescent="0.25">
      <c r="A9" t="s">
        <v>5660</v>
      </c>
      <c r="C9">
        <v>-2.4245362661989844E-14</v>
      </c>
      <c r="D9">
        <v>-2.4245362661989844E-14</v>
      </c>
      <c r="E9" t="s">
        <v>1745</v>
      </c>
      <c r="F9">
        <v>2024</v>
      </c>
      <c r="G9" t="s">
        <v>5661</v>
      </c>
      <c r="H9" s="6">
        <v>45727</v>
      </c>
      <c r="I9">
        <v>5</v>
      </c>
      <c r="J9">
        <v>-2.4245362661989844E-14</v>
      </c>
      <c r="K9">
        <v>71694517</v>
      </c>
      <c r="L9" t="s">
        <v>5662</v>
      </c>
      <c r="DQ9" t="s">
        <v>2756</v>
      </c>
      <c r="DR9" t="s">
        <v>1786</v>
      </c>
      <c r="DS9">
        <v>6.3853999999999994E-2</v>
      </c>
      <c r="DT9">
        <v>9.7213999999999995E-2</v>
      </c>
      <c r="DU9" t="s">
        <v>1762</v>
      </c>
      <c r="DV9">
        <v>2025</v>
      </c>
      <c r="DW9" t="s">
        <v>2757</v>
      </c>
      <c r="DX9" s="6">
        <v>45957</v>
      </c>
      <c r="DY9">
        <v>5</v>
      </c>
      <c r="DZ9">
        <v>754080.82</v>
      </c>
      <c r="EA9">
        <v>815087</v>
      </c>
      <c r="EB9" t="s">
        <v>2758</v>
      </c>
      <c r="EE9" t="s">
        <v>6165</v>
      </c>
      <c r="EF9">
        <v>-2.4245362661989844E-14</v>
      </c>
      <c r="EH9">
        <v>-2.4245362661989844E-14</v>
      </c>
      <c r="EI9" t="s">
        <v>1745</v>
      </c>
      <c r="EJ9">
        <v>2021</v>
      </c>
      <c r="EK9" t="s">
        <v>6166</v>
      </c>
      <c r="EL9" s="6">
        <v>44652</v>
      </c>
      <c r="EM9">
        <v>5</v>
      </c>
      <c r="EN9">
        <v>-2.4245362661989844E-14</v>
      </c>
      <c r="EO9">
        <v>15069822</v>
      </c>
      <c r="EP9" t="s">
        <v>6167</v>
      </c>
      <c r="FY9" t="s">
        <v>5862</v>
      </c>
      <c r="GA9">
        <v>-2.4245362661989844E-14</v>
      </c>
      <c r="GB9">
        <v>-2.4245362661989844E-14</v>
      </c>
      <c r="GC9" t="s">
        <v>1745</v>
      </c>
      <c r="GD9">
        <v>2022</v>
      </c>
      <c r="GE9" t="s">
        <v>5863</v>
      </c>
      <c r="GF9" s="6">
        <v>45000</v>
      </c>
      <c r="GG9">
        <v>5</v>
      </c>
      <c r="GH9">
        <v>-2.4245362661989844E-14</v>
      </c>
      <c r="GI9">
        <v>69704831</v>
      </c>
      <c r="GJ9" t="s">
        <v>5864</v>
      </c>
      <c r="GM9" t="s">
        <v>6398</v>
      </c>
      <c r="GN9">
        <v>-2.4245362661989844E-14</v>
      </c>
      <c r="GP9">
        <v>-2.4245362661989844E-14</v>
      </c>
      <c r="GQ9" t="s">
        <v>1745</v>
      </c>
      <c r="GR9">
        <v>2024</v>
      </c>
      <c r="GS9" t="s">
        <v>6399</v>
      </c>
      <c r="GT9" s="6">
        <v>45777</v>
      </c>
      <c r="GU9">
        <v>5</v>
      </c>
      <c r="GV9">
        <v>-2.4245362661989844E-14</v>
      </c>
      <c r="GW9">
        <v>384701</v>
      </c>
      <c r="GX9" t="s">
        <v>6400</v>
      </c>
      <c r="IG9" t="s">
        <v>3369</v>
      </c>
      <c r="II9">
        <v>-2.4245362661989844E-14</v>
      </c>
      <c r="IJ9">
        <v>-2.4245362661989844E-14</v>
      </c>
      <c r="IK9" t="s">
        <v>1745</v>
      </c>
      <c r="IL9">
        <v>2021</v>
      </c>
      <c r="IM9" t="s">
        <v>3370</v>
      </c>
      <c r="IN9" s="6">
        <v>44693</v>
      </c>
      <c r="IO9">
        <v>5</v>
      </c>
      <c r="IP9">
        <v>-2.4245362661989844E-14</v>
      </c>
      <c r="IQ9">
        <v>100532</v>
      </c>
      <c r="IR9" t="s">
        <v>3371</v>
      </c>
      <c r="KO9" t="s">
        <v>3061</v>
      </c>
      <c r="KP9" t="s">
        <v>1769</v>
      </c>
      <c r="KQ9">
        <v>0.69</v>
      </c>
      <c r="KR9">
        <v>0.55230100000000004</v>
      </c>
      <c r="KS9" t="s">
        <v>1745</v>
      </c>
      <c r="KT9">
        <v>2024</v>
      </c>
      <c r="KU9" t="s">
        <v>3062</v>
      </c>
      <c r="KV9" s="6">
        <v>45719</v>
      </c>
      <c r="KW9">
        <v>5</v>
      </c>
      <c r="KX9">
        <v>889342.75</v>
      </c>
      <c r="KY9">
        <v>126294</v>
      </c>
      <c r="KZ9" t="s">
        <v>3063</v>
      </c>
      <c r="LS9" t="s">
        <v>4522</v>
      </c>
      <c r="LT9" t="s">
        <v>1786</v>
      </c>
      <c r="LU9">
        <v>3.7962999999999997E-2</v>
      </c>
      <c r="LV9">
        <v>0.117649</v>
      </c>
      <c r="LW9" t="s">
        <v>1762</v>
      </c>
      <c r="LX9">
        <v>2025</v>
      </c>
      <c r="LY9" t="s">
        <v>4523</v>
      </c>
      <c r="LZ9" s="6">
        <v>45917</v>
      </c>
      <c r="MA9">
        <v>5</v>
      </c>
      <c r="MB9">
        <v>1794964.29</v>
      </c>
      <c r="MC9">
        <v>112156</v>
      </c>
      <c r="MD9" t="s">
        <v>4524</v>
      </c>
      <c r="MG9" t="s">
        <v>2002</v>
      </c>
      <c r="MH9">
        <v>-2.4245362661989844E-14</v>
      </c>
      <c r="MJ9">
        <v>-2.4245362661989844E-14</v>
      </c>
      <c r="MK9" t="s">
        <v>1745</v>
      </c>
      <c r="ML9">
        <v>2022</v>
      </c>
      <c r="MM9" t="s">
        <v>2003</v>
      </c>
      <c r="MN9" s="6">
        <v>44973</v>
      </c>
      <c r="MO9">
        <v>5</v>
      </c>
      <c r="MP9">
        <v>-2.4245362661989844E-14</v>
      </c>
      <c r="MQ9">
        <v>11599856</v>
      </c>
      <c r="MR9" t="s">
        <v>2004</v>
      </c>
      <c r="PE9" t="s">
        <v>6088</v>
      </c>
      <c r="PF9" t="s">
        <v>1769</v>
      </c>
      <c r="PG9">
        <v>0.89682700000000004</v>
      </c>
      <c r="PH9">
        <v>1.9151000000000001E-2</v>
      </c>
      <c r="PI9" t="s">
        <v>1745</v>
      </c>
      <c r="PJ9">
        <v>2025</v>
      </c>
      <c r="PK9" t="s">
        <v>6089</v>
      </c>
      <c r="PL9" s="6">
        <v>46058</v>
      </c>
      <c r="PM9">
        <v>5</v>
      </c>
      <c r="PN9">
        <v>2640312.86</v>
      </c>
      <c r="PO9">
        <v>7890735</v>
      </c>
      <c r="PP9" t="s">
        <v>6090</v>
      </c>
      <c r="PS9" t="s">
        <v>5974</v>
      </c>
      <c r="PT9">
        <v>-2.4245362661989844E-14</v>
      </c>
      <c r="PV9">
        <v>-2.4245362661989844E-14</v>
      </c>
      <c r="PW9" t="s">
        <v>1745</v>
      </c>
      <c r="PX9">
        <v>2023</v>
      </c>
      <c r="PY9" t="s">
        <v>5967</v>
      </c>
      <c r="PZ9" s="6">
        <v>45187</v>
      </c>
      <c r="QA9">
        <v>5</v>
      </c>
      <c r="QB9">
        <v>-2.4245362661989844E-14</v>
      </c>
      <c r="QC9">
        <v>136124</v>
      </c>
      <c r="QD9" t="s">
        <v>5975</v>
      </c>
      <c r="QI9" t="s">
        <v>5914</v>
      </c>
      <c r="QK9">
        <v>-2.4245362661989844E-14</v>
      </c>
      <c r="QL9">
        <v>-2.4245362661989844E-14</v>
      </c>
      <c r="QM9" t="s">
        <v>1745</v>
      </c>
      <c r="QN9">
        <v>2021</v>
      </c>
      <c r="QO9" t="s">
        <v>5915</v>
      </c>
      <c r="QP9" s="6">
        <v>44642</v>
      </c>
      <c r="QQ9">
        <v>5</v>
      </c>
      <c r="QR9">
        <v>-2.4245362661989844E-14</v>
      </c>
      <c r="QS9">
        <v>9062412</v>
      </c>
      <c r="QT9" t="s">
        <v>5916</v>
      </c>
      <c r="RM9" t="s">
        <v>3294</v>
      </c>
      <c r="RN9" t="s">
        <v>1769</v>
      </c>
      <c r="RO9">
        <v>2.8</v>
      </c>
      <c r="RP9">
        <v>0.25838499999999998</v>
      </c>
      <c r="RQ9" t="s">
        <v>1745</v>
      </c>
      <c r="RR9">
        <v>2024</v>
      </c>
      <c r="RS9" t="s">
        <v>3295</v>
      </c>
      <c r="RT9" s="6">
        <v>45794</v>
      </c>
      <c r="RU9">
        <v>5</v>
      </c>
      <c r="RV9">
        <v>1325627.46</v>
      </c>
      <c r="RW9">
        <v>42581762</v>
      </c>
      <c r="RX9" t="s">
        <v>3296</v>
      </c>
      <c r="SA9" t="s">
        <v>75</v>
      </c>
      <c r="SB9">
        <v>3.6126870000000002</v>
      </c>
      <c r="SC9" t="s">
        <v>1820</v>
      </c>
      <c r="SD9">
        <v>3.4366629999999998</v>
      </c>
      <c r="SE9" t="s">
        <v>1742</v>
      </c>
      <c r="SF9">
        <v>2025</v>
      </c>
      <c r="SG9" t="s">
        <v>5722</v>
      </c>
      <c r="SH9" s="6">
        <v>45982</v>
      </c>
      <c r="SI9">
        <v>5</v>
      </c>
      <c r="SJ9">
        <v>148120160</v>
      </c>
      <c r="SK9">
        <v>100185</v>
      </c>
      <c r="SL9" t="s">
        <v>1894</v>
      </c>
      <c r="SQ9" t="s">
        <v>2076</v>
      </c>
      <c r="SR9" t="s">
        <v>1786</v>
      </c>
      <c r="SS9">
        <v>2.581083</v>
      </c>
      <c r="ST9">
        <v>3.2021199999999999</v>
      </c>
      <c r="SU9" t="s">
        <v>1845</v>
      </c>
      <c r="SV9">
        <v>2025</v>
      </c>
      <c r="SW9" t="s">
        <v>2316</v>
      </c>
      <c r="SX9" s="6">
        <v>46010</v>
      </c>
      <c r="SY9">
        <v>5</v>
      </c>
      <c r="SZ9">
        <v>464982112</v>
      </c>
      <c r="TA9">
        <v>59907412</v>
      </c>
      <c r="TB9" t="s">
        <v>2077</v>
      </c>
      <c r="TE9" t="s">
        <v>2088</v>
      </c>
      <c r="TF9">
        <v>0.18389800000000001</v>
      </c>
      <c r="TG9" t="s">
        <v>1786</v>
      </c>
      <c r="TH9">
        <v>0.62773500000000004</v>
      </c>
      <c r="TI9" t="s">
        <v>1742</v>
      </c>
      <c r="TJ9">
        <v>2025</v>
      </c>
      <c r="TK9" t="s">
        <v>2089</v>
      </c>
      <c r="TL9" s="6">
        <v>45926</v>
      </c>
      <c r="TM9">
        <v>5</v>
      </c>
      <c r="TN9">
        <v>28079434.109999999</v>
      </c>
      <c r="TO9">
        <v>191315</v>
      </c>
      <c r="TP9" t="s">
        <v>2090</v>
      </c>
      <c r="TU9" t="s">
        <v>2820</v>
      </c>
      <c r="TV9" t="s">
        <v>1786</v>
      </c>
      <c r="TW9">
        <v>1.796597</v>
      </c>
      <c r="TX9">
        <v>0.53488500000000005</v>
      </c>
      <c r="TY9" t="s">
        <v>1809</v>
      </c>
      <c r="TZ9">
        <v>2025</v>
      </c>
      <c r="UA9" t="s">
        <v>2821</v>
      </c>
      <c r="UB9" s="6">
        <v>45793</v>
      </c>
      <c r="UC9">
        <v>5</v>
      </c>
      <c r="UD9">
        <v>11350253</v>
      </c>
      <c r="UE9">
        <v>102417</v>
      </c>
      <c r="UF9" t="s">
        <v>2822</v>
      </c>
      <c r="UI9" t="s">
        <v>2578</v>
      </c>
      <c r="UJ9">
        <v>-2.4245362661989844E-14</v>
      </c>
      <c r="UL9">
        <v>-2.4245362661989844E-14</v>
      </c>
      <c r="UM9" t="s">
        <v>1745</v>
      </c>
      <c r="UN9">
        <v>2022</v>
      </c>
      <c r="UO9" t="s">
        <v>2579</v>
      </c>
      <c r="UP9" s="6">
        <v>45070</v>
      </c>
      <c r="UQ9">
        <v>5</v>
      </c>
      <c r="UR9">
        <v>-2.4245362661989844E-14</v>
      </c>
      <c r="US9">
        <v>27516715</v>
      </c>
      <c r="UT9" t="s">
        <v>2580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361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362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363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364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365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366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367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368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369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370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371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372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373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374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375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376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377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378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379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380</v>
      </c>
      <c r="AE2" s="3" t="s">
        <v>156</v>
      </c>
      <c r="BI2" s="3" t="s">
        <v>381</v>
      </c>
      <c r="CM2" s="3" t="s">
        <v>382</v>
      </c>
      <c r="DQ2" s="3" t="s">
        <v>383</v>
      </c>
      <c r="EU2" s="3" t="s">
        <v>384</v>
      </c>
      <c r="FY2" s="3" t="s">
        <v>385</v>
      </c>
      <c r="HC2" s="3" t="s">
        <v>349</v>
      </c>
      <c r="IG2" s="3" t="s">
        <v>386</v>
      </c>
      <c r="JK2" s="3" t="s">
        <v>387</v>
      </c>
      <c r="KO2" s="3" t="s">
        <v>388</v>
      </c>
      <c r="LS2" s="3" t="s">
        <v>389</v>
      </c>
      <c r="MW2" s="3" t="s">
        <v>390</v>
      </c>
      <c r="OA2" s="3" t="s">
        <v>391</v>
      </c>
      <c r="PE2" s="3" t="s">
        <v>392</v>
      </c>
      <c r="QI2" s="3" t="s">
        <v>393</v>
      </c>
      <c r="RM2" s="3" t="s">
        <v>394</v>
      </c>
      <c r="SQ2" s="3" t="s">
        <v>395</v>
      </c>
      <c r="TU2" s="3" t="s">
        <v>391</v>
      </c>
      <c r="UY2" s="3" t="s">
        <v>396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_xll.BDS("ALXN US Equity","SUPPLY_CHAIN_SUPPLIERS_ALL_DATA")</f>
        <v>#N/A N/A</v>
      </c>
      <c r="O5" t="str">
        <f>_xll.BDS("ALXN US Equity","SUPPLY_CHAIN_CUSTOMERS_ALL_DATA")</f>
        <v>#N/A N/A</v>
      </c>
      <c r="AE5" t="str">
        <f>_xll.BDS("AMGN US Equity","SUPPLY_CHAIN_SUPPLIERS_ALL_DATA","cols=12;rows=5")</f>
        <v>AZN LN Equity</v>
      </c>
      <c r="AF5" t="s">
        <v>1786</v>
      </c>
      <c r="AG5">
        <v>1.1178159999999999</v>
      </c>
      <c r="AH5">
        <v>5.8230849999999998</v>
      </c>
      <c r="AI5" t="s">
        <v>1742</v>
      </c>
      <c r="AJ5">
        <v>2025</v>
      </c>
      <c r="AK5" t="s">
        <v>2730</v>
      </c>
      <c r="AL5" s="6">
        <v>46080</v>
      </c>
      <c r="AM5">
        <v>5</v>
      </c>
      <c r="AN5">
        <v>173295008</v>
      </c>
      <c r="AO5">
        <v>111093</v>
      </c>
      <c r="AP5" t="s">
        <v>2414</v>
      </c>
      <c r="AS5" t="str">
        <f>_xll.BDS("AMGN US Equity","SUPPLY_CHAIN_CUSTOMERS_ALL_DATA","cols=12;rows=5")</f>
        <v>MCK US Equity</v>
      </c>
      <c r="AT5">
        <v>34</v>
      </c>
      <c r="AU5" t="s">
        <v>1786</v>
      </c>
      <c r="AV5">
        <v>3.2555800000000001</v>
      </c>
      <c r="AW5" t="s">
        <v>1745</v>
      </c>
      <c r="AX5">
        <v>2025</v>
      </c>
      <c r="AY5" t="s">
        <v>5214</v>
      </c>
      <c r="AZ5" s="6">
        <v>46066</v>
      </c>
      <c r="BA5">
        <v>5</v>
      </c>
      <c r="BB5">
        <v>3123834880</v>
      </c>
      <c r="BC5">
        <v>154936</v>
      </c>
      <c r="BD5" t="s">
        <v>2146</v>
      </c>
      <c r="BI5" t="str">
        <f>_xll.BDS("GILD US Equity","SUPPLY_CHAIN_SUPPLIERS_ALL_DATA","cols=12;rows=5")</f>
        <v>JNJ US Equity</v>
      </c>
      <c r="BJ5" t="s">
        <v>1786</v>
      </c>
      <c r="BK5">
        <v>0.39174900000000001</v>
      </c>
      <c r="BL5">
        <v>5.9191529999999997</v>
      </c>
      <c r="BM5" t="s">
        <v>1745</v>
      </c>
      <c r="BN5">
        <v>2025</v>
      </c>
      <c r="BO5" t="s">
        <v>2391</v>
      </c>
      <c r="BP5" s="6">
        <v>46077</v>
      </c>
      <c r="BQ5">
        <v>5</v>
      </c>
      <c r="BR5">
        <v>92250000</v>
      </c>
      <c r="BS5">
        <v>100828</v>
      </c>
      <c r="BT5" t="s">
        <v>2464</v>
      </c>
      <c r="BW5" t="str">
        <f>_xll.BDS("GILD US Equity","SUPPLY_CHAIN_CUSTOMERS_ALL_DATA","cols=12;rows=5")</f>
        <v>CAH US Equity</v>
      </c>
      <c r="BX5">
        <v>29</v>
      </c>
      <c r="BY5" t="s">
        <v>1786</v>
      </c>
      <c r="BZ5">
        <v>3.6236459999999999</v>
      </c>
      <c r="CA5" t="s">
        <v>1745</v>
      </c>
      <c r="CB5">
        <v>2025</v>
      </c>
      <c r="CC5" t="s">
        <v>2391</v>
      </c>
      <c r="CD5" s="6">
        <v>46077</v>
      </c>
      <c r="CE5">
        <v>5</v>
      </c>
      <c r="CF5">
        <v>2134617472</v>
      </c>
      <c r="CG5">
        <v>102782</v>
      </c>
      <c r="CH5" t="s">
        <v>2149</v>
      </c>
      <c r="CM5" t="str">
        <f>_xll.BDS("MMM US Equity","SUPPLY_CHAIN_SUPPLIERS_ALL_DATA","cols=12;rows=5")</f>
        <v>BAS GR Equity</v>
      </c>
      <c r="CN5" t="s">
        <v>1786</v>
      </c>
      <c r="CO5">
        <v>0.33530700000000002</v>
      </c>
      <c r="CP5">
        <v>1.4804090000000001</v>
      </c>
      <c r="CQ5" t="s">
        <v>1742</v>
      </c>
      <c r="CR5">
        <v>2025</v>
      </c>
      <c r="CS5" t="s">
        <v>3869</v>
      </c>
      <c r="CT5" s="6">
        <v>46003</v>
      </c>
      <c r="CU5">
        <v>5</v>
      </c>
      <c r="CV5">
        <v>56147606.340000004</v>
      </c>
      <c r="CW5">
        <v>115694</v>
      </c>
      <c r="CX5" t="s">
        <v>3870</v>
      </c>
      <c r="DA5" t="str">
        <f>_xll.BDS("MMM US Equity","SUPPLY_CHAIN_CUSTOMERS_ALL_DATA","cols=12;rows=5")</f>
        <v>SOLV US Equity</v>
      </c>
      <c r="DB5">
        <v>2.5625290000000001</v>
      </c>
      <c r="DC5" t="s">
        <v>1786</v>
      </c>
      <c r="DD5">
        <v>17.377731000000001</v>
      </c>
      <c r="DE5" t="s">
        <v>1742</v>
      </c>
      <c r="DF5">
        <v>2025</v>
      </c>
      <c r="DG5" t="s">
        <v>2159</v>
      </c>
      <c r="DH5" s="6">
        <v>45967</v>
      </c>
      <c r="DI5">
        <v>5</v>
      </c>
      <c r="DJ5">
        <v>167000000</v>
      </c>
      <c r="DK5">
        <v>70456033</v>
      </c>
      <c r="DL5" t="s">
        <v>2160</v>
      </c>
      <c r="DQ5" t="str">
        <f>_xll.BDS("9983490D US Equity","SUPPLY_CHAIN_SUPPLIERS_ALL_DATA","cols=12;rows=5")</f>
        <v>002815 CH Equity</v>
      </c>
      <c r="DS5">
        <v>-2.4245362661989844E-14</v>
      </c>
      <c r="DT5">
        <v>-2.4245362661989844E-14</v>
      </c>
      <c r="DU5" t="s">
        <v>1805</v>
      </c>
      <c r="DV5">
        <v>2023</v>
      </c>
      <c r="DW5" t="s">
        <v>5984</v>
      </c>
      <c r="DX5" s="6">
        <v>45156</v>
      </c>
      <c r="DY5">
        <v>5</v>
      </c>
      <c r="DZ5">
        <v>-2.4245362661989844E-14</v>
      </c>
      <c r="EA5">
        <v>21765093</v>
      </c>
      <c r="EB5" t="s">
        <v>5985</v>
      </c>
      <c r="EE5" t="str">
        <f>_xll.BDS("9983490D US Equity","SUPPLY_CHAIN_CUSTOMERS_ALL_DATA","cols=12;rows=5")</f>
        <v>073070 KS Equity</v>
      </c>
      <c r="EF5">
        <v>-2.4245362661989844E-14</v>
      </c>
      <c r="EH5">
        <v>-2.4245362661989844E-14</v>
      </c>
      <c r="EI5" t="s">
        <v>2435</v>
      </c>
      <c r="EJ5">
        <v>2024</v>
      </c>
      <c r="EK5" t="s">
        <v>5898</v>
      </c>
      <c r="EL5" s="6">
        <v>45428</v>
      </c>
      <c r="EM5">
        <v>5</v>
      </c>
      <c r="EN5">
        <v>-2.4245362661989844E-14</v>
      </c>
      <c r="EO5">
        <v>8504847</v>
      </c>
      <c r="EP5" t="s">
        <v>5899</v>
      </c>
      <c r="EU5" t="str">
        <f>_xll.BDS("VIRT US Equity","SUPPLY_CHAIN_SUPPLIERS_ALL_DATA")</f>
        <v>#N/A N/A</v>
      </c>
      <c r="FI5" t="str">
        <f>_xll.BDS("VIRT US Equity","SUPPLY_CHAIN_CUSTOMERS_ALL_DATA","cols=12;rows=1")</f>
        <v>8309 JP Equity</v>
      </c>
      <c r="FJ5">
        <v>-2.4245362661989844E-14</v>
      </c>
      <c r="FL5">
        <v>-2.4245362661989844E-14</v>
      </c>
      <c r="FM5" t="s">
        <v>1745</v>
      </c>
      <c r="FN5">
        <v>2023</v>
      </c>
      <c r="FO5" t="s">
        <v>5317</v>
      </c>
      <c r="FP5" s="6">
        <v>45176</v>
      </c>
      <c r="FQ5">
        <v>1</v>
      </c>
      <c r="FR5">
        <v>-2.4245362661989844E-14</v>
      </c>
      <c r="FS5">
        <v>7611823</v>
      </c>
      <c r="FT5" t="s">
        <v>5318</v>
      </c>
      <c r="FY5" t="str">
        <f>_xll.BDS("JNJ US Equity","SUPPLY_CHAIN_SUPPLIERS_ALL_DATA","cols=12;rows=5")</f>
        <v>GMAB DC Equity</v>
      </c>
      <c r="FZ5" t="s">
        <v>2416</v>
      </c>
      <c r="GA5">
        <v>66.998047</v>
      </c>
      <c r="GB5">
        <v>11.040321</v>
      </c>
      <c r="GC5" t="s">
        <v>1745</v>
      </c>
      <c r="GD5">
        <v>2024</v>
      </c>
      <c r="GE5" t="s">
        <v>2793</v>
      </c>
      <c r="GF5" s="6">
        <v>45701</v>
      </c>
      <c r="GG5">
        <v>5</v>
      </c>
      <c r="GH5">
        <v>522920364.22000003</v>
      </c>
      <c r="GI5">
        <v>1405715</v>
      </c>
      <c r="GJ5" t="s">
        <v>2794</v>
      </c>
      <c r="GM5" t="str">
        <f>_xll.BDS("JNJ US Equity","SUPPLY_CHAIN_CUSTOMERS_ALL_DATA","cols=12;rows=5")</f>
        <v>MCK US Equity</v>
      </c>
      <c r="GN5">
        <v>20.476745999999999</v>
      </c>
      <c r="GO5" t="s">
        <v>1786</v>
      </c>
      <c r="GP5">
        <v>6.636412</v>
      </c>
      <c r="GQ5" t="s">
        <v>1742</v>
      </c>
      <c r="GR5">
        <v>2025</v>
      </c>
      <c r="GS5" t="s">
        <v>2501</v>
      </c>
      <c r="GT5" s="6">
        <v>46018</v>
      </c>
      <c r="GU5">
        <v>5</v>
      </c>
      <c r="GV5">
        <v>4912985600</v>
      </c>
      <c r="GW5">
        <v>154936</v>
      </c>
      <c r="GX5" t="s">
        <v>2146</v>
      </c>
      <c r="HC5" t="str">
        <f>_xll.BDS("PTEN US Equity","SUPPLY_CHAIN_SUPPLIERS_ALL_DATA","cols=12;rows=5")</f>
        <v>DNOW US Equity</v>
      </c>
      <c r="HD5" t="s">
        <v>1786</v>
      </c>
      <c r="HE5">
        <v>0.181116</v>
      </c>
      <c r="HF5">
        <v>0.102577</v>
      </c>
      <c r="HG5" t="s">
        <v>1742</v>
      </c>
      <c r="HH5">
        <v>2025</v>
      </c>
      <c r="HI5" t="s">
        <v>2490</v>
      </c>
      <c r="HJ5" s="6">
        <v>46027</v>
      </c>
      <c r="HK5">
        <v>5</v>
      </c>
      <c r="HL5">
        <v>1148275</v>
      </c>
      <c r="HM5">
        <v>36965288</v>
      </c>
      <c r="HN5" t="s">
        <v>1987</v>
      </c>
      <c r="HQ5" t="str">
        <f>_xll.BDS("PTEN US Equity","SUPPLY_CHAIN_CUSTOMERS_ALL_DATA","cols=12;rows=3")</f>
        <v>ARCH NO Equity</v>
      </c>
      <c r="HR5">
        <v>-2.4245362661989844E-14</v>
      </c>
      <c r="HT5">
        <v>-2.4245362661989844E-14</v>
      </c>
      <c r="HU5" t="s">
        <v>1745</v>
      </c>
      <c r="HV5">
        <v>2025</v>
      </c>
      <c r="HW5" t="s">
        <v>5419</v>
      </c>
      <c r="HX5" s="6">
        <v>46037</v>
      </c>
      <c r="HY5">
        <v>3</v>
      </c>
      <c r="HZ5">
        <v>-2.4245362661989844E-14</v>
      </c>
      <c r="IA5">
        <v>13297516</v>
      </c>
      <c r="IB5" t="s">
        <v>4473</v>
      </c>
      <c r="IG5" t="str">
        <f>_xll.BDS("OPK US Equity","SUPPLY_CHAIN_SUPPLIERS_ALL_DATA","cols=12;rows=5")</f>
        <v>0257644Z US Equity</v>
      </c>
      <c r="II5">
        <v>-2.4245362661989844E-14</v>
      </c>
      <c r="IJ5">
        <v>-2.4245362661989844E-14</v>
      </c>
      <c r="IK5" t="s">
        <v>1745</v>
      </c>
      <c r="IL5">
        <v>2024</v>
      </c>
      <c r="IM5" t="s">
        <v>5300</v>
      </c>
      <c r="IN5" s="6">
        <v>45719</v>
      </c>
      <c r="IO5">
        <v>5</v>
      </c>
      <c r="IP5">
        <v>-2.4245362661989844E-14</v>
      </c>
      <c r="IQ5">
        <v>949112</v>
      </c>
      <c r="IR5" t="s">
        <v>5350</v>
      </c>
      <c r="IU5" t="str">
        <f>_xll.BDS("OPK US Equity","SUPPLY_CHAIN_CUSTOMERS_ALL_DATA","cols=12;rows=5")</f>
        <v>PFE US Equity</v>
      </c>
      <c r="IV5">
        <v>4.2067360000000003</v>
      </c>
      <c r="IW5" t="s">
        <v>1786</v>
      </c>
      <c r="IX5">
        <v>0.16805800000000001</v>
      </c>
      <c r="IY5" t="s">
        <v>1745</v>
      </c>
      <c r="IZ5">
        <v>2024</v>
      </c>
      <c r="JA5" t="s">
        <v>5300</v>
      </c>
      <c r="JB5" s="6">
        <v>45719</v>
      </c>
      <c r="JC5">
        <v>5</v>
      </c>
      <c r="JD5">
        <v>7500000</v>
      </c>
      <c r="JE5">
        <v>101166</v>
      </c>
      <c r="JF5" t="s">
        <v>3255</v>
      </c>
      <c r="JK5" t="str">
        <f>_xll.BDS("LITE US Equity","SUPPLY_CHAIN_SUPPLIERS_ALL_DATA","cols=12;rows=5")</f>
        <v>FN US Equity</v>
      </c>
      <c r="JL5" t="s">
        <v>1786</v>
      </c>
      <c r="JM5">
        <v>6.1975280000000001</v>
      </c>
      <c r="JN5">
        <v>16.504712999999999</v>
      </c>
      <c r="JO5" t="s">
        <v>1762</v>
      </c>
      <c r="JP5">
        <v>2026</v>
      </c>
      <c r="JQ5" t="s">
        <v>3920</v>
      </c>
      <c r="JR5" s="6">
        <v>46080</v>
      </c>
      <c r="JS5">
        <v>5</v>
      </c>
      <c r="JT5">
        <v>70211048</v>
      </c>
      <c r="JU5">
        <v>9858567</v>
      </c>
      <c r="JV5" t="s">
        <v>3921</v>
      </c>
      <c r="JY5" t="str">
        <f>_xll.BDS("LITE US Equity","SUPPLY_CHAIN_CUSTOMERS_ALL_DATA","cols=12;rows=5")</f>
        <v>CIEN US Equity</v>
      </c>
      <c r="JZ5">
        <v>22.006122999999999</v>
      </c>
      <c r="KA5" t="s">
        <v>1786</v>
      </c>
      <c r="KB5">
        <v>16.399232999999999</v>
      </c>
      <c r="KC5" t="s">
        <v>1809</v>
      </c>
      <c r="KD5">
        <v>2026</v>
      </c>
      <c r="KE5" t="s">
        <v>3442</v>
      </c>
      <c r="KF5" s="6">
        <v>45967</v>
      </c>
      <c r="KG5">
        <v>5</v>
      </c>
      <c r="KH5">
        <v>117468680</v>
      </c>
      <c r="KI5">
        <v>211040</v>
      </c>
      <c r="KJ5" t="s">
        <v>2676</v>
      </c>
      <c r="KO5" t="str">
        <f>_xll.BDS("MNKTQ US Equity","SUPPLY_CHAIN_SUPPLIERS_ALL_DATA","cols=12;rows=5")</f>
        <v>CAP FP Equity</v>
      </c>
      <c r="KP5" t="s">
        <v>1769</v>
      </c>
      <c r="KQ5">
        <v>1.3310000000000001E-2</v>
      </c>
      <c r="KR5">
        <v>0.55534899999999998</v>
      </c>
      <c r="KS5" t="s">
        <v>1762</v>
      </c>
      <c r="KT5">
        <v>2025</v>
      </c>
      <c r="KU5" t="s">
        <v>3106</v>
      </c>
      <c r="KV5" s="6">
        <v>45902</v>
      </c>
      <c r="KW5">
        <v>5</v>
      </c>
      <c r="KX5">
        <v>837702.49</v>
      </c>
      <c r="KY5">
        <v>115265</v>
      </c>
      <c r="KZ5" t="s">
        <v>3107</v>
      </c>
      <c r="LC5" t="str">
        <f>_xll.BDS("MNKTQ US Equity","SUPPLY_CHAIN_CUSTOMERS_ALL_DATA","cols=12;rows=5")</f>
        <v>102460 KS Equity</v>
      </c>
      <c r="LD5">
        <v>-2.4245362661989844E-14</v>
      </c>
      <c r="LF5">
        <v>-2.4245362661989844E-14</v>
      </c>
      <c r="LG5" t="s">
        <v>1745</v>
      </c>
      <c r="LH5">
        <v>2021</v>
      </c>
      <c r="LI5" t="s">
        <v>5325</v>
      </c>
      <c r="LJ5" s="6">
        <v>44642</v>
      </c>
      <c r="LK5">
        <v>5</v>
      </c>
      <c r="LL5">
        <v>-2.4245362661989844E-14</v>
      </c>
      <c r="LM5">
        <v>16330577</v>
      </c>
      <c r="LN5" t="s">
        <v>5326</v>
      </c>
      <c r="LS5" t="str">
        <f>_xll.BDS("WNR US Equity","SUPPLY_CHAIN_SUPPLIERS_ALL_DATA")</f>
        <v>#N/A N/A</v>
      </c>
      <c r="MG5" t="str">
        <f>_xll.BDS("WNR US Equity","SUPPLY_CHAIN_CUSTOMERS_ALL_DATA")</f>
        <v>#N/A N/A</v>
      </c>
      <c r="MW5" t="str">
        <f>_xll.BDS("502466Q US Equity","SUPPLY_CHAIN_SUPPLIERS_ALL_DATA")</f>
        <v>#N/A N/A</v>
      </c>
      <c r="NK5" t="str">
        <f>_xll.BDS("502466Q US Equity","SUPPLY_CHAIN_CUSTOMERS_ALL_DATA")</f>
        <v>#N/A N/A</v>
      </c>
      <c r="OA5" t="str">
        <f>_xll.BDS("0848680D US Equity","SUPPLY_CHAIN_SUPPLIERS_ALL_DATA")</f>
        <v>#N/A N/A</v>
      </c>
      <c r="OO5" t="str">
        <f>_xll.BDS("0848680D US Equity","SUPPLY_CHAIN_CUSTOMERS_ALL_DATA")</f>
        <v>#N/A N/A</v>
      </c>
      <c r="PE5" t="str">
        <f>_xll.BDS("8251545Q US Equity","SUPPLY_CHAIN_SUPPLIERS_ALL_DATA")</f>
        <v>#N/A N/A</v>
      </c>
      <c r="PS5" t="str">
        <f>_xll.BDS("8251545Q US Equity","SUPPLY_CHAIN_CUSTOMERS_ALL_DATA")</f>
        <v>#N/A N/A</v>
      </c>
      <c r="QI5" t="str">
        <f>_xll.BDS("TXN US Equity","SUPPLY_CHAIN_SUPPLIERS_ALL_DATA","cols=12;rows=5")</f>
        <v>2330 TT Equity</v>
      </c>
      <c r="QJ5" t="s">
        <v>1786</v>
      </c>
      <c r="QK5">
        <v>0.48809900000000001</v>
      </c>
      <c r="QL5">
        <v>7.736631</v>
      </c>
      <c r="QM5" t="s">
        <v>1845</v>
      </c>
      <c r="QN5">
        <v>2024</v>
      </c>
      <c r="QO5" t="s">
        <v>3435</v>
      </c>
      <c r="QP5" s="6">
        <v>45741</v>
      </c>
      <c r="QQ5">
        <v>5</v>
      </c>
      <c r="QR5">
        <v>131034563.84999999</v>
      </c>
      <c r="QS5">
        <v>153737</v>
      </c>
      <c r="QT5" t="s">
        <v>2171</v>
      </c>
      <c r="QW5" t="str">
        <f>_xll.BDS("TXN US Equity","SUPPLY_CHAIN_CUSTOMERS_ALL_DATA","cols=12;rows=5")</f>
        <v>VOW GR Equity</v>
      </c>
      <c r="QX5">
        <v>6.0573319999999997</v>
      </c>
      <c r="QY5" t="s">
        <v>1786</v>
      </c>
      <c r="QZ5">
        <v>0.37687500000000002</v>
      </c>
      <c r="RA5" t="s">
        <v>1742</v>
      </c>
      <c r="RB5">
        <v>2025</v>
      </c>
      <c r="RC5" t="s">
        <v>5881</v>
      </c>
      <c r="RD5" s="6">
        <v>45954</v>
      </c>
      <c r="RE5">
        <v>5</v>
      </c>
      <c r="RF5">
        <v>287238688</v>
      </c>
      <c r="RG5">
        <v>115757</v>
      </c>
      <c r="RH5" t="s">
        <v>2202</v>
      </c>
      <c r="RM5" t="str">
        <f>_xll.BDS("362125Q US Equity","SUPPLY_CHAIN_SUPPLIERS_ALL_DATA")</f>
        <v>#N/A N/A</v>
      </c>
      <c r="SA5" t="str">
        <f>_xll.BDS("362125Q US Equity","SUPPLY_CHAIN_CUSTOMERS_ALL_DATA")</f>
        <v>#N/A N/A</v>
      </c>
      <c r="SQ5" t="str">
        <f>_xll.BDS("AVY US Equity","SUPPLY_CHAIN_SUPPLIERS_ALL_DATA","cols=12;rows=5")</f>
        <v>TCS IN Equity</v>
      </c>
      <c r="SR5" t="s">
        <v>1769</v>
      </c>
      <c r="SS5">
        <v>0.111127</v>
      </c>
      <c r="ST5">
        <v>2.790524</v>
      </c>
      <c r="SU5" t="s">
        <v>1742</v>
      </c>
      <c r="SV5">
        <v>2026</v>
      </c>
      <c r="SW5" t="s">
        <v>2851</v>
      </c>
      <c r="SX5" s="6">
        <v>46058</v>
      </c>
      <c r="SY5">
        <v>5</v>
      </c>
      <c r="SZ5">
        <v>8367515.1799999997</v>
      </c>
      <c r="TA5">
        <v>7259059</v>
      </c>
      <c r="TB5" t="s">
        <v>2852</v>
      </c>
      <c r="TE5" t="str">
        <f>_xll.BDS("AVY US Equity","SUPPLY_CHAIN_CUSTOMERS_ALL_DATA","cols=12;rows=5")</f>
        <v>ARW US Equity</v>
      </c>
      <c r="TF5">
        <v>0.69883700000000004</v>
      </c>
      <c r="TG5" t="s">
        <v>1786</v>
      </c>
      <c r="TH5">
        <v>0.25326100000000001</v>
      </c>
      <c r="TI5" t="s">
        <v>1809</v>
      </c>
      <c r="TJ5">
        <v>2025</v>
      </c>
      <c r="TK5" t="s">
        <v>1815</v>
      </c>
      <c r="TL5" s="6">
        <v>45784</v>
      </c>
      <c r="TM5">
        <v>5</v>
      </c>
      <c r="TN5">
        <v>15297028</v>
      </c>
      <c r="TO5">
        <v>100115</v>
      </c>
      <c r="TP5" t="s">
        <v>1816</v>
      </c>
      <c r="TU5" t="str">
        <f>_xll.BDS("0848680D US Equity","SUPPLY_CHAIN_SUPPLIERS_ALL_DATA")</f>
        <v>#N/A N/A</v>
      </c>
      <c r="UI5" t="str">
        <f>_xll.BDS("0848680D US Equity","SUPPLY_CHAIN_CUSTOMERS_ALL_DATA")</f>
        <v>#N/A N/A</v>
      </c>
      <c r="UY5" t="str">
        <f>_xll.BDS("PAA US Equity","SUPPLY_CHAIN_SUPPLIERS_ALL_DATA","cols=12;rows=5")</f>
        <v>CSX US Equity</v>
      </c>
      <c r="UZ5" t="s">
        <v>1786</v>
      </c>
      <c r="VA5">
        <v>0.43035299999999999</v>
      </c>
      <c r="VB5">
        <v>0.14197299999999999</v>
      </c>
      <c r="VC5" t="s">
        <v>1742</v>
      </c>
      <c r="VD5">
        <v>2025</v>
      </c>
      <c r="VE5" t="s">
        <v>3215</v>
      </c>
      <c r="VF5" s="6">
        <v>45993</v>
      </c>
      <c r="VG5">
        <v>5</v>
      </c>
      <c r="VH5">
        <v>15436762</v>
      </c>
      <c r="VI5">
        <v>100415</v>
      </c>
      <c r="VJ5" t="s">
        <v>3216</v>
      </c>
      <c r="VM5" t="str">
        <f>_xll.BDS("PAA US Equity","SUPPLY_CHAIN_CUSTOMERS_ALL_DATA","cols=12;rows=4")</f>
        <v>XOM US Equity</v>
      </c>
      <c r="VN5">
        <v>30</v>
      </c>
      <c r="VO5" t="s">
        <v>1786</v>
      </c>
      <c r="VP5">
        <v>5.2016150000000003</v>
      </c>
      <c r="VQ5" t="s">
        <v>1745</v>
      </c>
      <c r="VR5">
        <v>2024</v>
      </c>
      <c r="VS5" t="s">
        <v>2124</v>
      </c>
      <c r="VT5" s="6">
        <v>45716</v>
      </c>
      <c r="VU5">
        <v>4</v>
      </c>
      <c r="VV5">
        <v>3755474944</v>
      </c>
      <c r="VW5">
        <v>100546</v>
      </c>
      <c r="VX5" t="s">
        <v>2125</v>
      </c>
    </row>
    <row r="6" spans="1:600" x14ac:dyDescent="0.25">
      <c r="AE6" t="s">
        <v>5278</v>
      </c>
      <c r="AF6" t="s">
        <v>1786</v>
      </c>
      <c r="AG6">
        <v>1.073509</v>
      </c>
      <c r="AH6">
        <v>1.223395</v>
      </c>
      <c r="AI6" t="s">
        <v>1762</v>
      </c>
      <c r="AJ6">
        <v>2025</v>
      </c>
      <c r="AK6" t="s">
        <v>5279</v>
      </c>
      <c r="AL6" s="6">
        <v>45959</v>
      </c>
      <c r="AM6">
        <v>5</v>
      </c>
      <c r="AN6">
        <v>36821796.350000001</v>
      </c>
      <c r="AO6">
        <v>113332</v>
      </c>
      <c r="AP6" t="s">
        <v>5280</v>
      </c>
      <c r="AS6" t="s">
        <v>2147</v>
      </c>
      <c r="AT6">
        <v>27</v>
      </c>
      <c r="AU6" t="s">
        <v>1786</v>
      </c>
      <c r="AV6">
        <v>3.1622810000000001</v>
      </c>
      <c r="AW6" t="s">
        <v>1745</v>
      </c>
      <c r="AX6">
        <v>2025</v>
      </c>
      <c r="AY6" t="s">
        <v>5214</v>
      </c>
      <c r="AZ6" s="6">
        <v>46066</v>
      </c>
      <c r="BA6">
        <v>5</v>
      </c>
      <c r="BB6">
        <v>2480692480</v>
      </c>
      <c r="BC6">
        <v>156969</v>
      </c>
      <c r="BD6" t="s">
        <v>2148</v>
      </c>
      <c r="BI6" t="s">
        <v>2768</v>
      </c>
      <c r="BJ6" t="s">
        <v>1786</v>
      </c>
      <c r="BK6">
        <v>87.357474999999994</v>
      </c>
      <c r="BL6">
        <v>4.166086</v>
      </c>
      <c r="BM6" t="s">
        <v>1745</v>
      </c>
      <c r="BN6">
        <v>2024</v>
      </c>
      <c r="BO6" t="s">
        <v>2769</v>
      </c>
      <c r="BP6" s="6">
        <v>45744</v>
      </c>
      <c r="BQ6">
        <v>5</v>
      </c>
      <c r="BR6">
        <v>65124360</v>
      </c>
      <c r="BS6">
        <v>1421851</v>
      </c>
      <c r="BT6" t="s">
        <v>2770</v>
      </c>
      <c r="BW6" t="s">
        <v>115</v>
      </c>
      <c r="BX6">
        <v>24</v>
      </c>
      <c r="BY6" t="s">
        <v>1786</v>
      </c>
      <c r="BZ6">
        <v>1.8410839999999999</v>
      </c>
      <c r="CA6" t="s">
        <v>1745</v>
      </c>
      <c r="CB6">
        <v>2025</v>
      </c>
      <c r="CC6" t="s">
        <v>2391</v>
      </c>
      <c r="CD6" s="6">
        <v>46077</v>
      </c>
      <c r="CE6">
        <v>5</v>
      </c>
      <c r="CF6">
        <v>1766579968</v>
      </c>
      <c r="CG6">
        <v>154936</v>
      </c>
      <c r="CH6" t="s">
        <v>2146</v>
      </c>
      <c r="CM6" t="s">
        <v>3871</v>
      </c>
      <c r="CN6" t="s">
        <v>1769</v>
      </c>
      <c r="CO6">
        <v>1.0797129999999999</v>
      </c>
      <c r="CP6">
        <v>4.7981389999999999</v>
      </c>
      <c r="CQ6" t="s">
        <v>1762</v>
      </c>
      <c r="CR6">
        <v>2026</v>
      </c>
      <c r="CS6" t="s">
        <v>3872</v>
      </c>
      <c r="CT6" s="6">
        <v>45986</v>
      </c>
      <c r="CU6">
        <v>5</v>
      </c>
      <c r="CV6">
        <v>39360690.32</v>
      </c>
      <c r="CW6">
        <v>995671</v>
      </c>
      <c r="CX6" t="s">
        <v>3873</v>
      </c>
      <c r="DA6" t="s">
        <v>2161</v>
      </c>
      <c r="DB6">
        <v>1.126824</v>
      </c>
      <c r="DC6" t="s">
        <v>1786</v>
      </c>
      <c r="DD6">
        <v>0.57245599999999996</v>
      </c>
      <c r="DE6" t="s">
        <v>1742</v>
      </c>
      <c r="DF6">
        <v>2024</v>
      </c>
      <c r="DG6" t="s">
        <v>2162</v>
      </c>
      <c r="DH6" s="6">
        <v>45727</v>
      </c>
      <c r="DI6">
        <v>5</v>
      </c>
      <c r="DJ6">
        <v>70945001.510000005</v>
      </c>
      <c r="DK6">
        <v>7583418</v>
      </c>
      <c r="DL6" t="s">
        <v>2163</v>
      </c>
      <c r="DQ6" t="s">
        <v>3000</v>
      </c>
      <c r="DS6">
        <v>-2.4245362661989844E-14</v>
      </c>
      <c r="DT6">
        <v>-2.4245362661989844E-14</v>
      </c>
      <c r="DU6" t="s">
        <v>1745</v>
      </c>
      <c r="DV6">
        <v>2022</v>
      </c>
      <c r="DW6" t="s">
        <v>5986</v>
      </c>
      <c r="DX6" s="6">
        <v>45035</v>
      </c>
      <c r="DY6">
        <v>5</v>
      </c>
      <c r="DZ6">
        <v>-2.4245362661989844E-14</v>
      </c>
      <c r="EA6">
        <v>21813538</v>
      </c>
      <c r="EB6" t="s">
        <v>3001</v>
      </c>
      <c r="EE6" t="s">
        <v>5900</v>
      </c>
      <c r="EF6">
        <v>-2.4245362661989844E-14</v>
      </c>
      <c r="EH6">
        <v>-2.4245362661989844E-14</v>
      </c>
      <c r="EI6" t="s">
        <v>1745</v>
      </c>
      <c r="EJ6">
        <v>2023</v>
      </c>
      <c r="EK6" t="s">
        <v>5901</v>
      </c>
      <c r="EL6" s="6">
        <v>45408</v>
      </c>
      <c r="EM6">
        <v>5</v>
      </c>
      <c r="EN6">
        <v>-2.4245362661989844E-14</v>
      </c>
      <c r="EO6">
        <v>8137031</v>
      </c>
      <c r="EP6" t="s">
        <v>5902</v>
      </c>
      <c r="FY6" t="s">
        <v>2795</v>
      </c>
      <c r="FZ6" t="s">
        <v>1786</v>
      </c>
      <c r="GA6">
        <v>6.6266720000000001</v>
      </c>
      <c r="GB6">
        <v>6.8004179999999996</v>
      </c>
      <c r="GC6" t="s">
        <v>1742</v>
      </c>
      <c r="GD6">
        <v>2025</v>
      </c>
      <c r="GE6" t="s">
        <v>2796</v>
      </c>
      <c r="GF6" s="6">
        <v>45867</v>
      </c>
      <c r="GG6">
        <v>5</v>
      </c>
      <c r="GH6">
        <v>518735872</v>
      </c>
      <c r="GI6">
        <v>117092</v>
      </c>
      <c r="GJ6" t="s">
        <v>2797</v>
      </c>
      <c r="GM6" t="s">
        <v>2147</v>
      </c>
      <c r="GN6">
        <v>15.549336</v>
      </c>
      <c r="GO6" t="s">
        <v>1786</v>
      </c>
      <c r="GP6">
        <v>4.6186980000000002</v>
      </c>
      <c r="GQ6" t="s">
        <v>1742</v>
      </c>
      <c r="GR6">
        <v>2025</v>
      </c>
      <c r="GS6" t="s">
        <v>2501</v>
      </c>
      <c r="GT6" s="6">
        <v>46018</v>
      </c>
      <c r="GU6">
        <v>5</v>
      </c>
      <c r="GV6">
        <v>3730752256</v>
      </c>
      <c r="GW6">
        <v>156969</v>
      </c>
      <c r="GX6" t="s">
        <v>2148</v>
      </c>
      <c r="HC6" t="s">
        <v>2283</v>
      </c>
      <c r="HE6">
        <v>-2.4245362661989844E-14</v>
      </c>
      <c r="HF6">
        <v>-2.4245362661989844E-14</v>
      </c>
      <c r="HG6" t="s">
        <v>1745</v>
      </c>
      <c r="HH6">
        <v>2021</v>
      </c>
      <c r="HI6" t="s">
        <v>2284</v>
      </c>
      <c r="HJ6" s="6">
        <v>44693</v>
      </c>
      <c r="HK6">
        <v>5</v>
      </c>
      <c r="HL6">
        <v>-2.4245362661989844E-14</v>
      </c>
      <c r="HM6">
        <v>100060</v>
      </c>
      <c r="HN6" t="s">
        <v>2285</v>
      </c>
      <c r="HQ6" t="s">
        <v>4010</v>
      </c>
      <c r="HR6">
        <v>-2.4245362661989844E-14</v>
      </c>
      <c r="HT6">
        <v>-2.4245362661989844E-14</v>
      </c>
      <c r="HU6" t="s">
        <v>1745</v>
      </c>
      <c r="HV6">
        <v>2022</v>
      </c>
      <c r="HW6" t="s">
        <v>5420</v>
      </c>
      <c r="HX6" s="6">
        <v>44658</v>
      </c>
      <c r="HY6">
        <v>3</v>
      </c>
      <c r="HZ6">
        <v>-2.4245362661989844E-14</v>
      </c>
      <c r="IA6">
        <v>101174</v>
      </c>
      <c r="IB6" t="s">
        <v>4011</v>
      </c>
      <c r="IG6" t="s">
        <v>5351</v>
      </c>
      <c r="II6">
        <v>-2.4245362661989844E-14</v>
      </c>
      <c r="IJ6">
        <v>-2.4245362661989844E-14</v>
      </c>
      <c r="IK6" t="s">
        <v>1745</v>
      </c>
      <c r="IL6">
        <v>2024</v>
      </c>
      <c r="IM6" t="s">
        <v>5352</v>
      </c>
      <c r="IN6" s="6">
        <v>45734</v>
      </c>
      <c r="IO6">
        <v>5</v>
      </c>
      <c r="IP6">
        <v>-2.4245362661989844E-14</v>
      </c>
      <c r="IQ6">
        <v>17753383</v>
      </c>
      <c r="IR6" t="s">
        <v>5353</v>
      </c>
      <c r="IU6" t="s">
        <v>5301</v>
      </c>
      <c r="IV6">
        <v>3.3373439999999999</v>
      </c>
      <c r="IX6">
        <v>-2.4245362661989844E-14</v>
      </c>
      <c r="IY6" t="s">
        <v>1745</v>
      </c>
      <c r="IZ6">
        <v>2024</v>
      </c>
      <c r="JA6" t="s">
        <v>5300</v>
      </c>
      <c r="JB6" s="6">
        <v>45719</v>
      </c>
      <c r="JC6">
        <v>5</v>
      </c>
      <c r="JD6">
        <v>5950000</v>
      </c>
      <c r="JE6">
        <v>20677318</v>
      </c>
      <c r="JF6" t="s">
        <v>5302</v>
      </c>
      <c r="JK6" t="s">
        <v>3774</v>
      </c>
      <c r="JL6" t="s">
        <v>1786</v>
      </c>
      <c r="JM6">
        <v>3.4268779999999999</v>
      </c>
      <c r="JN6">
        <v>1.2308840000000001</v>
      </c>
      <c r="JO6" t="s">
        <v>1809</v>
      </c>
      <c r="JP6">
        <v>2025</v>
      </c>
      <c r="JQ6" t="s">
        <v>3775</v>
      </c>
      <c r="JR6" s="6">
        <v>45861</v>
      </c>
      <c r="JS6">
        <v>5</v>
      </c>
      <c r="JT6">
        <v>3725144.19</v>
      </c>
      <c r="JU6">
        <v>14336256</v>
      </c>
      <c r="JV6" t="s">
        <v>3776</v>
      </c>
      <c r="JY6" t="s">
        <v>246</v>
      </c>
      <c r="JZ6">
        <v>21.00882</v>
      </c>
      <c r="KA6" t="s">
        <v>1820</v>
      </c>
      <c r="KB6">
        <v>0.46818799999999999</v>
      </c>
      <c r="KC6" t="s">
        <v>1809</v>
      </c>
      <c r="KD6">
        <v>2026</v>
      </c>
      <c r="KE6" t="s">
        <v>3442</v>
      </c>
      <c r="KF6" s="6">
        <v>45967</v>
      </c>
      <c r="KG6">
        <v>5</v>
      </c>
      <c r="KH6">
        <v>112145080</v>
      </c>
      <c r="KI6">
        <v>46946968</v>
      </c>
      <c r="KJ6" t="s">
        <v>1765</v>
      </c>
      <c r="KO6" t="s">
        <v>3108</v>
      </c>
      <c r="KQ6">
        <v>-2.4245362661989844E-14</v>
      </c>
      <c r="KR6">
        <v>-2.4245362661989844E-14</v>
      </c>
      <c r="KS6" t="s">
        <v>1742</v>
      </c>
      <c r="KT6">
        <v>2023</v>
      </c>
      <c r="KU6" t="s">
        <v>3109</v>
      </c>
      <c r="KV6" s="6">
        <v>45166</v>
      </c>
      <c r="KW6">
        <v>5</v>
      </c>
      <c r="KX6">
        <v>-2.4245362661989844E-14</v>
      </c>
      <c r="KY6">
        <v>26883157</v>
      </c>
      <c r="KZ6" t="s">
        <v>3110</v>
      </c>
      <c r="LC6" t="s">
        <v>5301</v>
      </c>
      <c r="LD6">
        <v>-2.4245362661989844E-14</v>
      </c>
      <c r="LF6">
        <v>-2.4245362661989844E-14</v>
      </c>
      <c r="LG6" t="s">
        <v>1809</v>
      </c>
      <c r="LH6">
        <v>2022</v>
      </c>
      <c r="LI6" t="s">
        <v>5327</v>
      </c>
      <c r="LJ6" s="6">
        <v>44685</v>
      </c>
      <c r="LK6">
        <v>5</v>
      </c>
      <c r="LL6">
        <v>-2.4245362661989844E-14</v>
      </c>
      <c r="LM6">
        <v>20677318</v>
      </c>
      <c r="LN6" t="s">
        <v>5302</v>
      </c>
      <c r="QI6" t="s">
        <v>5450</v>
      </c>
      <c r="QJ6" t="s">
        <v>1820</v>
      </c>
      <c r="QK6">
        <v>1.628396</v>
      </c>
      <c r="QL6">
        <v>5.8130329999999999</v>
      </c>
      <c r="QM6" t="s">
        <v>1762</v>
      </c>
      <c r="QN6">
        <v>2026</v>
      </c>
      <c r="QO6" t="s">
        <v>5451</v>
      </c>
      <c r="QP6" s="6">
        <v>46028</v>
      </c>
      <c r="QQ6">
        <v>5</v>
      </c>
      <c r="QR6">
        <v>69609374.329999998</v>
      </c>
      <c r="QS6">
        <v>114992</v>
      </c>
      <c r="QT6" t="s">
        <v>5452</v>
      </c>
      <c r="QW6" t="s">
        <v>1814</v>
      </c>
      <c r="QX6">
        <v>5.3475780000000004</v>
      </c>
      <c r="QY6" t="s">
        <v>1786</v>
      </c>
      <c r="QZ6">
        <v>3.7672150000000002</v>
      </c>
      <c r="RA6" t="s">
        <v>1742</v>
      </c>
      <c r="RB6">
        <v>2025</v>
      </c>
      <c r="RC6" t="s">
        <v>5881</v>
      </c>
      <c r="RD6" s="6">
        <v>45954</v>
      </c>
      <c r="RE6">
        <v>5</v>
      </c>
      <c r="RF6">
        <v>253582144</v>
      </c>
      <c r="RG6">
        <v>100115</v>
      </c>
      <c r="RH6" t="s">
        <v>1816</v>
      </c>
      <c r="SQ6" t="s">
        <v>5424</v>
      </c>
      <c r="SR6" t="s">
        <v>1786</v>
      </c>
      <c r="SS6">
        <v>0.119312</v>
      </c>
      <c r="ST6">
        <v>0.117197</v>
      </c>
      <c r="SU6" t="s">
        <v>1762</v>
      </c>
      <c r="SV6">
        <v>2025</v>
      </c>
      <c r="SW6" t="s">
        <v>5425</v>
      </c>
      <c r="SX6" s="6">
        <v>45944</v>
      </c>
      <c r="SY6">
        <v>5</v>
      </c>
      <c r="SZ6">
        <v>1910470.67</v>
      </c>
      <c r="TA6">
        <v>156126</v>
      </c>
      <c r="TB6" t="s">
        <v>5426</v>
      </c>
      <c r="TE6" t="s">
        <v>1870</v>
      </c>
      <c r="TF6">
        <v>0.40942800000000001</v>
      </c>
      <c r="TG6" t="s">
        <v>1786</v>
      </c>
      <c r="TH6">
        <v>0.219831</v>
      </c>
      <c r="TI6" t="s">
        <v>1809</v>
      </c>
      <c r="TJ6">
        <v>2025</v>
      </c>
      <c r="TK6" t="s">
        <v>1871</v>
      </c>
      <c r="TL6" s="6">
        <v>45820</v>
      </c>
      <c r="TM6">
        <v>5</v>
      </c>
      <c r="TN6">
        <v>8962070</v>
      </c>
      <c r="TO6">
        <v>12129192</v>
      </c>
      <c r="TP6" t="s">
        <v>1872</v>
      </c>
      <c r="UY6" t="s">
        <v>1985</v>
      </c>
      <c r="UZ6" t="s">
        <v>1786</v>
      </c>
      <c r="VA6">
        <v>1.794009</v>
      </c>
      <c r="VB6">
        <v>0.10460800000000001</v>
      </c>
      <c r="VC6" t="s">
        <v>1742</v>
      </c>
      <c r="VD6">
        <v>2025</v>
      </c>
      <c r="VE6" t="s">
        <v>2490</v>
      </c>
      <c r="VF6" s="6">
        <v>46027</v>
      </c>
      <c r="VG6">
        <v>5</v>
      </c>
      <c r="VH6">
        <v>11374017</v>
      </c>
      <c r="VI6">
        <v>36965288</v>
      </c>
      <c r="VJ6" t="s">
        <v>1987</v>
      </c>
      <c r="VM6" t="s">
        <v>2126</v>
      </c>
      <c r="VN6">
        <v>-2.4245362661989844E-14</v>
      </c>
      <c r="VP6">
        <v>-2.4245362661989844E-14</v>
      </c>
      <c r="VQ6" t="s">
        <v>1745</v>
      </c>
      <c r="VR6">
        <v>2023</v>
      </c>
      <c r="VS6" t="s">
        <v>2127</v>
      </c>
      <c r="VT6" s="6">
        <v>45351</v>
      </c>
      <c r="VU6">
        <v>4</v>
      </c>
      <c r="VV6">
        <v>-2.4245362661989844E-14</v>
      </c>
      <c r="VW6">
        <v>100228</v>
      </c>
      <c r="VX6" t="s">
        <v>2128</v>
      </c>
    </row>
    <row r="7" spans="1:600" x14ac:dyDescent="0.25">
      <c r="AE7" t="s">
        <v>5281</v>
      </c>
      <c r="AF7" t="s">
        <v>1786</v>
      </c>
      <c r="AG7">
        <v>2.3738000000000001</v>
      </c>
      <c r="AH7">
        <v>0.71700799999999998</v>
      </c>
      <c r="AI7" t="s">
        <v>1742</v>
      </c>
      <c r="AJ7">
        <v>2025</v>
      </c>
      <c r="AK7" t="s">
        <v>5282</v>
      </c>
      <c r="AL7" s="6">
        <v>46069</v>
      </c>
      <c r="AM7">
        <v>5</v>
      </c>
      <c r="AN7">
        <v>21422836.649999999</v>
      </c>
      <c r="AO7">
        <v>153809</v>
      </c>
      <c r="AP7" t="s">
        <v>5283</v>
      </c>
      <c r="AS7" t="s">
        <v>236</v>
      </c>
      <c r="AT7">
        <v>16</v>
      </c>
      <c r="AU7" t="s">
        <v>1786</v>
      </c>
      <c r="AV7">
        <v>2.4954839999999998</v>
      </c>
      <c r="AW7" t="s">
        <v>1745</v>
      </c>
      <c r="AX7">
        <v>2025</v>
      </c>
      <c r="AY7" t="s">
        <v>5214</v>
      </c>
      <c r="AZ7" s="6">
        <v>46066</v>
      </c>
      <c r="BA7">
        <v>5</v>
      </c>
      <c r="BB7">
        <v>1470040064</v>
      </c>
      <c r="BC7">
        <v>102782</v>
      </c>
      <c r="BD7" t="s">
        <v>2149</v>
      </c>
      <c r="BI7" t="s">
        <v>2771</v>
      </c>
      <c r="BJ7" t="s">
        <v>1786</v>
      </c>
      <c r="BK7">
        <v>0.48287799999999997</v>
      </c>
      <c r="BL7">
        <v>1.7965990000000001</v>
      </c>
      <c r="BM7" t="s">
        <v>1745</v>
      </c>
      <c r="BN7">
        <v>2025</v>
      </c>
      <c r="BO7" t="s">
        <v>2391</v>
      </c>
      <c r="BP7" s="6">
        <v>46077</v>
      </c>
      <c r="BQ7">
        <v>5</v>
      </c>
      <c r="BR7">
        <v>28000000</v>
      </c>
      <c r="BS7">
        <v>153205</v>
      </c>
      <c r="BT7" t="s">
        <v>2772</v>
      </c>
      <c r="BW7" t="s">
        <v>2147</v>
      </c>
      <c r="BX7">
        <v>21</v>
      </c>
      <c r="BY7" t="s">
        <v>1786</v>
      </c>
      <c r="BZ7">
        <v>1.9704660000000001</v>
      </c>
      <c r="CA7" t="s">
        <v>1745</v>
      </c>
      <c r="CB7">
        <v>2025</v>
      </c>
      <c r="CC7" t="s">
        <v>2391</v>
      </c>
      <c r="CD7" s="6">
        <v>46077</v>
      </c>
      <c r="CE7">
        <v>5</v>
      </c>
      <c r="CF7">
        <v>1545757440</v>
      </c>
      <c r="CG7">
        <v>156969</v>
      </c>
      <c r="CH7" t="s">
        <v>2148</v>
      </c>
      <c r="CM7" t="s">
        <v>3874</v>
      </c>
      <c r="CN7" t="s">
        <v>1786</v>
      </c>
      <c r="CO7">
        <v>1.506183</v>
      </c>
      <c r="CP7">
        <v>0.77730100000000002</v>
      </c>
      <c r="CQ7" t="s">
        <v>1845</v>
      </c>
      <c r="CR7">
        <v>2025</v>
      </c>
      <c r="CS7" t="s">
        <v>3875</v>
      </c>
      <c r="CT7" s="6">
        <v>46076</v>
      </c>
      <c r="CU7">
        <v>5</v>
      </c>
      <c r="CV7">
        <v>31675028</v>
      </c>
      <c r="CW7">
        <v>187274</v>
      </c>
      <c r="CX7" t="s">
        <v>3876</v>
      </c>
      <c r="DA7" t="s">
        <v>2164</v>
      </c>
      <c r="DB7">
        <v>0.63659900000000003</v>
      </c>
      <c r="DC7" t="s">
        <v>1786</v>
      </c>
      <c r="DD7">
        <v>35.711070999999997</v>
      </c>
      <c r="DE7" t="s">
        <v>1745</v>
      </c>
      <c r="DF7">
        <v>2025</v>
      </c>
      <c r="DG7" t="s">
        <v>2165</v>
      </c>
      <c r="DH7" s="6">
        <v>45873</v>
      </c>
      <c r="DI7">
        <v>5</v>
      </c>
      <c r="DJ7">
        <v>39409704.109999999</v>
      </c>
      <c r="DK7">
        <v>183000</v>
      </c>
      <c r="DL7" t="s">
        <v>2166</v>
      </c>
      <c r="DQ7" t="s">
        <v>5987</v>
      </c>
      <c r="DS7">
        <v>-2.4245362661989844E-14</v>
      </c>
      <c r="DT7">
        <v>-2.4245362661989844E-14</v>
      </c>
      <c r="DU7" t="s">
        <v>1745</v>
      </c>
      <c r="DV7">
        <v>2022</v>
      </c>
      <c r="DW7" t="s">
        <v>5988</v>
      </c>
      <c r="DX7" s="6">
        <v>45008</v>
      </c>
      <c r="DY7">
        <v>5</v>
      </c>
      <c r="DZ7">
        <v>-2.4245362661989844E-14</v>
      </c>
      <c r="EA7">
        <v>866542</v>
      </c>
      <c r="EB7" t="s">
        <v>5989</v>
      </c>
      <c r="EE7" t="s">
        <v>3625</v>
      </c>
      <c r="EF7">
        <v>-2.4245362661989844E-14</v>
      </c>
      <c r="EH7">
        <v>-2.4245362661989844E-14</v>
      </c>
      <c r="EI7" t="s">
        <v>1745</v>
      </c>
      <c r="EJ7">
        <v>2023</v>
      </c>
      <c r="EK7" t="s">
        <v>5903</v>
      </c>
      <c r="EL7" s="6">
        <v>45422</v>
      </c>
      <c r="EM7">
        <v>5</v>
      </c>
      <c r="EN7">
        <v>-2.4245362661989844E-14</v>
      </c>
      <c r="EO7">
        <v>1459396</v>
      </c>
      <c r="EP7" t="s">
        <v>3626</v>
      </c>
      <c r="FY7" t="s">
        <v>1699</v>
      </c>
      <c r="FZ7" t="s">
        <v>1786</v>
      </c>
      <c r="GA7">
        <v>1.3419449999999999</v>
      </c>
      <c r="GB7">
        <v>2.7987500000000001</v>
      </c>
      <c r="GC7" t="s">
        <v>1845</v>
      </c>
      <c r="GD7">
        <v>2025</v>
      </c>
      <c r="GE7" t="s">
        <v>2798</v>
      </c>
      <c r="GF7" s="6">
        <v>46077</v>
      </c>
      <c r="GG7">
        <v>5</v>
      </c>
      <c r="GH7">
        <v>223004416</v>
      </c>
      <c r="GI7">
        <v>28046509</v>
      </c>
      <c r="GJ7" t="s">
        <v>2799</v>
      </c>
      <c r="GM7" t="s">
        <v>236</v>
      </c>
      <c r="GN7">
        <v>12.373919000000001</v>
      </c>
      <c r="GO7" t="s">
        <v>1786</v>
      </c>
      <c r="GP7">
        <v>4.81257</v>
      </c>
      <c r="GQ7" t="s">
        <v>1742</v>
      </c>
      <c r="GR7">
        <v>2025</v>
      </c>
      <c r="GS7" t="s">
        <v>2501</v>
      </c>
      <c r="GT7" s="6">
        <v>46018</v>
      </c>
      <c r="GU7">
        <v>5</v>
      </c>
      <c r="GV7">
        <v>2968874496</v>
      </c>
      <c r="GW7">
        <v>102782</v>
      </c>
      <c r="GX7" t="s">
        <v>2149</v>
      </c>
      <c r="HC7" t="s">
        <v>2300</v>
      </c>
      <c r="HE7">
        <v>-2.4245362661989844E-14</v>
      </c>
      <c r="HF7">
        <v>-2.4245362661989844E-14</v>
      </c>
      <c r="HG7" t="s">
        <v>1745</v>
      </c>
      <c r="HH7">
        <v>2021</v>
      </c>
      <c r="HI7" t="s">
        <v>2301</v>
      </c>
      <c r="HJ7" s="6">
        <v>44693</v>
      </c>
      <c r="HK7">
        <v>5</v>
      </c>
      <c r="HL7">
        <v>-2.4245362661989844E-14</v>
      </c>
      <c r="HM7">
        <v>100760</v>
      </c>
      <c r="HN7" t="s">
        <v>2302</v>
      </c>
      <c r="HQ7" t="s">
        <v>5421</v>
      </c>
      <c r="HR7">
        <v>-2.4245362661989844E-14</v>
      </c>
      <c r="HT7">
        <v>-2.4245362661989844E-14</v>
      </c>
      <c r="HU7" t="s">
        <v>1745</v>
      </c>
      <c r="HV7">
        <v>2023</v>
      </c>
      <c r="HW7" t="s">
        <v>5422</v>
      </c>
      <c r="HX7" s="6">
        <v>45412</v>
      </c>
      <c r="HY7">
        <v>3</v>
      </c>
      <c r="HZ7">
        <v>-2.4245362661989844E-14</v>
      </c>
      <c r="IA7">
        <v>53353279</v>
      </c>
      <c r="IB7" t="s">
        <v>5423</v>
      </c>
      <c r="IG7" t="s">
        <v>5303</v>
      </c>
      <c r="II7">
        <v>-2.4245362661989844E-14</v>
      </c>
      <c r="IJ7">
        <v>-2.4245362661989844E-14</v>
      </c>
      <c r="IK7" t="s">
        <v>1745</v>
      </c>
      <c r="IL7">
        <v>2022</v>
      </c>
      <c r="IM7" t="s">
        <v>5354</v>
      </c>
      <c r="IN7" s="6">
        <v>44984</v>
      </c>
      <c r="IO7">
        <v>5</v>
      </c>
      <c r="IP7">
        <v>-2.4245362661989844E-14</v>
      </c>
      <c r="IQ7">
        <v>14724367</v>
      </c>
      <c r="IR7" t="s">
        <v>5304</v>
      </c>
      <c r="IU7" t="s">
        <v>205</v>
      </c>
      <c r="IV7">
        <v>1.752807</v>
      </c>
      <c r="IW7" t="s">
        <v>1786</v>
      </c>
      <c r="IX7">
        <v>8.2275000000000001E-2</v>
      </c>
      <c r="IY7" t="s">
        <v>1745</v>
      </c>
      <c r="IZ7">
        <v>2024</v>
      </c>
      <c r="JA7" t="s">
        <v>5300</v>
      </c>
      <c r="JB7" s="6">
        <v>45719</v>
      </c>
      <c r="JC7">
        <v>5</v>
      </c>
      <c r="JD7">
        <v>3125000.75</v>
      </c>
      <c r="JE7">
        <v>100978</v>
      </c>
      <c r="JF7" t="s">
        <v>3314</v>
      </c>
      <c r="JK7" t="s">
        <v>3777</v>
      </c>
      <c r="JL7" t="s">
        <v>1786</v>
      </c>
      <c r="JM7">
        <v>8.9766689999999993</v>
      </c>
      <c r="JN7">
        <v>0.99026499999999995</v>
      </c>
      <c r="JO7" t="s">
        <v>1762</v>
      </c>
      <c r="JP7">
        <v>2025</v>
      </c>
      <c r="JQ7" t="s">
        <v>3778</v>
      </c>
      <c r="JR7" s="6">
        <v>46014</v>
      </c>
      <c r="JS7">
        <v>5</v>
      </c>
      <c r="JT7">
        <v>3452390.79</v>
      </c>
      <c r="JU7">
        <v>815557</v>
      </c>
      <c r="JV7" t="s">
        <v>3779</v>
      </c>
      <c r="JY7" t="s">
        <v>2174</v>
      </c>
      <c r="JZ7">
        <v>6.3677799999999998</v>
      </c>
      <c r="KA7" t="s">
        <v>1786</v>
      </c>
      <c r="KB7">
        <v>1.070225</v>
      </c>
      <c r="KC7" t="s">
        <v>1809</v>
      </c>
      <c r="KD7">
        <v>2026</v>
      </c>
      <c r="KE7" t="s">
        <v>3442</v>
      </c>
      <c r="KF7" s="6">
        <v>45967</v>
      </c>
      <c r="KG7">
        <v>5</v>
      </c>
      <c r="KH7">
        <v>33991208</v>
      </c>
      <c r="KI7">
        <v>115790</v>
      </c>
      <c r="KJ7" t="s">
        <v>2175</v>
      </c>
      <c r="KO7" t="s">
        <v>3111</v>
      </c>
      <c r="KQ7">
        <v>-2.4245362661989844E-14</v>
      </c>
      <c r="KR7">
        <v>-2.4245362661989844E-14</v>
      </c>
      <c r="KS7" t="s">
        <v>1742</v>
      </c>
      <c r="KT7">
        <v>2023</v>
      </c>
      <c r="KU7" t="s">
        <v>3109</v>
      </c>
      <c r="KV7" s="6">
        <v>45166</v>
      </c>
      <c r="KW7">
        <v>5</v>
      </c>
      <c r="KX7">
        <v>-2.4245362661989844E-14</v>
      </c>
      <c r="KY7">
        <v>37429492</v>
      </c>
      <c r="KZ7" t="s">
        <v>3112</v>
      </c>
      <c r="LC7" t="s">
        <v>1801</v>
      </c>
      <c r="LD7">
        <v>-2.4245362661989844E-14</v>
      </c>
      <c r="LF7">
        <v>-2.4245362661989844E-14</v>
      </c>
      <c r="LG7" t="s">
        <v>1809</v>
      </c>
      <c r="LH7">
        <v>2022</v>
      </c>
      <c r="LI7" t="s">
        <v>5327</v>
      </c>
      <c r="LJ7" s="6">
        <v>44685</v>
      </c>
      <c r="LK7">
        <v>5</v>
      </c>
      <c r="LL7">
        <v>-2.4245362661989844E-14</v>
      </c>
      <c r="LM7">
        <v>218252</v>
      </c>
      <c r="LN7" t="s">
        <v>1803</v>
      </c>
      <c r="QI7" t="s">
        <v>3010</v>
      </c>
      <c r="QJ7" t="s">
        <v>1820</v>
      </c>
      <c r="QK7">
        <v>1.3678159999999999</v>
      </c>
      <c r="QL7">
        <v>4.8755559999999996</v>
      </c>
      <c r="QM7" t="s">
        <v>1762</v>
      </c>
      <c r="QN7">
        <v>2026</v>
      </c>
      <c r="QO7" t="s">
        <v>3011</v>
      </c>
      <c r="QP7" s="6">
        <v>46063</v>
      </c>
      <c r="QQ7">
        <v>5</v>
      </c>
      <c r="QR7">
        <v>45098892</v>
      </c>
      <c r="QS7">
        <v>101732</v>
      </c>
      <c r="QT7" t="s">
        <v>3012</v>
      </c>
      <c r="QW7" t="s">
        <v>1761</v>
      </c>
      <c r="QX7">
        <v>4.7165480000000004</v>
      </c>
      <c r="QY7" t="s">
        <v>1786</v>
      </c>
      <c r="QZ7">
        <v>0.44449</v>
      </c>
      <c r="RA7" t="s">
        <v>1742</v>
      </c>
      <c r="RB7">
        <v>2025</v>
      </c>
      <c r="RC7" t="s">
        <v>5881</v>
      </c>
      <c r="RD7" s="6">
        <v>45954</v>
      </c>
      <c r="RE7">
        <v>5</v>
      </c>
      <c r="RF7">
        <v>223658704</v>
      </c>
      <c r="RG7">
        <v>101695</v>
      </c>
      <c r="RH7" t="s">
        <v>1764</v>
      </c>
      <c r="SQ7" t="s">
        <v>5363</v>
      </c>
      <c r="SR7" t="s">
        <v>1786</v>
      </c>
      <c r="SS7">
        <v>3.1308999999999997E-2</v>
      </c>
      <c r="ST7">
        <v>4.1846000000000001E-2</v>
      </c>
      <c r="SU7" t="s">
        <v>1762</v>
      </c>
      <c r="SV7">
        <v>2025</v>
      </c>
      <c r="SW7" t="s">
        <v>5364</v>
      </c>
      <c r="SX7" s="6">
        <v>45916</v>
      </c>
      <c r="SY7">
        <v>5</v>
      </c>
      <c r="SZ7">
        <v>651227</v>
      </c>
      <c r="TA7">
        <v>7359873</v>
      </c>
      <c r="TB7" t="s">
        <v>5365</v>
      </c>
      <c r="TE7" t="s">
        <v>5388</v>
      </c>
      <c r="TF7">
        <v>0.197519</v>
      </c>
      <c r="TG7" t="s">
        <v>1786</v>
      </c>
      <c r="TH7">
        <v>29.056087000000002</v>
      </c>
      <c r="TI7" t="s">
        <v>1805</v>
      </c>
      <c r="TJ7">
        <v>2025</v>
      </c>
      <c r="TK7" t="s">
        <v>5389</v>
      </c>
      <c r="TL7" s="6">
        <v>46003</v>
      </c>
      <c r="TM7">
        <v>5</v>
      </c>
      <c r="TN7">
        <v>4308298.7300000004</v>
      </c>
      <c r="TO7">
        <v>72716415</v>
      </c>
      <c r="TP7" t="s">
        <v>5390</v>
      </c>
      <c r="UY7" t="s">
        <v>526</v>
      </c>
      <c r="UZ7" t="s">
        <v>1820</v>
      </c>
      <c r="VA7">
        <v>4.4597999999999999E-2</v>
      </c>
      <c r="VB7">
        <v>1.8397060000000001</v>
      </c>
      <c r="VC7" t="s">
        <v>1742</v>
      </c>
      <c r="VD7">
        <v>2025</v>
      </c>
      <c r="VE7" t="s">
        <v>2779</v>
      </c>
      <c r="VF7" s="6">
        <v>45975</v>
      </c>
      <c r="VG7">
        <v>5</v>
      </c>
      <c r="VH7">
        <v>3403455</v>
      </c>
      <c r="VI7">
        <v>305366</v>
      </c>
      <c r="VJ7" t="s">
        <v>2780</v>
      </c>
      <c r="VM7" t="s">
        <v>2129</v>
      </c>
      <c r="VN7">
        <v>-2.4245362661989844E-14</v>
      </c>
      <c r="VP7">
        <v>-2.4245362661989844E-14</v>
      </c>
      <c r="VQ7" t="s">
        <v>1745</v>
      </c>
      <c r="VR7">
        <v>2024</v>
      </c>
      <c r="VS7" t="s">
        <v>2130</v>
      </c>
      <c r="VT7" s="6">
        <v>45719</v>
      </c>
      <c r="VU7">
        <v>4</v>
      </c>
      <c r="VV7">
        <v>-2.4245362661989844E-14</v>
      </c>
      <c r="VW7">
        <v>35560520</v>
      </c>
      <c r="VX7" t="s">
        <v>2131</v>
      </c>
    </row>
    <row r="8" spans="1:600" x14ac:dyDescent="0.25">
      <c r="AE8" t="s">
        <v>306</v>
      </c>
      <c r="AF8" t="s">
        <v>2416</v>
      </c>
      <c r="AG8">
        <v>1.459176</v>
      </c>
      <c r="AH8">
        <v>0.86356999999999995</v>
      </c>
      <c r="AI8" t="s">
        <v>1762</v>
      </c>
      <c r="AJ8">
        <v>2025</v>
      </c>
      <c r="AK8" t="s">
        <v>2880</v>
      </c>
      <c r="AL8" s="6">
        <v>45921</v>
      </c>
      <c r="AM8">
        <v>5</v>
      </c>
      <c r="AN8">
        <v>15060666</v>
      </c>
      <c r="AO8">
        <v>963610</v>
      </c>
      <c r="AP8" t="s">
        <v>2881</v>
      </c>
      <c r="AS8" t="s">
        <v>2502</v>
      </c>
      <c r="AT8">
        <v>3.6153759999999999</v>
      </c>
      <c r="AU8" t="s">
        <v>1786</v>
      </c>
      <c r="AV8">
        <v>0.54387399999999997</v>
      </c>
      <c r="AW8" t="s">
        <v>1762</v>
      </c>
      <c r="AX8">
        <v>2025</v>
      </c>
      <c r="AY8" t="s">
        <v>5215</v>
      </c>
      <c r="AZ8" s="6">
        <v>45929</v>
      </c>
      <c r="BA8">
        <v>5</v>
      </c>
      <c r="BB8">
        <v>331855360</v>
      </c>
      <c r="BC8">
        <v>60401289</v>
      </c>
      <c r="BD8" t="s">
        <v>2503</v>
      </c>
      <c r="BI8" t="s">
        <v>2773</v>
      </c>
      <c r="BJ8" t="s">
        <v>2416</v>
      </c>
      <c r="BK8">
        <v>100</v>
      </c>
      <c r="BL8">
        <v>1.9316489999999999</v>
      </c>
      <c r="BM8" t="s">
        <v>1742</v>
      </c>
      <c r="BN8">
        <v>2025</v>
      </c>
      <c r="BO8" t="s">
        <v>2774</v>
      </c>
      <c r="BP8" s="6">
        <v>45959</v>
      </c>
      <c r="BQ8">
        <v>5</v>
      </c>
      <c r="BR8">
        <v>26000000</v>
      </c>
      <c r="BS8">
        <v>50914233</v>
      </c>
      <c r="BT8" t="s">
        <v>2775</v>
      </c>
      <c r="BW8" t="s">
        <v>2392</v>
      </c>
      <c r="BX8">
        <v>-2.4245362661989844E-14</v>
      </c>
      <c r="BZ8">
        <v>-2.4245362661989844E-14</v>
      </c>
      <c r="CA8" t="s">
        <v>1745</v>
      </c>
      <c r="CB8">
        <v>2022</v>
      </c>
      <c r="CC8" t="s">
        <v>2393</v>
      </c>
      <c r="CD8" s="6">
        <v>44979</v>
      </c>
      <c r="CE8">
        <v>5</v>
      </c>
      <c r="CF8">
        <v>-2.4245362661989844E-14</v>
      </c>
      <c r="CG8">
        <v>29217228</v>
      </c>
      <c r="CH8" t="s">
        <v>2394</v>
      </c>
      <c r="CM8" t="s">
        <v>2158</v>
      </c>
      <c r="CN8" t="s">
        <v>1786</v>
      </c>
      <c r="CO8">
        <v>1.0496179999999999</v>
      </c>
      <c r="CP8">
        <v>0.58016900000000005</v>
      </c>
      <c r="CQ8" t="s">
        <v>1742</v>
      </c>
      <c r="CR8">
        <v>2025</v>
      </c>
      <c r="CS8" t="s">
        <v>2159</v>
      </c>
      <c r="CT8" s="6">
        <v>45967</v>
      </c>
      <c r="CU8">
        <v>5</v>
      </c>
      <c r="CV8">
        <v>22000000</v>
      </c>
      <c r="CW8">
        <v>70456033</v>
      </c>
      <c r="CX8" t="s">
        <v>2160</v>
      </c>
      <c r="DA8" t="s">
        <v>2167</v>
      </c>
      <c r="DB8">
        <v>0.62480800000000003</v>
      </c>
      <c r="DC8" t="s">
        <v>1786</v>
      </c>
      <c r="DD8">
        <v>0.15015999999999999</v>
      </c>
      <c r="DE8" t="s">
        <v>1762</v>
      </c>
      <c r="DF8">
        <v>2025</v>
      </c>
      <c r="DG8" t="s">
        <v>2168</v>
      </c>
      <c r="DH8" s="6">
        <v>45857</v>
      </c>
      <c r="DI8">
        <v>5</v>
      </c>
      <c r="DJ8">
        <v>39637820</v>
      </c>
      <c r="DK8">
        <v>100743</v>
      </c>
      <c r="DL8" t="s">
        <v>2169</v>
      </c>
      <c r="DQ8" t="s">
        <v>5990</v>
      </c>
      <c r="DS8">
        <v>-2.4245362661989844E-14</v>
      </c>
      <c r="DT8">
        <v>-2.4245362661989844E-14</v>
      </c>
      <c r="DU8" t="s">
        <v>2435</v>
      </c>
      <c r="DV8">
        <v>2024</v>
      </c>
      <c r="DW8" t="s">
        <v>5991</v>
      </c>
      <c r="DX8" s="6">
        <v>45428</v>
      </c>
      <c r="DY8">
        <v>5</v>
      </c>
      <c r="DZ8">
        <v>-2.4245362661989844E-14</v>
      </c>
      <c r="EA8">
        <v>7631141</v>
      </c>
      <c r="EB8" t="s">
        <v>5992</v>
      </c>
      <c r="EE8" t="s">
        <v>5904</v>
      </c>
      <c r="EF8">
        <v>-2.4245362661989844E-14</v>
      </c>
      <c r="EH8">
        <v>-2.4245362661989844E-14</v>
      </c>
      <c r="EI8" t="s">
        <v>1745</v>
      </c>
      <c r="EJ8">
        <v>2021</v>
      </c>
      <c r="EK8" t="s">
        <v>5905</v>
      </c>
      <c r="EL8" s="6">
        <v>44673</v>
      </c>
      <c r="EM8">
        <v>5</v>
      </c>
      <c r="EN8">
        <v>-2.4245362661989844E-14</v>
      </c>
      <c r="EO8">
        <v>14058128</v>
      </c>
      <c r="EP8" t="s">
        <v>5906</v>
      </c>
      <c r="FY8" t="s">
        <v>804</v>
      </c>
      <c r="FZ8" t="s">
        <v>1786</v>
      </c>
      <c r="GA8">
        <v>49.056618</v>
      </c>
      <c r="GB8">
        <v>2.3797060000000001</v>
      </c>
      <c r="GC8" t="s">
        <v>1742</v>
      </c>
      <c r="GD8">
        <v>2025</v>
      </c>
      <c r="GE8" t="s">
        <v>2800</v>
      </c>
      <c r="GF8" s="6">
        <v>46050</v>
      </c>
      <c r="GG8">
        <v>5</v>
      </c>
      <c r="GH8">
        <v>173789936</v>
      </c>
      <c r="GI8">
        <v>1753841</v>
      </c>
      <c r="GJ8" t="s">
        <v>2801</v>
      </c>
      <c r="GM8" t="s">
        <v>2502</v>
      </c>
      <c r="GN8">
        <v>2.966253</v>
      </c>
      <c r="GO8" t="s">
        <v>1786</v>
      </c>
      <c r="GP8">
        <v>1.12304</v>
      </c>
      <c r="GQ8" t="s">
        <v>1742</v>
      </c>
      <c r="GR8">
        <v>2025</v>
      </c>
      <c r="GS8" t="s">
        <v>2501</v>
      </c>
      <c r="GT8" s="6">
        <v>46018</v>
      </c>
      <c r="GU8">
        <v>5</v>
      </c>
      <c r="GV8">
        <v>711693056</v>
      </c>
      <c r="GW8">
        <v>60401289</v>
      </c>
      <c r="GX8" t="s">
        <v>2503</v>
      </c>
      <c r="HC8" t="s">
        <v>4100</v>
      </c>
      <c r="HE8">
        <v>-2.4245362661989844E-14</v>
      </c>
      <c r="HF8">
        <v>-2.4245362661989844E-14</v>
      </c>
      <c r="HG8" t="s">
        <v>1762</v>
      </c>
      <c r="HH8">
        <v>2025</v>
      </c>
      <c r="HI8" t="s">
        <v>5513</v>
      </c>
      <c r="HJ8" s="6">
        <v>45904</v>
      </c>
      <c r="HK8">
        <v>5</v>
      </c>
      <c r="HL8">
        <v>-2.4245362661989844E-14</v>
      </c>
      <c r="HM8">
        <v>69818423</v>
      </c>
      <c r="HN8" t="s">
        <v>4102</v>
      </c>
      <c r="IG8" t="s">
        <v>5355</v>
      </c>
      <c r="II8">
        <v>-2.4245362661989844E-14</v>
      </c>
      <c r="IJ8">
        <v>-2.4245362661989844E-14</v>
      </c>
      <c r="IK8" t="s">
        <v>1745</v>
      </c>
      <c r="IL8">
        <v>2024</v>
      </c>
      <c r="IM8" t="s">
        <v>5300</v>
      </c>
      <c r="IN8" s="6">
        <v>45719</v>
      </c>
      <c r="IO8">
        <v>5</v>
      </c>
      <c r="IP8">
        <v>-2.4245362661989844E-14</v>
      </c>
      <c r="IQ8">
        <v>11533178</v>
      </c>
      <c r="IR8" t="s">
        <v>5356</v>
      </c>
      <c r="IU8" t="s">
        <v>5303</v>
      </c>
      <c r="IV8">
        <v>-2.4245362661989844E-14</v>
      </c>
      <c r="IX8">
        <v>-2.4245362661989844E-14</v>
      </c>
      <c r="IY8" t="s">
        <v>1745</v>
      </c>
      <c r="IZ8">
        <v>2024</v>
      </c>
      <c r="JA8" t="s">
        <v>5300</v>
      </c>
      <c r="JB8" s="6">
        <v>45719</v>
      </c>
      <c r="JC8">
        <v>5</v>
      </c>
      <c r="JD8">
        <v>-2.4245362661989844E-14</v>
      </c>
      <c r="JE8">
        <v>14724367</v>
      </c>
      <c r="JF8" t="s">
        <v>5304</v>
      </c>
      <c r="JK8" t="s">
        <v>2805</v>
      </c>
      <c r="JL8" t="s">
        <v>1786</v>
      </c>
      <c r="JM8">
        <v>2.1405E-2</v>
      </c>
      <c r="JN8">
        <v>0.192188</v>
      </c>
      <c r="JO8" t="s">
        <v>1742</v>
      </c>
      <c r="JP8">
        <v>2025</v>
      </c>
      <c r="JQ8" t="s">
        <v>2806</v>
      </c>
      <c r="JR8" s="6">
        <v>45891</v>
      </c>
      <c r="JS8">
        <v>5</v>
      </c>
      <c r="JT8">
        <v>616538</v>
      </c>
      <c r="JU8">
        <v>100097</v>
      </c>
      <c r="JV8" t="s">
        <v>2807</v>
      </c>
      <c r="JY8" t="s">
        <v>1761</v>
      </c>
      <c r="JZ8">
        <v>4.7487089999999998</v>
      </c>
      <c r="KA8" t="s">
        <v>1786</v>
      </c>
      <c r="KB8">
        <v>4.6833E-2</v>
      </c>
      <c r="KC8" t="s">
        <v>1809</v>
      </c>
      <c r="KD8">
        <v>2026</v>
      </c>
      <c r="KE8" t="s">
        <v>3442</v>
      </c>
      <c r="KF8" s="6">
        <v>45967</v>
      </c>
      <c r="KG8">
        <v>5</v>
      </c>
      <c r="KH8">
        <v>25348608</v>
      </c>
      <c r="KI8">
        <v>101695</v>
      </c>
      <c r="KJ8" t="s">
        <v>1764</v>
      </c>
      <c r="KO8" t="s">
        <v>3113</v>
      </c>
      <c r="KQ8">
        <v>-2.4245362661989844E-14</v>
      </c>
      <c r="KR8">
        <v>-2.4245362661989844E-14</v>
      </c>
      <c r="KS8" t="s">
        <v>1742</v>
      </c>
      <c r="KT8">
        <v>2023</v>
      </c>
      <c r="KU8" t="s">
        <v>3109</v>
      </c>
      <c r="KV8" s="6">
        <v>45166</v>
      </c>
      <c r="KW8">
        <v>5</v>
      </c>
      <c r="KX8">
        <v>-2.4245362661989844E-14</v>
      </c>
      <c r="KY8">
        <v>38165208</v>
      </c>
      <c r="KZ8" t="s">
        <v>3114</v>
      </c>
      <c r="LC8" t="s">
        <v>236</v>
      </c>
      <c r="LD8">
        <v>-2.4245362661989844E-14</v>
      </c>
      <c r="LF8">
        <v>-2.4245362661989844E-14</v>
      </c>
      <c r="LG8" t="s">
        <v>1742</v>
      </c>
      <c r="LH8">
        <v>2023</v>
      </c>
      <c r="LI8" t="s">
        <v>3109</v>
      </c>
      <c r="LJ8" s="6">
        <v>45166</v>
      </c>
      <c r="LK8">
        <v>5</v>
      </c>
      <c r="LL8">
        <v>-2.4245362661989844E-14</v>
      </c>
      <c r="LM8">
        <v>102782</v>
      </c>
      <c r="LN8" t="s">
        <v>2149</v>
      </c>
      <c r="QI8" t="s">
        <v>4214</v>
      </c>
      <c r="QJ8" t="s">
        <v>1786</v>
      </c>
      <c r="QK8">
        <v>3.0638139999999998</v>
      </c>
      <c r="QL8">
        <v>2.2388059999999999</v>
      </c>
      <c r="QM8" t="s">
        <v>1809</v>
      </c>
      <c r="QN8">
        <v>2025</v>
      </c>
      <c r="QO8" t="s">
        <v>4215</v>
      </c>
      <c r="QP8" s="6">
        <v>45804</v>
      </c>
      <c r="QQ8">
        <v>5</v>
      </c>
      <c r="QR8">
        <v>39311874.579999998</v>
      </c>
      <c r="QS8">
        <v>8118223</v>
      </c>
      <c r="QT8" t="s">
        <v>4216</v>
      </c>
      <c r="QW8" t="s">
        <v>2108</v>
      </c>
      <c r="QX8">
        <v>2.3648120000000001</v>
      </c>
      <c r="QY8" t="s">
        <v>1786</v>
      </c>
      <c r="QZ8">
        <v>30.796358000000001</v>
      </c>
      <c r="RA8" t="s">
        <v>1845</v>
      </c>
      <c r="RB8">
        <v>2025</v>
      </c>
      <c r="RC8" t="s">
        <v>5882</v>
      </c>
      <c r="RD8" s="6">
        <v>45777</v>
      </c>
      <c r="RE8">
        <v>5</v>
      </c>
      <c r="RF8">
        <v>96225683.870000005</v>
      </c>
      <c r="RG8">
        <v>955442</v>
      </c>
      <c r="RH8" t="s">
        <v>2110</v>
      </c>
      <c r="SQ8" t="s">
        <v>4519</v>
      </c>
      <c r="SR8" t="s">
        <v>1820</v>
      </c>
      <c r="SS8">
        <v>1.5535E-2</v>
      </c>
      <c r="ST8">
        <v>0.48993999999999999</v>
      </c>
      <c r="SU8" t="s">
        <v>1762</v>
      </c>
      <c r="SV8">
        <v>2025</v>
      </c>
      <c r="SW8" t="s">
        <v>4520</v>
      </c>
      <c r="SX8" s="6">
        <v>45922</v>
      </c>
      <c r="SY8">
        <v>5</v>
      </c>
      <c r="SZ8">
        <v>267890.59000000003</v>
      </c>
      <c r="TA8">
        <v>186659</v>
      </c>
      <c r="TB8" t="s">
        <v>4521</v>
      </c>
      <c r="TE8" t="s">
        <v>5391</v>
      </c>
      <c r="TF8">
        <v>0.14557600000000001</v>
      </c>
      <c r="TG8" t="s">
        <v>1786</v>
      </c>
      <c r="TH8">
        <v>6.8236829999999999</v>
      </c>
      <c r="TI8" t="s">
        <v>1745</v>
      </c>
      <c r="TJ8">
        <v>2024</v>
      </c>
      <c r="TK8" t="s">
        <v>5392</v>
      </c>
      <c r="TL8" s="6">
        <v>45805</v>
      </c>
      <c r="TM8">
        <v>5</v>
      </c>
      <c r="TN8">
        <v>3219973.29</v>
      </c>
      <c r="TO8">
        <v>15343235</v>
      </c>
      <c r="TP8" t="s">
        <v>5393</v>
      </c>
      <c r="UY8" t="s">
        <v>5155</v>
      </c>
      <c r="UZ8" t="s">
        <v>1820</v>
      </c>
      <c r="VA8">
        <v>0.152477</v>
      </c>
      <c r="VB8">
        <v>0.41281099999999998</v>
      </c>
      <c r="VC8" t="s">
        <v>1762</v>
      </c>
      <c r="VD8">
        <v>2026</v>
      </c>
      <c r="VE8" t="s">
        <v>5156</v>
      </c>
      <c r="VF8" s="6">
        <v>45980</v>
      </c>
      <c r="VG8">
        <v>5</v>
      </c>
      <c r="VH8">
        <v>764010.23</v>
      </c>
      <c r="VI8">
        <v>223067</v>
      </c>
      <c r="VJ8" t="s">
        <v>5157</v>
      </c>
      <c r="VM8" t="s">
        <v>638</v>
      </c>
      <c r="VN8">
        <v>-2.4245362661989844E-14</v>
      </c>
      <c r="VP8">
        <v>-2.4245362661989844E-14</v>
      </c>
      <c r="VQ8" t="s">
        <v>1745</v>
      </c>
      <c r="VR8">
        <v>2022</v>
      </c>
      <c r="VS8" t="s">
        <v>2132</v>
      </c>
      <c r="VT8" s="6">
        <v>44985</v>
      </c>
      <c r="VU8">
        <v>4</v>
      </c>
      <c r="VV8">
        <v>-2.4245362661989844E-14</v>
      </c>
      <c r="VW8">
        <v>348091</v>
      </c>
      <c r="VX8" t="s">
        <v>2133</v>
      </c>
    </row>
    <row r="9" spans="1:600" x14ac:dyDescent="0.25">
      <c r="AE9" t="s">
        <v>4486</v>
      </c>
      <c r="AF9" t="s">
        <v>1786</v>
      </c>
      <c r="AG9">
        <v>0.27685399999999999</v>
      </c>
      <c r="AH9">
        <v>0.36708800000000003</v>
      </c>
      <c r="AI9" t="s">
        <v>1809</v>
      </c>
      <c r="AJ9">
        <v>2025</v>
      </c>
      <c r="AK9" t="s">
        <v>4487</v>
      </c>
      <c r="AL9" s="6">
        <v>45795</v>
      </c>
      <c r="AM9">
        <v>5</v>
      </c>
      <c r="AN9">
        <v>10895174</v>
      </c>
      <c r="AO9">
        <v>100499</v>
      </c>
      <c r="AP9" t="s">
        <v>4488</v>
      </c>
      <c r="AS9" t="s">
        <v>5216</v>
      </c>
      <c r="AT9">
        <v>0.72379000000000004</v>
      </c>
      <c r="AU9" t="s">
        <v>1786</v>
      </c>
      <c r="AV9">
        <v>38.702872999999997</v>
      </c>
      <c r="AW9" t="s">
        <v>1745</v>
      </c>
      <c r="AX9">
        <v>2025</v>
      </c>
      <c r="AY9" t="s">
        <v>5214</v>
      </c>
      <c r="AZ9" s="6">
        <v>46066</v>
      </c>
      <c r="BA9">
        <v>5</v>
      </c>
      <c r="BB9">
        <v>66500000</v>
      </c>
      <c r="BC9">
        <v>47826561</v>
      </c>
      <c r="BD9" t="s">
        <v>5217</v>
      </c>
      <c r="BI9" t="s">
        <v>2776</v>
      </c>
      <c r="BJ9" t="s">
        <v>1786</v>
      </c>
      <c r="BK9">
        <v>1.03163</v>
      </c>
      <c r="BL9">
        <v>1.307437</v>
      </c>
      <c r="BM9" t="s">
        <v>1742</v>
      </c>
      <c r="BN9">
        <v>2025</v>
      </c>
      <c r="BO9" t="s">
        <v>2777</v>
      </c>
      <c r="BP9" s="6">
        <v>46073</v>
      </c>
      <c r="BQ9">
        <v>5</v>
      </c>
      <c r="BR9">
        <v>21191403.109999999</v>
      </c>
      <c r="BS9">
        <v>156276</v>
      </c>
      <c r="BT9" t="s">
        <v>2778</v>
      </c>
      <c r="BW9" t="s">
        <v>2395</v>
      </c>
      <c r="BX9">
        <v>-2.4245362661989844E-14</v>
      </c>
      <c r="BZ9">
        <v>-2.4245362661989844E-14</v>
      </c>
      <c r="CA9" t="s">
        <v>1745</v>
      </c>
      <c r="CB9">
        <v>2022</v>
      </c>
      <c r="CC9" t="s">
        <v>2396</v>
      </c>
      <c r="CD9" s="6">
        <v>44788</v>
      </c>
      <c r="CE9">
        <v>5</v>
      </c>
      <c r="CF9">
        <v>-2.4245362661989844E-14</v>
      </c>
      <c r="CG9">
        <v>67962950</v>
      </c>
      <c r="CH9" t="s">
        <v>2397</v>
      </c>
      <c r="CM9" t="s">
        <v>3070</v>
      </c>
      <c r="CN9" t="s">
        <v>1786</v>
      </c>
      <c r="CO9">
        <v>0.25306400000000001</v>
      </c>
      <c r="CP9">
        <v>0.29688500000000001</v>
      </c>
      <c r="CQ9" t="s">
        <v>1762</v>
      </c>
      <c r="CR9">
        <v>2026</v>
      </c>
      <c r="CS9" t="s">
        <v>3071</v>
      </c>
      <c r="CT9" s="6">
        <v>45999</v>
      </c>
      <c r="CU9">
        <v>5</v>
      </c>
      <c r="CV9">
        <v>11262296.42</v>
      </c>
      <c r="CW9">
        <v>114713</v>
      </c>
      <c r="CX9" t="s">
        <v>3072</v>
      </c>
      <c r="DA9" t="s">
        <v>2170</v>
      </c>
      <c r="DB9">
        <v>0.47400900000000001</v>
      </c>
      <c r="DC9" t="s">
        <v>1786</v>
      </c>
      <c r="DD9">
        <v>0.23968300000000001</v>
      </c>
      <c r="DE9" t="s">
        <v>1762</v>
      </c>
      <c r="DF9">
        <v>2025</v>
      </c>
      <c r="DG9" t="s">
        <v>2168</v>
      </c>
      <c r="DH9" s="6">
        <v>45857</v>
      </c>
      <c r="DI9">
        <v>5</v>
      </c>
      <c r="DJ9">
        <v>30071132</v>
      </c>
      <c r="DK9">
        <v>153737</v>
      </c>
      <c r="DL9" t="s">
        <v>2171</v>
      </c>
      <c r="DQ9" t="s">
        <v>5993</v>
      </c>
      <c r="DS9">
        <v>-2.4245362661989844E-14</v>
      </c>
      <c r="DT9">
        <v>-2.4245362661989844E-14</v>
      </c>
      <c r="DU9" t="s">
        <v>1745</v>
      </c>
      <c r="DV9">
        <v>2021</v>
      </c>
      <c r="DW9" t="s">
        <v>5994</v>
      </c>
      <c r="DX9" s="6">
        <v>44701</v>
      </c>
      <c r="DY9">
        <v>5</v>
      </c>
      <c r="DZ9">
        <v>-2.4245362661989844E-14</v>
      </c>
      <c r="EA9">
        <v>324085</v>
      </c>
      <c r="EB9" t="s">
        <v>5995</v>
      </c>
      <c r="EE9" t="s">
        <v>5907</v>
      </c>
      <c r="EF9">
        <v>-2.4245362661989844E-14</v>
      </c>
      <c r="EH9">
        <v>-2.4245362661989844E-14</v>
      </c>
      <c r="EI9" t="s">
        <v>1745</v>
      </c>
      <c r="EJ9">
        <v>2022</v>
      </c>
      <c r="EK9" t="s">
        <v>5908</v>
      </c>
      <c r="EL9" s="6">
        <v>45077</v>
      </c>
      <c r="EM9">
        <v>5</v>
      </c>
      <c r="EN9">
        <v>-2.4245362661989844E-14</v>
      </c>
      <c r="EO9">
        <v>22396985</v>
      </c>
      <c r="EP9" t="s">
        <v>5909</v>
      </c>
      <c r="FY9" t="s">
        <v>2802</v>
      </c>
      <c r="FZ9" t="s">
        <v>1786</v>
      </c>
      <c r="GA9">
        <v>1.017503</v>
      </c>
      <c r="GB9">
        <v>1.621964</v>
      </c>
      <c r="GC9" t="s">
        <v>1762</v>
      </c>
      <c r="GD9">
        <v>2025</v>
      </c>
      <c r="GE9" t="s">
        <v>2803</v>
      </c>
      <c r="GF9" s="6">
        <v>45929</v>
      </c>
      <c r="GG9">
        <v>5</v>
      </c>
      <c r="GH9">
        <v>123835292.08</v>
      </c>
      <c r="GI9">
        <v>115679</v>
      </c>
      <c r="GJ9" t="s">
        <v>2804</v>
      </c>
      <c r="GM9" t="s">
        <v>2504</v>
      </c>
      <c r="GN9">
        <v>2.108371</v>
      </c>
      <c r="GO9" t="s">
        <v>1786</v>
      </c>
      <c r="GP9">
        <v>2.5571009999999998</v>
      </c>
      <c r="GQ9" t="s">
        <v>1762</v>
      </c>
      <c r="GR9">
        <v>2025</v>
      </c>
      <c r="GS9" t="s">
        <v>2505</v>
      </c>
      <c r="GT9" s="6">
        <v>45919</v>
      </c>
      <c r="GU9">
        <v>5</v>
      </c>
      <c r="GV9">
        <v>501043244.87</v>
      </c>
      <c r="GW9">
        <v>115268</v>
      </c>
      <c r="GX9" t="s">
        <v>2506</v>
      </c>
      <c r="HC9" t="s">
        <v>3369</v>
      </c>
      <c r="HE9">
        <v>-2.4245362661989844E-14</v>
      </c>
      <c r="HF9">
        <v>-2.4245362661989844E-14</v>
      </c>
      <c r="HG9" t="s">
        <v>1745</v>
      </c>
      <c r="HH9">
        <v>2021</v>
      </c>
      <c r="HI9" t="s">
        <v>3370</v>
      </c>
      <c r="HJ9" s="6">
        <v>44693</v>
      </c>
      <c r="HK9">
        <v>5</v>
      </c>
      <c r="HL9">
        <v>-2.4245362661989844E-14</v>
      </c>
      <c r="HM9">
        <v>100532</v>
      </c>
      <c r="HN9" t="s">
        <v>3371</v>
      </c>
      <c r="IG9" t="s">
        <v>5357</v>
      </c>
      <c r="II9">
        <v>-2.4245362661989844E-14</v>
      </c>
      <c r="IJ9">
        <v>-2.4245362661989844E-14</v>
      </c>
      <c r="IK9" t="s">
        <v>1745</v>
      </c>
      <c r="IL9">
        <v>2023</v>
      </c>
      <c r="IM9" t="s">
        <v>5358</v>
      </c>
      <c r="IN9" s="6">
        <v>45069</v>
      </c>
      <c r="IO9">
        <v>5</v>
      </c>
      <c r="IP9">
        <v>-2.4245362661989844E-14</v>
      </c>
      <c r="IQ9">
        <v>69225062</v>
      </c>
      <c r="IR9" t="s">
        <v>5359</v>
      </c>
      <c r="IU9" t="s">
        <v>5305</v>
      </c>
      <c r="IV9">
        <v>-2.4245362661989844E-14</v>
      </c>
      <c r="IX9">
        <v>-2.4245362661989844E-14</v>
      </c>
      <c r="IY9" t="s">
        <v>1745</v>
      </c>
      <c r="IZ9">
        <v>2024</v>
      </c>
      <c r="JA9" t="s">
        <v>5306</v>
      </c>
      <c r="JB9" s="6">
        <v>45492</v>
      </c>
      <c r="JC9">
        <v>5</v>
      </c>
      <c r="JD9">
        <v>-2.4245362661989844E-14</v>
      </c>
      <c r="JE9">
        <v>950133</v>
      </c>
      <c r="JF9" t="s">
        <v>5307</v>
      </c>
      <c r="JK9" t="s">
        <v>3229</v>
      </c>
      <c r="JL9" t="s">
        <v>1769</v>
      </c>
      <c r="JM9">
        <v>2.5</v>
      </c>
      <c r="JN9">
        <v>0.75909400000000005</v>
      </c>
      <c r="JO9" t="s">
        <v>1745</v>
      </c>
      <c r="JP9">
        <v>2024</v>
      </c>
      <c r="JQ9" t="s">
        <v>3230</v>
      </c>
      <c r="JR9" s="6">
        <v>45734</v>
      </c>
      <c r="JS9">
        <v>5</v>
      </c>
      <c r="JT9">
        <v>579046.76</v>
      </c>
      <c r="JU9">
        <v>32162827</v>
      </c>
      <c r="JV9" t="s">
        <v>3231</v>
      </c>
      <c r="JY9" t="s">
        <v>1885</v>
      </c>
      <c r="JZ9">
        <v>1.991708</v>
      </c>
      <c r="KA9" t="s">
        <v>1820</v>
      </c>
      <c r="KB9">
        <v>3.0294000000000001E-2</v>
      </c>
      <c r="KC9" t="s">
        <v>1809</v>
      </c>
      <c r="KD9">
        <v>2026</v>
      </c>
      <c r="KE9" t="s">
        <v>3442</v>
      </c>
      <c r="KF9" s="6">
        <v>45967</v>
      </c>
      <c r="KG9">
        <v>5</v>
      </c>
      <c r="KH9">
        <v>10631737</v>
      </c>
      <c r="KI9">
        <v>216952</v>
      </c>
      <c r="KJ9" t="s">
        <v>1886</v>
      </c>
      <c r="KO9" t="s">
        <v>3115</v>
      </c>
      <c r="KQ9">
        <v>-2.4245362661989844E-14</v>
      </c>
      <c r="KR9">
        <v>-2.4245362661989844E-14</v>
      </c>
      <c r="KS9" t="s">
        <v>1742</v>
      </c>
      <c r="KT9">
        <v>2023</v>
      </c>
      <c r="KU9" t="s">
        <v>3109</v>
      </c>
      <c r="KV9" s="6">
        <v>45166</v>
      </c>
      <c r="KW9">
        <v>5</v>
      </c>
      <c r="KX9">
        <v>-2.4245362661989844E-14</v>
      </c>
      <c r="KY9">
        <v>42618390</v>
      </c>
      <c r="KZ9" t="s">
        <v>3116</v>
      </c>
      <c r="LC9" t="s">
        <v>2502</v>
      </c>
      <c r="LD9">
        <v>-2.4245362661989844E-14</v>
      </c>
      <c r="LF9">
        <v>-2.4245362661989844E-14</v>
      </c>
      <c r="LG9" t="s">
        <v>1742</v>
      </c>
      <c r="LH9">
        <v>2023</v>
      </c>
      <c r="LI9" t="s">
        <v>3109</v>
      </c>
      <c r="LJ9" s="6">
        <v>45166</v>
      </c>
      <c r="LK9">
        <v>5</v>
      </c>
      <c r="LL9">
        <v>-2.4245362661989844E-14</v>
      </c>
      <c r="LM9">
        <v>60401289</v>
      </c>
      <c r="LN9" t="s">
        <v>2503</v>
      </c>
      <c r="QI9" t="s">
        <v>3771</v>
      </c>
      <c r="QJ9" t="s">
        <v>1786</v>
      </c>
      <c r="QK9">
        <v>0.75007900000000005</v>
      </c>
      <c r="QL9">
        <v>1.9236930000000001</v>
      </c>
      <c r="QM9" t="s">
        <v>1809</v>
      </c>
      <c r="QN9">
        <v>2025</v>
      </c>
      <c r="QO9" t="s">
        <v>3772</v>
      </c>
      <c r="QP9" s="6">
        <v>45819</v>
      </c>
      <c r="QQ9">
        <v>5</v>
      </c>
      <c r="QR9">
        <v>33782291.130000003</v>
      </c>
      <c r="QS9">
        <v>58244711</v>
      </c>
      <c r="QT9" t="s">
        <v>3773</v>
      </c>
      <c r="QW9" t="s">
        <v>1870</v>
      </c>
      <c r="QX9">
        <v>1.559631</v>
      </c>
      <c r="QY9" t="s">
        <v>1786</v>
      </c>
      <c r="QZ9">
        <v>1.5618050000000001</v>
      </c>
      <c r="RA9" t="s">
        <v>1742</v>
      </c>
      <c r="RB9">
        <v>2025</v>
      </c>
      <c r="RC9" t="s">
        <v>5881</v>
      </c>
      <c r="RD9" s="6">
        <v>45954</v>
      </c>
      <c r="RE9">
        <v>5</v>
      </c>
      <c r="RF9">
        <v>73957704</v>
      </c>
      <c r="RG9">
        <v>12129192</v>
      </c>
      <c r="RH9" t="s">
        <v>1872</v>
      </c>
      <c r="SQ9" t="s">
        <v>5427</v>
      </c>
      <c r="SS9">
        <v>-2.4245362661989844E-14</v>
      </c>
      <c r="ST9">
        <v>-2.4245362661989844E-14</v>
      </c>
      <c r="SU9" t="s">
        <v>1805</v>
      </c>
      <c r="SV9">
        <v>2025</v>
      </c>
      <c r="SW9" t="s">
        <v>5428</v>
      </c>
      <c r="SX9" s="6">
        <v>45884</v>
      </c>
      <c r="SY9">
        <v>5</v>
      </c>
      <c r="SZ9">
        <v>-2.4245362661989844E-14</v>
      </c>
      <c r="TA9">
        <v>21821850</v>
      </c>
      <c r="TB9" t="s">
        <v>5429</v>
      </c>
      <c r="TE9" t="s">
        <v>2139</v>
      </c>
      <c r="TF9">
        <v>2.5704000000000001E-2</v>
      </c>
      <c r="TG9" t="s">
        <v>1786</v>
      </c>
      <c r="TH9">
        <v>9.8635E-2</v>
      </c>
      <c r="TI9" t="s">
        <v>1742</v>
      </c>
      <c r="TJ9">
        <v>2025</v>
      </c>
      <c r="TK9" t="s">
        <v>2140</v>
      </c>
      <c r="TL9" s="6">
        <v>46034</v>
      </c>
      <c r="TM9">
        <v>5</v>
      </c>
      <c r="TN9">
        <v>562637</v>
      </c>
      <c r="TO9">
        <v>313021</v>
      </c>
      <c r="TP9" t="s">
        <v>2141</v>
      </c>
      <c r="UY9" t="s">
        <v>5158</v>
      </c>
      <c r="VA9">
        <v>-2.4245362661989844E-14</v>
      </c>
      <c r="VB9">
        <v>-2.4245362661989844E-14</v>
      </c>
      <c r="VC9" t="s">
        <v>1745</v>
      </c>
      <c r="VD9">
        <v>2021</v>
      </c>
      <c r="VE9" t="s">
        <v>5159</v>
      </c>
      <c r="VF9" s="6">
        <v>44637</v>
      </c>
      <c r="VG9">
        <v>5</v>
      </c>
      <c r="VH9">
        <v>-2.4245362661989844E-14</v>
      </c>
      <c r="VI9">
        <v>118011</v>
      </c>
      <c r="VJ9" t="s">
        <v>5160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398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399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400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401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402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403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404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405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406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407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408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409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410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411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412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413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414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415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416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417</v>
      </c>
      <c r="AE2" s="3" t="s">
        <v>418</v>
      </c>
      <c r="BI2" s="3" t="s">
        <v>419</v>
      </c>
      <c r="CM2" s="3" t="s">
        <v>420</v>
      </c>
      <c r="DQ2" s="3" t="s">
        <v>421</v>
      </c>
      <c r="EU2" s="3" t="s">
        <v>422</v>
      </c>
      <c r="FY2" s="3" t="s">
        <v>423</v>
      </c>
      <c r="HC2" s="3" t="s">
        <v>424</v>
      </c>
      <c r="IG2" s="3" t="s">
        <v>425</v>
      </c>
      <c r="JK2" s="3" t="s">
        <v>35</v>
      </c>
      <c r="KO2" s="3" t="s">
        <v>426</v>
      </c>
      <c r="LS2" s="3" t="s">
        <v>35</v>
      </c>
      <c r="MW2" s="3" t="s">
        <v>427</v>
      </c>
      <c r="OA2" s="3" t="s">
        <v>34</v>
      </c>
      <c r="PE2" s="3" t="s">
        <v>35</v>
      </c>
      <c r="QI2" s="3" t="s">
        <v>428</v>
      </c>
      <c r="RM2" s="3" t="s">
        <v>429</v>
      </c>
      <c r="SQ2" s="3" t="s">
        <v>430</v>
      </c>
      <c r="TU2" s="3" t="s">
        <v>431</v>
      </c>
      <c r="UY2" s="3" t="s">
        <v>432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_xll.BDS("QLGC US Equity","SUPPLY_CHAIN_SUPPLIERS_ALL_DATA")</f>
        <v>#N/A N/A</v>
      </c>
      <c r="O5" t="str">
        <f>_xll.BDS("QLGC US Equity","SUPPLY_CHAIN_CUSTOMERS_ALL_DATA")</f>
        <v>#N/A N/A</v>
      </c>
      <c r="AE5" t="str">
        <f>_xll.BDS("UPS US Equity","SUPPLY_CHAIN_SUPPLIERS_ALL_DATA","cols=12;rows=5")</f>
        <v>BA US Equity</v>
      </c>
      <c r="AF5" t="s">
        <v>1820</v>
      </c>
      <c r="AG5">
        <v>0.85980599999999996</v>
      </c>
      <c r="AH5">
        <v>17.417389</v>
      </c>
      <c r="AI5" t="s">
        <v>1762</v>
      </c>
      <c r="AJ5">
        <v>2025</v>
      </c>
      <c r="AK5" t="s">
        <v>3484</v>
      </c>
      <c r="AL5" s="6">
        <v>45873</v>
      </c>
      <c r="AM5">
        <v>5</v>
      </c>
      <c r="AN5">
        <v>195597264</v>
      </c>
      <c r="AO5">
        <v>100211</v>
      </c>
      <c r="AP5" t="s">
        <v>1851</v>
      </c>
      <c r="AS5" t="str">
        <f>_xll.BDS("UPS US Equity","SUPPLY_CHAIN_CUSTOMERS_ALL_DATA","cols=12;rows=5")</f>
        <v>AMZN US Equity</v>
      </c>
      <c r="AT5">
        <v>10.6</v>
      </c>
      <c r="AU5" t="s">
        <v>1786</v>
      </c>
      <c r="AV5">
        <v>2.6368399999999999</v>
      </c>
      <c r="AW5" t="s">
        <v>1745</v>
      </c>
      <c r="AX5">
        <v>2025</v>
      </c>
      <c r="AY5" t="s">
        <v>3480</v>
      </c>
      <c r="AZ5" s="6">
        <v>46070</v>
      </c>
      <c r="BA5">
        <v>5</v>
      </c>
      <c r="BB5">
        <v>2349516544</v>
      </c>
      <c r="BC5">
        <v>216952</v>
      </c>
      <c r="BD5" t="s">
        <v>1886</v>
      </c>
      <c r="BI5" t="str">
        <f>_xll.BDS("STJ US Equity","SUPPLY_CHAIN_SUPPLIERS_ALL_DATA")</f>
        <v>#N/A N/A</v>
      </c>
      <c r="BW5" t="str">
        <f>_xll.BDS("STJ US Equity","SUPPLY_CHAIN_CUSTOMERS_ALL_DATA")</f>
        <v>#N/A N/A</v>
      </c>
      <c r="CM5" t="str">
        <f>_xll.BDS("HPE US Equity","SUPPLY_CHAIN_SUPPLIERS_ALL_DATA","cols=12;rows=5")</f>
        <v>2356 TT Equity</v>
      </c>
      <c r="CN5" t="s">
        <v>1786</v>
      </c>
      <c r="CO5">
        <v>31.028231000000002</v>
      </c>
      <c r="CP5">
        <v>27.952665</v>
      </c>
      <c r="CQ5" t="s">
        <v>1742</v>
      </c>
      <c r="CR5">
        <v>2025</v>
      </c>
      <c r="CS5" t="s">
        <v>2243</v>
      </c>
      <c r="CT5" s="6">
        <v>46035</v>
      </c>
      <c r="CU5">
        <v>5</v>
      </c>
      <c r="CV5">
        <v>1828116121.97</v>
      </c>
      <c r="CW5">
        <v>193712</v>
      </c>
      <c r="CX5" t="s">
        <v>2244</v>
      </c>
      <c r="DA5" t="str">
        <f>_xll.BDS("HPE US Equity","SUPPLY_CHAIN_CUSTOMERS_ALL_DATA","cols=12;rows=5")</f>
        <v>ARW US Equity</v>
      </c>
      <c r="DB5">
        <v>6.2410899999999998</v>
      </c>
      <c r="DC5" t="s">
        <v>1786</v>
      </c>
      <c r="DD5">
        <v>7.8808930000000004</v>
      </c>
      <c r="DE5" t="s">
        <v>1762</v>
      </c>
      <c r="DF5">
        <v>2025</v>
      </c>
      <c r="DG5" t="s">
        <v>3326</v>
      </c>
      <c r="DH5" s="6">
        <v>45846</v>
      </c>
      <c r="DI5">
        <v>5</v>
      </c>
      <c r="DJ5">
        <v>476007936</v>
      </c>
      <c r="DK5">
        <v>100115</v>
      </c>
      <c r="DL5" t="s">
        <v>1816</v>
      </c>
      <c r="DQ5" t="str">
        <f>_xll.BDS("BYI US Equity","SUPPLY_CHAIN_SUPPLIERS_ALL_DATA")</f>
        <v>#N/A N/A</v>
      </c>
      <c r="EE5" t="str">
        <f>_xll.BDS("BYI US Equity","SUPPLY_CHAIN_CUSTOMERS_ALL_DATA")</f>
        <v>#N/A N/A</v>
      </c>
      <c r="EU5" t="str">
        <f>_xll.BDS("TVTY US Equity","SUPPLY_CHAIN_SUPPLIERS_ALL_DATA","cols=12;rows=1")</f>
        <v>HIW US Equity</v>
      </c>
      <c r="EW5">
        <v>-2.4245362661989844E-14</v>
      </c>
      <c r="EX5">
        <v>-2.4245362661989844E-14</v>
      </c>
      <c r="EY5" t="s">
        <v>1745</v>
      </c>
      <c r="EZ5">
        <v>2022</v>
      </c>
      <c r="FA5" t="s">
        <v>5747</v>
      </c>
      <c r="FB5" s="6">
        <v>44964</v>
      </c>
      <c r="FC5">
        <v>1</v>
      </c>
      <c r="FD5">
        <v>-2.4245362661989844E-14</v>
      </c>
      <c r="FE5">
        <v>143096</v>
      </c>
      <c r="FF5" t="s">
        <v>4083</v>
      </c>
      <c r="FI5" t="str">
        <f>_xll.BDS("TVTY US Equity","SUPPLY_CHAIN_CUSTOMERS_ALL_DATA")</f>
        <v>#N/A N/A</v>
      </c>
      <c r="FY5" t="str">
        <f>_xll.BDS("JPM US Equity","SUPPLY_CHAIN_SUPPLIERS_ALL_DATA","cols=12;rows=5")</f>
        <v>LUV US Equity</v>
      </c>
      <c r="GA5">
        <v>10.404375</v>
      </c>
      <c r="GB5">
        <v>-2.4245362661989844E-14</v>
      </c>
      <c r="GC5" t="s">
        <v>1742</v>
      </c>
      <c r="GD5">
        <v>2025</v>
      </c>
      <c r="GE5" t="s">
        <v>3125</v>
      </c>
      <c r="GF5" s="6">
        <v>45953</v>
      </c>
      <c r="GG5">
        <v>5</v>
      </c>
      <c r="GH5">
        <v>723000000</v>
      </c>
      <c r="GI5">
        <v>101374</v>
      </c>
      <c r="GJ5" t="s">
        <v>3126</v>
      </c>
      <c r="GM5" t="str">
        <f>_xll.BDS("JPM US Equity","SUPPLY_CHAIN_CUSTOMERS_ALL_DATA","cols=12;rows=5")</f>
        <v>000737 CH Equity</v>
      </c>
      <c r="GN5">
        <v>-2.4245362661989844E-14</v>
      </c>
      <c r="GP5">
        <v>-2.4245362661989844E-14</v>
      </c>
      <c r="GQ5" t="s">
        <v>1745</v>
      </c>
      <c r="GR5">
        <v>2022</v>
      </c>
      <c r="GS5" t="s">
        <v>3665</v>
      </c>
      <c r="GT5" s="6">
        <v>45027</v>
      </c>
      <c r="GU5">
        <v>5</v>
      </c>
      <c r="GV5">
        <v>-2.4245362661989844E-14</v>
      </c>
      <c r="GW5">
        <v>223099</v>
      </c>
      <c r="GX5" t="s">
        <v>3666</v>
      </c>
      <c r="HC5" t="str">
        <f>_xll.BDS("MSFT US Equity","SUPPLY_CHAIN_SUPPLIERS_ALL_DATA","cols=12;rows=5")</f>
        <v>NVDA US Equity</v>
      </c>
      <c r="HD5" t="s">
        <v>1820</v>
      </c>
      <c r="HE5">
        <v>22.047934000000001</v>
      </c>
      <c r="HF5">
        <v>50.276459000000003</v>
      </c>
      <c r="HG5" t="s">
        <v>1845</v>
      </c>
      <c r="HH5">
        <v>2026</v>
      </c>
      <c r="HI5" t="s">
        <v>2311</v>
      </c>
      <c r="HJ5" s="6">
        <v>46087</v>
      </c>
      <c r="HK5">
        <v>5</v>
      </c>
      <c r="HL5">
        <v>15020595200</v>
      </c>
      <c r="HM5">
        <v>313657</v>
      </c>
      <c r="HN5" t="s">
        <v>2312</v>
      </c>
      <c r="HQ5" t="str">
        <f>_xll.BDS("MSFT US Equity","SUPPLY_CHAIN_CUSTOMERS_ALL_DATA","cols=12;rows=5")</f>
        <v>SNX US Equity</v>
      </c>
      <c r="HR5">
        <v>0.94513400000000003</v>
      </c>
      <c r="HS5" t="s">
        <v>1786</v>
      </c>
      <c r="HT5">
        <v>4.7461719999999996</v>
      </c>
      <c r="HU5" t="s">
        <v>1845</v>
      </c>
      <c r="HV5">
        <v>2025</v>
      </c>
      <c r="HW5" t="s">
        <v>1887</v>
      </c>
      <c r="HX5" s="6">
        <v>46056</v>
      </c>
      <c r="HY5">
        <v>5</v>
      </c>
      <c r="HZ5">
        <v>768139008</v>
      </c>
      <c r="IA5">
        <v>1499717</v>
      </c>
      <c r="IB5" t="s">
        <v>1864</v>
      </c>
      <c r="IG5" t="str">
        <f>_xll.BDS("OPITQ US Equity","SUPPLY_CHAIN_SUPPLIERS_ALL_DATA","cols=12;rows=3")</f>
        <v>SVC US Equity</v>
      </c>
      <c r="IH5" t="s">
        <v>1769</v>
      </c>
      <c r="II5">
        <v>8.8789999999999994E-2</v>
      </c>
      <c r="IJ5">
        <v>1.1887350000000001</v>
      </c>
      <c r="IK5" t="s">
        <v>1762</v>
      </c>
      <c r="IL5">
        <v>2025</v>
      </c>
      <c r="IM5" t="s">
        <v>3224</v>
      </c>
      <c r="IN5" s="6">
        <v>45868</v>
      </c>
      <c r="IO5">
        <v>3</v>
      </c>
      <c r="IP5">
        <v>447000</v>
      </c>
      <c r="IQ5">
        <v>170203</v>
      </c>
      <c r="IR5" t="s">
        <v>5227</v>
      </c>
      <c r="IU5" t="str">
        <f>_xll.BDS("OPITQ US Equity","SUPPLY_CHAIN_CUSTOMERS_ALL_DATA","cols=12;rows=5")</f>
        <v>3352Z US Equity</v>
      </c>
      <c r="IV5">
        <v>17.100000000000001</v>
      </c>
      <c r="IX5">
        <v>-2.4245362661989844E-14</v>
      </c>
      <c r="IY5" t="s">
        <v>1762</v>
      </c>
      <c r="IZ5">
        <v>2025</v>
      </c>
      <c r="JA5" t="s">
        <v>3224</v>
      </c>
      <c r="JB5" s="6">
        <v>45868</v>
      </c>
      <c r="JC5">
        <v>5</v>
      </c>
      <c r="JD5">
        <v>19579328</v>
      </c>
      <c r="JE5">
        <v>218252</v>
      </c>
      <c r="JF5" t="s">
        <v>1803</v>
      </c>
      <c r="JK5" t="str">
        <f>_xll.BDS("nan Equity","SUPPLY_CHAIN_SUPPLIERS_ALL_DATA")</f>
        <v>#N/A N/A</v>
      </c>
      <c r="JY5" t="str">
        <f>_xll.BDS("nan Equity","SUPPLY_CHAIN_CUSTOMERS_ALL_DATA")</f>
        <v>#N/A N/A</v>
      </c>
      <c r="KO5" t="str">
        <f>_xll.BDS("FANG US Equity","SUPPLY_CHAIN_SUPPLIERS_ALL_DATA","cols=12;rows=5")</f>
        <v>TEN IM Equity</v>
      </c>
      <c r="KP5" t="s">
        <v>1820</v>
      </c>
      <c r="KQ5">
        <v>3.4598330000000002</v>
      </c>
      <c r="KR5">
        <v>4.4605490000000003</v>
      </c>
      <c r="KS5" t="s">
        <v>1742</v>
      </c>
      <c r="KT5">
        <v>2025</v>
      </c>
      <c r="KU5" t="s">
        <v>4027</v>
      </c>
      <c r="KV5" s="6">
        <v>45971</v>
      </c>
      <c r="KW5">
        <v>5</v>
      </c>
      <c r="KX5">
        <v>103038672</v>
      </c>
      <c r="KY5">
        <v>7912227</v>
      </c>
      <c r="KZ5" t="s">
        <v>4028</v>
      </c>
      <c r="LC5" t="str">
        <f>_xll.BDS("FANG US Equity","SUPPLY_CHAIN_CUSTOMERS_ALL_DATA","cols=12;rows=4")</f>
        <v>9888092Z US Equity</v>
      </c>
      <c r="LD5">
        <v>17</v>
      </c>
      <c r="LF5">
        <v>-2.4245362661989844E-14</v>
      </c>
      <c r="LG5" t="s">
        <v>1745</v>
      </c>
      <c r="LH5">
        <v>2024</v>
      </c>
      <c r="LI5" t="s">
        <v>2961</v>
      </c>
      <c r="LJ5" s="6">
        <v>45714</v>
      </c>
      <c r="LK5">
        <v>4</v>
      </c>
      <c r="LL5">
        <v>468137504</v>
      </c>
      <c r="LM5">
        <v>17234565</v>
      </c>
      <c r="LN5" t="s">
        <v>6429</v>
      </c>
      <c r="LS5" t="str">
        <f>_xll.BDS("nan Equity","SUPPLY_CHAIN_SUPPLIERS_ALL_DATA")</f>
        <v>#N/A N/A</v>
      </c>
      <c r="MG5" t="str">
        <f>_xll.BDS("nan Equity","SUPPLY_CHAIN_CUSTOMERS_ALL_DATA")</f>
        <v>#N/A N/A</v>
      </c>
      <c r="MW5" t="str">
        <f>_xll.BDS("JAZZ US Equity","SUPPLY_CHAIN_SUPPLIERS_ALL_DATA","cols=12;rows=5")</f>
        <v>SANION SS Equity</v>
      </c>
      <c r="MX5" t="s">
        <v>2416</v>
      </c>
      <c r="MY5">
        <v>-2.4245362661989844E-14</v>
      </c>
      <c r="MZ5">
        <v>21.442661000000001</v>
      </c>
      <c r="NA5" t="s">
        <v>1742</v>
      </c>
      <c r="NB5">
        <v>2025</v>
      </c>
      <c r="NC5" t="s">
        <v>6307</v>
      </c>
      <c r="ND5" s="6">
        <v>45966</v>
      </c>
      <c r="NE5">
        <v>5</v>
      </c>
      <c r="NF5">
        <v>42500000</v>
      </c>
      <c r="NG5">
        <v>39418550</v>
      </c>
      <c r="NH5" t="s">
        <v>6308</v>
      </c>
      <c r="NK5" t="str">
        <f>_xll.BDS("JAZZ US Equity","SUPPLY_CHAIN_CUSTOMERS_ALL_DATA","cols=12;rows=5")</f>
        <v>CI US Equity</v>
      </c>
      <c r="NL5">
        <v>42</v>
      </c>
      <c r="NM5" t="s">
        <v>1786</v>
      </c>
      <c r="NN5">
        <v>0.71885200000000005</v>
      </c>
      <c r="NO5" t="s">
        <v>1745</v>
      </c>
      <c r="NP5">
        <v>2025</v>
      </c>
      <c r="NQ5" t="s">
        <v>6058</v>
      </c>
      <c r="NR5" s="6">
        <v>46077</v>
      </c>
      <c r="NS5">
        <v>5</v>
      </c>
      <c r="NT5">
        <v>448096544</v>
      </c>
      <c r="NU5">
        <v>60401289</v>
      </c>
      <c r="NV5" t="s">
        <v>2503</v>
      </c>
      <c r="OA5" t="str">
        <f>_xll.BDS("ORCL US Equity","SUPPLY_CHAIN_SUPPLIERS_ALL_DATA","cols=12;rows=5")</f>
        <v>NVDA US Equity</v>
      </c>
      <c r="OB5" t="s">
        <v>1820</v>
      </c>
      <c r="OC5">
        <v>1.9751799999999999</v>
      </c>
      <c r="OD5">
        <v>11.182838</v>
      </c>
      <c r="OE5" t="s">
        <v>1845</v>
      </c>
      <c r="OF5">
        <v>2026</v>
      </c>
      <c r="OG5" t="s">
        <v>2311</v>
      </c>
      <c r="OH5" s="6">
        <v>46087</v>
      </c>
      <c r="OI5">
        <v>5</v>
      </c>
      <c r="OJ5">
        <v>1345630848</v>
      </c>
      <c r="OK5">
        <v>313657</v>
      </c>
      <c r="OL5" t="s">
        <v>2312</v>
      </c>
      <c r="OO5" t="str">
        <f>_xll.BDS("ORCL US Equity","SUPPLY_CHAIN_CUSTOMERS_ALL_DATA","cols=12;rows=5")</f>
        <v>ACN US Equity</v>
      </c>
      <c r="OP5">
        <v>1.9061380000000001</v>
      </c>
      <c r="OQ5" t="s">
        <v>1786</v>
      </c>
      <c r="OR5">
        <v>2.7725070000000001</v>
      </c>
      <c r="OS5" t="s">
        <v>1845</v>
      </c>
      <c r="OT5">
        <v>2025</v>
      </c>
      <c r="OU5" t="s">
        <v>1883</v>
      </c>
      <c r="OV5" s="6">
        <v>45848</v>
      </c>
      <c r="OW5">
        <v>5</v>
      </c>
      <c r="OX5">
        <v>303133120</v>
      </c>
      <c r="OY5">
        <v>300787</v>
      </c>
      <c r="OZ5" t="s">
        <v>1884</v>
      </c>
      <c r="PE5" t="str">
        <f>_xll.BDS("nan Equity","SUPPLY_CHAIN_SUPPLIERS_ALL_DATA")</f>
        <v>#N/A N/A</v>
      </c>
      <c r="PS5" t="str">
        <f>_xll.BDS("nan Equity","SUPPLY_CHAIN_CUSTOMERS_ALL_DATA")</f>
        <v>#N/A N/A</v>
      </c>
      <c r="QI5" t="str">
        <f>_xll.BDS("AES US Equity","SUPPLY_CHAIN_SUPPLIERS_ALL_DATA","cols=12;rows=5")</f>
        <v>FLNC US Equity</v>
      </c>
      <c r="QJ5" t="s">
        <v>1820</v>
      </c>
      <c r="QK5">
        <v>38.317962999999999</v>
      </c>
      <c r="QL5">
        <v>10.071903000000001</v>
      </c>
      <c r="QM5" t="s">
        <v>1809</v>
      </c>
      <c r="QN5">
        <v>2026</v>
      </c>
      <c r="QO5" t="s">
        <v>5713</v>
      </c>
      <c r="QP5" s="6">
        <v>46057</v>
      </c>
      <c r="QQ5">
        <v>5</v>
      </c>
      <c r="QR5">
        <v>182100000</v>
      </c>
      <c r="QS5">
        <v>69755265</v>
      </c>
      <c r="QT5" t="s">
        <v>5714</v>
      </c>
      <c r="QW5" t="str">
        <f>_xll.BDS("AES US Equity","SUPPLY_CHAIN_CUSTOMERS_ALL_DATA","cols=12;rows=5")</f>
        <v>PE&amp;OLES* MM Equity</v>
      </c>
      <c r="QX5">
        <v>1.093019</v>
      </c>
      <c r="QY5" t="s">
        <v>1786</v>
      </c>
      <c r="QZ5">
        <v>2.7068530000000002</v>
      </c>
      <c r="RA5" t="s">
        <v>1745</v>
      </c>
      <c r="RB5">
        <v>2024</v>
      </c>
      <c r="RC5" t="s">
        <v>2356</v>
      </c>
      <c r="RD5" s="6">
        <v>45775</v>
      </c>
      <c r="RE5">
        <v>5</v>
      </c>
      <c r="RF5">
        <v>33115740</v>
      </c>
      <c r="RG5">
        <v>158161</v>
      </c>
      <c r="RH5" t="s">
        <v>2357</v>
      </c>
      <c r="RM5" t="str">
        <f>_xll.BDS("GS US Equity","SUPPLY_CHAIN_SUPPLIERS_ALL_DATA","cols=12;rows=5")</f>
        <v>INFO IN Equity</v>
      </c>
      <c r="RN5" t="s">
        <v>1769</v>
      </c>
      <c r="RO5">
        <v>2.9422510000000002</v>
      </c>
      <c r="RP5">
        <v>1.910156</v>
      </c>
      <c r="RQ5" t="s">
        <v>1845</v>
      </c>
      <c r="RR5">
        <v>2025</v>
      </c>
      <c r="RS5" t="s">
        <v>4110</v>
      </c>
      <c r="RT5" s="6">
        <v>45810</v>
      </c>
      <c r="RU5">
        <v>5</v>
      </c>
      <c r="RV5">
        <v>139053043.91</v>
      </c>
      <c r="RW5">
        <v>174545</v>
      </c>
      <c r="RX5" t="s">
        <v>4111</v>
      </c>
      <c r="SA5" t="str">
        <f>_xll.BDS("GS US Equity","SUPPLY_CHAIN_CUSTOMERS_ALL_DATA","cols=12;rows=5")</f>
        <v>036460 KS Equity</v>
      </c>
      <c r="SB5">
        <v>-2.4245362661989844E-14</v>
      </c>
      <c r="SD5">
        <v>-2.4245362661989844E-14</v>
      </c>
      <c r="SE5" t="s">
        <v>1745</v>
      </c>
      <c r="SF5">
        <v>2021</v>
      </c>
      <c r="SG5" t="s">
        <v>5514</v>
      </c>
      <c r="SH5" s="6">
        <v>44641</v>
      </c>
      <c r="SI5">
        <v>5</v>
      </c>
      <c r="SJ5">
        <v>-2.4245362661989844E-14</v>
      </c>
      <c r="SK5">
        <v>210754</v>
      </c>
      <c r="SL5" t="s">
        <v>2554</v>
      </c>
      <c r="SQ5" t="str">
        <f>_xll.BDS("KND US Equity","SUPPLY_CHAIN_SUPPLIERS_ALL_DATA")</f>
        <v>#N/A N/A</v>
      </c>
      <c r="TE5" t="str">
        <f>_xll.BDS("KND US Equity","SUPPLY_CHAIN_CUSTOMERS_ALL_DATA")</f>
        <v>#N/A N/A</v>
      </c>
      <c r="TU5" t="str">
        <f>_xll.BDS("URI US Equity","SUPPLY_CHAIN_SUPPLIERS_ALL_DATA","cols=12;rows=5")</f>
        <v>DE US Equity</v>
      </c>
      <c r="TV5" t="s">
        <v>1786</v>
      </c>
      <c r="TW5">
        <v>0.78303699999999998</v>
      </c>
      <c r="TX5">
        <v>3.9047879999999999</v>
      </c>
      <c r="TY5" t="s">
        <v>1742</v>
      </c>
      <c r="TZ5">
        <v>2025</v>
      </c>
      <c r="UA5" t="s">
        <v>3267</v>
      </c>
      <c r="UB5" s="6">
        <v>45904</v>
      </c>
      <c r="UC5">
        <v>5</v>
      </c>
      <c r="UD5">
        <v>94105384</v>
      </c>
      <c r="UE5">
        <v>100438</v>
      </c>
      <c r="UF5" t="s">
        <v>3268</v>
      </c>
      <c r="UI5" t="str">
        <f>_xll.BDS("URI US Equity","SUPPLY_CHAIN_CUSTOMERS_ALL_DATA","cols=12;rows=5")</f>
        <v>OSK US Equity</v>
      </c>
      <c r="UJ5">
        <v>8.3140000000000002E-3</v>
      </c>
      <c r="UK5" t="s">
        <v>1786</v>
      </c>
      <c r="UL5">
        <v>1.6438999999999999E-2</v>
      </c>
      <c r="UM5" t="s">
        <v>1762</v>
      </c>
      <c r="UN5">
        <v>2025</v>
      </c>
      <c r="UO5" t="s">
        <v>3274</v>
      </c>
      <c r="UP5" s="6">
        <v>45881</v>
      </c>
      <c r="UQ5">
        <v>5</v>
      </c>
      <c r="UR5">
        <v>327839</v>
      </c>
      <c r="US5">
        <v>105941</v>
      </c>
      <c r="UT5" t="s">
        <v>3275</v>
      </c>
      <c r="UY5" t="str">
        <f>_xll.BDS("9990822D US Equity","SUPPLY_CHAIN_SUPPLIERS_ALL_DATA","cols=12;rows=1")</f>
        <v>AMZN US Equity</v>
      </c>
      <c r="VA5">
        <v>-2.4245362661989844E-14</v>
      </c>
      <c r="VB5">
        <v>-2.4245362661989844E-14</v>
      </c>
      <c r="VC5" t="s">
        <v>1745</v>
      </c>
      <c r="VD5">
        <v>2025</v>
      </c>
      <c r="VE5" t="s">
        <v>3186</v>
      </c>
      <c r="VF5" s="6">
        <v>45993</v>
      </c>
      <c r="VG5">
        <v>1</v>
      </c>
      <c r="VH5">
        <v>-2.4245362661989844E-14</v>
      </c>
      <c r="VI5">
        <v>216952</v>
      </c>
      <c r="VJ5" t="s">
        <v>1886</v>
      </c>
      <c r="VM5" t="str">
        <f>_xll.BDS("9990822D US Equity","SUPPLY_CHAIN_CUSTOMERS_ALL_DATA","cols=12;rows=3")</f>
        <v>0759608D US Equity</v>
      </c>
      <c r="VN5">
        <v>-2.4245362661989844E-14</v>
      </c>
      <c r="VP5">
        <v>-2.4245362661989844E-14</v>
      </c>
      <c r="VQ5" t="s">
        <v>1745</v>
      </c>
      <c r="VR5">
        <v>2023</v>
      </c>
      <c r="VS5" t="s">
        <v>3154</v>
      </c>
      <c r="VT5" s="6">
        <v>44972</v>
      </c>
      <c r="VU5">
        <v>3</v>
      </c>
      <c r="VV5">
        <v>-2.4245362661989844E-14</v>
      </c>
      <c r="VW5">
        <v>22120244</v>
      </c>
      <c r="VX5" t="s">
        <v>3155</v>
      </c>
    </row>
    <row r="6" spans="1:600" x14ac:dyDescent="0.25">
      <c r="AE6" t="s">
        <v>34</v>
      </c>
      <c r="AF6" t="s">
        <v>1786</v>
      </c>
      <c r="AG6">
        <v>0.28497400000000001</v>
      </c>
      <c r="AH6">
        <v>0.26258399999999998</v>
      </c>
      <c r="AI6" t="s">
        <v>1845</v>
      </c>
      <c r="AJ6">
        <v>2025</v>
      </c>
      <c r="AK6" t="s">
        <v>1883</v>
      </c>
      <c r="AL6" s="6">
        <v>45848</v>
      </c>
      <c r="AM6">
        <v>5</v>
      </c>
      <c r="AN6">
        <v>45319416</v>
      </c>
      <c r="AO6">
        <v>101752</v>
      </c>
      <c r="AP6" t="s">
        <v>2723</v>
      </c>
      <c r="AS6" t="s">
        <v>3481</v>
      </c>
      <c r="AT6">
        <v>2.13375</v>
      </c>
      <c r="AU6" t="s">
        <v>1786</v>
      </c>
      <c r="AV6">
        <v>6.7306309999999998</v>
      </c>
      <c r="AW6" t="s">
        <v>1742</v>
      </c>
      <c r="AX6">
        <v>2025</v>
      </c>
      <c r="AY6" t="s">
        <v>1821</v>
      </c>
      <c r="AZ6" s="6">
        <v>46007</v>
      </c>
      <c r="BA6">
        <v>5</v>
      </c>
      <c r="BB6">
        <v>456942560</v>
      </c>
      <c r="BC6">
        <v>194534</v>
      </c>
      <c r="BD6" t="s">
        <v>3482</v>
      </c>
      <c r="CM6" t="s">
        <v>2250</v>
      </c>
      <c r="CN6" t="s">
        <v>1786</v>
      </c>
      <c r="CO6">
        <v>2.7800349999999998</v>
      </c>
      <c r="CP6">
        <v>8.0667629999999999</v>
      </c>
      <c r="CQ6" t="s">
        <v>1742</v>
      </c>
      <c r="CR6">
        <v>2025</v>
      </c>
      <c r="CS6" t="s">
        <v>2251</v>
      </c>
      <c r="CT6" s="6">
        <v>46087</v>
      </c>
      <c r="CU6">
        <v>5</v>
      </c>
      <c r="CV6">
        <v>527569647.02999997</v>
      </c>
      <c r="CW6">
        <v>7975354</v>
      </c>
      <c r="CX6" t="s">
        <v>2252</v>
      </c>
      <c r="DA6" t="s">
        <v>1870</v>
      </c>
      <c r="DB6">
        <v>4.2125120000000003</v>
      </c>
      <c r="DC6" t="s">
        <v>1786</v>
      </c>
      <c r="DD6">
        <v>7.8808939999999996</v>
      </c>
      <c r="DE6" t="s">
        <v>1762</v>
      </c>
      <c r="DF6">
        <v>2025</v>
      </c>
      <c r="DG6" t="s">
        <v>3326</v>
      </c>
      <c r="DH6" s="6">
        <v>45846</v>
      </c>
      <c r="DI6">
        <v>5</v>
      </c>
      <c r="DJ6">
        <v>321288288</v>
      </c>
      <c r="DK6">
        <v>12129192</v>
      </c>
      <c r="DL6" t="s">
        <v>1872</v>
      </c>
      <c r="FY6" t="s">
        <v>1112</v>
      </c>
      <c r="FZ6" t="s">
        <v>1786</v>
      </c>
      <c r="GA6">
        <v>11</v>
      </c>
      <c r="GB6">
        <v>2.6129229999999999</v>
      </c>
      <c r="GC6" t="s">
        <v>1745</v>
      </c>
      <c r="GD6">
        <v>2025</v>
      </c>
      <c r="GE6" t="s">
        <v>3127</v>
      </c>
      <c r="GF6" s="6">
        <v>46072</v>
      </c>
      <c r="GG6">
        <v>5</v>
      </c>
      <c r="GH6">
        <v>624750000</v>
      </c>
      <c r="GI6">
        <v>101068</v>
      </c>
      <c r="GJ6" t="s">
        <v>3128</v>
      </c>
      <c r="GM6" t="s">
        <v>3667</v>
      </c>
      <c r="GN6">
        <v>-2.4245362661989844E-14</v>
      </c>
      <c r="GP6">
        <v>-2.4245362661989844E-14</v>
      </c>
      <c r="GQ6" t="s">
        <v>1745</v>
      </c>
      <c r="GR6">
        <v>2026</v>
      </c>
      <c r="GS6" t="s">
        <v>3668</v>
      </c>
      <c r="GT6" s="6">
        <v>46076</v>
      </c>
      <c r="GU6">
        <v>5</v>
      </c>
      <c r="GV6">
        <v>-2.4245362661989844E-14</v>
      </c>
      <c r="GW6">
        <v>70451011</v>
      </c>
      <c r="GX6" t="s">
        <v>3669</v>
      </c>
      <c r="HC6" t="s">
        <v>2383</v>
      </c>
      <c r="HD6" t="s">
        <v>1820</v>
      </c>
      <c r="HE6">
        <v>5.2401160000000004</v>
      </c>
      <c r="HF6">
        <v>17.831610000000001</v>
      </c>
      <c r="HG6" t="s">
        <v>1762</v>
      </c>
      <c r="HH6">
        <v>2025</v>
      </c>
      <c r="HI6" t="s">
        <v>2384</v>
      </c>
      <c r="HJ6" s="6">
        <v>45889</v>
      </c>
      <c r="HK6">
        <v>5</v>
      </c>
      <c r="HL6">
        <v>3047941433.54</v>
      </c>
      <c r="HM6">
        <v>119133</v>
      </c>
      <c r="HN6" t="s">
        <v>2385</v>
      </c>
      <c r="HQ6" t="s">
        <v>1409</v>
      </c>
      <c r="HR6">
        <v>0.67946300000000004</v>
      </c>
      <c r="HS6" t="s">
        <v>1786</v>
      </c>
      <c r="HT6">
        <v>32</v>
      </c>
      <c r="HU6" t="s">
        <v>1745</v>
      </c>
      <c r="HV6">
        <v>2025</v>
      </c>
      <c r="HW6" t="s">
        <v>2524</v>
      </c>
      <c r="HX6" s="6">
        <v>46065</v>
      </c>
      <c r="HY6">
        <v>5</v>
      </c>
      <c r="HZ6">
        <v>518860224</v>
      </c>
      <c r="IA6">
        <v>156637</v>
      </c>
      <c r="IB6" t="s">
        <v>2209</v>
      </c>
      <c r="IG6" t="s">
        <v>5366</v>
      </c>
      <c r="II6">
        <v>-2.4245362661989844E-14</v>
      </c>
      <c r="IJ6">
        <v>-2.4245362661989844E-14</v>
      </c>
      <c r="IK6" t="s">
        <v>1745</v>
      </c>
      <c r="IL6">
        <v>2025</v>
      </c>
      <c r="IM6" t="s">
        <v>5367</v>
      </c>
      <c r="IN6" s="6">
        <v>45960</v>
      </c>
      <c r="IO6">
        <v>3</v>
      </c>
      <c r="IP6">
        <v>-2.4245362661989844E-14</v>
      </c>
      <c r="IQ6">
        <v>71028653</v>
      </c>
      <c r="IR6" t="s">
        <v>5368</v>
      </c>
      <c r="IU6" t="s">
        <v>5226</v>
      </c>
      <c r="IV6">
        <v>8.2245259999999991</v>
      </c>
      <c r="IW6" t="s">
        <v>1769</v>
      </c>
      <c r="IX6">
        <v>38.534247999999998</v>
      </c>
      <c r="IY6" t="s">
        <v>1762</v>
      </c>
      <c r="IZ6">
        <v>2025</v>
      </c>
      <c r="JA6" t="s">
        <v>3224</v>
      </c>
      <c r="JB6" s="6">
        <v>45868</v>
      </c>
      <c r="JC6">
        <v>5</v>
      </c>
      <c r="JD6">
        <v>9417000</v>
      </c>
      <c r="JE6">
        <v>170203</v>
      </c>
      <c r="JF6" t="s">
        <v>5227</v>
      </c>
      <c r="KO6" t="s">
        <v>1379</v>
      </c>
      <c r="KP6" t="s">
        <v>1820</v>
      </c>
      <c r="KQ6">
        <v>7.5029789999999998</v>
      </c>
      <c r="KR6">
        <v>0.72067700000000001</v>
      </c>
      <c r="KS6" t="s">
        <v>1762</v>
      </c>
      <c r="KT6">
        <v>2025</v>
      </c>
      <c r="KU6" t="s">
        <v>2867</v>
      </c>
      <c r="KV6" s="6">
        <v>45929</v>
      </c>
      <c r="KW6">
        <v>5</v>
      </c>
      <c r="KX6">
        <v>28747814</v>
      </c>
      <c r="KY6">
        <v>13070762</v>
      </c>
      <c r="KZ6" t="s">
        <v>2868</v>
      </c>
      <c r="LC6" t="s">
        <v>6430</v>
      </c>
      <c r="LD6">
        <v>15</v>
      </c>
      <c r="LF6">
        <v>-2.4245362661989844E-14</v>
      </c>
      <c r="LG6" t="s">
        <v>1745</v>
      </c>
      <c r="LH6">
        <v>2024</v>
      </c>
      <c r="LI6" t="s">
        <v>2961</v>
      </c>
      <c r="LJ6" s="6">
        <v>45714</v>
      </c>
      <c r="LK6">
        <v>4</v>
      </c>
      <c r="LL6">
        <v>413062496</v>
      </c>
      <c r="LM6">
        <v>25604173</v>
      </c>
      <c r="LN6" t="s">
        <v>6431</v>
      </c>
      <c r="MW6" t="s">
        <v>5950</v>
      </c>
      <c r="MX6" t="s">
        <v>1786</v>
      </c>
      <c r="MY6">
        <v>4.9610760000000003</v>
      </c>
      <c r="MZ6">
        <v>2.6425800000000002</v>
      </c>
      <c r="NA6" t="s">
        <v>1745</v>
      </c>
      <c r="NB6">
        <v>2025</v>
      </c>
      <c r="NC6" t="s">
        <v>6309</v>
      </c>
      <c r="ND6" s="6">
        <v>46080</v>
      </c>
      <c r="NE6">
        <v>5</v>
      </c>
      <c r="NF6">
        <v>3325000</v>
      </c>
      <c r="NG6">
        <v>116723</v>
      </c>
      <c r="NH6" t="s">
        <v>5952</v>
      </c>
      <c r="NK6" t="s">
        <v>2147</v>
      </c>
      <c r="NL6">
        <v>11</v>
      </c>
      <c r="NM6" t="s">
        <v>1786</v>
      </c>
      <c r="NN6">
        <v>0.14960399999999999</v>
      </c>
      <c r="NO6" t="s">
        <v>1745</v>
      </c>
      <c r="NP6">
        <v>2025</v>
      </c>
      <c r="NQ6" t="s">
        <v>6058</v>
      </c>
      <c r="NR6" s="6">
        <v>46077</v>
      </c>
      <c r="NS6">
        <v>5</v>
      </c>
      <c r="NT6">
        <v>117358616</v>
      </c>
      <c r="NU6">
        <v>156969</v>
      </c>
      <c r="NV6" t="s">
        <v>2148</v>
      </c>
      <c r="OA6" t="s">
        <v>2313</v>
      </c>
      <c r="OB6" t="s">
        <v>1820</v>
      </c>
      <c r="OC6">
        <v>3.5808580000000001</v>
      </c>
      <c r="OD6">
        <v>3.236755</v>
      </c>
      <c r="OE6" t="s">
        <v>1762</v>
      </c>
      <c r="OF6">
        <v>2025</v>
      </c>
      <c r="OG6" t="s">
        <v>2314</v>
      </c>
      <c r="OH6" s="6">
        <v>45947</v>
      </c>
      <c r="OI6">
        <v>5</v>
      </c>
      <c r="OJ6">
        <v>275188928</v>
      </c>
      <c r="OK6">
        <v>100010</v>
      </c>
      <c r="OL6" t="s">
        <v>2315</v>
      </c>
      <c r="OO6" t="s">
        <v>1885</v>
      </c>
      <c r="OP6">
        <v>1.3419890000000001</v>
      </c>
      <c r="OQ6" t="s">
        <v>1786</v>
      </c>
      <c r="OR6">
        <v>0.27725100000000003</v>
      </c>
      <c r="OS6" t="s">
        <v>1845</v>
      </c>
      <c r="OT6">
        <v>2025</v>
      </c>
      <c r="OU6" t="s">
        <v>1883</v>
      </c>
      <c r="OV6" s="6">
        <v>45848</v>
      </c>
      <c r="OW6">
        <v>5</v>
      </c>
      <c r="OX6">
        <v>213416512</v>
      </c>
      <c r="OY6">
        <v>216952</v>
      </c>
      <c r="OZ6" t="s">
        <v>1886</v>
      </c>
      <c r="QI6" t="s">
        <v>526</v>
      </c>
      <c r="QJ6" t="s">
        <v>1820</v>
      </c>
      <c r="QK6">
        <v>1.423424</v>
      </c>
      <c r="QL6">
        <v>6.0081470000000001</v>
      </c>
      <c r="QM6" t="s">
        <v>1742</v>
      </c>
      <c r="QN6">
        <v>2025</v>
      </c>
      <c r="QO6" t="s">
        <v>2779</v>
      </c>
      <c r="QP6" s="6">
        <v>45975</v>
      </c>
      <c r="QQ6">
        <v>5</v>
      </c>
      <c r="QR6">
        <v>108627296</v>
      </c>
      <c r="QS6">
        <v>305366</v>
      </c>
      <c r="QT6" t="s">
        <v>2780</v>
      </c>
      <c r="QW6" t="s">
        <v>1833</v>
      </c>
      <c r="QX6">
        <v>0.45574900000000002</v>
      </c>
      <c r="QY6" t="s">
        <v>1786</v>
      </c>
      <c r="QZ6">
        <v>6.0069999999999998E-2</v>
      </c>
      <c r="RA6" t="s">
        <v>1809</v>
      </c>
      <c r="RB6">
        <v>2026</v>
      </c>
      <c r="RC6" t="s">
        <v>1834</v>
      </c>
      <c r="RD6" s="6">
        <v>45898</v>
      </c>
      <c r="RE6">
        <v>5</v>
      </c>
      <c r="RF6">
        <v>12745893.34</v>
      </c>
      <c r="RG6">
        <v>112370</v>
      </c>
      <c r="RH6" t="s">
        <v>1835</v>
      </c>
      <c r="RM6" t="s">
        <v>5599</v>
      </c>
      <c r="RN6" t="s">
        <v>1786</v>
      </c>
      <c r="RO6">
        <v>62</v>
      </c>
      <c r="RP6">
        <v>0.13159599999999999</v>
      </c>
      <c r="RQ6" t="s">
        <v>1745</v>
      </c>
      <c r="RR6">
        <v>2024</v>
      </c>
      <c r="RS6" t="s">
        <v>5600</v>
      </c>
      <c r="RT6" s="6">
        <v>45716</v>
      </c>
      <c r="RU6">
        <v>5</v>
      </c>
      <c r="RV6">
        <v>8896845</v>
      </c>
      <c r="RW6">
        <v>104716</v>
      </c>
      <c r="RX6" t="s">
        <v>5601</v>
      </c>
      <c r="SA6" t="s">
        <v>5515</v>
      </c>
      <c r="SB6">
        <v>-2.4245362661989844E-14</v>
      </c>
      <c r="SD6">
        <v>-2.4245362661989844E-14</v>
      </c>
      <c r="SE6" t="s">
        <v>1798</v>
      </c>
      <c r="SF6">
        <v>2023</v>
      </c>
      <c r="SG6" t="s">
        <v>5516</v>
      </c>
      <c r="SH6" s="6">
        <v>45244</v>
      </c>
      <c r="SI6">
        <v>5</v>
      </c>
      <c r="SJ6">
        <v>-2.4245362661989844E-14</v>
      </c>
      <c r="SK6">
        <v>54146828</v>
      </c>
      <c r="SL6" t="s">
        <v>5517</v>
      </c>
      <c r="TU6" t="s">
        <v>1677</v>
      </c>
      <c r="TV6" t="s">
        <v>1786</v>
      </c>
      <c r="TW6">
        <v>3.0836000000000001</v>
      </c>
      <c r="TX6">
        <v>1.90262</v>
      </c>
      <c r="TY6" t="s">
        <v>1762</v>
      </c>
      <c r="TZ6">
        <v>2025</v>
      </c>
      <c r="UA6" t="s">
        <v>2465</v>
      </c>
      <c r="UB6" s="6">
        <v>45912</v>
      </c>
      <c r="UC6">
        <v>5</v>
      </c>
      <c r="UD6">
        <v>45853132</v>
      </c>
      <c r="UE6">
        <v>101455</v>
      </c>
      <c r="UF6" t="s">
        <v>3269</v>
      </c>
      <c r="UI6" t="s">
        <v>3327</v>
      </c>
      <c r="UJ6">
        <v>-2.4245362661989844E-14</v>
      </c>
      <c r="UL6">
        <v>-2.4245362661989844E-14</v>
      </c>
      <c r="UM6" t="s">
        <v>1742</v>
      </c>
      <c r="UN6">
        <v>2025</v>
      </c>
      <c r="UO6" t="s">
        <v>3328</v>
      </c>
      <c r="UP6" s="6">
        <v>45967</v>
      </c>
      <c r="UQ6">
        <v>5</v>
      </c>
      <c r="UR6">
        <v>-2.4245362661989844E-14</v>
      </c>
      <c r="US6">
        <v>50955988</v>
      </c>
      <c r="UT6" t="s">
        <v>3329</v>
      </c>
      <c r="VM6" t="s">
        <v>246</v>
      </c>
      <c r="VN6">
        <v>-2.4245362661989844E-14</v>
      </c>
      <c r="VP6">
        <v>-2.4245362661989844E-14</v>
      </c>
      <c r="VQ6" t="s">
        <v>1745</v>
      </c>
      <c r="VR6">
        <v>2023</v>
      </c>
      <c r="VS6" t="s">
        <v>3154</v>
      </c>
      <c r="VT6" s="6">
        <v>44943</v>
      </c>
      <c r="VU6">
        <v>3</v>
      </c>
      <c r="VV6">
        <v>-2.4245362661989844E-14</v>
      </c>
      <c r="VW6">
        <v>46946968</v>
      </c>
      <c r="VX6" t="s">
        <v>1765</v>
      </c>
    </row>
    <row r="7" spans="1:600" x14ac:dyDescent="0.25">
      <c r="AE7" t="s">
        <v>3871</v>
      </c>
      <c r="AF7" t="s">
        <v>1769</v>
      </c>
      <c r="AG7">
        <v>1.242119</v>
      </c>
      <c r="AH7">
        <v>1.6577379999999999</v>
      </c>
      <c r="AI7" t="s">
        <v>1845</v>
      </c>
      <c r="AJ7">
        <v>2025</v>
      </c>
      <c r="AK7" t="s">
        <v>3872</v>
      </c>
      <c r="AL7" s="6">
        <v>45796</v>
      </c>
      <c r="AM7">
        <v>5</v>
      </c>
      <c r="AN7">
        <v>43459294.869999997</v>
      </c>
      <c r="AO7">
        <v>995671</v>
      </c>
      <c r="AP7" t="s">
        <v>3873</v>
      </c>
      <c r="AS7" t="s">
        <v>115</v>
      </c>
      <c r="AT7">
        <v>1.049579</v>
      </c>
      <c r="AU7" t="s">
        <v>1786</v>
      </c>
      <c r="AV7">
        <v>0.30361300000000002</v>
      </c>
      <c r="AW7" t="s">
        <v>1742</v>
      </c>
      <c r="AX7">
        <v>2025</v>
      </c>
      <c r="AY7" t="s">
        <v>1821</v>
      </c>
      <c r="AZ7" s="6">
        <v>46007</v>
      </c>
      <c r="BA7">
        <v>5</v>
      </c>
      <c r="BB7">
        <v>224767344</v>
      </c>
      <c r="BC7">
        <v>154936</v>
      </c>
      <c r="BD7" t="s">
        <v>2146</v>
      </c>
      <c r="CM7" t="s">
        <v>2310</v>
      </c>
      <c r="CN7" t="s">
        <v>1786</v>
      </c>
      <c r="CO7">
        <v>0.484518</v>
      </c>
      <c r="CP7">
        <v>5.1271760000000004</v>
      </c>
      <c r="CQ7" t="s">
        <v>1845</v>
      </c>
      <c r="CR7">
        <v>2026</v>
      </c>
      <c r="CS7" t="s">
        <v>2311</v>
      </c>
      <c r="CT7" s="6">
        <v>46087</v>
      </c>
      <c r="CU7">
        <v>5</v>
      </c>
      <c r="CV7">
        <v>330087584</v>
      </c>
      <c r="CW7">
        <v>313657</v>
      </c>
      <c r="CX7" t="s">
        <v>2312</v>
      </c>
      <c r="DA7" t="s">
        <v>357</v>
      </c>
      <c r="DB7">
        <v>3.7042269999999999</v>
      </c>
      <c r="DC7" t="s">
        <v>1786</v>
      </c>
      <c r="DD7">
        <v>2.2152959999999999</v>
      </c>
      <c r="DE7" t="s">
        <v>1845</v>
      </c>
      <c r="DF7">
        <v>2025</v>
      </c>
      <c r="DG7" t="s">
        <v>1887</v>
      </c>
      <c r="DH7" s="6">
        <v>46056</v>
      </c>
      <c r="DI7">
        <v>5</v>
      </c>
      <c r="DJ7">
        <v>358532160</v>
      </c>
      <c r="DK7">
        <v>1499717</v>
      </c>
      <c r="DL7" t="s">
        <v>1864</v>
      </c>
      <c r="FY7" t="s">
        <v>3129</v>
      </c>
      <c r="FZ7" t="s">
        <v>1786</v>
      </c>
      <c r="GA7">
        <v>20</v>
      </c>
      <c r="GB7">
        <v>1.2621329999999999</v>
      </c>
      <c r="GC7" t="s">
        <v>1745</v>
      </c>
      <c r="GD7">
        <v>2024</v>
      </c>
      <c r="GE7" t="s">
        <v>3130</v>
      </c>
      <c r="GF7" s="6">
        <v>45742</v>
      </c>
      <c r="GG7">
        <v>5</v>
      </c>
      <c r="GH7">
        <v>289649984</v>
      </c>
      <c r="GI7">
        <v>71080909</v>
      </c>
      <c r="GJ7" t="s">
        <v>3131</v>
      </c>
      <c r="GM7" t="s">
        <v>3670</v>
      </c>
      <c r="GN7">
        <v>-2.4245362661989844E-14</v>
      </c>
      <c r="GP7">
        <v>-2.4245362661989844E-14</v>
      </c>
      <c r="GQ7" t="s">
        <v>1745</v>
      </c>
      <c r="GR7">
        <v>2023</v>
      </c>
      <c r="GS7" t="s">
        <v>3671</v>
      </c>
      <c r="GT7" s="6">
        <v>45196</v>
      </c>
      <c r="GU7">
        <v>5</v>
      </c>
      <c r="GV7">
        <v>-2.4245362661989844E-14</v>
      </c>
      <c r="GW7">
        <v>7362545</v>
      </c>
      <c r="GX7" t="s">
        <v>3672</v>
      </c>
      <c r="HC7" t="s">
        <v>2944</v>
      </c>
      <c r="HD7" t="s">
        <v>1820</v>
      </c>
      <c r="HE7">
        <v>8.8760320000000004</v>
      </c>
      <c r="HF7">
        <v>5.0127040000000003</v>
      </c>
      <c r="HG7" t="s">
        <v>1742</v>
      </c>
      <c r="HH7">
        <v>2025</v>
      </c>
      <c r="HI7" t="s">
        <v>2945</v>
      </c>
      <c r="HJ7" s="6">
        <v>46080</v>
      </c>
      <c r="HK7">
        <v>5</v>
      </c>
      <c r="HL7">
        <v>1565479588.27</v>
      </c>
      <c r="HM7">
        <v>193974</v>
      </c>
      <c r="HN7" t="s">
        <v>2946</v>
      </c>
      <c r="HQ7" t="s">
        <v>2525</v>
      </c>
      <c r="HR7">
        <v>0.257766</v>
      </c>
      <c r="HS7" t="s">
        <v>1786</v>
      </c>
      <c r="HT7">
        <v>3.7523520000000001</v>
      </c>
      <c r="HU7" t="s">
        <v>1762</v>
      </c>
      <c r="HV7">
        <v>2025</v>
      </c>
      <c r="HW7" t="s">
        <v>2526</v>
      </c>
      <c r="HX7" s="6">
        <v>45910</v>
      </c>
      <c r="HY7">
        <v>5</v>
      </c>
      <c r="HZ7">
        <v>197200308.5</v>
      </c>
      <c r="IA7">
        <v>193775</v>
      </c>
      <c r="IB7" t="s">
        <v>2527</v>
      </c>
      <c r="IG7" t="s">
        <v>5369</v>
      </c>
      <c r="II7">
        <v>-2.4245362661989844E-14</v>
      </c>
      <c r="IJ7">
        <v>-2.4245362661989844E-14</v>
      </c>
      <c r="IK7" t="s">
        <v>1762</v>
      </c>
      <c r="IL7">
        <v>2025</v>
      </c>
      <c r="IM7" t="s">
        <v>3224</v>
      </c>
      <c r="IN7" s="6">
        <v>45868</v>
      </c>
      <c r="IO7">
        <v>3</v>
      </c>
      <c r="IP7">
        <v>-2.4245362661989844E-14</v>
      </c>
      <c r="IQ7">
        <v>1161101</v>
      </c>
      <c r="IR7" t="s">
        <v>5370</v>
      </c>
      <c r="IU7" t="s">
        <v>246</v>
      </c>
      <c r="IV7">
        <v>5.8</v>
      </c>
      <c r="IW7" t="s">
        <v>1769</v>
      </c>
      <c r="IX7">
        <v>5.3948000000000003E-2</v>
      </c>
      <c r="IY7" t="s">
        <v>1762</v>
      </c>
      <c r="IZ7">
        <v>2025</v>
      </c>
      <c r="JA7" t="s">
        <v>3224</v>
      </c>
      <c r="JB7" s="6">
        <v>45868</v>
      </c>
      <c r="JC7">
        <v>5</v>
      </c>
      <c r="JD7">
        <v>6640942</v>
      </c>
      <c r="JE7">
        <v>46946968</v>
      </c>
      <c r="JF7" t="s">
        <v>1765</v>
      </c>
      <c r="KO7" t="s">
        <v>4096</v>
      </c>
      <c r="KP7" t="s">
        <v>1786</v>
      </c>
      <c r="KQ7">
        <v>15</v>
      </c>
      <c r="KR7">
        <v>0.40040399999999998</v>
      </c>
      <c r="KS7" t="s">
        <v>1745</v>
      </c>
      <c r="KT7">
        <v>2024</v>
      </c>
      <c r="KU7" t="s">
        <v>4470</v>
      </c>
      <c r="KV7" s="6">
        <v>45708</v>
      </c>
      <c r="KW7">
        <v>5</v>
      </c>
      <c r="KX7">
        <v>6057112.5</v>
      </c>
      <c r="KY7">
        <v>8016379</v>
      </c>
      <c r="KZ7" t="s">
        <v>4098</v>
      </c>
      <c r="LC7" t="s">
        <v>3534</v>
      </c>
      <c r="LD7">
        <v>13</v>
      </c>
      <c r="LE7" t="s">
        <v>1786</v>
      </c>
      <c r="LF7">
        <v>0.67704799999999998</v>
      </c>
      <c r="LG7" t="s">
        <v>1745</v>
      </c>
      <c r="LH7">
        <v>2024</v>
      </c>
      <c r="LI7" t="s">
        <v>2961</v>
      </c>
      <c r="LJ7" s="6">
        <v>45714</v>
      </c>
      <c r="LK7">
        <v>4</v>
      </c>
      <c r="LL7">
        <v>357987488</v>
      </c>
      <c r="LM7">
        <v>9268711</v>
      </c>
      <c r="LN7" t="s">
        <v>3536</v>
      </c>
      <c r="MW7" t="s">
        <v>5278</v>
      </c>
      <c r="MX7" t="s">
        <v>1786</v>
      </c>
      <c r="MY7">
        <v>3.9069E-2</v>
      </c>
      <c r="MZ7">
        <v>1.1530389999999999</v>
      </c>
      <c r="NA7" t="s">
        <v>1762</v>
      </c>
      <c r="NB7">
        <v>2025</v>
      </c>
      <c r="NC7" t="s">
        <v>5279</v>
      </c>
      <c r="ND7" s="6">
        <v>45959</v>
      </c>
      <c r="NE7">
        <v>5</v>
      </c>
      <c r="NF7">
        <v>1340082.6399999999</v>
      </c>
      <c r="NG7">
        <v>113332</v>
      </c>
      <c r="NH7" t="s">
        <v>5280</v>
      </c>
      <c r="NK7" t="s">
        <v>115</v>
      </c>
      <c r="NL7">
        <v>10</v>
      </c>
      <c r="NM7" t="s">
        <v>1786</v>
      </c>
      <c r="NN7">
        <v>0.111189</v>
      </c>
      <c r="NO7" t="s">
        <v>1745</v>
      </c>
      <c r="NP7">
        <v>2025</v>
      </c>
      <c r="NQ7" t="s">
        <v>6058</v>
      </c>
      <c r="NR7" s="6">
        <v>46077</v>
      </c>
      <c r="NS7">
        <v>5</v>
      </c>
      <c r="NT7">
        <v>106689648</v>
      </c>
      <c r="NU7">
        <v>154936</v>
      </c>
      <c r="NV7" t="s">
        <v>2146</v>
      </c>
      <c r="OA7" t="s">
        <v>2076</v>
      </c>
      <c r="OB7" t="s">
        <v>1820</v>
      </c>
      <c r="OC7">
        <v>0.91127400000000003</v>
      </c>
      <c r="OD7">
        <v>1.364298</v>
      </c>
      <c r="OE7" t="s">
        <v>1845</v>
      </c>
      <c r="OF7">
        <v>2025</v>
      </c>
      <c r="OG7" t="s">
        <v>2316</v>
      </c>
      <c r="OH7" s="6">
        <v>46010</v>
      </c>
      <c r="OI7">
        <v>5</v>
      </c>
      <c r="OJ7">
        <v>164166016</v>
      </c>
      <c r="OK7">
        <v>59907412</v>
      </c>
      <c r="OL7" t="s">
        <v>2077</v>
      </c>
      <c r="OO7" t="s">
        <v>357</v>
      </c>
      <c r="OP7">
        <v>1.0301469999999999</v>
      </c>
      <c r="OQ7" t="s">
        <v>1786</v>
      </c>
      <c r="OR7">
        <v>1.0221020000000001</v>
      </c>
      <c r="OS7" t="s">
        <v>1845</v>
      </c>
      <c r="OT7">
        <v>2025</v>
      </c>
      <c r="OU7" t="s">
        <v>1887</v>
      </c>
      <c r="OV7" s="6">
        <v>46056</v>
      </c>
      <c r="OW7">
        <v>5</v>
      </c>
      <c r="OX7">
        <v>165420976</v>
      </c>
      <c r="OY7">
        <v>1499717</v>
      </c>
      <c r="OZ7" t="s">
        <v>1864</v>
      </c>
      <c r="QI7" t="s">
        <v>5715</v>
      </c>
      <c r="QJ7" t="s">
        <v>1820</v>
      </c>
      <c r="QK7">
        <v>0.90049999999999997</v>
      </c>
      <c r="QL7">
        <v>1.570532</v>
      </c>
      <c r="QM7" t="s">
        <v>1809</v>
      </c>
      <c r="QN7">
        <v>2025</v>
      </c>
      <c r="QO7" t="s">
        <v>5716</v>
      </c>
      <c r="QP7" s="6">
        <v>45800</v>
      </c>
      <c r="QQ7">
        <v>5</v>
      </c>
      <c r="QR7">
        <v>19690965.510000002</v>
      </c>
      <c r="QS7">
        <v>117928</v>
      </c>
      <c r="QT7" t="s">
        <v>5717</v>
      </c>
      <c r="QW7" t="s">
        <v>2358</v>
      </c>
      <c r="QX7">
        <v>0.25919300000000001</v>
      </c>
      <c r="QY7" t="s">
        <v>1786</v>
      </c>
      <c r="QZ7">
        <v>0.198653</v>
      </c>
      <c r="RA7" t="s">
        <v>1745</v>
      </c>
      <c r="RB7">
        <v>2024</v>
      </c>
      <c r="RC7" t="s">
        <v>2359</v>
      </c>
      <c r="RD7" s="6">
        <v>45854</v>
      </c>
      <c r="RE7">
        <v>5</v>
      </c>
      <c r="RF7">
        <v>8179342.8499999996</v>
      </c>
      <c r="RG7">
        <v>154566</v>
      </c>
      <c r="RH7" t="s">
        <v>2360</v>
      </c>
      <c r="RM7" t="s">
        <v>3946</v>
      </c>
      <c r="RN7" t="s">
        <v>1769</v>
      </c>
      <c r="RO7">
        <v>6.4</v>
      </c>
      <c r="RP7">
        <v>3.3217000000000003E-2</v>
      </c>
      <c r="RQ7" t="s">
        <v>1745</v>
      </c>
      <c r="RR7">
        <v>2024</v>
      </c>
      <c r="RS7" t="s">
        <v>3947</v>
      </c>
      <c r="RT7" s="6">
        <v>45754</v>
      </c>
      <c r="RU7">
        <v>5</v>
      </c>
      <c r="RV7">
        <v>2255408</v>
      </c>
      <c r="RW7">
        <v>65193455</v>
      </c>
      <c r="RX7" t="s">
        <v>3948</v>
      </c>
      <c r="SA7" t="s">
        <v>3848</v>
      </c>
      <c r="SB7">
        <v>-2.4245362661989844E-14</v>
      </c>
      <c r="SD7">
        <v>-2.4245362661989844E-14</v>
      </c>
      <c r="SE7" t="s">
        <v>1745</v>
      </c>
      <c r="SF7">
        <v>2021</v>
      </c>
      <c r="SG7" t="s">
        <v>5518</v>
      </c>
      <c r="SH7" s="6">
        <v>44694</v>
      </c>
      <c r="SI7">
        <v>5</v>
      </c>
      <c r="SJ7">
        <v>-2.4245362661989844E-14</v>
      </c>
      <c r="SK7">
        <v>17392177</v>
      </c>
      <c r="SL7" t="s">
        <v>3850</v>
      </c>
      <c r="TU7" t="s">
        <v>3270</v>
      </c>
      <c r="TV7" t="s">
        <v>1786</v>
      </c>
      <c r="TW7">
        <v>12.7</v>
      </c>
      <c r="TX7">
        <v>1.8900570000000001</v>
      </c>
      <c r="TY7" t="s">
        <v>1745</v>
      </c>
      <c r="TZ7">
        <v>2025</v>
      </c>
      <c r="UA7" t="s">
        <v>3271</v>
      </c>
      <c r="UB7" s="6">
        <v>45800</v>
      </c>
      <c r="UC7">
        <v>5</v>
      </c>
      <c r="UD7">
        <v>44533644.140000001</v>
      </c>
      <c r="UE7">
        <v>7914750</v>
      </c>
      <c r="UF7" t="s">
        <v>3272</v>
      </c>
      <c r="UI7" t="s">
        <v>3330</v>
      </c>
      <c r="UJ7">
        <v>-2.4245362661989844E-14</v>
      </c>
      <c r="UL7">
        <v>-2.4245362661989844E-14</v>
      </c>
      <c r="UM7" t="s">
        <v>1762</v>
      </c>
      <c r="UN7">
        <v>2024</v>
      </c>
      <c r="UO7" t="s">
        <v>3331</v>
      </c>
      <c r="UP7" s="6">
        <v>45546</v>
      </c>
      <c r="UQ7">
        <v>5</v>
      </c>
      <c r="UR7">
        <v>-2.4245362661989844E-14</v>
      </c>
      <c r="US7">
        <v>27386014</v>
      </c>
      <c r="UT7" t="s">
        <v>3332</v>
      </c>
      <c r="VM7" t="s">
        <v>1044</v>
      </c>
      <c r="VN7">
        <v>-2.4245362661989844E-14</v>
      </c>
      <c r="VP7">
        <v>-2.4245362661989844E-14</v>
      </c>
      <c r="VQ7" t="s">
        <v>1745</v>
      </c>
      <c r="VR7">
        <v>2025</v>
      </c>
      <c r="VS7" t="s">
        <v>3154</v>
      </c>
      <c r="VT7" s="6">
        <v>46007</v>
      </c>
      <c r="VU7">
        <v>3</v>
      </c>
      <c r="VV7">
        <v>-2.4245362661989844E-14</v>
      </c>
      <c r="VW7">
        <v>107071</v>
      </c>
      <c r="VX7" t="s">
        <v>3156</v>
      </c>
    </row>
    <row r="8" spans="1:600" x14ac:dyDescent="0.25">
      <c r="AE8" t="s">
        <v>2826</v>
      </c>
      <c r="AF8" t="s">
        <v>1786</v>
      </c>
      <c r="AG8">
        <v>1.1817230000000001</v>
      </c>
      <c r="AH8">
        <v>0.21010799999999999</v>
      </c>
      <c r="AI8" t="s">
        <v>1809</v>
      </c>
      <c r="AJ8">
        <v>2025</v>
      </c>
      <c r="AK8" t="s">
        <v>2827</v>
      </c>
      <c r="AL8" s="6">
        <v>45849</v>
      </c>
      <c r="AM8">
        <v>5</v>
      </c>
      <c r="AN8">
        <v>36262250.200000003</v>
      </c>
      <c r="AO8">
        <v>179551</v>
      </c>
      <c r="AP8" t="s">
        <v>2828</v>
      </c>
      <c r="AS8" t="s">
        <v>357</v>
      </c>
      <c r="AT8">
        <v>1.024241</v>
      </c>
      <c r="AU8" t="s">
        <v>1786</v>
      </c>
      <c r="AV8">
        <v>1.5105029999999999</v>
      </c>
      <c r="AW8" t="s">
        <v>1742</v>
      </c>
      <c r="AX8">
        <v>2025</v>
      </c>
      <c r="AY8" t="s">
        <v>1821</v>
      </c>
      <c r="AZ8" s="6">
        <v>46007</v>
      </c>
      <c r="BA8">
        <v>5</v>
      </c>
      <c r="BB8">
        <v>219341216</v>
      </c>
      <c r="BC8">
        <v>1499717</v>
      </c>
      <c r="BD8" t="s">
        <v>1864</v>
      </c>
      <c r="CM8" t="s">
        <v>2383</v>
      </c>
      <c r="CN8" t="s">
        <v>1786</v>
      </c>
      <c r="CO8">
        <v>0.49171399999999998</v>
      </c>
      <c r="CP8">
        <v>4.9231530000000001</v>
      </c>
      <c r="CQ8" t="s">
        <v>1762</v>
      </c>
      <c r="CR8">
        <v>2025</v>
      </c>
      <c r="CS8" t="s">
        <v>2384</v>
      </c>
      <c r="CT8" s="6">
        <v>45889</v>
      </c>
      <c r="CU8">
        <v>5</v>
      </c>
      <c r="CV8">
        <v>286008065.88</v>
      </c>
      <c r="CW8">
        <v>119133</v>
      </c>
      <c r="CX8" t="s">
        <v>2385</v>
      </c>
      <c r="DA8" t="s">
        <v>5737</v>
      </c>
      <c r="DB8">
        <v>2.2282519999999999</v>
      </c>
      <c r="DC8" t="s">
        <v>1786</v>
      </c>
      <c r="DD8">
        <v>0.82639099999999999</v>
      </c>
      <c r="DE8" t="s">
        <v>1762</v>
      </c>
      <c r="DF8">
        <v>2025</v>
      </c>
      <c r="DG8" t="s">
        <v>3326</v>
      </c>
      <c r="DH8" s="6">
        <v>45846</v>
      </c>
      <c r="DI8">
        <v>5</v>
      </c>
      <c r="DJ8">
        <v>169948784</v>
      </c>
      <c r="DK8">
        <v>52332183</v>
      </c>
      <c r="DL8" t="s">
        <v>5738</v>
      </c>
      <c r="FY8" t="s">
        <v>34</v>
      </c>
      <c r="FZ8" t="s">
        <v>1786</v>
      </c>
      <c r="GA8">
        <v>0.35996400000000001</v>
      </c>
      <c r="GB8">
        <v>0.24259500000000001</v>
      </c>
      <c r="GC8" t="s">
        <v>1845</v>
      </c>
      <c r="GD8">
        <v>2025</v>
      </c>
      <c r="GE8" t="s">
        <v>1883</v>
      </c>
      <c r="GF8" s="6">
        <v>45848</v>
      </c>
      <c r="GG8">
        <v>5</v>
      </c>
      <c r="GH8">
        <v>57245076</v>
      </c>
      <c r="GI8">
        <v>101752</v>
      </c>
      <c r="GJ8" t="s">
        <v>2723</v>
      </c>
      <c r="GM8" t="s">
        <v>1801</v>
      </c>
      <c r="GN8">
        <v>-2.4245362661989844E-14</v>
      </c>
      <c r="GP8">
        <v>-2.4245362661989844E-14</v>
      </c>
      <c r="GQ8" t="s">
        <v>1745</v>
      </c>
      <c r="GR8">
        <v>2023</v>
      </c>
      <c r="GS8" t="s">
        <v>3671</v>
      </c>
      <c r="GT8" s="6">
        <v>45196</v>
      </c>
      <c r="GU8">
        <v>5</v>
      </c>
      <c r="GV8">
        <v>-2.4245362661989844E-14</v>
      </c>
      <c r="GW8">
        <v>218252</v>
      </c>
      <c r="GX8" t="s">
        <v>1803</v>
      </c>
      <c r="HC8" t="s">
        <v>4392</v>
      </c>
      <c r="HD8" t="s">
        <v>1786</v>
      </c>
      <c r="HE8">
        <v>10.491263999999999</v>
      </c>
      <c r="HF8">
        <v>3.784764</v>
      </c>
      <c r="HG8" t="s">
        <v>1762</v>
      </c>
      <c r="HH8">
        <v>2025</v>
      </c>
      <c r="HI8" t="s">
        <v>4393</v>
      </c>
      <c r="HJ8" s="6">
        <v>45891</v>
      </c>
      <c r="HK8">
        <v>5</v>
      </c>
      <c r="HL8">
        <v>909613718.26999998</v>
      </c>
      <c r="HM8">
        <v>12279743</v>
      </c>
      <c r="HN8" t="s">
        <v>4394</v>
      </c>
      <c r="HQ8" t="s">
        <v>1873</v>
      </c>
      <c r="HR8">
        <v>0.24043100000000001</v>
      </c>
      <c r="HS8" t="s">
        <v>1786</v>
      </c>
      <c r="HT8">
        <v>7.9492950000000002</v>
      </c>
      <c r="HU8" t="s">
        <v>1762</v>
      </c>
      <c r="HV8">
        <v>2025</v>
      </c>
      <c r="HW8" t="s">
        <v>1874</v>
      </c>
      <c r="HX8" s="6">
        <v>46008</v>
      </c>
      <c r="HY8">
        <v>5</v>
      </c>
      <c r="HZ8">
        <v>184870547.49000001</v>
      </c>
      <c r="IA8">
        <v>349049</v>
      </c>
      <c r="IB8" t="s">
        <v>1875</v>
      </c>
      <c r="IU8" t="s">
        <v>5228</v>
      </c>
      <c r="IV8">
        <v>4.7</v>
      </c>
      <c r="IX8">
        <v>-2.4245362661989844E-14</v>
      </c>
      <c r="IY8" t="s">
        <v>1762</v>
      </c>
      <c r="IZ8">
        <v>2025</v>
      </c>
      <c r="JA8" t="s">
        <v>3224</v>
      </c>
      <c r="JB8" s="6">
        <v>45868</v>
      </c>
      <c r="JC8">
        <v>5</v>
      </c>
      <c r="JD8">
        <v>5381453</v>
      </c>
      <c r="JE8">
        <v>37373368</v>
      </c>
      <c r="JF8" t="s">
        <v>5229</v>
      </c>
      <c r="KO8" t="s">
        <v>4471</v>
      </c>
      <c r="KQ8">
        <v>-2.4245362661989844E-14</v>
      </c>
      <c r="KR8">
        <v>-2.4245362661989844E-14</v>
      </c>
      <c r="KS8" t="s">
        <v>1742</v>
      </c>
      <c r="KT8">
        <v>2024</v>
      </c>
      <c r="KU8" t="s">
        <v>4472</v>
      </c>
      <c r="KV8" s="6">
        <v>45597</v>
      </c>
      <c r="KW8">
        <v>5</v>
      </c>
      <c r="KX8">
        <v>-2.4245362661989844E-14</v>
      </c>
      <c r="KY8">
        <v>13297516</v>
      </c>
      <c r="KZ8" t="s">
        <v>4473</v>
      </c>
      <c r="LC8" t="s">
        <v>976</v>
      </c>
      <c r="LD8">
        <v>11</v>
      </c>
      <c r="LE8" t="s">
        <v>1786</v>
      </c>
      <c r="LF8">
        <v>10.06889</v>
      </c>
      <c r="LG8" t="s">
        <v>1745</v>
      </c>
      <c r="LH8">
        <v>2024</v>
      </c>
      <c r="LI8" t="s">
        <v>2961</v>
      </c>
      <c r="LJ8" s="6">
        <v>45714</v>
      </c>
      <c r="LK8">
        <v>4</v>
      </c>
      <c r="LL8">
        <v>302912512</v>
      </c>
      <c r="LM8">
        <v>52606712</v>
      </c>
      <c r="LN8" t="s">
        <v>6432</v>
      </c>
      <c r="MW8" t="s">
        <v>6310</v>
      </c>
      <c r="MX8" t="s">
        <v>2416</v>
      </c>
      <c r="MY8">
        <v>0.30880800000000003</v>
      </c>
      <c r="MZ8">
        <v>0.12886600000000001</v>
      </c>
      <c r="NA8" t="s">
        <v>1809</v>
      </c>
      <c r="NB8">
        <v>2025</v>
      </c>
      <c r="NC8" t="s">
        <v>6311</v>
      </c>
      <c r="ND8" s="6">
        <v>45775</v>
      </c>
      <c r="NE8">
        <v>5</v>
      </c>
      <c r="NF8">
        <v>309923</v>
      </c>
      <c r="NG8">
        <v>69325080</v>
      </c>
      <c r="NH8" t="s">
        <v>6312</v>
      </c>
      <c r="NK8" t="s">
        <v>236</v>
      </c>
      <c r="NL8">
        <v>7.9299670000000004</v>
      </c>
      <c r="NM8" t="s">
        <v>1786</v>
      </c>
      <c r="NN8">
        <v>0.13442100000000001</v>
      </c>
      <c r="NO8" t="s">
        <v>1762</v>
      </c>
      <c r="NP8">
        <v>2025</v>
      </c>
      <c r="NQ8" t="s">
        <v>6059</v>
      </c>
      <c r="NR8" s="6">
        <v>45960</v>
      </c>
      <c r="NS8">
        <v>5</v>
      </c>
      <c r="NT8">
        <v>82924616</v>
      </c>
      <c r="NU8">
        <v>102782</v>
      </c>
      <c r="NV8" t="s">
        <v>2149</v>
      </c>
      <c r="OA8" t="s">
        <v>2317</v>
      </c>
      <c r="OB8" t="s">
        <v>1820</v>
      </c>
      <c r="OC8">
        <v>6.234559</v>
      </c>
      <c r="OD8">
        <v>1.5138720000000001</v>
      </c>
      <c r="OE8" t="s">
        <v>1762</v>
      </c>
      <c r="OF8">
        <v>2025</v>
      </c>
      <c r="OG8" t="s">
        <v>2318</v>
      </c>
      <c r="OH8" s="6">
        <v>45897</v>
      </c>
      <c r="OI8">
        <v>5</v>
      </c>
      <c r="OJ8">
        <v>137459552</v>
      </c>
      <c r="OK8">
        <v>16532368</v>
      </c>
      <c r="OL8" t="s">
        <v>2319</v>
      </c>
      <c r="OO8" t="s">
        <v>496</v>
      </c>
      <c r="OP8">
        <v>0.69902799999999998</v>
      </c>
      <c r="OQ8" t="s">
        <v>1786</v>
      </c>
      <c r="OR8">
        <v>0.138625</v>
      </c>
      <c r="OS8" t="s">
        <v>1845</v>
      </c>
      <c r="OT8">
        <v>2025</v>
      </c>
      <c r="OU8" t="s">
        <v>1883</v>
      </c>
      <c r="OV8" s="6">
        <v>45848</v>
      </c>
      <c r="OW8">
        <v>5</v>
      </c>
      <c r="OX8">
        <v>111166424</v>
      </c>
      <c r="OY8">
        <v>100976</v>
      </c>
      <c r="OZ8" t="s">
        <v>1888</v>
      </c>
      <c r="QI8" t="s">
        <v>2750</v>
      </c>
      <c r="QJ8" t="s">
        <v>1786</v>
      </c>
      <c r="QK8">
        <v>3.202E-3</v>
      </c>
      <c r="QL8">
        <v>7.4029999999999999E-3</v>
      </c>
      <c r="QM8" t="s">
        <v>1798</v>
      </c>
      <c r="QN8">
        <v>2025</v>
      </c>
      <c r="QO8" t="s">
        <v>5718</v>
      </c>
      <c r="QP8" s="6">
        <v>45975</v>
      </c>
      <c r="QQ8">
        <v>5</v>
      </c>
      <c r="QR8">
        <v>185541.95</v>
      </c>
      <c r="QS8">
        <v>1456300</v>
      </c>
      <c r="QT8" t="s">
        <v>2752</v>
      </c>
      <c r="QW8" t="s">
        <v>2361</v>
      </c>
      <c r="QX8">
        <v>0.20505100000000001</v>
      </c>
      <c r="QY8" t="s">
        <v>1786</v>
      </c>
      <c r="QZ8">
        <v>0.29925099999999999</v>
      </c>
      <c r="RA8" t="s">
        <v>1762</v>
      </c>
      <c r="RB8">
        <v>2025</v>
      </c>
      <c r="RC8" t="s">
        <v>2362</v>
      </c>
      <c r="RD8" s="6">
        <v>45744</v>
      </c>
      <c r="RE8">
        <v>5</v>
      </c>
      <c r="RF8">
        <v>6257816.1600000001</v>
      </c>
      <c r="RG8">
        <v>116954</v>
      </c>
      <c r="RH8" t="s">
        <v>2363</v>
      </c>
      <c r="RM8" t="s">
        <v>5602</v>
      </c>
      <c r="RN8" t="s">
        <v>1820</v>
      </c>
      <c r="RO8">
        <v>0.39252500000000001</v>
      </c>
      <c r="RP8">
        <v>0.173516</v>
      </c>
      <c r="RQ8" t="s">
        <v>1762</v>
      </c>
      <c r="RR8">
        <v>2025</v>
      </c>
      <c r="RS8" t="s">
        <v>5603</v>
      </c>
      <c r="RT8" s="6">
        <v>45867</v>
      </c>
      <c r="RU8">
        <v>5</v>
      </c>
      <c r="RV8">
        <v>865843</v>
      </c>
      <c r="RW8">
        <v>55299068</v>
      </c>
      <c r="RX8" t="s">
        <v>5604</v>
      </c>
      <c r="SA8" t="s">
        <v>5519</v>
      </c>
      <c r="SB8">
        <v>-2.4245362661989844E-14</v>
      </c>
      <c r="SD8">
        <v>-2.4245362661989844E-14</v>
      </c>
      <c r="SE8" t="s">
        <v>1745</v>
      </c>
      <c r="SF8">
        <v>2024</v>
      </c>
      <c r="SG8" t="s">
        <v>5520</v>
      </c>
      <c r="SH8" s="6">
        <v>45772</v>
      </c>
      <c r="SI8">
        <v>5</v>
      </c>
      <c r="SJ8">
        <v>-2.4245362661989844E-14</v>
      </c>
      <c r="SK8">
        <v>7610249</v>
      </c>
      <c r="SL8" t="s">
        <v>5521</v>
      </c>
      <c r="TU8" t="s">
        <v>3273</v>
      </c>
      <c r="TV8" t="s">
        <v>1786</v>
      </c>
      <c r="TW8">
        <v>1.4937910000000001</v>
      </c>
      <c r="TX8">
        <v>1.4965649999999999</v>
      </c>
      <c r="TY8" t="s">
        <v>1762</v>
      </c>
      <c r="TZ8">
        <v>2025</v>
      </c>
      <c r="UA8" t="s">
        <v>3274</v>
      </c>
      <c r="UB8" s="6">
        <v>45881</v>
      </c>
      <c r="UC8">
        <v>5</v>
      </c>
      <c r="UD8">
        <v>36067208</v>
      </c>
      <c r="UE8">
        <v>105941</v>
      </c>
      <c r="UF8" t="s">
        <v>3275</v>
      </c>
      <c r="UI8" t="s">
        <v>3333</v>
      </c>
      <c r="UJ8">
        <v>-2.4245362661989844E-14</v>
      </c>
      <c r="UL8">
        <v>-2.4245362661989844E-14</v>
      </c>
      <c r="UM8" t="s">
        <v>1809</v>
      </c>
      <c r="UN8">
        <v>2025</v>
      </c>
      <c r="UO8" t="s">
        <v>3334</v>
      </c>
      <c r="UP8" s="6">
        <v>45763</v>
      </c>
      <c r="UQ8">
        <v>5</v>
      </c>
      <c r="UR8">
        <v>-2.4245362661989844E-14</v>
      </c>
      <c r="US8">
        <v>181899</v>
      </c>
      <c r="UT8" t="s">
        <v>3335</v>
      </c>
    </row>
    <row r="9" spans="1:600" x14ac:dyDescent="0.25">
      <c r="AE9" t="s">
        <v>4063</v>
      </c>
      <c r="AF9" t="s">
        <v>1786</v>
      </c>
      <c r="AG9">
        <v>3.4743949999999999</v>
      </c>
      <c r="AH9">
        <v>0.200156</v>
      </c>
      <c r="AI9" t="s">
        <v>1742</v>
      </c>
      <c r="AJ9">
        <v>2025</v>
      </c>
      <c r="AK9" t="s">
        <v>1821</v>
      </c>
      <c r="AL9" s="6">
        <v>46007</v>
      </c>
      <c r="AM9">
        <v>5</v>
      </c>
      <c r="AN9">
        <v>34789112</v>
      </c>
      <c r="AO9">
        <v>13421693</v>
      </c>
      <c r="AP9" t="s">
        <v>4064</v>
      </c>
      <c r="AS9" t="s">
        <v>230</v>
      </c>
      <c r="AT9">
        <v>0.92627999999999999</v>
      </c>
      <c r="AU9" t="s">
        <v>1786</v>
      </c>
      <c r="AV9">
        <v>6.9479110000000004</v>
      </c>
      <c r="AW9" t="s">
        <v>1742</v>
      </c>
      <c r="AX9">
        <v>2025</v>
      </c>
      <c r="AY9" t="s">
        <v>1821</v>
      </c>
      <c r="AZ9" s="6">
        <v>46007</v>
      </c>
      <c r="BA9">
        <v>5</v>
      </c>
      <c r="BB9">
        <v>198362864</v>
      </c>
      <c r="BC9">
        <v>100562</v>
      </c>
      <c r="BD9" t="s">
        <v>3483</v>
      </c>
      <c r="CM9" t="s">
        <v>2512</v>
      </c>
      <c r="CN9" t="s">
        <v>1786</v>
      </c>
      <c r="CO9">
        <v>1.087032</v>
      </c>
      <c r="CP9">
        <v>3.6755100000000001</v>
      </c>
      <c r="CQ9" t="s">
        <v>1742</v>
      </c>
      <c r="CR9">
        <v>2025</v>
      </c>
      <c r="CS9" t="s">
        <v>2824</v>
      </c>
      <c r="CT9" s="6">
        <v>45727</v>
      </c>
      <c r="CU9">
        <v>5</v>
      </c>
      <c r="CV9">
        <v>204321584</v>
      </c>
      <c r="CW9">
        <v>130929</v>
      </c>
      <c r="CX9" t="s">
        <v>2513</v>
      </c>
      <c r="DA9" t="s">
        <v>424</v>
      </c>
      <c r="DB9">
        <v>1.7294510000000001</v>
      </c>
      <c r="DC9" t="s">
        <v>1786</v>
      </c>
      <c r="DD9">
        <v>0.60178500000000001</v>
      </c>
      <c r="DE9" t="s">
        <v>1762</v>
      </c>
      <c r="DF9">
        <v>2025</v>
      </c>
      <c r="DG9" t="s">
        <v>3326</v>
      </c>
      <c r="DH9" s="6">
        <v>45846</v>
      </c>
      <c r="DI9">
        <v>5</v>
      </c>
      <c r="DJ9">
        <v>131905232</v>
      </c>
      <c r="DK9">
        <v>101743</v>
      </c>
      <c r="DL9" t="s">
        <v>1891</v>
      </c>
      <c r="FY9" t="s">
        <v>195</v>
      </c>
      <c r="FZ9" t="s">
        <v>1769</v>
      </c>
      <c r="GA9">
        <v>0.60699000000000003</v>
      </c>
      <c r="GB9">
        <v>0.15107200000000001</v>
      </c>
      <c r="GC9" t="s">
        <v>1762</v>
      </c>
      <c r="GD9">
        <v>2025</v>
      </c>
      <c r="GE9" t="s">
        <v>2268</v>
      </c>
      <c r="GF9" s="6">
        <v>45838</v>
      </c>
      <c r="GG9">
        <v>5</v>
      </c>
      <c r="GH9">
        <v>35648524</v>
      </c>
      <c r="GI9">
        <v>101689</v>
      </c>
      <c r="GJ9" t="s">
        <v>2269</v>
      </c>
      <c r="GM9" t="s">
        <v>3673</v>
      </c>
      <c r="GN9">
        <v>-2.4245362661989844E-14</v>
      </c>
      <c r="GP9">
        <v>-2.4245362661989844E-14</v>
      </c>
      <c r="GQ9" t="s">
        <v>1745</v>
      </c>
      <c r="GR9">
        <v>2023</v>
      </c>
      <c r="GS9" t="s">
        <v>3674</v>
      </c>
      <c r="GT9" s="6">
        <v>45189</v>
      </c>
      <c r="GU9">
        <v>5</v>
      </c>
      <c r="GV9">
        <v>-2.4245362661989844E-14</v>
      </c>
      <c r="GW9">
        <v>118666</v>
      </c>
      <c r="GX9" t="s">
        <v>3675</v>
      </c>
      <c r="HC9" t="s">
        <v>4395</v>
      </c>
      <c r="HD9" t="s">
        <v>1786</v>
      </c>
      <c r="HE9">
        <v>67</v>
      </c>
      <c r="HF9">
        <v>3.5827270000000002</v>
      </c>
      <c r="HG9" t="s">
        <v>1745</v>
      </c>
      <c r="HH9">
        <v>2025</v>
      </c>
      <c r="HI9" t="s">
        <v>4396</v>
      </c>
      <c r="HJ9" s="6">
        <v>46083</v>
      </c>
      <c r="HK9">
        <v>5</v>
      </c>
      <c r="HL9">
        <v>859442496</v>
      </c>
      <c r="HM9">
        <v>69597326</v>
      </c>
      <c r="HN9" t="s">
        <v>4397</v>
      </c>
      <c r="HQ9" t="s">
        <v>2096</v>
      </c>
      <c r="HR9">
        <v>0.23485800000000001</v>
      </c>
      <c r="HS9" t="s">
        <v>1786</v>
      </c>
      <c r="HT9">
        <v>0.132383</v>
      </c>
      <c r="HU9" t="s">
        <v>1742</v>
      </c>
      <c r="HV9">
        <v>2025</v>
      </c>
      <c r="HW9" t="s">
        <v>2528</v>
      </c>
      <c r="HX9" s="6">
        <v>45843</v>
      </c>
      <c r="HY9">
        <v>5</v>
      </c>
      <c r="HZ9">
        <v>164555600</v>
      </c>
      <c r="IA9">
        <v>101616</v>
      </c>
      <c r="IB9" t="s">
        <v>2098</v>
      </c>
      <c r="IU9" t="s">
        <v>596</v>
      </c>
      <c r="IV9">
        <v>4.4000000000000004</v>
      </c>
      <c r="IX9">
        <v>-2.4245362661989844E-14</v>
      </c>
      <c r="IY9" t="s">
        <v>1762</v>
      </c>
      <c r="IZ9">
        <v>2025</v>
      </c>
      <c r="JA9" t="s">
        <v>3224</v>
      </c>
      <c r="JB9" s="6">
        <v>45868</v>
      </c>
      <c r="JC9">
        <v>5</v>
      </c>
      <c r="JD9">
        <v>5037956</v>
      </c>
      <c r="JE9">
        <v>101032</v>
      </c>
      <c r="JF9" t="s">
        <v>5230</v>
      </c>
      <c r="KO9" t="s">
        <v>4474</v>
      </c>
      <c r="KQ9">
        <v>-2.4245362661989844E-14</v>
      </c>
      <c r="KR9">
        <v>-2.4245362661989844E-14</v>
      </c>
      <c r="KS9" t="s">
        <v>1745</v>
      </c>
      <c r="KT9">
        <v>2022</v>
      </c>
      <c r="KU9" t="s">
        <v>4475</v>
      </c>
      <c r="KV9" s="6">
        <v>44992</v>
      </c>
      <c r="KW9">
        <v>5</v>
      </c>
      <c r="KX9">
        <v>-2.4245362661989844E-14</v>
      </c>
      <c r="KY9">
        <v>57617350</v>
      </c>
      <c r="KZ9" t="s">
        <v>4476</v>
      </c>
      <c r="MW9" t="s">
        <v>3372</v>
      </c>
      <c r="MY9">
        <v>-2.4245362661989844E-14</v>
      </c>
      <c r="MZ9">
        <v>-2.4245362661989844E-14</v>
      </c>
      <c r="NA9" t="s">
        <v>1745</v>
      </c>
      <c r="NB9">
        <v>2025</v>
      </c>
      <c r="NC9" t="s">
        <v>6058</v>
      </c>
      <c r="ND9" s="6">
        <v>46077</v>
      </c>
      <c r="NE9">
        <v>5</v>
      </c>
      <c r="NF9">
        <v>-2.4245362661989844E-14</v>
      </c>
      <c r="NG9">
        <v>8538176</v>
      </c>
      <c r="NH9" t="s">
        <v>3374</v>
      </c>
      <c r="NK9" t="s">
        <v>496</v>
      </c>
      <c r="NL9">
        <v>5.4150200000000002</v>
      </c>
      <c r="NM9" t="s">
        <v>1786</v>
      </c>
      <c r="NN9">
        <v>6.3577999999999996E-2</v>
      </c>
      <c r="NO9" t="s">
        <v>1762</v>
      </c>
      <c r="NP9">
        <v>2025</v>
      </c>
      <c r="NQ9" t="s">
        <v>6059</v>
      </c>
      <c r="NR9" s="6">
        <v>45960</v>
      </c>
      <c r="NS9">
        <v>5</v>
      </c>
      <c r="NT9">
        <v>56625512</v>
      </c>
      <c r="NU9">
        <v>100976</v>
      </c>
      <c r="NV9" t="s">
        <v>1888</v>
      </c>
      <c r="OA9" t="s">
        <v>734</v>
      </c>
      <c r="OB9" t="s">
        <v>1820</v>
      </c>
      <c r="OC9">
        <v>3.6037650000000001</v>
      </c>
      <c r="OD9">
        <v>0.90356199999999998</v>
      </c>
      <c r="OE9" t="s">
        <v>1762</v>
      </c>
      <c r="OF9">
        <v>2026</v>
      </c>
      <c r="OG9" t="s">
        <v>2320</v>
      </c>
      <c r="OH9" s="6">
        <v>46059</v>
      </c>
      <c r="OI9">
        <v>5</v>
      </c>
      <c r="OJ9">
        <v>108725592</v>
      </c>
      <c r="OK9">
        <v>101643</v>
      </c>
      <c r="OL9" t="s">
        <v>2321</v>
      </c>
      <c r="OO9" t="s">
        <v>842</v>
      </c>
      <c r="OP9">
        <v>0.66108800000000001</v>
      </c>
      <c r="OQ9" t="s">
        <v>1786</v>
      </c>
      <c r="OR9">
        <v>0.122531</v>
      </c>
      <c r="OS9" t="s">
        <v>1845</v>
      </c>
      <c r="OT9">
        <v>2025</v>
      </c>
      <c r="OU9" t="s">
        <v>1883</v>
      </c>
      <c r="OV9" s="6">
        <v>45848</v>
      </c>
      <c r="OW9">
        <v>5</v>
      </c>
      <c r="OX9">
        <v>105132824</v>
      </c>
      <c r="OY9">
        <v>101548</v>
      </c>
      <c r="OZ9" t="s">
        <v>1889</v>
      </c>
      <c r="QI9" t="s">
        <v>5719</v>
      </c>
      <c r="QJ9" t="s">
        <v>1786</v>
      </c>
      <c r="QK9">
        <v>0.122296</v>
      </c>
      <c r="QL9">
        <v>6.0229999999999997E-3</v>
      </c>
      <c r="QM9" t="s">
        <v>1798</v>
      </c>
      <c r="QN9">
        <v>2025</v>
      </c>
      <c r="QO9" t="s">
        <v>5720</v>
      </c>
      <c r="QP9" s="6">
        <v>45972</v>
      </c>
      <c r="QQ9">
        <v>5</v>
      </c>
      <c r="QR9">
        <v>146938.79</v>
      </c>
      <c r="QS9">
        <v>171204</v>
      </c>
      <c r="QT9" t="s">
        <v>5721</v>
      </c>
      <c r="QW9" t="s">
        <v>2364</v>
      </c>
      <c r="QX9">
        <v>6.0194999999999999E-2</v>
      </c>
      <c r="QY9" t="s">
        <v>1786</v>
      </c>
      <c r="QZ9">
        <v>0.32420599999999999</v>
      </c>
      <c r="RA9" t="s">
        <v>1745</v>
      </c>
      <c r="RB9">
        <v>2024</v>
      </c>
      <c r="RC9" t="s">
        <v>2365</v>
      </c>
      <c r="RD9" s="6">
        <v>45762</v>
      </c>
      <c r="RE9">
        <v>5</v>
      </c>
      <c r="RF9">
        <v>1823749.5</v>
      </c>
      <c r="RG9">
        <v>14453817</v>
      </c>
      <c r="RH9" t="s">
        <v>2366</v>
      </c>
      <c r="RM9" t="s">
        <v>5605</v>
      </c>
      <c r="RN9" t="s">
        <v>1786</v>
      </c>
      <c r="RO9">
        <v>7.4130000000000003E-3</v>
      </c>
      <c r="RP9">
        <v>1.016E-3</v>
      </c>
      <c r="RQ9" t="s">
        <v>1762</v>
      </c>
      <c r="RR9">
        <v>2025</v>
      </c>
      <c r="RS9" t="s">
        <v>5606</v>
      </c>
      <c r="RT9" s="6">
        <v>45950</v>
      </c>
      <c r="RU9">
        <v>5</v>
      </c>
      <c r="RV9">
        <v>74003.360000000001</v>
      </c>
      <c r="RW9">
        <v>22262012</v>
      </c>
      <c r="RX9" t="s">
        <v>5607</v>
      </c>
      <c r="SA9" t="s">
        <v>4599</v>
      </c>
      <c r="SB9">
        <v>-2.4245362661989844E-14</v>
      </c>
      <c r="SD9">
        <v>-2.4245362661989844E-14</v>
      </c>
      <c r="SE9" t="s">
        <v>1745</v>
      </c>
      <c r="SF9">
        <v>2023</v>
      </c>
      <c r="SG9" t="s">
        <v>4600</v>
      </c>
      <c r="SH9" s="6">
        <v>45027</v>
      </c>
      <c r="SI9">
        <v>5</v>
      </c>
      <c r="SJ9">
        <v>-2.4245362661989844E-14</v>
      </c>
      <c r="SK9">
        <v>1096220</v>
      </c>
      <c r="SL9" t="s">
        <v>4601</v>
      </c>
      <c r="TU9" t="s">
        <v>2790</v>
      </c>
      <c r="TV9" t="s">
        <v>1786</v>
      </c>
      <c r="TW9">
        <v>1.700528</v>
      </c>
      <c r="TX9">
        <v>0.73907500000000004</v>
      </c>
      <c r="TY9" t="s">
        <v>1742</v>
      </c>
      <c r="TZ9">
        <v>2025</v>
      </c>
      <c r="UA9" t="s">
        <v>2791</v>
      </c>
      <c r="UB9" s="6">
        <v>46022</v>
      </c>
      <c r="UC9">
        <v>5</v>
      </c>
      <c r="UD9">
        <v>18949884</v>
      </c>
      <c r="UE9">
        <v>17300196</v>
      </c>
      <c r="UF9" t="s">
        <v>2792</v>
      </c>
      <c r="UI9" t="s">
        <v>3336</v>
      </c>
      <c r="UJ9">
        <v>-2.4245362661989844E-14</v>
      </c>
      <c r="UL9">
        <v>-2.4245362661989844E-14</v>
      </c>
      <c r="UM9" t="s">
        <v>1745</v>
      </c>
      <c r="UN9">
        <v>2022</v>
      </c>
      <c r="UO9" t="s">
        <v>3337</v>
      </c>
      <c r="UP9" s="6">
        <v>44761</v>
      </c>
      <c r="UQ9">
        <v>5</v>
      </c>
      <c r="UR9">
        <v>-2.4245362661989844E-14</v>
      </c>
      <c r="US9">
        <v>116667</v>
      </c>
      <c r="UT9" t="s">
        <v>3338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434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435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436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437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438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439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440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441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442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443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444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445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446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447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448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449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450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451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452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35</v>
      </c>
      <c r="AE2" s="3" t="s">
        <v>453</v>
      </c>
      <c r="BI2" s="3" t="s">
        <v>432</v>
      </c>
      <c r="CM2" s="3" t="s">
        <v>276</v>
      </c>
      <c r="DQ2" s="3" t="s">
        <v>454</v>
      </c>
      <c r="EU2" s="3" t="s">
        <v>358</v>
      </c>
      <c r="FY2" s="3" t="s">
        <v>455</v>
      </c>
      <c r="HC2" s="3" t="s">
        <v>456</v>
      </c>
      <c r="IG2" s="3" t="s">
        <v>457</v>
      </c>
      <c r="JK2" s="3" t="s">
        <v>285</v>
      </c>
      <c r="KO2" s="3" t="s">
        <v>458</v>
      </c>
      <c r="LS2" s="3" t="s">
        <v>35</v>
      </c>
      <c r="MW2" s="3" t="s">
        <v>459</v>
      </c>
      <c r="OA2" s="3" t="s">
        <v>460</v>
      </c>
      <c r="PE2" s="3" t="s">
        <v>461</v>
      </c>
      <c r="QI2" s="3" t="s">
        <v>462</v>
      </c>
      <c r="RM2" s="3" t="s">
        <v>463</v>
      </c>
      <c r="SQ2" s="3" t="s">
        <v>464</v>
      </c>
      <c r="TU2" s="3" t="s">
        <v>465</v>
      </c>
      <c r="UY2" s="3" t="s">
        <v>466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_xll.BDS("nan Equity","SUPPLY_CHAIN_SUPPLIERS_ALL_DATA")</f>
        <v>#N/A N/A</v>
      </c>
      <c r="O5" t="str">
        <f>_xll.BDS("nan Equity","SUPPLY_CHAIN_CUSTOMERS_ALL_DATA")</f>
        <v>#N/A N/A</v>
      </c>
      <c r="AE5" t="str">
        <f>_xll.BDS("FITB US Equity","SUPPLY_CHAIN_SUPPLIERS_ALL_DATA","cols=12;rows=5")</f>
        <v>004800 KS Equity</v>
      </c>
      <c r="AG5">
        <v>-2.4245362661989844E-14</v>
      </c>
      <c r="AH5">
        <v>-2.4245362661989844E-14</v>
      </c>
      <c r="AI5" t="s">
        <v>1993</v>
      </c>
      <c r="AJ5">
        <v>2025</v>
      </c>
      <c r="AK5" t="s">
        <v>5125</v>
      </c>
      <c r="AL5" s="6">
        <v>45883</v>
      </c>
      <c r="AM5">
        <v>5</v>
      </c>
      <c r="AN5">
        <v>-2.4245362661989844E-14</v>
      </c>
      <c r="AO5">
        <v>118099</v>
      </c>
      <c r="AP5" t="s">
        <v>2044</v>
      </c>
      <c r="AS5" t="str">
        <f>_xll.BDS("FITB US Equity","SUPPLY_CHAIN_CUSTOMERS_ALL_DATA","cols=12;rows=1")</f>
        <v>USIO US Equity</v>
      </c>
      <c r="AT5">
        <v>-2.4245362661989844E-14</v>
      </c>
      <c r="AV5">
        <v>-2.4245362661989844E-14</v>
      </c>
      <c r="AW5" t="s">
        <v>1745</v>
      </c>
      <c r="AX5">
        <v>2024</v>
      </c>
      <c r="AY5" t="s">
        <v>4820</v>
      </c>
      <c r="AZ5" s="6">
        <v>45742</v>
      </c>
      <c r="BA5">
        <v>1</v>
      </c>
      <c r="BB5">
        <v>-2.4245362661989844E-14</v>
      </c>
      <c r="BC5">
        <v>381245</v>
      </c>
      <c r="BD5" t="s">
        <v>4821</v>
      </c>
      <c r="BI5" t="str">
        <f>_xll.BDS("9990822D US Equity","SUPPLY_CHAIN_SUPPLIERS_ALL_DATA","cols=12;rows=1")</f>
        <v>AMZN US Equity</v>
      </c>
      <c r="BK5">
        <v>-2.4245362661989844E-14</v>
      </c>
      <c r="BL5">
        <v>-2.4245362661989844E-14</v>
      </c>
      <c r="BM5" t="s">
        <v>1745</v>
      </c>
      <c r="BN5">
        <v>2025</v>
      </c>
      <c r="BO5" t="s">
        <v>3186</v>
      </c>
      <c r="BP5" s="6">
        <v>45993</v>
      </c>
      <c r="BQ5">
        <v>1</v>
      </c>
      <c r="BR5">
        <v>-2.4245362661989844E-14</v>
      </c>
      <c r="BS5">
        <v>216952</v>
      </c>
      <c r="BT5" t="s">
        <v>1886</v>
      </c>
      <c r="BW5" t="str">
        <f>_xll.BDS("9990822D US Equity","SUPPLY_CHAIN_CUSTOMERS_ALL_DATA","cols=12;rows=3")</f>
        <v>0759608D US Equity</v>
      </c>
      <c r="BX5">
        <v>-2.4245362661989844E-14</v>
      </c>
      <c r="BZ5">
        <v>-2.4245362661989844E-14</v>
      </c>
      <c r="CA5" t="s">
        <v>1745</v>
      </c>
      <c r="CB5">
        <v>2023</v>
      </c>
      <c r="CC5" t="s">
        <v>3154</v>
      </c>
      <c r="CD5" s="6">
        <v>44972</v>
      </c>
      <c r="CE5">
        <v>3</v>
      </c>
      <c r="CF5">
        <v>-2.4245362661989844E-14</v>
      </c>
      <c r="CG5">
        <v>22120244</v>
      </c>
      <c r="CH5" t="s">
        <v>3155</v>
      </c>
      <c r="CM5" t="str">
        <f>_xll.BDS("YELLQ US Equity","SUPPLY_CHAIN_SUPPLIERS_ALL_DATA","cols=12;rows=5")</f>
        <v>ML FP Equity</v>
      </c>
      <c r="CN5" t="s">
        <v>1786</v>
      </c>
      <c r="CO5">
        <v>2.2783999999999999E-2</v>
      </c>
      <c r="CP5">
        <v>0.154611</v>
      </c>
      <c r="CQ5" t="s">
        <v>1845</v>
      </c>
      <c r="CR5">
        <v>2024</v>
      </c>
      <c r="CS5" t="s">
        <v>5482</v>
      </c>
      <c r="CT5" s="6">
        <v>45762</v>
      </c>
      <c r="CU5">
        <v>5</v>
      </c>
      <c r="CV5">
        <v>1667198.38</v>
      </c>
      <c r="CW5">
        <v>115439</v>
      </c>
      <c r="CX5" t="s">
        <v>5483</v>
      </c>
      <c r="DA5" t="str">
        <f>_xll.BDS("YELLQ US Equity","SUPPLY_CHAIN_CUSTOMERS_ALL_DATA","cols=12;rows=5")</f>
        <v>0219682Z US Equity</v>
      </c>
      <c r="DB5">
        <v>-2.4245362661989844E-14</v>
      </c>
      <c r="DD5">
        <v>-2.4245362661989844E-14</v>
      </c>
      <c r="DE5" t="s">
        <v>1745</v>
      </c>
      <c r="DF5">
        <v>2022</v>
      </c>
      <c r="DG5" t="s">
        <v>2153</v>
      </c>
      <c r="DH5" s="6">
        <v>44630</v>
      </c>
      <c r="DI5">
        <v>5</v>
      </c>
      <c r="DJ5">
        <v>-2.4245362661989844E-14</v>
      </c>
      <c r="DK5">
        <v>962205</v>
      </c>
      <c r="DL5" t="s">
        <v>1796</v>
      </c>
      <c r="DQ5" t="str">
        <f>_xll.BDS("GE US Equity","SUPPLY_CHAIN_SUPPLIERS_ALL_DATA","cols=12;rows=5")</f>
        <v>SAF FP Equity</v>
      </c>
      <c r="DR5" t="s">
        <v>1786</v>
      </c>
      <c r="DS5">
        <v>7.9101749999999997</v>
      </c>
      <c r="DT5">
        <v>9.7364909999999991</v>
      </c>
      <c r="DU5" t="s">
        <v>1762</v>
      </c>
      <c r="DV5">
        <v>2025</v>
      </c>
      <c r="DW5" t="s">
        <v>2423</v>
      </c>
      <c r="DX5" s="6">
        <v>45874</v>
      </c>
      <c r="DY5">
        <v>5</v>
      </c>
      <c r="DZ5">
        <v>666294015.34000003</v>
      </c>
      <c r="EA5">
        <v>115519</v>
      </c>
      <c r="EB5" t="s">
        <v>2424</v>
      </c>
      <c r="EE5" t="str">
        <f>_xll.BDS("GE US Equity","SUPPLY_CHAIN_CUSTOMERS_ALL_DATA","cols=12;rows=5")</f>
        <v>3352Z US Equity</v>
      </c>
      <c r="EF5">
        <v>10</v>
      </c>
      <c r="EH5">
        <v>-2.4245362661989844E-14</v>
      </c>
      <c r="EI5" t="s">
        <v>1745</v>
      </c>
      <c r="EJ5">
        <v>2025</v>
      </c>
      <c r="EK5" t="s">
        <v>1876</v>
      </c>
      <c r="EL5" s="6">
        <v>46051</v>
      </c>
      <c r="EM5">
        <v>5</v>
      </c>
      <c r="EN5">
        <v>1146375040</v>
      </c>
      <c r="EO5">
        <v>218252</v>
      </c>
      <c r="EP5" t="s">
        <v>1803</v>
      </c>
      <c r="EU5" t="str">
        <f>_xll.BDS("SYK US Equity","SUPPLY_CHAIN_SUPPLIERS_ALL_DATA","cols=12;rows=5")</f>
        <v>FLEX US Equity</v>
      </c>
      <c r="EV5" t="s">
        <v>1786</v>
      </c>
      <c r="EW5">
        <v>0.99592000000000003</v>
      </c>
      <c r="EX5">
        <v>2.886495</v>
      </c>
      <c r="EY5" t="s">
        <v>1742</v>
      </c>
      <c r="EZ5">
        <v>2025</v>
      </c>
      <c r="FA5" t="s">
        <v>2387</v>
      </c>
      <c r="FB5" s="6">
        <v>45763</v>
      </c>
      <c r="FC5">
        <v>5</v>
      </c>
      <c r="FD5">
        <v>65292516</v>
      </c>
      <c r="FE5">
        <v>136547</v>
      </c>
      <c r="FF5" t="s">
        <v>2388</v>
      </c>
      <c r="FI5" t="str">
        <f>_xll.BDS("SYK US Equity","SUPPLY_CHAIN_CUSTOMERS_ALL_DATA","cols=12;rows=5")</f>
        <v>CNXN US Equity</v>
      </c>
      <c r="FJ5">
        <v>4.0249999999999999E-3</v>
      </c>
      <c r="FK5" t="s">
        <v>1786</v>
      </c>
      <c r="FL5">
        <v>4.2737999999999998E-2</v>
      </c>
      <c r="FM5" t="s">
        <v>1742</v>
      </c>
      <c r="FN5">
        <v>2025</v>
      </c>
      <c r="FO5" t="s">
        <v>2140</v>
      </c>
      <c r="FP5" s="6">
        <v>46034</v>
      </c>
      <c r="FQ5">
        <v>5</v>
      </c>
      <c r="FR5">
        <v>243787</v>
      </c>
      <c r="FS5">
        <v>313021</v>
      </c>
      <c r="FT5" t="s">
        <v>2141</v>
      </c>
      <c r="FY5" t="str">
        <f>_xll.BDS("MKSI US Equity","SUPPLY_CHAIN_SUPPLIERS_ALL_DATA","cols=12;rows=5")</f>
        <v>LASR US Equity</v>
      </c>
      <c r="FZ5" t="s">
        <v>1786</v>
      </c>
      <c r="GA5">
        <v>1.6989019999999999</v>
      </c>
      <c r="GB5">
        <v>0.21515799999999999</v>
      </c>
      <c r="GC5" t="s">
        <v>1742</v>
      </c>
      <c r="GD5">
        <v>2025</v>
      </c>
      <c r="GE5" t="s">
        <v>3437</v>
      </c>
      <c r="GF5" s="6">
        <v>46003</v>
      </c>
      <c r="GG5">
        <v>5</v>
      </c>
      <c r="GH5">
        <v>1133881</v>
      </c>
      <c r="GI5">
        <v>26876165</v>
      </c>
      <c r="GJ5" t="s">
        <v>3438</v>
      </c>
      <c r="GM5" t="str">
        <f>_xll.BDS("MKSI US Equity","SUPPLY_CHAIN_CUSTOMERS_ALL_DATA","cols=12;rows=5")</f>
        <v>LRCX US Equity</v>
      </c>
      <c r="GN5">
        <v>9.3821600000000007</v>
      </c>
      <c r="GO5" t="s">
        <v>1786</v>
      </c>
      <c r="GP5">
        <v>3.6491760000000002</v>
      </c>
      <c r="GQ5" t="s">
        <v>1809</v>
      </c>
      <c r="GR5">
        <v>2025</v>
      </c>
      <c r="GS5" t="s">
        <v>5144</v>
      </c>
      <c r="GT5" s="6">
        <v>45813</v>
      </c>
      <c r="GU5">
        <v>5</v>
      </c>
      <c r="GV5">
        <v>87817016</v>
      </c>
      <c r="GW5">
        <v>105120</v>
      </c>
      <c r="GX5" t="s">
        <v>3007</v>
      </c>
      <c r="HC5" t="str">
        <f>_xll.BDS("GAPTQ US Equity","SUPPLY_CHAIN_SUPPLIERS_ALL_DATA")</f>
        <v>#N/A N/A</v>
      </c>
      <c r="HQ5" t="str">
        <f>_xll.BDS("GAPTQ US Equity","SUPPLY_CHAIN_CUSTOMERS_ALL_DATA")</f>
        <v>#N/A N/A</v>
      </c>
      <c r="IG5" t="str">
        <f>_xll.BDS("ESRX US Equity","SUPPLY_CHAIN_SUPPLIERS_ALL_DATA","cols=12;rows=1")</f>
        <v>FE US Equity</v>
      </c>
      <c r="II5">
        <v>-2.4245362661989844E-14</v>
      </c>
      <c r="IJ5">
        <v>-2.4245362661989844E-14</v>
      </c>
      <c r="IK5" t="s">
        <v>1745</v>
      </c>
      <c r="IL5">
        <v>2021</v>
      </c>
      <c r="IM5" t="s">
        <v>2288</v>
      </c>
      <c r="IN5" s="6">
        <v>44693</v>
      </c>
      <c r="IO5">
        <v>1</v>
      </c>
      <c r="IP5">
        <v>-2.4245362661989844E-14</v>
      </c>
      <c r="IQ5">
        <v>302916</v>
      </c>
      <c r="IR5" t="s">
        <v>2289</v>
      </c>
      <c r="IU5" t="str">
        <f>_xll.BDS("ESRX US Equity","SUPPLY_CHAIN_CUSTOMERS_ALL_DATA")</f>
        <v>#N/A N/A</v>
      </c>
      <c r="JK5" t="str">
        <f>_xll.BDS("2258717D US Equity","SUPPLY_CHAIN_SUPPLIERS_ALL_DATA")</f>
        <v>#N/A N/A</v>
      </c>
      <c r="JY5" t="str">
        <f>_xll.BDS("2258717D US Equity","SUPPLY_CHAIN_CUSTOMERS_ALL_DATA")</f>
        <v>#N/A N/A</v>
      </c>
      <c r="KO5" t="str">
        <f>_xll.BDS("KG US Equity","SUPPLY_CHAIN_SUPPLIERS_ALL_DATA")</f>
        <v>#N/A N/A</v>
      </c>
      <c r="LC5" t="str">
        <f>_xll.BDS("KG US Equity","SUPPLY_CHAIN_CUSTOMERS_ALL_DATA")</f>
        <v>#N/A N/A</v>
      </c>
      <c r="LS5" t="str">
        <f>_xll.BDS("nan Equity","SUPPLY_CHAIN_SUPPLIERS_ALL_DATA")</f>
        <v>#N/A N/A</v>
      </c>
      <c r="MG5" t="str">
        <f>_xll.BDS("nan Equity","SUPPLY_CHAIN_CUSTOMERS_ALL_DATA")</f>
        <v>#N/A N/A</v>
      </c>
      <c r="MW5" t="str">
        <f>_xll.BDS("TSS US Equity","SUPPLY_CHAIN_SUPPLIERS_ALL_DATA")</f>
        <v>#N/A N/A</v>
      </c>
      <c r="NK5" t="str">
        <f>_xll.BDS("TSS US Equity","SUPPLY_CHAIN_CUSTOMERS_ALL_DATA")</f>
        <v>#N/A N/A</v>
      </c>
      <c r="OA5" t="str">
        <f>_xll.BDS("MMGR US Equity","SUPPLY_CHAIN_SUPPLIERS_ALL_DATA")</f>
        <v>#N/A N/A</v>
      </c>
      <c r="OO5" t="str">
        <f>_xll.BDS("MMGR US Equity","SUPPLY_CHAIN_CUSTOMERS_ALL_DATA")</f>
        <v>#N/A N/A</v>
      </c>
      <c r="PE5" t="str">
        <f>_xll.BDS("HLX US Equity","SUPPLY_CHAIN_SUPPLIERS_ALL_DATA","cols=12;rows=5")</f>
        <v>0006641D US Equity</v>
      </c>
      <c r="PG5">
        <v>-2.4245362661989844E-14</v>
      </c>
      <c r="PH5">
        <v>-2.4245362661989844E-14</v>
      </c>
      <c r="PI5" t="s">
        <v>1745</v>
      </c>
      <c r="PJ5">
        <v>2024</v>
      </c>
      <c r="PK5" t="s">
        <v>3730</v>
      </c>
      <c r="PL5" s="6">
        <v>45883</v>
      </c>
      <c r="PM5">
        <v>5</v>
      </c>
      <c r="PN5">
        <v>-2.4245362661989844E-14</v>
      </c>
      <c r="PO5">
        <v>14898044</v>
      </c>
      <c r="PP5" t="s">
        <v>4461</v>
      </c>
      <c r="PS5" t="str">
        <f>_xll.BDS("HLX US Equity","SUPPLY_CHAIN_CUSTOMERS_ALL_DATA","cols=12;rows=5")</f>
        <v>SHEL LN Equity</v>
      </c>
      <c r="PT5">
        <v>18</v>
      </c>
      <c r="PU5" t="s">
        <v>1820</v>
      </c>
      <c r="PV5">
        <v>1.2167140000000001</v>
      </c>
      <c r="PW5" t="s">
        <v>1745</v>
      </c>
      <c r="PX5">
        <v>2025</v>
      </c>
      <c r="PY5" t="s">
        <v>5960</v>
      </c>
      <c r="PZ5" s="6">
        <v>46079</v>
      </c>
      <c r="QA5">
        <v>5</v>
      </c>
      <c r="QB5">
        <v>58116328</v>
      </c>
      <c r="QC5">
        <v>9268711</v>
      </c>
      <c r="QD5" t="s">
        <v>3536</v>
      </c>
      <c r="QI5" t="str">
        <f>_xll.BDS("CLH US Equity","SUPPLY_CHAIN_SUPPLIERS_ALL_DATA","cols=12;rows=3")</f>
        <v>IOT US Equity</v>
      </c>
      <c r="QK5">
        <v>-2.4245362661989844E-14</v>
      </c>
      <c r="QL5">
        <v>-2.4245362661989844E-14</v>
      </c>
      <c r="QM5" t="s">
        <v>1809</v>
      </c>
      <c r="QN5">
        <v>2025</v>
      </c>
      <c r="QO5" t="s">
        <v>5459</v>
      </c>
      <c r="QP5" s="6">
        <v>45471</v>
      </c>
      <c r="QQ5">
        <v>3</v>
      </c>
      <c r="QR5">
        <v>-2.4245362661989844E-14</v>
      </c>
      <c r="QS5">
        <v>45718450</v>
      </c>
      <c r="QT5" t="s">
        <v>5460</v>
      </c>
      <c r="QW5" t="str">
        <f>_xll.BDS("CLH US Equity","SUPPLY_CHAIN_CUSTOMERS_ALL_DATA","cols=12;rows=3")</f>
        <v>1229327D US Equity</v>
      </c>
      <c r="QX5">
        <v>-2.4245362661989844E-14</v>
      </c>
      <c r="QZ5">
        <v>-2.4245362661989844E-14</v>
      </c>
      <c r="RA5" t="s">
        <v>1809</v>
      </c>
      <c r="RB5">
        <v>2022</v>
      </c>
      <c r="RC5" t="s">
        <v>4525</v>
      </c>
      <c r="RD5" s="6">
        <v>44643</v>
      </c>
      <c r="RE5">
        <v>3</v>
      </c>
      <c r="RF5">
        <v>-2.4245362661989844E-14</v>
      </c>
      <c r="RG5">
        <v>43709251</v>
      </c>
      <c r="RH5" t="s">
        <v>4526</v>
      </c>
      <c r="RM5" t="str">
        <f>_xll.BDS("1858968D US Equity","SUPPLY_CHAIN_SUPPLIERS_ALL_DATA")</f>
        <v>#N/A N/A</v>
      </c>
      <c r="SA5" t="str">
        <f>_xll.BDS("1858968D US Equity","SUPPLY_CHAIN_CUSTOMERS_ALL_DATA")</f>
        <v>#N/A N/A</v>
      </c>
      <c r="SQ5" t="str">
        <f>_xll.BDS("MDRX US Equity","SUPPLY_CHAIN_SUPPLIERS_ALL_DATA","cols=12;rows=5")</f>
        <v>1448469D US Equity</v>
      </c>
      <c r="SS5">
        <v>-2.4245362661989844E-14</v>
      </c>
      <c r="ST5">
        <v>-2.4245362661989844E-14</v>
      </c>
      <c r="SU5" t="s">
        <v>1745</v>
      </c>
      <c r="SV5">
        <v>2022</v>
      </c>
      <c r="SW5" t="s">
        <v>5474</v>
      </c>
      <c r="SX5" s="6">
        <v>45734</v>
      </c>
      <c r="SY5">
        <v>5</v>
      </c>
      <c r="SZ5">
        <v>-2.4245362661989844E-14</v>
      </c>
      <c r="TA5">
        <v>51328994</v>
      </c>
      <c r="TB5" t="s">
        <v>5505</v>
      </c>
      <c r="TE5" t="str">
        <f>_xll.BDS("MDRX US Equity","SUPPLY_CHAIN_CUSTOMERS_ALL_DATA","cols=12;rows=3")</f>
        <v>0000550D US Equity</v>
      </c>
      <c r="TF5">
        <v>-2.4245362661989844E-14</v>
      </c>
      <c r="TH5">
        <v>-2.4245362661989844E-14</v>
      </c>
      <c r="TI5" t="s">
        <v>1745</v>
      </c>
      <c r="TJ5">
        <v>2023</v>
      </c>
      <c r="TK5" t="s">
        <v>5471</v>
      </c>
      <c r="TL5" s="6">
        <v>45127</v>
      </c>
      <c r="TM5">
        <v>3</v>
      </c>
      <c r="TN5">
        <v>-2.4245362661989844E-14</v>
      </c>
      <c r="TO5">
        <v>28225394</v>
      </c>
      <c r="TP5" t="s">
        <v>5472</v>
      </c>
      <c r="TU5" t="str">
        <f>_xll.BDS("9876549D US Equity","SUPPLY_CHAIN_SUPPLIERS_ALL_DATA")</f>
        <v>#N/A N/A</v>
      </c>
      <c r="UI5" t="str">
        <f>_xll.BDS("9876549D US Equity","SUPPLY_CHAIN_CUSTOMERS_ALL_DATA")</f>
        <v>#N/A N/A</v>
      </c>
      <c r="UY5" t="str">
        <f>_xll.BDS("HRI US Equity","SUPPLY_CHAIN_SUPPLIERS_ALL_DATA","cols=12;rows=5")</f>
        <v>DE US Equity</v>
      </c>
      <c r="UZ5" t="s">
        <v>1786</v>
      </c>
      <c r="VA5">
        <v>1.0137E-2</v>
      </c>
      <c r="VB5">
        <v>1.269026</v>
      </c>
      <c r="VC5" t="s">
        <v>1742</v>
      </c>
      <c r="VD5">
        <v>2025</v>
      </c>
      <c r="VE5" t="s">
        <v>3267</v>
      </c>
      <c r="VF5" s="6">
        <v>45904</v>
      </c>
      <c r="VG5">
        <v>5</v>
      </c>
      <c r="VH5">
        <v>1218265</v>
      </c>
      <c r="VI5">
        <v>100438</v>
      </c>
      <c r="VJ5" t="s">
        <v>3268</v>
      </c>
      <c r="VM5" t="str">
        <f>_xll.BDS("HRI US Equity","SUPPLY_CHAIN_CUSTOMERS_ALL_DATA","cols=12;rows=3")</f>
        <v>735365Z US Equity</v>
      </c>
      <c r="VN5">
        <v>-2.4245362661989844E-14</v>
      </c>
      <c r="VP5">
        <v>-2.4245362661989844E-14</v>
      </c>
      <c r="VQ5" t="s">
        <v>1742</v>
      </c>
      <c r="VR5">
        <v>2025</v>
      </c>
      <c r="VS5" t="s">
        <v>2115</v>
      </c>
      <c r="VT5" s="6">
        <v>46020</v>
      </c>
      <c r="VU5">
        <v>3</v>
      </c>
      <c r="VV5">
        <v>-2.4245362661989844E-14</v>
      </c>
      <c r="VW5">
        <v>10803397</v>
      </c>
      <c r="VX5" t="s">
        <v>2116</v>
      </c>
    </row>
    <row r="6" spans="1:600" x14ac:dyDescent="0.25">
      <c r="AE6" t="s">
        <v>1517</v>
      </c>
      <c r="AG6">
        <v>-2.4245362661989844E-14</v>
      </c>
      <c r="AH6">
        <v>-2.4245362661989844E-14</v>
      </c>
      <c r="AI6" t="s">
        <v>1742</v>
      </c>
      <c r="AJ6">
        <v>2024</v>
      </c>
      <c r="AK6" t="s">
        <v>3951</v>
      </c>
      <c r="AL6" s="6">
        <v>45608</v>
      </c>
      <c r="AM6">
        <v>5</v>
      </c>
      <c r="AN6">
        <v>-2.4245362661989844E-14</v>
      </c>
      <c r="AO6">
        <v>159743</v>
      </c>
      <c r="AP6" t="s">
        <v>5126</v>
      </c>
      <c r="BW6" t="s">
        <v>246</v>
      </c>
      <c r="BX6">
        <v>-2.4245362661989844E-14</v>
      </c>
      <c r="BZ6">
        <v>-2.4245362661989844E-14</v>
      </c>
      <c r="CA6" t="s">
        <v>1745</v>
      </c>
      <c r="CB6">
        <v>2023</v>
      </c>
      <c r="CC6" t="s">
        <v>3154</v>
      </c>
      <c r="CD6" s="6">
        <v>44943</v>
      </c>
      <c r="CE6">
        <v>3</v>
      </c>
      <c r="CF6">
        <v>-2.4245362661989844E-14</v>
      </c>
      <c r="CG6">
        <v>46946968</v>
      </c>
      <c r="CH6" t="s">
        <v>1765</v>
      </c>
      <c r="CM6" t="s">
        <v>5936</v>
      </c>
      <c r="CO6">
        <v>-2.4245362661989844E-14</v>
      </c>
      <c r="CP6">
        <v>-2.4245362661989844E-14</v>
      </c>
      <c r="CQ6" t="s">
        <v>1742</v>
      </c>
      <c r="CR6">
        <v>2023</v>
      </c>
      <c r="CS6" t="s">
        <v>2154</v>
      </c>
      <c r="CT6" s="6">
        <v>45144</v>
      </c>
      <c r="CU6">
        <v>5</v>
      </c>
      <c r="CV6">
        <v>-2.4245362661989844E-14</v>
      </c>
      <c r="CW6">
        <v>30302096</v>
      </c>
      <c r="CX6" t="s">
        <v>5937</v>
      </c>
      <c r="DA6" t="s">
        <v>1801</v>
      </c>
      <c r="DB6">
        <v>-2.4245362661989844E-14</v>
      </c>
      <c r="DD6">
        <v>-2.4245362661989844E-14</v>
      </c>
      <c r="DE6" t="s">
        <v>1745</v>
      </c>
      <c r="DF6">
        <v>2022</v>
      </c>
      <c r="DG6" t="s">
        <v>2153</v>
      </c>
      <c r="DH6" s="6">
        <v>44630</v>
      </c>
      <c r="DI6">
        <v>5</v>
      </c>
      <c r="DJ6">
        <v>-2.4245362661989844E-14</v>
      </c>
      <c r="DK6">
        <v>218252</v>
      </c>
      <c r="DL6" t="s">
        <v>1803</v>
      </c>
      <c r="DQ6" t="s">
        <v>2425</v>
      </c>
      <c r="DR6" t="s">
        <v>1786</v>
      </c>
      <c r="DS6">
        <v>13.760432</v>
      </c>
      <c r="DT6">
        <v>4.7536569999999996</v>
      </c>
      <c r="DU6" t="s">
        <v>1762</v>
      </c>
      <c r="DV6">
        <v>2025</v>
      </c>
      <c r="DW6" t="s">
        <v>2426</v>
      </c>
      <c r="DX6" s="6">
        <v>45937</v>
      </c>
      <c r="DY6">
        <v>5</v>
      </c>
      <c r="DZ6">
        <v>325305405.77999997</v>
      </c>
      <c r="EA6">
        <v>8445936</v>
      </c>
      <c r="EB6" t="s">
        <v>2427</v>
      </c>
      <c r="EE6" t="s">
        <v>1088</v>
      </c>
      <c r="EF6">
        <v>9.2636719999999997</v>
      </c>
      <c r="EG6" t="s">
        <v>1786</v>
      </c>
      <c r="EH6">
        <v>5.0267530000000002</v>
      </c>
      <c r="EI6" t="s">
        <v>1762</v>
      </c>
      <c r="EJ6">
        <v>2025</v>
      </c>
      <c r="EK6" t="s">
        <v>1877</v>
      </c>
      <c r="EL6" s="6">
        <v>45888</v>
      </c>
      <c r="EM6">
        <v>5</v>
      </c>
      <c r="EN6">
        <v>1021134592</v>
      </c>
      <c r="EO6">
        <v>100211</v>
      </c>
      <c r="EP6" t="s">
        <v>1851</v>
      </c>
      <c r="EU6" t="s">
        <v>2811</v>
      </c>
      <c r="EV6" t="s">
        <v>1786</v>
      </c>
      <c r="EW6">
        <v>21.5</v>
      </c>
      <c r="EX6">
        <v>1.4319010000000001</v>
      </c>
      <c r="EY6" t="s">
        <v>1745</v>
      </c>
      <c r="EZ6">
        <v>2025</v>
      </c>
      <c r="FA6" t="s">
        <v>2812</v>
      </c>
      <c r="FB6" s="6">
        <v>46080</v>
      </c>
      <c r="FC6">
        <v>5</v>
      </c>
      <c r="FD6">
        <v>32400338</v>
      </c>
      <c r="FE6">
        <v>126764</v>
      </c>
      <c r="FF6" t="s">
        <v>2813</v>
      </c>
      <c r="FI6" t="s">
        <v>2569</v>
      </c>
      <c r="FJ6">
        <v>-2.4245362661989844E-14</v>
      </c>
      <c r="FL6">
        <v>-2.4245362661989844E-14</v>
      </c>
      <c r="FM6" t="s">
        <v>1798</v>
      </c>
      <c r="FN6">
        <v>2025</v>
      </c>
      <c r="FO6" t="s">
        <v>2570</v>
      </c>
      <c r="FP6" s="6">
        <v>45975</v>
      </c>
      <c r="FQ6">
        <v>5</v>
      </c>
      <c r="FR6">
        <v>-2.4245362661989844E-14</v>
      </c>
      <c r="FS6">
        <v>129466</v>
      </c>
      <c r="FT6" t="s">
        <v>2571</v>
      </c>
      <c r="FY6" t="s">
        <v>3439</v>
      </c>
      <c r="FZ6" t="s">
        <v>1786</v>
      </c>
      <c r="GA6">
        <v>1.150172</v>
      </c>
      <c r="GB6">
        <v>0.11659799999999999</v>
      </c>
      <c r="GC6" t="s">
        <v>1845</v>
      </c>
      <c r="GD6">
        <v>2024</v>
      </c>
      <c r="GE6" t="s">
        <v>3440</v>
      </c>
      <c r="GF6" s="6">
        <v>45687</v>
      </c>
      <c r="GG6">
        <v>5</v>
      </c>
      <c r="GH6">
        <v>541152.34</v>
      </c>
      <c r="GI6">
        <v>310099</v>
      </c>
      <c r="GJ6" t="s">
        <v>3441</v>
      </c>
      <c r="GM6" t="s">
        <v>117</v>
      </c>
      <c r="GN6">
        <v>9.0968900000000001</v>
      </c>
      <c r="GO6" t="s">
        <v>1786</v>
      </c>
      <c r="GP6">
        <v>2.3553769999999998</v>
      </c>
      <c r="GQ6" t="s">
        <v>1809</v>
      </c>
      <c r="GR6">
        <v>2025</v>
      </c>
      <c r="GS6" t="s">
        <v>5144</v>
      </c>
      <c r="GT6" s="6">
        <v>45813</v>
      </c>
      <c r="GU6">
        <v>5</v>
      </c>
      <c r="GV6">
        <v>85146888</v>
      </c>
      <c r="GW6">
        <v>102032</v>
      </c>
      <c r="GX6" t="s">
        <v>3009</v>
      </c>
      <c r="PE6" t="s">
        <v>4462</v>
      </c>
      <c r="PG6">
        <v>-2.4245362661989844E-14</v>
      </c>
      <c r="PH6">
        <v>-2.4245362661989844E-14</v>
      </c>
      <c r="PI6" t="s">
        <v>1745</v>
      </c>
      <c r="PJ6">
        <v>2024</v>
      </c>
      <c r="PK6" t="s">
        <v>3730</v>
      </c>
      <c r="PL6" s="6">
        <v>45883</v>
      </c>
      <c r="PM6">
        <v>5</v>
      </c>
      <c r="PN6">
        <v>-2.4245362661989844E-14</v>
      </c>
      <c r="PO6">
        <v>30841561</v>
      </c>
      <c r="PP6" t="s">
        <v>4463</v>
      </c>
      <c r="PS6" t="s">
        <v>116</v>
      </c>
      <c r="PT6">
        <v>12</v>
      </c>
      <c r="PU6" t="s">
        <v>1820</v>
      </c>
      <c r="PV6">
        <v>12.623958999999999</v>
      </c>
      <c r="PW6" t="s">
        <v>1745</v>
      </c>
      <c r="PX6">
        <v>2024</v>
      </c>
      <c r="PY6" t="s">
        <v>3730</v>
      </c>
      <c r="PZ6" s="6">
        <v>45715</v>
      </c>
      <c r="QA6">
        <v>5</v>
      </c>
      <c r="QB6">
        <v>40756800</v>
      </c>
      <c r="QC6">
        <v>58358913</v>
      </c>
      <c r="QD6" t="s">
        <v>5961</v>
      </c>
      <c r="QI6" t="s">
        <v>5461</v>
      </c>
      <c r="QK6">
        <v>-2.4245362661989844E-14</v>
      </c>
      <c r="QL6">
        <v>-2.4245362661989844E-14</v>
      </c>
      <c r="QM6" t="s">
        <v>1745</v>
      </c>
      <c r="QN6">
        <v>2023</v>
      </c>
      <c r="QO6" t="s">
        <v>5462</v>
      </c>
      <c r="QP6" s="6">
        <v>45362</v>
      </c>
      <c r="QQ6">
        <v>3</v>
      </c>
      <c r="QR6">
        <v>-2.4245362661989844E-14</v>
      </c>
      <c r="QS6">
        <v>69787696</v>
      </c>
      <c r="QT6" t="s">
        <v>5463</v>
      </c>
      <c r="QW6" t="s">
        <v>5693</v>
      </c>
      <c r="QX6">
        <v>-2.4245362661989844E-14</v>
      </c>
      <c r="QZ6">
        <v>-2.4245362661989844E-14</v>
      </c>
      <c r="RA6" t="s">
        <v>1809</v>
      </c>
      <c r="RB6">
        <v>2023</v>
      </c>
      <c r="RC6" t="s">
        <v>5694</v>
      </c>
      <c r="RD6" s="6">
        <v>45071</v>
      </c>
      <c r="RE6">
        <v>3</v>
      </c>
      <c r="RF6">
        <v>-2.4245362661989844E-14</v>
      </c>
      <c r="RG6">
        <v>101754</v>
      </c>
      <c r="RH6" t="s">
        <v>5695</v>
      </c>
      <c r="SQ6" t="s">
        <v>5506</v>
      </c>
      <c r="SS6">
        <v>-2.4245362661989844E-14</v>
      </c>
      <c r="ST6">
        <v>-2.4245362661989844E-14</v>
      </c>
      <c r="SU6" t="s">
        <v>1745</v>
      </c>
      <c r="SV6">
        <v>2022</v>
      </c>
      <c r="SW6" t="s">
        <v>5474</v>
      </c>
      <c r="SX6" s="6">
        <v>45734</v>
      </c>
      <c r="SY6">
        <v>5</v>
      </c>
      <c r="SZ6">
        <v>-2.4245362661989844E-14</v>
      </c>
      <c r="TA6">
        <v>69460213</v>
      </c>
      <c r="TB6" t="s">
        <v>5507</v>
      </c>
      <c r="TE6" t="s">
        <v>5473</v>
      </c>
      <c r="TF6">
        <v>-2.4245362661989844E-14</v>
      </c>
      <c r="TH6">
        <v>-2.4245362661989844E-14</v>
      </c>
      <c r="TI6" t="s">
        <v>1745</v>
      </c>
      <c r="TJ6">
        <v>2022</v>
      </c>
      <c r="TK6" t="s">
        <v>5474</v>
      </c>
      <c r="TL6" s="6">
        <v>45734</v>
      </c>
      <c r="TM6">
        <v>3</v>
      </c>
      <c r="TN6">
        <v>-2.4245362661989844E-14</v>
      </c>
      <c r="TO6">
        <v>962249</v>
      </c>
      <c r="TP6" t="s">
        <v>5475</v>
      </c>
      <c r="UY6" t="s">
        <v>3532</v>
      </c>
      <c r="UZ6" t="s">
        <v>1820</v>
      </c>
      <c r="VA6">
        <v>8.0490000000000006E-3</v>
      </c>
      <c r="VB6">
        <v>0.21171899999999999</v>
      </c>
      <c r="VC6" t="s">
        <v>1809</v>
      </c>
      <c r="VD6">
        <v>2026</v>
      </c>
      <c r="VE6" t="s">
        <v>5243</v>
      </c>
      <c r="VF6" s="6">
        <v>45891</v>
      </c>
      <c r="VG6">
        <v>5</v>
      </c>
      <c r="VH6">
        <v>594694.61</v>
      </c>
      <c r="VI6">
        <v>114009</v>
      </c>
      <c r="VJ6" t="s">
        <v>3533</v>
      </c>
      <c r="VM6" t="s">
        <v>2117</v>
      </c>
      <c r="VN6">
        <v>-2.4245362661989844E-14</v>
      </c>
      <c r="VP6">
        <v>-2.4245362661989844E-14</v>
      </c>
      <c r="VQ6" t="s">
        <v>1845</v>
      </c>
      <c r="VR6">
        <v>2022</v>
      </c>
      <c r="VS6" t="s">
        <v>2118</v>
      </c>
      <c r="VT6" s="6">
        <v>44916</v>
      </c>
      <c r="VU6">
        <v>3</v>
      </c>
      <c r="VV6">
        <v>-2.4245362661989844E-14</v>
      </c>
      <c r="VW6">
        <v>69420903</v>
      </c>
      <c r="VX6" t="s">
        <v>2119</v>
      </c>
    </row>
    <row r="7" spans="1:600" x14ac:dyDescent="0.25">
      <c r="AE7" t="s">
        <v>4088</v>
      </c>
      <c r="AG7">
        <v>-2.4245362661989844E-14</v>
      </c>
      <c r="AH7">
        <v>-2.4245362661989844E-14</v>
      </c>
      <c r="AI7" t="s">
        <v>1745</v>
      </c>
      <c r="AJ7">
        <v>2023</v>
      </c>
      <c r="AK7" t="s">
        <v>4089</v>
      </c>
      <c r="AL7" s="6">
        <v>45462</v>
      </c>
      <c r="AM7">
        <v>5</v>
      </c>
      <c r="AN7">
        <v>-2.4245362661989844E-14</v>
      </c>
      <c r="AO7">
        <v>48621208</v>
      </c>
      <c r="AP7" t="s">
        <v>4090</v>
      </c>
      <c r="BW7" t="s">
        <v>1044</v>
      </c>
      <c r="BX7">
        <v>-2.4245362661989844E-14</v>
      </c>
      <c r="BZ7">
        <v>-2.4245362661989844E-14</v>
      </c>
      <c r="CA7" t="s">
        <v>1745</v>
      </c>
      <c r="CB7">
        <v>2025</v>
      </c>
      <c r="CC7" t="s">
        <v>3154</v>
      </c>
      <c r="CD7" s="6">
        <v>46007</v>
      </c>
      <c r="CE7">
        <v>3</v>
      </c>
      <c r="CF7">
        <v>-2.4245362661989844E-14</v>
      </c>
      <c r="CG7">
        <v>107071</v>
      </c>
      <c r="CH7" t="s">
        <v>3156</v>
      </c>
      <c r="CM7" t="s">
        <v>5938</v>
      </c>
      <c r="CO7">
        <v>-2.4245362661989844E-14</v>
      </c>
      <c r="CP7">
        <v>-2.4245362661989844E-14</v>
      </c>
      <c r="CQ7" t="s">
        <v>1742</v>
      </c>
      <c r="CR7">
        <v>2023</v>
      </c>
      <c r="CS7" t="s">
        <v>2154</v>
      </c>
      <c r="CT7" s="6">
        <v>45144</v>
      </c>
      <c r="CU7">
        <v>5</v>
      </c>
      <c r="CV7">
        <v>-2.4245362661989844E-14</v>
      </c>
      <c r="CW7">
        <v>7421868</v>
      </c>
      <c r="CX7" t="s">
        <v>5939</v>
      </c>
      <c r="DA7" t="s">
        <v>1885</v>
      </c>
      <c r="DB7">
        <v>-2.4245362661989844E-14</v>
      </c>
      <c r="DD7">
        <v>-2.4245362661989844E-14</v>
      </c>
      <c r="DE7" t="s">
        <v>1742</v>
      </c>
      <c r="DF7">
        <v>2023</v>
      </c>
      <c r="DG7" t="s">
        <v>2154</v>
      </c>
      <c r="DH7" s="6">
        <v>45144</v>
      </c>
      <c r="DI7">
        <v>5</v>
      </c>
      <c r="DJ7">
        <v>-2.4245362661989844E-14</v>
      </c>
      <c r="DK7">
        <v>216952</v>
      </c>
      <c r="DL7" t="s">
        <v>1886</v>
      </c>
      <c r="DQ7" t="s">
        <v>1844</v>
      </c>
      <c r="DR7" t="s">
        <v>1786</v>
      </c>
      <c r="DS7">
        <v>11</v>
      </c>
      <c r="DT7">
        <v>3.1337429999999999</v>
      </c>
      <c r="DU7" t="s">
        <v>1745</v>
      </c>
      <c r="DV7">
        <v>2025</v>
      </c>
      <c r="DW7" t="s">
        <v>2428</v>
      </c>
      <c r="DX7" s="6">
        <v>46065</v>
      </c>
      <c r="DY7">
        <v>5</v>
      </c>
      <c r="DZ7">
        <v>226930000</v>
      </c>
      <c r="EA7">
        <v>59099358</v>
      </c>
      <c r="EB7" t="s">
        <v>1847</v>
      </c>
      <c r="EE7" t="s">
        <v>1878</v>
      </c>
      <c r="EF7">
        <v>4.5319979999999997</v>
      </c>
      <c r="EG7" t="s">
        <v>1786</v>
      </c>
      <c r="EH7">
        <v>3.2162160000000002</v>
      </c>
      <c r="EI7" t="s">
        <v>1762</v>
      </c>
      <c r="EJ7">
        <v>2025</v>
      </c>
      <c r="EK7" t="s">
        <v>1877</v>
      </c>
      <c r="EL7" s="6">
        <v>45888</v>
      </c>
      <c r="EM7">
        <v>5</v>
      </c>
      <c r="EN7">
        <v>499562144</v>
      </c>
      <c r="EO7">
        <v>876285</v>
      </c>
      <c r="EP7" t="s">
        <v>1879</v>
      </c>
      <c r="EU7" t="s">
        <v>2814</v>
      </c>
      <c r="EV7" t="s">
        <v>1786</v>
      </c>
      <c r="EW7">
        <v>3.73936</v>
      </c>
      <c r="EX7">
        <v>0.75532200000000005</v>
      </c>
      <c r="EY7" t="s">
        <v>1742</v>
      </c>
      <c r="EZ7">
        <v>2025</v>
      </c>
      <c r="FA7" t="s">
        <v>2815</v>
      </c>
      <c r="FB7" s="6">
        <v>45797</v>
      </c>
      <c r="FC7">
        <v>5</v>
      </c>
      <c r="FD7">
        <v>16027925</v>
      </c>
      <c r="FE7">
        <v>21175033</v>
      </c>
      <c r="FF7" t="s">
        <v>2816</v>
      </c>
      <c r="FI7" t="s">
        <v>2572</v>
      </c>
      <c r="FJ7">
        <v>-2.4245362661989844E-14</v>
      </c>
      <c r="FL7">
        <v>-2.4245362661989844E-14</v>
      </c>
      <c r="FM7" t="s">
        <v>1798</v>
      </c>
      <c r="FN7">
        <v>2025</v>
      </c>
      <c r="FO7" t="s">
        <v>2573</v>
      </c>
      <c r="FP7" s="6">
        <v>45975</v>
      </c>
      <c r="FQ7">
        <v>5</v>
      </c>
      <c r="FR7">
        <v>-2.4245362661989844E-14</v>
      </c>
      <c r="FS7">
        <v>31351558</v>
      </c>
      <c r="FT7" t="s">
        <v>2574</v>
      </c>
      <c r="FY7" t="s">
        <v>387</v>
      </c>
      <c r="FZ7" t="s">
        <v>1786</v>
      </c>
      <c r="GA7">
        <v>3.0783999999999999E-2</v>
      </c>
      <c r="GB7">
        <v>3.1181E-2</v>
      </c>
      <c r="GC7" t="s">
        <v>1809</v>
      </c>
      <c r="GD7">
        <v>2026</v>
      </c>
      <c r="GE7" t="s">
        <v>3442</v>
      </c>
      <c r="GF7" s="6">
        <v>45967</v>
      </c>
      <c r="GG7">
        <v>5</v>
      </c>
      <c r="GH7">
        <v>164325</v>
      </c>
      <c r="GI7">
        <v>42186257</v>
      </c>
      <c r="GJ7" t="s">
        <v>2666</v>
      </c>
      <c r="GM7" t="s">
        <v>1789</v>
      </c>
      <c r="GN7">
        <v>5.4997720000000001</v>
      </c>
      <c r="GO7" t="s">
        <v>1820</v>
      </c>
      <c r="GP7">
        <v>0.61648700000000001</v>
      </c>
      <c r="GQ7" t="s">
        <v>1809</v>
      </c>
      <c r="GR7">
        <v>2025</v>
      </c>
      <c r="GS7" t="s">
        <v>5144</v>
      </c>
      <c r="GT7" s="6">
        <v>45813</v>
      </c>
      <c r="GU7">
        <v>5</v>
      </c>
      <c r="GV7">
        <v>51477864</v>
      </c>
      <c r="GW7">
        <v>117929</v>
      </c>
      <c r="GX7" t="s">
        <v>1791</v>
      </c>
      <c r="PE7" t="s">
        <v>4464</v>
      </c>
      <c r="PG7">
        <v>-2.4245362661989844E-14</v>
      </c>
      <c r="PH7">
        <v>-2.4245362661989844E-14</v>
      </c>
      <c r="PI7" t="s">
        <v>1745</v>
      </c>
      <c r="PJ7">
        <v>2024</v>
      </c>
      <c r="PK7" t="s">
        <v>3730</v>
      </c>
      <c r="PL7" s="6">
        <v>45883</v>
      </c>
      <c r="PM7">
        <v>5</v>
      </c>
      <c r="PN7">
        <v>-2.4245362661989844E-14</v>
      </c>
      <c r="PO7">
        <v>43820907</v>
      </c>
      <c r="PP7" t="s">
        <v>4465</v>
      </c>
      <c r="PS7" t="s">
        <v>5865</v>
      </c>
      <c r="PT7">
        <v>10</v>
      </c>
      <c r="PU7" t="s">
        <v>1820</v>
      </c>
      <c r="PV7">
        <v>0.74255300000000002</v>
      </c>
      <c r="PW7" t="s">
        <v>1745</v>
      </c>
      <c r="PX7">
        <v>2025</v>
      </c>
      <c r="PY7" t="s">
        <v>5960</v>
      </c>
      <c r="PZ7" s="6">
        <v>46079</v>
      </c>
      <c r="QA7">
        <v>5</v>
      </c>
      <c r="QB7">
        <v>32286850</v>
      </c>
      <c r="QC7">
        <v>136114</v>
      </c>
      <c r="QD7" t="s">
        <v>5867</v>
      </c>
      <c r="QI7" t="s">
        <v>5464</v>
      </c>
      <c r="QK7">
        <v>-2.4245362661989844E-14</v>
      </c>
      <c r="QL7">
        <v>-2.4245362661989844E-14</v>
      </c>
      <c r="QM7" t="s">
        <v>1745</v>
      </c>
      <c r="QN7">
        <v>2023</v>
      </c>
      <c r="QO7" t="s">
        <v>5465</v>
      </c>
      <c r="QP7" s="6">
        <v>45447</v>
      </c>
      <c r="QQ7">
        <v>3</v>
      </c>
      <c r="QR7">
        <v>-2.4245362661989844E-14</v>
      </c>
      <c r="QS7">
        <v>22851269</v>
      </c>
      <c r="QT7" t="s">
        <v>5466</v>
      </c>
      <c r="QW7" t="s">
        <v>5696</v>
      </c>
      <c r="QX7">
        <v>-2.4245362661989844E-14</v>
      </c>
      <c r="QZ7">
        <v>-2.4245362661989844E-14</v>
      </c>
      <c r="RA7" t="s">
        <v>1762</v>
      </c>
      <c r="RB7">
        <v>2022</v>
      </c>
      <c r="RC7" t="s">
        <v>5697</v>
      </c>
      <c r="RD7" s="6">
        <v>44714</v>
      </c>
      <c r="RE7">
        <v>3</v>
      </c>
      <c r="RF7">
        <v>-2.4245362661989844E-14</v>
      </c>
      <c r="RG7">
        <v>8955530</v>
      </c>
      <c r="RH7" t="s">
        <v>5698</v>
      </c>
      <c r="SQ7" t="s">
        <v>5508</v>
      </c>
      <c r="SS7">
        <v>-2.4245362661989844E-14</v>
      </c>
      <c r="ST7">
        <v>-2.4245362661989844E-14</v>
      </c>
      <c r="SU7" t="s">
        <v>1745</v>
      </c>
      <c r="SV7">
        <v>2022</v>
      </c>
      <c r="SW7" t="s">
        <v>5474</v>
      </c>
      <c r="SX7" s="6">
        <v>45734</v>
      </c>
      <c r="SY7">
        <v>5</v>
      </c>
      <c r="SZ7">
        <v>-2.4245362661989844E-14</v>
      </c>
      <c r="TA7">
        <v>70387900</v>
      </c>
      <c r="TB7" t="s">
        <v>5509</v>
      </c>
      <c r="TE7" t="s">
        <v>5476</v>
      </c>
      <c r="TF7">
        <v>-2.4245362661989844E-14</v>
      </c>
      <c r="TH7">
        <v>-2.4245362661989844E-14</v>
      </c>
      <c r="TI7" t="s">
        <v>1745</v>
      </c>
      <c r="TJ7">
        <v>2025</v>
      </c>
      <c r="TK7" t="s">
        <v>5471</v>
      </c>
      <c r="TL7" s="6">
        <v>45971</v>
      </c>
      <c r="TM7">
        <v>3</v>
      </c>
      <c r="TN7">
        <v>-2.4245362661989844E-14</v>
      </c>
      <c r="TO7">
        <v>30144966</v>
      </c>
      <c r="TP7" t="s">
        <v>5477</v>
      </c>
      <c r="UY7" t="s">
        <v>195</v>
      </c>
      <c r="UZ7" t="s">
        <v>1769</v>
      </c>
      <c r="VA7">
        <v>3.2569999999999999E-3</v>
      </c>
      <c r="VB7">
        <v>0.162105</v>
      </c>
      <c r="VC7" t="s">
        <v>1762</v>
      </c>
      <c r="VD7">
        <v>2025</v>
      </c>
      <c r="VE7" t="s">
        <v>2268</v>
      </c>
      <c r="VF7" s="6">
        <v>45838</v>
      </c>
      <c r="VG7">
        <v>5</v>
      </c>
      <c r="VH7">
        <v>191284</v>
      </c>
      <c r="VI7">
        <v>101689</v>
      </c>
      <c r="VJ7" t="s">
        <v>2269</v>
      </c>
      <c r="VM7" t="s">
        <v>2120</v>
      </c>
      <c r="VN7">
        <v>-2.4245362661989844E-14</v>
      </c>
      <c r="VP7">
        <v>-2.4245362661989844E-14</v>
      </c>
      <c r="VQ7" t="s">
        <v>1742</v>
      </c>
      <c r="VR7">
        <v>2023</v>
      </c>
      <c r="VS7" t="s">
        <v>2121</v>
      </c>
      <c r="VT7" s="6">
        <v>45129</v>
      </c>
      <c r="VU7">
        <v>3</v>
      </c>
      <c r="VV7">
        <v>-2.4245362661989844E-14</v>
      </c>
      <c r="VW7">
        <v>14162860</v>
      </c>
      <c r="VX7" t="s">
        <v>2122</v>
      </c>
    </row>
    <row r="8" spans="1:600" x14ac:dyDescent="0.25">
      <c r="AE8" t="s">
        <v>5127</v>
      </c>
      <c r="AG8">
        <v>-2.4245362661989844E-14</v>
      </c>
      <c r="AH8">
        <v>-2.4245362661989844E-14</v>
      </c>
      <c r="AI8" t="s">
        <v>1745</v>
      </c>
      <c r="AJ8">
        <v>2024</v>
      </c>
      <c r="AK8" t="s">
        <v>5128</v>
      </c>
      <c r="AL8" s="6">
        <v>45714</v>
      </c>
      <c r="AM8">
        <v>5</v>
      </c>
      <c r="AN8">
        <v>-2.4245362661989844E-14</v>
      </c>
      <c r="AO8">
        <v>100457</v>
      </c>
      <c r="AP8" t="s">
        <v>5129</v>
      </c>
      <c r="CM8" t="s">
        <v>1772</v>
      </c>
      <c r="CO8">
        <v>-2.4245362661989844E-14</v>
      </c>
      <c r="CP8">
        <v>-2.4245362661989844E-14</v>
      </c>
      <c r="CQ8" t="s">
        <v>1742</v>
      </c>
      <c r="CR8">
        <v>2023</v>
      </c>
      <c r="CS8" t="s">
        <v>2154</v>
      </c>
      <c r="CT8" s="6">
        <v>45144</v>
      </c>
      <c r="CU8">
        <v>5</v>
      </c>
      <c r="CV8">
        <v>-2.4245362661989844E-14</v>
      </c>
      <c r="CW8">
        <v>69491275</v>
      </c>
      <c r="CX8" t="s">
        <v>1773</v>
      </c>
      <c r="DA8" t="s">
        <v>1281</v>
      </c>
      <c r="DB8">
        <v>-2.4245362661989844E-14</v>
      </c>
      <c r="DD8">
        <v>-2.4245362661989844E-14</v>
      </c>
      <c r="DE8" t="s">
        <v>1742</v>
      </c>
      <c r="DF8">
        <v>2023</v>
      </c>
      <c r="DG8" t="s">
        <v>2154</v>
      </c>
      <c r="DH8" s="6">
        <v>45144</v>
      </c>
      <c r="DI8">
        <v>5</v>
      </c>
      <c r="DJ8">
        <v>-2.4245362661989844E-14</v>
      </c>
      <c r="DK8">
        <v>102354</v>
      </c>
      <c r="DL8" t="s">
        <v>2155</v>
      </c>
      <c r="DQ8" t="s">
        <v>2374</v>
      </c>
      <c r="DR8" t="s">
        <v>1786</v>
      </c>
      <c r="DS8">
        <v>8.8672269999999997</v>
      </c>
      <c r="DT8">
        <v>1.980351</v>
      </c>
      <c r="DU8" t="s">
        <v>1762</v>
      </c>
      <c r="DV8">
        <v>2025</v>
      </c>
      <c r="DW8" t="s">
        <v>2375</v>
      </c>
      <c r="DX8" s="6">
        <v>45922</v>
      </c>
      <c r="DY8">
        <v>5</v>
      </c>
      <c r="DZ8">
        <v>135574848</v>
      </c>
      <c r="EA8">
        <v>11937231</v>
      </c>
      <c r="EB8" t="s">
        <v>2376</v>
      </c>
      <c r="EE8" t="s">
        <v>1880</v>
      </c>
      <c r="EF8">
        <v>3.2472560000000001</v>
      </c>
      <c r="EG8" t="s">
        <v>1786</v>
      </c>
      <c r="EH8">
        <v>2.573108</v>
      </c>
      <c r="EI8" t="s">
        <v>1762</v>
      </c>
      <c r="EJ8">
        <v>2025</v>
      </c>
      <c r="EK8" t="s">
        <v>1877</v>
      </c>
      <c r="EL8" s="6">
        <v>45888</v>
      </c>
      <c r="EM8">
        <v>5</v>
      </c>
      <c r="EN8">
        <v>357945024</v>
      </c>
      <c r="EO8">
        <v>10451815</v>
      </c>
      <c r="EP8" t="s">
        <v>1881</v>
      </c>
      <c r="EU8" t="s">
        <v>2817</v>
      </c>
      <c r="EV8" t="s">
        <v>1786</v>
      </c>
      <c r="EW8">
        <v>0.39843600000000001</v>
      </c>
      <c r="EX8">
        <v>0.58359499999999997</v>
      </c>
      <c r="EY8" t="s">
        <v>1845</v>
      </c>
      <c r="EZ8">
        <v>2025</v>
      </c>
      <c r="FA8" t="s">
        <v>2818</v>
      </c>
      <c r="FB8" s="6">
        <v>46072</v>
      </c>
      <c r="FC8">
        <v>5</v>
      </c>
      <c r="FD8">
        <v>14843609.470000001</v>
      </c>
      <c r="FE8">
        <v>70579391</v>
      </c>
      <c r="FF8" t="s">
        <v>2819</v>
      </c>
      <c r="FI8" t="s">
        <v>2575</v>
      </c>
      <c r="FJ8">
        <v>-2.4245362661989844E-14</v>
      </c>
      <c r="FL8">
        <v>-2.4245362661989844E-14</v>
      </c>
      <c r="FM8" t="s">
        <v>1745</v>
      </c>
      <c r="FN8">
        <v>2024</v>
      </c>
      <c r="FO8" t="s">
        <v>2576</v>
      </c>
      <c r="FP8" s="6">
        <v>45785</v>
      </c>
      <c r="FQ8">
        <v>5</v>
      </c>
      <c r="FR8">
        <v>-2.4245362661989844E-14</v>
      </c>
      <c r="FS8">
        <v>71626870</v>
      </c>
      <c r="FT8" t="s">
        <v>2577</v>
      </c>
      <c r="FY8" t="s">
        <v>3443</v>
      </c>
      <c r="GA8">
        <v>-2.4245362661989844E-14</v>
      </c>
      <c r="GB8">
        <v>-2.4245362661989844E-14</v>
      </c>
      <c r="GC8" t="s">
        <v>1745</v>
      </c>
      <c r="GD8">
        <v>2021</v>
      </c>
      <c r="GE8" t="s">
        <v>3444</v>
      </c>
      <c r="GF8" s="6">
        <v>44673</v>
      </c>
      <c r="GG8">
        <v>5</v>
      </c>
      <c r="GH8">
        <v>-2.4245362661989844E-14</v>
      </c>
      <c r="GI8">
        <v>14058192</v>
      </c>
      <c r="GJ8" t="s">
        <v>3445</v>
      </c>
      <c r="GM8" t="s">
        <v>3002</v>
      </c>
      <c r="GN8">
        <v>2.655659</v>
      </c>
      <c r="GO8" t="s">
        <v>1786</v>
      </c>
      <c r="GP8">
        <v>0.66348600000000002</v>
      </c>
      <c r="GQ8" t="s">
        <v>1809</v>
      </c>
      <c r="GR8">
        <v>2025</v>
      </c>
      <c r="GS8" t="s">
        <v>5144</v>
      </c>
      <c r="GT8" s="6">
        <v>45813</v>
      </c>
      <c r="GU8">
        <v>5</v>
      </c>
      <c r="GV8">
        <v>24856968</v>
      </c>
      <c r="GW8">
        <v>163205</v>
      </c>
      <c r="GX8" t="s">
        <v>3004</v>
      </c>
      <c r="PE8" t="s">
        <v>4466</v>
      </c>
      <c r="PG8">
        <v>-2.4245362661989844E-14</v>
      </c>
      <c r="PH8">
        <v>-2.4245362661989844E-14</v>
      </c>
      <c r="PI8" t="s">
        <v>1745</v>
      </c>
      <c r="PJ8">
        <v>2024</v>
      </c>
      <c r="PK8" t="s">
        <v>3730</v>
      </c>
      <c r="PL8" s="6">
        <v>45883</v>
      </c>
      <c r="PM8">
        <v>5</v>
      </c>
      <c r="PN8">
        <v>-2.4245362661989844E-14</v>
      </c>
      <c r="PO8">
        <v>45882101</v>
      </c>
      <c r="PP8" t="s">
        <v>4467</v>
      </c>
      <c r="PS8" t="s">
        <v>3735</v>
      </c>
      <c r="PT8">
        <v>5.09</v>
      </c>
      <c r="PU8" t="s">
        <v>1786</v>
      </c>
      <c r="PV8">
        <v>1.109459</v>
      </c>
      <c r="PW8" t="s">
        <v>1845</v>
      </c>
      <c r="PX8">
        <v>2025</v>
      </c>
      <c r="PY8" t="s">
        <v>5962</v>
      </c>
      <c r="PZ8" s="6">
        <v>46083</v>
      </c>
      <c r="QA8">
        <v>5</v>
      </c>
      <c r="QB8">
        <v>17008846</v>
      </c>
      <c r="QC8">
        <v>119151</v>
      </c>
      <c r="QD8" t="s">
        <v>3737</v>
      </c>
      <c r="SQ8" t="s">
        <v>1885</v>
      </c>
      <c r="SS8">
        <v>-2.4245362661989844E-14</v>
      </c>
      <c r="ST8">
        <v>-2.4245362661989844E-14</v>
      </c>
      <c r="SU8" t="s">
        <v>1745</v>
      </c>
      <c r="SV8">
        <v>2022</v>
      </c>
      <c r="SW8" t="s">
        <v>5474</v>
      </c>
      <c r="SX8" s="6">
        <v>45734</v>
      </c>
      <c r="SY8">
        <v>5</v>
      </c>
      <c r="SZ8">
        <v>-2.4245362661989844E-14</v>
      </c>
      <c r="TA8">
        <v>216952</v>
      </c>
      <c r="TB8" t="s">
        <v>1886</v>
      </c>
      <c r="UY8" t="s">
        <v>2683</v>
      </c>
      <c r="UZ8" t="s">
        <v>1786</v>
      </c>
      <c r="VA8">
        <v>4.9030000000000002E-3</v>
      </c>
      <c r="VB8">
        <v>9.7503999999999993E-2</v>
      </c>
      <c r="VC8" t="s">
        <v>1762</v>
      </c>
      <c r="VD8">
        <v>2025</v>
      </c>
      <c r="VE8" t="s">
        <v>5244</v>
      </c>
      <c r="VF8" s="6">
        <v>45958</v>
      </c>
      <c r="VG8">
        <v>5</v>
      </c>
      <c r="VH8">
        <v>93565.67</v>
      </c>
      <c r="VI8">
        <v>109755</v>
      </c>
      <c r="VJ8" t="s">
        <v>2684</v>
      </c>
    </row>
    <row r="9" spans="1:600" x14ac:dyDescent="0.25">
      <c r="AE9" t="s">
        <v>5130</v>
      </c>
      <c r="AG9">
        <v>-2.4245362661989844E-14</v>
      </c>
      <c r="AH9">
        <v>-2.4245362661989844E-14</v>
      </c>
      <c r="AI9" t="s">
        <v>1762</v>
      </c>
      <c r="AJ9">
        <v>2024</v>
      </c>
      <c r="AK9" t="s">
        <v>5131</v>
      </c>
      <c r="AL9" s="6">
        <v>45433</v>
      </c>
      <c r="AM9">
        <v>5</v>
      </c>
      <c r="AN9">
        <v>-2.4245362661989844E-14</v>
      </c>
      <c r="AO9">
        <v>103350</v>
      </c>
      <c r="AP9" t="s">
        <v>5132</v>
      </c>
      <c r="CM9" t="s">
        <v>86</v>
      </c>
      <c r="CO9">
        <v>-2.4245362661989844E-14</v>
      </c>
      <c r="CP9">
        <v>-2.4245362661989844E-14</v>
      </c>
      <c r="CQ9" t="s">
        <v>1742</v>
      </c>
      <c r="CR9">
        <v>2023</v>
      </c>
      <c r="CS9" t="s">
        <v>2154</v>
      </c>
      <c r="CT9" s="6">
        <v>45144</v>
      </c>
      <c r="CU9">
        <v>5</v>
      </c>
      <c r="CV9">
        <v>-2.4245362661989844E-14</v>
      </c>
      <c r="CW9">
        <v>100193</v>
      </c>
      <c r="CX9" t="s">
        <v>1849</v>
      </c>
      <c r="DA9" t="s">
        <v>2156</v>
      </c>
      <c r="DB9">
        <v>-2.4245362661989844E-14</v>
      </c>
      <c r="DD9">
        <v>-2.4245362661989844E-14</v>
      </c>
      <c r="DE9" t="s">
        <v>1742</v>
      </c>
      <c r="DF9">
        <v>2023</v>
      </c>
      <c r="DG9" t="s">
        <v>2154</v>
      </c>
      <c r="DH9" s="6">
        <v>45144</v>
      </c>
      <c r="DI9">
        <v>5</v>
      </c>
      <c r="DJ9">
        <v>-2.4245362661989844E-14</v>
      </c>
      <c r="DK9">
        <v>170003</v>
      </c>
      <c r="DL9" t="s">
        <v>2157</v>
      </c>
      <c r="DQ9" t="s">
        <v>949</v>
      </c>
      <c r="DR9" t="s">
        <v>1786</v>
      </c>
      <c r="DS9">
        <v>9.9027270000000005</v>
      </c>
      <c r="DT9">
        <v>1.5774429999999999</v>
      </c>
      <c r="DU9" t="s">
        <v>1762</v>
      </c>
      <c r="DV9">
        <v>2025</v>
      </c>
      <c r="DW9" t="s">
        <v>2429</v>
      </c>
      <c r="DX9" s="6">
        <v>45904</v>
      </c>
      <c r="DY9">
        <v>5</v>
      </c>
      <c r="DZ9">
        <v>107991712</v>
      </c>
      <c r="EA9">
        <v>187877</v>
      </c>
      <c r="EB9" t="s">
        <v>2430</v>
      </c>
      <c r="EE9" t="s">
        <v>1079</v>
      </c>
      <c r="EF9">
        <v>3.0622020000000001</v>
      </c>
      <c r="EG9" t="s">
        <v>1786</v>
      </c>
      <c r="EH9">
        <v>2.546176</v>
      </c>
      <c r="EI9" t="s">
        <v>1762</v>
      </c>
      <c r="EJ9">
        <v>2025</v>
      </c>
      <c r="EK9" t="s">
        <v>1877</v>
      </c>
      <c r="EL9" s="6">
        <v>45888</v>
      </c>
      <c r="EM9">
        <v>5</v>
      </c>
      <c r="EN9">
        <v>337546528</v>
      </c>
      <c r="EO9">
        <v>100090</v>
      </c>
      <c r="EP9" t="s">
        <v>1882</v>
      </c>
      <c r="EU9" t="s">
        <v>2820</v>
      </c>
      <c r="EV9" t="s">
        <v>1786</v>
      </c>
      <c r="EW9">
        <v>1.796597</v>
      </c>
      <c r="EX9">
        <v>0.53488500000000005</v>
      </c>
      <c r="EY9" t="s">
        <v>1809</v>
      </c>
      <c r="EZ9">
        <v>2025</v>
      </c>
      <c r="FA9" t="s">
        <v>2821</v>
      </c>
      <c r="FB9" s="6">
        <v>45793</v>
      </c>
      <c r="FC9">
        <v>5</v>
      </c>
      <c r="FD9">
        <v>11350253</v>
      </c>
      <c r="FE9">
        <v>102417</v>
      </c>
      <c r="FF9" t="s">
        <v>2822</v>
      </c>
      <c r="FI9" t="s">
        <v>2578</v>
      </c>
      <c r="FJ9">
        <v>-2.4245362661989844E-14</v>
      </c>
      <c r="FL9">
        <v>-2.4245362661989844E-14</v>
      </c>
      <c r="FM9" t="s">
        <v>1745</v>
      </c>
      <c r="FN9">
        <v>2022</v>
      </c>
      <c r="FO9" t="s">
        <v>2579</v>
      </c>
      <c r="FP9" s="6">
        <v>45070</v>
      </c>
      <c r="FQ9">
        <v>5</v>
      </c>
      <c r="FR9">
        <v>-2.4245362661989844E-14</v>
      </c>
      <c r="FS9">
        <v>27516715</v>
      </c>
      <c r="FT9" t="s">
        <v>2580</v>
      </c>
      <c r="FY9" t="s">
        <v>3446</v>
      </c>
      <c r="GA9">
        <v>-2.4245362661989844E-14</v>
      </c>
      <c r="GB9">
        <v>-2.4245362661989844E-14</v>
      </c>
      <c r="GC9" t="s">
        <v>1805</v>
      </c>
      <c r="GD9">
        <v>2025</v>
      </c>
      <c r="GE9" t="s">
        <v>3447</v>
      </c>
      <c r="GF9" s="6">
        <v>45886</v>
      </c>
      <c r="GG9">
        <v>5</v>
      </c>
      <c r="GH9">
        <v>-2.4245362661989844E-14</v>
      </c>
      <c r="GI9">
        <v>48116636</v>
      </c>
      <c r="GJ9" t="s">
        <v>3448</v>
      </c>
      <c r="GM9" t="s">
        <v>5240</v>
      </c>
      <c r="GN9">
        <v>2.633435</v>
      </c>
      <c r="GO9" t="s">
        <v>1786</v>
      </c>
      <c r="GP9">
        <v>11.472034000000001</v>
      </c>
      <c r="GQ9" t="s">
        <v>1798</v>
      </c>
      <c r="GR9">
        <v>2025</v>
      </c>
      <c r="GS9" t="s">
        <v>5241</v>
      </c>
      <c r="GT9" s="6">
        <v>45974</v>
      </c>
      <c r="GU9">
        <v>5</v>
      </c>
      <c r="GV9">
        <v>25179579.969999999</v>
      </c>
      <c r="GW9">
        <v>44606377</v>
      </c>
      <c r="GX9" t="s">
        <v>5242</v>
      </c>
      <c r="PE9" t="s">
        <v>4468</v>
      </c>
      <c r="PG9">
        <v>-2.4245362661989844E-14</v>
      </c>
      <c r="PH9">
        <v>-2.4245362661989844E-14</v>
      </c>
      <c r="PI9" t="s">
        <v>1745</v>
      </c>
      <c r="PJ9">
        <v>2024</v>
      </c>
      <c r="PK9" t="s">
        <v>3730</v>
      </c>
      <c r="PL9" s="6">
        <v>45883</v>
      </c>
      <c r="PM9">
        <v>5</v>
      </c>
      <c r="PN9">
        <v>-2.4245362661989844E-14</v>
      </c>
      <c r="PO9">
        <v>11404171</v>
      </c>
      <c r="PP9" t="s">
        <v>4469</v>
      </c>
      <c r="PS9" t="s">
        <v>1674</v>
      </c>
      <c r="PT9">
        <v>4.8083900000000002</v>
      </c>
      <c r="PU9" t="s">
        <v>1820</v>
      </c>
      <c r="PV9">
        <v>0.370504</v>
      </c>
      <c r="PW9" t="s">
        <v>1845</v>
      </c>
      <c r="PX9">
        <v>2025</v>
      </c>
      <c r="PY9" t="s">
        <v>5962</v>
      </c>
      <c r="PZ9" s="6">
        <v>46083</v>
      </c>
      <c r="QA9">
        <v>5</v>
      </c>
      <c r="QB9">
        <v>16067812</v>
      </c>
      <c r="QC9">
        <v>100315</v>
      </c>
      <c r="QD9" t="s">
        <v>5963</v>
      </c>
      <c r="SQ9" t="s">
        <v>5510</v>
      </c>
      <c r="SS9">
        <v>-2.4245362661989844E-14</v>
      </c>
      <c r="ST9">
        <v>-2.4245362661989844E-14</v>
      </c>
      <c r="SU9" t="s">
        <v>1745</v>
      </c>
      <c r="SV9">
        <v>2021</v>
      </c>
      <c r="SW9" t="s">
        <v>5511</v>
      </c>
      <c r="SX9" s="6">
        <v>44652</v>
      </c>
      <c r="SY9">
        <v>5</v>
      </c>
      <c r="SZ9">
        <v>-2.4245362661989844E-14</v>
      </c>
      <c r="TA9">
        <v>210195</v>
      </c>
      <c r="TB9" t="s">
        <v>5512</v>
      </c>
      <c r="UY9" t="s">
        <v>5245</v>
      </c>
      <c r="VA9">
        <v>-2.4245362661989844E-14</v>
      </c>
      <c r="VB9">
        <v>-2.4245362661989844E-14</v>
      </c>
      <c r="VC9" t="s">
        <v>1762</v>
      </c>
      <c r="VD9">
        <v>2025</v>
      </c>
      <c r="VE9" t="s">
        <v>5246</v>
      </c>
      <c r="VF9" s="6">
        <v>45957</v>
      </c>
      <c r="VG9">
        <v>5</v>
      </c>
      <c r="VH9">
        <v>-2.4245362661989844E-14</v>
      </c>
      <c r="VI9">
        <v>44830835</v>
      </c>
      <c r="VJ9" t="s">
        <v>5247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B9"/>
  <sheetViews>
    <sheetView tabSelected="1"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468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469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470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471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472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473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474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475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476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477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478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479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480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481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482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483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484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485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486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487</v>
      </c>
      <c r="AE2" s="3" t="s">
        <v>121</v>
      </c>
      <c r="BI2" s="3" t="s">
        <v>488</v>
      </c>
      <c r="CM2" s="3" t="s">
        <v>489</v>
      </c>
      <c r="DQ2" s="3" t="s">
        <v>490</v>
      </c>
      <c r="EU2" s="3" t="s">
        <v>423</v>
      </c>
      <c r="FY2" s="3" t="s">
        <v>491</v>
      </c>
      <c r="HC2" s="3" t="s">
        <v>492</v>
      </c>
      <c r="IG2" s="3" t="s">
        <v>493</v>
      </c>
      <c r="JK2" s="3" t="s">
        <v>494</v>
      </c>
      <c r="KO2" s="3" t="s">
        <v>424</v>
      </c>
      <c r="LS2" s="3" t="s">
        <v>495</v>
      </c>
      <c r="MW2" s="3" t="s">
        <v>496</v>
      </c>
      <c r="OA2" s="3" t="s">
        <v>454</v>
      </c>
      <c r="PE2" s="3" t="s">
        <v>497</v>
      </c>
      <c r="QI2" s="3" t="s">
        <v>33</v>
      </c>
      <c r="RM2" s="3" t="s">
        <v>385</v>
      </c>
      <c r="SQ2" s="3" t="s">
        <v>498</v>
      </c>
      <c r="TU2" s="3" t="s">
        <v>499</v>
      </c>
      <c r="UY2" s="3" t="s">
        <v>279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_xll.BDS("IRM US Equity","SUPPLY_CHAIN_SUPPLIERS_ALL_DATA","cols=12;rows=5")</f>
        <v>TCS IN Equity</v>
      </c>
      <c r="B5" t="s">
        <v>1769</v>
      </c>
      <c r="C5">
        <v>0.28777399999999997</v>
      </c>
      <c r="D5">
        <v>6.497026</v>
      </c>
      <c r="E5" t="s">
        <v>1845</v>
      </c>
      <c r="F5">
        <v>2025</v>
      </c>
      <c r="G5" t="s">
        <v>2851</v>
      </c>
      <c r="H5" s="6">
        <v>45827</v>
      </c>
      <c r="I5">
        <v>5</v>
      </c>
      <c r="J5">
        <v>21428015.140000001</v>
      </c>
      <c r="K5">
        <v>7259059</v>
      </c>
      <c r="L5" t="s">
        <v>2852</v>
      </c>
      <c r="O5" t="str">
        <f>_xll.BDS("IRM US Equity","SUPPLY_CHAIN_CUSTOMERS_ALL_DATA","cols=12;rows=5")</f>
        <v>MFMI IJ Equity</v>
      </c>
      <c r="P5">
        <v>4.0340000000000003E-3</v>
      </c>
      <c r="Q5" t="s">
        <v>1786</v>
      </c>
      <c r="R5">
        <v>3.3546930000000001</v>
      </c>
      <c r="S5" t="s">
        <v>1798</v>
      </c>
      <c r="T5">
        <v>2025</v>
      </c>
      <c r="U5" t="s">
        <v>5139</v>
      </c>
      <c r="V5" s="6">
        <v>45961</v>
      </c>
      <c r="W5">
        <v>5</v>
      </c>
      <c r="X5">
        <v>66364.33</v>
      </c>
      <c r="Y5">
        <v>22712328</v>
      </c>
      <c r="Z5" t="s">
        <v>5140</v>
      </c>
      <c r="AE5" t="str">
        <f>_xll.BDS("IBM US Equity","SUPPLY_CHAIN_SUPPLIERS_ALL_DATA","cols=12;rows=5")</f>
        <v>005930 KS Equity</v>
      </c>
      <c r="AF5" t="s">
        <v>1786</v>
      </c>
      <c r="AG5">
        <v>0.49490499999999998</v>
      </c>
      <c r="AH5">
        <v>4.1423690000000004</v>
      </c>
      <c r="AI5" t="s">
        <v>1809</v>
      </c>
      <c r="AJ5">
        <v>2025</v>
      </c>
      <c r="AK5" t="s">
        <v>2035</v>
      </c>
      <c r="AL5" s="6">
        <v>45797</v>
      </c>
      <c r="AM5">
        <v>5</v>
      </c>
      <c r="AN5">
        <v>269668224</v>
      </c>
      <c r="AO5">
        <v>117929</v>
      </c>
      <c r="AP5" t="s">
        <v>1791</v>
      </c>
      <c r="AS5" t="str">
        <f>_xll.BDS("IBM US Equity","SUPPLY_CHAIN_CUSTOMERS_ALL_DATA","cols=12;rows=5")</f>
        <v>AMZN US Equity</v>
      </c>
      <c r="AT5">
        <v>4.454224</v>
      </c>
      <c r="AU5" t="s">
        <v>1786</v>
      </c>
      <c r="AV5">
        <v>0.84141600000000005</v>
      </c>
      <c r="AW5" t="s">
        <v>1809</v>
      </c>
      <c r="AX5">
        <v>2025</v>
      </c>
      <c r="AY5" t="s">
        <v>2035</v>
      </c>
      <c r="AZ5" s="6">
        <v>45797</v>
      </c>
      <c r="BA5">
        <v>5</v>
      </c>
      <c r="BB5">
        <v>647688704</v>
      </c>
      <c r="BC5">
        <v>216952</v>
      </c>
      <c r="BD5" t="s">
        <v>1886</v>
      </c>
      <c r="BI5" t="str">
        <f>_xll.BDS("AGR US Equity","SUPPLY_CHAIN_SUPPLIERS_ALL_DATA","cols=12;rows=5")</f>
        <v>3365854Z US Equity</v>
      </c>
      <c r="BK5">
        <v>-2.4245362661989844E-14</v>
      </c>
      <c r="BL5">
        <v>-2.4245362661989844E-14</v>
      </c>
      <c r="BM5" t="s">
        <v>1745</v>
      </c>
      <c r="BN5">
        <v>2024</v>
      </c>
      <c r="BO5" t="s">
        <v>3579</v>
      </c>
      <c r="BP5" s="6">
        <v>45593</v>
      </c>
      <c r="BQ5">
        <v>5</v>
      </c>
      <c r="BR5">
        <v>-2.4245362661989844E-14</v>
      </c>
      <c r="BS5">
        <v>16825198</v>
      </c>
      <c r="BT5" t="s">
        <v>3823</v>
      </c>
      <c r="BW5" t="str">
        <f>_xll.BDS("AGR US Equity","SUPPLY_CHAIN_CUSTOMERS_ALL_DATA","cols=12;rows=5")</f>
        <v>1256Z NO Equity</v>
      </c>
      <c r="BX5">
        <v>-2.4245362661989844E-14</v>
      </c>
      <c r="BZ5">
        <v>-2.4245362661989844E-14</v>
      </c>
      <c r="CA5" t="s">
        <v>1745</v>
      </c>
      <c r="CB5">
        <v>2024</v>
      </c>
      <c r="CC5" t="s">
        <v>3579</v>
      </c>
      <c r="CD5" s="6">
        <v>45519</v>
      </c>
      <c r="CE5">
        <v>5</v>
      </c>
      <c r="CF5">
        <v>-2.4245362661989844E-14</v>
      </c>
      <c r="CG5">
        <v>173537</v>
      </c>
      <c r="CH5" t="s">
        <v>3580</v>
      </c>
      <c r="CM5" t="str">
        <f>_xll.BDS("CLOV US Equity","SUPPLY_CHAIN_SUPPLIERS_ALL_DATA","cols=12;rows=5")</f>
        <v>0633555D US Equity</v>
      </c>
      <c r="CO5">
        <v>-2.4245362661989844E-14</v>
      </c>
      <c r="CP5">
        <v>-2.4245362661989844E-14</v>
      </c>
      <c r="CQ5" t="s">
        <v>1742</v>
      </c>
      <c r="CR5">
        <v>2025</v>
      </c>
      <c r="CS5" t="s">
        <v>6327</v>
      </c>
      <c r="CT5" s="6">
        <v>45968</v>
      </c>
      <c r="CU5">
        <v>5</v>
      </c>
      <c r="CV5">
        <v>-2.4245362661989844E-14</v>
      </c>
      <c r="CW5">
        <v>33653724</v>
      </c>
      <c r="CX5" t="s">
        <v>6328</v>
      </c>
      <c r="DA5" t="str">
        <f>_xll.BDS("CLOV US Equity","SUPPLY_CHAIN_CUSTOMERS_ALL_DATA","cols=12;rows=2")</f>
        <v>0107341D US Equity</v>
      </c>
      <c r="DB5">
        <v>-2.4245362661989844E-14</v>
      </c>
      <c r="DD5">
        <v>-2.4245362661989844E-14</v>
      </c>
      <c r="DE5" t="s">
        <v>1745</v>
      </c>
      <c r="DF5">
        <v>2024</v>
      </c>
      <c r="DG5" t="s">
        <v>6060</v>
      </c>
      <c r="DH5" s="6">
        <v>45538</v>
      </c>
      <c r="DI5">
        <v>2</v>
      </c>
      <c r="DJ5">
        <v>-2.4245362661989844E-14</v>
      </c>
      <c r="DK5">
        <v>26854993</v>
      </c>
      <c r="DL5" t="s">
        <v>6061</v>
      </c>
      <c r="DQ5" t="str">
        <f>_xll.BDS("CMRCQ US Equity","SUPPLY_CHAIN_SUPPLIERS_ALL_DATA")</f>
        <v>#N/A N/A</v>
      </c>
      <c r="EE5" t="str">
        <f>_xll.BDS("CMRCQ US Equity","SUPPLY_CHAIN_CUSTOMERS_ALL_DATA")</f>
        <v>#N/A N/A</v>
      </c>
      <c r="EU5" t="str">
        <f>_xll.BDS("JPM US Equity","SUPPLY_CHAIN_SUPPLIERS_ALL_DATA","cols=12;rows=5")</f>
        <v>LUV US Equity</v>
      </c>
      <c r="EW5">
        <v>10.404375</v>
      </c>
      <c r="EX5">
        <v>-2.4245362661989844E-14</v>
      </c>
      <c r="EY5" t="s">
        <v>1742</v>
      </c>
      <c r="EZ5">
        <v>2025</v>
      </c>
      <c r="FA5" t="s">
        <v>3125</v>
      </c>
      <c r="FB5" s="6">
        <v>45953</v>
      </c>
      <c r="FC5">
        <v>5</v>
      </c>
      <c r="FD5">
        <v>723000000</v>
      </c>
      <c r="FE5">
        <v>101374</v>
      </c>
      <c r="FF5" t="s">
        <v>3126</v>
      </c>
      <c r="FI5" t="str">
        <f>_xll.BDS("JPM US Equity","SUPPLY_CHAIN_CUSTOMERS_ALL_DATA","cols=12;rows=5")</f>
        <v>000737 CH Equity</v>
      </c>
      <c r="FJ5">
        <v>-2.4245362661989844E-14</v>
      </c>
      <c r="FL5">
        <v>-2.4245362661989844E-14</v>
      </c>
      <c r="FM5" t="s">
        <v>1745</v>
      </c>
      <c r="FN5">
        <v>2022</v>
      </c>
      <c r="FO5" t="s">
        <v>3665</v>
      </c>
      <c r="FP5" s="6">
        <v>45027</v>
      </c>
      <c r="FQ5">
        <v>5</v>
      </c>
      <c r="FR5">
        <v>-2.4245362661989844E-14</v>
      </c>
      <c r="FS5">
        <v>223099</v>
      </c>
      <c r="FT5" t="s">
        <v>3666</v>
      </c>
      <c r="FY5" t="str">
        <f>_xll.BDS("INTU US Equity","SUPPLY_CHAIN_SUPPLIERS_ALL_DATA","cols=12;rows=5")</f>
        <v>EMBASSY IN Equity</v>
      </c>
      <c r="FZ5" t="s">
        <v>1769</v>
      </c>
      <c r="GA5">
        <v>1.3256429999999999</v>
      </c>
      <c r="GB5">
        <v>9.8097000000000004E-2</v>
      </c>
      <c r="GC5" t="s">
        <v>1745</v>
      </c>
      <c r="GD5">
        <v>2025</v>
      </c>
      <c r="GE5" t="s">
        <v>3083</v>
      </c>
      <c r="GF5" s="6">
        <v>45817</v>
      </c>
      <c r="GG5">
        <v>5</v>
      </c>
      <c r="GH5">
        <v>1583580.52</v>
      </c>
      <c r="GI5">
        <v>63052670</v>
      </c>
      <c r="GJ5" t="s">
        <v>3084</v>
      </c>
      <c r="GM5" t="str">
        <f>_xll.BDS("INTU US Equity","SUPPLY_CHAIN_CUSTOMERS_ALL_DATA","cols=12;rows=5")</f>
        <v>SNX US Equity</v>
      </c>
      <c r="GN5">
        <v>0.41684900000000003</v>
      </c>
      <c r="GO5" t="s">
        <v>1786</v>
      </c>
      <c r="GP5">
        <v>0.100063</v>
      </c>
      <c r="GQ5" t="s">
        <v>1845</v>
      </c>
      <c r="GR5">
        <v>2025</v>
      </c>
      <c r="GS5" t="s">
        <v>1887</v>
      </c>
      <c r="GT5" s="6">
        <v>46056</v>
      </c>
      <c r="GU5">
        <v>5</v>
      </c>
      <c r="GV5">
        <v>16194586</v>
      </c>
      <c r="GW5">
        <v>1499717</v>
      </c>
      <c r="GX5" t="s">
        <v>1864</v>
      </c>
      <c r="HC5" t="str">
        <f>_xll.BDS("GME US Equity","SUPPLY_CHAIN_SUPPLIERS_ALL_DATA","cols=12;rows=5")</f>
        <v>6758 JP Equity</v>
      </c>
      <c r="HD5" t="s">
        <v>1786</v>
      </c>
      <c r="HE5">
        <v>0.56064899999999995</v>
      </c>
      <c r="HF5">
        <v>14.761501000000001</v>
      </c>
      <c r="HG5" t="s">
        <v>1762</v>
      </c>
      <c r="HH5">
        <v>2026</v>
      </c>
      <c r="HI5" t="s">
        <v>5608</v>
      </c>
      <c r="HJ5" s="6">
        <v>45926</v>
      </c>
      <c r="HK5">
        <v>5</v>
      </c>
      <c r="HL5">
        <v>101721504</v>
      </c>
      <c r="HM5">
        <v>101365</v>
      </c>
      <c r="HN5" t="s">
        <v>3687</v>
      </c>
      <c r="HQ5" t="str">
        <f>_xll.BDS("GME US Equity","SUPPLY_CHAIN_CUSTOMERS_ALL_DATA","cols=12;rows=1")</f>
        <v>1918839D AU Equity</v>
      </c>
      <c r="HR5">
        <v>-2.4245362661989844E-14</v>
      </c>
      <c r="HT5">
        <v>-2.4245362661989844E-14</v>
      </c>
      <c r="HU5" t="s">
        <v>1742</v>
      </c>
      <c r="HV5">
        <v>2024</v>
      </c>
      <c r="HW5" t="s">
        <v>2203</v>
      </c>
      <c r="HX5" s="6">
        <v>45266</v>
      </c>
      <c r="HY5">
        <v>1</v>
      </c>
      <c r="HZ5">
        <v>-2.4245362661989844E-14</v>
      </c>
      <c r="IA5">
        <v>69735168</v>
      </c>
      <c r="IB5" t="s">
        <v>2204</v>
      </c>
      <c r="IG5" t="str">
        <f>_xll.BDS("605018Q US Equity","SUPPLY_CHAIN_SUPPLIERS_ALL_DATA")</f>
        <v>#N/A N/A</v>
      </c>
      <c r="IU5" t="str">
        <f>_xll.BDS("605018Q US Equity","SUPPLY_CHAIN_CUSTOMERS_ALL_DATA")</f>
        <v>#N/A N/A</v>
      </c>
      <c r="JK5" t="str">
        <f>_xll.BDS("ACC US Equity","SUPPLY_CHAIN_SUPPLIERS_ALL_DATA")</f>
        <v>#N/A N/A</v>
      </c>
      <c r="JY5" t="str">
        <f>_xll.BDS("ACC US Equity","SUPPLY_CHAIN_CUSTOMERS_ALL_DATA")</f>
        <v>#N/A N/A</v>
      </c>
      <c r="KO5" t="str">
        <f>_xll.BDS("MSFT US Equity","SUPPLY_CHAIN_SUPPLIERS_ALL_DATA","cols=12;rows=5")</f>
        <v>NVDA US Equity</v>
      </c>
      <c r="KP5" t="s">
        <v>1820</v>
      </c>
      <c r="KQ5">
        <v>22.047934000000001</v>
      </c>
      <c r="KR5">
        <v>50.276459000000003</v>
      </c>
      <c r="KS5" t="s">
        <v>1845</v>
      </c>
      <c r="KT5">
        <v>2026</v>
      </c>
      <c r="KU5" t="s">
        <v>2311</v>
      </c>
      <c r="KV5" s="6">
        <v>46087</v>
      </c>
      <c r="KW5">
        <v>5</v>
      </c>
      <c r="KX5">
        <v>15020595200</v>
      </c>
      <c r="KY5">
        <v>313657</v>
      </c>
      <c r="KZ5" t="s">
        <v>2312</v>
      </c>
      <c r="LC5" t="str">
        <f>_xll.BDS("MSFT US Equity","SUPPLY_CHAIN_CUSTOMERS_ALL_DATA","cols=12;rows=5")</f>
        <v>SNX US Equity</v>
      </c>
      <c r="LD5">
        <v>0.94513400000000003</v>
      </c>
      <c r="LE5" t="s">
        <v>1786</v>
      </c>
      <c r="LF5">
        <v>4.7461719999999996</v>
      </c>
      <c r="LG5" t="s">
        <v>1845</v>
      </c>
      <c r="LH5">
        <v>2025</v>
      </c>
      <c r="LI5" t="s">
        <v>1887</v>
      </c>
      <c r="LJ5" s="6">
        <v>46056</v>
      </c>
      <c r="LK5">
        <v>5</v>
      </c>
      <c r="LL5">
        <v>768139008</v>
      </c>
      <c r="LM5">
        <v>1499717</v>
      </c>
      <c r="LN5" t="s">
        <v>1864</v>
      </c>
      <c r="LS5" t="str">
        <f>_xll.BDS("EFX US Equity","SUPPLY_CHAIN_SUPPLIERS_ALL_DATA","cols=12;rows=5")</f>
        <v>FICO US Equity</v>
      </c>
      <c r="LT5" t="s">
        <v>1769</v>
      </c>
      <c r="LU5">
        <v>17.381622</v>
      </c>
      <c r="LV5">
        <v>23.123028000000001</v>
      </c>
      <c r="LW5" t="s">
        <v>1762</v>
      </c>
      <c r="LX5">
        <v>2025</v>
      </c>
      <c r="LY5" t="s">
        <v>6552</v>
      </c>
      <c r="LZ5" s="6">
        <v>45797</v>
      </c>
      <c r="MA5">
        <v>5</v>
      </c>
      <c r="MB5">
        <v>86688232</v>
      </c>
      <c r="MC5">
        <v>103869</v>
      </c>
      <c r="MD5" t="s">
        <v>3932</v>
      </c>
      <c r="MG5" t="str">
        <f>_xll.BDS("EFX US Equity","SUPPLY_CHAIN_CUSTOMERS_ALL_DATA","cols=12;rows=5")</f>
        <v>2512660D US Equity</v>
      </c>
      <c r="MH5">
        <v>-2.4245362661989844E-14</v>
      </c>
      <c r="MJ5">
        <v>-2.4245362661989844E-14</v>
      </c>
      <c r="MK5" t="s">
        <v>1745</v>
      </c>
      <c r="ML5">
        <v>2022</v>
      </c>
      <c r="MM5" t="s">
        <v>6557</v>
      </c>
      <c r="MN5" s="6">
        <v>44938</v>
      </c>
      <c r="MO5">
        <v>5</v>
      </c>
      <c r="MP5">
        <v>-2.4245362661989844E-14</v>
      </c>
      <c r="MQ5">
        <v>17999121</v>
      </c>
      <c r="MR5" t="s">
        <v>6558</v>
      </c>
      <c r="MW5" t="str">
        <f>_xll.BDS("CVS US Equity","SUPPLY_CHAIN_SUPPLIERS_ALL_DATA","cols=12;rows=5")</f>
        <v>MCK US Equity</v>
      </c>
      <c r="MX5" t="s">
        <v>1786</v>
      </c>
      <c r="MY5">
        <v>24</v>
      </c>
      <c r="MZ5">
        <v>26.455601000000001</v>
      </c>
      <c r="NA5" t="s">
        <v>1745</v>
      </c>
      <c r="NB5">
        <v>2025</v>
      </c>
      <c r="NC5" t="s">
        <v>3119</v>
      </c>
      <c r="ND5" s="6">
        <v>45786</v>
      </c>
      <c r="NE5">
        <v>5</v>
      </c>
      <c r="NF5">
        <v>21543059456</v>
      </c>
      <c r="NG5">
        <v>154936</v>
      </c>
      <c r="NH5" t="s">
        <v>2146</v>
      </c>
      <c r="NK5" t="str">
        <f>_xll.BDS("CVS US Equity","SUPPLY_CHAIN_CUSTOMERS_ALL_DATA","cols=12;rows=5")</f>
        <v>3352Z US Equity</v>
      </c>
      <c r="NL5">
        <v>20</v>
      </c>
      <c r="NN5">
        <v>-2.4245362661989844E-14</v>
      </c>
      <c r="NO5" t="s">
        <v>1745</v>
      </c>
      <c r="NP5">
        <v>2025</v>
      </c>
      <c r="NQ5" t="s">
        <v>3750</v>
      </c>
      <c r="NR5" s="6">
        <v>46063</v>
      </c>
      <c r="NS5">
        <v>5</v>
      </c>
      <c r="NT5">
        <v>20103350272</v>
      </c>
      <c r="NU5">
        <v>218252</v>
      </c>
      <c r="NV5" t="s">
        <v>1803</v>
      </c>
      <c r="OA5" t="str">
        <f>_xll.BDS("GE US Equity","SUPPLY_CHAIN_SUPPLIERS_ALL_DATA","cols=12;rows=5")</f>
        <v>SAF FP Equity</v>
      </c>
      <c r="OB5" t="s">
        <v>1786</v>
      </c>
      <c r="OC5">
        <v>7.9101749999999997</v>
      </c>
      <c r="OD5">
        <v>9.7364909999999991</v>
      </c>
      <c r="OE5" t="s">
        <v>1762</v>
      </c>
      <c r="OF5">
        <v>2025</v>
      </c>
      <c r="OG5" t="s">
        <v>2423</v>
      </c>
      <c r="OH5" s="6">
        <v>45874</v>
      </c>
      <c r="OI5">
        <v>5</v>
      </c>
      <c r="OJ5">
        <v>666294015.34000003</v>
      </c>
      <c r="OK5">
        <v>115519</v>
      </c>
      <c r="OL5" t="s">
        <v>2424</v>
      </c>
      <c r="OO5" t="str">
        <f>_xll.BDS("GE US Equity","SUPPLY_CHAIN_CUSTOMERS_ALL_DATA","cols=12;rows=5")</f>
        <v>3352Z US Equity</v>
      </c>
      <c r="OP5">
        <v>10</v>
      </c>
      <c r="OR5">
        <v>-2.4245362661989844E-14</v>
      </c>
      <c r="OS5" t="s">
        <v>1745</v>
      </c>
      <c r="OT5">
        <v>2025</v>
      </c>
      <c r="OU5" t="s">
        <v>1876</v>
      </c>
      <c r="OV5" s="6">
        <v>46051</v>
      </c>
      <c r="OW5">
        <v>5</v>
      </c>
      <c r="OX5">
        <v>1146375040</v>
      </c>
      <c r="OY5">
        <v>218252</v>
      </c>
      <c r="OZ5" t="s">
        <v>1803</v>
      </c>
      <c r="PE5" t="str">
        <f>_xll.BDS("MWE US Equity","SUPPLY_CHAIN_SUPPLIERS_ALL_DATA")</f>
        <v>#N/A N/A</v>
      </c>
      <c r="PS5" t="str">
        <f>_xll.BDS("MWE US Equity","SUPPLY_CHAIN_CUSTOMERS_ALL_DATA")</f>
        <v>#N/A N/A</v>
      </c>
      <c r="QI5" t="str">
        <f>_xll.BDS("PFE US Equity","SUPPLY_CHAIN_SUPPLIERS_ALL_DATA","cols=12;rows=5")</f>
        <v>BNTX US Equity</v>
      </c>
      <c r="QJ5" t="s">
        <v>1786</v>
      </c>
      <c r="QK5">
        <v>73</v>
      </c>
      <c r="QL5">
        <v>12.187704999999999</v>
      </c>
      <c r="QM5" t="s">
        <v>1745</v>
      </c>
      <c r="QN5">
        <v>2024</v>
      </c>
      <c r="QO5" t="s">
        <v>5998</v>
      </c>
      <c r="QP5" s="6">
        <v>45726</v>
      </c>
      <c r="QQ5">
        <v>5</v>
      </c>
      <c r="QR5">
        <v>544064265</v>
      </c>
      <c r="QS5">
        <v>65839686</v>
      </c>
      <c r="QT5" t="s">
        <v>5999</v>
      </c>
      <c r="QW5" t="str">
        <f>_xll.BDS("PFE US Equity","SUPPLY_CHAIN_CUSTOMERS_ALL_DATA","cols=12;rows=5")</f>
        <v>MCK US Equity</v>
      </c>
      <c r="QX5">
        <v>25</v>
      </c>
      <c r="QY5" t="s">
        <v>1786</v>
      </c>
      <c r="QZ5">
        <v>4.0761390000000004</v>
      </c>
      <c r="RA5" t="s">
        <v>1745</v>
      </c>
      <c r="RB5">
        <v>2025</v>
      </c>
      <c r="RC5" t="s">
        <v>2145</v>
      </c>
      <c r="RD5" s="6">
        <v>46079</v>
      </c>
      <c r="RE5">
        <v>5</v>
      </c>
      <c r="RF5">
        <v>3911187456</v>
      </c>
      <c r="RG5">
        <v>154936</v>
      </c>
      <c r="RH5" t="s">
        <v>2146</v>
      </c>
      <c r="RM5" t="str">
        <f>_xll.BDS("JNJ US Equity","SUPPLY_CHAIN_SUPPLIERS_ALL_DATA","cols=12;rows=5")</f>
        <v>GMAB DC Equity</v>
      </c>
      <c r="RN5" t="s">
        <v>2416</v>
      </c>
      <c r="RO5">
        <v>66.998047</v>
      </c>
      <c r="RP5">
        <v>11.040321</v>
      </c>
      <c r="RQ5" t="s">
        <v>1745</v>
      </c>
      <c r="RR5">
        <v>2024</v>
      </c>
      <c r="RS5" t="s">
        <v>2793</v>
      </c>
      <c r="RT5" s="6">
        <v>45701</v>
      </c>
      <c r="RU5">
        <v>5</v>
      </c>
      <c r="RV5">
        <v>522920364.22000003</v>
      </c>
      <c r="RW5">
        <v>1405715</v>
      </c>
      <c r="RX5" t="s">
        <v>2794</v>
      </c>
      <c r="SA5" t="str">
        <f>_xll.BDS("JNJ US Equity","SUPPLY_CHAIN_CUSTOMERS_ALL_DATA","cols=12;rows=5")</f>
        <v>MCK US Equity</v>
      </c>
      <c r="SB5">
        <v>20.476745999999999</v>
      </c>
      <c r="SC5" t="s">
        <v>1786</v>
      </c>
      <c r="SD5">
        <v>6.636412</v>
      </c>
      <c r="SE5" t="s">
        <v>1742</v>
      </c>
      <c r="SF5">
        <v>2025</v>
      </c>
      <c r="SG5" t="s">
        <v>2501</v>
      </c>
      <c r="SH5" s="6">
        <v>46018</v>
      </c>
      <c r="SI5">
        <v>5</v>
      </c>
      <c r="SJ5">
        <v>4912985600</v>
      </c>
      <c r="SK5">
        <v>154936</v>
      </c>
      <c r="SL5" t="s">
        <v>2146</v>
      </c>
      <c r="SQ5" t="str">
        <f>_xll.BDS("VRSN US Equity","SUPPLY_CHAIN_SUPPLIERS_ALL_DATA","cols=12;rows=2")</f>
        <v>079940 KS Equity</v>
      </c>
      <c r="SS5">
        <v>-2.4245362661989844E-14</v>
      </c>
      <c r="ST5">
        <v>-2.4245362661989844E-14</v>
      </c>
      <c r="SU5" t="s">
        <v>1798</v>
      </c>
      <c r="SV5">
        <v>2025</v>
      </c>
      <c r="SW5" t="s">
        <v>5708</v>
      </c>
      <c r="SX5" s="6">
        <v>45974</v>
      </c>
      <c r="SY5">
        <v>2</v>
      </c>
      <c r="SZ5">
        <v>-2.4245362661989844E-14</v>
      </c>
      <c r="TA5">
        <v>9996300</v>
      </c>
      <c r="TB5" t="s">
        <v>5668</v>
      </c>
      <c r="TE5" t="str">
        <f>_xll.BDS("VRSN US Equity","SUPPLY_CHAIN_CUSTOMERS_ALL_DATA","cols=12;rows=3")</f>
        <v>079940 KS Equity</v>
      </c>
      <c r="TF5">
        <v>-2.4245362661989844E-14</v>
      </c>
      <c r="TH5">
        <v>-2.4245362661989844E-14</v>
      </c>
      <c r="TI5" t="s">
        <v>1993</v>
      </c>
      <c r="TJ5">
        <v>2025</v>
      </c>
      <c r="TK5" t="s">
        <v>5667</v>
      </c>
      <c r="TL5" s="6">
        <v>45883</v>
      </c>
      <c r="TM5">
        <v>3</v>
      </c>
      <c r="TN5">
        <v>-2.4245362661989844E-14</v>
      </c>
      <c r="TO5">
        <v>9996300</v>
      </c>
      <c r="TP5" t="s">
        <v>5668</v>
      </c>
      <c r="TU5" t="str">
        <f>_xll.BDS("AIG US Equity","SUPPLY_CHAIN_SUPPLIERS_ALL_DATA","cols=12;rows=5")</f>
        <v>PEGA US Equity</v>
      </c>
      <c r="TV5" t="s">
        <v>1769</v>
      </c>
      <c r="TW5">
        <v>1.12E-4</v>
      </c>
      <c r="TX5">
        <v>1.7756999999999998E-2</v>
      </c>
      <c r="TY5" t="s">
        <v>1809</v>
      </c>
      <c r="TZ5">
        <v>2025</v>
      </c>
      <c r="UA5" t="s">
        <v>2210</v>
      </c>
      <c r="UB5" s="6">
        <v>45855</v>
      </c>
      <c r="UC5">
        <v>5</v>
      </c>
      <c r="UD5">
        <v>533</v>
      </c>
      <c r="UE5">
        <v>171977</v>
      </c>
      <c r="UF5" t="s">
        <v>2211</v>
      </c>
      <c r="UI5" t="str">
        <f>_xll.BDS("AIG US Equity","SUPPLY_CHAIN_CUSTOMERS_ALL_DATA","cols=12;rows=5")</f>
        <v>002348 CH Equity</v>
      </c>
      <c r="UJ5">
        <v>-2.4245362661989844E-14</v>
      </c>
      <c r="UL5">
        <v>-2.4245362661989844E-14</v>
      </c>
      <c r="UM5" t="s">
        <v>1745</v>
      </c>
      <c r="UN5">
        <v>2024</v>
      </c>
      <c r="UO5" t="s">
        <v>1938</v>
      </c>
      <c r="UP5" s="6">
        <v>45775</v>
      </c>
      <c r="UQ5">
        <v>5</v>
      </c>
      <c r="UR5">
        <v>-2.4245362661989844E-14</v>
      </c>
      <c r="US5">
        <v>17498579</v>
      </c>
      <c r="UT5" t="s">
        <v>1939</v>
      </c>
      <c r="UY5" t="str">
        <f>_xll.BDS("EXE US Equity","SUPPLY_CHAIN_SUPPLIERS_ALL_DATA","cols=12;rows=5")</f>
        <v>PRIM US Equity</v>
      </c>
      <c r="UZ5" t="s">
        <v>1786</v>
      </c>
      <c r="VA5">
        <v>1.7344569999999999</v>
      </c>
      <c r="VB5">
        <v>1.9459360000000001</v>
      </c>
      <c r="VC5" t="s">
        <v>1809</v>
      </c>
      <c r="VD5">
        <v>2025</v>
      </c>
      <c r="VE5" t="s">
        <v>2865</v>
      </c>
      <c r="VF5" s="6">
        <v>45863</v>
      </c>
      <c r="VG5">
        <v>5</v>
      </c>
      <c r="VH5">
        <v>28585794</v>
      </c>
      <c r="VI5">
        <v>10832677</v>
      </c>
      <c r="VJ5" t="s">
        <v>2866</v>
      </c>
      <c r="VM5" t="str">
        <f>_xll.BDS("EXE US Equity","SUPPLY_CHAIN_CUSTOMERS_ALL_DATA","cols=12;rows=3")</f>
        <v>37895Z CY Equity</v>
      </c>
      <c r="VN5">
        <v>-2.4245362661989844E-14</v>
      </c>
      <c r="VP5">
        <v>-2.4245362661989844E-14</v>
      </c>
      <c r="VQ5" t="s">
        <v>1745</v>
      </c>
      <c r="VR5">
        <v>2023</v>
      </c>
      <c r="VS5" t="s">
        <v>5329</v>
      </c>
      <c r="VT5" s="6">
        <v>45343</v>
      </c>
      <c r="VU5">
        <v>3</v>
      </c>
      <c r="VV5">
        <v>-2.4245362661989844E-14</v>
      </c>
      <c r="VW5">
        <v>27049163</v>
      </c>
      <c r="VX5" t="s">
        <v>5371</v>
      </c>
    </row>
    <row r="6" spans="1:600" x14ac:dyDescent="0.25">
      <c r="A6" t="s">
        <v>5135</v>
      </c>
      <c r="B6" t="s">
        <v>1769</v>
      </c>
      <c r="C6">
        <v>5.4614039999999999</v>
      </c>
      <c r="D6">
        <v>2.5390030000000001</v>
      </c>
      <c r="E6" t="s">
        <v>1805</v>
      </c>
      <c r="F6">
        <v>2025</v>
      </c>
      <c r="G6" t="s">
        <v>5136</v>
      </c>
      <c r="H6" s="6">
        <v>45875</v>
      </c>
      <c r="I6">
        <v>5</v>
      </c>
      <c r="J6">
        <v>8886743.3599999994</v>
      </c>
      <c r="K6">
        <v>37954467</v>
      </c>
      <c r="L6" t="s">
        <v>5137</v>
      </c>
      <c r="O6" t="s">
        <v>1878</v>
      </c>
      <c r="P6">
        <v>-2.4245362661989844E-14</v>
      </c>
      <c r="R6">
        <v>-2.4245362661989844E-14</v>
      </c>
      <c r="S6" t="s">
        <v>1742</v>
      </c>
      <c r="T6">
        <v>2024</v>
      </c>
      <c r="U6" t="s">
        <v>2534</v>
      </c>
      <c r="V6" s="6">
        <v>45600</v>
      </c>
      <c r="W6">
        <v>5</v>
      </c>
      <c r="X6">
        <v>-2.4245362661989844E-14</v>
      </c>
      <c r="Y6">
        <v>876285</v>
      </c>
      <c r="Z6" t="s">
        <v>1879</v>
      </c>
      <c r="AE6" t="s">
        <v>1287</v>
      </c>
      <c r="AF6" t="s">
        <v>1786</v>
      </c>
      <c r="AG6">
        <v>0.86485599999999996</v>
      </c>
      <c r="AH6">
        <v>4.0630959999999998</v>
      </c>
      <c r="AI6" t="s">
        <v>1809</v>
      </c>
      <c r="AJ6">
        <v>2025</v>
      </c>
      <c r="AK6" t="s">
        <v>2035</v>
      </c>
      <c r="AL6" s="6">
        <v>45797</v>
      </c>
      <c r="AM6">
        <v>5</v>
      </c>
      <c r="AN6">
        <v>264507552</v>
      </c>
      <c r="AO6">
        <v>101376</v>
      </c>
      <c r="AP6" t="s">
        <v>1895</v>
      </c>
      <c r="AS6" t="s">
        <v>424</v>
      </c>
      <c r="AT6">
        <v>3.8131789999999999</v>
      </c>
      <c r="AU6" t="s">
        <v>1786</v>
      </c>
      <c r="AV6">
        <v>2.529652</v>
      </c>
      <c r="AW6" t="s">
        <v>1809</v>
      </c>
      <c r="AX6">
        <v>2025</v>
      </c>
      <c r="AY6" t="s">
        <v>2035</v>
      </c>
      <c r="AZ6" s="6">
        <v>45797</v>
      </c>
      <c r="BA6">
        <v>5</v>
      </c>
      <c r="BB6">
        <v>554474368</v>
      </c>
      <c r="BC6">
        <v>101743</v>
      </c>
      <c r="BD6" t="s">
        <v>1891</v>
      </c>
      <c r="BI6" t="s">
        <v>3824</v>
      </c>
      <c r="BK6">
        <v>-2.4245362661989844E-14</v>
      </c>
      <c r="BL6">
        <v>-2.4245362661989844E-14</v>
      </c>
      <c r="BM6" t="s">
        <v>1745</v>
      </c>
      <c r="BN6">
        <v>2024</v>
      </c>
      <c r="BO6" t="s">
        <v>3579</v>
      </c>
      <c r="BP6" s="6">
        <v>45593</v>
      </c>
      <c r="BQ6">
        <v>5</v>
      </c>
      <c r="BR6">
        <v>-2.4245362661989844E-14</v>
      </c>
      <c r="BS6">
        <v>8960270</v>
      </c>
      <c r="BT6" t="s">
        <v>3825</v>
      </c>
      <c r="BW6" t="s">
        <v>3581</v>
      </c>
      <c r="BX6">
        <v>-2.4245362661989844E-14</v>
      </c>
      <c r="BZ6">
        <v>-2.4245362661989844E-14</v>
      </c>
      <c r="CA6" t="s">
        <v>1745</v>
      </c>
      <c r="CB6">
        <v>2023</v>
      </c>
      <c r="CC6" t="s">
        <v>3582</v>
      </c>
      <c r="CD6" s="6">
        <v>45344</v>
      </c>
      <c r="CE6">
        <v>5</v>
      </c>
      <c r="CF6">
        <v>-2.4245362661989844E-14</v>
      </c>
      <c r="CG6">
        <v>62907102</v>
      </c>
      <c r="CH6" t="s">
        <v>3583</v>
      </c>
      <c r="CM6" t="s">
        <v>6329</v>
      </c>
      <c r="CO6">
        <v>-2.4245362661989844E-14</v>
      </c>
      <c r="CP6">
        <v>-2.4245362661989844E-14</v>
      </c>
      <c r="CQ6" t="s">
        <v>1742</v>
      </c>
      <c r="CR6">
        <v>2025</v>
      </c>
      <c r="CS6" t="s">
        <v>6327</v>
      </c>
      <c r="CT6" s="6">
        <v>45968</v>
      </c>
      <c r="CU6">
        <v>5</v>
      </c>
      <c r="CV6">
        <v>-2.4245362661989844E-14</v>
      </c>
      <c r="CW6">
        <v>34650151</v>
      </c>
      <c r="CX6" t="s">
        <v>6330</v>
      </c>
      <c r="DA6" t="s">
        <v>6062</v>
      </c>
      <c r="DB6">
        <v>-2.4245362661989844E-14</v>
      </c>
      <c r="DD6">
        <v>-2.4245362661989844E-14</v>
      </c>
      <c r="DE6" t="s">
        <v>1745</v>
      </c>
      <c r="DF6">
        <v>2025</v>
      </c>
      <c r="DG6" t="s">
        <v>6060</v>
      </c>
      <c r="DH6" s="6">
        <v>45693</v>
      </c>
      <c r="DI6">
        <v>2</v>
      </c>
      <c r="DJ6">
        <v>-2.4245362661989844E-14</v>
      </c>
      <c r="DK6">
        <v>8167111</v>
      </c>
      <c r="DL6" t="s">
        <v>6063</v>
      </c>
      <c r="EU6" t="s">
        <v>1112</v>
      </c>
      <c r="EV6" t="s">
        <v>1786</v>
      </c>
      <c r="EW6">
        <v>11</v>
      </c>
      <c r="EX6">
        <v>2.6129229999999999</v>
      </c>
      <c r="EY6" t="s">
        <v>1745</v>
      </c>
      <c r="EZ6">
        <v>2025</v>
      </c>
      <c r="FA6" t="s">
        <v>3127</v>
      </c>
      <c r="FB6" s="6">
        <v>46072</v>
      </c>
      <c r="FC6">
        <v>5</v>
      </c>
      <c r="FD6">
        <v>624750000</v>
      </c>
      <c r="FE6">
        <v>101068</v>
      </c>
      <c r="FF6" t="s">
        <v>3128</v>
      </c>
      <c r="FI6" t="s">
        <v>3667</v>
      </c>
      <c r="FJ6">
        <v>-2.4245362661989844E-14</v>
      </c>
      <c r="FL6">
        <v>-2.4245362661989844E-14</v>
      </c>
      <c r="FM6" t="s">
        <v>1745</v>
      </c>
      <c r="FN6">
        <v>2026</v>
      </c>
      <c r="FO6" t="s">
        <v>3668</v>
      </c>
      <c r="FP6" s="6">
        <v>46076</v>
      </c>
      <c r="FQ6">
        <v>5</v>
      </c>
      <c r="FR6">
        <v>-2.4245362661989844E-14</v>
      </c>
      <c r="FS6">
        <v>70451011</v>
      </c>
      <c r="FT6" t="s">
        <v>3669</v>
      </c>
      <c r="FY6" t="s">
        <v>3085</v>
      </c>
      <c r="FZ6" t="s">
        <v>1786</v>
      </c>
      <c r="GA6">
        <v>0.14291699999999999</v>
      </c>
      <c r="GB6">
        <v>0.121508</v>
      </c>
      <c r="GC6" t="s">
        <v>1809</v>
      </c>
      <c r="GD6">
        <v>2025</v>
      </c>
      <c r="GE6" t="s">
        <v>3086</v>
      </c>
      <c r="GF6" s="6">
        <v>45834</v>
      </c>
      <c r="GG6">
        <v>5</v>
      </c>
      <c r="GH6">
        <v>1450806</v>
      </c>
      <c r="GI6">
        <v>393374</v>
      </c>
      <c r="GJ6" t="s">
        <v>3087</v>
      </c>
      <c r="GM6" t="s">
        <v>2139</v>
      </c>
      <c r="GN6">
        <v>4.1230000000000003E-2</v>
      </c>
      <c r="GO6" t="s">
        <v>1786</v>
      </c>
      <c r="GP6">
        <v>0.280804</v>
      </c>
      <c r="GQ6" t="s">
        <v>1742</v>
      </c>
      <c r="GR6">
        <v>2025</v>
      </c>
      <c r="GS6" t="s">
        <v>2140</v>
      </c>
      <c r="GT6" s="6">
        <v>46034</v>
      </c>
      <c r="GU6">
        <v>5</v>
      </c>
      <c r="GV6">
        <v>1601771</v>
      </c>
      <c r="GW6">
        <v>313021</v>
      </c>
      <c r="GX6" t="s">
        <v>2141</v>
      </c>
      <c r="HC6" t="s">
        <v>3342</v>
      </c>
      <c r="HD6" t="s">
        <v>1786</v>
      </c>
      <c r="HE6">
        <v>3.205978</v>
      </c>
      <c r="HF6">
        <v>9.7945170000000008</v>
      </c>
      <c r="HG6" t="s">
        <v>1762</v>
      </c>
      <c r="HH6">
        <v>2026</v>
      </c>
      <c r="HI6" t="s">
        <v>5608</v>
      </c>
      <c r="HJ6" s="6">
        <v>45926</v>
      </c>
      <c r="HK6">
        <v>5</v>
      </c>
      <c r="HL6">
        <v>67494016</v>
      </c>
      <c r="HM6">
        <v>114322</v>
      </c>
      <c r="HN6" t="s">
        <v>3344</v>
      </c>
      <c r="KO6" t="s">
        <v>2383</v>
      </c>
      <c r="KP6" t="s">
        <v>1820</v>
      </c>
      <c r="KQ6">
        <v>5.2401160000000004</v>
      </c>
      <c r="KR6">
        <v>17.831610000000001</v>
      </c>
      <c r="KS6" t="s">
        <v>1762</v>
      </c>
      <c r="KT6">
        <v>2025</v>
      </c>
      <c r="KU6" t="s">
        <v>2384</v>
      </c>
      <c r="KV6" s="6">
        <v>45889</v>
      </c>
      <c r="KW6">
        <v>5</v>
      </c>
      <c r="KX6">
        <v>3047941433.54</v>
      </c>
      <c r="KY6">
        <v>119133</v>
      </c>
      <c r="KZ6" t="s">
        <v>2385</v>
      </c>
      <c r="LC6" t="s">
        <v>1409</v>
      </c>
      <c r="LD6">
        <v>0.67946300000000004</v>
      </c>
      <c r="LE6" t="s">
        <v>1786</v>
      </c>
      <c r="LF6">
        <v>32</v>
      </c>
      <c r="LG6" t="s">
        <v>1745</v>
      </c>
      <c r="LH6">
        <v>2025</v>
      </c>
      <c r="LI6" t="s">
        <v>2524</v>
      </c>
      <c r="LJ6" s="6">
        <v>46065</v>
      </c>
      <c r="LK6">
        <v>5</v>
      </c>
      <c r="LL6">
        <v>518860224</v>
      </c>
      <c r="LM6">
        <v>156637</v>
      </c>
      <c r="LN6" t="s">
        <v>2209</v>
      </c>
      <c r="LS6" t="s">
        <v>246</v>
      </c>
      <c r="LT6" t="s">
        <v>1786</v>
      </c>
      <c r="LU6">
        <v>5.1386000000000001E-2</v>
      </c>
      <c r="LV6">
        <v>7.8243119999999999</v>
      </c>
      <c r="LW6" t="s">
        <v>1745</v>
      </c>
      <c r="LX6">
        <v>2025</v>
      </c>
      <c r="LY6" t="s">
        <v>6553</v>
      </c>
      <c r="LZ6" s="6">
        <v>46072</v>
      </c>
      <c r="MA6">
        <v>5</v>
      </c>
      <c r="MB6">
        <v>51750000</v>
      </c>
      <c r="MC6">
        <v>46946968</v>
      </c>
      <c r="MD6" t="s">
        <v>1765</v>
      </c>
      <c r="MG6" t="s">
        <v>6559</v>
      </c>
      <c r="MH6">
        <v>-2.4245362661989844E-14</v>
      </c>
      <c r="MJ6">
        <v>-2.4245362661989844E-14</v>
      </c>
      <c r="MK6" t="s">
        <v>1745</v>
      </c>
      <c r="ML6">
        <v>2025</v>
      </c>
      <c r="MM6" t="s">
        <v>6553</v>
      </c>
      <c r="MN6" s="6">
        <v>46072</v>
      </c>
      <c r="MO6">
        <v>5</v>
      </c>
      <c r="MP6">
        <v>-2.4245362661989844E-14</v>
      </c>
      <c r="MQ6">
        <v>180992</v>
      </c>
      <c r="MR6" t="s">
        <v>6560</v>
      </c>
      <c r="MW6" t="s">
        <v>236</v>
      </c>
      <c r="MX6" t="s">
        <v>1786</v>
      </c>
      <c r="MY6">
        <v>30</v>
      </c>
      <c r="MZ6">
        <v>20.040337000000001</v>
      </c>
      <c r="NA6" t="s">
        <v>1745</v>
      </c>
      <c r="NB6">
        <v>2025</v>
      </c>
      <c r="NC6" t="s">
        <v>3842</v>
      </c>
      <c r="ND6" s="6">
        <v>45881</v>
      </c>
      <c r="NE6">
        <v>5</v>
      </c>
      <c r="NF6">
        <v>16693350400</v>
      </c>
      <c r="NG6">
        <v>102782</v>
      </c>
      <c r="NH6" t="s">
        <v>2149</v>
      </c>
      <c r="NK6" t="s">
        <v>3751</v>
      </c>
      <c r="NL6">
        <v>-2.4245362661989844E-14</v>
      </c>
      <c r="NN6">
        <v>-2.4245362661989844E-14</v>
      </c>
      <c r="NO6" t="s">
        <v>1745</v>
      </c>
      <c r="NP6">
        <v>2025</v>
      </c>
      <c r="NQ6" t="s">
        <v>3752</v>
      </c>
      <c r="NR6" s="6">
        <v>45828</v>
      </c>
      <c r="NS6">
        <v>5</v>
      </c>
      <c r="NT6">
        <v>-2.4245362661989844E-14</v>
      </c>
      <c r="NU6">
        <v>20735187</v>
      </c>
      <c r="NV6" t="s">
        <v>3753</v>
      </c>
      <c r="OA6" t="s">
        <v>2425</v>
      </c>
      <c r="OB6" t="s">
        <v>1786</v>
      </c>
      <c r="OC6">
        <v>13.760432</v>
      </c>
      <c r="OD6">
        <v>4.7536569999999996</v>
      </c>
      <c r="OE6" t="s">
        <v>1762</v>
      </c>
      <c r="OF6">
        <v>2025</v>
      </c>
      <c r="OG6" t="s">
        <v>2426</v>
      </c>
      <c r="OH6" s="6">
        <v>45937</v>
      </c>
      <c r="OI6">
        <v>5</v>
      </c>
      <c r="OJ6">
        <v>325305405.77999997</v>
      </c>
      <c r="OK6">
        <v>8445936</v>
      </c>
      <c r="OL6" t="s">
        <v>2427</v>
      </c>
      <c r="OO6" t="s">
        <v>1088</v>
      </c>
      <c r="OP6">
        <v>9.2636719999999997</v>
      </c>
      <c r="OQ6" t="s">
        <v>1786</v>
      </c>
      <c r="OR6">
        <v>5.0267530000000002</v>
      </c>
      <c r="OS6" t="s">
        <v>1762</v>
      </c>
      <c r="OT6">
        <v>2025</v>
      </c>
      <c r="OU6" t="s">
        <v>1877</v>
      </c>
      <c r="OV6" s="6">
        <v>45888</v>
      </c>
      <c r="OW6">
        <v>5</v>
      </c>
      <c r="OX6">
        <v>1021134592</v>
      </c>
      <c r="OY6">
        <v>100211</v>
      </c>
      <c r="OZ6" t="s">
        <v>1851</v>
      </c>
      <c r="QI6" t="s">
        <v>34</v>
      </c>
      <c r="QJ6" t="s">
        <v>1786</v>
      </c>
      <c r="QK6">
        <v>0.22900000000000001</v>
      </c>
      <c r="QL6">
        <v>1.2800659999999999</v>
      </c>
      <c r="QM6" t="s">
        <v>1845</v>
      </c>
      <c r="QN6">
        <v>2025</v>
      </c>
      <c r="QO6" t="s">
        <v>1883</v>
      </c>
      <c r="QP6" s="6">
        <v>45848</v>
      </c>
      <c r="QQ6">
        <v>5</v>
      </c>
      <c r="QR6">
        <v>36417872</v>
      </c>
      <c r="QS6">
        <v>101752</v>
      </c>
      <c r="QT6" t="s">
        <v>2723</v>
      </c>
      <c r="QW6" t="s">
        <v>2147</v>
      </c>
      <c r="QX6">
        <v>16</v>
      </c>
      <c r="QY6" t="s">
        <v>1786</v>
      </c>
      <c r="QZ6">
        <v>3.190922</v>
      </c>
      <c r="RA6" t="s">
        <v>1745</v>
      </c>
      <c r="RB6">
        <v>2025</v>
      </c>
      <c r="RC6" t="s">
        <v>2145</v>
      </c>
      <c r="RD6" s="6">
        <v>46079</v>
      </c>
      <c r="RE6">
        <v>5</v>
      </c>
      <c r="RF6">
        <v>2503160064</v>
      </c>
      <c r="RG6">
        <v>156969</v>
      </c>
      <c r="RH6" t="s">
        <v>2148</v>
      </c>
      <c r="RM6" t="s">
        <v>2795</v>
      </c>
      <c r="RN6" t="s">
        <v>1786</v>
      </c>
      <c r="RO6">
        <v>6.6266720000000001</v>
      </c>
      <c r="RP6">
        <v>6.8004179999999996</v>
      </c>
      <c r="RQ6" t="s">
        <v>1742</v>
      </c>
      <c r="RR6">
        <v>2025</v>
      </c>
      <c r="RS6" t="s">
        <v>2796</v>
      </c>
      <c r="RT6" s="6">
        <v>45867</v>
      </c>
      <c r="RU6">
        <v>5</v>
      </c>
      <c r="RV6">
        <v>518735872</v>
      </c>
      <c r="RW6">
        <v>117092</v>
      </c>
      <c r="RX6" t="s">
        <v>2797</v>
      </c>
      <c r="SA6" t="s">
        <v>2147</v>
      </c>
      <c r="SB6">
        <v>15.549336</v>
      </c>
      <c r="SC6" t="s">
        <v>1786</v>
      </c>
      <c r="SD6">
        <v>4.6186980000000002</v>
      </c>
      <c r="SE6" t="s">
        <v>1742</v>
      </c>
      <c r="SF6">
        <v>2025</v>
      </c>
      <c r="SG6" t="s">
        <v>2501</v>
      </c>
      <c r="SH6" s="6">
        <v>46018</v>
      </c>
      <c r="SI6">
        <v>5</v>
      </c>
      <c r="SJ6">
        <v>3730752256</v>
      </c>
      <c r="SK6">
        <v>156969</v>
      </c>
      <c r="SL6" t="s">
        <v>2148</v>
      </c>
      <c r="SQ6" t="s">
        <v>5709</v>
      </c>
      <c r="SS6">
        <v>-2.4245362661989844E-14</v>
      </c>
      <c r="ST6">
        <v>-2.4245362661989844E-14</v>
      </c>
      <c r="SU6" t="s">
        <v>1742</v>
      </c>
      <c r="SV6">
        <v>2022</v>
      </c>
      <c r="SW6" t="s">
        <v>5710</v>
      </c>
      <c r="SX6" s="6">
        <v>44867</v>
      </c>
      <c r="SY6">
        <v>2</v>
      </c>
      <c r="SZ6">
        <v>-2.4245362661989844E-14</v>
      </c>
      <c r="TA6">
        <v>1481607</v>
      </c>
      <c r="TB6" t="s">
        <v>5711</v>
      </c>
      <c r="TE6" t="s">
        <v>5669</v>
      </c>
      <c r="TF6">
        <v>-2.4245362661989844E-14</v>
      </c>
      <c r="TH6">
        <v>-2.4245362661989844E-14</v>
      </c>
      <c r="TI6" t="s">
        <v>1745</v>
      </c>
      <c r="TJ6">
        <v>2023</v>
      </c>
      <c r="TK6" t="s">
        <v>5670</v>
      </c>
      <c r="TL6" s="6">
        <v>45370</v>
      </c>
      <c r="TM6">
        <v>3</v>
      </c>
      <c r="TN6">
        <v>-2.4245362661989844E-14</v>
      </c>
      <c r="TO6">
        <v>17662282</v>
      </c>
      <c r="TP6" t="s">
        <v>5671</v>
      </c>
      <c r="TU6" t="s">
        <v>2212</v>
      </c>
      <c r="TW6">
        <v>-2.4245362661989844E-14</v>
      </c>
      <c r="TX6">
        <v>-2.4245362661989844E-14</v>
      </c>
      <c r="TY6" t="s">
        <v>1798</v>
      </c>
      <c r="TZ6">
        <v>2024</v>
      </c>
      <c r="UA6" t="s">
        <v>2213</v>
      </c>
      <c r="UB6" s="6">
        <v>45607</v>
      </c>
      <c r="UC6">
        <v>5</v>
      </c>
      <c r="UD6">
        <v>-2.4245362661989844E-14</v>
      </c>
      <c r="UE6">
        <v>7192714</v>
      </c>
      <c r="UF6" t="s">
        <v>2214</v>
      </c>
      <c r="UI6" t="s">
        <v>1940</v>
      </c>
      <c r="UJ6">
        <v>-2.4245362661989844E-14</v>
      </c>
      <c r="UL6">
        <v>-2.4245362661989844E-14</v>
      </c>
      <c r="UM6" t="s">
        <v>1745</v>
      </c>
      <c r="UN6">
        <v>2022</v>
      </c>
      <c r="UO6" t="s">
        <v>1941</v>
      </c>
      <c r="UP6" s="6">
        <v>44986</v>
      </c>
      <c r="UQ6">
        <v>5</v>
      </c>
      <c r="UR6">
        <v>-2.4245362661989844E-14</v>
      </c>
      <c r="US6">
        <v>17149569</v>
      </c>
      <c r="UT6" t="s">
        <v>1942</v>
      </c>
      <c r="UY6" t="s">
        <v>1379</v>
      </c>
      <c r="UZ6" t="s">
        <v>1820</v>
      </c>
      <c r="VA6">
        <v>6.8882709999999996</v>
      </c>
      <c r="VB6">
        <v>4.017131</v>
      </c>
      <c r="VC6" t="s">
        <v>1762</v>
      </c>
      <c r="VD6">
        <v>2025</v>
      </c>
      <c r="VE6" t="s">
        <v>2867</v>
      </c>
      <c r="VF6" s="6">
        <v>45929</v>
      </c>
      <c r="VG6">
        <v>5</v>
      </c>
      <c r="VH6">
        <v>26392548</v>
      </c>
      <c r="VI6">
        <v>13070762</v>
      </c>
      <c r="VJ6" t="s">
        <v>2868</v>
      </c>
      <c r="VM6" t="s">
        <v>3534</v>
      </c>
      <c r="VN6">
        <v>-2.4245362661989844E-14</v>
      </c>
      <c r="VP6">
        <v>-2.4245362661989844E-14</v>
      </c>
      <c r="VQ6" t="s">
        <v>1745</v>
      </c>
      <c r="VR6">
        <v>2023</v>
      </c>
      <c r="VS6" t="s">
        <v>5329</v>
      </c>
      <c r="VT6" s="6">
        <v>45343</v>
      </c>
      <c r="VU6">
        <v>3</v>
      </c>
      <c r="VV6">
        <v>-2.4245362661989844E-14</v>
      </c>
      <c r="VW6">
        <v>9268711</v>
      </c>
      <c r="VX6" t="s">
        <v>3536</v>
      </c>
    </row>
    <row r="7" spans="1:600" x14ac:dyDescent="0.25">
      <c r="A7" t="s">
        <v>2933</v>
      </c>
      <c r="B7" t="s">
        <v>1769</v>
      </c>
      <c r="C7">
        <v>0.69626699999999997</v>
      </c>
      <c r="D7">
        <v>0.37647399999999998</v>
      </c>
      <c r="E7" t="s">
        <v>1742</v>
      </c>
      <c r="F7">
        <v>2025</v>
      </c>
      <c r="G7" t="s">
        <v>2934</v>
      </c>
      <c r="H7" s="6">
        <v>45959</v>
      </c>
      <c r="I7">
        <v>5</v>
      </c>
      <c r="J7">
        <v>1469966</v>
      </c>
      <c r="K7">
        <v>20264138</v>
      </c>
      <c r="L7" t="s">
        <v>2935</v>
      </c>
      <c r="O7" t="s">
        <v>6604</v>
      </c>
      <c r="P7">
        <v>-2.4245362661989844E-14</v>
      </c>
      <c r="R7">
        <v>-2.4245362661989844E-14</v>
      </c>
      <c r="S7" t="s">
        <v>1745</v>
      </c>
      <c r="T7">
        <v>2023</v>
      </c>
      <c r="U7" t="s">
        <v>6605</v>
      </c>
      <c r="V7" s="6">
        <v>45197</v>
      </c>
      <c r="W7">
        <v>5</v>
      </c>
      <c r="X7">
        <v>-2.4245362661989844E-14</v>
      </c>
      <c r="Y7">
        <v>69264541</v>
      </c>
      <c r="Z7" t="s">
        <v>6606</v>
      </c>
      <c r="AE7" t="s">
        <v>1885</v>
      </c>
      <c r="AF7" t="s">
        <v>1786</v>
      </c>
      <c r="AG7">
        <v>0.167933</v>
      </c>
      <c r="AH7">
        <v>4.0156150000000004</v>
      </c>
      <c r="AI7" t="s">
        <v>1809</v>
      </c>
      <c r="AJ7">
        <v>2025</v>
      </c>
      <c r="AK7" t="s">
        <v>2035</v>
      </c>
      <c r="AL7" s="6">
        <v>45797</v>
      </c>
      <c r="AM7">
        <v>5</v>
      </c>
      <c r="AN7">
        <v>261416544</v>
      </c>
      <c r="AO7">
        <v>216952</v>
      </c>
      <c r="AP7" t="s">
        <v>1886</v>
      </c>
      <c r="AS7" t="s">
        <v>1789</v>
      </c>
      <c r="AT7">
        <v>3.1054590000000002</v>
      </c>
      <c r="AU7" t="s">
        <v>1786</v>
      </c>
      <c r="AV7">
        <v>1.2857479999999999</v>
      </c>
      <c r="AW7" t="s">
        <v>1809</v>
      </c>
      <c r="AX7">
        <v>2025</v>
      </c>
      <c r="AY7" t="s">
        <v>2035</v>
      </c>
      <c r="AZ7" s="6">
        <v>45797</v>
      </c>
      <c r="BA7">
        <v>5</v>
      </c>
      <c r="BB7">
        <v>451564800</v>
      </c>
      <c r="BC7">
        <v>117929</v>
      </c>
      <c r="BD7" t="s">
        <v>1791</v>
      </c>
      <c r="BI7" t="s">
        <v>3826</v>
      </c>
      <c r="BK7">
        <v>-2.4245362661989844E-14</v>
      </c>
      <c r="BL7">
        <v>-2.4245362661989844E-14</v>
      </c>
      <c r="BM7" t="s">
        <v>1745</v>
      </c>
      <c r="BN7">
        <v>2024</v>
      </c>
      <c r="BO7" t="s">
        <v>3579</v>
      </c>
      <c r="BP7" s="6">
        <v>45593</v>
      </c>
      <c r="BQ7">
        <v>5</v>
      </c>
      <c r="BR7">
        <v>-2.4245362661989844E-14</v>
      </c>
      <c r="BS7">
        <v>21172241</v>
      </c>
      <c r="BT7" t="s">
        <v>3827</v>
      </c>
      <c r="BW7" t="s">
        <v>3584</v>
      </c>
      <c r="BX7">
        <v>-2.4245362661989844E-14</v>
      </c>
      <c r="BZ7">
        <v>-2.4245362661989844E-14</v>
      </c>
      <c r="CA7" t="s">
        <v>1745</v>
      </c>
      <c r="CB7">
        <v>2022</v>
      </c>
      <c r="CC7" t="s">
        <v>3579</v>
      </c>
      <c r="CD7" s="6">
        <v>44700</v>
      </c>
      <c r="CE7">
        <v>5</v>
      </c>
      <c r="CF7">
        <v>-2.4245362661989844E-14</v>
      </c>
      <c r="CG7">
        <v>1042860</v>
      </c>
      <c r="CH7" t="s">
        <v>3585</v>
      </c>
      <c r="CM7" t="s">
        <v>6331</v>
      </c>
      <c r="CO7">
        <v>-2.4245362661989844E-14</v>
      </c>
      <c r="CP7">
        <v>-2.4245362661989844E-14</v>
      </c>
      <c r="CQ7" t="s">
        <v>1742</v>
      </c>
      <c r="CR7">
        <v>2025</v>
      </c>
      <c r="CS7" t="s">
        <v>6327</v>
      </c>
      <c r="CT7" s="6">
        <v>45968</v>
      </c>
      <c r="CU7">
        <v>5</v>
      </c>
      <c r="CV7">
        <v>-2.4245362661989844E-14</v>
      </c>
      <c r="CW7">
        <v>69764083</v>
      </c>
      <c r="CX7" t="s">
        <v>6332</v>
      </c>
      <c r="EU7" t="s">
        <v>3129</v>
      </c>
      <c r="EV7" t="s">
        <v>1786</v>
      </c>
      <c r="EW7">
        <v>20</v>
      </c>
      <c r="EX7">
        <v>1.2621329999999999</v>
      </c>
      <c r="EY7" t="s">
        <v>1745</v>
      </c>
      <c r="EZ7">
        <v>2024</v>
      </c>
      <c r="FA7" t="s">
        <v>3130</v>
      </c>
      <c r="FB7" s="6">
        <v>45742</v>
      </c>
      <c r="FC7">
        <v>5</v>
      </c>
      <c r="FD7">
        <v>289649984</v>
      </c>
      <c r="FE7">
        <v>71080909</v>
      </c>
      <c r="FF7" t="s">
        <v>3131</v>
      </c>
      <c r="FI7" t="s">
        <v>3670</v>
      </c>
      <c r="FJ7">
        <v>-2.4245362661989844E-14</v>
      </c>
      <c r="FL7">
        <v>-2.4245362661989844E-14</v>
      </c>
      <c r="FM7" t="s">
        <v>1745</v>
      </c>
      <c r="FN7">
        <v>2023</v>
      </c>
      <c r="FO7" t="s">
        <v>3671</v>
      </c>
      <c r="FP7" s="6">
        <v>45196</v>
      </c>
      <c r="FQ7">
        <v>5</v>
      </c>
      <c r="FR7">
        <v>-2.4245362661989844E-14</v>
      </c>
      <c r="FS7">
        <v>7362545</v>
      </c>
      <c r="FT7" t="s">
        <v>3672</v>
      </c>
      <c r="FY7" t="s">
        <v>3088</v>
      </c>
      <c r="FZ7" t="s">
        <v>1786</v>
      </c>
      <c r="GA7">
        <v>7.3709999999999999E-3</v>
      </c>
      <c r="GB7">
        <v>9.8589999999999997E-3</v>
      </c>
      <c r="GC7" t="s">
        <v>1742</v>
      </c>
      <c r="GD7">
        <v>2025</v>
      </c>
      <c r="GE7" t="s">
        <v>3089</v>
      </c>
      <c r="GF7" s="6">
        <v>46042</v>
      </c>
      <c r="GG7">
        <v>5</v>
      </c>
      <c r="GH7">
        <v>87058</v>
      </c>
      <c r="GI7">
        <v>16555266</v>
      </c>
      <c r="GJ7" t="s">
        <v>3090</v>
      </c>
      <c r="GM7" t="s">
        <v>1870</v>
      </c>
      <c r="GN7">
        <v>3.1623999999999999E-2</v>
      </c>
      <c r="GO7" t="s">
        <v>1786</v>
      </c>
      <c r="GP7">
        <v>6.0149000000000001E-2</v>
      </c>
      <c r="GQ7" t="s">
        <v>1809</v>
      </c>
      <c r="GR7">
        <v>2025</v>
      </c>
      <c r="GS7" t="s">
        <v>1871</v>
      </c>
      <c r="GT7" s="6">
        <v>45820</v>
      </c>
      <c r="GU7">
        <v>5</v>
      </c>
      <c r="GV7">
        <v>2452154</v>
      </c>
      <c r="GW7">
        <v>12129192</v>
      </c>
      <c r="GX7" t="s">
        <v>1872</v>
      </c>
      <c r="HC7" t="s">
        <v>5609</v>
      </c>
      <c r="HD7" t="s">
        <v>1786</v>
      </c>
      <c r="HE7">
        <v>1.3470869999999999</v>
      </c>
      <c r="HF7">
        <v>4.7776519999999998</v>
      </c>
      <c r="HG7" t="s">
        <v>1762</v>
      </c>
      <c r="HH7">
        <v>2026</v>
      </c>
      <c r="HI7" t="s">
        <v>5608</v>
      </c>
      <c r="HJ7" s="6">
        <v>45926</v>
      </c>
      <c r="HK7">
        <v>5</v>
      </c>
      <c r="HL7">
        <v>32922800</v>
      </c>
      <c r="HM7">
        <v>69512787</v>
      </c>
      <c r="HN7" t="s">
        <v>5610</v>
      </c>
      <c r="KO7" t="s">
        <v>2944</v>
      </c>
      <c r="KP7" t="s">
        <v>1820</v>
      </c>
      <c r="KQ7">
        <v>8.8760320000000004</v>
      </c>
      <c r="KR7">
        <v>5.0127040000000003</v>
      </c>
      <c r="KS7" t="s">
        <v>1742</v>
      </c>
      <c r="KT7">
        <v>2025</v>
      </c>
      <c r="KU7" t="s">
        <v>2945</v>
      </c>
      <c r="KV7" s="6">
        <v>46080</v>
      </c>
      <c r="KW7">
        <v>5</v>
      </c>
      <c r="KX7">
        <v>1565479588.27</v>
      </c>
      <c r="KY7">
        <v>193974</v>
      </c>
      <c r="KZ7" t="s">
        <v>2946</v>
      </c>
      <c r="LC7" t="s">
        <v>2525</v>
      </c>
      <c r="LD7">
        <v>0.257766</v>
      </c>
      <c r="LE7" t="s">
        <v>1786</v>
      </c>
      <c r="LF7">
        <v>3.7523520000000001</v>
      </c>
      <c r="LG7" t="s">
        <v>1762</v>
      </c>
      <c r="LH7">
        <v>2025</v>
      </c>
      <c r="LI7" t="s">
        <v>2526</v>
      </c>
      <c r="LJ7" s="6">
        <v>45910</v>
      </c>
      <c r="LK7">
        <v>5</v>
      </c>
      <c r="LL7">
        <v>197200308.5</v>
      </c>
      <c r="LM7">
        <v>193775</v>
      </c>
      <c r="LN7" t="s">
        <v>2527</v>
      </c>
      <c r="LS7" t="s">
        <v>2850</v>
      </c>
      <c r="LT7" t="s">
        <v>1769</v>
      </c>
      <c r="LU7">
        <v>0.31292399999999998</v>
      </c>
      <c r="LV7">
        <v>6.2137560000000001</v>
      </c>
      <c r="LW7" t="s">
        <v>1845</v>
      </c>
      <c r="LX7">
        <v>2025</v>
      </c>
      <c r="LY7" t="s">
        <v>2851</v>
      </c>
      <c r="LZ7" s="6">
        <v>45827</v>
      </c>
      <c r="MA7">
        <v>5</v>
      </c>
      <c r="MB7">
        <v>23300716.52</v>
      </c>
      <c r="MC7">
        <v>7259059</v>
      </c>
      <c r="MD7" t="s">
        <v>2852</v>
      </c>
      <c r="MG7" t="s">
        <v>1147</v>
      </c>
      <c r="MH7">
        <v>-2.4245362661989844E-14</v>
      </c>
      <c r="MJ7">
        <v>-2.4245362661989844E-14</v>
      </c>
      <c r="MK7" t="s">
        <v>1745</v>
      </c>
      <c r="ML7">
        <v>2026</v>
      </c>
      <c r="MM7" t="s">
        <v>6561</v>
      </c>
      <c r="MN7" s="6">
        <v>46057</v>
      </c>
      <c r="MO7">
        <v>5</v>
      </c>
      <c r="MP7">
        <v>-2.4245362661989844E-14</v>
      </c>
      <c r="MQ7">
        <v>107152</v>
      </c>
      <c r="MR7" t="s">
        <v>6562</v>
      </c>
      <c r="MW7" t="s">
        <v>3017</v>
      </c>
      <c r="MX7" t="s">
        <v>1786</v>
      </c>
      <c r="MY7">
        <v>3.3501690000000002</v>
      </c>
      <c r="MZ7">
        <v>0.82735300000000001</v>
      </c>
      <c r="NA7" t="s">
        <v>1845</v>
      </c>
      <c r="NB7">
        <v>2025</v>
      </c>
      <c r="NC7" t="s">
        <v>3018</v>
      </c>
      <c r="ND7" s="6">
        <v>45883</v>
      </c>
      <c r="NE7">
        <v>5</v>
      </c>
      <c r="NF7">
        <v>705914112</v>
      </c>
      <c r="NG7">
        <v>101215</v>
      </c>
      <c r="NH7" t="s">
        <v>3019</v>
      </c>
      <c r="NK7" t="s">
        <v>3754</v>
      </c>
      <c r="NL7">
        <v>-2.4245362661989844E-14</v>
      </c>
      <c r="NN7">
        <v>-2.4245362661989844E-14</v>
      </c>
      <c r="NO7" t="s">
        <v>1745</v>
      </c>
      <c r="NP7">
        <v>2025</v>
      </c>
      <c r="NQ7" t="s">
        <v>3752</v>
      </c>
      <c r="NR7" s="6">
        <v>45828</v>
      </c>
      <c r="NS7">
        <v>5</v>
      </c>
      <c r="NT7">
        <v>-2.4245362661989844E-14</v>
      </c>
      <c r="NU7">
        <v>31261592</v>
      </c>
      <c r="NV7" t="s">
        <v>3755</v>
      </c>
      <c r="OA7" t="s">
        <v>1844</v>
      </c>
      <c r="OB7" t="s">
        <v>1786</v>
      </c>
      <c r="OC7">
        <v>11</v>
      </c>
      <c r="OD7">
        <v>3.1337429999999999</v>
      </c>
      <c r="OE7" t="s">
        <v>1745</v>
      </c>
      <c r="OF7">
        <v>2025</v>
      </c>
      <c r="OG7" t="s">
        <v>2428</v>
      </c>
      <c r="OH7" s="6">
        <v>46065</v>
      </c>
      <c r="OI7">
        <v>5</v>
      </c>
      <c r="OJ7">
        <v>226930000</v>
      </c>
      <c r="OK7">
        <v>59099358</v>
      </c>
      <c r="OL7" t="s">
        <v>1847</v>
      </c>
      <c r="OO7" t="s">
        <v>1878</v>
      </c>
      <c r="OP7">
        <v>4.5319979999999997</v>
      </c>
      <c r="OQ7" t="s">
        <v>1786</v>
      </c>
      <c r="OR7">
        <v>3.2162160000000002</v>
      </c>
      <c r="OS7" t="s">
        <v>1762</v>
      </c>
      <c r="OT7">
        <v>2025</v>
      </c>
      <c r="OU7" t="s">
        <v>1877</v>
      </c>
      <c r="OV7" s="6">
        <v>45888</v>
      </c>
      <c r="OW7">
        <v>5</v>
      </c>
      <c r="OX7">
        <v>499562144</v>
      </c>
      <c r="OY7">
        <v>876285</v>
      </c>
      <c r="OZ7" t="s">
        <v>1879</v>
      </c>
      <c r="QI7" t="s">
        <v>5281</v>
      </c>
      <c r="QJ7" t="s">
        <v>1786</v>
      </c>
      <c r="QK7">
        <v>3.7231350000000001</v>
      </c>
      <c r="QL7">
        <v>0.80518199999999995</v>
      </c>
      <c r="QM7" t="s">
        <v>1742</v>
      </c>
      <c r="QN7">
        <v>2025</v>
      </c>
      <c r="QO7" t="s">
        <v>5282</v>
      </c>
      <c r="QP7" s="6">
        <v>46069</v>
      </c>
      <c r="QQ7">
        <v>5</v>
      </c>
      <c r="QR7">
        <v>33600181.100000001</v>
      </c>
      <c r="QS7">
        <v>153809</v>
      </c>
      <c r="QT7" t="s">
        <v>5283</v>
      </c>
      <c r="QW7" t="s">
        <v>236</v>
      </c>
      <c r="QX7">
        <v>13</v>
      </c>
      <c r="QY7" t="s">
        <v>1786</v>
      </c>
      <c r="QZ7">
        <v>3.4525320000000002</v>
      </c>
      <c r="RA7" t="s">
        <v>1745</v>
      </c>
      <c r="RB7">
        <v>2025</v>
      </c>
      <c r="RC7" t="s">
        <v>2145</v>
      </c>
      <c r="RD7" s="6">
        <v>46079</v>
      </c>
      <c r="RE7">
        <v>5</v>
      </c>
      <c r="RF7">
        <v>2033817472</v>
      </c>
      <c r="RG7">
        <v>102782</v>
      </c>
      <c r="RH7" t="s">
        <v>2149</v>
      </c>
      <c r="RM7" t="s">
        <v>1699</v>
      </c>
      <c r="RN7" t="s">
        <v>1786</v>
      </c>
      <c r="RO7">
        <v>1.3419449999999999</v>
      </c>
      <c r="RP7">
        <v>2.7987500000000001</v>
      </c>
      <c r="RQ7" t="s">
        <v>1845</v>
      </c>
      <c r="RR7">
        <v>2025</v>
      </c>
      <c r="RS7" t="s">
        <v>2798</v>
      </c>
      <c r="RT7" s="6">
        <v>46077</v>
      </c>
      <c r="RU7">
        <v>5</v>
      </c>
      <c r="RV7">
        <v>223004416</v>
      </c>
      <c r="RW7">
        <v>28046509</v>
      </c>
      <c r="RX7" t="s">
        <v>2799</v>
      </c>
      <c r="SA7" t="s">
        <v>236</v>
      </c>
      <c r="SB7">
        <v>12.373919000000001</v>
      </c>
      <c r="SC7" t="s">
        <v>1786</v>
      </c>
      <c r="SD7">
        <v>4.81257</v>
      </c>
      <c r="SE7" t="s">
        <v>1742</v>
      </c>
      <c r="SF7">
        <v>2025</v>
      </c>
      <c r="SG7" t="s">
        <v>2501</v>
      </c>
      <c r="SH7" s="6">
        <v>46018</v>
      </c>
      <c r="SI7">
        <v>5</v>
      </c>
      <c r="SJ7">
        <v>2968874496</v>
      </c>
      <c r="SK7">
        <v>102782</v>
      </c>
      <c r="SL7" t="s">
        <v>2149</v>
      </c>
      <c r="TE7" t="s">
        <v>5672</v>
      </c>
      <c r="TF7">
        <v>-2.4245362661989844E-14</v>
      </c>
      <c r="TH7">
        <v>-2.4245362661989844E-14</v>
      </c>
      <c r="TI7" t="s">
        <v>1745</v>
      </c>
      <c r="TJ7">
        <v>2024</v>
      </c>
      <c r="TK7" t="s">
        <v>5673</v>
      </c>
      <c r="TL7" s="6">
        <v>45740</v>
      </c>
      <c r="TM7">
        <v>3</v>
      </c>
      <c r="TN7">
        <v>-2.4245362661989844E-14</v>
      </c>
      <c r="TO7">
        <v>384518</v>
      </c>
      <c r="TP7" t="s">
        <v>5674</v>
      </c>
      <c r="TU7" t="s">
        <v>2215</v>
      </c>
      <c r="TW7">
        <v>-2.4245362661989844E-14</v>
      </c>
      <c r="TX7">
        <v>-2.4245362661989844E-14</v>
      </c>
      <c r="TY7" t="s">
        <v>1805</v>
      </c>
      <c r="TZ7">
        <v>2025</v>
      </c>
      <c r="UA7" t="s">
        <v>2216</v>
      </c>
      <c r="UB7" s="6">
        <v>45890</v>
      </c>
      <c r="UC7">
        <v>5</v>
      </c>
      <c r="UD7">
        <v>-2.4245362661989844E-14</v>
      </c>
      <c r="UE7">
        <v>38007258</v>
      </c>
      <c r="UF7" t="s">
        <v>2217</v>
      </c>
      <c r="UI7" t="s">
        <v>1943</v>
      </c>
      <c r="UJ7">
        <v>-2.4245362661989844E-14</v>
      </c>
      <c r="UL7">
        <v>-2.4245362661989844E-14</v>
      </c>
      <c r="UM7" t="s">
        <v>1798</v>
      </c>
      <c r="UN7">
        <v>2022</v>
      </c>
      <c r="UO7" t="s">
        <v>1944</v>
      </c>
      <c r="UP7" s="6">
        <v>44895</v>
      </c>
      <c r="UQ7">
        <v>5</v>
      </c>
      <c r="UR7">
        <v>-2.4245362661989844E-14</v>
      </c>
      <c r="US7">
        <v>67286948</v>
      </c>
      <c r="UT7" t="s">
        <v>1945</v>
      </c>
      <c r="UY7" t="s">
        <v>1985</v>
      </c>
      <c r="UZ7" t="s">
        <v>1786</v>
      </c>
      <c r="VA7">
        <v>0.46423900000000001</v>
      </c>
      <c r="VB7">
        <v>0.187949</v>
      </c>
      <c r="VC7" t="s">
        <v>1742</v>
      </c>
      <c r="VD7">
        <v>2025</v>
      </c>
      <c r="VE7" t="s">
        <v>2490</v>
      </c>
      <c r="VF7" s="6">
        <v>46027</v>
      </c>
      <c r="VG7">
        <v>5</v>
      </c>
      <c r="VH7">
        <v>2943275</v>
      </c>
      <c r="VI7">
        <v>36965288</v>
      </c>
      <c r="VJ7" t="s">
        <v>1987</v>
      </c>
      <c r="VM7" t="s">
        <v>769</v>
      </c>
      <c r="VN7">
        <v>-2.4245362661989844E-14</v>
      </c>
      <c r="VP7">
        <v>-2.4245362661989844E-14</v>
      </c>
      <c r="VQ7" t="s">
        <v>1745</v>
      </c>
      <c r="VR7">
        <v>2023</v>
      </c>
      <c r="VS7" t="s">
        <v>5329</v>
      </c>
      <c r="VT7" s="6">
        <v>45343</v>
      </c>
      <c r="VU7">
        <v>3</v>
      </c>
      <c r="VV7">
        <v>-2.4245362661989844E-14</v>
      </c>
      <c r="VW7">
        <v>225906</v>
      </c>
      <c r="VX7" t="s">
        <v>5372</v>
      </c>
    </row>
    <row r="8" spans="1:600" x14ac:dyDescent="0.25">
      <c r="A8" t="s">
        <v>5138</v>
      </c>
      <c r="B8" t="s">
        <v>1786</v>
      </c>
      <c r="C8">
        <v>2.96</v>
      </c>
      <c r="D8">
        <v>1.069E-2</v>
      </c>
      <c r="E8" t="s">
        <v>1798</v>
      </c>
      <c r="F8">
        <v>2025</v>
      </c>
      <c r="G8" t="s">
        <v>5139</v>
      </c>
      <c r="H8" s="6">
        <v>45961</v>
      </c>
      <c r="I8">
        <v>5</v>
      </c>
      <c r="J8">
        <v>78027.8</v>
      </c>
      <c r="K8">
        <v>22712328</v>
      </c>
      <c r="L8" t="s">
        <v>5140</v>
      </c>
      <c r="O8" t="s">
        <v>4448</v>
      </c>
      <c r="P8">
        <v>-2.4245362661989844E-14</v>
      </c>
      <c r="R8">
        <v>-2.4245362661989844E-14</v>
      </c>
      <c r="S8" t="s">
        <v>1742</v>
      </c>
      <c r="T8">
        <v>2023</v>
      </c>
      <c r="U8" t="s">
        <v>6607</v>
      </c>
      <c r="V8" s="6">
        <v>45061</v>
      </c>
      <c r="W8">
        <v>5</v>
      </c>
      <c r="X8">
        <v>-2.4245362661989844E-14</v>
      </c>
      <c r="Y8">
        <v>66503767</v>
      </c>
      <c r="Z8" t="s">
        <v>4450</v>
      </c>
      <c r="AE8" t="s">
        <v>357</v>
      </c>
      <c r="AF8" t="s">
        <v>1786</v>
      </c>
      <c r="AG8">
        <v>0.893262</v>
      </c>
      <c r="AH8">
        <v>1.9939499999999999</v>
      </c>
      <c r="AI8" t="s">
        <v>1809</v>
      </c>
      <c r="AJ8">
        <v>2025</v>
      </c>
      <c r="AK8" t="s">
        <v>2035</v>
      </c>
      <c r="AL8" s="6">
        <v>45797</v>
      </c>
      <c r="AM8">
        <v>5</v>
      </c>
      <c r="AN8">
        <v>129806144</v>
      </c>
      <c r="AO8">
        <v>1499717</v>
      </c>
      <c r="AP8" t="s">
        <v>1864</v>
      </c>
      <c r="AS8" t="s">
        <v>1814</v>
      </c>
      <c r="AT8">
        <v>0.94301500000000005</v>
      </c>
      <c r="AU8" t="s">
        <v>1786</v>
      </c>
      <c r="AV8">
        <v>2.2702520000000002</v>
      </c>
      <c r="AW8" t="s">
        <v>1809</v>
      </c>
      <c r="AX8">
        <v>2025</v>
      </c>
      <c r="AY8" t="s">
        <v>1815</v>
      </c>
      <c r="AZ8" s="6">
        <v>45784</v>
      </c>
      <c r="BA8">
        <v>5</v>
      </c>
      <c r="BB8">
        <v>137123792</v>
      </c>
      <c r="BC8">
        <v>100115</v>
      </c>
      <c r="BD8" t="s">
        <v>1816</v>
      </c>
      <c r="BI8" t="s">
        <v>3828</v>
      </c>
      <c r="BK8">
        <v>-2.4245362661989844E-14</v>
      </c>
      <c r="BL8">
        <v>-2.4245362661989844E-14</v>
      </c>
      <c r="BM8" t="s">
        <v>1745</v>
      </c>
      <c r="BN8">
        <v>2024</v>
      </c>
      <c r="BO8" t="s">
        <v>3579</v>
      </c>
      <c r="BP8" s="6">
        <v>45593</v>
      </c>
      <c r="BQ8">
        <v>5</v>
      </c>
      <c r="BR8">
        <v>-2.4245362661989844E-14</v>
      </c>
      <c r="BS8">
        <v>953096</v>
      </c>
      <c r="BT8" t="s">
        <v>3829</v>
      </c>
      <c r="BW8" t="s">
        <v>1801</v>
      </c>
      <c r="BX8">
        <v>-2.4245362661989844E-14</v>
      </c>
      <c r="BZ8">
        <v>-2.4245362661989844E-14</v>
      </c>
      <c r="CA8" t="s">
        <v>1745</v>
      </c>
      <c r="CB8">
        <v>2024</v>
      </c>
      <c r="CC8" t="s">
        <v>3579</v>
      </c>
      <c r="CD8" s="6">
        <v>45569</v>
      </c>
      <c r="CE8">
        <v>5</v>
      </c>
      <c r="CF8">
        <v>-2.4245362661989844E-14</v>
      </c>
      <c r="CG8">
        <v>218252</v>
      </c>
      <c r="CH8" t="s">
        <v>1803</v>
      </c>
      <c r="CM8" t="s">
        <v>6333</v>
      </c>
      <c r="CO8">
        <v>-2.4245362661989844E-14</v>
      </c>
      <c r="CP8">
        <v>-2.4245362661989844E-14</v>
      </c>
      <c r="CQ8" t="s">
        <v>1742</v>
      </c>
      <c r="CR8">
        <v>2025</v>
      </c>
      <c r="CS8" t="s">
        <v>6327</v>
      </c>
      <c r="CT8" s="6">
        <v>45968</v>
      </c>
      <c r="CU8">
        <v>5</v>
      </c>
      <c r="CV8">
        <v>-2.4245362661989844E-14</v>
      </c>
      <c r="CW8">
        <v>21538141</v>
      </c>
      <c r="CX8" t="s">
        <v>6334</v>
      </c>
      <c r="EU8" t="s">
        <v>34</v>
      </c>
      <c r="EV8" t="s">
        <v>1786</v>
      </c>
      <c r="EW8">
        <v>0.35996400000000001</v>
      </c>
      <c r="EX8">
        <v>0.24259500000000001</v>
      </c>
      <c r="EY8" t="s">
        <v>1845</v>
      </c>
      <c r="EZ8">
        <v>2025</v>
      </c>
      <c r="FA8" t="s">
        <v>1883</v>
      </c>
      <c r="FB8" s="6">
        <v>45848</v>
      </c>
      <c r="FC8">
        <v>5</v>
      </c>
      <c r="FD8">
        <v>57245076</v>
      </c>
      <c r="FE8">
        <v>101752</v>
      </c>
      <c r="FF8" t="s">
        <v>2723</v>
      </c>
      <c r="FI8" t="s">
        <v>1801</v>
      </c>
      <c r="FJ8">
        <v>-2.4245362661989844E-14</v>
      </c>
      <c r="FL8">
        <v>-2.4245362661989844E-14</v>
      </c>
      <c r="FM8" t="s">
        <v>1745</v>
      </c>
      <c r="FN8">
        <v>2023</v>
      </c>
      <c r="FO8" t="s">
        <v>3671</v>
      </c>
      <c r="FP8" s="6">
        <v>45196</v>
      </c>
      <c r="FQ8">
        <v>5</v>
      </c>
      <c r="FR8">
        <v>-2.4245362661989844E-14</v>
      </c>
      <c r="FS8">
        <v>218252</v>
      </c>
      <c r="FT8" t="s">
        <v>1803</v>
      </c>
      <c r="FY8" t="s">
        <v>3091</v>
      </c>
      <c r="GA8">
        <v>-2.4245362661989844E-14</v>
      </c>
      <c r="GB8">
        <v>-2.4245362661989844E-14</v>
      </c>
      <c r="GC8" t="s">
        <v>1745</v>
      </c>
      <c r="GD8">
        <v>2023</v>
      </c>
      <c r="GE8" t="s">
        <v>3092</v>
      </c>
      <c r="GF8" s="6">
        <v>45181</v>
      </c>
      <c r="GG8">
        <v>5</v>
      </c>
      <c r="GH8">
        <v>-2.4245362661989844E-14</v>
      </c>
      <c r="GI8">
        <v>17613018</v>
      </c>
      <c r="GJ8" t="s">
        <v>3093</v>
      </c>
      <c r="GM8" t="s">
        <v>1761</v>
      </c>
      <c r="GN8">
        <v>-2.4245362661989844E-14</v>
      </c>
      <c r="GP8">
        <v>-2.4245362661989844E-14</v>
      </c>
      <c r="GQ8" t="s">
        <v>1745</v>
      </c>
      <c r="GR8">
        <v>2025</v>
      </c>
      <c r="GS8" t="s">
        <v>5691</v>
      </c>
      <c r="GT8" s="6">
        <v>45903</v>
      </c>
      <c r="GU8">
        <v>5</v>
      </c>
      <c r="GV8">
        <v>-2.4245362661989844E-14</v>
      </c>
      <c r="GW8">
        <v>101695</v>
      </c>
      <c r="GX8" t="s">
        <v>1764</v>
      </c>
      <c r="HC8" t="s">
        <v>2525</v>
      </c>
      <c r="HD8" t="s">
        <v>1786</v>
      </c>
      <c r="HE8">
        <v>0.53199200000000002</v>
      </c>
      <c r="HF8">
        <v>4.7124160000000002</v>
      </c>
      <c r="HG8" t="s">
        <v>1762</v>
      </c>
      <c r="HH8">
        <v>2026</v>
      </c>
      <c r="HI8" t="s">
        <v>5608</v>
      </c>
      <c r="HJ8" s="6">
        <v>45926</v>
      </c>
      <c r="HK8">
        <v>5</v>
      </c>
      <c r="HL8">
        <v>32473260</v>
      </c>
      <c r="HM8">
        <v>193775</v>
      </c>
      <c r="HN8" t="s">
        <v>2527</v>
      </c>
      <c r="KO8" t="s">
        <v>4392</v>
      </c>
      <c r="KP8" t="s">
        <v>1786</v>
      </c>
      <c r="KQ8">
        <v>10.491263999999999</v>
      </c>
      <c r="KR8">
        <v>3.784764</v>
      </c>
      <c r="KS8" t="s">
        <v>1762</v>
      </c>
      <c r="KT8">
        <v>2025</v>
      </c>
      <c r="KU8" t="s">
        <v>4393</v>
      </c>
      <c r="KV8" s="6">
        <v>45891</v>
      </c>
      <c r="KW8">
        <v>5</v>
      </c>
      <c r="KX8">
        <v>909613718.26999998</v>
      </c>
      <c r="KY8">
        <v>12279743</v>
      </c>
      <c r="KZ8" t="s">
        <v>4394</v>
      </c>
      <c r="LC8" t="s">
        <v>1873</v>
      </c>
      <c r="LD8">
        <v>0.24043100000000001</v>
      </c>
      <c r="LE8" t="s">
        <v>1786</v>
      </c>
      <c r="LF8">
        <v>7.9492950000000002</v>
      </c>
      <c r="LG8" t="s">
        <v>1762</v>
      </c>
      <c r="LH8">
        <v>2025</v>
      </c>
      <c r="LI8" t="s">
        <v>1874</v>
      </c>
      <c r="LJ8" s="6">
        <v>46008</v>
      </c>
      <c r="LK8">
        <v>5</v>
      </c>
      <c r="LL8">
        <v>184870547.49000001</v>
      </c>
      <c r="LM8">
        <v>349049</v>
      </c>
      <c r="LN8" t="s">
        <v>1875</v>
      </c>
      <c r="LS8" t="s">
        <v>6554</v>
      </c>
      <c r="LT8" t="s">
        <v>1786</v>
      </c>
      <c r="LU8">
        <v>4.5298999999999999E-2</v>
      </c>
      <c r="LV8">
        <v>0.119473</v>
      </c>
      <c r="LW8" t="s">
        <v>1845</v>
      </c>
      <c r="LX8">
        <v>2025</v>
      </c>
      <c r="LY8" t="s">
        <v>6555</v>
      </c>
      <c r="LZ8" s="6">
        <v>45841</v>
      </c>
      <c r="MA8">
        <v>5</v>
      </c>
      <c r="MB8">
        <v>784579</v>
      </c>
      <c r="MC8">
        <v>171351</v>
      </c>
      <c r="MD8" t="s">
        <v>6556</v>
      </c>
      <c r="MG8" t="s">
        <v>6563</v>
      </c>
      <c r="MH8">
        <v>-2.4245362661989844E-14</v>
      </c>
      <c r="MJ8">
        <v>-2.4245362661989844E-14</v>
      </c>
      <c r="MK8" t="s">
        <v>1745</v>
      </c>
      <c r="ML8">
        <v>2025</v>
      </c>
      <c r="MM8" t="s">
        <v>6557</v>
      </c>
      <c r="MN8" s="6">
        <v>45754</v>
      </c>
      <c r="MO8">
        <v>5</v>
      </c>
      <c r="MP8">
        <v>-2.4245362661989844E-14</v>
      </c>
      <c r="MQ8">
        <v>8912817</v>
      </c>
      <c r="MR8" t="s">
        <v>6564</v>
      </c>
      <c r="MW8" t="s">
        <v>385</v>
      </c>
      <c r="MX8" t="s">
        <v>1786</v>
      </c>
      <c r="MY8">
        <v>1.8476189999999999</v>
      </c>
      <c r="MZ8">
        <v>0.497726</v>
      </c>
      <c r="NA8" t="s">
        <v>1742</v>
      </c>
      <c r="NB8">
        <v>2025</v>
      </c>
      <c r="NC8" t="s">
        <v>2501</v>
      </c>
      <c r="ND8" s="6">
        <v>46018</v>
      </c>
      <c r="NE8">
        <v>5</v>
      </c>
      <c r="NF8">
        <v>443299232</v>
      </c>
      <c r="NG8">
        <v>100828</v>
      </c>
      <c r="NH8" t="s">
        <v>2464</v>
      </c>
      <c r="NK8" t="s">
        <v>3756</v>
      </c>
      <c r="NL8">
        <v>-2.4245362661989844E-14</v>
      </c>
      <c r="NN8">
        <v>-2.4245362661989844E-14</v>
      </c>
      <c r="NO8" t="s">
        <v>1745</v>
      </c>
      <c r="NP8">
        <v>2023</v>
      </c>
      <c r="NQ8" t="s">
        <v>3752</v>
      </c>
      <c r="NR8" s="6">
        <v>44964</v>
      </c>
      <c r="NS8">
        <v>5</v>
      </c>
      <c r="NT8">
        <v>-2.4245362661989844E-14</v>
      </c>
      <c r="NU8">
        <v>33578464</v>
      </c>
      <c r="NV8" t="s">
        <v>3757</v>
      </c>
      <c r="OA8" t="s">
        <v>2374</v>
      </c>
      <c r="OB8" t="s">
        <v>1786</v>
      </c>
      <c r="OC8">
        <v>8.8672269999999997</v>
      </c>
      <c r="OD8">
        <v>1.980351</v>
      </c>
      <c r="OE8" t="s">
        <v>1762</v>
      </c>
      <c r="OF8">
        <v>2025</v>
      </c>
      <c r="OG8" t="s">
        <v>2375</v>
      </c>
      <c r="OH8" s="6">
        <v>45922</v>
      </c>
      <c r="OI8">
        <v>5</v>
      </c>
      <c r="OJ8">
        <v>135574848</v>
      </c>
      <c r="OK8">
        <v>11937231</v>
      </c>
      <c r="OL8" t="s">
        <v>2376</v>
      </c>
      <c r="OO8" t="s">
        <v>1880</v>
      </c>
      <c r="OP8">
        <v>3.2472560000000001</v>
      </c>
      <c r="OQ8" t="s">
        <v>1786</v>
      </c>
      <c r="OR8">
        <v>2.573108</v>
      </c>
      <c r="OS8" t="s">
        <v>1762</v>
      </c>
      <c r="OT8">
        <v>2025</v>
      </c>
      <c r="OU8" t="s">
        <v>1877</v>
      </c>
      <c r="OV8" s="6">
        <v>45888</v>
      </c>
      <c r="OW8">
        <v>5</v>
      </c>
      <c r="OX8">
        <v>357945024</v>
      </c>
      <c r="OY8">
        <v>10451815</v>
      </c>
      <c r="OZ8" t="s">
        <v>1881</v>
      </c>
      <c r="QI8" t="s">
        <v>1114</v>
      </c>
      <c r="QJ8" t="s">
        <v>1786</v>
      </c>
      <c r="QK8">
        <v>0.238619</v>
      </c>
      <c r="QL8">
        <v>0.71575299999999997</v>
      </c>
      <c r="QM8" t="s">
        <v>1745</v>
      </c>
      <c r="QN8">
        <v>2025</v>
      </c>
      <c r="QO8" t="s">
        <v>2150</v>
      </c>
      <c r="QP8" s="6">
        <v>46064</v>
      </c>
      <c r="QQ8">
        <v>5</v>
      </c>
      <c r="QR8">
        <v>28750000</v>
      </c>
      <c r="QS8">
        <v>100225</v>
      </c>
      <c r="QT8" t="s">
        <v>2151</v>
      </c>
      <c r="QW8" t="s">
        <v>1114</v>
      </c>
      <c r="QX8">
        <v>11.153900999999999</v>
      </c>
      <c r="QY8" t="s">
        <v>1786</v>
      </c>
      <c r="QZ8">
        <v>50.086109</v>
      </c>
      <c r="RA8" t="s">
        <v>1745</v>
      </c>
      <c r="RB8">
        <v>2025</v>
      </c>
      <c r="RC8" t="s">
        <v>2150</v>
      </c>
      <c r="RD8" s="6">
        <v>46064</v>
      </c>
      <c r="RE8">
        <v>5</v>
      </c>
      <c r="RF8">
        <v>1745000000</v>
      </c>
      <c r="RG8">
        <v>100225</v>
      </c>
      <c r="RH8" t="s">
        <v>2151</v>
      </c>
      <c r="RM8" t="s">
        <v>804</v>
      </c>
      <c r="RN8" t="s">
        <v>1786</v>
      </c>
      <c r="RO8">
        <v>49.056618</v>
      </c>
      <c r="RP8">
        <v>2.3797060000000001</v>
      </c>
      <c r="RQ8" t="s">
        <v>1742</v>
      </c>
      <c r="RR8">
        <v>2025</v>
      </c>
      <c r="RS8" t="s">
        <v>2800</v>
      </c>
      <c r="RT8" s="6">
        <v>46050</v>
      </c>
      <c r="RU8">
        <v>5</v>
      </c>
      <c r="RV8">
        <v>173789936</v>
      </c>
      <c r="RW8">
        <v>1753841</v>
      </c>
      <c r="RX8" t="s">
        <v>2801</v>
      </c>
      <c r="SA8" t="s">
        <v>2502</v>
      </c>
      <c r="SB8">
        <v>2.966253</v>
      </c>
      <c r="SC8" t="s">
        <v>1786</v>
      </c>
      <c r="SD8">
        <v>1.12304</v>
      </c>
      <c r="SE8" t="s">
        <v>1742</v>
      </c>
      <c r="SF8">
        <v>2025</v>
      </c>
      <c r="SG8" t="s">
        <v>2501</v>
      </c>
      <c r="SH8" s="6">
        <v>46018</v>
      </c>
      <c r="SI8">
        <v>5</v>
      </c>
      <c r="SJ8">
        <v>711693056</v>
      </c>
      <c r="SK8">
        <v>60401289</v>
      </c>
      <c r="SL8" t="s">
        <v>2503</v>
      </c>
      <c r="TU8" t="s">
        <v>2218</v>
      </c>
      <c r="TW8">
        <v>-2.4245362661989844E-14</v>
      </c>
      <c r="TX8">
        <v>-2.4245362661989844E-14</v>
      </c>
      <c r="TY8" t="s">
        <v>1805</v>
      </c>
      <c r="TZ8">
        <v>2026</v>
      </c>
      <c r="UA8" t="s">
        <v>2219</v>
      </c>
      <c r="UB8" s="6">
        <v>45996</v>
      </c>
      <c r="UC8">
        <v>5</v>
      </c>
      <c r="UD8">
        <v>-2.4245362661989844E-14</v>
      </c>
      <c r="UE8">
        <v>114153</v>
      </c>
      <c r="UF8" t="s">
        <v>2220</v>
      </c>
      <c r="UI8" t="s">
        <v>1946</v>
      </c>
      <c r="UJ8">
        <v>-2.4245362661989844E-14</v>
      </c>
      <c r="UL8">
        <v>-2.4245362661989844E-14</v>
      </c>
      <c r="UM8" t="s">
        <v>1745</v>
      </c>
      <c r="UN8">
        <v>2021</v>
      </c>
      <c r="UO8" t="s">
        <v>1947</v>
      </c>
      <c r="UP8" s="6">
        <v>44683</v>
      </c>
      <c r="UQ8">
        <v>5</v>
      </c>
      <c r="UR8">
        <v>-2.4245362661989844E-14</v>
      </c>
      <c r="US8">
        <v>10758505</v>
      </c>
      <c r="UT8" t="s">
        <v>1948</v>
      </c>
      <c r="UY8" t="s">
        <v>5328</v>
      </c>
      <c r="VA8">
        <v>-2.4245362661989844E-14</v>
      </c>
      <c r="VB8">
        <v>-2.4245362661989844E-14</v>
      </c>
      <c r="VC8" t="s">
        <v>1745</v>
      </c>
      <c r="VD8">
        <v>2023</v>
      </c>
      <c r="VE8" t="s">
        <v>5329</v>
      </c>
      <c r="VF8" s="6">
        <v>45343</v>
      </c>
      <c r="VG8">
        <v>5</v>
      </c>
      <c r="VH8">
        <v>-2.4245362661989844E-14</v>
      </c>
      <c r="VI8">
        <v>50563862</v>
      </c>
      <c r="VJ8" t="s">
        <v>5330</v>
      </c>
    </row>
    <row r="9" spans="1:600" x14ac:dyDescent="0.25">
      <c r="A9" t="s">
        <v>5141</v>
      </c>
      <c r="C9">
        <v>-2.4245362661989844E-14</v>
      </c>
      <c r="D9">
        <v>-2.4245362661989844E-14</v>
      </c>
      <c r="E9" t="s">
        <v>1745</v>
      </c>
      <c r="F9">
        <v>2023</v>
      </c>
      <c r="G9" t="s">
        <v>5142</v>
      </c>
      <c r="H9" s="6">
        <v>45187</v>
      </c>
      <c r="I9">
        <v>5</v>
      </c>
      <c r="J9">
        <v>-2.4245362661989844E-14</v>
      </c>
      <c r="K9">
        <v>15188635</v>
      </c>
      <c r="L9" t="s">
        <v>5143</v>
      </c>
      <c r="O9" t="s">
        <v>6608</v>
      </c>
      <c r="P9">
        <v>-2.4245362661989844E-14</v>
      </c>
      <c r="R9">
        <v>-2.4245362661989844E-14</v>
      </c>
      <c r="S9" t="s">
        <v>1762</v>
      </c>
      <c r="T9">
        <v>2023</v>
      </c>
      <c r="U9" t="s">
        <v>6609</v>
      </c>
      <c r="V9" s="6">
        <v>45081</v>
      </c>
      <c r="W9">
        <v>5</v>
      </c>
      <c r="X9">
        <v>-2.4245362661989844E-14</v>
      </c>
      <c r="Y9">
        <v>68691650</v>
      </c>
      <c r="Z9" t="s">
        <v>6610</v>
      </c>
      <c r="AE9" t="s">
        <v>2512</v>
      </c>
      <c r="AF9" t="s">
        <v>1786</v>
      </c>
      <c r="AG9">
        <v>0.59890299999999996</v>
      </c>
      <c r="AH9">
        <v>1.729209</v>
      </c>
      <c r="AI9" t="s">
        <v>1809</v>
      </c>
      <c r="AJ9">
        <v>2025</v>
      </c>
      <c r="AK9" t="s">
        <v>2035</v>
      </c>
      <c r="AL9" s="6">
        <v>45797</v>
      </c>
      <c r="AM9">
        <v>5</v>
      </c>
      <c r="AN9">
        <v>112571504</v>
      </c>
      <c r="AO9">
        <v>130929</v>
      </c>
      <c r="AP9" t="s">
        <v>2513</v>
      </c>
      <c r="AS9" t="s">
        <v>167</v>
      </c>
      <c r="AT9">
        <v>0.76780499999999996</v>
      </c>
      <c r="AU9" t="s">
        <v>1786</v>
      </c>
      <c r="AV9">
        <v>2.2920660000000002</v>
      </c>
      <c r="AW9" t="s">
        <v>1809</v>
      </c>
      <c r="AX9">
        <v>2025</v>
      </c>
      <c r="AY9" t="s">
        <v>2035</v>
      </c>
      <c r="AZ9" s="6">
        <v>45797</v>
      </c>
      <c r="BA9">
        <v>5</v>
      </c>
      <c r="BB9">
        <v>111646528</v>
      </c>
      <c r="BC9">
        <v>69423747</v>
      </c>
      <c r="BD9" t="s">
        <v>2036</v>
      </c>
      <c r="BI9" t="s">
        <v>3830</v>
      </c>
      <c r="BK9">
        <v>-2.4245362661989844E-14</v>
      </c>
      <c r="BL9">
        <v>-2.4245362661989844E-14</v>
      </c>
      <c r="BM9" t="s">
        <v>1745</v>
      </c>
      <c r="BN9">
        <v>2023</v>
      </c>
      <c r="BO9" t="s">
        <v>3582</v>
      </c>
      <c r="BP9" s="6">
        <v>45344</v>
      </c>
      <c r="BQ9">
        <v>5</v>
      </c>
      <c r="BR9">
        <v>-2.4245362661989844E-14</v>
      </c>
      <c r="BS9">
        <v>114155</v>
      </c>
      <c r="BT9" t="s">
        <v>3831</v>
      </c>
      <c r="BW9" t="s">
        <v>3537</v>
      </c>
      <c r="BX9">
        <v>-2.4245362661989844E-14</v>
      </c>
      <c r="BZ9">
        <v>-2.4245362661989844E-14</v>
      </c>
      <c r="CA9" t="s">
        <v>1745</v>
      </c>
      <c r="CB9">
        <v>2024</v>
      </c>
      <c r="CC9" t="s">
        <v>3579</v>
      </c>
      <c r="CD9" s="6">
        <v>45569</v>
      </c>
      <c r="CE9">
        <v>5</v>
      </c>
      <c r="CF9">
        <v>-2.4245362661989844E-14</v>
      </c>
      <c r="CG9">
        <v>962207</v>
      </c>
      <c r="CH9" t="s">
        <v>3539</v>
      </c>
      <c r="CM9" t="s">
        <v>1885</v>
      </c>
      <c r="CO9">
        <v>-2.4245362661989844E-14</v>
      </c>
      <c r="CP9">
        <v>-2.4245362661989844E-14</v>
      </c>
      <c r="CQ9" t="s">
        <v>2435</v>
      </c>
      <c r="CR9">
        <v>2024</v>
      </c>
      <c r="CS9" t="s">
        <v>6335</v>
      </c>
      <c r="CT9" s="6">
        <v>45719</v>
      </c>
      <c r="CU9">
        <v>5</v>
      </c>
      <c r="CV9">
        <v>-2.4245362661989844E-14</v>
      </c>
      <c r="CW9">
        <v>216952</v>
      </c>
      <c r="CX9" t="s">
        <v>1886</v>
      </c>
      <c r="EU9" t="s">
        <v>195</v>
      </c>
      <c r="EV9" t="s">
        <v>1769</v>
      </c>
      <c r="EW9">
        <v>0.60699000000000003</v>
      </c>
      <c r="EX9">
        <v>0.15107200000000001</v>
      </c>
      <c r="EY9" t="s">
        <v>1762</v>
      </c>
      <c r="EZ9">
        <v>2025</v>
      </c>
      <c r="FA9" t="s">
        <v>2268</v>
      </c>
      <c r="FB9" s="6">
        <v>45838</v>
      </c>
      <c r="FC9">
        <v>5</v>
      </c>
      <c r="FD9">
        <v>35648524</v>
      </c>
      <c r="FE9">
        <v>101689</v>
      </c>
      <c r="FF9" t="s">
        <v>2269</v>
      </c>
      <c r="FI9" t="s">
        <v>3673</v>
      </c>
      <c r="FJ9">
        <v>-2.4245362661989844E-14</v>
      </c>
      <c r="FL9">
        <v>-2.4245362661989844E-14</v>
      </c>
      <c r="FM9" t="s">
        <v>1745</v>
      </c>
      <c r="FN9">
        <v>2023</v>
      </c>
      <c r="FO9" t="s">
        <v>3674</v>
      </c>
      <c r="FP9" s="6">
        <v>45189</v>
      </c>
      <c r="FQ9">
        <v>5</v>
      </c>
      <c r="FR9">
        <v>-2.4245362661989844E-14</v>
      </c>
      <c r="FS9">
        <v>118666</v>
      </c>
      <c r="FT9" t="s">
        <v>3675</v>
      </c>
      <c r="FY9" t="s">
        <v>3094</v>
      </c>
      <c r="GA9">
        <v>-2.4245362661989844E-14</v>
      </c>
      <c r="GB9">
        <v>-2.4245362661989844E-14</v>
      </c>
      <c r="GC9" t="s">
        <v>1745</v>
      </c>
      <c r="GD9">
        <v>2023</v>
      </c>
      <c r="GE9" t="s">
        <v>3095</v>
      </c>
      <c r="GF9" s="6">
        <v>45195</v>
      </c>
      <c r="GG9">
        <v>5</v>
      </c>
      <c r="GH9">
        <v>-2.4245362661989844E-14</v>
      </c>
      <c r="GI9">
        <v>54341795</v>
      </c>
      <c r="GJ9" t="s">
        <v>3096</v>
      </c>
      <c r="GM9" t="s">
        <v>1740</v>
      </c>
      <c r="GN9">
        <v>-2.4245362661989844E-14</v>
      </c>
      <c r="GP9">
        <v>-2.4245362661989844E-14</v>
      </c>
      <c r="GQ9" t="s">
        <v>1745</v>
      </c>
      <c r="GR9">
        <v>2023</v>
      </c>
      <c r="GS9" t="s">
        <v>3233</v>
      </c>
      <c r="GT9" s="6">
        <v>45049</v>
      </c>
      <c r="GU9">
        <v>5</v>
      </c>
      <c r="GV9">
        <v>-2.4245362661989844E-14</v>
      </c>
      <c r="GW9">
        <v>100137</v>
      </c>
      <c r="GX9" t="s">
        <v>5692</v>
      </c>
      <c r="HC9" t="s">
        <v>204</v>
      </c>
      <c r="HD9" t="s">
        <v>1786</v>
      </c>
      <c r="HE9">
        <v>0.19225600000000001</v>
      </c>
      <c r="HF9">
        <v>3.8869739999999999</v>
      </c>
      <c r="HG9" t="s">
        <v>1762</v>
      </c>
      <c r="HH9">
        <v>2026</v>
      </c>
      <c r="HI9" t="s">
        <v>5608</v>
      </c>
      <c r="HJ9" s="6">
        <v>45926</v>
      </c>
      <c r="HK9">
        <v>5</v>
      </c>
      <c r="HL9">
        <v>26785138</v>
      </c>
      <c r="HM9">
        <v>100732</v>
      </c>
      <c r="HN9" t="s">
        <v>2825</v>
      </c>
      <c r="KO9" t="s">
        <v>4395</v>
      </c>
      <c r="KP9" t="s">
        <v>1786</v>
      </c>
      <c r="KQ9">
        <v>67</v>
      </c>
      <c r="KR9">
        <v>3.5827270000000002</v>
      </c>
      <c r="KS9" t="s">
        <v>1745</v>
      </c>
      <c r="KT9">
        <v>2025</v>
      </c>
      <c r="KU9" t="s">
        <v>4396</v>
      </c>
      <c r="KV9" s="6">
        <v>46083</v>
      </c>
      <c r="KW9">
        <v>5</v>
      </c>
      <c r="KX9">
        <v>859442496</v>
      </c>
      <c r="KY9">
        <v>69597326</v>
      </c>
      <c r="KZ9" t="s">
        <v>4397</v>
      </c>
      <c r="LC9" t="s">
        <v>2096</v>
      </c>
      <c r="LD9">
        <v>0.23485800000000001</v>
      </c>
      <c r="LE9" t="s">
        <v>1786</v>
      </c>
      <c r="LF9">
        <v>0.132383</v>
      </c>
      <c r="LG9" t="s">
        <v>1742</v>
      </c>
      <c r="LH9">
        <v>2025</v>
      </c>
      <c r="LI9" t="s">
        <v>2528</v>
      </c>
      <c r="LJ9" s="6">
        <v>45843</v>
      </c>
      <c r="LK9">
        <v>5</v>
      </c>
      <c r="LL9">
        <v>164555600</v>
      </c>
      <c r="LM9">
        <v>101616</v>
      </c>
      <c r="LN9" t="s">
        <v>2098</v>
      </c>
      <c r="LS9" t="s">
        <v>3105</v>
      </c>
      <c r="LT9" t="s">
        <v>1769</v>
      </c>
      <c r="LU9">
        <v>1.1048000000000001E-2</v>
      </c>
      <c r="LV9">
        <v>0.18105499999999999</v>
      </c>
      <c r="LW9" t="s">
        <v>1762</v>
      </c>
      <c r="LX9">
        <v>2025</v>
      </c>
      <c r="LY9" t="s">
        <v>3106</v>
      </c>
      <c r="LZ9" s="6">
        <v>45902</v>
      </c>
      <c r="MA9">
        <v>5</v>
      </c>
      <c r="MB9">
        <v>695337.35</v>
      </c>
      <c r="MC9">
        <v>115265</v>
      </c>
      <c r="MD9" t="s">
        <v>3107</v>
      </c>
      <c r="MG9" t="s">
        <v>4458</v>
      </c>
      <c r="MH9">
        <v>-2.4245362661989844E-14</v>
      </c>
      <c r="MJ9">
        <v>-2.4245362661989844E-14</v>
      </c>
      <c r="MK9" t="s">
        <v>1745</v>
      </c>
      <c r="ML9">
        <v>2022</v>
      </c>
      <c r="MM9" t="s">
        <v>6565</v>
      </c>
      <c r="MN9" s="6">
        <v>44651</v>
      </c>
      <c r="MO9">
        <v>5</v>
      </c>
      <c r="MP9">
        <v>-2.4245362661989844E-14</v>
      </c>
      <c r="MQ9">
        <v>69921002</v>
      </c>
      <c r="MR9" t="s">
        <v>4460</v>
      </c>
      <c r="MW9" t="s">
        <v>3014</v>
      </c>
      <c r="MX9" t="s">
        <v>1786</v>
      </c>
      <c r="MY9">
        <v>3.2864840000000002</v>
      </c>
      <c r="MZ9">
        <v>0.48448999999999998</v>
      </c>
      <c r="NA9" t="s">
        <v>1742</v>
      </c>
      <c r="NB9">
        <v>2025</v>
      </c>
      <c r="NC9" t="s">
        <v>3015</v>
      </c>
      <c r="ND9" s="6">
        <v>45981</v>
      </c>
      <c r="NE9">
        <v>5</v>
      </c>
      <c r="NF9">
        <v>431591971.77999997</v>
      </c>
      <c r="NG9">
        <v>115414</v>
      </c>
      <c r="NH9" t="s">
        <v>3016</v>
      </c>
      <c r="NK9" t="s">
        <v>2091</v>
      </c>
      <c r="NL9">
        <v>-2.4245362661989844E-14</v>
      </c>
      <c r="NN9">
        <v>-2.4245362661989844E-14</v>
      </c>
      <c r="NO9" t="s">
        <v>1745</v>
      </c>
      <c r="NP9">
        <v>2025</v>
      </c>
      <c r="NQ9" t="s">
        <v>3750</v>
      </c>
      <c r="NR9" s="6">
        <v>46063</v>
      </c>
      <c r="NS9">
        <v>5</v>
      </c>
      <c r="NT9">
        <v>-2.4245362661989844E-14</v>
      </c>
      <c r="NU9">
        <v>17483390</v>
      </c>
      <c r="NV9" t="s">
        <v>2093</v>
      </c>
      <c r="OA9" t="s">
        <v>949</v>
      </c>
      <c r="OB9" t="s">
        <v>1786</v>
      </c>
      <c r="OC9">
        <v>9.9027270000000005</v>
      </c>
      <c r="OD9">
        <v>1.5774429999999999</v>
      </c>
      <c r="OE9" t="s">
        <v>1762</v>
      </c>
      <c r="OF9">
        <v>2025</v>
      </c>
      <c r="OG9" t="s">
        <v>2429</v>
      </c>
      <c r="OH9" s="6">
        <v>45904</v>
      </c>
      <c r="OI9">
        <v>5</v>
      </c>
      <c r="OJ9">
        <v>107991712</v>
      </c>
      <c r="OK9">
        <v>187877</v>
      </c>
      <c r="OL9" t="s">
        <v>2430</v>
      </c>
      <c r="OO9" t="s">
        <v>1079</v>
      </c>
      <c r="OP9">
        <v>3.0622020000000001</v>
      </c>
      <c r="OQ9" t="s">
        <v>1786</v>
      </c>
      <c r="OR9">
        <v>2.546176</v>
      </c>
      <c r="OS9" t="s">
        <v>1762</v>
      </c>
      <c r="OT9">
        <v>2025</v>
      </c>
      <c r="OU9" t="s">
        <v>1877</v>
      </c>
      <c r="OV9" s="6">
        <v>45888</v>
      </c>
      <c r="OW9">
        <v>5</v>
      </c>
      <c r="OX9">
        <v>337546528</v>
      </c>
      <c r="OY9">
        <v>100090</v>
      </c>
      <c r="OZ9" t="s">
        <v>1882</v>
      </c>
      <c r="QI9" t="s">
        <v>5278</v>
      </c>
      <c r="QJ9" t="s">
        <v>1786</v>
      </c>
      <c r="QK9">
        <v>0.82792200000000005</v>
      </c>
      <c r="QL9">
        <v>0.75151400000000002</v>
      </c>
      <c r="QM9" t="s">
        <v>1762</v>
      </c>
      <c r="QN9">
        <v>2025</v>
      </c>
      <c r="QO9" t="s">
        <v>5279</v>
      </c>
      <c r="QP9" s="6">
        <v>45959</v>
      </c>
      <c r="QQ9">
        <v>5</v>
      </c>
      <c r="QR9">
        <v>28398061.84</v>
      </c>
      <c r="QS9">
        <v>113332</v>
      </c>
      <c r="QT9" t="s">
        <v>5280</v>
      </c>
      <c r="QW9" t="s">
        <v>1801</v>
      </c>
      <c r="QX9">
        <v>6</v>
      </c>
      <c r="QZ9">
        <v>-2.4245362661989844E-14</v>
      </c>
      <c r="RA9" t="s">
        <v>1745</v>
      </c>
      <c r="RB9">
        <v>2024</v>
      </c>
      <c r="RC9" t="s">
        <v>2152</v>
      </c>
      <c r="RD9" s="6">
        <v>45715</v>
      </c>
      <c r="RE9">
        <v>5</v>
      </c>
      <c r="RF9">
        <v>954404992</v>
      </c>
      <c r="RG9">
        <v>218252</v>
      </c>
      <c r="RH9" t="s">
        <v>1803</v>
      </c>
      <c r="RM9" t="s">
        <v>2802</v>
      </c>
      <c r="RN9" t="s">
        <v>1786</v>
      </c>
      <c r="RO9">
        <v>1.017503</v>
      </c>
      <c r="RP9">
        <v>1.621964</v>
      </c>
      <c r="RQ9" t="s">
        <v>1762</v>
      </c>
      <c r="RR9">
        <v>2025</v>
      </c>
      <c r="RS9" t="s">
        <v>2803</v>
      </c>
      <c r="RT9" s="6">
        <v>45929</v>
      </c>
      <c r="RU9">
        <v>5</v>
      </c>
      <c r="RV9">
        <v>123835292.08</v>
      </c>
      <c r="RW9">
        <v>115679</v>
      </c>
      <c r="RX9" t="s">
        <v>2804</v>
      </c>
      <c r="SA9" t="s">
        <v>2504</v>
      </c>
      <c r="SB9">
        <v>2.108371</v>
      </c>
      <c r="SC9" t="s">
        <v>1786</v>
      </c>
      <c r="SD9">
        <v>2.5571009999999998</v>
      </c>
      <c r="SE9" t="s">
        <v>1762</v>
      </c>
      <c r="SF9">
        <v>2025</v>
      </c>
      <c r="SG9" t="s">
        <v>2505</v>
      </c>
      <c r="SH9" s="6">
        <v>45919</v>
      </c>
      <c r="SI9">
        <v>5</v>
      </c>
      <c r="SJ9">
        <v>501043244.87</v>
      </c>
      <c r="SK9">
        <v>115268</v>
      </c>
      <c r="SL9" t="s">
        <v>2506</v>
      </c>
      <c r="TU9" t="s">
        <v>2221</v>
      </c>
      <c r="TW9">
        <v>-2.4245362661989844E-14</v>
      </c>
      <c r="TX9">
        <v>-2.4245362661989844E-14</v>
      </c>
      <c r="TY9" t="s">
        <v>1742</v>
      </c>
      <c r="TZ9">
        <v>2022</v>
      </c>
      <c r="UA9" t="s">
        <v>2222</v>
      </c>
      <c r="UB9" s="6">
        <v>44896</v>
      </c>
      <c r="UC9">
        <v>5</v>
      </c>
      <c r="UD9">
        <v>-2.4245362661989844E-14</v>
      </c>
      <c r="UE9">
        <v>10418343</v>
      </c>
      <c r="UF9" t="s">
        <v>2223</v>
      </c>
      <c r="UI9" t="s">
        <v>1949</v>
      </c>
      <c r="UJ9">
        <v>-2.4245362661989844E-14</v>
      </c>
      <c r="UL9">
        <v>-2.4245362661989844E-14</v>
      </c>
      <c r="UM9" t="s">
        <v>1798</v>
      </c>
      <c r="UN9">
        <v>2025</v>
      </c>
      <c r="UO9" t="s">
        <v>1950</v>
      </c>
      <c r="UP9" s="6">
        <v>45961</v>
      </c>
      <c r="UQ9">
        <v>5</v>
      </c>
      <c r="UR9">
        <v>-2.4245362661989844E-14</v>
      </c>
      <c r="US9">
        <v>157171</v>
      </c>
      <c r="UT9" t="s">
        <v>1951</v>
      </c>
      <c r="UY9" t="s">
        <v>5331</v>
      </c>
      <c r="VA9">
        <v>-2.4245362661989844E-14</v>
      </c>
      <c r="VB9">
        <v>-2.4245362661989844E-14</v>
      </c>
      <c r="VC9" t="s">
        <v>1745</v>
      </c>
      <c r="VD9">
        <v>2026</v>
      </c>
      <c r="VE9" t="s">
        <v>5332</v>
      </c>
      <c r="VF9" s="6">
        <v>46077</v>
      </c>
      <c r="VG9">
        <v>5</v>
      </c>
      <c r="VH9">
        <v>-2.4245362661989844E-14</v>
      </c>
      <c r="VI9">
        <v>71762443</v>
      </c>
      <c r="VJ9" t="s">
        <v>5333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501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502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503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504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505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506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507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508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509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510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511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512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513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514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515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516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517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518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519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520</v>
      </c>
      <c r="AE2" s="3" t="s">
        <v>521</v>
      </c>
      <c r="BI2" s="3" t="s">
        <v>522</v>
      </c>
      <c r="CM2" s="3" t="s">
        <v>523</v>
      </c>
      <c r="DQ2" s="3" t="s">
        <v>524</v>
      </c>
      <c r="EU2" s="3" t="s">
        <v>342</v>
      </c>
      <c r="FY2" s="3" t="s">
        <v>525</v>
      </c>
      <c r="HC2" s="3" t="s">
        <v>526</v>
      </c>
      <c r="IG2" s="3" t="s">
        <v>527</v>
      </c>
      <c r="JK2" s="3" t="s">
        <v>528</v>
      </c>
      <c r="KO2" s="3" t="s">
        <v>529</v>
      </c>
      <c r="LS2" s="3" t="s">
        <v>530</v>
      </c>
      <c r="MW2" s="3" t="s">
        <v>531</v>
      </c>
      <c r="OA2" s="3" t="s">
        <v>532</v>
      </c>
      <c r="PE2" s="3" t="s">
        <v>533</v>
      </c>
      <c r="QI2" s="3" t="s">
        <v>534</v>
      </c>
      <c r="RM2" s="3" t="s">
        <v>535</v>
      </c>
      <c r="SQ2" s="3" t="s">
        <v>536</v>
      </c>
      <c r="TU2" s="3" t="s">
        <v>537</v>
      </c>
      <c r="UY2" s="3" t="s">
        <v>538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_xll.BDS("TCF US Equity","SUPPLY_CHAIN_SUPPLIERS_ALL_DATA")</f>
        <v>#N/A N/A</v>
      </c>
      <c r="O5" t="str">
        <f>_xll.BDS("TCF US Equity","SUPPLY_CHAIN_CUSTOMERS_ALL_DATA")</f>
        <v>#N/A N/A</v>
      </c>
      <c r="AE5" t="str">
        <f>_xll.BDS("RS US Equity","SUPPLY_CHAIN_SUPPLIERS_ALL_DATA","cols=12;rows=5")</f>
        <v>KALU US Equity</v>
      </c>
      <c r="AF5" t="s">
        <v>1786</v>
      </c>
      <c r="AG5">
        <v>16.059286</v>
      </c>
      <c r="AH5">
        <v>5.1395460000000002</v>
      </c>
      <c r="AI5" t="s">
        <v>1762</v>
      </c>
      <c r="AJ5">
        <v>2025</v>
      </c>
      <c r="AK5" t="s">
        <v>4366</v>
      </c>
      <c r="AL5" s="6">
        <v>45922</v>
      </c>
      <c r="AM5">
        <v>5</v>
      </c>
      <c r="AN5">
        <v>132183984</v>
      </c>
      <c r="AO5">
        <v>10793005</v>
      </c>
      <c r="AP5" t="s">
        <v>4367</v>
      </c>
      <c r="AS5" t="str">
        <f>_xll.BDS("RS US Equity","SUPPLY_CHAIN_CUSTOMERS_ALL_DATA","cols=12;rows=5")</f>
        <v>RTX US Equity</v>
      </c>
      <c r="AT5">
        <v>0.46411000000000002</v>
      </c>
      <c r="AU5" t="s">
        <v>1786</v>
      </c>
      <c r="AV5">
        <v>9.4678999999999999E-2</v>
      </c>
      <c r="AW5" t="s">
        <v>1742</v>
      </c>
      <c r="AX5">
        <v>2025</v>
      </c>
      <c r="AY5" t="s">
        <v>3428</v>
      </c>
      <c r="AZ5" s="6">
        <v>45982</v>
      </c>
      <c r="BA5">
        <v>5</v>
      </c>
      <c r="BB5">
        <v>16945584</v>
      </c>
      <c r="BC5">
        <v>101555</v>
      </c>
      <c r="BD5" t="s">
        <v>1848</v>
      </c>
      <c r="BI5" t="str">
        <f>_xll.BDS("INDB US Equity","SUPPLY_CHAIN_SUPPLIERS_ALL_DATA")</f>
        <v>#N/A N/A</v>
      </c>
      <c r="BW5" t="str">
        <f>_xll.BDS("INDB US Equity","SUPPLY_CHAIN_CUSTOMERS_ALL_DATA")</f>
        <v>#N/A N/A</v>
      </c>
      <c r="CM5" t="str">
        <f>_xll.BDS("ASCMA US Equity","SUPPLY_CHAIN_SUPPLIERS_ALL_DATA")</f>
        <v>#N/A N/A</v>
      </c>
      <c r="DA5" t="str">
        <f>_xll.BDS("ASCMA US Equity","SUPPLY_CHAIN_CUSTOMERS_ALL_DATA")</f>
        <v>#N/A N/A</v>
      </c>
      <c r="DQ5" t="str">
        <f>_xll.BDS("LEN US Equity","SUPPLY_CHAIN_SUPPLIERS_ALL_DATA","cols=12;rows=5")</f>
        <v>WLK US Equity</v>
      </c>
      <c r="DR5" t="s">
        <v>1786</v>
      </c>
      <c r="DS5">
        <v>5.5694879999999998</v>
      </c>
      <c r="DT5">
        <v>2.3995069999999998</v>
      </c>
      <c r="DU5" t="s">
        <v>1762</v>
      </c>
      <c r="DV5">
        <v>2025</v>
      </c>
      <c r="DW5" t="s">
        <v>4750</v>
      </c>
      <c r="DX5" s="6">
        <v>45922</v>
      </c>
      <c r="DY5">
        <v>5</v>
      </c>
      <c r="DZ5">
        <v>164466976</v>
      </c>
      <c r="EA5">
        <v>7785692</v>
      </c>
      <c r="EB5" t="s">
        <v>4751</v>
      </c>
      <c r="EE5" t="str">
        <f>_xll.BDS("LEN US Equity","SUPPLY_CHAIN_CUSTOMERS_ALL_DATA")</f>
        <v>#N/A N/A</v>
      </c>
      <c r="EU5" t="str">
        <f>_xll.BDS("SCI US Equity","SUPPLY_CHAIN_SUPPLIERS_ALL_DATA")</f>
        <v>#N/A N/A</v>
      </c>
      <c r="FI5" t="str">
        <f>_xll.BDS("SCI US Equity","SUPPLY_CHAIN_CUSTOMERS_ALL_DATA")</f>
        <v>#N/A N/A</v>
      </c>
      <c r="FY5" t="str">
        <f>_xll.BDS("BWA US Equity","SUPPLY_CHAIN_SUPPLIERS_ALL_DATA","cols=12;rows=5")</f>
        <v>CMI US Equity</v>
      </c>
      <c r="FZ5" t="s">
        <v>1786</v>
      </c>
      <c r="GA5">
        <v>0.21012600000000001</v>
      </c>
      <c r="GB5">
        <v>0.60577700000000001</v>
      </c>
      <c r="GC5" t="s">
        <v>1762</v>
      </c>
      <c r="GD5">
        <v>2025</v>
      </c>
      <c r="GE5" t="s">
        <v>3406</v>
      </c>
      <c r="GF5" s="6">
        <v>45880</v>
      </c>
      <c r="GG5">
        <v>5</v>
      </c>
      <c r="GH5">
        <v>18161190</v>
      </c>
      <c r="GI5">
        <v>100419</v>
      </c>
      <c r="GJ5" t="s">
        <v>3407</v>
      </c>
      <c r="GM5" t="str">
        <f>_xll.BDS("BWA US Equity","SUPPLY_CHAIN_CUSTOMERS_ALL_DATA","cols=12;rows=5")</f>
        <v>VOW GR Equity</v>
      </c>
      <c r="GN5">
        <v>13</v>
      </c>
      <c r="GO5" t="s">
        <v>1786</v>
      </c>
      <c r="GP5">
        <v>0.61808799999999997</v>
      </c>
      <c r="GQ5" t="s">
        <v>1745</v>
      </c>
      <c r="GR5">
        <v>2025</v>
      </c>
      <c r="GS5" t="s">
        <v>3235</v>
      </c>
      <c r="GT5" s="6">
        <v>46064</v>
      </c>
      <c r="GU5">
        <v>5</v>
      </c>
      <c r="GV5">
        <v>465270016</v>
      </c>
      <c r="GW5">
        <v>115757</v>
      </c>
      <c r="GX5" t="s">
        <v>2202</v>
      </c>
      <c r="HC5" t="str">
        <f>_xll.BDS("PWR US Equity","SUPPLY_CHAIN_SUPPLIERS_ALL_DATA","cols=12;rows=5")</f>
        <v>NXR-U CN Equity</v>
      </c>
      <c r="HD5" t="s">
        <v>1769</v>
      </c>
      <c r="HE5">
        <v>2.2999999999999998</v>
      </c>
      <c r="HF5">
        <v>0.16163</v>
      </c>
      <c r="HG5" t="s">
        <v>1745</v>
      </c>
      <c r="HH5">
        <v>2024</v>
      </c>
      <c r="HI5" t="s">
        <v>5764</v>
      </c>
      <c r="HJ5" s="6">
        <v>45726</v>
      </c>
      <c r="HK5">
        <v>5</v>
      </c>
      <c r="HL5">
        <v>737537.7</v>
      </c>
      <c r="HM5">
        <v>32816217</v>
      </c>
      <c r="HN5" t="s">
        <v>5765</v>
      </c>
      <c r="HQ5" t="str">
        <f>_xll.BDS("PWR US Equity","SUPPLY_CHAIN_CUSTOMERS_ALL_DATA","cols=12;rows=5")</f>
        <v>NEE US Equity</v>
      </c>
      <c r="HR5">
        <v>4.2290580000000002</v>
      </c>
      <c r="HS5" t="s">
        <v>1820</v>
      </c>
      <c r="HT5">
        <v>7.4794130000000001</v>
      </c>
      <c r="HU5" t="s">
        <v>1742</v>
      </c>
      <c r="HV5">
        <v>2025</v>
      </c>
      <c r="HW5" t="s">
        <v>2779</v>
      </c>
      <c r="HX5" s="6">
        <v>45975</v>
      </c>
      <c r="HY5">
        <v>5</v>
      </c>
      <c r="HZ5">
        <v>322736672</v>
      </c>
      <c r="IA5">
        <v>100607</v>
      </c>
      <c r="IB5" t="s">
        <v>5728</v>
      </c>
      <c r="IG5" t="str">
        <f>_xll.BDS("CMA US Equity","SUPPLY_CHAIN_SUPPLIERS_ALL_DATA","cols=12;rows=1")</f>
        <v>TEMN SW Equity</v>
      </c>
      <c r="IH5" t="s">
        <v>1786</v>
      </c>
      <c r="II5">
        <v>9.1541999999999998E-2</v>
      </c>
      <c r="IJ5">
        <v>4.0731000000000003E-2</v>
      </c>
      <c r="IK5" t="s">
        <v>1845</v>
      </c>
      <c r="IL5">
        <v>2024</v>
      </c>
      <c r="IM5" t="s">
        <v>3340</v>
      </c>
      <c r="IN5" s="6">
        <v>45709</v>
      </c>
      <c r="IO5">
        <v>1</v>
      </c>
      <c r="IP5">
        <v>228906</v>
      </c>
      <c r="IQ5">
        <v>1713474</v>
      </c>
      <c r="IR5" t="s">
        <v>3341</v>
      </c>
      <c r="IU5" t="str">
        <f>_xll.BDS("CMA US Equity","SUPPLY_CHAIN_CUSTOMERS_ALL_DATA","cols=12;rows=1")</f>
        <v>AUTLANB MM Equity</v>
      </c>
      <c r="IV5">
        <v>-2.4245362661989844E-14</v>
      </c>
      <c r="IX5">
        <v>-2.4245362661989844E-14</v>
      </c>
      <c r="IY5" t="s">
        <v>1798</v>
      </c>
      <c r="IZ5">
        <v>2022</v>
      </c>
      <c r="JA5" t="s">
        <v>2080</v>
      </c>
      <c r="JB5" s="6">
        <v>44860</v>
      </c>
      <c r="JC5">
        <v>1</v>
      </c>
      <c r="JD5">
        <v>-2.4245362661989844E-14</v>
      </c>
      <c r="JE5">
        <v>154733</v>
      </c>
      <c r="JF5" t="s">
        <v>2081</v>
      </c>
      <c r="JK5" t="str">
        <f>_xll.BDS("TQNT US Equity","SUPPLY_CHAIN_SUPPLIERS_ALL_DATA")</f>
        <v>#N/A N/A</v>
      </c>
      <c r="JY5" t="str">
        <f>_xll.BDS("TQNT US Equity","SUPPLY_CHAIN_CUSTOMERS_ALL_DATA")</f>
        <v>#N/A N/A</v>
      </c>
      <c r="KO5" t="str">
        <f>_xll.BDS("WELL US Equity","SUPPLY_CHAIN_SUPPLIERS_ALL_DATA","cols=12;rows=2")</f>
        <v>OHI US Equity</v>
      </c>
      <c r="KP5" t="s">
        <v>1769</v>
      </c>
      <c r="KQ5">
        <v>4.7567510000000004</v>
      </c>
      <c r="KR5">
        <v>27.424123999999999</v>
      </c>
      <c r="KS5" t="s">
        <v>1745</v>
      </c>
      <c r="KT5">
        <v>2024</v>
      </c>
      <c r="KU5" t="s">
        <v>3036</v>
      </c>
      <c r="KV5" s="6">
        <v>45693</v>
      </c>
      <c r="KW5">
        <v>2</v>
      </c>
      <c r="KX5">
        <v>12503001</v>
      </c>
      <c r="KY5">
        <v>115223</v>
      </c>
      <c r="KZ5" t="s">
        <v>3037</v>
      </c>
      <c r="LC5" t="str">
        <f>_xll.BDS("WELL US Equity","SUPPLY_CHAIN_CUSTOMERS_ALL_DATA","cols=12;rows=5")</f>
        <v>SRZ US Equity</v>
      </c>
      <c r="LD5">
        <v>10.062165</v>
      </c>
      <c r="LF5">
        <v>-2.4245362661989844E-14</v>
      </c>
      <c r="LG5" t="s">
        <v>1745</v>
      </c>
      <c r="LH5">
        <v>2024</v>
      </c>
      <c r="LI5" t="s">
        <v>5052</v>
      </c>
      <c r="LJ5" s="6">
        <v>45700</v>
      </c>
      <c r="LK5">
        <v>5</v>
      </c>
      <c r="LL5">
        <v>201019872</v>
      </c>
      <c r="LM5">
        <v>171733</v>
      </c>
      <c r="LN5" t="s">
        <v>5053</v>
      </c>
      <c r="LS5" t="str">
        <f>_xll.BDS("LVLT US Equity","SUPPLY_CHAIN_SUPPLIERS_ALL_DATA")</f>
        <v>#N/A N/A</v>
      </c>
      <c r="MG5" t="str">
        <f>_xll.BDS("LVLT US Equity","SUPPLY_CHAIN_CUSTOMERS_ALL_DATA")</f>
        <v>#N/A N/A</v>
      </c>
      <c r="MW5" t="str">
        <f>_xll.BDS("DHI US Equity","SUPPLY_CHAIN_SUPPLIERS_ALL_DATA","cols=12;rows=5")</f>
        <v>FOR US Equity</v>
      </c>
      <c r="MX5" t="s">
        <v>1786</v>
      </c>
      <c r="MY5">
        <v>82.838065999999998</v>
      </c>
      <c r="MZ5">
        <v>5.2919179999999999</v>
      </c>
      <c r="NA5" t="s">
        <v>1745</v>
      </c>
      <c r="NB5">
        <v>2025</v>
      </c>
      <c r="NC5" t="s">
        <v>4922</v>
      </c>
      <c r="ND5" s="6">
        <v>45980</v>
      </c>
      <c r="NE5">
        <v>5</v>
      </c>
      <c r="NF5">
        <v>344275000</v>
      </c>
      <c r="NG5">
        <v>11874264</v>
      </c>
      <c r="NH5" t="s">
        <v>4923</v>
      </c>
      <c r="NK5" t="str">
        <f>_xll.BDS("DHI US Equity","SUPPLY_CHAIN_CUSTOMERS_ALL_DATA","cols=12;rows=1")</f>
        <v>FOR US Equity</v>
      </c>
      <c r="NL5">
        <v>1.168E-3</v>
      </c>
      <c r="NM5" t="s">
        <v>1786</v>
      </c>
      <c r="NN5">
        <v>3.0794999999999999E-2</v>
      </c>
      <c r="NO5" t="s">
        <v>1745</v>
      </c>
      <c r="NP5">
        <v>2025</v>
      </c>
      <c r="NQ5" t="s">
        <v>4922</v>
      </c>
      <c r="NR5" s="6">
        <v>45980</v>
      </c>
      <c r="NS5">
        <v>1</v>
      </c>
      <c r="NT5">
        <v>100000</v>
      </c>
      <c r="NU5">
        <v>11874264</v>
      </c>
      <c r="NV5" t="s">
        <v>4923</v>
      </c>
      <c r="OA5" t="str">
        <f>_xll.BDS("BOKF US Equity","SUPPLY_CHAIN_SUPPLIERS_ALL_DATA","cols=12;rows=2")</f>
        <v>BLND US Equity</v>
      </c>
      <c r="OC5">
        <v>-2.4245362661989844E-14</v>
      </c>
      <c r="OD5">
        <v>-2.4245362661989844E-14</v>
      </c>
      <c r="OE5" t="s">
        <v>1809</v>
      </c>
      <c r="OF5">
        <v>2025</v>
      </c>
      <c r="OG5" t="s">
        <v>2837</v>
      </c>
      <c r="OH5" s="6">
        <v>45785</v>
      </c>
      <c r="OI5">
        <v>2</v>
      </c>
      <c r="OJ5">
        <v>-2.4245362661989844E-14</v>
      </c>
      <c r="OK5">
        <v>42447088</v>
      </c>
      <c r="OL5" t="s">
        <v>2838</v>
      </c>
      <c r="OO5" t="str">
        <f>_xll.BDS("BOKF US Equity","SUPPLY_CHAIN_CUSTOMERS_ALL_DATA")</f>
        <v>#N/A N/A</v>
      </c>
      <c r="PE5" t="str">
        <f>_xll.BDS("RAH US Equity","SUPPLY_CHAIN_SUPPLIERS_ALL_DATA")</f>
        <v>#N/A N/A</v>
      </c>
      <c r="PS5" t="str">
        <f>_xll.BDS("RAH US Equity","SUPPLY_CHAIN_CUSTOMERS_ALL_DATA")</f>
        <v>#N/A N/A</v>
      </c>
      <c r="QI5" t="str">
        <f>_xll.BDS("HQY US Equity","SUPPLY_CHAIN_SUPPLIERS_ALL_DATA","cols=12;rows=3")</f>
        <v>1179L US Equity</v>
      </c>
      <c r="QK5">
        <v>-2.4245362661989844E-14</v>
      </c>
      <c r="QL5">
        <v>-2.4245362661989844E-14</v>
      </c>
      <c r="QM5" t="s">
        <v>1745</v>
      </c>
      <c r="QN5">
        <v>2023</v>
      </c>
      <c r="QO5" t="s">
        <v>6119</v>
      </c>
      <c r="QP5" s="6">
        <v>45188</v>
      </c>
      <c r="QQ5">
        <v>3</v>
      </c>
      <c r="QR5">
        <v>-2.4245362661989844E-14</v>
      </c>
      <c r="QS5">
        <v>960437</v>
      </c>
      <c r="QT5" t="s">
        <v>6255</v>
      </c>
      <c r="QW5" t="str">
        <f>_xll.BDS("HQY US Equity","SUPPLY_CHAIN_CUSTOMERS_ALL_DATA","cols=12;rows=2")</f>
        <v>ADP US Equity</v>
      </c>
      <c r="QX5">
        <v>-2.4245362661989844E-14</v>
      </c>
      <c r="QZ5">
        <v>-2.4245362661989844E-14</v>
      </c>
      <c r="RA5" t="s">
        <v>1745</v>
      </c>
      <c r="RB5">
        <v>2022</v>
      </c>
      <c r="RC5" t="s">
        <v>3233</v>
      </c>
      <c r="RD5" s="6">
        <v>44693</v>
      </c>
      <c r="RE5">
        <v>2</v>
      </c>
      <c r="RF5">
        <v>-2.4245362661989844E-14</v>
      </c>
      <c r="RG5">
        <v>100137</v>
      </c>
      <c r="RH5" t="s">
        <v>5692</v>
      </c>
      <c r="RM5" t="str">
        <f>_xll.BDS("TFC US Equity","SUPPLY_CHAIN_SUPPLIERS_ALL_DATA","cols=12;rows=5")</f>
        <v>ADBE US Equity</v>
      </c>
      <c r="RN5" t="s">
        <v>1769</v>
      </c>
      <c r="RO5">
        <v>9.3438999999999994E-2</v>
      </c>
      <c r="RP5">
        <v>0.18883900000000001</v>
      </c>
      <c r="RQ5" t="s">
        <v>1762</v>
      </c>
      <c r="RR5">
        <v>2025</v>
      </c>
      <c r="RS5" t="s">
        <v>2268</v>
      </c>
      <c r="RT5" s="6">
        <v>45838</v>
      </c>
      <c r="RU5">
        <v>5</v>
      </c>
      <c r="RV5">
        <v>5487672</v>
      </c>
      <c r="RW5">
        <v>101689</v>
      </c>
      <c r="RX5" t="s">
        <v>2269</v>
      </c>
      <c r="SA5" t="str">
        <f>_xll.BDS("TFC US Equity","SUPPLY_CHAIN_CUSTOMERS_ALL_DATA","cols=12;rows=1")</f>
        <v>RENG IN Equity</v>
      </c>
      <c r="SB5">
        <v>-2.4245362661989844E-14</v>
      </c>
      <c r="SD5">
        <v>-2.4245362661989844E-14</v>
      </c>
      <c r="SE5" t="s">
        <v>1745</v>
      </c>
      <c r="SF5">
        <v>2025</v>
      </c>
      <c r="SG5" t="s">
        <v>1952</v>
      </c>
      <c r="SH5" s="6">
        <v>45901</v>
      </c>
      <c r="SI5">
        <v>1</v>
      </c>
      <c r="SJ5">
        <v>-2.4245362661989844E-14</v>
      </c>
      <c r="SK5">
        <v>182734</v>
      </c>
      <c r="SL5" t="s">
        <v>1953</v>
      </c>
      <c r="SQ5" t="str">
        <f>_xll.BDS("FDX US Equity","SUPPLY_CHAIN_SUPPLIERS_ALL_DATA","cols=12;rows=5")</f>
        <v>BA US Equity</v>
      </c>
      <c r="SR5" t="s">
        <v>1820</v>
      </c>
      <c r="SS5">
        <v>1.6362350000000001</v>
      </c>
      <c r="ST5">
        <v>25.27</v>
      </c>
      <c r="SU5" t="s">
        <v>1762</v>
      </c>
      <c r="SV5">
        <v>2025</v>
      </c>
      <c r="SW5" t="s">
        <v>3484</v>
      </c>
      <c r="SX5" s="6">
        <v>45873</v>
      </c>
      <c r="SY5">
        <v>5</v>
      </c>
      <c r="SZ5">
        <v>372227104</v>
      </c>
      <c r="TA5">
        <v>100211</v>
      </c>
      <c r="TB5" t="s">
        <v>1851</v>
      </c>
      <c r="TE5" t="str">
        <f>_xll.BDS("FDX US Equity","SUPPLY_CHAIN_CUSTOMERS_ALL_DATA","cols=12;rows=5")</f>
        <v>AMZN US Equity</v>
      </c>
      <c r="TF5">
        <v>0.97509400000000002</v>
      </c>
      <c r="TG5" t="s">
        <v>1786</v>
      </c>
      <c r="TH5">
        <v>0.244615</v>
      </c>
      <c r="TI5" t="s">
        <v>1809</v>
      </c>
      <c r="TJ5">
        <v>2026</v>
      </c>
      <c r="TK5" t="s">
        <v>5980</v>
      </c>
      <c r="TL5" s="6">
        <v>45980</v>
      </c>
      <c r="TM5">
        <v>5</v>
      </c>
      <c r="TN5">
        <v>216899904</v>
      </c>
      <c r="TO5">
        <v>216952</v>
      </c>
      <c r="TP5" t="s">
        <v>1886</v>
      </c>
      <c r="TU5" t="str">
        <f>_xll.BDS("SIG US Equity","SUPPLY_CHAIN_SUPPLIERS_ALL_DATA","cols=12;rows=5")</f>
        <v>SPG US Equity</v>
      </c>
      <c r="TV5" t="s">
        <v>1769</v>
      </c>
      <c r="TW5">
        <v>1.38846</v>
      </c>
      <c r="TX5">
        <v>3.841923</v>
      </c>
      <c r="TY5" t="s">
        <v>1745</v>
      </c>
      <c r="TZ5">
        <v>2024</v>
      </c>
      <c r="UA5" t="s">
        <v>3050</v>
      </c>
      <c r="UB5" s="6">
        <v>45693</v>
      </c>
      <c r="UC5">
        <v>5</v>
      </c>
      <c r="UD5">
        <v>20701241.25</v>
      </c>
      <c r="UE5">
        <v>126551</v>
      </c>
      <c r="UF5" t="s">
        <v>3051</v>
      </c>
      <c r="UI5" t="str">
        <f>_xll.BDS("SIG US Equity","SUPPLY_CHAIN_CUSTOMERS_ALL_DATA")</f>
        <v>#N/A N/A</v>
      </c>
      <c r="UY5" t="str">
        <f>_xll.BDS("0202445Q US Equity","SUPPLY_CHAIN_SUPPLIERS_ALL_DATA")</f>
        <v>#N/A N/A</v>
      </c>
      <c r="VM5" t="str">
        <f>_xll.BDS("0202445Q US Equity","SUPPLY_CHAIN_CUSTOMERS_ALL_DATA")</f>
        <v>#N/A N/A</v>
      </c>
    </row>
    <row r="6" spans="1:600" x14ac:dyDescent="0.25">
      <c r="AE6" t="s">
        <v>4368</v>
      </c>
      <c r="AF6" t="s">
        <v>1786</v>
      </c>
      <c r="AG6">
        <v>11</v>
      </c>
      <c r="AH6">
        <v>3.1475149999999998</v>
      </c>
      <c r="AI6" t="s">
        <v>1745</v>
      </c>
      <c r="AJ6">
        <v>2024</v>
      </c>
      <c r="AK6" t="s">
        <v>4369</v>
      </c>
      <c r="AL6" s="6">
        <v>45800</v>
      </c>
      <c r="AM6">
        <v>5</v>
      </c>
      <c r="AN6">
        <v>76868478.150000006</v>
      </c>
      <c r="AO6">
        <v>193671</v>
      </c>
      <c r="AP6" t="s">
        <v>4370</v>
      </c>
      <c r="AS6" t="s">
        <v>454</v>
      </c>
      <c r="AT6">
        <v>0.44179600000000002</v>
      </c>
      <c r="AU6" t="s">
        <v>1786</v>
      </c>
      <c r="AV6">
        <v>0.207818</v>
      </c>
      <c r="AW6" t="s">
        <v>1742</v>
      </c>
      <c r="AX6">
        <v>2025</v>
      </c>
      <c r="AY6" t="s">
        <v>3428</v>
      </c>
      <c r="AZ6" s="6">
        <v>45982</v>
      </c>
      <c r="BA6">
        <v>5</v>
      </c>
      <c r="BB6">
        <v>16130856</v>
      </c>
      <c r="BC6">
        <v>100632</v>
      </c>
      <c r="BD6" t="s">
        <v>1850</v>
      </c>
      <c r="DQ6" t="s">
        <v>4752</v>
      </c>
      <c r="DR6" t="s">
        <v>1786</v>
      </c>
      <c r="DS6">
        <v>2.5511309999999998</v>
      </c>
      <c r="DT6">
        <v>0.23505599999999999</v>
      </c>
      <c r="DU6" t="s">
        <v>1742</v>
      </c>
      <c r="DV6">
        <v>2025</v>
      </c>
      <c r="DW6" t="s">
        <v>4753</v>
      </c>
      <c r="DX6" s="6">
        <v>45975</v>
      </c>
      <c r="DY6">
        <v>5</v>
      </c>
      <c r="DZ6">
        <v>16914000</v>
      </c>
      <c r="EA6">
        <v>100915</v>
      </c>
      <c r="EB6" t="s">
        <v>4754</v>
      </c>
      <c r="FY6" t="s">
        <v>3408</v>
      </c>
      <c r="FZ6" t="s">
        <v>1786</v>
      </c>
      <c r="GA6">
        <v>1.6930989999999999</v>
      </c>
      <c r="GB6">
        <v>0.53028200000000003</v>
      </c>
      <c r="GC6" t="s">
        <v>1762</v>
      </c>
      <c r="GD6">
        <v>2026</v>
      </c>
      <c r="GE6" t="s">
        <v>3409</v>
      </c>
      <c r="GF6" s="6">
        <v>46044</v>
      </c>
      <c r="GG6">
        <v>5</v>
      </c>
      <c r="GH6">
        <v>15521341</v>
      </c>
      <c r="GI6">
        <v>116426</v>
      </c>
      <c r="GJ6" t="s">
        <v>3410</v>
      </c>
      <c r="GM6" t="s">
        <v>1144</v>
      </c>
      <c r="GN6">
        <v>12</v>
      </c>
      <c r="GO6" t="s">
        <v>1786</v>
      </c>
      <c r="GP6">
        <v>0.92566800000000005</v>
      </c>
      <c r="GQ6" t="s">
        <v>1745</v>
      </c>
      <c r="GR6">
        <v>2025</v>
      </c>
      <c r="GS6" t="s">
        <v>3235</v>
      </c>
      <c r="GT6" s="6">
        <v>46064</v>
      </c>
      <c r="GU6">
        <v>5</v>
      </c>
      <c r="GV6">
        <v>429480000</v>
      </c>
      <c r="GW6">
        <v>100602</v>
      </c>
      <c r="GX6" t="s">
        <v>2943</v>
      </c>
      <c r="HC6" t="s">
        <v>5766</v>
      </c>
      <c r="HE6">
        <v>-2.4245362661989844E-14</v>
      </c>
      <c r="HF6">
        <v>-2.4245362661989844E-14</v>
      </c>
      <c r="HG6" t="s">
        <v>1745</v>
      </c>
      <c r="HH6">
        <v>2025</v>
      </c>
      <c r="HI6" t="s">
        <v>5767</v>
      </c>
      <c r="HJ6" s="6">
        <v>45909</v>
      </c>
      <c r="HK6">
        <v>5</v>
      </c>
      <c r="HL6">
        <v>-2.4245362661989844E-14</v>
      </c>
      <c r="HM6">
        <v>65931652</v>
      </c>
      <c r="HN6" t="s">
        <v>5768</v>
      </c>
      <c r="HQ6" t="s">
        <v>2346</v>
      </c>
      <c r="HR6">
        <v>3.994469</v>
      </c>
      <c r="HS6" t="s">
        <v>1820</v>
      </c>
      <c r="HT6">
        <v>8.8280980000000007</v>
      </c>
      <c r="HU6" t="s">
        <v>1742</v>
      </c>
      <c r="HV6">
        <v>2025</v>
      </c>
      <c r="HW6" t="s">
        <v>2779</v>
      </c>
      <c r="HX6" s="6">
        <v>45975</v>
      </c>
      <c r="HY6">
        <v>5</v>
      </c>
      <c r="HZ6">
        <v>304834240</v>
      </c>
      <c r="IA6">
        <v>100481</v>
      </c>
      <c r="IB6" t="s">
        <v>2348</v>
      </c>
      <c r="KO6" t="s">
        <v>3038</v>
      </c>
      <c r="KQ6">
        <v>-2.4245362661989844E-14</v>
      </c>
      <c r="KR6">
        <v>-2.4245362661989844E-14</v>
      </c>
      <c r="KS6" t="s">
        <v>1745</v>
      </c>
      <c r="KT6">
        <v>2023</v>
      </c>
      <c r="KU6" t="s">
        <v>3039</v>
      </c>
      <c r="KV6" s="6">
        <v>45342</v>
      </c>
      <c r="KW6">
        <v>2</v>
      </c>
      <c r="KX6">
        <v>-2.4245362661989844E-14</v>
      </c>
      <c r="KY6">
        <v>101041</v>
      </c>
      <c r="KZ6" t="s">
        <v>3040</v>
      </c>
      <c r="LC6" t="s">
        <v>5054</v>
      </c>
      <c r="LD6">
        <v>8.5141399999999994</v>
      </c>
      <c r="LF6">
        <v>-2.4245362661989844E-14</v>
      </c>
      <c r="LG6" t="s">
        <v>1745</v>
      </c>
      <c r="LH6">
        <v>2024</v>
      </c>
      <c r="LI6" t="s">
        <v>5052</v>
      </c>
      <c r="LJ6" s="6">
        <v>45700</v>
      </c>
      <c r="LK6">
        <v>5</v>
      </c>
      <c r="LL6">
        <v>170093744</v>
      </c>
      <c r="LM6">
        <v>62774477</v>
      </c>
      <c r="LN6" t="s">
        <v>5055</v>
      </c>
      <c r="MW6" t="s">
        <v>4749</v>
      </c>
      <c r="MX6" t="s">
        <v>1786</v>
      </c>
      <c r="MY6">
        <v>5.4120119999999998</v>
      </c>
      <c r="MZ6">
        <v>2.2954590000000001</v>
      </c>
      <c r="NA6" t="s">
        <v>1762</v>
      </c>
      <c r="NB6">
        <v>2025</v>
      </c>
      <c r="NC6" t="s">
        <v>4750</v>
      </c>
      <c r="ND6" s="6">
        <v>45922</v>
      </c>
      <c r="NE6">
        <v>5</v>
      </c>
      <c r="NF6">
        <v>159816720</v>
      </c>
      <c r="NG6">
        <v>7785692</v>
      </c>
      <c r="NH6" t="s">
        <v>4751</v>
      </c>
      <c r="OA6" t="s">
        <v>6588</v>
      </c>
      <c r="OC6">
        <v>-2.4245362661989844E-14</v>
      </c>
      <c r="OD6">
        <v>-2.4245362661989844E-14</v>
      </c>
      <c r="OE6" t="s">
        <v>1809</v>
      </c>
      <c r="OF6">
        <v>2024</v>
      </c>
      <c r="OG6" t="s">
        <v>6589</v>
      </c>
      <c r="OH6" s="6">
        <v>45432</v>
      </c>
      <c r="OI6">
        <v>2</v>
      </c>
      <c r="OJ6">
        <v>-2.4245362661989844E-14</v>
      </c>
      <c r="OK6">
        <v>1750153</v>
      </c>
      <c r="OL6" t="s">
        <v>6590</v>
      </c>
      <c r="QI6" t="s">
        <v>1896</v>
      </c>
      <c r="QK6">
        <v>-2.4245362661989844E-14</v>
      </c>
      <c r="QL6">
        <v>-2.4245362661989844E-14</v>
      </c>
      <c r="QM6" t="s">
        <v>1798</v>
      </c>
      <c r="QN6">
        <v>2023</v>
      </c>
      <c r="QO6" t="s">
        <v>4921</v>
      </c>
      <c r="QP6" s="6">
        <v>45245</v>
      </c>
      <c r="QQ6">
        <v>3</v>
      </c>
      <c r="QR6">
        <v>-2.4245362661989844E-14</v>
      </c>
      <c r="QS6">
        <v>103882</v>
      </c>
      <c r="QT6" t="s">
        <v>1898</v>
      </c>
      <c r="QW6" t="s">
        <v>3974</v>
      </c>
      <c r="QX6">
        <v>-2.4245362661989844E-14</v>
      </c>
      <c r="QZ6">
        <v>-2.4245362661989844E-14</v>
      </c>
      <c r="RA6" t="s">
        <v>1745</v>
      </c>
      <c r="RB6">
        <v>2023</v>
      </c>
      <c r="RC6" t="s">
        <v>6119</v>
      </c>
      <c r="RD6" s="6">
        <v>45188</v>
      </c>
      <c r="RE6">
        <v>2</v>
      </c>
      <c r="RF6">
        <v>-2.4245362661989844E-14</v>
      </c>
      <c r="RG6">
        <v>48777406</v>
      </c>
      <c r="RH6" t="s">
        <v>3976</v>
      </c>
      <c r="RM6" t="s">
        <v>2270</v>
      </c>
      <c r="RN6" t="s">
        <v>1769</v>
      </c>
      <c r="RO6">
        <v>1.151538</v>
      </c>
      <c r="RP6">
        <v>7.7191999999999997E-2</v>
      </c>
      <c r="RQ6" t="s">
        <v>1745</v>
      </c>
      <c r="RR6">
        <v>2024</v>
      </c>
      <c r="RS6" t="s">
        <v>2271</v>
      </c>
      <c r="RT6" s="6">
        <v>45716</v>
      </c>
      <c r="RU6">
        <v>5</v>
      </c>
      <c r="RV6">
        <v>2317499</v>
      </c>
      <c r="RW6">
        <v>35300053</v>
      </c>
      <c r="RX6" t="s">
        <v>2272</v>
      </c>
      <c r="SQ6" t="s">
        <v>5977</v>
      </c>
      <c r="SR6" t="s">
        <v>1820</v>
      </c>
      <c r="SS6">
        <v>1.2710319999999999</v>
      </c>
      <c r="ST6">
        <v>4.2545669999999998</v>
      </c>
      <c r="SU6" t="s">
        <v>1762</v>
      </c>
      <c r="SV6">
        <v>2025</v>
      </c>
      <c r="SW6" t="s">
        <v>5978</v>
      </c>
      <c r="SX6" s="6">
        <v>45891</v>
      </c>
      <c r="SY6">
        <v>5</v>
      </c>
      <c r="SZ6">
        <v>63967250.82</v>
      </c>
      <c r="TA6">
        <v>128107</v>
      </c>
      <c r="TB6" t="s">
        <v>5979</v>
      </c>
      <c r="TE6" t="s">
        <v>3236</v>
      </c>
      <c r="TF6">
        <v>0.96317600000000003</v>
      </c>
      <c r="TG6" t="s">
        <v>1786</v>
      </c>
      <c r="TH6">
        <v>0.56730199999999997</v>
      </c>
      <c r="TI6" t="s">
        <v>1809</v>
      </c>
      <c r="TJ6">
        <v>2026</v>
      </c>
      <c r="TK6" t="s">
        <v>5980</v>
      </c>
      <c r="TL6" s="6">
        <v>45980</v>
      </c>
      <c r="TM6">
        <v>5</v>
      </c>
      <c r="TN6">
        <v>214248864</v>
      </c>
      <c r="TO6">
        <v>16632863</v>
      </c>
      <c r="TP6" t="s">
        <v>3238</v>
      </c>
      <c r="TU6" t="s">
        <v>3052</v>
      </c>
      <c r="TV6" t="s">
        <v>1786</v>
      </c>
      <c r="TW6">
        <v>11.738448</v>
      </c>
      <c r="TX6">
        <v>0.69803700000000002</v>
      </c>
      <c r="TY6" t="s">
        <v>1745</v>
      </c>
      <c r="TZ6">
        <v>2025</v>
      </c>
      <c r="UA6" t="s">
        <v>3053</v>
      </c>
      <c r="UB6" s="6">
        <v>45894</v>
      </c>
      <c r="UC6">
        <v>5</v>
      </c>
      <c r="UD6">
        <v>7224798.7199999997</v>
      </c>
      <c r="UE6">
        <v>10755502</v>
      </c>
      <c r="UF6" t="s">
        <v>3054</v>
      </c>
    </row>
    <row r="7" spans="1:600" x14ac:dyDescent="0.25">
      <c r="AE7" t="s">
        <v>2293</v>
      </c>
      <c r="AF7" t="s">
        <v>1786</v>
      </c>
      <c r="AG7">
        <v>1.9491999999999999E-2</v>
      </c>
      <c r="AH7">
        <v>1.4229E-2</v>
      </c>
      <c r="AI7" t="s">
        <v>1762</v>
      </c>
      <c r="AJ7">
        <v>2025</v>
      </c>
      <c r="AK7" t="s">
        <v>2294</v>
      </c>
      <c r="AL7" s="6">
        <v>45917</v>
      </c>
      <c r="AM7">
        <v>5</v>
      </c>
      <c r="AN7">
        <v>365815.64</v>
      </c>
      <c r="AO7">
        <v>23059377</v>
      </c>
      <c r="AP7" t="s">
        <v>2295</v>
      </c>
      <c r="AS7" t="s">
        <v>1677</v>
      </c>
      <c r="AT7">
        <v>0.428342</v>
      </c>
      <c r="AU7" t="s">
        <v>1786</v>
      </c>
      <c r="AV7">
        <v>1.3107409999999999</v>
      </c>
      <c r="AW7" t="s">
        <v>1762</v>
      </c>
      <c r="AX7">
        <v>2025</v>
      </c>
      <c r="AY7" t="s">
        <v>2465</v>
      </c>
      <c r="AZ7" s="6">
        <v>45912</v>
      </c>
      <c r="BA7">
        <v>5</v>
      </c>
      <c r="BB7">
        <v>15676462</v>
      </c>
      <c r="BC7">
        <v>101455</v>
      </c>
      <c r="BD7" t="s">
        <v>3269</v>
      </c>
      <c r="DQ7" t="s">
        <v>1475</v>
      </c>
      <c r="DR7" t="s">
        <v>1786</v>
      </c>
      <c r="DS7">
        <v>1.204777</v>
      </c>
      <c r="DT7">
        <v>0.211507</v>
      </c>
      <c r="DU7" t="s">
        <v>1762</v>
      </c>
      <c r="DV7">
        <v>2025</v>
      </c>
      <c r="DW7" t="s">
        <v>3996</v>
      </c>
      <c r="DX7" s="6">
        <v>45876</v>
      </c>
      <c r="DY7">
        <v>5</v>
      </c>
      <c r="DZ7">
        <v>14497082</v>
      </c>
      <c r="EA7">
        <v>23071317</v>
      </c>
      <c r="EB7" t="s">
        <v>4755</v>
      </c>
      <c r="FY7" t="s">
        <v>3411</v>
      </c>
      <c r="FZ7" t="s">
        <v>1786</v>
      </c>
      <c r="GA7">
        <v>0.119572</v>
      </c>
      <c r="GB7">
        <v>0.42400599999999999</v>
      </c>
      <c r="GC7" t="s">
        <v>1762</v>
      </c>
      <c r="GD7">
        <v>2025</v>
      </c>
      <c r="GE7" t="s">
        <v>3412</v>
      </c>
      <c r="GF7" s="6">
        <v>45943</v>
      </c>
      <c r="GG7">
        <v>5</v>
      </c>
      <c r="GH7">
        <v>12711699</v>
      </c>
      <c r="GI7">
        <v>109806</v>
      </c>
      <c r="GJ7" t="s">
        <v>3413</v>
      </c>
      <c r="GM7" t="s">
        <v>3236</v>
      </c>
      <c r="GN7">
        <v>8.3136449999999993</v>
      </c>
      <c r="GO7" t="s">
        <v>1786</v>
      </c>
      <c r="GP7">
        <v>0.74647699999999995</v>
      </c>
      <c r="GQ7" t="s">
        <v>1845</v>
      </c>
      <c r="GR7">
        <v>2025</v>
      </c>
      <c r="GS7" t="s">
        <v>3237</v>
      </c>
      <c r="GT7" s="6">
        <v>46070</v>
      </c>
      <c r="GU7">
        <v>5</v>
      </c>
      <c r="GV7">
        <v>296963392</v>
      </c>
      <c r="GW7">
        <v>16632863</v>
      </c>
      <c r="GX7" t="s">
        <v>3238</v>
      </c>
      <c r="HC7" t="s">
        <v>5408</v>
      </c>
      <c r="HE7">
        <v>-2.4245362661989844E-14</v>
      </c>
      <c r="HF7">
        <v>-2.4245362661989844E-14</v>
      </c>
      <c r="HG7" t="s">
        <v>1745</v>
      </c>
      <c r="HH7">
        <v>2023</v>
      </c>
      <c r="HI7" t="s">
        <v>5767</v>
      </c>
      <c r="HJ7" s="6">
        <v>45049</v>
      </c>
      <c r="HK7">
        <v>5</v>
      </c>
      <c r="HL7">
        <v>-2.4245362661989844E-14</v>
      </c>
      <c r="HM7">
        <v>12409566</v>
      </c>
      <c r="HN7" t="s">
        <v>5409</v>
      </c>
      <c r="HQ7" t="s">
        <v>2700</v>
      </c>
      <c r="HR7">
        <v>3.4382250000000001</v>
      </c>
      <c r="HS7" t="s">
        <v>1820</v>
      </c>
      <c r="HT7">
        <v>8.8733509999999995</v>
      </c>
      <c r="HU7" t="s">
        <v>1742</v>
      </c>
      <c r="HV7">
        <v>2025</v>
      </c>
      <c r="HW7" t="s">
        <v>2779</v>
      </c>
      <c r="HX7" s="6">
        <v>45975</v>
      </c>
      <c r="HY7">
        <v>5</v>
      </c>
      <c r="HZ7">
        <v>262384976</v>
      </c>
      <c r="IA7">
        <v>101139</v>
      </c>
      <c r="IB7" t="s">
        <v>2702</v>
      </c>
      <c r="LC7" t="s">
        <v>5056</v>
      </c>
      <c r="LD7">
        <v>8.5141399999999994</v>
      </c>
      <c r="LF7">
        <v>-2.4245362661989844E-14</v>
      </c>
      <c r="LG7" t="s">
        <v>1745</v>
      </c>
      <c r="LH7">
        <v>2024</v>
      </c>
      <c r="LI7" t="s">
        <v>5052</v>
      </c>
      <c r="LJ7" s="6">
        <v>45700</v>
      </c>
      <c r="LK7">
        <v>5</v>
      </c>
      <c r="LL7">
        <v>170093744</v>
      </c>
      <c r="LM7">
        <v>28214410</v>
      </c>
      <c r="LN7" t="s">
        <v>5057</v>
      </c>
      <c r="MW7" t="s">
        <v>240</v>
      </c>
      <c r="MX7" t="s">
        <v>1786</v>
      </c>
      <c r="MY7">
        <v>2.1373730000000002</v>
      </c>
      <c r="MZ7">
        <v>0.86022299999999996</v>
      </c>
      <c r="NA7" t="s">
        <v>1762</v>
      </c>
      <c r="NB7">
        <v>2025</v>
      </c>
      <c r="NC7" t="s">
        <v>3860</v>
      </c>
      <c r="ND7" s="6">
        <v>45890</v>
      </c>
      <c r="NE7">
        <v>5</v>
      </c>
      <c r="NF7">
        <v>59891328</v>
      </c>
      <c r="NG7">
        <v>105429</v>
      </c>
      <c r="NH7" t="s">
        <v>3861</v>
      </c>
      <c r="QI7" t="s">
        <v>423</v>
      </c>
      <c r="QK7">
        <v>-2.4245362661989844E-14</v>
      </c>
      <c r="QL7">
        <v>-2.4245362661989844E-14</v>
      </c>
      <c r="QM7" t="s">
        <v>1745</v>
      </c>
      <c r="QN7">
        <v>2023</v>
      </c>
      <c r="QO7" t="s">
        <v>6119</v>
      </c>
      <c r="QP7" s="6">
        <v>45188</v>
      </c>
      <c r="QQ7">
        <v>3</v>
      </c>
      <c r="QR7">
        <v>-2.4245362661989844E-14</v>
      </c>
      <c r="QS7">
        <v>100312</v>
      </c>
      <c r="QT7" t="s">
        <v>3933</v>
      </c>
      <c r="RM7" t="s">
        <v>2273</v>
      </c>
      <c r="RN7" t="s">
        <v>1769</v>
      </c>
      <c r="RO7">
        <v>0.492811</v>
      </c>
      <c r="RP7">
        <v>2.9784000000000001E-2</v>
      </c>
      <c r="RQ7" t="s">
        <v>1809</v>
      </c>
      <c r="RR7">
        <v>2026</v>
      </c>
      <c r="RS7" t="s">
        <v>2274</v>
      </c>
      <c r="RT7" s="6">
        <v>45898</v>
      </c>
      <c r="RU7">
        <v>5</v>
      </c>
      <c r="RV7">
        <v>889383.69</v>
      </c>
      <c r="RW7">
        <v>178651</v>
      </c>
      <c r="RX7" t="s">
        <v>2275</v>
      </c>
      <c r="SQ7" t="s">
        <v>424</v>
      </c>
      <c r="SR7" t="s">
        <v>1786</v>
      </c>
      <c r="SS7">
        <v>6.1976000000000003E-2</v>
      </c>
      <c r="ST7">
        <v>0.25678000000000001</v>
      </c>
      <c r="SU7" t="s">
        <v>1742</v>
      </c>
      <c r="SV7">
        <v>2025</v>
      </c>
      <c r="SW7" t="s">
        <v>2528</v>
      </c>
      <c r="SX7" s="6">
        <v>45843</v>
      </c>
      <c r="SY7">
        <v>5</v>
      </c>
      <c r="SZ7">
        <v>43424104</v>
      </c>
      <c r="TA7">
        <v>101743</v>
      </c>
      <c r="TB7" t="s">
        <v>1891</v>
      </c>
      <c r="TE7" t="s">
        <v>2096</v>
      </c>
      <c r="TF7">
        <v>0.80555500000000002</v>
      </c>
      <c r="TG7" t="s">
        <v>1786</v>
      </c>
      <c r="TH7">
        <v>0.13496</v>
      </c>
      <c r="TI7" t="s">
        <v>1809</v>
      </c>
      <c r="TJ7">
        <v>2026</v>
      </c>
      <c r="TK7" t="s">
        <v>5980</v>
      </c>
      <c r="TL7" s="6">
        <v>45980</v>
      </c>
      <c r="TM7">
        <v>5</v>
      </c>
      <c r="TN7">
        <v>179187648</v>
      </c>
      <c r="TO7">
        <v>101616</v>
      </c>
      <c r="TP7" t="s">
        <v>2098</v>
      </c>
      <c r="TU7" t="s">
        <v>3055</v>
      </c>
      <c r="TV7" t="s">
        <v>1769</v>
      </c>
      <c r="TW7">
        <v>1.759806</v>
      </c>
      <c r="TX7">
        <v>0.74971500000000002</v>
      </c>
      <c r="TY7" t="s">
        <v>1745</v>
      </c>
      <c r="TZ7">
        <v>2024</v>
      </c>
      <c r="UA7" t="s">
        <v>3056</v>
      </c>
      <c r="UB7" s="6">
        <v>45716</v>
      </c>
      <c r="UC7">
        <v>5</v>
      </c>
      <c r="UD7">
        <v>4039651.75</v>
      </c>
      <c r="UE7">
        <v>126353</v>
      </c>
      <c r="UF7" t="s">
        <v>3057</v>
      </c>
    </row>
    <row r="8" spans="1:600" x14ac:dyDescent="0.25">
      <c r="AE8" t="s">
        <v>1407</v>
      </c>
      <c r="AF8" t="s">
        <v>1786</v>
      </c>
      <c r="AG8">
        <v>9.7699999999999992E-3</v>
      </c>
      <c r="AH8">
        <v>2.7320000000000001E-3</v>
      </c>
      <c r="AI8" t="s">
        <v>1845</v>
      </c>
      <c r="AJ8">
        <v>2025</v>
      </c>
      <c r="AK8" t="s">
        <v>1846</v>
      </c>
      <c r="AL8" s="6">
        <v>45884</v>
      </c>
      <c r="AM8">
        <v>5</v>
      </c>
      <c r="AN8">
        <v>70273</v>
      </c>
      <c r="AO8">
        <v>100277</v>
      </c>
      <c r="AP8" t="s">
        <v>4371</v>
      </c>
      <c r="AS8" t="s">
        <v>5308</v>
      </c>
      <c r="AT8">
        <v>0.32963399999999998</v>
      </c>
      <c r="AU8" t="s">
        <v>1786</v>
      </c>
      <c r="AV8">
        <v>0.31070999999999999</v>
      </c>
      <c r="AW8" t="s">
        <v>1742</v>
      </c>
      <c r="AX8">
        <v>2025</v>
      </c>
      <c r="AY8" t="s">
        <v>3428</v>
      </c>
      <c r="AZ8" s="6">
        <v>45982</v>
      </c>
      <c r="BA8">
        <v>5</v>
      </c>
      <c r="BB8">
        <v>12035597</v>
      </c>
      <c r="BC8">
        <v>221794</v>
      </c>
      <c r="BD8" t="s">
        <v>5309</v>
      </c>
      <c r="DQ8" t="s">
        <v>4756</v>
      </c>
      <c r="DR8" t="s">
        <v>1786</v>
      </c>
      <c r="DS8">
        <v>2.3476379999999999</v>
      </c>
      <c r="DT8">
        <v>0.23334099999999999</v>
      </c>
      <c r="DU8" t="s">
        <v>1762</v>
      </c>
      <c r="DV8">
        <v>2025</v>
      </c>
      <c r="DW8" t="s">
        <v>4757</v>
      </c>
      <c r="DX8" s="6">
        <v>45826</v>
      </c>
      <c r="DY8">
        <v>5</v>
      </c>
      <c r="DZ8">
        <v>14361582</v>
      </c>
      <c r="EA8">
        <v>104778</v>
      </c>
      <c r="EB8" t="s">
        <v>4758</v>
      </c>
      <c r="FY8" t="s">
        <v>3414</v>
      </c>
      <c r="FZ8" t="s">
        <v>1786</v>
      </c>
      <c r="GA8">
        <v>0.21518399999999999</v>
      </c>
      <c r="GB8">
        <v>0.32997900000000002</v>
      </c>
      <c r="GC8" t="s">
        <v>1845</v>
      </c>
      <c r="GD8">
        <v>2025</v>
      </c>
      <c r="GE8" t="s">
        <v>3415</v>
      </c>
      <c r="GF8" s="6">
        <v>45975</v>
      </c>
      <c r="GG8">
        <v>5</v>
      </c>
      <c r="GH8">
        <v>9340117.3900000006</v>
      </c>
      <c r="GI8">
        <v>114345</v>
      </c>
      <c r="GJ8" t="s">
        <v>3416</v>
      </c>
      <c r="GM8" t="s">
        <v>3239</v>
      </c>
      <c r="GN8">
        <v>7.7337600000000002</v>
      </c>
      <c r="GO8" t="s">
        <v>1786</v>
      </c>
      <c r="GP8">
        <v>0.74002400000000002</v>
      </c>
      <c r="GQ8" t="s">
        <v>1845</v>
      </c>
      <c r="GR8">
        <v>2025</v>
      </c>
      <c r="GS8" t="s">
        <v>3237</v>
      </c>
      <c r="GT8" s="6">
        <v>46070</v>
      </c>
      <c r="GU8">
        <v>5</v>
      </c>
      <c r="GV8">
        <v>276249920</v>
      </c>
      <c r="GW8">
        <v>41633927</v>
      </c>
      <c r="GX8" t="s">
        <v>3240</v>
      </c>
      <c r="HC8" t="s">
        <v>2300</v>
      </c>
      <c r="HE8">
        <v>-2.4245362661989844E-14</v>
      </c>
      <c r="HF8">
        <v>-2.4245362661989844E-14</v>
      </c>
      <c r="HG8" t="s">
        <v>1745</v>
      </c>
      <c r="HH8">
        <v>2021</v>
      </c>
      <c r="HI8" t="s">
        <v>2301</v>
      </c>
      <c r="HJ8" s="6">
        <v>44693</v>
      </c>
      <c r="HK8">
        <v>5</v>
      </c>
      <c r="HL8">
        <v>-2.4245362661989844E-14</v>
      </c>
      <c r="HM8">
        <v>100760</v>
      </c>
      <c r="HN8" t="s">
        <v>2302</v>
      </c>
      <c r="HQ8" t="s">
        <v>813</v>
      </c>
      <c r="HR8">
        <v>3.1101740000000002</v>
      </c>
      <c r="HS8" t="s">
        <v>1820</v>
      </c>
      <c r="HT8">
        <v>7.8050009999999999</v>
      </c>
      <c r="HU8" t="s">
        <v>1742</v>
      </c>
      <c r="HV8">
        <v>2025</v>
      </c>
      <c r="HW8" t="s">
        <v>2779</v>
      </c>
      <c r="HX8" s="6">
        <v>45975</v>
      </c>
      <c r="HY8">
        <v>5</v>
      </c>
      <c r="HZ8">
        <v>237350064</v>
      </c>
      <c r="IA8">
        <v>100466</v>
      </c>
      <c r="IB8" t="s">
        <v>2286</v>
      </c>
      <c r="LC8" t="s">
        <v>5058</v>
      </c>
      <c r="LD8">
        <v>-2.4245362661989844E-14</v>
      </c>
      <c r="LF8">
        <v>-2.4245362661989844E-14</v>
      </c>
      <c r="LG8" t="s">
        <v>1745</v>
      </c>
      <c r="LH8">
        <v>2022</v>
      </c>
      <c r="LI8" t="s">
        <v>5059</v>
      </c>
      <c r="LJ8" s="6">
        <v>44979</v>
      </c>
      <c r="LK8">
        <v>5</v>
      </c>
      <c r="LL8">
        <v>-2.4245362661989844E-14</v>
      </c>
      <c r="LM8">
        <v>14654414</v>
      </c>
      <c r="LN8" t="s">
        <v>5060</v>
      </c>
      <c r="MW8" t="s">
        <v>4322</v>
      </c>
      <c r="MX8" t="s">
        <v>1786</v>
      </c>
      <c r="MY8">
        <v>0.39032499999999998</v>
      </c>
      <c r="MZ8">
        <v>0.35400799999999999</v>
      </c>
      <c r="NA8" t="s">
        <v>1762</v>
      </c>
      <c r="NB8">
        <v>2025</v>
      </c>
      <c r="NC8" t="s">
        <v>4323</v>
      </c>
      <c r="ND8" s="6">
        <v>45869</v>
      </c>
      <c r="NE8">
        <v>5</v>
      </c>
      <c r="NF8">
        <v>24647072</v>
      </c>
      <c r="NG8">
        <v>101341</v>
      </c>
      <c r="NH8" t="s">
        <v>4324</v>
      </c>
      <c r="RM8" t="s">
        <v>2276</v>
      </c>
      <c r="RO8">
        <v>0.44397199999999998</v>
      </c>
      <c r="RP8">
        <v>-2.4245362661989844E-14</v>
      </c>
      <c r="RQ8" t="s">
        <v>1845</v>
      </c>
      <c r="RR8">
        <v>2024</v>
      </c>
      <c r="RS8" t="s">
        <v>2277</v>
      </c>
      <c r="RT8" s="6">
        <v>45699</v>
      </c>
      <c r="RU8">
        <v>5</v>
      </c>
      <c r="RV8">
        <v>316250</v>
      </c>
      <c r="RW8">
        <v>10086577</v>
      </c>
      <c r="RX8" t="s">
        <v>2278</v>
      </c>
      <c r="SQ8" t="s">
        <v>34</v>
      </c>
      <c r="SR8" t="s">
        <v>1786</v>
      </c>
      <c r="SS8">
        <v>0.24521799999999999</v>
      </c>
      <c r="ST8">
        <v>0.230601</v>
      </c>
      <c r="SU8" t="s">
        <v>1845</v>
      </c>
      <c r="SV8">
        <v>2025</v>
      </c>
      <c r="SW8" t="s">
        <v>1883</v>
      </c>
      <c r="SX8" s="6">
        <v>45848</v>
      </c>
      <c r="SY8">
        <v>5</v>
      </c>
      <c r="SZ8">
        <v>38997020</v>
      </c>
      <c r="TA8">
        <v>101752</v>
      </c>
      <c r="TB8" t="s">
        <v>2723</v>
      </c>
      <c r="TE8" t="s">
        <v>357</v>
      </c>
      <c r="TF8">
        <v>0.59015700000000004</v>
      </c>
      <c r="TG8" t="s">
        <v>1786</v>
      </c>
      <c r="TH8">
        <v>0.90402800000000005</v>
      </c>
      <c r="TI8" t="s">
        <v>1809</v>
      </c>
      <c r="TJ8">
        <v>2026</v>
      </c>
      <c r="TK8" t="s">
        <v>5980</v>
      </c>
      <c r="TL8" s="6">
        <v>45980</v>
      </c>
      <c r="TM8">
        <v>5</v>
      </c>
      <c r="TN8">
        <v>131274520</v>
      </c>
      <c r="TO8">
        <v>1499717</v>
      </c>
      <c r="TP8" t="s">
        <v>1864</v>
      </c>
      <c r="TU8" t="s">
        <v>3058</v>
      </c>
      <c r="TV8" t="s">
        <v>1786</v>
      </c>
      <c r="TW8">
        <v>2.4485540000000001</v>
      </c>
      <c r="TX8">
        <v>0.29604599999999998</v>
      </c>
      <c r="TY8" t="s">
        <v>1845</v>
      </c>
      <c r="TZ8">
        <v>2025</v>
      </c>
      <c r="UA8" t="s">
        <v>3059</v>
      </c>
      <c r="UB8" s="6">
        <v>45792</v>
      </c>
      <c r="UC8">
        <v>5</v>
      </c>
      <c r="UD8">
        <v>3999578</v>
      </c>
      <c r="UE8">
        <v>119676</v>
      </c>
      <c r="UF8" t="s">
        <v>3060</v>
      </c>
    </row>
    <row r="9" spans="1:600" x14ac:dyDescent="0.25">
      <c r="AE9" t="s">
        <v>3724</v>
      </c>
      <c r="AF9" t="s">
        <v>1786</v>
      </c>
      <c r="AG9">
        <v>1.2689999999999999E-3</v>
      </c>
      <c r="AH9">
        <v>2.4000000000000001E-5</v>
      </c>
      <c r="AI9" t="s">
        <v>1742</v>
      </c>
      <c r="AJ9">
        <v>2026</v>
      </c>
      <c r="AK9" t="s">
        <v>3725</v>
      </c>
      <c r="AL9" s="6">
        <v>46091</v>
      </c>
      <c r="AM9">
        <v>5</v>
      </c>
      <c r="AN9">
        <v>609.87</v>
      </c>
      <c r="AO9">
        <v>178184</v>
      </c>
      <c r="AP9" t="s">
        <v>3726</v>
      </c>
      <c r="AS9" t="s">
        <v>3794</v>
      </c>
      <c r="AT9">
        <v>0.24837600000000001</v>
      </c>
      <c r="AU9" t="s">
        <v>1786</v>
      </c>
      <c r="AV9">
        <v>0.140818</v>
      </c>
      <c r="AW9" t="s">
        <v>1742</v>
      </c>
      <c r="AX9">
        <v>2025</v>
      </c>
      <c r="AY9" t="s">
        <v>3428</v>
      </c>
      <c r="AZ9" s="6">
        <v>45982</v>
      </c>
      <c r="BA9">
        <v>5</v>
      </c>
      <c r="BB9">
        <v>9068705</v>
      </c>
      <c r="BC9">
        <v>111270</v>
      </c>
      <c r="BD9" t="s">
        <v>3796</v>
      </c>
      <c r="DQ9" t="s">
        <v>4759</v>
      </c>
      <c r="DR9" t="s">
        <v>1786</v>
      </c>
      <c r="DS9">
        <v>2.1295009999999999</v>
      </c>
      <c r="DT9">
        <v>0.19090599999999999</v>
      </c>
      <c r="DU9" t="s">
        <v>1762</v>
      </c>
      <c r="DV9">
        <v>2025</v>
      </c>
      <c r="DW9" t="s">
        <v>4760</v>
      </c>
      <c r="DX9" s="6">
        <v>45912</v>
      </c>
      <c r="DY9">
        <v>5</v>
      </c>
      <c r="DZ9">
        <v>13085102</v>
      </c>
      <c r="EA9">
        <v>104534</v>
      </c>
      <c r="EB9" t="s">
        <v>4761</v>
      </c>
      <c r="FY9" t="s">
        <v>3417</v>
      </c>
      <c r="FZ9" t="s">
        <v>1786</v>
      </c>
      <c r="GA9">
        <v>0.52654900000000004</v>
      </c>
      <c r="GB9">
        <v>0.28446300000000002</v>
      </c>
      <c r="GC9" t="s">
        <v>1742</v>
      </c>
      <c r="GD9">
        <v>2025</v>
      </c>
      <c r="GE9" t="s">
        <v>3418</v>
      </c>
      <c r="GF9" s="6">
        <v>45968</v>
      </c>
      <c r="GG9">
        <v>5</v>
      </c>
      <c r="GH9">
        <v>8327797.4100000001</v>
      </c>
      <c r="GI9">
        <v>127005</v>
      </c>
      <c r="GJ9" t="s">
        <v>3419</v>
      </c>
      <c r="GM9" t="s">
        <v>3241</v>
      </c>
      <c r="GN9">
        <v>5.9479470000000001</v>
      </c>
      <c r="GO9" t="s">
        <v>1786</v>
      </c>
      <c r="GP9">
        <v>0.76650399999999996</v>
      </c>
      <c r="GQ9" t="s">
        <v>1845</v>
      </c>
      <c r="GR9">
        <v>2025</v>
      </c>
      <c r="GS9" t="s">
        <v>3237</v>
      </c>
      <c r="GT9" s="6">
        <v>46070</v>
      </c>
      <c r="GU9">
        <v>5</v>
      </c>
      <c r="GV9">
        <v>212460672</v>
      </c>
      <c r="GW9">
        <v>117621</v>
      </c>
      <c r="GX9" t="s">
        <v>3242</v>
      </c>
      <c r="HC9" t="s">
        <v>5185</v>
      </c>
      <c r="HE9">
        <v>-2.4245362661989844E-14</v>
      </c>
      <c r="HF9">
        <v>-2.4245362661989844E-14</v>
      </c>
      <c r="HG9" t="s">
        <v>1762</v>
      </c>
      <c r="HH9">
        <v>2025</v>
      </c>
      <c r="HI9" t="s">
        <v>5186</v>
      </c>
      <c r="HJ9" s="6">
        <v>45874</v>
      </c>
      <c r="HK9">
        <v>5</v>
      </c>
      <c r="HL9">
        <v>-2.4245362661989844E-14</v>
      </c>
      <c r="HM9">
        <v>54246485</v>
      </c>
      <c r="HN9" t="s">
        <v>5187</v>
      </c>
      <c r="HQ9" t="s">
        <v>1217</v>
      </c>
      <c r="HR9">
        <v>2.5798559999999999</v>
      </c>
      <c r="HS9" t="s">
        <v>1820</v>
      </c>
      <c r="HT9">
        <v>6.4402790000000003</v>
      </c>
      <c r="HU9" t="s">
        <v>1742</v>
      </c>
      <c r="HV9">
        <v>2025</v>
      </c>
      <c r="HW9" t="s">
        <v>2779</v>
      </c>
      <c r="HX9" s="6">
        <v>45975</v>
      </c>
      <c r="HY9">
        <v>5</v>
      </c>
      <c r="HZ9">
        <v>196879344</v>
      </c>
      <c r="IA9">
        <v>1419689</v>
      </c>
      <c r="IB9" t="s">
        <v>5729</v>
      </c>
      <c r="LC9" t="s">
        <v>5061</v>
      </c>
      <c r="LD9">
        <v>-2.4245362661989844E-14</v>
      </c>
      <c r="LF9">
        <v>-2.4245362661989844E-14</v>
      </c>
      <c r="LG9" t="s">
        <v>1745</v>
      </c>
      <c r="LH9">
        <v>2022</v>
      </c>
      <c r="LI9" t="s">
        <v>5059</v>
      </c>
      <c r="LJ9" s="6">
        <v>44979</v>
      </c>
      <c r="LK9">
        <v>5</v>
      </c>
      <c r="LL9">
        <v>-2.4245362661989844E-14</v>
      </c>
      <c r="LM9">
        <v>7337833</v>
      </c>
      <c r="LN9" t="s">
        <v>5062</v>
      </c>
      <c r="MW9" t="s">
        <v>1475</v>
      </c>
      <c r="MX9" t="s">
        <v>1786</v>
      </c>
      <c r="MY9">
        <v>1.1846829999999999</v>
      </c>
      <c r="MZ9">
        <v>0.20474999999999999</v>
      </c>
      <c r="NA9" t="s">
        <v>1762</v>
      </c>
      <c r="NB9">
        <v>2025</v>
      </c>
      <c r="NC9" t="s">
        <v>3996</v>
      </c>
      <c r="ND9" s="6">
        <v>45876</v>
      </c>
      <c r="NE9">
        <v>5</v>
      </c>
      <c r="NF9">
        <v>14255291</v>
      </c>
      <c r="NG9">
        <v>23071317</v>
      </c>
      <c r="NH9" t="s">
        <v>4755</v>
      </c>
      <c r="RM9" t="s">
        <v>2043</v>
      </c>
      <c r="RO9">
        <v>-2.4245362661989844E-14</v>
      </c>
      <c r="RP9">
        <v>-2.4245362661989844E-14</v>
      </c>
      <c r="RQ9" t="s">
        <v>1798</v>
      </c>
      <c r="RR9">
        <v>2025</v>
      </c>
      <c r="RS9" t="s">
        <v>2279</v>
      </c>
      <c r="RT9" s="6">
        <v>45974</v>
      </c>
      <c r="RU9">
        <v>5</v>
      </c>
      <c r="RV9">
        <v>-2.4245362661989844E-14</v>
      </c>
      <c r="RW9">
        <v>118099</v>
      </c>
      <c r="RX9" t="s">
        <v>2044</v>
      </c>
      <c r="SQ9" t="s">
        <v>317</v>
      </c>
      <c r="SR9" t="s">
        <v>1820</v>
      </c>
      <c r="SS9">
        <v>1.0461879999999999</v>
      </c>
      <c r="ST9">
        <v>2.6392630000000001</v>
      </c>
      <c r="SU9" t="s">
        <v>1762</v>
      </c>
      <c r="SV9">
        <v>2025</v>
      </c>
      <c r="SW9" t="s">
        <v>3043</v>
      </c>
      <c r="SX9" s="6">
        <v>45915</v>
      </c>
      <c r="SY9">
        <v>5</v>
      </c>
      <c r="SZ9">
        <v>38876344</v>
      </c>
      <c r="TA9">
        <v>101464</v>
      </c>
      <c r="TB9" t="s">
        <v>3044</v>
      </c>
      <c r="TE9" t="s">
        <v>3139</v>
      </c>
      <c r="TF9">
        <v>0.52221799999999996</v>
      </c>
      <c r="TG9" t="s">
        <v>1786</v>
      </c>
      <c r="TH9">
        <v>0.64047100000000001</v>
      </c>
      <c r="TI9" t="s">
        <v>1809</v>
      </c>
      <c r="TJ9">
        <v>2026</v>
      </c>
      <c r="TK9" t="s">
        <v>5980</v>
      </c>
      <c r="TL9" s="6">
        <v>45980</v>
      </c>
      <c r="TM9">
        <v>5</v>
      </c>
      <c r="TN9">
        <v>116162176</v>
      </c>
      <c r="TO9">
        <v>100436</v>
      </c>
      <c r="TP9" t="s">
        <v>3140</v>
      </c>
      <c r="TU9" t="s">
        <v>3061</v>
      </c>
      <c r="TV9" t="s">
        <v>1769</v>
      </c>
      <c r="TW9">
        <v>2.72</v>
      </c>
      <c r="TX9">
        <v>0.65064100000000002</v>
      </c>
      <c r="TY9" t="s">
        <v>1745</v>
      </c>
      <c r="TZ9">
        <v>2024</v>
      </c>
      <c r="UA9" t="s">
        <v>3062</v>
      </c>
      <c r="UB9" s="6">
        <v>45719</v>
      </c>
      <c r="UC9">
        <v>5</v>
      </c>
      <c r="UD9">
        <v>3505814.75</v>
      </c>
      <c r="UE9">
        <v>126294</v>
      </c>
      <c r="UF9" t="s">
        <v>3063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540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541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542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543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544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545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546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547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548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549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550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551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552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553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554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555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556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557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558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559</v>
      </c>
      <c r="AE2" s="3" t="s">
        <v>391</v>
      </c>
      <c r="BI2" s="3" t="s">
        <v>560</v>
      </c>
      <c r="CM2" s="3" t="s">
        <v>561</v>
      </c>
      <c r="DQ2" s="3" t="s">
        <v>169</v>
      </c>
      <c r="EU2" s="3" t="s">
        <v>562</v>
      </c>
      <c r="FY2" s="3" t="s">
        <v>563</v>
      </c>
      <c r="HC2" s="3" t="s">
        <v>564</v>
      </c>
      <c r="IG2" s="3" t="s">
        <v>565</v>
      </c>
      <c r="JK2" s="3" t="s">
        <v>241</v>
      </c>
      <c r="KO2" s="3" t="s">
        <v>566</v>
      </c>
      <c r="LS2" s="3" t="s">
        <v>567</v>
      </c>
      <c r="MW2" s="3" t="s">
        <v>568</v>
      </c>
      <c r="OA2" s="3" t="s">
        <v>569</v>
      </c>
      <c r="PE2" s="3" t="s">
        <v>570</v>
      </c>
      <c r="QI2" s="3" t="s">
        <v>571</v>
      </c>
      <c r="RM2" s="3" t="s">
        <v>572</v>
      </c>
      <c r="SQ2" s="3" t="s">
        <v>573</v>
      </c>
      <c r="TU2" s="3" t="s">
        <v>574</v>
      </c>
      <c r="UY2" s="3" t="s">
        <v>575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_xll.BDS("AMC US Equity","SUPPLY_CHAIN_SUPPLIERS_ALL_DATA","cols=12;rows=5")</f>
        <v>EPR US Equity</v>
      </c>
      <c r="B5" t="s">
        <v>1769</v>
      </c>
      <c r="C5">
        <v>13.5</v>
      </c>
      <c r="D5">
        <v>41.551665999999997</v>
      </c>
      <c r="E5" t="s">
        <v>1745</v>
      </c>
      <c r="F5">
        <v>2024</v>
      </c>
      <c r="G5" t="s">
        <v>5555</v>
      </c>
      <c r="H5" s="6">
        <v>45715</v>
      </c>
      <c r="I5">
        <v>5</v>
      </c>
      <c r="J5">
        <v>23559796</v>
      </c>
      <c r="K5">
        <v>300688</v>
      </c>
      <c r="L5" t="s">
        <v>5556</v>
      </c>
      <c r="O5" t="str">
        <f>_xll.BDS("AMC US Equity","SUPPLY_CHAIN_CUSTOMERS_ALL_DATA","cols=12;rows=5")</f>
        <v>4014636Z SS Equity</v>
      </c>
      <c r="P5">
        <v>-2.4245362661989844E-14</v>
      </c>
      <c r="R5">
        <v>-2.4245362661989844E-14</v>
      </c>
      <c r="S5" t="s">
        <v>1745</v>
      </c>
      <c r="T5">
        <v>2022</v>
      </c>
      <c r="U5" t="s">
        <v>4975</v>
      </c>
      <c r="V5" s="6">
        <v>44986</v>
      </c>
      <c r="W5">
        <v>5</v>
      </c>
      <c r="X5">
        <v>-2.4245362661989844E-14</v>
      </c>
      <c r="Y5">
        <v>20582407</v>
      </c>
      <c r="Z5" t="s">
        <v>4976</v>
      </c>
      <c r="AE5" t="str">
        <f>_xll.BDS("0848680D US Equity","SUPPLY_CHAIN_SUPPLIERS_ALL_DATA")</f>
        <v>#N/A N/A</v>
      </c>
      <c r="AS5" t="str">
        <f>_xll.BDS("0848680D US Equity","SUPPLY_CHAIN_CUSTOMERS_ALL_DATA")</f>
        <v>#N/A N/A</v>
      </c>
      <c r="BI5" t="str">
        <f>_xll.BDS("MPANQ US Equity","SUPPLY_CHAIN_SUPPLIERS_ALL_DATA")</f>
        <v>#N/A N/A</v>
      </c>
      <c r="BW5" t="str">
        <f>_xll.BDS("MPANQ US Equity","SUPPLY_CHAIN_CUSTOMERS_ALL_DATA")</f>
        <v>#N/A N/A</v>
      </c>
      <c r="CM5" t="str">
        <f>_xll.BDS("MTCH US Equity","SUPPLY_CHAIN_SUPPLIERS_ALL_DATA","cols=12;rows=5")</f>
        <v>053300 KS Equity</v>
      </c>
      <c r="CO5">
        <v>-2.4245362661989844E-14</v>
      </c>
      <c r="CP5">
        <v>-2.4245362661989844E-14</v>
      </c>
      <c r="CQ5" t="s">
        <v>1798</v>
      </c>
      <c r="CR5">
        <v>2025</v>
      </c>
      <c r="CS5" t="s">
        <v>2323</v>
      </c>
      <c r="CT5" s="6">
        <v>45974</v>
      </c>
      <c r="CU5">
        <v>5</v>
      </c>
      <c r="CV5">
        <v>-2.4245362661989844E-14</v>
      </c>
      <c r="CW5">
        <v>23189849</v>
      </c>
      <c r="CX5" t="s">
        <v>2324</v>
      </c>
      <c r="DA5" t="str">
        <f>_xll.BDS("MTCH US Equity","SUPPLY_CHAIN_CUSTOMERS_ALL_DATA","cols=12;rows=3")</f>
        <v>AAPL US Equity</v>
      </c>
      <c r="DB5">
        <v>-2.4245362661989844E-14</v>
      </c>
      <c r="DD5">
        <v>-2.4245362661989844E-14</v>
      </c>
      <c r="DE5" t="s">
        <v>1762</v>
      </c>
      <c r="DF5">
        <v>2024</v>
      </c>
      <c r="DG5" t="s">
        <v>1763</v>
      </c>
      <c r="DH5" s="6">
        <v>45505</v>
      </c>
      <c r="DI5">
        <v>3</v>
      </c>
      <c r="DJ5">
        <v>-2.4245362661989844E-14</v>
      </c>
      <c r="DK5">
        <v>101695</v>
      </c>
      <c r="DL5" t="s">
        <v>1764</v>
      </c>
      <c r="DQ5" t="str">
        <f>_xll.BDS("BX US Equity","SUPPLY_CHAIN_SUPPLIERS_ALL_DATA","cols=12;rows=5")</f>
        <v>ORCL US Equity</v>
      </c>
      <c r="DR5" t="s">
        <v>1786</v>
      </c>
      <c r="DS5">
        <v>3.7003000000000001E-2</v>
      </c>
      <c r="DT5">
        <v>0.33128000000000002</v>
      </c>
      <c r="DU5" t="s">
        <v>1845</v>
      </c>
      <c r="DV5">
        <v>2025</v>
      </c>
      <c r="DW5" t="s">
        <v>1883</v>
      </c>
      <c r="DX5" s="6">
        <v>45848</v>
      </c>
      <c r="DY5">
        <v>5</v>
      </c>
      <c r="DZ5">
        <v>5884587</v>
      </c>
      <c r="EA5">
        <v>101752</v>
      </c>
      <c r="EB5" t="s">
        <v>2723</v>
      </c>
      <c r="EE5" t="str">
        <f>_xll.BDS("BX US Equity","SUPPLY_CHAIN_CUSTOMERS_ALL_DATA","cols=12;rows=5")</f>
        <v>002284 CH Equity</v>
      </c>
      <c r="EF5">
        <v>-2.4245362661989844E-14</v>
      </c>
      <c r="EH5">
        <v>-2.4245362661989844E-14</v>
      </c>
      <c r="EI5" t="s">
        <v>1745</v>
      </c>
      <c r="EJ5">
        <v>2024</v>
      </c>
      <c r="EK5" t="s">
        <v>3705</v>
      </c>
      <c r="EL5" s="6">
        <v>45744</v>
      </c>
      <c r="EM5">
        <v>5</v>
      </c>
      <c r="EN5">
        <v>-2.4245362661989844E-14</v>
      </c>
      <c r="EO5">
        <v>15069854</v>
      </c>
      <c r="EP5" t="s">
        <v>3192</v>
      </c>
      <c r="EU5" t="str">
        <f>_xll.BDS("JAH US Equity","SUPPLY_CHAIN_SUPPLIERS_ALL_DATA")</f>
        <v>#N/A N/A</v>
      </c>
      <c r="FI5" t="str">
        <f>_xll.BDS("JAH US Equity","SUPPLY_CHAIN_CUSTOMERS_ALL_DATA")</f>
        <v>#N/A N/A</v>
      </c>
      <c r="FY5" t="str">
        <f>_xll.BDS("1541946D US Equity","SUPPLY_CHAIN_SUPPLIERS_ALL_DATA")</f>
        <v>#N/A N/A</v>
      </c>
      <c r="GM5" t="str">
        <f>_xll.BDS("1541946D US Equity","SUPPLY_CHAIN_CUSTOMERS_ALL_DATA")</f>
        <v>#N/A N/A</v>
      </c>
      <c r="HC5" t="str">
        <f>_xll.BDS("COO US Equity","SUPPLY_CHAIN_SUPPLIERS_ALL_DATA","cols=12;rows=5")</f>
        <v>1793070D US Equity</v>
      </c>
      <c r="HE5">
        <v>-2.4245362661989844E-14</v>
      </c>
      <c r="HF5">
        <v>-2.4245362661989844E-14</v>
      </c>
      <c r="HG5" t="s">
        <v>1745</v>
      </c>
      <c r="HH5">
        <v>2023</v>
      </c>
      <c r="HI5" t="s">
        <v>6111</v>
      </c>
      <c r="HJ5" s="6">
        <v>45062</v>
      </c>
      <c r="HK5">
        <v>5</v>
      </c>
      <c r="HL5">
        <v>-2.4245362661989844E-14</v>
      </c>
      <c r="HM5">
        <v>67608401</v>
      </c>
      <c r="HN5" t="s">
        <v>6112</v>
      </c>
      <c r="HQ5" t="str">
        <f>_xll.BDS("COO US Equity","SUPPLY_CHAIN_CUSTOMERS_ALL_DATA","cols=12;rows=4")</f>
        <v>3218 TT Equity</v>
      </c>
      <c r="HR5">
        <v>-2.4245362661989844E-14</v>
      </c>
      <c r="HT5">
        <v>-2.4245362661989844E-14</v>
      </c>
      <c r="HU5" t="s">
        <v>1745</v>
      </c>
      <c r="HV5">
        <v>2024</v>
      </c>
      <c r="HW5" t="s">
        <v>2335</v>
      </c>
      <c r="HX5" s="6">
        <v>45783</v>
      </c>
      <c r="HY5">
        <v>4</v>
      </c>
      <c r="HZ5">
        <v>-2.4245362661989844E-14</v>
      </c>
      <c r="IA5">
        <v>8605072</v>
      </c>
      <c r="IB5" t="s">
        <v>2336</v>
      </c>
      <c r="IG5" t="str">
        <f>_xll.BDS("ED US Equity","SUPPLY_CHAIN_SUPPLIERS_ALL_DATA","cols=12;rows=5")</f>
        <v>PWR US Equity</v>
      </c>
      <c r="IH5" t="s">
        <v>1820</v>
      </c>
      <c r="II5">
        <v>1.5158469999999999</v>
      </c>
      <c r="IJ5">
        <v>7.2142229999999996</v>
      </c>
      <c r="IK5" t="s">
        <v>1845</v>
      </c>
      <c r="IL5">
        <v>2024</v>
      </c>
      <c r="IM5" t="s">
        <v>2779</v>
      </c>
      <c r="IN5" s="6">
        <v>45776</v>
      </c>
      <c r="IO5">
        <v>5</v>
      </c>
      <c r="IP5">
        <v>99339848</v>
      </c>
      <c r="IQ5">
        <v>305366</v>
      </c>
      <c r="IR5" t="s">
        <v>2780</v>
      </c>
      <c r="IU5" t="str">
        <f>_xll.BDS("ED US Equity","SUPPLY_CHAIN_CUSTOMERS_ALL_DATA","cols=12;rows=5")</f>
        <v>ARW US Equity</v>
      </c>
      <c r="IV5">
        <v>3.4750000000000003E-2</v>
      </c>
      <c r="IW5" t="s">
        <v>1786</v>
      </c>
      <c r="IX5">
        <v>2.7604E-2</v>
      </c>
      <c r="IY5" t="s">
        <v>1809</v>
      </c>
      <c r="IZ5">
        <v>2025</v>
      </c>
      <c r="JA5" t="s">
        <v>1815</v>
      </c>
      <c r="JB5" s="6">
        <v>45784</v>
      </c>
      <c r="JC5">
        <v>5</v>
      </c>
      <c r="JD5">
        <v>1667289</v>
      </c>
      <c r="JE5">
        <v>100115</v>
      </c>
      <c r="JF5" t="s">
        <v>1816</v>
      </c>
      <c r="JK5" t="str">
        <f>_xll.BDS("1986522D US Equity","SUPPLY_CHAIN_SUPPLIERS_ALL_DATA","cols=12;rows=1")</f>
        <v>FE US Equity</v>
      </c>
      <c r="JM5">
        <v>-2.4245362661989844E-14</v>
      </c>
      <c r="JN5">
        <v>-2.4245362661989844E-14</v>
      </c>
      <c r="JO5" t="s">
        <v>1745</v>
      </c>
      <c r="JP5">
        <v>2021</v>
      </c>
      <c r="JQ5" t="s">
        <v>2288</v>
      </c>
      <c r="JR5" s="6">
        <v>44693</v>
      </c>
      <c r="JS5">
        <v>1</v>
      </c>
      <c r="JT5">
        <v>-2.4245362661989844E-14</v>
      </c>
      <c r="JU5">
        <v>302916</v>
      </c>
      <c r="JV5" t="s">
        <v>2289</v>
      </c>
      <c r="JY5" t="str">
        <f>_xll.BDS("1986522D US Equity","SUPPLY_CHAIN_CUSTOMERS_ALL_DATA")</f>
        <v>#N/A N/A</v>
      </c>
      <c r="KO5" t="str">
        <f>_xll.BDS("EMR US Equity","SUPPLY_CHAIN_SUPPLIERS_ALL_DATA","cols=12;rows=5")</f>
        <v>JBL US Equity</v>
      </c>
      <c r="KP5" t="s">
        <v>1786</v>
      </c>
      <c r="KQ5">
        <v>0.48485499999999998</v>
      </c>
      <c r="KR5">
        <v>1.7638879999999999</v>
      </c>
      <c r="KS5" t="s">
        <v>1742</v>
      </c>
      <c r="KT5">
        <v>2025</v>
      </c>
      <c r="KU5" t="s">
        <v>2796</v>
      </c>
      <c r="KV5" s="6">
        <v>45867</v>
      </c>
      <c r="KW5">
        <v>5</v>
      </c>
      <c r="KX5">
        <v>37954448</v>
      </c>
      <c r="KY5">
        <v>117092</v>
      </c>
      <c r="KZ5" t="s">
        <v>2797</v>
      </c>
      <c r="LC5" t="str">
        <f>_xll.BDS("EMR US Equity","SUPPLY_CHAIN_CUSTOMERS_ALL_DATA","cols=12;rows=5")</f>
        <v>TMO US Equity</v>
      </c>
      <c r="LD5">
        <v>4.2224550000000001</v>
      </c>
      <c r="LE5" t="s">
        <v>1786</v>
      </c>
      <c r="LF5">
        <v>2.8645350000000001</v>
      </c>
      <c r="LG5" t="s">
        <v>1742</v>
      </c>
      <c r="LH5">
        <v>2025</v>
      </c>
      <c r="LI5" t="s">
        <v>2994</v>
      </c>
      <c r="LJ5" s="6">
        <v>45881</v>
      </c>
      <c r="LK5">
        <v>5</v>
      </c>
      <c r="LL5">
        <v>184647952</v>
      </c>
      <c r="LM5">
        <v>101466</v>
      </c>
      <c r="LN5" t="s">
        <v>5776</v>
      </c>
      <c r="LS5" t="str">
        <f>_xll.BDS("WSC US Equity","SUPPLY_CHAIN_SUPPLIERS_ALL_DATA")</f>
        <v>#N/A N/A</v>
      </c>
      <c r="MG5" t="str">
        <f>_xll.BDS("WSC US Equity","SUPPLY_CHAIN_CUSTOMERS_ALL_DATA")</f>
        <v>#N/A N/A</v>
      </c>
      <c r="MW5" t="str">
        <f>_xll.BDS("VCI US Equity","SUPPLY_CHAIN_SUPPLIERS_ALL_DATA","cols=12;rows=2")</f>
        <v>GNL US Equity</v>
      </c>
      <c r="MY5">
        <v>-2.4245362661989844E-14</v>
      </c>
      <c r="MZ5">
        <v>-2.4245362661989844E-14</v>
      </c>
      <c r="NA5" t="s">
        <v>1745</v>
      </c>
      <c r="NB5">
        <v>2023</v>
      </c>
      <c r="NC5" t="s">
        <v>2500</v>
      </c>
      <c r="ND5" s="6">
        <v>45350</v>
      </c>
      <c r="NE5">
        <v>2</v>
      </c>
      <c r="NF5">
        <v>-2.4245362661989844E-14</v>
      </c>
      <c r="NG5">
        <v>35300053</v>
      </c>
      <c r="NH5" t="s">
        <v>2272</v>
      </c>
      <c r="NK5" t="str">
        <f>_xll.BDS("VCI US Equity","SUPPLY_CHAIN_CUSTOMERS_ALL_DATA","cols=12;rows=2")</f>
        <v>REVRQ US Equity</v>
      </c>
      <c r="NL5">
        <v>-2.4245362661989844E-14</v>
      </c>
      <c r="NN5">
        <v>-2.4245362661989844E-14</v>
      </c>
      <c r="NO5" t="s">
        <v>1762</v>
      </c>
      <c r="NP5">
        <v>2022</v>
      </c>
      <c r="NQ5" t="s">
        <v>3741</v>
      </c>
      <c r="NR5" s="6">
        <v>44727</v>
      </c>
      <c r="NS5">
        <v>2</v>
      </c>
      <c r="NT5">
        <v>-2.4245362661989844E-14</v>
      </c>
      <c r="NU5">
        <v>132647</v>
      </c>
      <c r="NV5" t="s">
        <v>3742</v>
      </c>
      <c r="OA5" t="str">
        <f>_xll.BDS("SRTOQ US Equity","SUPPLY_CHAIN_SUPPLIERS_ALL_DATA")</f>
        <v>#N/A N/A</v>
      </c>
      <c r="OO5" t="str">
        <f>_xll.BDS("SRTOQ US Equity","SUPPLY_CHAIN_CUSTOMERS_ALL_DATA")</f>
        <v>#N/A N/A</v>
      </c>
      <c r="PE5" t="str">
        <f>_xll.BDS("9876544D US Equity","SUPPLY_CHAIN_SUPPLIERS_ALL_DATA")</f>
        <v>#N/A N/A</v>
      </c>
      <c r="PS5" t="str">
        <f>_xll.BDS("9876544D US Equity","SUPPLY_CHAIN_CUSTOMERS_ALL_DATA")</f>
        <v>#N/A N/A</v>
      </c>
      <c r="QI5" t="str">
        <f>_xll.BDS("2596516D US Equity","SUPPLY_CHAIN_SUPPLIERS_ALL_DATA")</f>
        <v>#N/A N/A</v>
      </c>
      <c r="QW5" t="str">
        <f>_xll.BDS("2596516D US Equity","SUPPLY_CHAIN_CUSTOMERS_ALL_DATA")</f>
        <v>#N/A N/A</v>
      </c>
      <c r="RM5" t="str">
        <f>_xll.BDS("MATV US Equity","SUPPLY_CHAIN_SUPPLIERS_ALL_DATA","cols=12;rows=5")</f>
        <v>MTX US Equity</v>
      </c>
      <c r="RN5" t="s">
        <v>1786</v>
      </c>
      <c r="RO5">
        <v>0.22667499999999999</v>
      </c>
      <c r="RP5">
        <v>0.28423300000000001</v>
      </c>
      <c r="RQ5" t="s">
        <v>1845</v>
      </c>
      <c r="RR5">
        <v>2025</v>
      </c>
      <c r="RS5" t="s">
        <v>6295</v>
      </c>
      <c r="RT5" s="6">
        <v>46070</v>
      </c>
      <c r="RU5">
        <v>5</v>
      </c>
      <c r="RV5">
        <v>1177577</v>
      </c>
      <c r="RW5">
        <v>115851</v>
      </c>
      <c r="RX5" t="s">
        <v>6296</v>
      </c>
      <c r="SA5" t="str">
        <f>_xll.BDS("MATV US Equity","SUPPLY_CHAIN_CUSTOMERS_ALL_DATA","cols=12;rows=2")</f>
        <v>2464203D CN Equity</v>
      </c>
      <c r="SB5">
        <v>-2.4245362661989844E-14</v>
      </c>
      <c r="SD5">
        <v>-2.4245362661989844E-14</v>
      </c>
      <c r="SE5" t="s">
        <v>1745</v>
      </c>
      <c r="SF5">
        <v>2025</v>
      </c>
      <c r="SG5" t="s">
        <v>4854</v>
      </c>
      <c r="SH5" s="6">
        <v>46036</v>
      </c>
      <c r="SI5">
        <v>2</v>
      </c>
      <c r="SJ5">
        <v>-2.4245362661989844E-14</v>
      </c>
      <c r="SK5">
        <v>71828141</v>
      </c>
      <c r="SL5" t="s">
        <v>4855</v>
      </c>
      <c r="SQ5" t="str">
        <f>_xll.BDS("838969Q US Equity","SUPPLY_CHAIN_SUPPLIERS_ALL_DATA")</f>
        <v>#N/A N/A</v>
      </c>
      <c r="TE5" t="str">
        <f>_xll.BDS("838969Q US Equity","SUPPLY_CHAIN_CUSTOMERS_ALL_DATA")</f>
        <v>#N/A N/A</v>
      </c>
      <c r="TU5" t="str">
        <f>_xll.BDS("NCC US Equity","SUPPLY_CHAIN_SUPPLIERS_ALL_DATA")</f>
        <v>#N/A N/A</v>
      </c>
      <c r="UI5" t="str">
        <f>_xll.BDS("NCC US Equity","SUPPLY_CHAIN_CUSTOMERS_ALL_DATA")</f>
        <v>#N/A N/A</v>
      </c>
      <c r="UY5" t="str">
        <f>_xll.BDS("WINMQ US Equity","SUPPLY_CHAIN_SUPPLIERS_ALL_DATA","cols=12;rows=5")</f>
        <v>DY US Equity</v>
      </c>
      <c r="VA5">
        <v>2.4</v>
      </c>
      <c r="VB5">
        <v>-2.4245362661989844E-14</v>
      </c>
      <c r="VC5" t="s">
        <v>1845</v>
      </c>
      <c r="VD5">
        <v>2025</v>
      </c>
      <c r="VE5" t="s">
        <v>5020</v>
      </c>
      <c r="VF5" s="6">
        <v>45717</v>
      </c>
      <c r="VG5">
        <v>5</v>
      </c>
      <c r="VH5">
        <v>26028624</v>
      </c>
      <c r="VI5">
        <v>100487</v>
      </c>
      <c r="VJ5" t="s">
        <v>2673</v>
      </c>
      <c r="VM5" t="str">
        <f>_xll.BDS("WINMQ US Equity","SUPPLY_CHAIN_CUSTOMERS_ALL_DATA","cols=12;rows=2")</f>
        <v>SCSC US Equity</v>
      </c>
      <c r="VN5">
        <v>-2.4245362661989844E-14</v>
      </c>
      <c r="VP5">
        <v>-2.4245362661989844E-14</v>
      </c>
      <c r="VQ5" t="s">
        <v>1742</v>
      </c>
      <c r="VR5">
        <v>2024</v>
      </c>
      <c r="VS5" t="s">
        <v>4762</v>
      </c>
      <c r="VT5" s="6">
        <v>45422</v>
      </c>
      <c r="VU5">
        <v>2</v>
      </c>
      <c r="VV5">
        <v>-2.4245362661989844E-14</v>
      </c>
      <c r="VW5">
        <v>136424</v>
      </c>
      <c r="VX5" t="s">
        <v>2014</v>
      </c>
    </row>
    <row r="6" spans="1:600" x14ac:dyDescent="0.25">
      <c r="A6" t="s">
        <v>4649</v>
      </c>
      <c r="B6" t="s">
        <v>1769</v>
      </c>
      <c r="C6">
        <v>1.0373289999999999</v>
      </c>
      <c r="D6">
        <v>24.108936</v>
      </c>
      <c r="E6" t="s">
        <v>1745</v>
      </c>
      <c r="F6">
        <v>2024</v>
      </c>
      <c r="G6" t="s">
        <v>4650</v>
      </c>
      <c r="H6" s="6">
        <v>45713</v>
      </c>
      <c r="I6">
        <v>5</v>
      </c>
      <c r="J6">
        <v>13669766</v>
      </c>
      <c r="K6">
        <v>154861</v>
      </c>
      <c r="L6" t="s">
        <v>4651</v>
      </c>
      <c r="O6" t="s">
        <v>4977</v>
      </c>
      <c r="P6">
        <v>-2.4245362661989844E-14</v>
      </c>
      <c r="R6">
        <v>-2.4245362661989844E-14</v>
      </c>
      <c r="S6" t="s">
        <v>1762</v>
      </c>
      <c r="T6">
        <v>2023</v>
      </c>
      <c r="U6" t="s">
        <v>4978</v>
      </c>
      <c r="V6" s="6">
        <v>45027</v>
      </c>
      <c r="W6">
        <v>5</v>
      </c>
      <c r="X6">
        <v>-2.4245362661989844E-14</v>
      </c>
      <c r="Y6">
        <v>9885879</v>
      </c>
      <c r="Z6" t="s">
        <v>4979</v>
      </c>
      <c r="CM6" t="s">
        <v>2325</v>
      </c>
      <c r="CO6">
        <v>-2.4245362661989844E-14</v>
      </c>
      <c r="CP6">
        <v>-2.4245362661989844E-14</v>
      </c>
      <c r="CQ6" t="s">
        <v>1745</v>
      </c>
      <c r="CR6">
        <v>2023</v>
      </c>
      <c r="CS6" t="s">
        <v>2326</v>
      </c>
      <c r="CT6" s="6">
        <v>45373</v>
      </c>
      <c r="CU6">
        <v>5</v>
      </c>
      <c r="CV6">
        <v>-2.4245362661989844E-14</v>
      </c>
      <c r="CW6">
        <v>1459277</v>
      </c>
      <c r="CX6" t="s">
        <v>2327</v>
      </c>
      <c r="DA6" t="s">
        <v>246</v>
      </c>
      <c r="DB6">
        <v>-2.4245362661989844E-14</v>
      </c>
      <c r="DD6">
        <v>-2.4245362661989844E-14</v>
      </c>
      <c r="DE6" t="s">
        <v>1762</v>
      </c>
      <c r="DF6">
        <v>2024</v>
      </c>
      <c r="DG6" t="s">
        <v>1763</v>
      </c>
      <c r="DH6" s="6">
        <v>45505</v>
      </c>
      <c r="DI6">
        <v>3</v>
      </c>
      <c r="DJ6">
        <v>-2.4245362661989844E-14</v>
      </c>
      <c r="DK6">
        <v>46946968</v>
      </c>
      <c r="DL6" t="s">
        <v>1765</v>
      </c>
      <c r="DQ6" t="s">
        <v>4796</v>
      </c>
      <c r="DR6" t="s">
        <v>1769</v>
      </c>
      <c r="DS6">
        <v>0.597939</v>
      </c>
      <c r="DT6">
        <v>5.9714000000000003E-2</v>
      </c>
      <c r="DU6" t="s">
        <v>1745</v>
      </c>
      <c r="DV6">
        <v>2024</v>
      </c>
      <c r="DW6" t="s">
        <v>4797</v>
      </c>
      <c r="DX6" s="6">
        <v>45694</v>
      </c>
      <c r="DY6">
        <v>5</v>
      </c>
      <c r="DZ6">
        <v>957052.25</v>
      </c>
      <c r="EA6">
        <v>103579</v>
      </c>
      <c r="EB6" t="s">
        <v>4798</v>
      </c>
      <c r="EE6" t="s">
        <v>3706</v>
      </c>
      <c r="EF6">
        <v>-2.4245362661989844E-14</v>
      </c>
      <c r="EH6">
        <v>-2.4245362661989844E-14</v>
      </c>
      <c r="EI6" t="s">
        <v>1805</v>
      </c>
      <c r="EJ6">
        <v>2025</v>
      </c>
      <c r="EK6" t="s">
        <v>3707</v>
      </c>
      <c r="EL6" s="6">
        <v>45894</v>
      </c>
      <c r="EM6">
        <v>5</v>
      </c>
      <c r="EN6">
        <v>-2.4245362661989844E-14</v>
      </c>
      <c r="EO6">
        <v>15149577</v>
      </c>
      <c r="EP6" t="s">
        <v>3708</v>
      </c>
      <c r="HC6" t="s">
        <v>6113</v>
      </c>
      <c r="HE6">
        <v>-2.4245362661989844E-14</v>
      </c>
      <c r="HF6">
        <v>-2.4245362661989844E-14</v>
      </c>
      <c r="HG6" t="s">
        <v>1745</v>
      </c>
      <c r="HH6">
        <v>2023</v>
      </c>
      <c r="HI6" t="s">
        <v>6114</v>
      </c>
      <c r="HJ6" s="6">
        <v>45399</v>
      </c>
      <c r="HK6">
        <v>5</v>
      </c>
      <c r="HL6">
        <v>-2.4245362661989844E-14</v>
      </c>
      <c r="HM6">
        <v>32594534</v>
      </c>
      <c r="HN6" t="s">
        <v>6115</v>
      </c>
      <c r="HQ6" t="s">
        <v>2337</v>
      </c>
      <c r="HR6">
        <v>-2.4245362661989844E-14</v>
      </c>
      <c r="HT6">
        <v>-2.4245362661989844E-14</v>
      </c>
      <c r="HU6" t="s">
        <v>1745</v>
      </c>
      <c r="HV6">
        <v>2024</v>
      </c>
      <c r="HW6" t="s">
        <v>2338</v>
      </c>
      <c r="HX6" s="6">
        <v>45784</v>
      </c>
      <c r="HY6">
        <v>4</v>
      </c>
      <c r="HZ6">
        <v>-2.4245362661989844E-14</v>
      </c>
      <c r="IA6">
        <v>193087</v>
      </c>
      <c r="IB6" t="s">
        <v>2339</v>
      </c>
      <c r="IG6" t="s">
        <v>6064</v>
      </c>
      <c r="IH6" t="s">
        <v>1786</v>
      </c>
      <c r="II6">
        <v>79.083138000000005</v>
      </c>
      <c r="IJ6">
        <v>8.3283400000000007</v>
      </c>
      <c r="IK6" t="s">
        <v>1745</v>
      </c>
      <c r="IL6">
        <v>2024</v>
      </c>
      <c r="IM6" t="s">
        <v>6065</v>
      </c>
      <c r="IN6" s="6">
        <v>45708</v>
      </c>
      <c r="IO6">
        <v>5</v>
      </c>
      <c r="IP6">
        <v>69500000</v>
      </c>
      <c r="IQ6">
        <v>219819</v>
      </c>
      <c r="IR6" t="s">
        <v>6066</v>
      </c>
      <c r="IU6" t="s">
        <v>2026</v>
      </c>
      <c r="IV6">
        <v>-2.4245362661989844E-14</v>
      </c>
      <c r="IX6">
        <v>-2.4245362661989844E-14</v>
      </c>
      <c r="IY6" t="s">
        <v>1745</v>
      </c>
      <c r="IZ6">
        <v>2021</v>
      </c>
      <c r="JA6" t="s">
        <v>4054</v>
      </c>
      <c r="JB6" s="6">
        <v>44693</v>
      </c>
      <c r="JC6">
        <v>5</v>
      </c>
      <c r="JD6">
        <v>-2.4245362661989844E-14</v>
      </c>
      <c r="JE6">
        <v>117832</v>
      </c>
      <c r="JF6" t="s">
        <v>2028</v>
      </c>
      <c r="KO6" t="s">
        <v>2993</v>
      </c>
      <c r="KP6" t="s">
        <v>1786</v>
      </c>
      <c r="KQ6">
        <v>0.26191500000000001</v>
      </c>
      <c r="KR6">
        <v>0.80558700000000005</v>
      </c>
      <c r="KS6" t="s">
        <v>1809</v>
      </c>
      <c r="KT6">
        <v>2025</v>
      </c>
      <c r="KU6" t="s">
        <v>2994</v>
      </c>
      <c r="KV6" s="6">
        <v>45740</v>
      </c>
      <c r="KW6">
        <v>5</v>
      </c>
      <c r="KX6">
        <v>17334218</v>
      </c>
      <c r="KY6">
        <v>115110</v>
      </c>
      <c r="KZ6" t="s">
        <v>2995</v>
      </c>
      <c r="LC6" t="s">
        <v>2167</v>
      </c>
      <c r="LD6">
        <v>2.5764130000000001</v>
      </c>
      <c r="LE6" t="s">
        <v>1786</v>
      </c>
      <c r="LF6">
        <v>0.42681599999999997</v>
      </c>
      <c r="LG6" t="s">
        <v>1742</v>
      </c>
      <c r="LH6">
        <v>2025</v>
      </c>
      <c r="LI6" t="s">
        <v>2994</v>
      </c>
      <c r="LJ6" s="6">
        <v>45881</v>
      </c>
      <c r="LK6">
        <v>5</v>
      </c>
      <c r="LL6">
        <v>112666544</v>
      </c>
      <c r="LM6">
        <v>100743</v>
      </c>
      <c r="LN6" t="s">
        <v>2169</v>
      </c>
      <c r="MW6" t="s">
        <v>4719</v>
      </c>
      <c r="MY6">
        <v>-2.4245362661989844E-14</v>
      </c>
      <c r="MZ6">
        <v>-2.4245362661989844E-14</v>
      </c>
      <c r="NA6" t="s">
        <v>1745</v>
      </c>
      <c r="NB6">
        <v>2024</v>
      </c>
      <c r="NC6" t="s">
        <v>5504</v>
      </c>
      <c r="ND6" s="6">
        <v>45328</v>
      </c>
      <c r="NE6">
        <v>2</v>
      </c>
      <c r="NF6">
        <v>-2.4245362661989844E-14</v>
      </c>
      <c r="NG6">
        <v>42870442</v>
      </c>
      <c r="NH6" t="s">
        <v>4721</v>
      </c>
      <c r="NK6" t="s">
        <v>3743</v>
      </c>
      <c r="NL6">
        <v>-2.4245362661989844E-14</v>
      </c>
      <c r="NN6">
        <v>-2.4245362661989844E-14</v>
      </c>
      <c r="NO6" t="s">
        <v>1845</v>
      </c>
      <c r="NP6">
        <v>2023</v>
      </c>
      <c r="NQ6" t="s">
        <v>3744</v>
      </c>
      <c r="NR6" s="6">
        <v>45267</v>
      </c>
      <c r="NS6">
        <v>2</v>
      </c>
      <c r="NT6">
        <v>-2.4245362661989844E-14</v>
      </c>
      <c r="NU6">
        <v>54982534</v>
      </c>
      <c r="NV6" t="s">
        <v>3745</v>
      </c>
      <c r="RM6" t="s">
        <v>2283</v>
      </c>
      <c r="RO6">
        <v>-2.4245362661989844E-14</v>
      </c>
      <c r="RP6">
        <v>-2.4245362661989844E-14</v>
      </c>
      <c r="RQ6" t="s">
        <v>1745</v>
      </c>
      <c r="RR6">
        <v>2021</v>
      </c>
      <c r="RS6" t="s">
        <v>2284</v>
      </c>
      <c r="RT6" s="6">
        <v>44693</v>
      </c>
      <c r="RU6">
        <v>5</v>
      </c>
      <c r="RV6">
        <v>-2.4245362661989844E-14</v>
      </c>
      <c r="RW6">
        <v>100060</v>
      </c>
      <c r="RX6" t="s">
        <v>2285</v>
      </c>
      <c r="SA6" t="s">
        <v>4856</v>
      </c>
      <c r="SB6">
        <v>-2.4245362661989844E-14</v>
      </c>
      <c r="SD6">
        <v>-2.4245362661989844E-14</v>
      </c>
      <c r="SE6" t="s">
        <v>1762</v>
      </c>
      <c r="SF6">
        <v>2025</v>
      </c>
      <c r="SG6" t="s">
        <v>4857</v>
      </c>
      <c r="SH6" s="6">
        <v>45813</v>
      </c>
      <c r="SI6">
        <v>2</v>
      </c>
      <c r="SJ6">
        <v>-2.4245362661989844E-14</v>
      </c>
      <c r="SK6">
        <v>171397</v>
      </c>
      <c r="SL6" t="s">
        <v>4858</v>
      </c>
      <c r="UY6" t="s">
        <v>5021</v>
      </c>
      <c r="VA6">
        <v>-2.4245362661989844E-14</v>
      </c>
      <c r="VB6">
        <v>-2.4245362661989844E-14</v>
      </c>
      <c r="VC6" t="s">
        <v>1745</v>
      </c>
      <c r="VD6">
        <v>2021</v>
      </c>
      <c r="VE6" t="s">
        <v>5022</v>
      </c>
      <c r="VF6" s="6">
        <v>44718</v>
      </c>
      <c r="VG6">
        <v>5</v>
      </c>
      <c r="VH6">
        <v>-2.4245362661989844E-14</v>
      </c>
      <c r="VI6">
        <v>885036</v>
      </c>
      <c r="VJ6" t="s">
        <v>5023</v>
      </c>
      <c r="VM6" t="s">
        <v>4763</v>
      </c>
      <c r="VN6">
        <v>-2.4245362661989844E-14</v>
      </c>
      <c r="VP6">
        <v>-2.4245362661989844E-14</v>
      </c>
      <c r="VQ6" t="s">
        <v>1745</v>
      </c>
      <c r="VR6">
        <v>2022</v>
      </c>
      <c r="VS6" t="s">
        <v>4764</v>
      </c>
      <c r="VT6" s="6">
        <v>44993</v>
      </c>
      <c r="VU6">
        <v>2</v>
      </c>
      <c r="VV6">
        <v>-2.4245362661989844E-14</v>
      </c>
      <c r="VW6">
        <v>10092517</v>
      </c>
      <c r="VX6" t="s">
        <v>4765</v>
      </c>
    </row>
    <row r="7" spans="1:600" x14ac:dyDescent="0.25">
      <c r="A7" t="s">
        <v>5557</v>
      </c>
      <c r="B7" t="s">
        <v>1786</v>
      </c>
      <c r="C7">
        <v>5.9521790000000001</v>
      </c>
      <c r="D7">
        <v>1.4395100000000001</v>
      </c>
      <c r="E7" t="s">
        <v>1742</v>
      </c>
      <c r="F7">
        <v>2025</v>
      </c>
      <c r="G7" t="s">
        <v>5558</v>
      </c>
      <c r="H7" s="6">
        <v>46074</v>
      </c>
      <c r="I7">
        <v>5</v>
      </c>
      <c r="J7">
        <v>6348237</v>
      </c>
      <c r="K7">
        <v>148257</v>
      </c>
      <c r="L7" t="s">
        <v>5559</v>
      </c>
      <c r="O7" t="s">
        <v>4980</v>
      </c>
      <c r="P7">
        <v>-2.4245362661989844E-14</v>
      </c>
      <c r="R7">
        <v>-2.4245362661989844E-14</v>
      </c>
      <c r="S7" t="s">
        <v>1745</v>
      </c>
      <c r="T7">
        <v>2023</v>
      </c>
      <c r="U7" t="s">
        <v>4981</v>
      </c>
      <c r="V7" s="6">
        <v>45401</v>
      </c>
      <c r="W7">
        <v>5</v>
      </c>
      <c r="X7">
        <v>-2.4245362661989844E-14</v>
      </c>
      <c r="Y7">
        <v>40883119</v>
      </c>
      <c r="Z7" t="s">
        <v>4982</v>
      </c>
      <c r="CM7" t="s">
        <v>2328</v>
      </c>
      <c r="CO7">
        <v>-2.4245362661989844E-14</v>
      </c>
      <c r="CP7">
        <v>-2.4245362661989844E-14</v>
      </c>
      <c r="CQ7" t="s">
        <v>1745</v>
      </c>
      <c r="CR7">
        <v>2022</v>
      </c>
      <c r="CS7" t="s">
        <v>2329</v>
      </c>
      <c r="CT7" s="6">
        <v>44736</v>
      </c>
      <c r="CU7">
        <v>5</v>
      </c>
      <c r="CV7">
        <v>-2.4245362661989844E-14</v>
      </c>
      <c r="CW7">
        <v>114629</v>
      </c>
      <c r="CX7" t="s">
        <v>2330</v>
      </c>
      <c r="DA7" t="s">
        <v>1766</v>
      </c>
      <c r="DB7">
        <v>-2.4245362661989844E-14</v>
      </c>
      <c r="DD7">
        <v>-2.4245362661989844E-14</v>
      </c>
      <c r="DE7" t="s">
        <v>1742</v>
      </c>
      <c r="DF7">
        <v>2022</v>
      </c>
      <c r="DG7" t="s">
        <v>1767</v>
      </c>
      <c r="DH7" s="6">
        <v>44870</v>
      </c>
      <c r="DI7">
        <v>3</v>
      </c>
      <c r="DJ7">
        <v>-2.4245362661989844E-14</v>
      </c>
      <c r="DK7">
        <v>67335162</v>
      </c>
      <c r="DL7" t="s">
        <v>1768</v>
      </c>
      <c r="DQ7" t="s">
        <v>4799</v>
      </c>
      <c r="DR7" t="s">
        <v>1786</v>
      </c>
      <c r="DS7">
        <v>7.4065000000000006E-2</v>
      </c>
      <c r="DT7">
        <v>2.879E-3</v>
      </c>
      <c r="DU7" t="s">
        <v>1745</v>
      </c>
      <c r="DV7">
        <v>2024</v>
      </c>
      <c r="DW7" t="s">
        <v>4800</v>
      </c>
      <c r="DX7" s="6">
        <v>45758</v>
      </c>
      <c r="DY7">
        <v>5</v>
      </c>
      <c r="DZ7">
        <v>46697.46</v>
      </c>
      <c r="EA7">
        <v>130878</v>
      </c>
      <c r="EB7" t="s">
        <v>4801</v>
      </c>
      <c r="EE7" t="s">
        <v>3709</v>
      </c>
      <c r="EF7">
        <v>-2.4245362661989844E-14</v>
      </c>
      <c r="EH7">
        <v>-2.4245362661989844E-14</v>
      </c>
      <c r="EI7" t="s">
        <v>1762</v>
      </c>
      <c r="EJ7">
        <v>2024</v>
      </c>
      <c r="EK7" t="s">
        <v>3710</v>
      </c>
      <c r="EL7" s="6">
        <v>45433</v>
      </c>
      <c r="EM7">
        <v>5</v>
      </c>
      <c r="EN7">
        <v>-2.4245362661989844E-14</v>
      </c>
      <c r="EO7">
        <v>27196144</v>
      </c>
      <c r="EP7" t="s">
        <v>3711</v>
      </c>
      <c r="HC7" t="s">
        <v>2484</v>
      </c>
      <c r="HE7">
        <v>-2.4245362661989844E-14</v>
      </c>
      <c r="HF7">
        <v>-2.4245362661989844E-14</v>
      </c>
      <c r="HG7" t="s">
        <v>1745</v>
      </c>
      <c r="HH7">
        <v>2022</v>
      </c>
      <c r="HI7" t="s">
        <v>2485</v>
      </c>
      <c r="HJ7" s="6">
        <v>44693</v>
      </c>
      <c r="HK7">
        <v>5</v>
      </c>
      <c r="HL7">
        <v>-2.4245362661989844E-14</v>
      </c>
      <c r="HM7">
        <v>114991</v>
      </c>
      <c r="HN7" t="s">
        <v>2486</v>
      </c>
      <c r="HQ7" t="s">
        <v>2340</v>
      </c>
      <c r="HR7">
        <v>-2.4245362661989844E-14</v>
      </c>
      <c r="HT7">
        <v>-2.4245362661989844E-14</v>
      </c>
      <c r="HU7" t="s">
        <v>1745</v>
      </c>
      <c r="HV7">
        <v>2024</v>
      </c>
      <c r="HW7" t="s">
        <v>2341</v>
      </c>
      <c r="HX7" s="6">
        <v>45714</v>
      </c>
      <c r="HY7">
        <v>4</v>
      </c>
      <c r="HZ7">
        <v>-2.4245362661989844E-14</v>
      </c>
      <c r="IA7">
        <v>55251229</v>
      </c>
      <c r="IB7" t="s">
        <v>2342</v>
      </c>
      <c r="IG7" t="s">
        <v>6067</v>
      </c>
      <c r="IH7" t="s">
        <v>1786</v>
      </c>
      <c r="II7">
        <v>-2.4245362661989844E-14</v>
      </c>
      <c r="IJ7">
        <v>4.4937079999999998</v>
      </c>
      <c r="IK7" t="s">
        <v>1745</v>
      </c>
      <c r="IL7">
        <v>2024</v>
      </c>
      <c r="IM7" t="s">
        <v>6065</v>
      </c>
      <c r="IN7" s="6">
        <v>45708</v>
      </c>
      <c r="IO7">
        <v>5</v>
      </c>
      <c r="IP7">
        <v>37499992</v>
      </c>
      <c r="IQ7">
        <v>15210967</v>
      </c>
      <c r="IR7" t="s">
        <v>6068</v>
      </c>
      <c r="IU7" t="s">
        <v>4924</v>
      </c>
      <c r="IV7">
        <v>-2.4245362661989844E-14</v>
      </c>
      <c r="IX7">
        <v>-2.4245362661989844E-14</v>
      </c>
      <c r="IY7" t="s">
        <v>1745</v>
      </c>
      <c r="IZ7">
        <v>2021</v>
      </c>
      <c r="JA7" t="s">
        <v>4054</v>
      </c>
      <c r="JB7" s="6">
        <v>44693</v>
      </c>
      <c r="JC7">
        <v>5</v>
      </c>
      <c r="JD7">
        <v>-2.4245362661989844E-14</v>
      </c>
      <c r="JE7">
        <v>176405</v>
      </c>
      <c r="JF7" t="s">
        <v>4925</v>
      </c>
      <c r="KO7" t="s">
        <v>2996</v>
      </c>
      <c r="KP7" t="s">
        <v>1786</v>
      </c>
      <c r="KQ7">
        <v>2.1447500000000002</v>
      </c>
      <c r="KR7">
        <v>0.66883300000000001</v>
      </c>
      <c r="KS7" t="s">
        <v>1742</v>
      </c>
      <c r="KT7">
        <v>2025</v>
      </c>
      <c r="KU7" t="s">
        <v>2994</v>
      </c>
      <c r="KV7" s="6">
        <v>45881</v>
      </c>
      <c r="KW7">
        <v>5</v>
      </c>
      <c r="KX7">
        <v>14391614</v>
      </c>
      <c r="KY7">
        <v>7304202</v>
      </c>
      <c r="KZ7" t="s">
        <v>2997</v>
      </c>
      <c r="LC7" t="s">
        <v>5273</v>
      </c>
      <c r="LD7">
        <v>1.2233309999999999</v>
      </c>
      <c r="LE7" t="s">
        <v>1786</v>
      </c>
      <c r="LF7">
        <v>0.77858000000000005</v>
      </c>
      <c r="LG7" t="s">
        <v>1742</v>
      </c>
      <c r="LH7">
        <v>2025</v>
      </c>
      <c r="LI7" t="s">
        <v>2994</v>
      </c>
      <c r="LJ7" s="6">
        <v>45881</v>
      </c>
      <c r="LK7">
        <v>5</v>
      </c>
      <c r="LL7">
        <v>53496264</v>
      </c>
      <c r="LM7">
        <v>9932803</v>
      </c>
      <c r="LN7" t="s">
        <v>5275</v>
      </c>
      <c r="RM7" t="s">
        <v>813</v>
      </c>
      <c r="RO7">
        <v>-2.4245362661989844E-14</v>
      </c>
      <c r="RP7">
        <v>-2.4245362661989844E-14</v>
      </c>
      <c r="RQ7" t="s">
        <v>1745</v>
      </c>
      <c r="RR7">
        <v>2021</v>
      </c>
      <c r="RS7" t="s">
        <v>2037</v>
      </c>
      <c r="RT7" s="6">
        <v>44693</v>
      </c>
      <c r="RU7">
        <v>5</v>
      </c>
      <c r="RV7">
        <v>-2.4245362661989844E-14</v>
      </c>
      <c r="RW7">
        <v>100466</v>
      </c>
      <c r="RX7" t="s">
        <v>2286</v>
      </c>
      <c r="UY7" t="s">
        <v>5024</v>
      </c>
      <c r="VA7">
        <v>-2.4245362661989844E-14</v>
      </c>
      <c r="VB7">
        <v>-2.4245362661989844E-14</v>
      </c>
      <c r="VC7" t="s">
        <v>1742</v>
      </c>
      <c r="VD7">
        <v>2022</v>
      </c>
      <c r="VE7" t="s">
        <v>5025</v>
      </c>
      <c r="VF7" s="6">
        <v>44895</v>
      </c>
      <c r="VG7">
        <v>5</v>
      </c>
      <c r="VH7">
        <v>-2.4245362661989844E-14</v>
      </c>
      <c r="VI7">
        <v>69795062</v>
      </c>
      <c r="VJ7" t="s">
        <v>5026</v>
      </c>
    </row>
    <row r="8" spans="1:600" x14ac:dyDescent="0.25">
      <c r="A8" t="s">
        <v>5560</v>
      </c>
      <c r="B8" t="s">
        <v>1769</v>
      </c>
      <c r="C8">
        <v>2.5323639999999998</v>
      </c>
      <c r="D8">
        <v>10.106968999999999</v>
      </c>
      <c r="E8" t="s">
        <v>1745</v>
      </c>
      <c r="F8">
        <v>2024</v>
      </c>
      <c r="G8" t="s">
        <v>5561</v>
      </c>
      <c r="H8" s="6">
        <v>45700</v>
      </c>
      <c r="I8">
        <v>5</v>
      </c>
      <c r="J8">
        <v>5503244.5</v>
      </c>
      <c r="K8">
        <v>105722</v>
      </c>
      <c r="L8" t="s">
        <v>5562</v>
      </c>
      <c r="O8" t="s">
        <v>3685</v>
      </c>
      <c r="P8">
        <v>-2.4245362661989844E-14</v>
      </c>
      <c r="R8">
        <v>-2.4245362661989844E-14</v>
      </c>
      <c r="S8" t="s">
        <v>1745</v>
      </c>
      <c r="T8">
        <v>2024</v>
      </c>
      <c r="U8" t="s">
        <v>4983</v>
      </c>
      <c r="V8" s="6">
        <v>45714</v>
      </c>
      <c r="W8">
        <v>5</v>
      </c>
      <c r="X8">
        <v>-2.4245362661989844E-14</v>
      </c>
      <c r="Y8">
        <v>101365</v>
      </c>
      <c r="Z8" t="s">
        <v>3687</v>
      </c>
      <c r="CM8" t="s">
        <v>1761</v>
      </c>
      <c r="CO8">
        <v>-2.4245362661989844E-14</v>
      </c>
      <c r="CP8">
        <v>-2.4245362661989844E-14</v>
      </c>
      <c r="CQ8" t="s">
        <v>1742</v>
      </c>
      <c r="CR8">
        <v>2025</v>
      </c>
      <c r="CS8" t="s">
        <v>2331</v>
      </c>
      <c r="CT8" s="6">
        <v>45966</v>
      </c>
      <c r="CU8">
        <v>5</v>
      </c>
      <c r="CV8">
        <v>-2.4245362661989844E-14</v>
      </c>
      <c r="CW8">
        <v>101695</v>
      </c>
      <c r="CX8" t="s">
        <v>1764</v>
      </c>
      <c r="DQ8" t="s">
        <v>3928</v>
      </c>
      <c r="DR8" t="s">
        <v>1820</v>
      </c>
      <c r="DS8">
        <v>2.0240000000000002E-3</v>
      </c>
      <c r="DT8">
        <v>2.6168E-2</v>
      </c>
      <c r="DU8" t="s">
        <v>1742</v>
      </c>
      <c r="DV8">
        <v>2025</v>
      </c>
      <c r="DW8" t="s">
        <v>3929</v>
      </c>
      <c r="DX8" s="6">
        <v>45964</v>
      </c>
      <c r="DY8">
        <v>5</v>
      </c>
      <c r="DZ8">
        <v>10506</v>
      </c>
      <c r="EA8">
        <v>16546862</v>
      </c>
      <c r="EB8" t="s">
        <v>3930</v>
      </c>
      <c r="EE8" t="s">
        <v>3712</v>
      </c>
      <c r="EF8">
        <v>-2.4245362661989844E-14</v>
      </c>
      <c r="EH8">
        <v>-2.4245362661989844E-14</v>
      </c>
      <c r="EI8" t="s">
        <v>1745</v>
      </c>
      <c r="EJ8">
        <v>2024</v>
      </c>
      <c r="EK8" t="s">
        <v>3713</v>
      </c>
      <c r="EL8" s="6">
        <v>45771</v>
      </c>
      <c r="EM8">
        <v>5</v>
      </c>
      <c r="EN8">
        <v>-2.4245362661989844E-14</v>
      </c>
      <c r="EO8">
        <v>135686</v>
      </c>
      <c r="EP8" t="s">
        <v>3714</v>
      </c>
      <c r="HC8" t="s">
        <v>6116</v>
      </c>
      <c r="HE8">
        <v>-2.4245362661989844E-14</v>
      </c>
      <c r="HF8">
        <v>-2.4245362661989844E-14</v>
      </c>
      <c r="HG8" t="s">
        <v>1745</v>
      </c>
      <c r="HH8">
        <v>2022</v>
      </c>
      <c r="HI8" t="s">
        <v>6117</v>
      </c>
      <c r="HJ8" s="6">
        <v>44693</v>
      </c>
      <c r="HK8">
        <v>5</v>
      </c>
      <c r="HL8">
        <v>-2.4245362661989844E-14</v>
      </c>
      <c r="HM8">
        <v>114057</v>
      </c>
      <c r="HN8" t="s">
        <v>6118</v>
      </c>
      <c r="HQ8" t="s">
        <v>2343</v>
      </c>
      <c r="HR8">
        <v>-2.4245362661989844E-14</v>
      </c>
      <c r="HT8">
        <v>-2.4245362661989844E-14</v>
      </c>
      <c r="HU8" t="s">
        <v>1745</v>
      </c>
      <c r="HV8">
        <v>2023</v>
      </c>
      <c r="HW8" t="s">
        <v>2344</v>
      </c>
      <c r="HX8" s="6">
        <v>45377</v>
      </c>
      <c r="HY8">
        <v>4</v>
      </c>
      <c r="HZ8">
        <v>-2.4245362661989844E-14</v>
      </c>
      <c r="IA8">
        <v>107605</v>
      </c>
      <c r="IB8" t="s">
        <v>2345</v>
      </c>
      <c r="IG8" t="s">
        <v>1985</v>
      </c>
      <c r="IH8" t="s">
        <v>1786</v>
      </c>
      <c r="II8">
        <v>3.1689000000000002E-2</v>
      </c>
      <c r="IJ8">
        <v>1.8988999999999999E-2</v>
      </c>
      <c r="IK8" t="s">
        <v>1742</v>
      </c>
      <c r="IL8">
        <v>2025</v>
      </c>
      <c r="IM8" t="s">
        <v>2490</v>
      </c>
      <c r="IN8" s="6">
        <v>46027</v>
      </c>
      <c r="IO8">
        <v>5</v>
      </c>
      <c r="IP8">
        <v>200908</v>
      </c>
      <c r="IQ8">
        <v>36965288</v>
      </c>
      <c r="IR8" t="s">
        <v>1987</v>
      </c>
      <c r="IU8" t="s">
        <v>2431</v>
      </c>
      <c r="IV8">
        <v>-2.4245362661989844E-14</v>
      </c>
      <c r="IX8">
        <v>-2.4245362661989844E-14</v>
      </c>
      <c r="IY8" t="s">
        <v>1745</v>
      </c>
      <c r="IZ8">
        <v>2021</v>
      </c>
      <c r="JA8" t="s">
        <v>4054</v>
      </c>
      <c r="JB8" s="6">
        <v>44693</v>
      </c>
      <c r="JC8">
        <v>5</v>
      </c>
      <c r="JD8">
        <v>-2.4245362661989844E-14</v>
      </c>
      <c r="JE8">
        <v>307967</v>
      </c>
      <c r="JF8" t="s">
        <v>2433</v>
      </c>
      <c r="KO8" t="s">
        <v>2998</v>
      </c>
      <c r="KP8" t="s">
        <v>1786</v>
      </c>
      <c r="KQ8">
        <v>0.36666900000000002</v>
      </c>
      <c r="KR8">
        <v>0.66739899999999996</v>
      </c>
      <c r="KS8" t="s">
        <v>1742</v>
      </c>
      <c r="KT8">
        <v>2025</v>
      </c>
      <c r="KU8" t="s">
        <v>2994</v>
      </c>
      <c r="KV8" s="6">
        <v>45881</v>
      </c>
      <c r="KW8">
        <v>5</v>
      </c>
      <c r="KX8">
        <v>14360758</v>
      </c>
      <c r="KY8">
        <v>116563</v>
      </c>
      <c r="KZ8" t="s">
        <v>2999</v>
      </c>
      <c r="LC8" t="s">
        <v>5576</v>
      </c>
      <c r="LD8">
        <v>1.059528</v>
      </c>
      <c r="LE8" t="s">
        <v>1786</v>
      </c>
      <c r="LF8">
        <v>1.4451590000000001</v>
      </c>
      <c r="LG8" t="s">
        <v>1742</v>
      </c>
      <c r="LH8">
        <v>2025</v>
      </c>
      <c r="LI8" t="s">
        <v>2994</v>
      </c>
      <c r="LJ8" s="6">
        <v>45881</v>
      </c>
      <c r="LK8">
        <v>5</v>
      </c>
      <c r="LL8">
        <v>46333160</v>
      </c>
      <c r="LM8">
        <v>47183276</v>
      </c>
      <c r="LN8" t="s">
        <v>5577</v>
      </c>
      <c r="RM8" t="s">
        <v>2346</v>
      </c>
      <c r="RO8">
        <v>-2.4245362661989844E-14</v>
      </c>
      <c r="RP8">
        <v>-2.4245362661989844E-14</v>
      </c>
      <c r="RQ8" t="s">
        <v>1745</v>
      </c>
      <c r="RR8">
        <v>2021</v>
      </c>
      <c r="RS8" t="s">
        <v>2347</v>
      </c>
      <c r="RT8" s="6">
        <v>44693</v>
      </c>
      <c r="RU8">
        <v>5</v>
      </c>
      <c r="RV8">
        <v>-2.4245362661989844E-14</v>
      </c>
      <c r="RW8">
        <v>100481</v>
      </c>
      <c r="RX8" t="s">
        <v>2348</v>
      </c>
      <c r="UY8" t="s">
        <v>167</v>
      </c>
      <c r="VA8">
        <v>-2.4245362661989844E-14</v>
      </c>
      <c r="VB8">
        <v>-2.4245362661989844E-14</v>
      </c>
      <c r="VC8" t="s">
        <v>1745</v>
      </c>
      <c r="VD8">
        <v>2024</v>
      </c>
      <c r="VE8" t="s">
        <v>5027</v>
      </c>
      <c r="VF8" s="6">
        <v>45307</v>
      </c>
      <c r="VG8">
        <v>5</v>
      </c>
      <c r="VH8">
        <v>-2.4245362661989844E-14</v>
      </c>
      <c r="VI8">
        <v>69423747</v>
      </c>
      <c r="VJ8" t="s">
        <v>2036</v>
      </c>
    </row>
    <row r="9" spans="1:600" x14ac:dyDescent="0.25">
      <c r="A9" t="s">
        <v>4249</v>
      </c>
      <c r="B9" t="s">
        <v>1769</v>
      </c>
      <c r="C9">
        <v>0.61532600000000004</v>
      </c>
      <c r="D9">
        <v>3.3971529999999999</v>
      </c>
      <c r="E9" t="s">
        <v>1745</v>
      </c>
      <c r="F9">
        <v>2024</v>
      </c>
      <c r="G9" t="s">
        <v>4250</v>
      </c>
      <c r="H9" s="6">
        <v>45701</v>
      </c>
      <c r="I9">
        <v>5</v>
      </c>
      <c r="J9">
        <v>1849750</v>
      </c>
      <c r="K9">
        <v>100558</v>
      </c>
      <c r="L9" t="s">
        <v>4251</v>
      </c>
      <c r="O9" t="s">
        <v>1885</v>
      </c>
      <c r="P9">
        <v>-2.4245362661989844E-14</v>
      </c>
      <c r="R9">
        <v>-2.4245362661989844E-14</v>
      </c>
      <c r="S9" t="s">
        <v>1745</v>
      </c>
      <c r="T9">
        <v>2024</v>
      </c>
      <c r="U9" t="s">
        <v>4983</v>
      </c>
      <c r="V9" s="6">
        <v>45714</v>
      </c>
      <c r="W9">
        <v>5</v>
      </c>
      <c r="X9">
        <v>-2.4245362661989844E-14</v>
      </c>
      <c r="Y9">
        <v>216952</v>
      </c>
      <c r="Z9" t="s">
        <v>1886</v>
      </c>
      <c r="CM9" t="s">
        <v>2332</v>
      </c>
      <c r="CO9">
        <v>-2.4245362661989844E-14</v>
      </c>
      <c r="CP9">
        <v>-2.4245362661989844E-14</v>
      </c>
      <c r="CQ9" t="s">
        <v>1745</v>
      </c>
      <c r="CR9">
        <v>2022</v>
      </c>
      <c r="CS9" t="s">
        <v>2333</v>
      </c>
      <c r="CT9" s="6">
        <v>45016</v>
      </c>
      <c r="CU9">
        <v>5</v>
      </c>
      <c r="CV9">
        <v>-2.4245362661989844E-14</v>
      </c>
      <c r="CW9">
        <v>9840510</v>
      </c>
      <c r="CX9" t="s">
        <v>2334</v>
      </c>
      <c r="DQ9" t="s">
        <v>4802</v>
      </c>
      <c r="DR9" t="s">
        <v>1786</v>
      </c>
      <c r="DS9">
        <v>1.2467000000000001E-2</v>
      </c>
      <c r="DT9">
        <v>4.5800000000000002E-4</v>
      </c>
      <c r="DU9" t="s">
        <v>1762</v>
      </c>
      <c r="DV9">
        <v>2025</v>
      </c>
      <c r="DW9" t="s">
        <v>4803</v>
      </c>
      <c r="DX9" s="6">
        <v>45744</v>
      </c>
      <c r="DY9">
        <v>5</v>
      </c>
      <c r="DZ9">
        <v>6232.4</v>
      </c>
      <c r="EA9">
        <v>28653435</v>
      </c>
      <c r="EB9" t="s">
        <v>4804</v>
      </c>
      <c r="EE9" t="s">
        <v>3715</v>
      </c>
      <c r="EF9">
        <v>-2.4245362661989844E-14</v>
      </c>
      <c r="EH9">
        <v>-2.4245362661989844E-14</v>
      </c>
      <c r="EI9" t="s">
        <v>1745</v>
      </c>
      <c r="EJ9">
        <v>2022</v>
      </c>
      <c r="EK9" t="s">
        <v>3716</v>
      </c>
      <c r="EL9" s="6">
        <v>45083</v>
      </c>
      <c r="EM9">
        <v>5</v>
      </c>
      <c r="EN9">
        <v>-2.4245362661989844E-14</v>
      </c>
      <c r="EO9">
        <v>34532225</v>
      </c>
      <c r="EP9" t="s">
        <v>3717</v>
      </c>
      <c r="HC9" t="s">
        <v>2280</v>
      </c>
      <c r="HE9">
        <v>-2.4245362661989844E-14</v>
      </c>
      <c r="HF9">
        <v>-2.4245362661989844E-14</v>
      </c>
      <c r="HG9" t="s">
        <v>1745</v>
      </c>
      <c r="HH9">
        <v>2021</v>
      </c>
      <c r="HI9" t="s">
        <v>2281</v>
      </c>
      <c r="HJ9" s="6">
        <v>44693</v>
      </c>
      <c r="HK9">
        <v>5</v>
      </c>
      <c r="HL9">
        <v>-2.4245362661989844E-14</v>
      </c>
      <c r="HM9">
        <v>313098</v>
      </c>
      <c r="HN9" t="s">
        <v>2282</v>
      </c>
      <c r="IG9" t="s">
        <v>6069</v>
      </c>
      <c r="IH9" t="s">
        <v>1820</v>
      </c>
      <c r="II9">
        <v>4.7696000000000002E-2</v>
      </c>
      <c r="IJ9">
        <v>6.6319999999999999E-3</v>
      </c>
      <c r="IK9" t="s">
        <v>1845</v>
      </c>
      <c r="IL9">
        <v>2024</v>
      </c>
      <c r="IM9" t="s">
        <v>6070</v>
      </c>
      <c r="IN9" s="6">
        <v>45758</v>
      </c>
      <c r="IO9">
        <v>5</v>
      </c>
      <c r="IP9">
        <v>91324</v>
      </c>
      <c r="IQ9">
        <v>883408</v>
      </c>
      <c r="IR9" t="s">
        <v>6071</v>
      </c>
      <c r="IU9" t="s">
        <v>4926</v>
      </c>
      <c r="IV9">
        <v>-2.4245362661989844E-14</v>
      </c>
      <c r="IX9">
        <v>-2.4245362661989844E-14</v>
      </c>
      <c r="IY9" t="s">
        <v>1745</v>
      </c>
      <c r="IZ9">
        <v>2021</v>
      </c>
      <c r="JA9" t="s">
        <v>4054</v>
      </c>
      <c r="JB9" s="6">
        <v>44693</v>
      </c>
      <c r="JC9">
        <v>5</v>
      </c>
      <c r="JD9">
        <v>-2.4245362661989844E-14</v>
      </c>
      <c r="JE9">
        <v>7113629</v>
      </c>
      <c r="JF9" t="s">
        <v>4927</v>
      </c>
      <c r="KO9" t="s">
        <v>3000</v>
      </c>
      <c r="KP9" t="s">
        <v>1786</v>
      </c>
      <c r="KQ9">
        <v>3.8373949999999999</v>
      </c>
      <c r="KR9">
        <v>0.65883999999999998</v>
      </c>
      <c r="KS9" t="s">
        <v>1809</v>
      </c>
      <c r="KT9">
        <v>2025</v>
      </c>
      <c r="KU9" t="s">
        <v>2994</v>
      </c>
      <c r="KV9" s="6">
        <v>45740</v>
      </c>
      <c r="KW9">
        <v>5</v>
      </c>
      <c r="KX9">
        <v>14176590</v>
      </c>
      <c r="KY9">
        <v>21813538</v>
      </c>
      <c r="KZ9" t="s">
        <v>3001</v>
      </c>
      <c r="LC9" t="s">
        <v>5777</v>
      </c>
      <c r="LD9">
        <v>0.95568799999999998</v>
      </c>
      <c r="LE9" t="s">
        <v>1786</v>
      </c>
      <c r="LF9">
        <v>2.8645339999999999</v>
      </c>
      <c r="LG9" t="s">
        <v>1742</v>
      </c>
      <c r="LH9">
        <v>2025</v>
      </c>
      <c r="LI9" t="s">
        <v>2994</v>
      </c>
      <c r="LJ9" s="6">
        <v>45881</v>
      </c>
      <c r="LK9">
        <v>5</v>
      </c>
      <c r="LL9">
        <v>41792236</v>
      </c>
      <c r="LM9">
        <v>107907</v>
      </c>
      <c r="LN9" t="s">
        <v>5778</v>
      </c>
      <c r="RM9" t="s">
        <v>565</v>
      </c>
      <c r="RO9">
        <v>-2.4245362661989844E-14</v>
      </c>
      <c r="RP9">
        <v>-2.4245362661989844E-14</v>
      </c>
      <c r="RQ9" t="s">
        <v>1745</v>
      </c>
      <c r="RR9">
        <v>2021</v>
      </c>
      <c r="RS9" t="s">
        <v>4054</v>
      </c>
      <c r="RT9" s="6">
        <v>44693</v>
      </c>
      <c r="RU9">
        <v>5</v>
      </c>
      <c r="RV9">
        <v>-2.4245362661989844E-14</v>
      </c>
      <c r="RW9">
        <v>100382</v>
      </c>
      <c r="RX9" t="s">
        <v>4055</v>
      </c>
      <c r="UY9" t="s">
        <v>5028</v>
      </c>
      <c r="VA9">
        <v>-2.4245362661989844E-14</v>
      </c>
      <c r="VB9">
        <v>-2.4245362661989844E-14</v>
      </c>
      <c r="VC9" t="s">
        <v>1745</v>
      </c>
      <c r="VD9">
        <v>2023</v>
      </c>
      <c r="VE9" t="s">
        <v>5029</v>
      </c>
      <c r="VF9" s="6">
        <v>45301</v>
      </c>
      <c r="VG9">
        <v>5</v>
      </c>
      <c r="VH9">
        <v>-2.4245362661989844E-14</v>
      </c>
      <c r="VI9">
        <v>57811522</v>
      </c>
      <c r="VJ9" t="s">
        <v>5030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577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578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579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580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581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582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583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584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585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586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587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588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589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590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591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592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593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594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595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596</v>
      </c>
      <c r="AE2" s="3" t="s">
        <v>419</v>
      </c>
      <c r="BI2" s="3" t="s">
        <v>597</v>
      </c>
      <c r="CM2" s="3" t="s">
        <v>598</v>
      </c>
      <c r="DQ2" s="3" t="s">
        <v>121</v>
      </c>
      <c r="EU2" s="3" t="s">
        <v>385</v>
      </c>
      <c r="FY2" s="3" t="s">
        <v>599</v>
      </c>
      <c r="HC2" s="3" t="s">
        <v>600</v>
      </c>
      <c r="IG2" s="3" t="s">
        <v>601</v>
      </c>
      <c r="JK2" s="3" t="s">
        <v>602</v>
      </c>
      <c r="KO2" s="3" t="s">
        <v>603</v>
      </c>
      <c r="LS2" s="3" t="s">
        <v>604</v>
      </c>
      <c r="MW2" s="3" t="s">
        <v>605</v>
      </c>
      <c r="OA2" s="3" t="s">
        <v>606</v>
      </c>
      <c r="PE2" s="3" t="s">
        <v>607</v>
      </c>
      <c r="QI2" s="3" t="s">
        <v>608</v>
      </c>
      <c r="RM2" s="3" t="s">
        <v>609</v>
      </c>
      <c r="SQ2" s="3" t="s">
        <v>610</v>
      </c>
      <c r="TU2" s="3" t="s">
        <v>611</v>
      </c>
      <c r="UY2" s="3" t="s">
        <v>612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_xll.BDS("BAC US Equity","SUPPLY_CHAIN_SUPPLIERS_ALL_DATA","cols=12;rows=5")</f>
        <v>ORCL US Equity</v>
      </c>
      <c r="B5" t="s">
        <v>1786</v>
      </c>
      <c r="C5">
        <v>0.27107500000000001</v>
      </c>
      <c r="D5">
        <v>0.24259500000000001</v>
      </c>
      <c r="E5" t="s">
        <v>1845</v>
      </c>
      <c r="F5">
        <v>2025</v>
      </c>
      <c r="G5" t="s">
        <v>1883</v>
      </c>
      <c r="H5" s="6">
        <v>45848</v>
      </c>
      <c r="I5">
        <v>5</v>
      </c>
      <c r="J5">
        <v>43109056</v>
      </c>
      <c r="K5">
        <v>101752</v>
      </c>
      <c r="L5" t="s">
        <v>2723</v>
      </c>
      <c r="O5" t="str">
        <f>_xll.BDS("BAC US Equity","SUPPLY_CHAIN_CUSTOMERS_ALL_DATA","cols=12;rows=4")</f>
        <v>3147564Z US Equity</v>
      </c>
      <c r="P5">
        <v>-2.4245362661989844E-14</v>
      </c>
      <c r="R5">
        <v>-2.4245362661989844E-14</v>
      </c>
      <c r="S5" t="s">
        <v>1745</v>
      </c>
      <c r="T5">
        <v>2022</v>
      </c>
      <c r="U5" t="s">
        <v>3697</v>
      </c>
      <c r="V5" s="6">
        <v>44875</v>
      </c>
      <c r="W5">
        <v>4</v>
      </c>
      <c r="X5">
        <v>-2.4245362661989844E-14</v>
      </c>
      <c r="Y5">
        <v>15504092</v>
      </c>
      <c r="Z5" t="s">
        <v>3698</v>
      </c>
      <c r="AE5" t="str">
        <f>_xll.BDS("STJ US Equity","SUPPLY_CHAIN_SUPPLIERS_ALL_DATA")</f>
        <v>#N/A N/A</v>
      </c>
      <c r="AS5" t="str">
        <f>_xll.BDS("STJ US Equity","SUPPLY_CHAIN_CUSTOMERS_ALL_DATA")</f>
        <v>#N/A N/A</v>
      </c>
      <c r="BI5" t="str">
        <f>_xll.BDS("PPC US Equity","SUPPLY_CHAIN_SUPPLIERS_ALL_DATA","cols=12;rows=5")</f>
        <v>JBS US Equity</v>
      </c>
      <c r="BJ5" t="s">
        <v>1786</v>
      </c>
      <c r="BK5">
        <v>0.34573300000000001</v>
      </c>
      <c r="BL5">
        <v>1.780027</v>
      </c>
      <c r="BM5" t="s">
        <v>1745</v>
      </c>
      <c r="BN5">
        <v>2025</v>
      </c>
      <c r="BO5" t="s">
        <v>2981</v>
      </c>
      <c r="BP5" s="6">
        <v>46065</v>
      </c>
      <c r="BQ5">
        <v>5</v>
      </c>
      <c r="BR5">
        <v>71821464</v>
      </c>
      <c r="BS5">
        <v>72382298</v>
      </c>
      <c r="BT5" t="s">
        <v>2982</v>
      </c>
      <c r="BW5" t="str">
        <f>_xll.BDS("PPC US Equity","SUPPLY_CHAIN_CUSTOMERS_ALL_DATA","cols=12;rows=5")</f>
        <v>COST US Equity</v>
      </c>
      <c r="BX5">
        <v>5.8073949999999996</v>
      </c>
      <c r="BY5" t="s">
        <v>1786</v>
      </c>
      <c r="BZ5">
        <v>0.33593200000000001</v>
      </c>
      <c r="CA5" t="s">
        <v>1742</v>
      </c>
      <c r="CB5">
        <v>2025</v>
      </c>
      <c r="CC5" t="s">
        <v>5705</v>
      </c>
      <c r="CD5" s="6">
        <v>45999</v>
      </c>
      <c r="CE5">
        <v>5</v>
      </c>
      <c r="CF5">
        <v>252073136</v>
      </c>
      <c r="CG5">
        <v>101758</v>
      </c>
      <c r="CH5" t="s">
        <v>1856</v>
      </c>
      <c r="CM5" t="str">
        <f>_xll.BDS("HTO US Equity","SUPPLY_CHAIN_SUPPLIERS_ALL_DATA","cols=12;rows=5")</f>
        <v>27252MF US Equity</v>
      </c>
      <c r="CN5" t="s">
        <v>1820</v>
      </c>
      <c r="CO5">
        <v>3.4341999999999998E-2</v>
      </c>
      <c r="CP5">
        <v>3.1202000000000001E-2</v>
      </c>
      <c r="CQ5" t="s">
        <v>1745</v>
      </c>
      <c r="CR5">
        <v>2024</v>
      </c>
      <c r="CS5" t="s">
        <v>5629</v>
      </c>
      <c r="CT5" s="6">
        <v>45716</v>
      </c>
      <c r="CU5">
        <v>5</v>
      </c>
      <c r="CV5">
        <v>29424.5</v>
      </c>
      <c r="CW5">
        <v>1026152</v>
      </c>
      <c r="CX5" t="s">
        <v>5630</v>
      </c>
      <c r="DA5" t="str">
        <f>_xll.BDS("HTO US Equity","SUPPLY_CHAIN_CUSTOMERS_ALL_DATA")</f>
        <v>#N/A N/A</v>
      </c>
      <c r="DQ5" t="str">
        <f>_xll.BDS("IBM US Equity","SUPPLY_CHAIN_SUPPLIERS_ALL_DATA","cols=12;rows=5")</f>
        <v>005930 KS Equity</v>
      </c>
      <c r="DR5" t="s">
        <v>1786</v>
      </c>
      <c r="DS5">
        <v>0.49490499999999998</v>
      </c>
      <c r="DT5">
        <v>4.1423690000000004</v>
      </c>
      <c r="DU5" t="s">
        <v>1809</v>
      </c>
      <c r="DV5">
        <v>2025</v>
      </c>
      <c r="DW5" t="s">
        <v>2035</v>
      </c>
      <c r="DX5" s="6">
        <v>45797</v>
      </c>
      <c r="DY5">
        <v>5</v>
      </c>
      <c r="DZ5">
        <v>269668224</v>
      </c>
      <c r="EA5">
        <v>117929</v>
      </c>
      <c r="EB5" t="s">
        <v>1791</v>
      </c>
      <c r="EE5" t="str">
        <f>_xll.BDS("IBM US Equity","SUPPLY_CHAIN_CUSTOMERS_ALL_DATA","cols=12;rows=5")</f>
        <v>AMZN US Equity</v>
      </c>
      <c r="EF5">
        <v>4.454224</v>
      </c>
      <c r="EG5" t="s">
        <v>1786</v>
      </c>
      <c r="EH5">
        <v>0.84141600000000005</v>
      </c>
      <c r="EI5" t="s">
        <v>1809</v>
      </c>
      <c r="EJ5">
        <v>2025</v>
      </c>
      <c r="EK5" t="s">
        <v>2035</v>
      </c>
      <c r="EL5" s="6">
        <v>45797</v>
      </c>
      <c r="EM5">
        <v>5</v>
      </c>
      <c r="EN5">
        <v>647688704</v>
      </c>
      <c r="EO5">
        <v>216952</v>
      </c>
      <c r="EP5" t="s">
        <v>1886</v>
      </c>
      <c r="EU5" t="str">
        <f>_xll.BDS("JNJ US Equity","SUPPLY_CHAIN_SUPPLIERS_ALL_DATA","cols=12;rows=5")</f>
        <v>GMAB DC Equity</v>
      </c>
      <c r="EV5" t="s">
        <v>2416</v>
      </c>
      <c r="EW5">
        <v>66.998047</v>
      </c>
      <c r="EX5">
        <v>11.040321</v>
      </c>
      <c r="EY5" t="s">
        <v>1745</v>
      </c>
      <c r="EZ5">
        <v>2024</v>
      </c>
      <c r="FA5" t="s">
        <v>2793</v>
      </c>
      <c r="FB5" s="6">
        <v>45701</v>
      </c>
      <c r="FC5">
        <v>5</v>
      </c>
      <c r="FD5">
        <v>522920364.22000003</v>
      </c>
      <c r="FE5">
        <v>1405715</v>
      </c>
      <c r="FF5" t="s">
        <v>2794</v>
      </c>
      <c r="FI5" t="str">
        <f>_xll.BDS("JNJ US Equity","SUPPLY_CHAIN_CUSTOMERS_ALL_DATA","cols=12;rows=5")</f>
        <v>MCK US Equity</v>
      </c>
      <c r="FJ5">
        <v>20.476745999999999</v>
      </c>
      <c r="FK5" t="s">
        <v>1786</v>
      </c>
      <c r="FL5">
        <v>6.636412</v>
      </c>
      <c r="FM5" t="s">
        <v>1742</v>
      </c>
      <c r="FN5">
        <v>2025</v>
      </c>
      <c r="FO5" t="s">
        <v>2501</v>
      </c>
      <c r="FP5" s="6">
        <v>46018</v>
      </c>
      <c r="FQ5">
        <v>5</v>
      </c>
      <c r="FR5">
        <v>4912985600</v>
      </c>
      <c r="FS5">
        <v>154936</v>
      </c>
      <c r="FT5" t="s">
        <v>2146</v>
      </c>
      <c r="FY5" t="str">
        <f>_xll.BDS("NS US Equity","SUPPLY_CHAIN_SUPPLIERS_ALL_DATA","cols=12;rows=5")</f>
        <v>1623420D US Equity</v>
      </c>
      <c r="GA5">
        <v>-2.4245362661989844E-14</v>
      </c>
      <c r="GB5">
        <v>-2.4245362661989844E-14</v>
      </c>
      <c r="GC5" t="s">
        <v>1745</v>
      </c>
      <c r="GD5">
        <v>2023</v>
      </c>
      <c r="GE5" t="s">
        <v>4533</v>
      </c>
      <c r="GF5" s="6">
        <v>45224</v>
      </c>
      <c r="GG5">
        <v>5</v>
      </c>
      <c r="GH5">
        <v>-2.4245362661989844E-14</v>
      </c>
      <c r="GI5">
        <v>60546301</v>
      </c>
      <c r="GJ5" t="s">
        <v>4534</v>
      </c>
      <c r="GM5" t="str">
        <f>_xll.BDS("NS US Equity","SUPPLY_CHAIN_CUSTOMERS_ALL_DATA","cols=12;rows=5")</f>
        <v>010060 KS Equity</v>
      </c>
      <c r="GN5">
        <v>-2.4245362661989844E-14</v>
      </c>
      <c r="GP5">
        <v>-2.4245362661989844E-14</v>
      </c>
      <c r="GQ5" t="s">
        <v>1745</v>
      </c>
      <c r="GR5">
        <v>2023</v>
      </c>
      <c r="GS5" t="s">
        <v>4533</v>
      </c>
      <c r="GT5" s="6">
        <v>45049</v>
      </c>
      <c r="GU5">
        <v>5</v>
      </c>
      <c r="GV5">
        <v>-2.4245362661989844E-14</v>
      </c>
      <c r="GW5">
        <v>119138</v>
      </c>
      <c r="GX5" t="s">
        <v>4788</v>
      </c>
      <c r="HC5" t="str">
        <f>_xll.BDS("AKS US Equity","SUPPLY_CHAIN_SUPPLIERS_ALL_DATA","cols=12;rows=1")</f>
        <v>FE US Equity</v>
      </c>
      <c r="HE5">
        <v>-2.4245362661989844E-14</v>
      </c>
      <c r="HF5">
        <v>-2.4245362661989844E-14</v>
      </c>
      <c r="HG5" t="s">
        <v>1745</v>
      </c>
      <c r="HH5">
        <v>2021</v>
      </c>
      <c r="HI5" t="s">
        <v>2288</v>
      </c>
      <c r="HJ5" s="6">
        <v>44693</v>
      </c>
      <c r="HK5">
        <v>1</v>
      </c>
      <c r="HL5">
        <v>-2.4245362661989844E-14</v>
      </c>
      <c r="HM5">
        <v>302916</v>
      </c>
      <c r="HN5" t="s">
        <v>2289</v>
      </c>
      <c r="HQ5" t="str">
        <f>_xll.BDS("AKS US Equity","SUPPLY_CHAIN_CUSTOMERS_ALL_DATA")</f>
        <v>#N/A N/A</v>
      </c>
      <c r="IG5" t="str">
        <f>_xll.BDS("FTRCQ US Equity","SUPPLY_CHAIN_SUPPLIERS_ALL_DATA","cols=12;rows=4")</f>
        <v>2296295D US Equity</v>
      </c>
      <c r="II5">
        <v>-2.4245362661989844E-14</v>
      </c>
      <c r="IJ5">
        <v>-2.4245362661989844E-14</v>
      </c>
      <c r="IK5" t="s">
        <v>1745</v>
      </c>
      <c r="IL5">
        <v>2024</v>
      </c>
      <c r="IM5" t="s">
        <v>6420</v>
      </c>
      <c r="IN5" s="6">
        <v>45316</v>
      </c>
      <c r="IO5">
        <v>4</v>
      </c>
      <c r="IP5">
        <v>-2.4245362661989844E-14</v>
      </c>
      <c r="IQ5">
        <v>71201164</v>
      </c>
      <c r="IR5" t="s">
        <v>6421</v>
      </c>
      <c r="IU5" t="str">
        <f>_xll.BDS("FTRCQ US Equity","SUPPLY_CHAIN_CUSTOMERS_ALL_DATA")</f>
        <v>#N/A N/A</v>
      </c>
      <c r="JK5" t="str">
        <f>_xll.BDS("TMO US Equity","SUPPLY_CHAIN_SUPPLIERS_ALL_DATA","cols=12;rows=5")</f>
        <v>EMR US Equity</v>
      </c>
      <c r="JL5" t="s">
        <v>1786</v>
      </c>
      <c r="JM5">
        <v>4.2224550000000001</v>
      </c>
      <c r="JN5">
        <v>2.8645350000000001</v>
      </c>
      <c r="JO5" t="s">
        <v>1742</v>
      </c>
      <c r="JP5">
        <v>2025</v>
      </c>
      <c r="JQ5" t="s">
        <v>2994</v>
      </c>
      <c r="JR5" s="6">
        <v>45881</v>
      </c>
      <c r="JS5">
        <v>5</v>
      </c>
      <c r="JT5">
        <v>184647952</v>
      </c>
      <c r="JU5">
        <v>100515</v>
      </c>
      <c r="JV5" t="s">
        <v>4231</v>
      </c>
      <c r="JY5" t="str">
        <f>_xll.BDS("TMO US Equity","SUPPLY_CHAIN_CUSTOMERS_ALL_DATA","cols=12;rows=5")</f>
        <v>4195 TT Equity</v>
      </c>
      <c r="JZ5">
        <v>9.7099999999999999E-3</v>
      </c>
      <c r="KA5" t="s">
        <v>1786</v>
      </c>
      <c r="KB5">
        <v>37.527434999999997</v>
      </c>
      <c r="KC5" t="s">
        <v>1745</v>
      </c>
      <c r="KD5">
        <v>2024</v>
      </c>
      <c r="KE5" t="s">
        <v>6244</v>
      </c>
      <c r="KF5" s="6">
        <v>45803</v>
      </c>
      <c r="KG5">
        <v>5</v>
      </c>
      <c r="KH5">
        <v>1052629.3999999999</v>
      </c>
      <c r="KI5">
        <v>38166930</v>
      </c>
      <c r="KJ5" t="s">
        <v>6245</v>
      </c>
      <c r="KO5" t="str">
        <f>_xll.BDS("ON US Equity","SUPPLY_CHAIN_SUPPLIERS_ALL_DATA","cols=12;rows=5")</f>
        <v>981 HK Equity</v>
      </c>
      <c r="KP5" t="s">
        <v>1786</v>
      </c>
      <c r="KQ5">
        <v>1.149251</v>
      </c>
      <c r="KR5">
        <v>2.2420330000000002</v>
      </c>
      <c r="KS5" t="s">
        <v>1809</v>
      </c>
      <c r="KT5">
        <v>2025</v>
      </c>
      <c r="KU5" t="s">
        <v>3065</v>
      </c>
      <c r="KV5" s="6">
        <v>45846</v>
      </c>
      <c r="KW5">
        <v>5</v>
      </c>
      <c r="KX5">
        <v>25825980</v>
      </c>
      <c r="KY5">
        <v>7039692</v>
      </c>
      <c r="KZ5" t="s">
        <v>3066</v>
      </c>
      <c r="LC5" t="str">
        <f>_xll.BDS("ON US Equity","SUPPLY_CHAIN_CUSTOMERS_ALL_DATA","cols=12;rows=5")</f>
        <v>3036 TT Equity</v>
      </c>
      <c r="LD5">
        <v>10.876538999999999</v>
      </c>
      <c r="LE5" t="s">
        <v>1786</v>
      </c>
      <c r="LF5">
        <v>1.98163</v>
      </c>
      <c r="LG5" t="s">
        <v>1762</v>
      </c>
      <c r="LH5">
        <v>2025</v>
      </c>
      <c r="LI5" t="s">
        <v>5976</v>
      </c>
      <c r="LJ5" s="6">
        <v>45943</v>
      </c>
      <c r="LK5">
        <v>5</v>
      </c>
      <c r="LL5">
        <v>159743728</v>
      </c>
      <c r="LM5">
        <v>1459396</v>
      </c>
      <c r="LN5" t="s">
        <v>3626</v>
      </c>
      <c r="LS5" t="str">
        <f>_xll.BDS("118569Q US Equity","SUPPLY_CHAIN_SUPPLIERS_ALL_DATA")</f>
        <v>#N/A N/A</v>
      </c>
      <c r="MG5" t="str">
        <f>_xll.BDS("118569Q US Equity","SUPPLY_CHAIN_CUSTOMERS_ALL_DATA")</f>
        <v>#N/A N/A</v>
      </c>
      <c r="MW5" t="str">
        <f>_xll.BDS("ABT US Equity","SUPPLY_CHAIN_SUPPLIERS_ALL_DATA","cols=12;rows=5")</f>
        <v>MSFT US Equity</v>
      </c>
      <c r="MX5" t="s">
        <v>1786</v>
      </c>
      <c r="MY5">
        <v>5.0347999999999997E-2</v>
      </c>
      <c r="MZ5">
        <v>0.78954400000000002</v>
      </c>
      <c r="NA5" t="s">
        <v>1742</v>
      </c>
      <c r="NB5">
        <v>2025</v>
      </c>
      <c r="NC5" t="s">
        <v>2528</v>
      </c>
      <c r="ND5" s="6">
        <v>45843</v>
      </c>
      <c r="NE5">
        <v>5</v>
      </c>
      <c r="NF5">
        <v>35276832</v>
      </c>
      <c r="NG5">
        <v>101743</v>
      </c>
      <c r="NH5" t="s">
        <v>1891</v>
      </c>
      <c r="NK5" t="str">
        <f>_xll.BDS("ABT US Equity","SUPPLY_CHAIN_CUSTOMERS_ALL_DATA","cols=12;rows=5")</f>
        <v>SNX US Equity</v>
      </c>
      <c r="NL5">
        <v>0.37113800000000002</v>
      </c>
      <c r="NM5" t="s">
        <v>1786</v>
      </c>
      <c r="NN5">
        <v>0.260712</v>
      </c>
      <c r="NO5" t="s">
        <v>1845</v>
      </c>
      <c r="NP5">
        <v>2025</v>
      </c>
      <c r="NQ5" t="s">
        <v>1887</v>
      </c>
      <c r="NR5" s="6">
        <v>46056</v>
      </c>
      <c r="NS5">
        <v>5</v>
      </c>
      <c r="NT5">
        <v>42194648</v>
      </c>
      <c r="NU5">
        <v>1499717</v>
      </c>
      <c r="NV5" t="s">
        <v>1864</v>
      </c>
      <c r="OA5" t="str">
        <f>_xll.BDS("1255173D US Equity","SUPPLY_CHAIN_SUPPLIERS_ALL_DATA")</f>
        <v>#N/A N/A</v>
      </c>
      <c r="OO5" t="str">
        <f>_xll.BDS("1255173D US Equity","SUPPLY_CHAIN_CUSTOMERS_ALL_DATA")</f>
        <v>#N/A N/A</v>
      </c>
      <c r="PE5" t="str">
        <f>_xll.BDS("VYX US Equity","SUPPLY_CHAIN_SUPPLIERS_ALL_DATA","cols=12;rows=5")</f>
        <v>CUZ US Equity</v>
      </c>
      <c r="PF5" t="s">
        <v>1769</v>
      </c>
      <c r="PG5">
        <v>4.2957650000000003</v>
      </c>
      <c r="PH5">
        <v>9.4242830000000009</v>
      </c>
      <c r="PI5" t="s">
        <v>1745</v>
      </c>
      <c r="PJ5">
        <v>2025</v>
      </c>
      <c r="PK5" t="s">
        <v>2976</v>
      </c>
      <c r="PL5" s="6">
        <v>46058</v>
      </c>
      <c r="PM5">
        <v>5</v>
      </c>
      <c r="PN5">
        <v>10673000</v>
      </c>
      <c r="PO5">
        <v>106045</v>
      </c>
      <c r="PP5" t="s">
        <v>2977</v>
      </c>
      <c r="PS5" t="str">
        <f>_xll.BDS("VYX US Equity","SUPPLY_CHAIN_CUSTOMERS_ALL_DATA","cols=12;rows=5")</f>
        <v>TSCO LN Equity</v>
      </c>
      <c r="PT5">
        <v>0.20727400000000001</v>
      </c>
      <c r="PU5" t="s">
        <v>1786</v>
      </c>
      <c r="PV5">
        <v>6.3730000000000002E-3</v>
      </c>
      <c r="PW5" t="s">
        <v>1809</v>
      </c>
      <c r="PX5">
        <v>2026</v>
      </c>
      <c r="PY5" t="s">
        <v>1834</v>
      </c>
      <c r="PZ5" s="6">
        <v>45898</v>
      </c>
      <c r="QA5">
        <v>5</v>
      </c>
      <c r="QB5">
        <v>1352248.2</v>
      </c>
      <c r="QC5">
        <v>112370</v>
      </c>
      <c r="QD5" t="s">
        <v>1835</v>
      </c>
      <c r="QI5" t="str">
        <f>_xll.BDS("PBF US Equity","SUPPLY_CHAIN_SUPPLIERS_ALL_DATA","cols=12;rows=5")</f>
        <v>BRY US Equity</v>
      </c>
      <c r="QJ5" t="s">
        <v>1786</v>
      </c>
      <c r="QK5">
        <v>30</v>
      </c>
      <c r="QL5">
        <v>0.75434100000000004</v>
      </c>
      <c r="QM5" t="s">
        <v>1745</v>
      </c>
      <c r="QN5">
        <v>2024</v>
      </c>
      <c r="QO5" t="s">
        <v>4818</v>
      </c>
      <c r="QP5" s="6">
        <v>45729</v>
      </c>
      <c r="QQ5">
        <v>5</v>
      </c>
      <c r="QR5">
        <v>58237576</v>
      </c>
      <c r="QS5">
        <v>54325602</v>
      </c>
      <c r="QT5" t="s">
        <v>4819</v>
      </c>
      <c r="QW5" t="str">
        <f>_xll.BDS("PBF US Equity","SUPPLY_CHAIN_CUSTOMERS_ALL_DATA","cols=12;rows=3")</f>
        <v>SHEL LN Equity</v>
      </c>
      <c r="QX5">
        <v>13</v>
      </c>
      <c r="QY5" t="s">
        <v>1786</v>
      </c>
      <c r="QZ5">
        <v>1.915295</v>
      </c>
      <c r="RA5" t="s">
        <v>1745</v>
      </c>
      <c r="RB5">
        <v>2025</v>
      </c>
      <c r="RC5" t="s">
        <v>5549</v>
      </c>
      <c r="RD5" s="6">
        <v>46065</v>
      </c>
      <c r="RE5">
        <v>3</v>
      </c>
      <c r="RF5">
        <v>953299776</v>
      </c>
      <c r="RG5">
        <v>9268711</v>
      </c>
      <c r="RH5" t="s">
        <v>3536</v>
      </c>
      <c r="RM5" t="str">
        <f>_xll.BDS("WM US Equity","SUPPLY_CHAIN_SUPPLIERS_ALL_DATA","cols=12;rows=5")</f>
        <v>CNR CN Equity</v>
      </c>
      <c r="RN5" t="s">
        <v>1786</v>
      </c>
      <c r="RO5">
        <v>0.30433300000000002</v>
      </c>
      <c r="RP5">
        <v>0.25606899999999999</v>
      </c>
      <c r="RQ5" t="s">
        <v>1809</v>
      </c>
      <c r="RR5">
        <v>2025</v>
      </c>
      <c r="RS5" t="s">
        <v>2827</v>
      </c>
      <c r="RT5" s="6">
        <v>45849</v>
      </c>
      <c r="RU5">
        <v>5</v>
      </c>
      <c r="RV5">
        <v>9338736.1799999997</v>
      </c>
      <c r="RW5">
        <v>179551</v>
      </c>
      <c r="RX5" t="s">
        <v>2828</v>
      </c>
      <c r="SA5" t="str">
        <f>_xll.BDS("WM US Equity","SUPPLY_CHAIN_CUSTOMERS_ALL_DATA","cols=12;rows=1")</f>
        <v>FLCM US Equity</v>
      </c>
      <c r="SB5">
        <v>-2.4245362661989844E-14</v>
      </c>
      <c r="SD5">
        <v>-2.4245362661989844E-14</v>
      </c>
      <c r="SE5" t="s">
        <v>1762</v>
      </c>
      <c r="SF5">
        <v>2024</v>
      </c>
      <c r="SG5" t="s">
        <v>3331</v>
      </c>
      <c r="SH5" s="6">
        <v>45546</v>
      </c>
      <c r="SI5">
        <v>1</v>
      </c>
      <c r="SJ5">
        <v>-2.4245362661989844E-14</v>
      </c>
      <c r="SK5">
        <v>27386014</v>
      </c>
      <c r="SL5" t="s">
        <v>3332</v>
      </c>
      <c r="SQ5" t="str">
        <f>_xll.BDS("PRETQ US Equity","SUPPLY_CHAIN_SUPPLIERS_ALL_DATA","cols=12;rows=5")</f>
        <v>0375561D US Equity</v>
      </c>
      <c r="SS5">
        <v>-2.4245362661989844E-14</v>
      </c>
      <c r="ST5">
        <v>-2.4245362661989844E-14</v>
      </c>
      <c r="SU5" t="s">
        <v>1845</v>
      </c>
      <c r="SV5">
        <v>2023</v>
      </c>
      <c r="SW5" t="s">
        <v>5334</v>
      </c>
      <c r="SX5" s="6">
        <v>45270</v>
      </c>
      <c r="SY5">
        <v>5</v>
      </c>
      <c r="SZ5">
        <v>-2.4245362661989844E-14</v>
      </c>
      <c r="TA5">
        <v>30276325</v>
      </c>
      <c r="TB5" t="s">
        <v>5335</v>
      </c>
      <c r="TE5" t="str">
        <f>_xll.BDS("PRETQ US Equity","SUPPLY_CHAIN_CUSTOMERS_ALL_DATA","cols=12;rows=5")</f>
        <v>0275758D US Equity</v>
      </c>
      <c r="TF5">
        <v>-2.4245362661989844E-14</v>
      </c>
      <c r="TH5">
        <v>-2.4245362661989844E-14</v>
      </c>
      <c r="TI5" t="s">
        <v>1745</v>
      </c>
      <c r="TJ5">
        <v>2022</v>
      </c>
      <c r="TK5" t="s">
        <v>5190</v>
      </c>
      <c r="TL5" s="6">
        <v>45012</v>
      </c>
      <c r="TM5">
        <v>5</v>
      </c>
      <c r="TN5">
        <v>-2.4245362661989844E-14</v>
      </c>
      <c r="TO5">
        <v>30011056</v>
      </c>
      <c r="TP5" t="s">
        <v>5191</v>
      </c>
      <c r="TU5" t="str">
        <f>_xll.BDS("SCHW US Equity","SUPPLY_CHAIN_SUPPLIERS_ALL_DATA","cols=12;rows=5")</f>
        <v>ADBE US Equity</v>
      </c>
      <c r="TV5" t="s">
        <v>1769</v>
      </c>
      <c r="TW5">
        <v>0.101092</v>
      </c>
      <c r="TX5">
        <v>0.18884000000000001</v>
      </c>
      <c r="TY5" t="s">
        <v>1762</v>
      </c>
      <c r="TZ5">
        <v>2025</v>
      </c>
      <c r="UA5" t="s">
        <v>2268</v>
      </c>
      <c r="UB5" s="6">
        <v>45838</v>
      </c>
      <c r="UC5">
        <v>5</v>
      </c>
      <c r="UD5">
        <v>5937133</v>
      </c>
      <c r="UE5">
        <v>101689</v>
      </c>
      <c r="UF5" t="s">
        <v>2269</v>
      </c>
      <c r="UI5" t="str">
        <f>_xll.BDS("SCHW US Equity","SUPPLY_CHAIN_CUSTOMERS_ALL_DATA","cols=12;rows=1")</f>
        <v>CNDT US Equity</v>
      </c>
      <c r="UJ5">
        <v>-2.4245362661989844E-14</v>
      </c>
      <c r="UL5">
        <v>-2.4245362661989844E-14</v>
      </c>
      <c r="UM5" t="s">
        <v>1745</v>
      </c>
      <c r="UN5">
        <v>2023</v>
      </c>
      <c r="UO5" t="s">
        <v>3975</v>
      </c>
      <c r="UP5" s="6">
        <v>45133</v>
      </c>
      <c r="UQ5">
        <v>1</v>
      </c>
      <c r="UR5">
        <v>-2.4245362661989844E-14</v>
      </c>
      <c r="US5">
        <v>48777406</v>
      </c>
      <c r="UT5" t="s">
        <v>3976</v>
      </c>
      <c r="UY5" t="str">
        <f>_xll.BDS("ATTM US Equity","SUPPLY_CHAIN_SUPPLIERS_ALL_DATA")</f>
        <v>#N/A N/A</v>
      </c>
      <c r="VM5" t="str">
        <f>_xll.BDS("ATTM US Equity","SUPPLY_CHAIN_CUSTOMERS_ALL_DATA")</f>
        <v>#N/A N/A</v>
      </c>
    </row>
    <row r="6" spans="1:600" x14ac:dyDescent="0.25">
      <c r="A6" t="s">
        <v>195</v>
      </c>
      <c r="B6" t="s">
        <v>1769</v>
      </c>
      <c r="C6">
        <v>0.46972799999999998</v>
      </c>
      <c r="D6">
        <v>0.155246</v>
      </c>
      <c r="E6" t="s">
        <v>1762</v>
      </c>
      <c r="F6">
        <v>2025</v>
      </c>
      <c r="G6" t="s">
        <v>2268</v>
      </c>
      <c r="H6" s="6">
        <v>45838</v>
      </c>
      <c r="I6">
        <v>5</v>
      </c>
      <c r="J6">
        <v>27587124</v>
      </c>
      <c r="K6">
        <v>101689</v>
      </c>
      <c r="L6" t="s">
        <v>2269</v>
      </c>
      <c r="O6" t="s">
        <v>3699</v>
      </c>
      <c r="P6">
        <v>-2.4245362661989844E-14</v>
      </c>
      <c r="R6">
        <v>-2.4245362661989844E-14</v>
      </c>
      <c r="S6" t="s">
        <v>1745</v>
      </c>
      <c r="T6">
        <v>2025</v>
      </c>
      <c r="U6" t="s">
        <v>3700</v>
      </c>
      <c r="V6" s="6">
        <v>46065</v>
      </c>
      <c r="W6">
        <v>4</v>
      </c>
      <c r="X6">
        <v>-2.4245362661989844E-14</v>
      </c>
      <c r="Y6">
        <v>100024</v>
      </c>
      <c r="Z6" t="s">
        <v>3701</v>
      </c>
      <c r="BI6" t="s">
        <v>2983</v>
      </c>
      <c r="BK6">
        <v>-2.4245362661989844E-14</v>
      </c>
      <c r="BL6">
        <v>-2.4245362661989844E-14</v>
      </c>
      <c r="BM6" t="s">
        <v>1809</v>
      </c>
      <c r="BN6">
        <v>2023</v>
      </c>
      <c r="BO6" t="s">
        <v>2984</v>
      </c>
      <c r="BP6" s="6">
        <v>45043</v>
      </c>
      <c r="BQ6">
        <v>5</v>
      </c>
      <c r="BR6">
        <v>-2.4245362661989844E-14</v>
      </c>
      <c r="BS6">
        <v>35380448</v>
      </c>
      <c r="BT6" t="s">
        <v>2985</v>
      </c>
      <c r="BW6" t="s">
        <v>985</v>
      </c>
      <c r="BX6">
        <v>4.7295040000000004</v>
      </c>
      <c r="BY6" t="s">
        <v>1786</v>
      </c>
      <c r="BZ6">
        <v>0.79087200000000002</v>
      </c>
      <c r="CA6" t="s">
        <v>1742</v>
      </c>
      <c r="CB6">
        <v>2025</v>
      </c>
      <c r="CC6" t="s">
        <v>5705</v>
      </c>
      <c r="CD6" s="6">
        <v>45999</v>
      </c>
      <c r="CE6">
        <v>5</v>
      </c>
      <c r="CF6">
        <v>205286688</v>
      </c>
      <c r="CG6">
        <v>100864</v>
      </c>
      <c r="CH6" t="s">
        <v>1971</v>
      </c>
      <c r="CM6" t="s">
        <v>5631</v>
      </c>
      <c r="CO6">
        <v>-2.4245362661989844E-14</v>
      </c>
      <c r="CP6">
        <v>-2.4245362661989844E-14</v>
      </c>
      <c r="CQ6" t="s">
        <v>1745</v>
      </c>
      <c r="CR6">
        <v>2024</v>
      </c>
      <c r="CS6" t="s">
        <v>5629</v>
      </c>
      <c r="CT6" s="6">
        <v>45716</v>
      </c>
      <c r="CU6">
        <v>5</v>
      </c>
      <c r="CV6">
        <v>-2.4245362661989844E-14</v>
      </c>
      <c r="CW6">
        <v>31251236</v>
      </c>
      <c r="CX6" t="s">
        <v>5632</v>
      </c>
      <c r="DQ6" t="s">
        <v>1287</v>
      </c>
      <c r="DR6" t="s">
        <v>1786</v>
      </c>
      <c r="DS6">
        <v>0.86485599999999996</v>
      </c>
      <c r="DT6">
        <v>4.0630959999999998</v>
      </c>
      <c r="DU6" t="s">
        <v>1809</v>
      </c>
      <c r="DV6">
        <v>2025</v>
      </c>
      <c r="DW6" t="s">
        <v>2035</v>
      </c>
      <c r="DX6" s="6">
        <v>45797</v>
      </c>
      <c r="DY6">
        <v>5</v>
      </c>
      <c r="DZ6">
        <v>264507552</v>
      </c>
      <c r="EA6">
        <v>101376</v>
      </c>
      <c r="EB6" t="s">
        <v>1895</v>
      </c>
      <c r="EE6" t="s">
        <v>424</v>
      </c>
      <c r="EF6">
        <v>3.8131789999999999</v>
      </c>
      <c r="EG6" t="s">
        <v>1786</v>
      </c>
      <c r="EH6">
        <v>2.529652</v>
      </c>
      <c r="EI6" t="s">
        <v>1809</v>
      </c>
      <c r="EJ6">
        <v>2025</v>
      </c>
      <c r="EK6" t="s">
        <v>2035</v>
      </c>
      <c r="EL6" s="6">
        <v>45797</v>
      </c>
      <c r="EM6">
        <v>5</v>
      </c>
      <c r="EN6">
        <v>554474368</v>
      </c>
      <c r="EO6">
        <v>101743</v>
      </c>
      <c r="EP6" t="s">
        <v>1891</v>
      </c>
      <c r="EU6" t="s">
        <v>2795</v>
      </c>
      <c r="EV6" t="s">
        <v>1786</v>
      </c>
      <c r="EW6">
        <v>6.6266720000000001</v>
      </c>
      <c r="EX6">
        <v>6.8004179999999996</v>
      </c>
      <c r="EY6" t="s">
        <v>1742</v>
      </c>
      <c r="EZ6">
        <v>2025</v>
      </c>
      <c r="FA6" t="s">
        <v>2796</v>
      </c>
      <c r="FB6" s="6">
        <v>45867</v>
      </c>
      <c r="FC6">
        <v>5</v>
      </c>
      <c r="FD6">
        <v>518735872</v>
      </c>
      <c r="FE6">
        <v>117092</v>
      </c>
      <c r="FF6" t="s">
        <v>2797</v>
      </c>
      <c r="FI6" t="s">
        <v>2147</v>
      </c>
      <c r="FJ6">
        <v>15.549336</v>
      </c>
      <c r="FK6" t="s">
        <v>1786</v>
      </c>
      <c r="FL6">
        <v>4.6186980000000002</v>
      </c>
      <c r="FM6" t="s">
        <v>1742</v>
      </c>
      <c r="FN6">
        <v>2025</v>
      </c>
      <c r="FO6" t="s">
        <v>2501</v>
      </c>
      <c r="FP6" s="6">
        <v>46018</v>
      </c>
      <c r="FQ6">
        <v>5</v>
      </c>
      <c r="FR6">
        <v>3730752256</v>
      </c>
      <c r="FS6">
        <v>156969</v>
      </c>
      <c r="FT6" t="s">
        <v>2148</v>
      </c>
      <c r="FY6" t="s">
        <v>4535</v>
      </c>
      <c r="GA6">
        <v>-2.4245362661989844E-14</v>
      </c>
      <c r="GB6">
        <v>-2.4245362661989844E-14</v>
      </c>
      <c r="GC6" t="s">
        <v>1745</v>
      </c>
      <c r="GD6">
        <v>2022</v>
      </c>
      <c r="GE6" t="s">
        <v>4536</v>
      </c>
      <c r="GF6" s="6">
        <v>44980</v>
      </c>
      <c r="GG6">
        <v>5</v>
      </c>
      <c r="GH6">
        <v>-2.4245362661989844E-14</v>
      </c>
      <c r="GI6">
        <v>201737</v>
      </c>
      <c r="GJ6" t="s">
        <v>4537</v>
      </c>
      <c r="GM6" t="s">
        <v>4535</v>
      </c>
      <c r="GN6">
        <v>-2.4245362661989844E-14</v>
      </c>
      <c r="GP6">
        <v>-2.4245362661989844E-14</v>
      </c>
      <c r="GQ6" t="s">
        <v>1745</v>
      </c>
      <c r="GR6">
        <v>2022</v>
      </c>
      <c r="GS6" t="s">
        <v>4536</v>
      </c>
      <c r="GT6" s="6">
        <v>44980</v>
      </c>
      <c r="GU6">
        <v>5</v>
      </c>
      <c r="GV6">
        <v>-2.4245362661989844E-14</v>
      </c>
      <c r="GW6">
        <v>201737</v>
      </c>
      <c r="GX6" t="s">
        <v>4537</v>
      </c>
      <c r="IG6" t="s">
        <v>6422</v>
      </c>
      <c r="II6">
        <v>-2.4245362661989844E-14</v>
      </c>
      <c r="IJ6">
        <v>-2.4245362661989844E-14</v>
      </c>
      <c r="IK6" t="s">
        <v>1745</v>
      </c>
      <c r="IL6">
        <v>2021</v>
      </c>
      <c r="IM6" t="s">
        <v>6423</v>
      </c>
      <c r="IN6" s="6">
        <v>44630</v>
      </c>
      <c r="IO6">
        <v>4</v>
      </c>
      <c r="IP6">
        <v>-2.4245362661989844E-14</v>
      </c>
      <c r="IQ6">
        <v>28128169</v>
      </c>
      <c r="IR6" t="s">
        <v>6424</v>
      </c>
      <c r="JK6" t="s">
        <v>33</v>
      </c>
      <c r="JL6" t="s">
        <v>1786</v>
      </c>
      <c r="JM6">
        <v>0.39111600000000002</v>
      </c>
      <c r="JN6">
        <v>0.88908200000000004</v>
      </c>
      <c r="JO6" t="s">
        <v>1762</v>
      </c>
      <c r="JP6">
        <v>2025</v>
      </c>
      <c r="JQ6" t="s">
        <v>3945</v>
      </c>
      <c r="JR6" s="6">
        <v>45914</v>
      </c>
      <c r="JS6">
        <v>5</v>
      </c>
      <c r="JT6">
        <v>57310228</v>
      </c>
      <c r="JU6">
        <v>101166</v>
      </c>
      <c r="JV6" t="s">
        <v>3255</v>
      </c>
      <c r="JY6" t="s">
        <v>2591</v>
      </c>
      <c r="JZ6">
        <v>2.545E-3</v>
      </c>
      <c r="KA6" t="s">
        <v>1786</v>
      </c>
      <c r="KB6">
        <v>3.8306200000000001</v>
      </c>
      <c r="KC6" t="s">
        <v>1745</v>
      </c>
      <c r="KD6">
        <v>2024</v>
      </c>
      <c r="KE6" t="s">
        <v>2592</v>
      </c>
      <c r="KF6" s="6">
        <v>45819</v>
      </c>
      <c r="KG6">
        <v>5</v>
      </c>
      <c r="KH6">
        <v>275861.17</v>
      </c>
      <c r="KI6">
        <v>15291339</v>
      </c>
      <c r="KJ6" t="s">
        <v>2593</v>
      </c>
      <c r="KO6" t="s">
        <v>3067</v>
      </c>
      <c r="KP6" t="s">
        <v>1786</v>
      </c>
      <c r="KQ6">
        <v>0.60310900000000001</v>
      </c>
      <c r="KR6">
        <v>1.2434970000000001</v>
      </c>
      <c r="KS6" t="s">
        <v>1742</v>
      </c>
      <c r="KT6">
        <v>2025</v>
      </c>
      <c r="KU6" t="s">
        <v>3068</v>
      </c>
      <c r="KV6" s="6">
        <v>46035</v>
      </c>
      <c r="KW6">
        <v>5</v>
      </c>
      <c r="KX6">
        <v>11983583</v>
      </c>
      <c r="KY6">
        <v>302680</v>
      </c>
      <c r="KZ6" t="s">
        <v>3069</v>
      </c>
      <c r="LC6" t="s">
        <v>1814</v>
      </c>
      <c r="LD6">
        <v>9.0821310000000004</v>
      </c>
      <c r="LE6" t="s">
        <v>1786</v>
      </c>
      <c r="LF6">
        <v>1.98163</v>
      </c>
      <c r="LG6" t="s">
        <v>1762</v>
      </c>
      <c r="LH6">
        <v>2025</v>
      </c>
      <c r="LI6" t="s">
        <v>5976</v>
      </c>
      <c r="LJ6" s="6">
        <v>45943</v>
      </c>
      <c r="LK6">
        <v>5</v>
      </c>
      <c r="LL6">
        <v>133389256</v>
      </c>
      <c r="LM6">
        <v>100115</v>
      </c>
      <c r="LN6" t="s">
        <v>1816</v>
      </c>
      <c r="MW6" t="s">
        <v>2082</v>
      </c>
      <c r="MX6" t="s">
        <v>1769</v>
      </c>
      <c r="MY6">
        <v>9.5382999999999996E-2</v>
      </c>
      <c r="MZ6">
        <v>1.0817209999999999</v>
      </c>
      <c r="NA6" t="s">
        <v>1809</v>
      </c>
      <c r="NB6">
        <v>2026</v>
      </c>
      <c r="NC6" t="s">
        <v>2083</v>
      </c>
      <c r="ND6" s="6">
        <v>45973</v>
      </c>
      <c r="NE6">
        <v>5</v>
      </c>
      <c r="NF6">
        <v>32671380.140000001</v>
      </c>
      <c r="NG6">
        <v>16857643</v>
      </c>
      <c r="NH6" t="s">
        <v>2084</v>
      </c>
      <c r="NK6" t="s">
        <v>4950</v>
      </c>
      <c r="NL6">
        <v>0.16034200000000001</v>
      </c>
      <c r="NM6" t="s">
        <v>1786</v>
      </c>
      <c r="NN6">
        <v>12.286398</v>
      </c>
      <c r="NO6" t="s">
        <v>1745</v>
      </c>
      <c r="NP6">
        <v>2025</v>
      </c>
      <c r="NQ6" t="s">
        <v>4951</v>
      </c>
      <c r="NR6" s="6">
        <v>45856</v>
      </c>
      <c r="NS6">
        <v>5</v>
      </c>
      <c r="NT6">
        <v>17393065.039999999</v>
      </c>
      <c r="NU6">
        <v>169572</v>
      </c>
      <c r="NV6" t="s">
        <v>4952</v>
      </c>
      <c r="PE6" t="s">
        <v>2795</v>
      </c>
      <c r="PF6" t="s">
        <v>1786</v>
      </c>
      <c r="PG6">
        <v>4.6829999999999997E-2</v>
      </c>
      <c r="PH6">
        <v>0.76054999999999995</v>
      </c>
      <c r="PI6" t="s">
        <v>1742</v>
      </c>
      <c r="PJ6">
        <v>2025</v>
      </c>
      <c r="PK6" t="s">
        <v>2796</v>
      </c>
      <c r="PL6" s="6">
        <v>45867</v>
      </c>
      <c r="PM6">
        <v>5</v>
      </c>
      <c r="PN6">
        <v>3665852</v>
      </c>
      <c r="PO6">
        <v>117092</v>
      </c>
      <c r="PP6" t="s">
        <v>2797</v>
      </c>
      <c r="PS6" t="s">
        <v>5675</v>
      </c>
      <c r="PT6">
        <v>0.110349</v>
      </c>
      <c r="PU6" t="s">
        <v>1786</v>
      </c>
      <c r="PV6">
        <v>5.4117999999999999E-2</v>
      </c>
      <c r="PW6" t="s">
        <v>1762</v>
      </c>
      <c r="PX6">
        <v>2025</v>
      </c>
      <c r="PY6" t="s">
        <v>5676</v>
      </c>
      <c r="PZ6" s="6">
        <v>45898</v>
      </c>
      <c r="QA6">
        <v>5</v>
      </c>
      <c r="QB6">
        <v>734924</v>
      </c>
      <c r="QC6">
        <v>18196193</v>
      </c>
      <c r="QD6" t="s">
        <v>5677</v>
      </c>
      <c r="QI6" t="s">
        <v>1985</v>
      </c>
      <c r="QJ6" t="s">
        <v>1786</v>
      </c>
      <c r="QK6">
        <v>0.209064</v>
      </c>
      <c r="QL6">
        <v>1.8939999999999999E-2</v>
      </c>
      <c r="QM6" t="s">
        <v>1742</v>
      </c>
      <c r="QN6">
        <v>2025</v>
      </c>
      <c r="QO6" t="s">
        <v>2490</v>
      </c>
      <c r="QP6" s="6">
        <v>46027</v>
      </c>
      <c r="QQ6">
        <v>5</v>
      </c>
      <c r="QR6">
        <v>1325466</v>
      </c>
      <c r="QS6">
        <v>36965288</v>
      </c>
      <c r="QT6" t="s">
        <v>1987</v>
      </c>
      <c r="QW6" t="s">
        <v>5550</v>
      </c>
      <c r="QX6">
        <v>-2.4245362661989844E-14</v>
      </c>
      <c r="QZ6">
        <v>-2.4245362661989844E-14</v>
      </c>
      <c r="RA6" t="s">
        <v>1745</v>
      </c>
      <c r="RB6">
        <v>2024</v>
      </c>
      <c r="RC6" t="s">
        <v>5551</v>
      </c>
      <c r="RD6" s="6">
        <v>45750</v>
      </c>
      <c r="RE6">
        <v>3</v>
      </c>
      <c r="RF6">
        <v>-2.4245362661989844E-14</v>
      </c>
      <c r="RG6">
        <v>194731</v>
      </c>
      <c r="RH6" t="s">
        <v>5552</v>
      </c>
      <c r="RM6" t="s">
        <v>34</v>
      </c>
      <c r="RN6" t="s">
        <v>1786</v>
      </c>
      <c r="RO6">
        <v>5.7038999999999999E-2</v>
      </c>
      <c r="RP6">
        <v>0.248723</v>
      </c>
      <c r="RQ6" t="s">
        <v>1845</v>
      </c>
      <c r="RR6">
        <v>2025</v>
      </c>
      <c r="RS6" t="s">
        <v>1883</v>
      </c>
      <c r="RT6" s="6">
        <v>45848</v>
      </c>
      <c r="RU6">
        <v>5</v>
      </c>
      <c r="RV6">
        <v>9070912</v>
      </c>
      <c r="RW6">
        <v>101752</v>
      </c>
      <c r="RX6" t="s">
        <v>2723</v>
      </c>
      <c r="SQ6" t="s">
        <v>5336</v>
      </c>
      <c r="SS6">
        <v>-2.4245362661989844E-14</v>
      </c>
      <c r="ST6">
        <v>-2.4245362661989844E-14</v>
      </c>
      <c r="SU6" t="s">
        <v>1845</v>
      </c>
      <c r="SV6">
        <v>2023</v>
      </c>
      <c r="SW6" t="s">
        <v>5334</v>
      </c>
      <c r="SX6" s="6">
        <v>45270</v>
      </c>
      <c r="SY6">
        <v>5</v>
      </c>
      <c r="SZ6">
        <v>-2.4245362661989844E-14</v>
      </c>
      <c r="TA6">
        <v>38717677</v>
      </c>
      <c r="TB6" t="s">
        <v>5337</v>
      </c>
      <c r="TE6" t="s">
        <v>5192</v>
      </c>
      <c r="TF6">
        <v>-2.4245362661989844E-14</v>
      </c>
      <c r="TH6">
        <v>-2.4245362661989844E-14</v>
      </c>
      <c r="TI6" t="s">
        <v>1745</v>
      </c>
      <c r="TJ6">
        <v>2021</v>
      </c>
      <c r="TK6" t="s">
        <v>5193</v>
      </c>
      <c r="TL6" s="6">
        <v>44635</v>
      </c>
      <c r="TM6">
        <v>5</v>
      </c>
      <c r="TN6">
        <v>-2.4245362661989844E-14</v>
      </c>
      <c r="TO6">
        <v>27200428</v>
      </c>
      <c r="TP6" t="s">
        <v>5194</v>
      </c>
      <c r="TU6" t="s">
        <v>3026</v>
      </c>
      <c r="TW6">
        <v>-2.4245362661989844E-14</v>
      </c>
      <c r="TX6">
        <v>-2.4245362661989844E-14</v>
      </c>
      <c r="TY6" t="s">
        <v>1809</v>
      </c>
      <c r="TZ6">
        <v>2024</v>
      </c>
      <c r="UA6" t="s">
        <v>3027</v>
      </c>
      <c r="UB6" s="6">
        <v>45421</v>
      </c>
      <c r="UC6">
        <v>5</v>
      </c>
      <c r="UD6">
        <v>-2.4245362661989844E-14</v>
      </c>
      <c r="UE6">
        <v>65608618</v>
      </c>
      <c r="UF6" t="s">
        <v>3028</v>
      </c>
    </row>
    <row r="7" spans="1:600" x14ac:dyDescent="0.25">
      <c r="A7" t="s">
        <v>2273</v>
      </c>
      <c r="B7" t="s">
        <v>1769</v>
      </c>
      <c r="C7">
        <v>8.5077940000000005</v>
      </c>
      <c r="D7">
        <v>8.9352000000000001E-2</v>
      </c>
      <c r="E7" t="s">
        <v>1809</v>
      </c>
      <c r="F7">
        <v>2026</v>
      </c>
      <c r="G7" t="s">
        <v>2274</v>
      </c>
      <c r="H7" s="6">
        <v>45898</v>
      </c>
      <c r="I7">
        <v>5</v>
      </c>
      <c r="J7">
        <v>15354149.300000001</v>
      </c>
      <c r="K7">
        <v>178651</v>
      </c>
      <c r="L7" t="s">
        <v>2275</v>
      </c>
      <c r="O7" t="s">
        <v>3149</v>
      </c>
      <c r="P7">
        <v>-2.4245362661989844E-14</v>
      </c>
      <c r="R7">
        <v>-2.4245362661989844E-14</v>
      </c>
      <c r="S7" t="s">
        <v>1745</v>
      </c>
      <c r="T7">
        <v>2023</v>
      </c>
      <c r="U7" t="s">
        <v>3150</v>
      </c>
      <c r="V7" s="6">
        <v>45175</v>
      </c>
      <c r="W7">
        <v>4</v>
      </c>
      <c r="X7">
        <v>-2.4245362661989844E-14</v>
      </c>
      <c r="Y7">
        <v>100555</v>
      </c>
      <c r="Z7" t="s">
        <v>3151</v>
      </c>
      <c r="BI7" t="s">
        <v>2986</v>
      </c>
      <c r="BK7">
        <v>-2.4245362661989844E-14</v>
      </c>
      <c r="BL7">
        <v>-2.4245362661989844E-14</v>
      </c>
      <c r="BM7" t="s">
        <v>1745</v>
      </c>
      <c r="BN7">
        <v>2023</v>
      </c>
      <c r="BO7" t="s">
        <v>2987</v>
      </c>
      <c r="BP7" s="6">
        <v>45349</v>
      </c>
      <c r="BQ7">
        <v>5</v>
      </c>
      <c r="BR7">
        <v>-2.4245362661989844E-14</v>
      </c>
      <c r="BS7">
        <v>12937242</v>
      </c>
      <c r="BT7" t="s">
        <v>2988</v>
      </c>
      <c r="BW7" t="s">
        <v>1833</v>
      </c>
      <c r="BX7">
        <v>2.6295519999999999</v>
      </c>
      <c r="BY7" t="s">
        <v>1786</v>
      </c>
      <c r="BZ7">
        <v>0.52319899999999997</v>
      </c>
      <c r="CA7" t="s">
        <v>1742</v>
      </c>
      <c r="CB7">
        <v>2025</v>
      </c>
      <c r="CC7" t="s">
        <v>5705</v>
      </c>
      <c r="CD7" s="6">
        <v>45999</v>
      </c>
      <c r="CE7">
        <v>5</v>
      </c>
      <c r="CF7">
        <v>114137128</v>
      </c>
      <c r="CG7">
        <v>112370</v>
      </c>
      <c r="CH7" t="s">
        <v>1835</v>
      </c>
      <c r="CM7" t="s">
        <v>5633</v>
      </c>
      <c r="CO7">
        <v>-2.4245362661989844E-14</v>
      </c>
      <c r="CP7">
        <v>-2.4245362661989844E-14</v>
      </c>
      <c r="CQ7" t="s">
        <v>1745</v>
      </c>
      <c r="CR7">
        <v>2024</v>
      </c>
      <c r="CS7" t="s">
        <v>5629</v>
      </c>
      <c r="CT7" s="6">
        <v>45716</v>
      </c>
      <c r="CU7">
        <v>5</v>
      </c>
      <c r="CV7">
        <v>-2.4245362661989844E-14</v>
      </c>
      <c r="CW7">
        <v>12205137</v>
      </c>
      <c r="CX7" t="s">
        <v>5634</v>
      </c>
      <c r="DQ7" t="s">
        <v>1885</v>
      </c>
      <c r="DR7" t="s">
        <v>1786</v>
      </c>
      <c r="DS7">
        <v>0.167933</v>
      </c>
      <c r="DT7">
        <v>4.0156150000000004</v>
      </c>
      <c r="DU7" t="s">
        <v>1809</v>
      </c>
      <c r="DV7">
        <v>2025</v>
      </c>
      <c r="DW7" t="s">
        <v>2035</v>
      </c>
      <c r="DX7" s="6">
        <v>45797</v>
      </c>
      <c r="DY7">
        <v>5</v>
      </c>
      <c r="DZ7">
        <v>261416544</v>
      </c>
      <c r="EA7">
        <v>216952</v>
      </c>
      <c r="EB7" t="s">
        <v>1886</v>
      </c>
      <c r="EE7" t="s">
        <v>1789</v>
      </c>
      <c r="EF7">
        <v>3.1054590000000002</v>
      </c>
      <c r="EG7" t="s">
        <v>1786</v>
      </c>
      <c r="EH7">
        <v>1.2857479999999999</v>
      </c>
      <c r="EI7" t="s">
        <v>1809</v>
      </c>
      <c r="EJ7">
        <v>2025</v>
      </c>
      <c r="EK7" t="s">
        <v>2035</v>
      </c>
      <c r="EL7" s="6">
        <v>45797</v>
      </c>
      <c r="EM7">
        <v>5</v>
      </c>
      <c r="EN7">
        <v>451564800</v>
      </c>
      <c r="EO7">
        <v>117929</v>
      </c>
      <c r="EP7" t="s">
        <v>1791</v>
      </c>
      <c r="EU7" t="s">
        <v>1699</v>
      </c>
      <c r="EV7" t="s">
        <v>1786</v>
      </c>
      <c r="EW7">
        <v>1.3419449999999999</v>
      </c>
      <c r="EX7">
        <v>2.7987500000000001</v>
      </c>
      <c r="EY7" t="s">
        <v>1845</v>
      </c>
      <c r="EZ7">
        <v>2025</v>
      </c>
      <c r="FA7" t="s">
        <v>2798</v>
      </c>
      <c r="FB7" s="6">
        <v>46077</v>
      </c>
      <c r="FC7">
        <v>5</v>
      </c>
      <c r="FD7">
        <v>223004416</v>
      </c>
      <c r="FE7">
        <v>28046509</v>
      </c>
      <c r="FF7" t="s">
        <v>2799</v>
      </c>
      <c r="FI7" t="s">
        <v>236</v>
      </c>
      <c r="FJ7">
        <v>12.373919000000001</v>
      </c>
      <c r="FK7" t="s">
        <v>1786</v>
      </c>
      <c r="FL7">
        <v>4.81257</v>
      </c>
      <c r="FM7" t="s">
        <v>1742</v>
      </c>
      <c r="FN7">
        <v>2025</v>
      </c>
      <c r="FO7" t="s">
        <v>2501</v>
      </c>
      <c r="FP7" s="6">
        <v>46018</v>
      </c>
      <c r="FQ7">
        <v>5</v>
      </c>
      <c r="FR7">
        <v>2968874496</v>
      </c>
      <c r="FS7">
        <v>102782</v>
      </c>
      <c r="FT7" t="s">
        <v>2149</v>
      </c>
      <c r="FY7" t="s">
        <v>3628</v>
      </c>
      <c r="GA7">
        <v>-2.4245362661989844E-14</v>
      </c>
      <c r="GB7">
        <v>-2.4245362661989844E-14</v>
      </c>
      <c r="GC7" t="s">
        <v>1745</v>
      </c>
      <c r="GD7">
        <v>2022</v>
      </c>
      <c r="GE7" t="s">
        <v>4536</v>
      </c>
      <c r="GF7" s="6">
        <v>44980</v>
      </c>
      <c r="GG7">
        <v>5</v>
      </c>
      <c r="GH7">
        <v>-2.4245362661989844E-14</v>
      </c>
      <c r="GI7">
        <v>69792617</v>
      </c>
      <c r="GJ7" t="s">
        <v>3629</v>
      </c>
      <c r="GM7" t="s">
        <v>3628</v>
      </c>
      <c r="GN7">
        <v>-2.4245362661989844E-14</v>
      </c>
      <c r="GP7">
        <v>-2.4245362661989844E-14</v>
      </c>
      <c r="GQ7" t="s">
        <v>1745</v>
      </c>
      <c r="GR7">
        <v>2023</v>
      </c>
      <c r="GS7" t="s">
        <v>4789</v>
      </c>
      <c r="GT7" s="6">
        <v>45344</v>
      </c>
      <c r="GU7">
        <v>5</v>
      </c>
      <c r="GV7">
        <v>-2.4245362661989844E-14</v>
      </c>
      <c r="GW7">
        <v>69792617</v>
      </c>
      <c r="GX7" t="s">
        <v>3629</v>
      </c>
      <c r="IG7" t="s">
        <v>2671</v>
      </c>
      <c r="II7">
        <v>-2.4245362661989844E-14</v>
      </c>
      <c r="IJ7">
        <v>-2.4245362661989844E-14</v>
      </c>
      <c r="IK7" t="s">
        <v>1809</v>
      </c>
      <c r="IL7">
        <v>2023</v>
      </c>
      <c r="IM7" t="s">
        <v>6425</v>
      </c>
      <c r="IN7" s="6">
        <v>44706</v>
      </c>
      <c r="IO7">
        <v>4</v>
      </c>
      <c r="IP7">
        <v>-2.4245362661989844E-14</v>
      </c>
      <c r="IQ7">
        <v>100487</v>
      </c>
      <c r="IR7" t="s">
        <v>2673</v>
      </c>
      <c r="JK7" t="s">
        <v>2386</v>
      </c>
      <c r="JL7" t="s">
        <v>1786</v>
      </c>
      <c r="JM7">
        <v>0.56451700000000005</v>
      </c>
      <c r="JN7">
        <v>0.57008199999999998</v>
      </c>
      <c r="JO7" t="s">
        <v>1742</v>
      </c>
      <c r="JP7">
        <v>2025</v>
      </c>
      <c r="JQ7" t="s">
        <v>2387</v>
      </c>
      <c r="JR7" s="6">
        <v>45763</v>
      </c>
      <c r="JS7">
        <v>5</v>
      </c>
      <c r="JT7">
        <v>37009736</v>
      </c>
      <c r="JU7">
        <v>136547</v>
      </c>
      <c r="JV7" t="s">
        <v>2388</v>
      </c>
      <c r="JY7" t="s">
        <v>6246</v>
      </c>
      <c r="JZ7">
        <v>8.6300000000000005E-4</v>
      </c>
      <c r="KA7" t="s">
        <v>1786</v>
      </c>
      <c r="KB7">
        <v>0.46444600000000003</v>
      </c>
      <c r="KC7" t="s">
        <v>1745</v>
      </c>
      <c r="KD7">
        <v>2024</v>
      </c>
      <c r="KE7" t="s">
        <v>6247</v>
      </c>
      <c r="KF7" s="6">
        <v>45730</v>
      </c>
      <c r="KG7">
        <v>5</v>
      </c>
      <c r="KH7">
        <v>92615.79</v>
      </c>
      <c r="KI7">
        <v>7369845</v>
      </c>
      <c r="KJ7" t="s">
        <v>6248</v>
      </c>
      <c r="KO7" t="s">
        <v>3070</v>
      </c>
      <c r="KP7" t="s">
        <v>1786</v>
      </c>
      <c r="KQ7">
        <v>0.11007599999999999</v>
      </c>
      <c r="KR7">
        <v>0.50764399999999998</v>
      </c>
      <c r="KS7" t="s">
        <v>1762</v>
      </c>
      <c r="KT7">
        <v>2026</v>
      </c>
      <c r="KU7" t="s">
        <v>3071</v>
      </c>
      <c r="KV7" s="6">
        <v>45999</v>
      </c>
      <c r="KW7">
        <v>5</v>
      </c>
      <c r="KX7">
        <v>4898794.78</v>
      </c>
      <c r="KY7">
        <v>114713</v>
      </c>
      <c r="KZ7" t="s">
        <v>3072</v>
      </c>
      <c r="LC7" t="s">
        <v>840</v>
      </c>
      <c r="LD7">
        <v>6.7787360000000003</v>
      </c>
      <c r="LE7" t="s">
        <v>1786</v>
      </c>
      <c r="LF7">
        <v>1.98163</v>
      </c>
      <c r="LG7" t="s">
        <v>1762</v>
      </c>
      <c r="LH7">
        <v>2025</v>
      </c>
      <c r="LI7" t="s">
        <v>5976</v>
      </c>
      <c r="LJ7" s="6">
        <v>45943</v>
      </c>
      <c r="LK7">
        <v>5</v>
      </c>
      <c r="LL7">
        <v>99559296</v>
      </c>
      <c r="LM7">
        <v>100142</v>
      </c>
      <c r="LN7" t="s">
        <v>2200</v>
      </c>
      <c r="MW7" t="s">
        <v>4156</v>
      </c>
      <c r="MX7" t="s">
        <v>1786</v>
      </c>
      <c r="MY7">
        <v>0.54199799999999998</v>
      </c>
      <c r="MZ7">
        <v>0.58194000000000001</v>
      </c>
      <c r="NA7" t="s">
        <v>1762</v>
      </c>
      <c r="NB7">
        <v>2026</v>
      </c>
      <c r="NC7" t="s">
        <v>4157</v>
      </c>
      <c r="ND7" s="6">
        <v>46071</v>
      </c>
      <c r="NE7">
        <v>5</v>
      </c>
      <c r="NF7">
        <v>29533472</v>
      </c>
      <c r="NG7">
        <v>61417091</v>
      </c>
      <c r="NH7" t="s">
        <v>4158</v>
      </c>
      <c r="NK7" t="s">
        <v>4953</v>
      </c>
      <c r="NL7">
        <v>4.6823999999999998E-2</v>
      </c>
      <c r="NM7" t="s">
        <v>1786</v>
      </c>
      <c r="NN7">
        <v>12.031086999999999</v>
      </c>
      <c r="NO7" t="s">
        <v>1745</v>
      </c>
      <c r="NP7">
        <v>2024</v>
      </c>
      <c r="NQ7" t="s">
        <v>4954</v>
      </c>
      <c r="NR7" s="6">
        <v>45785</v>
      </c>
      <c r="NS7">
        <v>5</v>
      </c>
      <c r="NT7">
        <v>5010938.38</v>
      </c>
      <c r="NU7">
        <v>33604341</v>
      </c>
      <c r="NV7" t="s">
        <v>4955</v>
      </c>
      <c r="PE7" t="s">
        <v>4847</v>
      </c>
      <c r="PF7" t="s">
        <v>1786</v>
      </c>
      <c r="PG7">
        <v>9.7725999999999993E-2</v>
      </c>
      <c r="PH7">
        <v>0.30792799999999998</v>
      </c>
      <c r="PI7" t="s">
        <v>1742</v>
      </c>
      <c r="PJ7">
        <v>2024</v>
      </c>
      <c r="PK7" t="s">
        <v>4848</v>
      </c>
      <c r="PL7" s="6">
        <v>45698</v>
      </c>
      <c r="PM7">
        <v>5</v>
      </c>
      <c r="PN7">
        <v>1678401.7</v>
      </c>
      <c r="PO7">
        <v>8727950</v>
      </c>
      <c r="PP7" t="s">
        <v>4849</v>
      </c>
      <c r="PS7" t="s">
        <v>2012</v>
      </c>
      <c r="PT7">
        <v>8.8646000000000003E-2</v>
      </c>
      <c r="PU7" t="s">
        <v>1786</v>
      </c>
      <c r="PV7">
        <v>9.0456999999999996E-2</v>
      </c>
      <c r="PW7" t="s">
        <v>1742</v>
      </c>
      <c r="PX7">
        <v>2025</v>
      </c>
      <c r="PY7" t="s">
        <v>2013</v>
      </c>
      <c r="PZ7" s="6">
        <v>45840</v>
      </c>
      <c r="QA7">
        <v>5</v>
      </c>
      <c r="QB7">
        <v>546944</v>
      </c>
      <c r="QC7">
        <v>136424</v>
      </c>
      <c r="QD7" t="s">
        <v>2014</v>
      </c>
      <c r="QI7" t="s">
        <v>3214</v>
      </c>
      <c r="QJ7" t="s">
        <v>1786</v>
      </c>
      <c r="QK7">
        <v>5.0720000000000001E-3</v>
      </c>
      <c r="QL7">
        <v>2.5999999999999999E-3</v>
      </c>
      <c r="QM7" t="s">
        <v>1742</v>
      </c>
      <c r="QN7">
        <v>2025</v>
      </c>
      <c r="QO7" t="s">
        <v>3215</v>
      </c>
      <c r="QP7" s="6">
        <v>45993</v>
      </c>
      <c r="QQ7">
        <v>5</v>
      </c>
      <c r="QR7">
        <v>181933</v>
      </c>
      <c r="QS7">
        <v>100415</v>
      </c>
      <c r="QT7" t="s">
        <v>3216</v>
      </c>
      <c r="QW7" t="s">
        <v>5553</v>
      </c>
      <c r="QX7">
        <v>-2.4245362661989844E-14</v>
      </c>
      <c r="QZ7">
        <v>-2.4245362661989844E-14</v>
      </c>
      <c r="RA7" t="s">
        <v>1745</v>
      </c>
      <c r="RB7">
        <v>2025</v>
      </c>
      <c r="RC7" t="s">
        <v>5549</v>
      </c>
      <c r="RD7" s="6">
        <v>46065</v>
      </c>
      <c r="RE7">
        <v>3</v>
      </c>
      <c r="RF7">
        <v>-2.4245362661989844E-14</v>
      </c>
      <c r="RG7">
        <v>31824996</v>
      </c>
      <c r="RH7" t="s">
        <v>5554</v>
      </c>
      <c r="RM7" t="s">
        <v>1677</v>
      </c>
      <c r="RN7" t="s">
        <v>1820</v>
      </c>
      <c r="RO7">
        <v>0.52299499999999999</v>
      </c>
      <c r="RP7">
        <v>1.0624229999999999</v>
      </c>
      <c r="RQ7" t="s">
        <v>1762</v>
      </c>
      <c r="RR7">
        <v>2025</v>
      </c>
      <c r="RS7" t="s">
        <v>2465</v>
      </c>
      <c r="RT7" s="6">
        <v>45912</v>
      </c>
      <c r="RU7">
        <v>5</v>
      </c>
      <c r="RV7">
        <v>7776936</v>
      </c>
      <c r="RW7">
        <v>101455</v>
      </c>
      <c r="RX7" t="s">
        <v>3269</v>
      </c>
      <c r="SQ7" t="s">
        <v>5338</v>
      </c>
      <c r="SS7">
        <v>-2.4245362661989844E-14</v>
      </c>
      <c r="ST7">
        <v>-2.4245362661989844E-14</v>
      </c>
      <c r="SU7" t="s">
        <v>1845</v>
      </c>
      <c r="SV7">
        <v>2023</v>
      </c>
      <c r="SW7" t="s">
        <v>5334</v>
      </c>
      <c r="SX7" s="6">
        <v>45270</v>
      </c>
      <c r="SY7">
        <v>5</v>
      </c>
      <c r="SZ7">
        <v>-2.4245362661989844E-14</v>
      </c>
      <c r="TA7">
        <v>20075465</v>
      </c>
      <c r="TB7" t="s">
        <v>5339</v>
      </c>
      <c r="TE7" t="s">
        <v>5195</v>
      </c>
      <c r="TF7">
        <v>-2.4245362661989844E-14</v>
      </c>
      <c r="TH7">
        <v>-2.4245362661989844E-14</v>
      </c>
      <c r="TI7" t="s">
        <v>1745</v>
      </c>
      <c r="TJ7">
        <v>2022</v>
      </c>
      <c r="TK7" t="s">
        <v>5190</v>
      </c>
      <c r="TL7" s="6">
        <v>45012</v>
      </c>
      <c r="TM7">
        <v>5</v>
      </c>
      <c r="TN7">
        <v>-2.4245362661989844E-14</v>
      </c>
      <c r="TO7">
        <v>28658963</v>
      </c>
      <c r="TP7" t="s">
        <v>5196</v>
      </c>
      <c r="TU7" t="s">
        <v>3029</v>
      </c>
      <c r="TW7">
        <v>-2.4245362661989844E-14</v>
      </c>
      <c r="TX7">
        <v>-2.4245362661989844E-14</v>
      </c>
      <c r="TY7" t="s">
        <v>1845</v>
      </c>
      <c r="TZ7">
        <v>2023</v>
      </c>
      <c r="UA7" t="s">
        <v>3030</v>
      </c>
      <c r="UB7" s="6">
        <v>45329</v>
      </c>
      <c r="UC7">
        <v>5</v>
      </c>
      <c r="UD7">
        <v>-2.4245362661989844E-14</v>
      </c>
      <c r="UE7">
        <v>11213545</v>
      </c>
      <c r="UF7" t="s">
        <v>3031</v>
      </c>
    </row>
    <row r="8" spans="1:600" x14ac:dyDescent="0.25">
      <c r="A8" t="s">
        <v>4081</v>
      </c>
      <c r="B8" t="s">
        <v>1769</v>
      </c>
      <c r="C8">
        <v>4.256977</v>
      </c>
      <c r="D8">
        <v>4.9215000000000002E-2</v>
      </c>
      <c r="E8" t="s">
        <v>1745</v>
      </c>
      <c r="F8">
        <v>2025</v>
      </c>
      <c r="G8" t="s">
        <v>4082</v>
      </c>
      <c r="H8" s="6">
        <v>46063</v>
      </c>
      <c r="I8">
        <v>5</v>
      </c>
      <c r="J8">
        <v>8579000</v>
      </c>
      <c r="K8">
        <v>143096</v>
      </c>
      <c r="L8" t="s">
        <v>4083</v>
      </c>
      <c r="O8" t="s">
        <v>3702</v>
      </c>
      <c r="P8">
        <v>-2.4245362661989844E-14</v>
      </c>
      <c r="R8">
        <v>-2.4245362661989844E-14</v>
      </c>
      <c r="S8" t="s">
        <v>1745</v>
      </c>
      <c r="T8">
        <v>2023</v>
      </c>
      <c r="U8" t="s">
        <v>3703</v>
      </c>
      <c r="V8" s="6">
        <v>45008</v>
      </c>
      <c r="W8">
        <v>4</v>
      </c>
      <c r="X8">
        <v>-2.4245362661989844E-14</v>
      </c>
      <c r="Y8">
        <v>11889410</v>
      </c>
      <c r="Z8" t="s">
        <v>3704</v>
      </c>
      <c r="BI8" t="s">
        <v>2280</v>
      </c>
      <c r="BK8">
        <v>-2.4245362661989844E-14</v>
      </c>
      <c r="BL8">
        <v>-2.4245362661989844E-14</v>
      </c>
      <c r="BM8" t="s">
        <v>1745</v>
      </c>
      <c r="BN8">
        <v>2021</v>
      </c>
      <c r="BO8" t="s">
        <v>2281</v>
      </c>
      <c r="BP8" s="6">
        <v>44693</v>
      </c>
      <c r="BQ8">
        <v>5</v>
      </c>
      <c r="BR8">
        <v>-2.4245362661989844E-14</v>
      </c>
      <c r="BS8">
        <v>313098</v>
      </c>
      <c r="BT8" t="s">
        <v>2282</v>
      </c>
      <c r="BW8" t="s">
        <v>5706</v>
      </c>
      <c r="BX8">
        <v>2.342203</v>
      </c>
      <c r="BY8" t="s">
        <v>1786</v>
      </c>
      <c r="BZ8">
        <v>0.88434800000000002</v>
      </c>
      <c r="CA8" t="s">
        <v>1742</v>
      </c>
      <c r="CB8">
        <v>2025</v>
      </c>
      <c r="CC8" t="s">
        <v>5705</v>
      </c>
      <c r="CD8" s="6">
        <v>45999</v>
      </c>
      <c r="CE8">
        <v>5</v>
      </c>
      <c r="CF8">
        <v>101664592</v>
      </c>
      <c r="CG8">
        <v>143036</v>
      </c>
      <c r="CH8" t="s">
        <v>5707</v>
      </c>
      <c r="CM8" t="s">
        <v>5635</v>
      </c>
      <c r="CO8">
        <v>-2.4245362661989844E-14</v>
      </c>
      <c r="CP8">
        <v>-2.4245362661989844E-14</v>
      </c>
      <c r="CQ8" t="s">
        <v>1745</v>
      </c>
      <c r="CR8">
        <v>2024</v>
      </c>
      <c r="CS8" t="s">
        <v>5629</v>
      </c>
      <c r="CT8" s="6">
        <v>45716</v>
      </c>
      <c r="CU8">
        <v>5</v>
      </c>
      <c r="CV8">
        <v>-2.4245362661989844E-14</v>
      </c>
      <c r="CW8">
        <v>186347</v>
      </c>
      <c r="CX8" t="s">
        <v>5636</v>
      </c>
      <c r="DQ8" t="s">
        <v>357</v>
      </c>
      <c r="DR8" t="s">
        <v>1786</v>
      </c>
      <c r="DS8">
        <v>0.893262</v>
      </c>
      <c r="DT8">
        <v>1.9939499999999999</v>
      </c>
      <c r="DU8" t="s">
        <v>1809</v>
      </c>
      <c r="DV8">
        <v>2025</v>
      </c>
      <c r="DW8" t="s">
        <v>2035</v>
      </c>
      <c r="DX8" s="6">
        <v>45797</v>
      </c>
      <c r="DY8">
        <v>5</v>
      </c>
      <c r="DZ8">
        <v>129806144</v>
      </c>
      <c r="EA8">
        <v>1499717</v>
      </c>
      <c r="EB8" t="s">
        <v>1864</v>
      </c>
      <c r="EE8" t="s">
        <v>1814</v>
      </c>
      <c r="EF8">
        <v>0.94301500000000005</v>
      </c>
      <c r="EG8" t="s">
        <v>1786</v>
      </c>
      <c r="EH8">
        <v>2.2702520000000002</v>
      </c>
      <c r="EI8" t="s">
        <v>1809</v>
      </c>
      <c r="EJ8">
        <v>2025</v>
      </c>
      <c r="EK8" t="s">
        <v>1815</v>
      </c>
      <c r="EL8" s="6">
        <v>45784</v>
      </c>
      <c r="EM8">
        <v>5</v>
      </c>
      <c r="EN8">
        <v>137123792</v>
      </c>
      <c r="EO8">
        <v>100115</v>
      </c>
      <c r="EP8" t="s">
        <v>1816</v>
      </c>
      <c r="EU8" t="s">
        <v>804</v>
      </c>
      <c r="EV8" t="s">
        <v>1786</v>
      </c>
      <c r="EW8">
        <v>49.056618</v>
      </c>
      <c r="EX8">
        <v>2.3797060000000001</v>
      </c>
      <c r="EY8" t="s">
        <v>1742</v>
      </c>
      <c r="EZ8">
        <v>2025</v>
      </c>
      <c r="FA8" t="s">
        <v>2800</v>
      </c>
      <c r="FB8" s="6">
        <v>46050</v>
      </c>
      <c r="FC8">
        <v>5</v>
      </c>
      <c r="FD8">
        <v>173789936</v>
      </c>
      <c r="FE8">
        <v>1753841</v>
      </c>
      <c r="FF8" t="s">
        <v>2801</v>
      </c>
      <c r="FI8" t="s">
        <v>2502</v>
      </c>
      <c r="FJ8">
        <v>2.966253</v>
      </c>
      <c r="FK8" t="s">
        <v>1786</v>
      </c>
      <c r="FL8">
        <v>1.12304</v>
      </c>
      <c r="FM8" t="s">
        <v>1742</v>
      </c>
      <c r="FN8">
        <v>2025</v>
      </c>
      <c r="FO8" t="s">
        <v>2501</v>
      </c>
      <c r="FP8" s="6">
        <v>46018</v>
      </c>
      <c r="FQ8">
        <v>5</v>
      </c>
      <c r="FR8">
        <v>711693056</v>
      </c>
      <c r="FS8">
        <v>60401289</v>
      </c>
      <c r="FT8" t="s">
        <v>2503</v>
      </c>
      <c r="FY8" t="s">
        <v>4538</v>
      </c>
      <c r="GA8">
        <v>-2.4245362661989844E-14</v>
      </c>
      <c r="GB8">
        <v>-2.4245362661989844E-14</v>
      </c>
      <c r="GC8" t="s">
        <v>1745</v>
      </c>
      <c r="GD8">
        <v>2022</v>
      </c>
      <c r="GE8" t="s">
        <v>4539</v>
      </c>
      <c r="GF8" s="6">
        <v>44985</v>
      </c>
      <c r="GG8">
        <v>5</v>
      </c>
      <c r="GH8">
        <v>-2.4245362661989844E-14</v>
      </c>
      <c r="GI8">
        <v>8746371</v>
      </c>
      <c r="GJ8" t="s">
        <v>4540</v>
      </c>
      <c r="GM8" t="s">
        <v>1708</v>
      </c>
      <c r="GN8">
        <v>-2.4245362661989844E-14</v>
      </c>
      <c r="GP8">
        <v>-2.4245362661989844E-14</v>
      </c>
      <c r="GQ8" t="s">
        <v>1745</v>
      </c>
      <c r="GR8">
        <v>2022</v>
      </c>
      <c r="GS8" t="s">
        <v>4536</v>
      </c>
      <c r="GT8" s="6">
        <v>44980</v>
      </c>
      <c r="GU8">
        <v>5</v>
      </c>
      <c r="GV8">
        <v>-2.4245362661989844E-14</v>
      </c>
      <c r="GW8">
        <v>101581</v>
      </c>
      <c r="GX8" t="s">
        <v>4790</v>
      </c>
      <c r="IG8" t="s">
        <v>6426</v>
      </c>
      <c r="II8">
        <v>-2.4245362661989844E-14</v>
      </c>
      <c r="IJ8">
        <v>-2.4245362661989844E-14</v>
      </c>
      <c r="IK8" t="s">
        <v>1745</v>
      </c>
      <c r="IL8">
        <v>2022</v>
      </c>
      <c r="IM8" t="s">
        <v>6427</v>
      </c>
      <c r="IN8" s="6">
        <v>44659</v>
      </c>
      <c r="IO8">
        <v>4</v>
      </c>
      <c r="IP8">
        <v>-2.4245362661989844E-14</v>
      </c>
      <c r="IQ8">
        <v>194621</v>
      </c>
      <c r="IR8" t="s">
        <v>6428</v>
      </c>
      <c r="JK8" t="s">
        <v>2795</v>
      </c>
      <c r="JL8" t="s">
        <v>1786</v>
      </c>
      <c r="JM8">
        <v>0.30367300000000003</v>
      </c>
      <c r="JN8">
        <v>0.37271100000000001</v>
      </c>
      <c r="JO8" t="s">
        <v>1742</v>
      </c>
      <c r="JP8">
        <v>2025</v>
      </c>
      <c r="JQ8" t="s">
        <v>2796</v>
      </c>
      <c r="JR8" s="6">
        <v>45867</v>
      </c>
      <c r="JS8">
        <v>5</v>
      </c>
      <c r="JT8">
        <v>23771522</v>
      </c>
      <c r="JU8">
        <v>117092</v>
      </c>
      <c r="JV8" t="s">
        <v>2797</v>
      </c>
      <c r="JY8" t="s">
        <v>6249</v>
      </c>
      <c r="JZ8">
        <v>-2.4245362661989844E-14</v>
      </c>
      <c r="KB8">
        <v>-2.4245362661989844E-14</v>
      </c>
      <c r="KC8" t="s">
        <v>1798</v>
      </c>
      <c r="KD8">
        <v>2025</v>
      </c>
      <c r="KE8" t="s">
        <v>6250</v>
      </c>
      <c r="KF8" s="6">
        <v>45975</v>
      </c>
      <c r="KG8">
        <v>5</v>
      </c>
      <c r="KH8">
        <v>-2.4245362661989844E-14</v>
      </c>
      <c r="KI8">
        <v>1459457</v>
      </c>
      <c r="KJ8" t="s">
        <v>6251</v>
      </c>
      <c r="KO8" t="s">
        <v>3073</v>
      </c>
      <c r="KP8" t="s">
        <v>1786</v>
      </c>
      <c r="KQ8">
        <v>0.88656199999999996</v>
      </c>
      <c r="KR8">
        <v>0.361396</v>
      </c>
      <c r="KS8" t="s">
        <v>1845</v>
      </c>
      <c r="KT8">
        <v>2024</v>
      </c>
      <c r="KU8" t="s">
        <v>3074</v>
      </c>
      <c r="KV8" s="6">
        <v>45729</v>
      </c>
      <c r="KW8">
        <v>5</v>
      </c>
      <c r="KX8">
        <v>3413042.89</v>
      </c>
      <c r="KY8">
        <v>880428</v>
      </c>
      <c r="KZ8" t="s">
        <v>3075</v>
      </c>
      <c r="LC8" t="s">
        <v>3241</v>
      </c>
      <c r="LD8">
        <v>4.3691420000000001</v>
      </c>
      <c r="LE8" t="s">
        <v>1786</v>
      </c>
      <c r="LF8">
        <v>0.22909099999999999</v>
      </c>
      <c r="LG8" t="s">
        <v>1762</v>
      </c>
      <c r="LH8">
        <v>2025</v>
      </c>
      <c r="LI8" t="s">
        <v>5976</v>
      </c>
      <c r="LJ8" s="6">
        <v>45943</v>
      </c>
      <c r="LK8">
        <v>5</v>
      </c>
      <c r="LL8">
        <v>64169588</v>
      </c>
      <c r="LM8">
        <v>117621</v>
      </c>
      <c r="LN8" t="s">
        <v>3242</v>
      </c>
      <c r="MW8" t="s">
        <v>2817</v>
      </c>
      <c r="MX8" t="s">
        <v>1786</v>
      </c>
      <c r="MY8">
        <v>0.634911</v>
      </c>
      <c r="MZ8">
        <v>0.46775099999999997</v>
      </c>
      <c r="NA8" t="s">
        <v>1845</v>
      </c>
      <c r="NB8">
        <v>2025</v>
      </c>
      <c r="NC8" t="s">
        <v>2818</v>
      </c>
      <c r="ND8" s="6">
        <v>46072</v>
      </c>
      <c r="NE8">
        <v>5</v>
      </c>
      <c r="NF8">
        <v>23653411.170000002</v>
      </c>
      <c r="NG8">
        <v>70579391</v>
      </c>
      <c r="NH8" t="s">
        <v>2819</v>
      </c>
      <c r="NK8" t="s">
        <v>4956</v>
      </c>
      <c r="NL8">
        <v>1.312E-2</v>
      </c>
      <c r="NM8" t="s">
        <v>1786</v>
      </c>
      <c r="NN8">
        <v>1.7301280000000001</v>
      </c>
      <c r="NO8" t="s">
        <v>1798</v>
      </c>
      <c r="NP8">
        <v>2025</v>
      </c>
      <c r="NQ8" t="s">
        <v>4957</v>
      </c>
      <c r="NR8" s="6">
        <v>45975</v>
      </c>
      <c r="NS8">
        <v>5</v>
      </c>
      <c r="NT8">
        <v>1435299.06</v>
      </c>
      <c r="NU8">
        <v>12025725</v>
      </c>
      <c r="NV8" t="s">
        <v>4958</v>
      </c>
      <c r="PE8" t="s">
        <v>4850</v>
      </c>
      <c r="PF8" t="s">
        <v>1786</v>
      </c>
      <c r="PG8">
        <v>5.2581000000000003E-2</v>
      </c>
      <c r="PH8">
        <v>6.9420999999999997E-2</v>
      </c>
      <c r="PI8" t="s">
        <v>1762</v>
      </c>
      <c r="PJ8">
        <v>2025</v>
      </c>
      <c r="PK8" t="s">
        <v>4851</v>
      </c>
      <c r="PL8" s="6">
        <v>45833</v>
      </c>
      <c r="PM8">
        <v>5</v>
      </c>
      <c r="PN8">
        <v>334608</v>
      </c>
      <c r="PO8">
        <v>106173</v>
      </c>
      <c r="PP8" t="s">
        <v>4852</v>
      </c>
      <c r="PS8" t="s">
        <v>1870</v>
      </c>
      <c r="PT8">
        <v>5.5046999999999999E-2</v>
      </c>
      <c r="PU8" t="s">
        <v>1786</v>
      </c>
      <c r="PV8">
        <v>8.3309999999999999E-3</v>
      </c>
      <c r="PW8" t="s">
        <v>1809</v>
      </c>
      <c r="PX8">
        <v>2025</v>
      </c>
      <c r="PY8" t="s">
        <v>1871</v>
      </c>
      <c r="PZ8" s="6">
        <v>45820</v>
      </c>
      <c r="QA8">
        <v>5</v>
      </c>
      <c r="QB8">
        <v>339638</v>
      </c>
      <c r="QC8">
        <v>12129192</v>
      </c>
      <c r="QD8" t="s">
        <v>1872</v>
      </c>
      <c r="QI8" t="s">
        <v>5678</v>
      </c>
      <c r="QK8">
        <v>-2.4245362661989844E-14</v>
      </c>
      <c r="QL8">
        <v>-2.4245362661989844E-14</v>
      </c>
      <c r="QM8" t="s">
        <v>1745</v>
      </c>
      <c r="QN8">
        <v>2024</v>
      </c>
      <c r="QO8" t="s">
        <v>5679</v>
      </c>
      <c r="QP8" s="6">
        <v>45701</v>
      </c>
      <c r="QQ8">
        <v>5</v>
      </c>
      <c r="QR8">
        <v>-2.4245362661989844E-14</v>
      </c>
      <c r="QS8">
        <v>943608</v>
      </c>
      <c r="QT8" t="s">
        <v>5680</v>
      </c>
      <c r="RM8" t="s">
        <v>5404</v>
      </c>
      <c r="RN8" t="s">
        <v>1786</v>
      </c>
      <c r="RO8">
        <v>2.5385999999999999E-2</v>
      </c>
      <c r="RP8">
        <v>1.3454000000000001E-2</v>
      </c>
      <c r="RQ8" t="s">
        <v>1845</v>
      </c>
      <c r="RR8">
        <v>2024</v>
      </c>
      <c r="RS8" t="s">
        <v>5405</v>
      </c>
      <c r="RT8" s="6">
        <v>45730</v>
      </c>
      <c r="RU8">
        <v>5</v>
      </c>
      <c r="RV8">
        <v>478529.29</v>
      </c>
      <c r="RW8">
        <v>239787</v>
      </c>
      <c r="RX8" t="s">
        <v>5406</v>
      </c>
      <c r="SQ8" t="s">
        <v>5340</v>
      </c>
      <c r="SS8">
        <v>-2.4245362661989844E-14</v>
      </c>
      <c r="ST8">
        <v>-2.4245362661989844E-14</v>
      </c>
      <c r="SU8" t="s">
        <v>1845</v>
      </c>
      <c r="SV8">
        <v>2023</v>
      </c>
      <c r="SW8" t="s">
        <v>5334</v>
      </c>
      <c r="SX8" s="6">
        <v>45270</v>
      </c>
      <c r="SY8">
        <v>5</v>
      </c>
      <c r="SZ8">
        <v>-2.4245362661989844E-14</v>
      </c>
      <c r="TA8">
        <v>46371183</v>
      </c>
      <c r="TB8" t="s">
        <v>5341</v>
      </c>
      <c r="TE8" t="s">
        <v>5197</v>
      </c>
      <c r="TF8">
        <v>-2.4245362661989844E-14</v>
      </c>
      <c r="TH8">
        <v>-2.4245362661989844E-14</v>
      </c>
      <c r="TI8" t="s">
        <v>1745</v>
      </c>
      <c r="TJ8">
        <v>2022</v>
      </c>
      <c r="TK8" t="s">
        <v>5190</v>
      </c>
      <c r="TL8" s="6">
        <v>45012</v>
      </c>
      <c r="TM8">
        <v>5</v>
      </c>
      <c r="TN8">
        <v>-2.4245362661989844E-14</v>
      </c>
      <c r="TO8">
        <v>20031940</v>
      </c>
      <c r="TP8" t="s">
        <v>5198</v>
      </c>
      <c r="TU8" t="s">
        <v>2989</v>
      </c>
      <c r="TW8">
        <v>-2.4245362661989844E-14</v>
      </c>
      <c r="TX8">
        <v>-2.4245362661989844E-14</v>
      </c>
      <c r="TY8" t="s">
        <v>1742</v>
      </c>
      <c r="TZ8">
        <v>2023</v>
      </c>
      <c r="UA8" t="s">
        <v>3032</v>
      </c>
      <c r="UB8" s="6">
        <v>45231</v>
      </c>
      <c r="UC8">
        <v>5</v>
      </c>
      <c r="UD8">
        <v>-2.4245362661989844E-14</v>
      </c>
      <c r="UE8">
        <v>69762655</v>
      </c>
      <c r="UF8" t="s">
        <v>2991</v>
      </c>
    </row>
    <row r="9" spans="1:600" x14ac:dyDescent="0.25">
      <c r="A9" t="s">
        <v>5789</v>
      </c>
      <c r="C9">
        <v>0.824349</v>
      </c>
      <c r="D9">
        <v>-2.4245362661989844E-14</v>
      </c>
      <c r="E9" t="s">
        <v>1742</v>
      </c>
      <c r="F9">
        <v>2025</v>
      </c>
      <c r="G9" t="s">
        <v>5790</v>
      </c>
      <c r="H9" s="6">
        <v>45996</v>
      </c>
      <c r="I9">
        <v>5</v>
      </c>
      <c r="J9">
        <v>7184285</v>
      </c>
      <c r="K9">
        <v>225275</v>
      </c>
      <c r="L9" t="s">
        <v>5791</v>
      </c>
      <c r="BI9" t="s">
        <v>2283</v>
      </c>
      <c r="BK9">
        <v>-2.4245362661989844E-14</v>
      </c>
      <c r="BL9">
        <v>-2.4245362661989844E-14</v>
      </c>
      <c r="BM9" t="s">
        <v>1745</v>
      </c>
      <c r="BN9">
        <v>2021</v>
      </c>
      <c r="BO9" t="s">
        <v>2284</v>
      </c>
      <c r="BP9" s="6">
        <v>44693</v>
      </c>
      <c r="BQ9">
        <v>5</v>
      </c>
      <c r="BR9">
        <v>-2.4245362661989844E-14</v>
      </c>
      <c r="BS9">
        <v>100060</v>
      </c>
      <c r="BT9" t="s">
        <v>2285</v>
      </c>
      <c r="BW9" t="s">
        <v>2504</v>
      </c>
      <c r="BX9">
        <v>2.170194</v>
      </c>
      <c r="BY9" t="s">
        <v>1786</v>
      </c>
      <c r="BZ9">
        <v>0.47422399999999998</v>
      </c>
      <c r="CA9" t="s">
        <v>1809</v>
      </c>
      <c r="CB9">
        <v>2025</v>
      </c>
      <c r="CC9" t="s">
        <v>5705</v>
      </c>
      <c r="CD9" s="6">
        <v>45812</v>
      </c>
      <c r="CE9">
        <v>5</v>
      </c>
      <c r="CF9">
        <v>94198448</v>
      </c>
      <c r="CG9">
        <v>115268</v>
      </c>
      <c r="CH9" t="s">
        <v>2506</v>
      </c>
      <c r="CM9" t="s">
        <v>5637</v>
      </c>
      <c r="CO9">
        <v>-2.4245362661989844E-14</v>
      </c>
      <c r="CP9">
        <v>-2.4245362661989844E-14</v>
      </c>
      <c r="CQ9" t="s">
        <v>1745</v>
      </c>
      <c r="CR9">
        <v>2024</v>
      </c>
      <c r="CS9" t="s">
        <v>5629</v>
      </c>
      <c r="CT9" s="6">
        <v>45716</v>
      </c>
      <c r="CU9">
        <v>5</v>
      </c>
      <c r="CV9">
        <v>-2.4245362661989844E-14</v>
      </c>
      <c r="CW9">
        <v>1053896</v>
      </c>
      <c r="CX9" t="s">
        <v>5638</v>
      </c>
      <c r="DQ9" t="s">
        <v>2512</v>
      </c>
      <c r="DR9" t="s">
        <v>1786</v>
      </c>
      <c r="DS9">
        <v>0.59890299999999996</v>
      </c>
      <c r="DT9">
        <v>1.729209</v>
      </c>
      <c r="DU9" t="s">
        <v>1809</v>
      </c>
      <c r="DV9">
        <v>2025</v>
      </c>
      <c r="DW9" t="s">
        <v>2035</v>
      </c>
      <c r="DX9" s="6">
        <v>45797</v>
      </c>
      <c r="DY9">
        <v>5</v>
      </c>
      <c r="DZ9">
        <v>112571504</v>
      </c>
      <c r="EA9">
        <v>130929</v>
      </c>
      <c r="EB9" t="s">
        <v>2513</v>
      </c>
      <c r="EE9" t="s">
        <v>167</v>
      </c>
      <c r="EF9">
        <v>0.76780499999999996</v>
      </c>
      <c r="EG9" t="s">
        <v>1786</v>
      </c>
      <c r="EH9">
        <v>2.2920660000000002</v>
      </c>
      <c r="EI9" t="s">
        <v>1809</v>
      </c>
      <c r="EJ9">
        <v>2025</v>
      </c>
      <c r="EK9" t="s">
        <v>2035</v>
      </c>
      <c r="EL9" s="6">
        <v>45797</v>
      </c>
      <c r="EM9">
        <v>5</v>
      </c>
      <c r="EN9">
        <v>111646528</v>
      </c>
      <c r="EO9">
        <v>69423747</v>
      </c>
      <c r="EP9" t="s">
        <v>2036</v>
      </c>
      <c r="EU9" t="s">
        <v>2802</v>
      </c>
      <c r="EV9" t="s">
        <v>1786</v>
      </c>
      <c r="EW9">
        <v>1.017503</v>
      </c>
      <c r="EX9">
        <v>1.621964</v>
      </c>
      <c r="EY9" t="s">
        <v>1762</v>
      </c>
      <c r="EZ9">
        <v>2025</v>
      </c>
      <c r="FA9" t="s">
        <v>2803</v>
      </c>
      <c r="FB9" s="6">
        <v>45929</v>
      </c>
      <c r="FC9">
        <v>5</v>
      </c>
      <c r="FD9">
        <v>123835292.08</v>
      </c>
      <c r="FE9">
        <v>115679</v>
      </c>
      <c r="FF9" t="s">
        <v>2804</v>
      </c>
      <c r="FI9" t="s">
        <v>2504</v>
      </c>
      <c r="FJ9">
        <v>2.108371</v>
      </c>
      <c r="FK9" t="s">
        <v>1786</v>
      </c>
      <c r="FL9">
        <v>2.5571009999999998</v>
      </c>
      <c r="FM9" t="s">
        <v>1762</v>
      </c>
      <c r="FN9">
        <v>2025</v>
      </c>
      <c r="FO9" t="s">
        <v>2505</v>
      </c>
      <c r="FP9" s="6">
        <v>45919</v>
      </c>
      <c r="FQ9">
        <v>5</v>
      </c>
      <c r="FR9">
        <v>501043244.87</v>
      </c>
      <c r="FS9">
        <v>115268</v>
      </c>
      <c r="FT9" t="s">
        <v>2506</v>
      </c>
      <c r="FY9" t="s">
        <v>3543</v>
      </c>
      <c r="GA9">
        <v>-2.4245362661989844E-14</v>
      </c>
      <c r="GB9">
        <v>-2.4245362661989844E-14</v>
      </c>
      <c r="GC9" t="s">
        <v>1745</v>
      </c>
      <c r="GD9">
        <v>2022</v>
      </c>
      <c r="GE9" t="s">
        <v>4536</v>
      </c>
      <c r="GF9" s="6">
        <v>44980</v>
      </c>
      <c r="GG9">
        <v>5</v>
      </c>
      <c r="GH9">
        <v>-2.4245362661989844E-14</v>
      </c>
      <c r="GI9">
        <v>28399721</v>
      </c>
      <c r="GJ9" t="s">
        <v>3545</v>
      </c>
      <c r="GM9" t="s">
        <v>4791</v>
      </c>
      <c r="GN9">
        <v>-2.4245362661989844E-14</v>
      </c>
      <c r="GP9">
        <v>-2.4245362661989844E-14</v>
      </c>
      <c r="GQ9" t="s">
        <v>1745</v>
      </c>
      <c r="GR9">
        <v>2023</v>
      </c>
      <c r="GS9" t="s">
        <v>4792</v>
      </c>
      <c r="GT9" s="6">
        <v>45049</v>
      </c>
      <c r="GU9">
        <v>5</v>
      </c>
      <c r="GV9">
        <v>-2.4245362661989844E-14</v>
      </c>
      <c r="GW9">
        <v>34305270</v>
      </c>
      <c r="GX9" t="s">
        <v>4793</v>
      </c>
      <c r="JK9" t="s">
        <v>536</v>
      </c>
      <c r="JL9" t="s">
        <v>1786</v>
      </c>
      <c r="JM9">
        <v>8.0865999999999993E-2</v>
      </c>
      <c r="JN9">
        <v>0.27508500000000002</v>
      </c>
      <c r="JO9" t="s">
        <v>1809</v>
      </c>
      <c r="JP9">
        <v>2026</v>
      </c>
      <c r="JQ9" t="s">
        <v>5980</v>
      </c>
      <c r="JR9" s="6">
        <v>45980</v>
      </c>
      <c r="JS9">
        <v>5</v>
      </c>
      <c r="JT9">
        <v>17987832</v>
      </c>
      <c r="JU9">
        <v>100554</v>
      </c>
      <c r="JV9" t="s">
        <v>4132</v>
      </c>
      <c r="JY9" t="s">
        <v>6252</v>
      </c>
      <c r="JZ9">
        <v>-2.4245362661989844E-14</v>
      </c>
      <c r="KB9">
        <v>-2.4245362661989844E-14</v>
      </c>
      <c r="KC9" t="s">
        <v>1745</v>
      </c>
      <c r="KD9">
        <v>2024</v>
      </c>
      <c r="KE9" t="s">
        <v>6253</v>
      </c>
      <c r="KF9" s="6">
        <v>45774</v>
      </c>
      <c r="KG9">
        <v>5</v>
      </c>
      <c r="KH9">
        <v>-2.4245362661989844E-14</v>
      </c>
      <c r="KI9">
        <v>9020238</v>
      </c>
      <c r="KJ9" t="s">
        <v>6254</v>
      </c>
      <c r="KO9" t="s">
        <v>3010</v>
      </c>
      <c r="KP9" t="s">
        <v>1820</v>
      </c>
      <c r="KQ9">
        <v>0.10218000000000001</v>
      </c>
      <c r="KR9">
        <v>4.8755769999999998</v>
      </c>
      <c r="KS9" t="s">
        <v>1762</v>
      </c>
      <c r="KT9">
        <v>2026</v>
      </c>
      <c r="KU9" t="s">
        <v>3011</v>
      </c>
      <c r="KV9" s="6">
        <v>46063</v>
      </c>
      <c r="KW9">
        <v>5</v>
      </c>
      <c r="KX9">
        <v>3369024</v>
      </c>
      <c r="KY9">
        <v>101732</v>
      </c>
      <c r="KZ9" t="s">
        <v>3012</v>
      </c>
      <c r="LC9" t="s">
        <v>3507</v>
      </c>
      <c r="LD9">
        <v>2.8023609999999999</v>
      </c>
      <c r="LE9" t="s">
        <v>1786</v>
      </c>
      <c r="LF9">
        <v>0.52624300000000002</v>
      </c>
      <c r="LG9" t="s">
        <v>1762</v>
      </c>
      <c r="LH9">
        <v>2025</v>
      </c>
      <c r="LI9" t="s">
        <v>5976</v>
      </c>
      <c r="LJ9" s="6">
        <v>45943</v>
      </c>
      <c r="LK9">
        <v>5</v>
      </c>
      <c r="LL9">
        <v>41158276</v>
      </c>
      <c r="LM9">
        <v>9568853</v>
      </c>
      <c r="LN9" t="s">
        <v>3509</v>
      </c>
      <c r="MW9" t="s">
        <v>82</v>
      </c>
      <c r="MX9" t="s">
        <v>1786</v>
      </c>
      <c r="MY9">
        <v>0.81015999999999999</v>
      </c>
      <c r="MZ9">
        <v>0.38313000000000003</v>
      </c>
      <c r="NA9" t="s">
        <v>1742</v>
      </c>
      <c r="NB9">
        <v>2025</v>
      </c>
      <c r="NC9" t="s">
        <v>5982</v>
      </c>
      <c r="ND9" s="6">
        <v>46050</v>
      </c>
      <c r="NE9">
        <v>5</v>
      </c>
      <c r="NF9">
        <v>19443840</v>
      </c>
      <c r="NG9">
        <v>32348903</v>
      </c>
      <c r="NH9" t="s">
        <v>5983</v>
      </c>
      <c r="NK9" t="s">
        <v>2029</v>
      </c>
      <c r="NL9">
        <v>1.312E-2</v>
      </c>
      <c r="NM9" t="s">
        <v>1786</v>
      </c>
      <c r="NN9">
        <v>1.9811540000000001</v>
      </c>
      <c r="NO9" t="s">
        <v>1798</v>
      </c>
      <c r="NP9">
        <v>2025</v>
      </c>
      <c r="NQ9" t="s">
        <v>4959</v>
      </c>
      <c r="NR9" s="6">
        <v>45975</v>
      </c>
      <c r="NS9">
        <v>5</v>
      </c>
      <c r="NT9">
        <v>1435298.82</v>
      </c>
      <c r="NU9">
        <v>128948</v>
      </c>
      <c r="NV9" t="s">
        <v>2030</v>
      </c>
      <c r="PE9" t="s">
        <v>1710</v>
      </c>
      <c r="PF9" t="s">
        <v>1786</v>
      </c>
      <c r="PG9">
        <v>3.6396999999999999E-2</v>
      </c>
      <c r="PH9">
        <v>6.1549999999999999E-3</v>
      </c>
      <c r="PI9" t="s">
        <v>1845</v>
      </c>
      <c r="PJ9">
        <v>2024</v>
      </c>
      <c r="PK9" t="s">
        <v>4119</v>
      </c>
      <c r="PL9" s="6">
        <v>45688</v>
      </c>
      <c r="PM9">
        <v>5</v>
      </c>
      <c r="PN9">
        <v>33546</v>
      </c>
      <c r="PO9">
        <v>17463341</v>
      </c>
      <c r="PP9" t="s">
        <v>4853</v>
      </c>
      <c r="PS9" t="s">
        <v>2139</v>
      </c>
      <c r="PT9">
        <v>2.4209000000000001E-2</v>
      </c>
      <c r="PU9" t="s">
        <v>1786</v>
      </c>
      <c r="PV9">
        <v>2.9028999999999999E-2</v>
      </c>
      <c r="PW9" t="s">
        <v>1742</v>
      </c>
      <c r="PX9">
        <v>2025</v>
      </c>
      <c r="PY9" t="s">
        <v>2140</v>
      </c>
      <c r="PZ9" s="6">
        <v>46034</v>
      </c>
      <c r="QA9">
        <v>5</v>
      </c>
      <c r="QB9">
        <v>165588</v>
      </c>
      <c r="QC9">
        <v>313021</v>
      </c>
      <c r="QD9" t="s">
        <v>2141</v>
      </c>
      <c r="QI9" t="s">
        <v>5681</v>
      </c>
      <c r="QK9">
        <v>-2.4245362661989844E-14</v>
      </c>
      <c r="QL9">
        <v>-2.4245362661989844E-14</v>
      </c>
      <c r="QM9" t="s">
        <v>1745</v>
      </c>
      <c r="QN9">
        <v>2025</v>
      </c>
      <c r="QO9" t="s">
        <v>5549</v>
      </c>
      <c r="QP9" s="6">
        <v>46065</v>
      </c>
      <c r="QQ9">
        <v>5</v>
      </c>
      <c r="QR9">
        <v>-2.4245362661989844E-14</v>
      </c>
      <c r="QS9">
        <v>7630355</v>
      </c>
      <c r="QT9" t="s">
        <v>5682</v>
      </c>
      <c r="RM9" t="s">
        <v>3942</v>
      </c>
      <c r="RN9" t="s">
        <v>1786</v>
      </c>
      <c r="RO9">
        <v>6.87E-4</v>
      </c>
      <c r="RP9">
        <v>2.6999999999999999E-5</v>
      </c>
      <c r="RQ9" t="s">
        <v>1742</v>
      </c>
      <c r="RR9">
        <v>2025</v>
      </c>
      <c r="RS9" t="s">
        <v>3943</v>
      </c>
      <c r="RT9" s="6">
        <v>45819</v>
      </c>
      <c r="RU9">
        <v>5</v>
      </c>
      <c r="RV9">
        <v>1000</v>
      </c>
      <c r="RW9">
        <v>101531</v>
      </c>
      <c r="RX9" t="s">
        <v>3944</v>
      </c>
      <c r="SQ9" t="s">
        <v>5342</v>
      </c>
      <c r="SS9">
        <v>-2.4245362661989844E-14</v>
      </c>
      <c r="ST9">
        <v>-2.4245362661989844E-14</v>
      </c>
      <c r="SU9" t="s">
        <v>1845</v>
      </c>
      <c r="SV9">
        <v>2023</v>
      </c>
      <c r="SW9" t="s">
        <v>5334</v>
      </c>
      <c r="SX9" s="6">
        <v>45270</v>
      </c>
      <c r="SY9">
        <v>5</v>
      </c>
      <c r="SZ9">
        <v>-2.4245362661989844E-14</v>
      </c>
      <c r="TA9">
        <v>52441698</v>
      </c>
      <c r="TB9" t="s">
        <v>5343</v>
      </c>
      <c r="TE9" t="s">
        <v>5199</v>
      </c>
      <c r="TF9">
        <v>-2.4245362661989844E-14</v>
      </c>
      <c r="TH9">
        <v>-2.4245362661989844E-14</v>
      </c>
      <c r="TI9" t="s">
        <v>1745</v>
      </c>
      <c r="TJ9">
        <v>2021</v>
      </c>
      <c r="TK9" t="s">
        <v>5193</v>
      </c>
      <c r="TL9" s="6">
        <v>44635</v>
      </c>
      <c r="TM9">
        <v>5</v>
      </c>
      <c r="TN9">
        <v>-2.4245362661989844E-14</v>
      </c>
      <c r="TO9">
        <v>53276060</v>
      </c>
      <c r="TP9" t="s">
        <v>5200</v>
      </c>
      <c r="TU9" t="s">
        <v>3033</v>
      </c>
      <c r="TW9">
        <v>-2.4245362661989844E-14</v>
      </c>
      <c r="TX9">
        <v>-2.4245362661989844E-14</v>
      </c>
      <c r="TY9" t="s">
        <v>1742</v>
      </c>
      <c r="TZ9">
        <v>2025</v>
      </c>
      <c r="UA9" t="s">
        <v>3034</v>
      </c>
      <c r="UB9" s="6">
        <v>45971</v>
      </c>
      <c r="UC9">
        <v>5</v>
      </c>
      <c r="UD9">
        <v>-2.4245362661989844E-14</v>
      </c>
      <c r="UE9">
        <v>835670</v>
      </c>
      <c r="UF9" t="s">
        <v>3035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614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615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616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617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618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619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620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621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622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623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624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625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626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627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628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629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630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631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632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453</v>
      </c>
      <c r="AE2" s="3" t="s">
        <v>633</v>
      </c>
      <c r="BI2" s="3" t="s">
        <v>352</v>
      </c>
      <c r="CM2" s="3" t="s">
        <v>634</v>
      </c>
      <c r="DQ2" s="3" t="s">
        <v>35</v>
      </c>
      <c r="EU2" s="3" t="s">
        <v>575</v>
      </c>
      <c r="FY2" s="3" t="s">
        <v>635</v>
      </c>
      <c r="HC2" s="3" t="s">
        <v>636</v>
      </c>
      <c r="IG2" s="3" t="s">
        <v>637</v>
      </c>
      <c r="JK2" s="3" t="s">
        <v>388</v>
      </c>
      <c r="KO2" s="3" t="s">
        <v>638</v>
      </c>
      <c r="LS2" s="3" t="s">
        <v>639</v>
      </c>
      <c r="MW2" s="3" t="s">
        <v>640</v>
      </c>
      <c r="OA2" s="3" t="s">
        <v>641</v>
      </c>
      <c r="PE2" s="3" t="s">
        <v>121</v>
      </c>
      <c r="QI2" s="3" t="s">
        <v>642</v>
      </c>
      <c r="RM2" s="3" t="s">
        <v>199</v>
      </c>
      <c r="SQ2" s="3" t="s">
        <v>643</v>
      </c>
      <c r="TU2" s="3" t="s">
        <v>644</v>
      </c>
      <c r="UY2" s="3" t="s">
        <v>645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_xll.BDS("FITB US Equity","SUPPLY_CHAIN_SUPPLIERS_ALL_DATA","cols=12;rows=5")</f>
        <v>004800 KS Equity</v>
      </c>
      <c r="C5">
        <v>-2.4245362661989844E-14</v>
      </c>
      <c r="D5">
        <v>-2.4245362661989844E-14</v>
      </c>
      <c r="E5" t="s">
        <v>1993</v>
      </c>
      <c r="F5">
        <v>2025</v>
      </c>
      <c r="G5" t="s">
        <v>5125</v>
      </c>
      <c r="H5" s="6">
        <v>45883</v>
      </c>
      <c r="I5">
        <v>5</v>
      </c>
      <c r="J5">
        <v>-2.4245362661989844E-14</v>
      </c>
      <c r="K5">
        <v>118099</v>
      </c>
      <c r="L5" t="s">
        <v>2044</v>
      </c>
      <c r="O5" t="str">
        <f>_xll.BDS("FITB US Equity","SUPPLY_CHAIN_CUSTOMERS_ALL_DATA","cols=12;rows=1")</f>
        <v>USIO US Equity</v>
      </c>
      <c r="P5">
        <v>-2.4245362661989844E-14</v>
      </c>
      <c r="R5">
        <v>-2.4245362661989844E-14</v>
      </c>
      <c r="S5" t="s">
        <v>1745</v>
      </c>
      <c r="T5">
        <v>2024</v>
      </c>
      <c r="U5" t="s">
        <v>4820</v>
      </c>
      <c r="V5" s="6">
        <v>45742</v>
      </c>
      <c r="W5">
        <v>1</v>
      </c>
      <c r="X5">
        <v>-2.4245362661989844E-14</v>
      </c>
      <c r="Y5">
        <v>381245</v>
      </c>
      <c r="Z5" t="s">
        <v>4821</v>
      </c>
      <c r="AE5" t="str">
        <f>_xll.BDS("LOW US Equity","SUPPLY_CHAIN_SUPPLIERS_ALL_DATA","cols=12;rows=5")</f>
        <v>WHR US Equity</v>
      </c>
      <c r="AF5" t="s">
        <v>1786</v>
      </c>
      <c r="AG5">
        <v>15</v>
      </c>
      <c r="AH5">
        <v>4.1615580000000003</v>
      </c>
      <c r="AI5" t="s">
        <v>1745</v>
      </c>
      <c r="AJ5">
        <v>2025</v>
      </c>
      <c r="AK5" t="s">
        <v>6320</v>
      </c>
      <c r="AL5" s="6">
        <v>46064</v>
      </c>
      <c r="AM5">
        <v>5</v>
      </c>
      <c r="AN5">
        <v>582150016</v>
      </c>
      <c r="AO5">
        <v>101655</v>
      </c>
      <c r="AP5" t="s">
        <v>6321</v>
      </c>
      <c r="AS5" t="str">
        <f>_xll.BDS("LOW US Equity","SUPPLY_CHAIN_CUSTOMERS_ALL_DATA","cols=12;rows=2")</f>
        <v>603201 CH Equity</v>
      </c>
      <c r="AT5">
        <v>-2.4245362661989844E-14</v>
      </c>
      <c r="AV5">
        <v>-2.4245362661989844E-14</v>
      </c>
      <c r="AW5" t="s">
        <v>1805</v>
      </c>
      <c r="AX5">
        <v>2025</v>
      </c>
      <c r="AY5" t="s">
        <v>6203</v>
      </c>
      <c r="AZ5" s="6">
        <v>45894</v>
      </c>
      <c r="BA5">
        <v>2</v>
      </c>
      <c r="BB5">
        <v>-2.4245362661989844E-14</v>
      </c>
      <c r="BC5">
        <v>17992568</v>
      </c>
      <c r="BD5" t="s">
        <v>6204</v>
      </c>
      <c r="BI5" t="str">
        <f>_xll.BDS("CAR US Equity","SUPPLY_CHAIN_SUPPLIERS_ALL_DATA","cols=12;rows=5")</f>
        <v>VRRM US Equity</v>
      </c>
      <c r="BJ5" t="s">
        <v>1786</v>
      </c>
      <c r="BK5">
        <v>13.5</v>
      </c>
      <c r="BL5">
        <v>1.973611</v>
      </c>
      <c r="BM5" t="s">
        <v>1745</v>
      </c>
      <c r="BN5">
        <v>2024</v>
      </c>
      <c r="BO5" t="s">
        <v>4514</v>
      </c>
      <c r="BP5" s="6">
        <v>45715</v>
      </c>
      <c r="BQ5">
        <v>5</v>
      </c>
      <c r="BR5">
        <v>29673236</v>
      </c>
      <c r="BS5">
        <v>51985055</v>
      </c>
      <c r="BT5" t="s">
        <v>4515</v>
      </c>
      <c r="BW5" t="str">
        <f>_xll.BDS("CAR US Equity","SUPPLY_CHAIN_CUSTOMERS_ALL_DATA","cols=12;rows=5")</f>
        <v>EIH IN Equity</v>
      </c>
      <c r="BX5">
        <v>1.306E-2</v>
      </c>
      <c r="BY5" t="s">
        <v>1786</v>
      </c>
      <c r="BZ5">
        <v>0.69246200000000002</v>
      </c>
      <c r="CA5" t="s">
        <v>1745</v>
      </c>
      <c r="CB5">
        <v>2025</v>
      </c>
      <c r="CC5" t="s">
        <v>1990</v>
      </c>
      <c r="CD5" s="6">
        <v>45850</v>
      </c>
      <c r="CE5">
        <v>5</v>
      </c>
      <c r="CF5">
        <v>381034.1</v>
      </c>
      <c r="CG5">
        <v>162657</v>
      </c>
      <c r="CH5" t="s">
        <v>1991</v>
      </c>
      <c r="CM5" t="str">
        <f>_xll.BDS("9876566D US Equity","SUPPLY_CHAIN_SUPPLIERS_ALL_DATA","cols=12;rows=3")</f>
        <v>ABL NO Equity</v>
      </c>
      <c r="CO5">
        <v>-2.4245362661989844E-14</v>
      </c>
      <c r="CP5">
        <v>-2.4245362661989844E-14</v>
      </c>
      <c r="CQ5" t="s">
        <v>1745</v>
      </c>
      <c r="CR5">
        <v>2023</v>
      </c>
      <c r="CS5" t="s">
        <v>2926</v>
      </c>
      <c r="CT5" s="6">
        <v>45618</v>
      </c>
      <c r="CU5">
        <v>3</v>
      </c>
      <c r="CV5">
        <v>-2.4245362661989844E-14</v>
      </c>
      <c r="CW5">
        <v>40899058</v>
      </c>
      <c r="CX5" t="s">
        <v>2927</v>
      </c>
      <c r="DA5" t="str">
        <f>_xll.BDS("9876566D US Equity","SUPPLY_CHAIN_CUSTOMERS_ALL_DATA","cols=12;rows=1")</f>
        <v>SIME MK Equity</v>
      </c>
      <c r="DB5">
        <v>-2.4245362661989844E-14</v>
      </c>
      <c r="DD5">
        <v>-2.4245362661989844E-14</v>
      </c>
      <c r="DE5" t="s">
        <v>1745</v>
      </c>
      <c r="DF5">
        <v>2024</v>
      </c>
      <c r="DG5" t="s">
        <v>5917</v>
      </c>
      <c r="DH5" s="6">
        <v>45582</v>
      </c>
      <c r="DI5">
        <v>1</v>
      </c>
      <c r="DJ5">
        <v>-2.4245362661989844E-14</v>
      </c>
      <c r="DK5">
        <v>11293680</v>
      </c>
      <c r="DL5" t="s">
        <v>5918</v>
      </c>
      <c r="DQ5" t="str">
        <f>_xll.BDS("nan Equity","SUPPLY_CHAIN_SUPPLIERS_ALL_DATA")</f>
        <v>#N/A N/A</v>
      </c>
      <c r="EE5" t="str">
        <f>_xll.BDS("nan Equity","SUPPLY_CHAIN_CUSTOMERS_ALL_DATA")</f>
        <v>#N/A N/A</v>
      </c>
      <c r="EU5" t="str">
        <f>_xll.BDS("WINMQ US Equity","SUPPLY_CHAIN_SUPPLIERS_ALL_DATA","cols=12;rows=5")</f>
        <v>DY US Equity</v>
      </c>
      <c r="EW5">
        <v>2.4</v>
      </c>
      <c r="EX5">
        <v>-2.4245362661989844E-14</v>
      </c>
      <c r="EY5" t="s">
        <v>1845</v>
      </c>
      <c r="EZ5">
        <v>2025</v>
      </c>
      <c r="FA5" t="s">
        <v>5020</v>
      </c>
      <c r="FB5" s="6">
        <v>45717</v>
      </c>
      <c r="FC5">
        <v>5</v>
      </c>
      <c r="FD5">
        <v>26028624</v>
      </c>
      <c r="FE5">
        <v>100487</v>
      </c>
      <c r="FF5" t="s">
        <v>2673</v>
      </c>
      <c r="FI5" t="str">
        <f>_xll.BDS("WINMQ US Equity","SUPPLY_CHAIN_CUSTOMERS_ALL_DATA","cols=12;rows=2")</f>
        <v>SCSC US Equity</v>
      </c>
      <c r="FJ5">
        <v>-2.4245362661989844E-14</v>
      </c>
      <c r="FL5">
        <v>-2.4245362661989844E-14</v>
      </c>
      <c r="FM5" t="s">
        <v>1742</v>
      </c>
      <c r="FN5">
        <v>2024</v>
      </c>
      <c r="FO5" t="s">
        <v>4762</v>
      </c>
      <c r="FP5" s="6">
        <v>45422</v>
      </c>
      <c r="FQ5">
        <v>2</v>
      </c>
      <c r="FR5">
        <v>-2.4245362661989844E-14</v>
      </c>
      <c r="FS5">
        <v>136424</v>
      </c>
      <c r="FT5" t="s">
        <v>2014</v>
      </c>
      <c r="FY5" t="str">
        <f>_xll.BDS("ACKH US Equity","SUPPLY_CHAIN_SUPPLIERS_ALL_DATA")</f>
        <v>#N/A N/A</v>
      </c>
      <c r="GM5" t="str">
        <f>_xll.BDS("ACKH US Equity","SUPPLY_CHAIN_CUSTOMERS_ALL_DATA")</f>
        <v>#N/A N/A</v>
      </c>
      <c r="HC5" t="str">
        <f>_xll.BDS("WCOEQ US Equity","SUPPLY_CHAIN_SUPPLIERS_ALL_DATA")</f>
        <v>#N/A N/A</v>
      </c>
      <c r="HQ5" t="str">
        <f>_xll.BDS("WCOEQ US Equity","SUPPLY_CHAIN_CUSTOMERS_ALL_DATA")</f>
        <v>#N/A N/A</v>
      </c>
      <c r="IG5" t="str">
        <f>_xll.BDS("OMX US Equity","SUPPLY_CHAIN_SUPPLIERS_ALL_DATA","cols=12;rows=1")</f>
        <v>BRX US Equity</v>
      </c>
      <c r="II5">
        <v>-2.4245362661989844E-14</v>
      </c>
      <c r="IJ5">
        <v>-2.4245362661989844E-14</v>
      </c>
      <c r="IK5" t="s">
        <v>1745</v>
      </c>
      <c r="IL5">
        <v>2024</v>
      </c>
      <c r="IM5" t="s">
        <v>4490</v>
      </c>
      <c r="IN5" s="6">
        <v>45698</v>
      </c>
      <c r="IO5">
        <v>1</v>
      </c>
      <c r="IP5">
        <v>-2.4245362661989844E-14</v>
      </c>
      <c r="IQ5">
        <v>24112045</v>
      </c>
      <c r="IR5" t="s">
        <v>4491</v>
      </c>
      <c r="IU5" t="str">
        <f>_xll.BDS("OMX US Equity","SUPPLY_CHAIN_CUSTOMERS_ALL_DATA")</f>
        <v>#N/A N/A</v>
      </c>
      <c r="JK5" t="str">
        <f>_xll.BDS("MNKTQ US Equity","SUPPLY_CHAIN_SUPPLIERS_ALL_DATA","cols=12;rows=5")</f>
        <v>CAP FP Equity</v>
      </c>
      <c r="JL5" t="s">
        <v>1769</v>
      </c>
      <c r="JM5">
        <v>1.3310000000000001E-2</v>
      </c>
      <c r="JN5">
        <v>0.55534899999999998</v>
      </c>
      <c r="JO5" t="s">
        <v>1762</v>
      </c>
      <c r="JP5">
        <v>2025</v>
      </c>
      <c r="JQ5" t="s">
        <v>3106</v>
      </c>
      <c r="JR5" s="6">
        <v>45902</v>
      </c>
      <c r="JS5">
        <v>5</v>
      </c>
      <c r="JT5">
        <v>837702.49</v>
      </c>
      <c r="JU5">
        <v>115265</v>
      </c>
      <c r="JV5" t="s">
        <v>3107</v>
      </c>
      <c r="JY5" t="str">
        <f>_xll.BDS("MNKTQ US Equity","SUPPLY_CHAIN_CUSTOMERS_ALL_DATA","cols=12;rows=5")</f>
        <v>102460 KS Equity</v>
      </c>
      <c r="JZ5">
        <v>-2.4245362661989844E-14</v>
      </c>
      <c r="KB5">
        <v>-2.4245362661989844E-14</v>
      </c>
      <c r="KC5" t="s">
        <v>1745</v>
      </c>
      <c r="KD5">
        <v>2021</v>
      </c>
      <c r="KE5" t="s">
        <v>5325</v>
      </c>
      <c r="KF5" s="6">
        <v>44642</v>
      </c>
      <c r="KG5">
        <v>5</v>
      </c>
      <c r="KH5">
        <v>-2.4245362661989844E-14</v>
      </c>
      <c r="KI5">
        <v>16330577</v>
      </c>
      <c r="KJ5" t="s">
        <v>5326</v>
      </c>
      <c r="KO5" t="str">
        <f>_xll.BDS("EPD US Equity","SUPPLY_CHAIN_SUPPLIERS_ALL_DATA","cols=12;rows=5")</f>
        <v>MTDR US Equity</v>
      </c>
      <c r="KP5" t="s">
        <v>1786</v>
      </c>
      <c r="KQ5">
        <v>11</v>
      </c>
      <c r="KR5">
        <v>0.78312800000000005</v>
      </c>
      <c r="KS5" t="s">
        <v>1745</v>
      </c>
      <c r="KT5">
        <v>2024</v>
      </c>
      <c r="KU5" t="s">
        <v>2862</v>
      </c>
      <c r="KV5" s="6">
        <v>45713</v>
      </c>
      <c r="KW5">
        <v>5</v>
      </c>
      <c r="KX5">
        <v>96021256</v>
      </c>
      <c r="KY5">
        <v>15224879</v>
      </c>
      <c r="KZ5" t="s">
        <v>2863</v>
      </c>
      <c r="LC5" t="str">
        <f>_xll.BDS("EPD US Equity","SUPPLY_CHAIN_CUSTOMERS_ALL_DATA","cols=12;rows=5")</f>
        <v>62647Z LN Equity</v>
      </c>
      <c r="LD5">
        <v>11.5</v>
      </c>
      <c r="LF5">
        <v>-2.4245362661989844E-14</v>
      </c>
      <c r="LG5" t="s">
        <v>1745</v>
      </c>
      <c r="LH5">
        <v>2024</v>
      </c>
      <c r="LI5" t="s">
        <v>2870</v>
      </c>
      <c r="LJ5" s="6">
        <v>45716</v>
      </c>
      <c r="LK5">
        <v>5</v>
      </c>
      <c r="LL5">
        <v>1612500000</v>
      </c>
      <c r="LM5">
        <v>958757</v>
      </c>
      <c r="LN5" t="s">
        <v>5272</v>
      </c>
      <c r="LS5" t="str">
        <f>_xll.BDS("MTB US Equity","SUPPLY_CHAIN_SUPPLIERS_ALL_DATA","cols=12;rows=5")</f>
        <v>ORCL US Equity</v>
      </c>
      <c r="LT5" t="s">
        <v>1786</v>
      </c>
      <c r="LU5">
        <v>1.9734999999999999E-2</v>
      </c>
      <c r="LV5">
        <v>0.221799</v>
      </c>
      <c r="LW5" t="s">
        <v>1845</v>
      </c>
      <c r="LX5">
        <v>2025</v>
      </c>
      <c r="LY5" t="s">
        <v>1883</v>
      </c>
      <c r="LZ5" s="6">
        <v>45848</v>
      </c>
      <c r="MA5">
        <v>5</v>
      </c>
      <c r="MB5">
        <v>3138457</v>
      </c>
      <c r="MC5">
        <v>101752</v>
      </c>
      <c r="MD5" t="s">
        <v>2723</v>
      </c>
      <c r="MG5" t="str">
        <f>_xll.BDS("MTB US Equity","SUPPLY_CHAIN_CUSTOMERS_ALL_DATA","cols=12;rows=3")</f>
        <v>2610 TT Equity</v>
      </c>
      <c r="MH5">
        <v>-2.4245362661989844E-14</v>
      </c>
      <c r="MJ5">
        <v>-2.4245362661989844E-14</v>
      </c>
      <c r="MK5" t="s">
        <v>1745</v>
      </c>
      <c r="ML5">
        <v>2024</v>
      </c>
      <c r="MM5" t="s">
        <v>3497</v>
      </c>
      <c r="MN5" s="6">
        <v>45786</v>
      </c>
      <c r="MO5">
        <v>3</v>
      </c>
      <c r="MP5">
        <v>-2.4245362661989844E-14</v>
      </c>
      <c r="MQ5">
        <v>129514</v>
      </c>
      <c r="MR5" t="s">
        <v>3498</v>
      </c>
      <c r="MW5" t="str">
        <f>_xll.BDS("3406956Q US Equity","SUPPLY_CHAIN_SUPPLIERS_ALL_DATA")</f>
        <v>#N/A N/A</v>
      </c>
      <c r="NK5" t="str">
        <f>_xll.BDS("3406956Q US Equity","SUPPLY_CHAIN_CUSTOMERS_ALL_DATA")</f>
        <v>#N/A N/A</v>
      </c>
      <c r="OA5" t="str">
        <f>_xll.BDS("LUV US Equity","SUPPLY_CHAIN_SUPPLIERS_ALL_DATA","cols=12;rows=5")</f>
        <v>BA US Equity</v>
      </c>
      <c r="OB5" t="s">
        <v>1820</v>
      </c>
      <c r="OC5">
        <v>2.7308349999999999</v>
      </c>
      <c r="OD5">
        <v>97.832702999999995</v>
      </c>
      <c r="OE5" t="s">
        <v>1762</v>
      </c>
      <c r="OF5">
        <v>2025</v>
      </c>
      <c r="OG5" t="s">
        <v>3484</v>
      </c>
      <c r="OH5" s="6">
        <v>45873</v>
      </c>
      <c r="OI5">
        <v>5</v>
      </c>
      <c r="OJ5">
        <v>621237632</v>
      </c>
      <c r="OK5">
        <v>100211</v>
      </c>
      <c r="OL5" t="s">
        <v>1851</v>
      </c>
      <c r="OO5" t="str">
        <f>_xll.BDS("LUV US Equity","SUPPLY_CHAIN_CUSTOMERS_ALL_DATA","cols=12;rows=5")</f>
        <v>JPM US Equity</v>
      </c>
      <c r="OP5">
        <v>10.404375</v>
      </c>
      <c r="OR5">
        <v>-2.4245362661989844E-14</v>
      </c>
      <c r="OS5" t="s">
        <v>1742</v>
      </c>
      <c r="OT5">
        <v>2025</v>
      </c>
      <c r="OU5" t="s">
        <v>3125</v>
      </c>
      <c r="OV5" s="6">
        <v>45953</v>
      </c>
      <c r="OW5">
        <v>5</v>
      </c>
      <c r="OX5">
        <v>723000000</v>
      </c>
      <c r="OY5">
        <v>100312</v>
      </c>
      <c r="OZ5" t="s">
        <v>3933</v>
      </c>
      <c r="PE5" t="str">
        <f>_xll.BDS("IBM US Equity","SUPPLY_CHAIN_SUPPLIERS_ALL_DATA","cols=12;rows=5")</f>
        <v>005930 KS Equity</v>
      </c>
      <c r="PF5" t="s">
        <v>1786</v>
      </c>
      <c r="PG5">
        <v>0.49490499999999998</v>
      </c>
      <c r="PH5">
        <v>4.1423690000000004</v>
      </c>
      <c r="PI5" t="s">
        <v>1809</v>
      </c>
      <c r="PJ5">
        <v>2025</v>
      </c>
      <c r="PK5" t="s">
        <v>2035</v>
      </c>
      <c r="PL5" s="6">
        <v>45797</v>
      </c>
      <c r="PM5">
        <v>5</v>
      </c>
      <c r="PN5">
        <v>269668224</v>
      </c>
      <c r="PO5">
        <v>117929</v>
      </c>
      <c r="PP5" t="s">
        <v>1791</v>
      </c>
      <c r="PS5" t="str">
        <f>_xll.BDS("IBM US Equity","SUPPLY_CHAIN_CUSTOMERS_ALL_DATA","cols=12;rows=5")</f>
        <v>AMZN US Equity</v>
      </c>
      <c r="PT5">
        <v>4.454224</v>
      </c>
      <c r="PU5" t="s">
        <v>1786</v>
      </c>
      <c r="PV5">
        <v>0.84141600000000005</v>
      </c>
      <c r="PW5" t="s">
        <v>1809</v>
      </c>
      <c r="PX5">
        <v>2025</v>
      </c>
      <c r="PY5" t="s">
        <v>2035</v>
      </c>
      <c r="PZ5" s="6">
        <v>45797</v>
      </c>
      <c r="QA5">
        <v>5</v>
      </c>
      <c r="QB5">
        <v>647688704</v>
      </c>
      <c r="QC5">
        <v>216952</v>
      </c>
      <c r="QD5" t="s">
        <v>1886</v>
      </c>
      <c r="QI5" t="str">
        <f>_xll.BDS("SNDK US Equity","SUPPLY_CHAIN_SUPPLIERS_ALL_DATA","cols=12;rows=5")</f>
        <v>285A JP Equity</v>
      </c>
      <c r="QJ5" t="s">
        <v>1786</v>
      </c>
      <c r="QK5">
        <v>11.6</v>
      </c>
      <c r="QL5">
        <v>26.776530999999999</v>
      </c>
      <c r="QM5" t="s">
        <v>1745</v>
      </c>
      <c r="QN5">
        <v>2025</v>
      </c>
      <c r="QO5" t="s">
        <v>6206</v>
      </c>
      <c r="QP5" s="6">
        <v>45834</v>
      </c>
      <c r="QQ5">
        <v>5</v>
      </c>
      <c r="QR5">
        <v>325944253.24000001</v>
      </c>
      <c r="QS5">
        <v>65366371</v>
      </c>
      <c r="QT5" t="s">
        <v>6207</v>
      </c>
      <c r="QW5" t="str">
        <f>_xll.BDS("SNDK US Equity","SUPPLY_CHAIN_CUSTOMERS_ALL_DATA","cols=12;rows=5")</f>
        <v>001309 CH Equity</v>
      </c>
      <c r="QX5">
        <v>-2.4245362661989844E-14</v>
      </c>
      <c r="QZ5">
        <v>-2.4245362661989844E-14</v>
      </c>
      <c r="RA5" t="s">
        <v>1745</v>
      </c>
      <c r="RB5">
        <v>2025</v>
      </c>
      <c r="RC5" t="s">
        <v>2102</v>
      </c>
      <c r="RD5" s="6">
        <v>46081</v>
      </c>
      <c r="RE5">
        <v>5</v>
      </c>
      <c r="RF5">
        <v>-2.4245362661989844E-14</v>
      </c>
      <c r="RG5">
        <v>69088916</v>
      </c>
      <c r="RH5" t="s">
        <v>2103</v>
      </c>
      <c r="RM5" t="str">
        <f>_xll.BDS("3867693Z US Equity","SUPPLY_CHAIN_SUPPLIERS_ALL_DATA")</f>
        <v>#N/A N/A</v>
      </c>
      <c r="SA5" t="str">
        <f>_xll.BDS("3867693Z US Equity","SUPPLY_CHAIN_CUSTOMERS_ALL_DATA")</f>
        <v>#N/A N/A</v>
      </c>
      <c r="SQ5" t="str">
        <f>_xll.BDS("CRBC US Equity","SUPPLY_CHAIN_SUPPLIERS_ALL_DATA")</f>
        <v>#N/A N/A</v>
      </c>
      <c r="TE5" t="str">
        <f>_xll.BDS("CRBC US Equity","SUPPLY_CHAIN_CUSTOMERS_ALL_DATA")</f>
        <v>#N/A N/A</v>
      </c>
      <c r="TU5" t="str">
        <f>_xll.BDS("SPNX US Equity","SUPPLY_CHAIN_SUPPLIERS_ALL_DATA","cols=12;rows=1")</f>
        <v>UDT IN Equity</v>
      </c>
      <c r="TW5">
        <v>-2.4245362661989844E-14</v>
      </c>
      <c r="TX5">
        <v>-2.4245362661989844E-14</v>
      </c>
      <c r="TY5" t="s">
        <v>1745</v>
      </c>
      <c r="TZ5">
        <v>2022</v>
      </c>
      <c r="UA5" t="s">
        <v>4426</v>
      </c>
      <c r="UB5" s="6">
        <v>44707</v>
      </c>
      <c r="UC5">
        <v>1</v>
      </c>
      <c r="UD5">
        <v>-2.4245362661989844E-14</v>
      </c>
      <c r="UE5">
        <v>223746</v>
      </c>
      <c r="UF5" t="s">
        <v>4427</v>
      </c>
      <c r="UI5" t="str">
        <f>_xll.BDS("SPNX US Equity","SUPPLY_CHAIN_CUSTOMERS_ALL_DATA","cols=12;rows=1")</f>
        <v>PETR4 BZ Equity</v>
      </c>
      <c r="UJ5">
        <v>-2.4245362661989844E-14</v>
      </c>
      <c r="UL5">
        <v>-2.4245362661989844E-14</v>
      </c>
      <c r="UM5" t="s">
        <v>1762</v>
      </c>
      <c r="UN5">
        <v>2025</v>
      </c>
      <c r="UO5" t="s">
        <v>5866</v>
      </c>
      <c r="UP5" s="6">
        <v>45966</v>
      </c>
      <c r="UQ5">
        <v>1</v>
      </c>
      <c r="UR5">
        <v>-2.4245362661989844E-14</v>
      </c>
      <c r="US5">
        <v>136114</v>
      </c>
      <c r="UT5" t="s">
        <v>5867</v>
      </c>
      <c r="UY5" t="str">
        <f>_xll.BDS("NEX US Equity","SUPPLY_CHAIN_SUPPLIERS_ALL_DATA","cols=12;rows=4")</f>
        <v>MIX SJ Equity</v>
      </c>
      <c r="VA5">
        <v>-2.4245362661989844E-14</v>
      </c>
      <c r="VB5">
        <v>-2.4245362661989844E-14</v>
      </c>
      <c r="VC5" t="s">
        <v>1745</v>
      </c>
      <c r="VD5">
        <v>2022</v>
      </c>
      <c r="VE5" t="s">
        <v>5809</v>
      </c>
      <c r="VF5" s="6">
        <v>44726</v>
      </c>
      <c r="VG5">
        <v>4</v>
      </c>
      <c r="VH5">
        <v>-2.4245362661989844E-14</v>
      </c>
      <c r="VI5">
        <v>13284366</v>
      </c>
      <c r="VJ5" t="s">
        <v>5810</v>
      </c>
      <c r="VM5" t="str">
        <f>_xll.BDS("NEX US Equity","SUPPLY_CHAIN_CUSTOMERS_ALL_DATA","cols=12;rows=1")</f>
        <v>COP US Equity</v>
      </c>
      <c r="VN5">
        <v>-2.4245362661989844E-14</v>
      </c>
      <c r="VP5">
        <v>-2.4245362661989844E-14</v>
      </c>
      <c r="VQ5" t="s">
        <v>1745</v>
      </c>
      <c r="VR5">
        <v>2022</v>
      </c>
      <c r="VS5" t="s">
        <v>5420</v>
      </c>
      <c r="VT5" s="6">
        <v>44658</v>
      </c>
      <c r="VU5">
        <v>1</v>
      </c>
      <c r="VV5">
        <v>-2.4245362661989844E-14</v>
      </c>
      <c r="VW5">
        <v>101174</v>
      </c>
      <c r="VX5" t="s">
        <v>4011</v>
      </c>
    </row>
    <row r="6" spans="1:600" x14ac:dyDescent="0.25">
      <c r="A6" t="s">
        <v>1517</v>
      </c>
      <c r="C6">
        <v>-2.4245362661989844E-14</v>
      </c>
      <c r="D6">
        <v>-2.4245362661989844E-14</v>
      </c>
      <c r="E6" t="s">
        <v>1742</v>
      </c>
      <c r="F6">
        <v>2024</v>
      </c>
      <c r="G6" t="s">
        <v>3951</v>
      </c>
      <c r="H6" s="6">
        <v>45608</v>
      </c>
      <c r="I6">
        <v>5</v>
      </c>
      <c r="J6">
        <v>-2.4245362661989844E-14</v>
      </c>
      <c r="K6">
        <v>159743</v>
      </c>
      <c r="L6" t="s">
        <v>5126</v>
      </c>
      <c r="AE6" t="s">
        <v>3266</v>
      </c>
      <c r="AF6" t="s">
        <v>1786</v>
      </c>
      <c r="AG6">
        <v>4.4525009999999998</v>
      </c>
      <c r="AH6">
        <v>3.3743319999999999</v>
      </c>
      <c r="AI6" t="s">
        <v>1762</v>
      </c>
      <c r="AJ6">
        <v>2026</v>
      </c>
      <c r="AK6" t="s">
        <v>6322</v>
      </c>
      <c r="AL6" s="6">
        <v>45940</v>
      </c>
      <c r="AM6">
        <v>5</v>
      </c>
      <c r="AN6">
        <v>535101568</v>
      </c>
      <c r="AO6">
        <v>100438</v>
      </c>
      <c r="AP6" t="s">
        <v>3268</v>
      </c>
      <c r="AS6" t="s">
        <v>1151</v>
      </c>
      <c r="AT6">
        <v>-2.4245362661989844E-14</v>
      </c>
      <c r="AV6">
        <v>-2.4245362661989844E-14</v>
      </c>
      <c r="AW6" t="s">
        <v>1742</v>
      </c>
      <c r="AX6">
        <v>2024</v>
      </c>
      <c r="AY6" t="s">
        <v>2885</v>
      </c>
      <c r="AZ6" s="6">
        <v>45599</v>
      </c>
      <c r="BA6">
        <v>2</v>
      </c>
      <c r="BB6">
        <v>-2.4245362661989844E-14</v>
      </c>
      <c r="BC6">
        <v>27186451</v>
      </c>
      <c r="BD6" t="s">
        <v>6205</v>
      </c>
      <c r="BI6" t="s">
        <v>4516</v>
      </c>
      <c r="BJ6" t="s">
        <v>1786</v>
      </c>
      <c r="BK6">
        <v>0.38619700000000001</v>
      </c>
      <c r="BL6">
        <v>0.47442000000000001</v>
      </c>
      <c r="BM6" t="s">
        <v>1762</v>
      </c>
      <c r="BN6">
        <v>2025</v>
      </c>
      <c r="BO6" t="s">
        <v>4517</v>
      </c>
      <c r="BP6" s="6">
        <v>45952</v>
      </c>
      <c r="BQ6">
        <v>5</v>
      </c>
      <c r="BR6">
        <v>7236754.0099999998</v>
      </c>
      <c r="BS6">
        <v>27639867</v>
      </c>
      <c r="BT6" t="s">
        <v>4518</v>
      </c>
      <c r="BW6" t="s">
        <v>1992</v>
      </c>
      <c r="BX6">
        <v>-2.4245362661989844E-14</v>
      </c>
      <c r="BZ6">
        <v>-2.4245362661989844E-14</v>
      </c>
      <c r="CA6" t="s">
        <v>1993</v>
      </c>
      <c r="CB6">
        <v>2024</v>
      </c>
      <c r="CC6" t="s">
        <v>1994</v>
      </c>
      <c r="CD6" s="6">
        <v>45518</v>
      </c>
      <c r="CE6">
        <v>5</v>
      </c>
      <c r="CF6">
        <v>-2.4245362661989844E-14</v>
      </c>
      <c r="CG6">
        <v>130119</v>
      </c>
      <c r="CH6" t="s">
        <v>1995</v>
      </c>
      <c r="CM6" t="s">
        <v>4088</v>
      </c>
      <c r="CO6">
        <v>-2.4245362661989844E-14</v>
      </c>
      <c r="CP6">
        <v>-2.4245362661989844E-14</v>
      </c>
      <c r="CQ6" t="s">
        <v>1745</v>
      </c>
      <c r="CR6">
        <v>2023</v>
      </c>
      <c r="CS6" t="s">
        <v>4089</v>
      </c>
      <c r="CT6" s="6">
        <v>45462</v>
      </c>
      <c r="CU6">
        <v>3</v>
      </c>
      <c r="CV6">
        <v>-2.4245362661989844E-14</v>
      </c>
      <c r="CW6">
        <v>48621208</v>
      </c>
      <c r="CX6" t="s">
        <v>4090</v>
      </c>
      <c r="EU6" t="s">
        <v>5021</v>
      </c>
      <c r="EW6">
        <v>-2.4245362661989844E-14</v>
      </c>
      <c r="EX6">
        <v>-2.4245362661989844E-14</v>
      </c>
      <c r="EY6" t="s">
        <v>1745</v>
      </c>
      <c r="EZ6">
        <v>2021</v>
      </c>
      <c r="FA6" t="s">
        <v>5022</v>
      </c>
      <c r="FB6" s="6">
        <v>44718</v>
      </c>
      <c r="FC6">
        <v>5</v>
      </c>
      <c r="FD6">
        <v>-2.4245362661989844E-14</v>
      </c>
      <c r="FE6">
        <v>885036</v>
      </c>
      <c r="FF6" t="s">
        <v>5023</v>
      </c>
      <c r="FI6" t="s">
        <v>4763</v>
      </c>
      <c r="FJ6">
        <v>-2.4245362661989844E-14</v>
      </c>
      <c r="FL6">
        <v>-2.4245362661989844E-14</v>
      </c>
      <c r="FM6" t="s">
        <v>1745</v>
      </c>
      <c r="FN6">
        <v>2022</v>
      </c>
      <c r="FO6" t="s">
        <v>4764</v>
      </c>
      <c r="FP6" s="6">
        <v>44993</v>
      </c>
      <c r="FQ6">
        <v>2</v>
      </c>
      <c r="FR6">
        <v>-2.4245362661989844E-14</v>
      </c>
      <c r="FS6">
        <v>10092517</v>
      </c>
      <c r="FT6" t="s">
        <v>4765</v>
      </c>
      <c r="JK6" t="s">
        <v>3108</v>
      </c>
      <c r="JM6">
        <v>-2.4245362661989844E-14</v>
      </c>
      <c r="JN6">
        <v>-2.4245362661989844E-14</v>
      </c>
      <c r="JO6" t="s">
        <v>1742</v>
      </c>
      <c r="JP6">
        <v>2023</v>
      </c>
      <c r="JQ6" t="s">
        <v>3109</v>
      </c>
      <c r="JR6" s="6">
        <v>45166</v>
      </c>
      <c r="JS6">
        <v>5</v>
      </c>
      <c r="JT6">
        <v>-2.4245362661989844E-14</v>
      </c>
      <c r="JU6">
        <v>26883157</v>
      </c>
      <c r="JV6" t="s">
        <v>3110</v>
      </c>
      <c r="JY6" t="s">
        <v>5301</v>
      </c>
      <c r="JZ6">
        <v>-2.4245362661989844E-14</v>
      </c>
      <c r="KB6">
        <v>-2.4245362661989844E-14</v>
      </c>
      <c r="KC6" t="s">
        <v>1809</v>
      </c>
      <c r="KD6">
        <v>2022</v>
      </c>
      <c r="KE6" t="s">
        <v>5327</v>
      </c>
      <c r="KF6" s="6">
        <v>44685</v>
      </c>
      <c r="KG6">
        <v>5</v>
      </c>
      <c r="KH6">
        <v>-2.4245362661989844E-14</v>
      </c>
      <c r="KI6">
        <v>20677318</v>
      </c>
      <c r="KJ6" t="s">
        <v>5302</v>
      </c>
      <c r="KO6" t="s">
        <v>2864</v>
      </c>
      <c r="KP6" t="s">
        <v>1786</v>
      </c>
      <c r="KQ6">
        <v>4.7074870000000004</v>
      </c>
      <c r="KR6">
        <v>0.56672500000000003</v>
      </c>
      <c r="KS6" t="s">
        <v>1809</v>
      </c>
      <c r="KT6">
        <v>2025</v>
      </c>
      <c r="KU6" t="s">
        <v>2865</v>
      </c>
      <c r="KV6" s="6">
        <v>45863</v>
      </c>
      <c r="KW6">
        <v>5</v>
      </c>
      <c r="KX6">
        <v>77584656</v>
      </c>
      <c r="KY6">
        <v>10832677</v>
      </c>
      <c r="KZ6" t="s">
        <v>2866</v>
      </c>
      <c r="LC6" t="s">
        <v>5273</v>
      </c>
      <c r="LD6">
        <v>0.57596999999999998</v>
      </c>
      <c r="LE6" t="s">
        <v>1786</v>
      </c>
      <c r="LF6">
        <v>1.024999</v>
      </c>
      <c r="LG6" t="s">
        <v>1845</v>
      </c>
      <c r="LH6">
        <v>2025</v>
      </c>
      <c r="LI6" t="s">
        <v>5274</v>
      </c>
      <c r="LJ6" s="6">
        <v>46076</v>
      </c>
      <c r="LK6">
        <v>5</v>
      </c>
      <c r="LL6">
        <v>69248928</v>
      </c>
      <c r="LM6">
        <v>9932803</v>
      </c>
      <c r="LN6" t="s">
        <v>5275</v>
      </c>
      <c r="LS6" t="s">
        <v>3613</v>
      </c>
      <c r="LU6">
        <v>-2.4245362661989844E-14</v>
      </c>
      <c r="LV6">
        <v>-2.4245362661989844E-14</v>
      </c>
      <c r="LW6" t="s">
        <v>1745</v>
      </c>
      <c r="LX6">
        <v>2024</v>
      </c>
      <c r="LY6" t="s">
        <v>3614</v>
      </c>
      <c r="LZ6" s="6">
        <v>45716</v>
      </c>
      <c r="MA6">
        <v>5</v>
      </c>
      <c r="MB6">
        <v>-2.4245362661989844E-14</v>
      </c>
      <c r="MC6">
        <v>119752</v>
      </c>
      <c r="MD6" t="s">
        <v>3615</v>
      </c>
      <c r="MG6" t="s">
        <v>3499</v>
      </c>
      <c r="MH6">
        <v>-2.4245362661989844E-14</v>
      </c>
      <c r="MJ6">
        <v>-2.4245362661989844E-14</v>
      </c>
      <c r="MK6" t="s">
        <v>1745</v>
      </c>
      <c r="ML6">
        <v>2024</v>
      </c>
      <c r="MM6" t="s">
        <v>3500</v>
      </c>
      <c r="MN6" s="6">
        <v>45779</v>
      </c>
      <c r="MO6">
        <v>3</v>
      </c>
      <c r="MP6">
        <v>-2.4245362661989844E-14</v>
      </c>
      <c r="MQ6">
        <v>918740</v>
      </c>
      <c r="MR6" t="s">
        <v>3501</v>
      </c>
      <c r="OA6" t="s">
        <v>454</v>
      </c>
      <c r="OB6" t="s">
        <v>1786</v>
      </c>
      <c r="OC6">
        <v>1.611502</v>
      </c>
      <c r="OD6">
        <v>2.530786</v>
      </c>
      <c r="OE6" t="s">
        <v>1762</v>
      </c>
      <c r="OF6">
        <v>2025</v>
      </c>
      <c r="OG6" t="s">
        <v>1877</v>
      </c>
      <c r="OH6" s="6">
        <v>45888</v>
      </c>
      <c r="OI6">
        <v>5</v>
      </c>
      <c r="OJ6">
        <v>177635872</v>
      </c>
      <c r="OK6">
        <v>100632</v>
      </c>
      <c r="OL6" t="s">
        <v>1850</v>
      </c>
      <c r="OO6" t="s">
        <v>6411</v>
      </c>
      <c r="OP6">
        <v>-2.4245362661989844E-14</v>
      </c>
      <c r="OR6">
        <v>-2.4245362661989844E-14</v>
      </c>
      <c r="OS6" t="s">
        <v>1745</v>
      </c>
      <c r="OT6">
        <v>2023</v>
      </c>
      <c r="OU6" t="s">
        <v>6412</v>
      </c>
      <c r="OV6" s="6">
        <v>45328</v>
      </c>
      <c r="OW6">
        <v>5</v>
      </c>
      <c r="OX6">
        <v>-2.4245362661989844E-14</v>
      </c>
      <c r="OY6">
        <v>29027221</v>
      </c>
      <c r="OZ6" t="s">
        <v>6413</v>
      </c>
      <c r="PE6" t="s">
        <v>1287</v>
      </c>
      <c r="PF6" t="s">
        <v>1786</v>
      </c>
      <c r="PG6">
        <v>0.86485599999999996</v>
      </c>
      <c r="PH6">
        <v>4.0630959999999998</v>
      </c>
      <c r="PI6" t="s">
        <v>1809</v>
      </c>
      <c r="PJ6">
        <v>2025</v>
      </c>
      <c r="PK6" t="s">
        <v>2035</v>
      </c>
      <c r="PL6" s="6">
        <v>45797</v>
      </c>
      <c r="PM6">
        <v>5</v>
      </c>
      <c r="PN6">
        <v>264507552</v>
      </c>
      <c r="PO6">
        <v>101376</v>
      </c>
      <c r="PP6" t="s">
        <v>1895</v>
      </c>
      <c r="PS6" t="s">
        <v>424</v>
      </c>
      <c r="PT6">
        <v>3.8131789999999999</v>
      </c>
      <c r="PU6" t="s">
        <v>1786</v>
      </c>
      <c r="PV6">
        <v>2.529652</v>
      </c>
      <c r="PW6" t="s">
        <v>1809</v>
      </c>
      <c r="PX6">
        <v>2025</v>
      </c>
      <c r="PY6" t="s">
        <v>2035</v>
      </c>
      <c r="PZ6" s="6">
        <v>45797</v>
      </c>
      <c r="QA6">
        <v>5</v>
      </c>
      <c r="QB6">
        <v>554474368</v>
      </c>
      <c r="QC6">
        <v>101743</v>
      </c>
      <c r="QD6" t="s">
        <v>1891</v>
      </c>
      <c r="QI6" t="s">
        <v>4214</v>
      </c>
      <c r="QJ6" t="s">
        <v>1786</v>
      </c>
      <c r="QK6">
        <v>6.2975149999999998</v>
      </c>
      <c r="QL6">
        <v>6.6303710000000002</v>
      </c>
      <c r="QM6" t="s">
        <v>1745</v>
      </c>
      <c r="QN6">
        <v>2025</v>
      </c>
      <c r="QO6" t="s">
        <v>6208</v>
      </c>
      <c r="QP6" s="6">
        <v>45890</v>
      </c>
      <c r="QQ6">
        <v>5</v>
      </c>
      <c r="QR6">
        <v>85249992</v>
      </c>
      <c r="QS6">
        <v>8118223</v>
      </c>
      <c r="QT6" t="s">
        <v>4216</v>
      </c>
      <c r="QW6" t="s">
        <v>2085</v>
      </c>
      <c r="QX6">
        <v>-2.4245362661989844E-14</v>
      </c>
      <c r="QZ6">
        <v>-2.4245362661989844E-14</v>
      </c>
      <c r="RA6" t="s">
        <v>1745</v>
      </c>
      <c r="RB6">
        <v>2025</v>
      </c>
      <c r="RC6" t="s">
        <v>2104</v>
      </c>
      <c r="RD6" s="6">
        <v>46007</v>
      </c>
      <c r="RE6">
        <v>5</v>
      </c>
      <c r="RF6">
        <v>-2.4245362661989844E-14</v>
      </c>
      <c r="RG6">
        <v>9034717</v>
      </c>
      <c r="RH6" t="s">
        <v>2087</v>
      </c>
      <c r="UY6" t="s">
        <v>5811</v>
      </c>
      <c r="VA6">
        <v>-2.4245362661989844E-14</v>
      </c>
      <c r="VB6">
        <v>-2.4245362661989844E-14</v>
      </c>
      <c r="VC6" t="s">
        <v>1742</v>
      </c>
      <c r="VD6">
        <v>2022</v>
      </c>
      <c r="VE6" t="s">
        <v>5812</v>
      </c>
      <c r="VF6" s="6">
        <v>44900</v>
      </c>
      <c r="VG6">
        <v>4</v>
      </c>
      <c r="VH6">
        <v>-2.4245362661989844E-14</v>
      </c>
      <c r="VI6">
        <v>53255043</v>
      </c>
      <c r="VJ6" t="s">
        <v>5813</v>
      </c>
    </row>
    <row r="7" spans="1:600" x14ac:dyDescent="0.25">
      <c r="A7" t="s">
        <v>4088</v>
      </c>
      <c r="C7">
        <v>-2.4245362661989844E-14</v>
      </c>
      <c r="D7">
        <v>-2.4245362661989844E-14</v>
      </c>
      <c r="E7" t="s">
        <v>1745</v>
      </c>
      <c r="F7">
        <v>2023</v>
      </c>
      <c r="G7" t="s">
        <v>4089</v>
      </c>
      <c r="H7" s="6">
        <v>45462</v>
      </c>
      <c r="I7">
        <v>5</v>
      </c>
      <c r="J7">
        <v>-2.4245362661989844E-14</v>
      </c>
      <c r="K7">
        <v>48621208</v>
      </c>
      <c r="L7" t="s">
        <v>4090</v>
      </c>
      <c r="AE7" t="s">
        <v>5222</v>
      </c>
      <c r="AF7" t="s">
        <v>1786</v>
      </c>
      <c r="AG7">
        <v>12</v>
      </c>
      <c r="AH7">
        <v>3.2448359999999998</v>
      </c>
      <c r="AI7" t="s">
        <v>1745</v>
      </c>
      <c r="AJ7">
        <v>2025</v>
      </c>
      <c r="AK7" t="s">
        <v>6323</v>
      </c>
      <c r="AL7" s="6">
        <v>46077</v>
      </c>
      <c r="AM7">
        <v>5</v>
      </c>
      <c r="AN7">
        <v>453912000</v>
      </c>
      <c r="AO7">
        <v>101397</v>
      </c>
      <c r="AP7" t="s">
        <v>5223</v>
      </c>
      <c r="BI7" t="s">
        <v>4519</v>
      </c>
      <c r="BJ7" t="s">
        <v>1820</v>
      </c>
      <c r="BK7">
        <v>0.254056</v>
      </c>
      <c r="BL7">
        <v>0.26785799999999998</v>
      </c>
      <c r="BM7" t="s">
        <v>1845</v>
      </c>
      <c r="BN7">
        <v>2024</v>
      </c>
      <c r="BO7" t="s">
        <v>4520</v>
      </c>
      <c r="BP7" s="6">
        <v>45770</v>
      </c>
      <c r="BQ7">
        <v>5</v>
      </c>
      <c r="BR7">
        <v>4756853.6399999997</v>
      </c>
      <c r="BS7">
        <v>186659</v>
      </c>
      <c r="BT7" t="s">
        <v>4521</v>
      </c>
      <c r="BW7" t="s">
        <v>1996</v>
      </c>
      <c r="BX7">
        <v>-2.4245362661989844E-14</v>
      </c>
      <c r="BZ7">
        <v>-2.4245362661989844E-14</v>
      </c>
      <c r="CA7" t="s">
        <v>1993</v>
      </c>
      <c r="CB7">
        <v>2024</v>
      </c>
      <c r="CC7" t="s">
        <v>1997</v>
      </c>
      <c r="CD7" s="6">
        <v>45518</v>
      </c>
      <c r="CE7">
        <v>5</v>
      </c>
      <c r="CF7">
        <v>-2.4245362661989844E-14</v>
      </c>
      <c r="CG7">
        <v>227699</v>
      </c>
      <c r="CH7" t="s">
        <v>1998</v>
      </c>
      <c r="CM7" t="s">
        <v>34</v>
      </c>
      <c r="CO7">
        <v>-2.4245362661989844E-14</v>
      </c>
      <c r="CP7">
        <v>-2.4245362661989844E-14</v>
      </c>
      <c r="CQ7" t="s">
        <v>1845</v>
      </c>
      <c r="CR7">
        <v>2022</v>
      </c>
      <c r="CS7" t="s">
        <v>6096</v>
      </c>
      <c r="CT7" s="6">
        <v>44725</v>
      </c>
      <c r="CU7">
        <v>3</v>
      </c>
      <c r="CV7">
        <v>-2.4245362661989844E-14</v>
      </c>
      <c r="CW7">
        <v>101752</v>
      </c>
      <c r="CX7" t="s">
        <v>2723</v>
      </c>
      <c r="EU7" t="s">
        <v>5024</v>
      </c>
      <c r="EW7">
        <v>-2.4245362661989844E-14</v>
      </c>
      <c r="EX7">
        <v>-2.4245362661989844E-14</v>
      </c>
      <c r="EY7" t="s">
        <v>1742</v>
      </c>
      <c r="EZ7">
        <v>2022</v>
      </c>
      <c r="FA7" t="s">
        <v>5025</v>
      </c>
      <c r="FB7" s="6">
        <v>44895</v>
      </c>
      <c r="FC7">
        <v>5</v>
      </c>
      <c r="FD7">
        <v>-2.4245362661989844E-14</v>
      </c>
      <c r="FE7">
        <v>69795062</v>
      </c>
      <c r="FF7" t="s">
        <v>5026</v>
      </c>
      <c r="JK7" t="s">
        <v>3111</v>
      </c>
      <c r="JM7">
        <v>-2.4245362661989844E-14</v>
      </c>
      <c r="JN7">
        <v>-2.4245362661989844E-14</v>
      </c>
      <c r="JO7" t="s">
        <v>1742</v>
      </c>
      <c r="JP7">
        <v>2023</v>
      </c>
      <c r="JQ7" t="s">
        <v>3109</v>
      </c>
      <c r="JR7" s="6">
        <v>45166</v>
      </c>
      <c r="JS7">
        <v>5</v>
      </c>
      <c r="JT7">
        <v>-2.4245362661989844E-14</v>
      </c>
      <c r="JU7">
        <v>37429492</v>
      </c>
      <c r="JV7" t="s">
        <v>3112</v>
      </c>
      <c r="JY7" t="s">
        <v>1801</v>
      </c>
      <c r="JZ7">
        <v>-2.4245362661989844E-14</v>
      </c>
      <c r="KB7">
        <v>-2.4245362661989844E-14</v>
      </c>
      <c r="KC7" t="s">
        <v>1809</v>
      </c>
      <c r="KD7">
        <v>2022</v>
      </c>
      <c r="KE7" t="s">
        <v>5327</v>
      </c>
      <c r="KF7" s="6">
        <v>44685</v>
      </c>
      <c r="KG7">
        <v>5</v>
      </c>
      <c r="KH7">
        <v>-2.4245362661989844E-14</v>
      </c>
      <c r="KI7">
        <v>218252</v>
      </c>
      <c r="KJ7" t="s">
        <v>1803</v>
      </c>
      <c r="KO7" t="s">
        <v>526</v>
      </c>
      <c r="KP7" t="s">
        <v>1820</v>
      </c>
      <c r="KQ7">
        <v>0.57097699999999996</v>
      </c>
      <c r="KR7">
        <v>2.229968</v>
      </c>
      <c r="KS7" t="s">
        <v>1742</v>
      </c>
      <c r="KT7">
        <v>2025</v>
      </c>
      <c r="KU7" t="s">
        <v>2779</v>
      </c>
      <c r="KV7" s="6">
        <v>45975</v>
      </c>
      <c r="KW7">
        <v>5</v>
      </c>
      <c r="KX7">
        <v>43573584</v>
      </c>
      <c r="KY7">
        <v>305366</v>
      </c>
      <c r="KZ7" t="s">
        <v>2780</v>
      </c>
      <c r="LC7" t="s">
        <v>4996</v>
      </c>
      <c r="LD7">
        <v>4.0911000000000003E-2</v>
      </c>
      <c r="LE7" t="s">
        <v>1786</v>
      </c>
      <c r="LF7">
        <v>0.108488</v>
      </c>
      <c r="LG7" t="s">
        <v>1745</v>
      </c>
      <c r="LH7">
        <v>2024</v>
      </c>
      <c r="LI7" t="s">
        <v>2870</v>
      </c>
      <c r="LJ7" s="6">
        <v>45716</v>
      </c>
      <c r="LK7">
        <v>5</v>
      </c>
      <c r="LL7">
        <v>5749939</v>
      </c>
      <c r="LM7">
        <v>109548</v>
      </c>
      <c r="LN7" t="s">
        <v>4997</v>
      </c>
      <c r="LS7" t="s">
        <v>3105</v>
      </c>
      <c r="LU7">
        <v>-2.4245362661989844E-14</v>
      </c>
      <c r="LV7">
        <v>-2.4245362661989844E-14</v>
      </c>
      <c r="LW7" t="s">
        <v>1809</v>
      </c>
      <c r="LX7">
        <v>2025</v>
      </c>
      <c r="LY7" t="s">
        <v>3783</v>
      </c>
      <c r="LZ7" s="6">
        <v>45845</v>
      </c>
      <c r="MA7">
        <v>5</v>
      </c>
      <c r="MB7">
        <v>-2.4245362661989844E-14</v>
      </c>
      <c r="MC7">
        <v>115265</v>
      </c>
      <c r="MD7" t="s">
        <v>3107</v>
      </c>
      <c r="MG7" t="s">
        <v>3502</v>
      </c>
      <c r="MH7">
        <v>-2.4245362661989844E-14</v>
      </c>
      <c r="MJ7">
        <v>-2.4245362661989844E-14</v>
      </c>
      <c r="MK7" t="s">
        <v>1745</v>
      </c>
      <c r="ML7">
        <v>2025</v>
      </c>
      <c r="MM7" t="s">
        <v>3503</v>
      </c>
      <c r="MN7" s="6">
        <v>46056</v>
      </c>
      <c r="MO7">
        <v>3</v>
      </c>
      <c r="MP7">
        <v>-2.4245362661989844E-14</v>
      </c>
      <c r="MQ7">
        <v>163441</v>
      </c>
      <c r="MR7" t="s">
        <v>3504</v>
      </c>
      <c r="OA7" t="s">
        <v>3485</v>
      </c>
      <c r="OB7" t="s">
        <v>1786</v>
      </c>
      <c r="OC7">
        <v>1.9555549999999999</v>
      </c>
      <c r="OD7">
        <v>0.62444</v>
      </c>
      <c r="OE7" t="s">
        <v>1845</v>
      </c>
      <c r="OF7">
        <v>2025</v>
      </c>
      <c r="OG7" t="s">
        <v>3486</v>
      </c>
      <c r="OH7" s="6">
        <v>45986</v>
      </c>
      <c r="OI7">
        <v>5</v>
      </c>
      <c r="OJ7">
        <v>43173768</v>
      </c>
      <c r="OK7">
        <v>10399376</v>
      </c>
      <c r="OL7" t="s">
        <v>3487</v>
      </c>
      <c r="OO7" t="s">
        <v>6414</v>
      </c>
      <c r="OP7">
        <v>-2.4245362661989844E-14</v>
      </c>
      <c r="OR7">
        <v>-2.4245362661989844E-14</v>
      </c>
      <c r="OS7" t="s">
        <v>1745</v>
      </c>
      <c r="OT7">
        <v>2023</v>
      </c>
      <c r="OU7" t="s">
        <v>6412</v>
      </c>
      <c r="OV7" s="6">
        <v>45328</v>
      </c>
      <c r="OW7">
        <v>5</v>
      </c>
      <c r="OX7">
        <v>-2.4245362661989844E-14</v>
      </c>
      <c r="OY7">
        <v>7123146</v>
      </c>
      <c r="OZ7" t="s">
        <v>6415</v>
      </c>
      <c r="PE7" t="s">
        <v>1885</v>
      </c>
      <c r="PF7" t="s">
        <v>1786</v>
      </c>
      <c r="PG7">
        <v>0.167933</v>
      </c>
      <c r="PH7">
        <v>4.0156150000000004</v>
      </c>
      <c r="PI7" t="s">
        <v>1809</v>
      </c>
      <c r="PJ7">
        <v>2025</v>
      </c>
      <c r="PK7" t="s">
        <v>2035</v>
      </c>
      <c r="PL7" s="6">
        <v>45797</v>
      </c>
      <c r="PM7">
        <v>5</v>
      </c>
      <c r="PN7">
        <v>261416544</v>
      </c>
      <c r="PO7">
        <v>216952</v>
      </c>
      <c r="PP7" t="s">
        <v>1886</v>
      </c>
      <c r="PS7" t="s">
        <v>1789</v>
      </c>
      <c r="PT7">
        <v>3.1054590000000002</v>
      </c>
      <c r="PU7" t="s">
        <v>1786</v>
      </c>
      <c r="PV7">
        <v>1.2857479999999999</v>
      </c>
      <c r="PW7" t="s">
        <v>1809</v>
      </c>
      <c r="PX7">
        <v>2025</v>
      </c>
      <c r="PY7" t="s">
        <v>2035</v>
      </c>
      <c r="PZ7" s="6">
        <v>45797</v>
      </c>
      <c r="QA7">
        <v>5</v>
      </c>
      <c r="QB7">
        <v>451564800</v>
      </c>
      <c r="QC7">
        <v>117929</v>
      </c>
      <c r="QD7" t="s">
        <v>1791</v>
      </c>
      <c r="QI7" t="s">
        <v>6209</v>
      </c>
      <c r="QK7">
        <v>-2.4245362661989844E-14</v>
      </c>
      <c r="QL7">
        <v>-2.4245362661989844E-14</v>
      </c>
      <c r="QM7" t="s">
        <v>1809</v>
      </c>
      <c r="QN7">
        <v>2026</v>
      </c>
      <c r="QO7" t="s">
        <v>6210</v>
      </c>
      <c r="QP7" s="6">
        <v>45968</v>
      </c>
      <c r="QQ7">
        <v>5</v>
      </c>
      <c r="QR7">
        <v>-2.4245362661989844E-14</v>
      </c>
      <c r="QS7">
        <v>17079723</v>
      </c>
      <c r="QT7" t="s">
        <v>6211</v>
      </c>
      <c r="QW7" t="s">
        <v>2105</v>
      </c>
      <c r="QX7">
        <v>-2.4245362661989844E-14</v>
      </c>
      <c r="QZ7">
        <v>-2.4245362661989844E-14</v>
      </c>
      <c r="RA7" t="s">
        <v>1798</v>
      </c>
      <c r="RB7">
        <v>2022</v>
      </c>
      <c r="RC7" t="s">
        <v>2106</v>
      </c>
      <c r="RD7" s="6">
        <v>44882</v>
      </c>
      <c r="RE7">
        <v>5</v>
      </c>
      <c r="RF7">
        <v>-2.4245362661989844E-14</v>
      </c>
      <c r="RG7">
        <v>183833</v>
      </c>
      <c r="RH7" t="s">
        <v>2107</v>
      </c>
      <c r="UY7" t="s">
        <v>5814</v>
      </c>
      <c r="VA7">
        <v>-2.4245362661989844E-14</v>
      </c>
      <c r="VB7">
        <v>-2.4245362661989844E-14</v>
      </c>
      <c r="VC7" t="s">
        <v>1745</v>
      </c>
      <c r="VD7">
        <v>2022</v>
      </c>
      <c r="VE7" t="s">
        <v>5815</v>
      </c>
      <c r="VF7" s="6">
        <v>45044</v>
      </c>
      <c r="VG7">
        <v>4</v>
      </c>
      <c r="VH7">
        <v>-2.4245362661989844E-14</v>
      </c>
      <c r="VI7">
        <v>26290697</v>
      </c>
      <c r="VJ7" t="s">
        <v>5816</v>
      </c>
    </row>
    <row r="8" spans="1:600" x14ac:dyDescent="0.25">
      <c r="A8" t="s">
        <v>5127</v>
      </c>
      <c r="C8">
        <v>-2.4245362661989844E-14</v>
      </c>
      <c r="D8">
        <v>-2.4245362661989844E-14</v>
      </c>
      <c r="E8" t="s">
        <v>1745</v>
      </c>
      <c r="F8">
        <v>2024</v>
      </c>
      <c r="G8" t="s">
        <v>5128</v>
      </c>
      <c r="H8" s="6">
        <v>45714</v>
      </c>
      <c r="I8">
        <v>5</v>
      </c>
      <c r="J8">
        <v>-2.4245362661989844E-14</v>
      </c>
      <c r="K8">
        <v>100457</v>
      </c>
      <c r="L8" t="s">
        <v>5129</v>
      </c>
      <c r="AE8" t="s">
        <v>2161</v>
      </c>
      <c r="AF8" t="s">
        <v>1786</v>
      </c>
      <c r="AG8">
        <v>2.2887200000000001</v>
      </c>
      <c r="AH8">
        <v>2.1396540000000002</v>
      </c>
      <c r="AI8" t="s">
        <v>1762</v>
      </c>
      <c r="AJ8">
        <v>2026</v>
      </c>
      <c r="AK8" t="s">
        <v>6322</v>
      </c>
      <c r="AL8" s="6">
        <v>45940</v>
      </c>
      <c r="AM8">
        <v>5</v>
      </c>
      <c r="AN8">
        <v>339306336</v>
      </c>
      <c r="AO8">
        <v>7583418</v>
      </c>
      <c r="AP8" t="s">
        <v>2163</v>
      </c>
      <c r="BI8" t="s">
        <v>34</v>
      </c>
      <c r="BJ8" t="s">
        <v>1786</v>
      </c>
      <c r="BK8">
        <v>2.1909000000000001E-2</v>
      </c>
      <c r="BL8">
        <v>0.25751600000000002</v>
      </c>
      <c r="BM8" t="s">
        <v>1845</v>
      </c>
      <c r="BN8">
        <v>2025</v>
      </c>
      <c r="BO8" t="s">
        <v>1883</v>
      </c>
      <c r="BP8" s="6">
        <v>45848</v>
      </c>
      <c r="BQ8">
        <v>5</v>
      </c>
      <c r="BR8">
        <v>3484188</v>
      </c>
      <c r="BS8">
        <v>101752</v>
      </c>
      <c r="BT8" t="s">
        <v>2723</v>
      </c>
      <c r="BW8" t="s">
        <v>1999</v>
      </c>
      <c r="BX8">
        <v>-2.4245362661989844E-14</v>
      </c>
      <c r="BZ8">
        <v>-2.4245362661989844E-14</v>
      </c>
      <c r="CA8" t="s">
        <v>1798</v>
      </c>
      <c r="CB8">
        <v>2025</v>
      </c>
      <c r="CC8" t="s">
        <v>2000</v>
      </c>
      <c r="CD8" s="6">
        <v>45975</v>
      </c>
      <c r="CE8">
        <v>5</v>
      </c>
      <c r="CF8">
        <v>-2.4245362661989844E-14</v>
      </c>
      <c r="CG8">
        <v>9760711</v>
      </c>
      <c r="CH8" t="s">
        <v>2001</v>
      </c>
      <c r="EU8" t="s">
        <v>167</v>
      </c>
      <c r="EW8">
        <v>-2.4245362661989844E-14</v>
      </c>
      <c r="EX8">
        <v>-2.4245362661989844E-14</v>
      </c>
      <c r="EY8" t="s">
        <v>1745</v>
      </c>
      <c r="EZ8">
        <v>2024</v>
      </c>
      <c r="FA8" t="s">
        <v>5027</v>
      </c>
      <c r="FB8" s="6">
        <v>45307</v>
      </c>
      <c r="FC8">
        <v>5</v>
      </c>
      <c r="FD8">
        <v>-2.4245362661989844E-14</v>
      </c>
      <c r="FE8">
        <v>69423747</v>
      </c>
      <c r="FF8" t="s">
        <v>2036</v>
      </c>
      <c r="JK8" t="s">
        <v>3113</v>
      </c>
      <c r="JM8">
        <v>-2.4245362661989844E-14</v>
      </c>
      <c r="JN8">
        <v>-2.4245362661989844E-14</v>
      </c>
      <c r="JO8" t="s">
        <v>1742</v>
      </c>
      <c r="JP8">
        <v>2023</v>
      </c>
      <c r="JQ8" t="s">
        <v>3109</v>
      </c>
      <c r="JR8" s="6">
        <v>45166</v>
      </c>
      <c r="JS8">
        <v>5</v>
      </c>
      <c r="JT8">
        <v>-2.4245362661989844E-14</v>
      </c>
      <c r="JU8">
        <v>38165208</v>
      </c>
      <c r="JV8" t="s">
        <v>3114</v>
      </c>
      <c r="JY8" t="s">
        <v>236</v>
      </c>
      <c r="JZ8">
        <v>-2.4245362661989844E-14</v>
      </c>
      <c r="KB8">
        <v>-2.4245362661989844E-14</v>
      </c>
      <c r="KC8" t="s">
        <v>1742</v>
      </c>
      <c r="KD8">
        <v>2023</v>
      </c>
      <c r="KE8" t="s">
        <v>3109</v>
      </c>
      <c r="KF8" s="6">
        <v>45166</v>
      </c>
      <c r="KG8">
        <v>5</v>
      </c>
      <c r="KH8">
        <v>-2.4245362661989844E-14</v>
      </c>
      <c r="KI8">
        <v>102782</v>
      </c>
      <c r="KJ8" t="s">
        <v>2149</v>
      </c>
      <c r="KO8" t="s">
        <v>1379</v>
      </c>
      <c r="KP8" t="s">
        <v>1820</v>
      </c>
      <c r="KQ8">
        <v>6.157108</v>
      </c>
      <c r="KR8">
        <v>1.810521</v>
      </c>
      <c r="KS8" t="s">
        <v>1762</v>
      </c>
      <c r="KT8">
        <v>2025</v>
      </c>
      <c r="KU8" t="s">
        <v>2867</v>
      </c>
      <c r="KV8" s="6">
        <v>45929</v>
      </c>
      <c r="KW8">
        <v>5</v>
      </c>
      <c r="KX8">
        <v>23591082</v>
      </c>
      <c r="KY8">
        <v>13070762</v>
      </c>
      <c r="KZ8" t="s">
        <v>2868</v>
      </c>
      <c r="LC8" t="s">
        <v>5146</v>
      </c>
      <c r="LD8">
        <v>3.5721000000000003E-2</v>
      </c>
      <c r="LE8" t="s">
        <v>1786</v>
      </c>
      <c r="LF8">
        <v>0.41368700000000003</v>
      </c>
      <c r="LG8" t="s">
        <v>1845</v>
      </c>
      <c r="LH8">
        <v>2025</v>
      </c>
      <c r="LI8" t="s">
        <v>5147</v>
      </c>
      <c r="LJ8" s="6">
        <v>46086</v>
      </c>
      <c r="LK8">
        <v>5</v>
      </c>
      <c r="LL8">
        <v>4927012</v>
      </c>
      <c r="LM8">
        <v>9188256</v>
      </c>
      <c r="LN8" t="s">
        <v>5148</v>
      </c>
      <c r="LS8" t="s">
        <v>3784</v>
      </c>
      <c r="LU8">
        <v>-2.4245362661989844E-14</v>
      </c>
      <c r="LV8">
        <v>-2.4245362661989844E-14</v>
      </c>
      <c r="LW8" t="s">
        <v>1742</v>
      </c>
      <c r="LX8">
        <v>2022</v>
      </c>
      <c r="LY8" t="s">
        <v>3785</v>
      </c>
      <c r="LZ8" s="6">
        <v>44866</v>
      </c>
      <c r="MA8">
        <v>5</v>
      </c>
      <c r="MB8">
        <v>-2.4245362661989844E-14</v>
      </c>
      <c r="MC8">
        <v>67334057</v>
      </c>
      <c r="MD8" t="s">
        <v>3786</v>
      </c>
      <c r="OA8" t="s">
        <v>2422</v>
      </c>
      <c r="OB8" t="s">
        <v>1786</v>
      </c>
      <c r="OC8">
        <v>0.49460599999999999</v>
      </c>
      <c r="OD8">
        <v>0.59379599999999999</v>
      </c>
      <c r="OE8" t="s">
        <v>1762</v>
      </c>
      <c r="OF8">
        <v>2025</v>
      </c>
      <c r="OG8" t="s">
        <v>2423</v>
      </c>
      <c r="OH8" s="6">
        <v>45874</v>
      </c>
      <c r="OI8">
        <v>5</v>
      </c>
      <c r="OJ8">
        <v>41661912.210000001</v>
      </c>
      <c r="OK8">
        <v>115519</v>
      </c>
      <c r="OL8" t="s">
        <v>2424</v>
      </c>
      <c r="OO8" t="s">
        <v>6416</v>
      </c>
      <c r="OP8">
        <v>-2.4245362661989844E-14</v>
      </c>
      <c r="OR8">
        <v>-2.4245362661989844E-14</v>
      </c>
      <c r="OS8" t="s">
        <v>1745</v>
      </c>
      <c r="OT8">
        <v>2023</v>
      </c>
      <c r="OU8" t="s">
        <v>6412</v>
      </c>
      <c r="OV8" s="6">
        <v>45328</v>
      </c>
      <c r="OW8">
        <v>5</v>
      </c>
      <c r="OX8">
        <v>-2.4245362661989844E-14</v>
      </c>
      <c r="OY8">
        <v>837620</v>
      </c>
      <c r="OZ8" t="s">
        <v>6417</v>
      </c>
      <c r="PE8" t="s">
        <v>357</v>
      </c>
      <c r="PF8" t="s">
        <v>1786</v>
      </c>
      <c r="PG8">
        <v>0.893262</v>
      </c>
      <c r="PH8">
        <v>1.9939499999999999</v>
      </c>
      <c r="PI8" t="s">
        <v>1809</v>
      </c>
      <c r="PJ8">
        <v>2025</v>
      </c>
      <c r="PK8" t="s">
        <v>2035</v>
      </c>
      <c r="PL8" s="6">
        <v>45797</v>
      </c>
      <c r="PM8">
        <v>5</v>
      </c>
      <c r="PN8">
        <v>129806144</v>
      </c>
      <c r="PO8">
        <v>1499717</v>
      </c>
      <c r="PP8" t="s">
        <v>1864</v>
      </c>
      <c r="PS8" t="s">
        <v>1814</v>
      </c>
      <c r="PT8">
        <v>0.94301500000000005</v>
      </c>
      <c r="PU8" t="s">
        <v>1786</v>
      </c>
      <c r="PV8">
        <v>2.2702520000000002</v>
      </c>
      <c r="PW8" t="s">
        <v>1809</v>
      </c>
      <c r="PX8">
        <v>2025</v>
      </c>
      <c r="PY8" t="s">
        <v>1815</v>
      </c>
      <c r="PZ8" s="6">
        <v>45784</v>
      </c>
      <c r="QA8">
        <v>5</v>
      </c>
      <c r="QB8">
        <v>137123792</v>
      </c>
      <c r="QC8">
        <v>100115</v>
      </c>
      <c r="QD8" t="s">
        <v>1816</v>
      </c>
      <c r="QI8" t="s">
        <v>6212</v>
      </c>
      <c r="QK8">
        <v>-2.4245362661989844E-14</v>
      </c>
      <c r="QL8">
        <v>-2.4245362661989844E-14</v>
      </c>
      <c r="QM8" t="s">
        <v>1798</v>
      </c>
      <c r="QN8">
        <v>2025</v>
      </c>
      <c r="QO8" t="s">
        <v>6213</v>
      </c>
      <c r="QP8" s="6">
        <v>45975</v>
      </c>
      <c r="QQ8">
        <v>5</v>
      </c>
      <c r="QR8">
        <v>-2.4245362661989844E-14</v>
      </c>
      <c r="QS8">
        <v>17496610</v>
      </c>
      <c r="QT8" t="s">
        <v>6214</v>
      </c>
      <c r="QW8" t="s">
        <v>2108</v>
      </c>
      <c r="QX8">
        <v>-2.4245362661989844E-14</v>
      </c>
      <c r="QZ8">
        <v>-2.4245362661989844E-14</v>
      </c>
      <c r="RA8" t="s">
        <v>1745</v>
      </c>
      <c r="RB8">
        <v>2025</v>
      </c>
      <c r="RC8" t="s">
        <v>2109</v>
      </c>
      <c r="RD8" s="6">
        <v>46056</v>
      </c>
      <c r="RE8">
        <v>5</v>
      </c>
      <c r="RF8">
        <v>-2.4245362661989844E-14</v>
      </c>
      <c r="RG8">
        <v>955442</v>
      </c>
      <c r="RH8" t="s">
        <v>2110</v>
      </c>
      <c r="UY8" t="s">
        <v>1678</v>
      </c>
      <c r="VA8">
        <v>-2.4245362661989844E-14</v>
      </c>
      <c r="VB8">
        <v>-2.4245362661989844E-14</v>
      </c>
      <c r="VC8" t="s">
        <v>1762</v>
      </c>
      <c r="VD8">
        <v>2023</v>
      </c>
      <c r="VE8" t="s">
        <v>5817</v>
      </c>
      <c r="VF8" s="6">
        <v>45162</v>
      </c>
      <c r="VG8">
        <v>4</v>
      </c>
      <c r="VH8">
        <v>-2.4245362661989844E-14</v>
      </c>
      <c r="VI8">
        <v>52033328</v>
      </c>
      <c r="VJ8" t="s">
        <v>5818</v>
      </c>
    </row>
    <row r="9" spans="1:600" x14ac:dyDescent="0.25">
      <c r="A9" t="s">
        <v>5130</v>
      </c>
      <c r="C9">
        <v>-2.4245362661989844E-14</v>
      </c>
      <c r="D9">
        <v>-2.4245362661989844E-14</v>
      </c>
      <c r="E9" t="s">
        <v>1762</v>
      </c>
      <c r="F9">
        <v>2024</v>
      </c>
      <c r="G9" t="s">
        <v>5131</v>
      </c>
      <c r="H9" s="6">
        <v>45433</v>
      </c>
      <c r="I9">
        <v>5</v>
      </c>
      <c r="J9">
        <v>-2.4245362661989844E-14</v>
      </c>
      <c r="K9">
        <v>103350</v>
      </c>
      <c r="L9" t="s">
        <v>5132</v>
      </c>
      <c r="AE9" t="s">
        <v>6324</v>
      </c>
      <c r="AF9" t="s">
        <v>1786</v>
      </c>
      <c r="AG9">
        <v>11.214320000000001</v>
      </c>
      <c r="AH9">
        <v>1.942599</v>
      </c>
      <c r="AI9" t="s">
        <v>1762</v>
      </c>
      <c r="AJ9">
        <v>2025</v>
      </c>
      <c r="AK9" t="s">
        <v>6325</v>
      </c>
      <c r="AL9" s="6">
        <v>45954</v>
      </c>
      <c r="AM9">
        <v>5</v>
      </c>
      <c r="AN9">
        <v>308057376</v>
      </c>
      <c r="AO9">
        <v>11089797</v>
      </c>
      <c r="AP9" t="s">
        <v>6326</v>
      </c>
      <c r="BI9" t="s">
        <v>4522</v>
      </c>
      <c r="BJ9" t="s">
        <v>1786</v>
      </c>
      <c r="BK9">
        <v>3.7962999999999997E-2</v>
      </c>
      <c r="BL9">
        <v>0.117649</v>
      </c>
      <c r="BM9" t="s">
        <v>1762</v>
      </c>
      <c r="BN9">
        <v>2025</v>
      </c>
      <c r="BO9" t="s">
        <v>4523</v>
      </c>
      <c r="BP9" s="6">
        <v>45917</v>
      </c>
      <c r="BQ9">
        <v>5</v>
      </c>
      <c r="BR9">
        <v>1794964.29</v>
      </c>
      <c r="BS9">
        <v>112156</v>
      </c>
      <c r="BT9" t="s">
        <v>4524</v>
      </c>
      <c r="BW9" t="s">
        <v>2002</v>
      </c>
      <c r="BX9">
        <v>-2.4245362661989844E-14</v>
      </c>
      <c r="BZ9">
        <v>-2.4245362661989844E-14</v>
      </c>
      <c r="CA9" t="s">
        <v>1745</v>
      </c>
      <c r="CB9">
        <v>2022</v>
      </c>
      <c r="CC9" t="s">
        <v>2003</v>
      </c>
      <c r="CD9" s="6">
        <v>44973</v>
      </c>
      <c r="CE9">
        <v>5</v>
      </c>
      <c r="CF9">
        <v>-2.4245362661989844E-14</v>
      </c>
      <c r="CG9">
        <v>11599856</v>
      </c>
      <c r="CH9" t="s">
        <v>2004</v>
      </c>
      <c r="EU9" t="s">
        <v>5028</v>
      </c>
      <c r="EW9">
        <v>-2.4245362661989844E-14</v>
      </c>
      <c r="EX9">
        <v>-2.4245362661989844E-14</v>
      </c>
      <c r="EY9" t="s">
        <v>1745</v>
      </c>
      <c r="EZ9">
        <v>2023</v>
      </c>
      <c r="FA9" t="s">
        <v>5029</v>
      </c>
      <c r="FB9" s="6">
        <v>45301</v>
      </c>
      <c r="FC9">
        <v>5</v>
      </c>
      <c r="FD9">
        <v>-2.4245362661989844E-14</v>
      </c>
      <c r="FE9">
        <v>57811522</v>
      </c>
      <c r="FF9" t="s">
        <v>5030</v>
      </c>
      <c r="JK9" t="s">
        <v>3115</v>
      </c>
      <c r="JM9">
        <v>-2.4245362661989844E-14</v>
      </c>
      <c r="JN9">
        <v>-2.4245362661989844E-14</v>
      </c>
      <c r="JO9" t="s">
        <v>1742</v>
      </c>
      <c r="JP9">
        <v>2023</v>
      </c>
      <c r="JQ9" t="s">
        <v>3109</v>
      </c>
      <c r="JR9" s="6">
        <v>45166</v>
      </c>
      <c r="JS9">
        <v>5</v>
      </c>
      <c r="JT9">
        <v>-2.4245362661989844E-14</v>
      </c>
      <c r="JU9">
        <v>42618390</v>
      </c>
      <c r="JV9" t="s">
        <v>3116</v>
      </c>
      <c r="JY9" t="s">
        <v>2502</v>
      </c>
      <c r="JZ9">
        <v>-2.4245362661989844E-14</v>
      </c>
      <c r="KB9">
        <v>-2.4245362661989844E-14</v>
      </c>
      <c r="KC9" t="s">
        <v>1742</v>
      </c>
      <c r="KD9">
        <v>2023</v>
      </c>
      <c r="KE9" t="s">
        <v>3109</v>
      </c>
      <c r="KF9" s="6">
        <v>45166</v>
      </c>
      <c r="KG9">
        <v>5</v>
      </c>
      <c r="KH9">
        <v>-2.4245362661989844E-14</v>
      </c>
      <c r="KI9">
        <v>60401289</v>
      </c>
      <c r="KJ9" t="s">
        <v>2503</v>
      </c>
      <c r="KO9" t="s">
        <v>2869</v>
      </c>
      <c r="KP9" t="s">
        <v>1786</v>
      </c>
      <c r="KQ9">
        <v>0.45783699999999999</v>
      </c>
      <c r="KR9">
        <v>0.152921</v>
      </c>
      <c r="KS9" t="s">
        <v>1745</v>
      </c>
      <c r="KT9">
        <v>2024</v>
      </c>
      <c r="KU9" t="s">
        <v>2870</v>
      </c>
      <c r="KV9" s="6">
        <v>45716</v>
      </c>
      <c r="KW9">
        <v>5</v>
      </c>
      <c r="KX9">
        <v>18750026</v>
      </c>
      <c r="KY9">
        <v>13041324</v>
      </c>
      <c r="KZ9" t="s">
        <v>2871</v>
      </c>
      <c r="LC9" t="s">
        <v>5276</v>
      </c>
      <c r="LD9">
        <v>1.6008999999999999E-2</v>
      </c>
      <c r="LF9">
        <v>-2.4245362661989844E-14</v>
      </c>
      <c r="LG9" t="s">
        <v>1745</v>
      </c>
      <c r="LH9">
        <v>2024</v>
      </c>
      <c r="LI9" t="s">
        <v>2870</v>
      </c>
      <c r="LJ9" s="6">
        <v>45716</v>
      </c>
      <c r="LK9">
        <v>5</v>
      </c>
      <c r="LL9">
        <v>2250000</v>
      </c>
      <c r="LM9">
        <v>14465625</v>
      </c>
      <c r="LN9" t="s">
        <v>5277</v>
      </c>
      <c r="LS9" t="s">
        <v>2989</v>
      </c>
      <c r="LU9">
        <v>-2.4245362661989844E-14</v>
      </c>
      <c r="LV9">
        <v>-2.4245362661989844E-14</v>
      </c>
      <c r="LW9" t="s">
        <v>1809</v>
      </c>
      <c r="LX9">
        <v>2025</v>
      </c>
      <c r="LY9" t="s">
        <v>3787</v>
      </c>
      <c r="LZ9" s="6">
        <v>45784</v>
      </c>
      <c r="MA9">
        <v>5</v>
      </c>
      <c r="MB9">
        <v>-2.4245362661989844E-14</v>
      </c>
      <c r="MC9">
        <v>69762655</v>
      </c>
      <c r="MD9" t="s">
        <v>2991</v>
      </c>
      <c r="OA9" t="s">
        <v>3488</v>
      </c>
      <c r="OB9" t="s">
        <v>1786</v>
      </c>
      <c r="OC9">
        <v>0.59686399999999995</v>
      </c>
      <c r="OD9">
        <v>0.494811</v>
      </c>
      <c r="OE9" t="s">
        <v>1762</v>
      </c>
      <c r="OF9">
        <v>2025</v>
      </c>
      <c r="OG9" t="s">
        <v>3489</v>
      </c>
      <c r="OH9" s="6">
        <v>45862</v>
      </c>
      <c r="OI9">
        <v>5</v>
      </c>
      <c r="OJ9">
        <v>34716886.619999997</v>
      </c>
      <c r="OK9">
        <v>115545</v>
      </c>
      <c r="OL9" t="s">
        <v>3490</v>
      </c>
      <c r="OO9" t="s">
        <v>6418</v>
      </c>
      <c r="OP9">
        <v>-2.4245362661989844E-14</v>
      </c>
      <c r="OR9">
        <v>-2.4245362661989844E-14</v>
      </c>
      <c r="OS9" t="s">
        <v>1745</v>
      </c>
      <c r="OT9">
        <v>2023</v>
      </c>
      <c r="OU9" t="s">
        <v>6412</v>
      </c>
      <c r="OV9" s="6">
        <v>45328</v>
      </c>
      <c r="OW9">
        <v>5</v>
      </c>
      <c r="OX9">
        <v>-2.4245362661989844E-14</v>
      </c>
      <c r="OY9">
        <v>7430526</v>
      </c>
      <c r="OZ9" t="s">
        <v>6419</v>
      </c>
      <c r="PE9" t="s">
        <v>2512</v>
      </c>
      <c r="PF9" t="s">
        <v>1786</v>
      </c>
      <c r="PG9">
        <v>0.59890299999999996</v>
      </c>
      <c r="PH9">
        <v>1.729209</v>
      </c>
      <c r="PI9" t="s">
        <v>1809</v>
      </c>
      <c r="PJ9">
        <v>2025</v>
      </c>
      <c r="PK9" t="s">
        <v>2035</v>
      </c>
      <c r="PL9" s="6">
        <v>45797</v>
      </c>
      <c r="PM9">
        <v>5</v>
      </c>
      <c r="PN9">
        <v>112571504</v>
      </c>
      <c r="PO9">
        <v>130929</v>
      </c>
      <c r="PP9" t="s">
        <v>2513</v>
      </c>
      <c r="PS9" t="s">
        <v>167</v>
      </c>
      <c r="PT9">
        <v>0.76780499999999996</v>
      </c>
      <c r="PU9" t="s">
        <v>1786</v>
      </c>
      <c r="PV9">
        <v>2.2920660000000002</v>
      </c>
      <c r="PW9" t="s">
        <v>1809</v>
      </c>
      <c r="PX9">
        <v>2025</v>
      </c>
      <c r="PY9" t="s">
        <v>2035</v>
      </c>
      <c r="PZ9" s="6">
        <v>45797</v>
      </c>
      <c r="QA9">
        <v>5</v>
      </c>
      <c r="QB9">
        <v>111646528</v>
      </c>
      <c r="QC9">
        <v>69423747</v>
      </c>
      <c r="QD9" t="s">
        <v>2036</v>
      </c>
      <c r="QI9" t="s">
        <v>6215</v>
      </c>
      <c r="QK9">
        <v>-2.4245362661989844E-14</v>
      </c>
      <c r="QL9">
        <v>-2.4245362661989844E-14</v>
      </c>
      <c r="QM9" t="s">
        <v>1805</v>
      </c>
      <c r="QN9">
        <v>2022</v>
      </c>
      <c r="QO9" t="s">
        <v>6216</v>
      </c>
      <c r="QP9" s="6">
        <v>44801</v>
      </c>
      <c r="QQ9">
        <v>5</v>
      </c>
      <c r="QR9">
        <v>-2.4245362661989844E-14</v>
      </c>
      <c r="QS9">
        <v>17116915</v>
      </c>
      <c r="QT9" t="s">
        <v>6217</v>
      </c>
      <c r="QW9" t="s">
        <v>2111</v>
      </c>
      <c r="QX9">
        <v>-2.4245362661989844E-14</v>
      </c>
      <c r="QZ9">
        <v>-2.4245362661989844E-14</v>
      </c>
      <c r="RA9" t="s">
        <v>1745</v>
      </c>
      <c r="RB9">
        <v>2024</v>
      </c>
      <c r="RC9" t="s">
        <v>2112</v>
      </c>
      <c r="RD9" s="6">
        <v>45785</v>
      </c>
      <c r="RE9">
        <v>5</v>
      </c>
      <c r="RF9">
        <v>-2.4245362661989844E-14</v>
      </c>
      <c r="RG9">
        <v>1459394</v>
      </c>
      <c r="RH9" t="s">
        <v>2113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647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648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649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650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651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652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653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654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655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656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657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658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659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660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661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662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663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664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665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666</v>
      </c>
      <c r="AE2" s="3" t="s">
        <v>667</v>
      </c>
      <c r="BI2" s="3" t="s">
        <v>191</v>
      </c>
      <c r="CM2" s="3" t="s">
        <v>352</v>
      </c>
      <c r="DQ2" s="3" t="s">
        <v>668</v>
      </c>
      <c r="EU2" s="3" t="s">
        <v>669</v>
      </c>
      <c r="FY2" s="3" t="s">
        <v>670</v>
      </c>
      <c r="HC2" s="3" t="s">
        <v>285</v>
      </c>
      <c r="IG2" s="3" t="s">
        <v>273</v>
      </c>
      <c r="JK2" s="3" t="s">
        <v>79</v>
      </c>
      <c r="KO2" s="3" t="s">
        <v>574</v>
      </c>
      <c r="LS2" s="3" t="s">
        <v>671</v>
      </c>
      <c r="MW2" s="3" t="s">
        <v>672</v>
      </c>
      <c r="OA2" s="3" t="s">
        <v>673</v>
      </c>
      <c r="PE2" s="3" t="s">
        <v>674</v>
      </c>
      <c r="QI2" s="3" t="s">
        <v>675</v>
      </c>
      <c r="RM2" s="3" t="s">
        <v>676</v>
      </c>
      <c r="SQ2" s="3" t="s">
        <v>677</v>
      </c>
      <c r="TU2" s="3" t="s">
        <v>384</v>
      </c>
      <c r="UY2" s="3" t="s">
        <v>527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_xll.BDS("9990819D US Equity","SUPPLY_CHAIN_SUPPLIERS_ALL_DATA")</f>
        <v>#N/A N/A</v>
      </c>
      <c r="O5" t="str">
        <f>_xll.BDS("9990819D US Equity","SUPPLY_CHAIN_CUSTOMERS_ALL_DATA")</f>
        <v>#N/A N/A</v>
      </c>
      <c r="AE5" t="str">
        <f>_xll.BDS("HOLX US Equity","SUPPLY_CHAIN_SUPPLIERS_ALL_DATA","cols=12;rows=5")</f>
        <v>FLEX US Equity</v>
      </c>
      <c r="AF5" t="s">
        <v>1786</v>
      </c>
      <c r="AG5">
        <v>0.19427700000000001</v>
      </c>
      <c r="AH5">
        <v>2.8862000000000001</v>
      </c>
      <c r="AI5" t="s">
        <v>1742</v>
      </c>
      <c r="AJ5">
        <v>2025</v>
      </c>
      <c r="AK5" t="s">
        <v>2387</v>
      </c>
      <c r="AL5" s="6">
        <v>45763</v>
      </c>
      <c r="AM5">
        <v>5</v>
      </c>
      <c r="AN5">
        <v>12736800</v>
      </c>
      <c r="AO5">
        <v>136547</v>
      </c>
      <c r="AP5" t="s">
        <v>2388</v>
      </c>
      <c r="AS5" t="str">
        <f>_xll.BDS("HOLX US Equity","SUPPLY_CHAIN_CUSTOMERS_ALL_DATA","cols=12;rows=5")</f>
        <v>0219250Z US Equity</v>
      </c>
      <c r="AT5">
        <v>-2.4245362661989844E-14</v>
      </c>
      <c r="AV5">
        <v>-2.4245362661989844E-14</v>
      </c>
      <c r="AW5" t="s">
        <v>1742</v>
      </c>
      <c r="AX5">
        <v>2023</v>
      </c>
      <c r="AY5" t="s">
        <v>1793</v>
      </c>
      <c r="AZ5" s="6">
        <v>45139</v>
      </c>
      <c r="BA5">
        <v>5</v>
      </c>
      <c r="BB5">
        <v>-2.4245362661989844E-14</v>
      </c>
      <c r="BC5">
        <v>962217</v>
      </c>
      <c r="BD5" t="s">
        <v>1794</v>
      </c>
      <c r="BI5" t="str">
        <f>_xll.BDS("BRCD US Equity","SUPPLY_CHAIN_SUPPLIERS_ALL_DATA")</f>
        <v>#N/A N/A</v>
      </c>
      <c r="BW5" t="str">
        <f>_xll.BDS("BRCD US Equity","SUPPLY_CHAIN_CUSTOMERS_ALL_DATA")</f>
        <v>#N/A N/A</v>
      </c>
      <c r="CM5" t="str">
        <f>_xll.BDS("CAR US Equity","SUPPLY_CHAIN_SUPPLIERS_ALL_DATA","cols=12;rows=5")</f>
        <v>VRRM US Equity</v>
      </c>
      <c r="CN5" t="s">
        <v>1786</v>
      </c>
      <c r="CO5">
        <v>13.5</v>
      </c>
      <c r="CP5">
        <v>1.973611</v>
      </c>
      <c r="CQ5" t="s">
        <v>1745</v>
      </c>
      <c r="CR5">
        <v>2024</v>
      </c>
      <c r="CS5" t="s">
        <v>4514</v>
      </c>
      <c r="CT5" s="6">
        <v>45715</v>
      </c>
      <c r="CU5">
        <v>5</v>
      </c>
      <c r="CV5">
        <v>29673236</v>
      </c>
      <c r="CW5">
        <v>51985055</v>
      </c>
      <c r="CX5" t="s">
        <v>4515</v>
      </c>
      <c r="DA5" t="str">
        <f>_xll.BDS("CAR US Equity","SUPPLY_CHAIN_CUSTOMERS_ALL_DATA","cols=12;rows=5")</f>
        <v>EIH IN Equity</v>
      </c>
      <c r="DB5">
        <v>1.306E-2</v>
      </c>
      <c r="DC5" t="s">
        <v>1786</v>
      </c>
      <c r="DD5">
        <v>0.69246200000000002</v>
      </c>
      <c r="DE5" t="s">
        <v>1745</v>
      </c>
      <c r="DF5">
        <v>2025</v>
      </c>
      <c r="DG5" t="s">
        <v>1990</v>
      </c>
      <c r="DH5" s="6">
        <v>45850</v>
      </c>
      <c r="DI5">
        <v>5</v>
      </c>
      <c r="DJ5">
        <v>381034.1</v>
      </c>
      <c r="DK5">
        <v>162657</v>
      </c>
      <c r="DL5" t="s">
        <v>1991</v>
      </c>
      <c r="DQ5" t="str">
        <f>_xll.BDS("INSW US Equity","SUPPLY_CHAIN_SUPPLIERS_ALL_DATA")</f>
        <v>#N/A N/A</v>
      </c>
      <c r="EE5" t="str">
        <f>_xll.BDS("INSW US Equity","SUPPLY_CHAIN_CUSTOMERS_ALL_DATA")</f>
        <v>#N/A N/A</v>
      </c>
      <c r="EU5" t="str">
        <f>_xll.BDS("MTZ US Equity","SUPPLY_CHAIN_SUPPLIERS_ALL_DATA","cols=12;rows=4")</f>
        <v>0824353D US Equity</v>
      </c>
      <c r="EV5" t="s">
        <v>1786</v>
      </c>
      <c r="EW5">
        <v>-2.4245362661989844E-14</v>
      </c>
      <c r="EX5">
        <v>5.2490000000000002E-2</v>
      </c>
      <c r="EY5" t="s">
        <v>1742</v>
      </c>
      <c r="EZ5">
        <v>2025</v>
      </c>
      <c r="FA5" t="s">
        <v>5180</v>
      </c>
      <c r="FB5" s="6">
        <v>45960</v>
      </c>
      <c r="FC5">
        <v>4</v>
      </c>
      <c r="FD5">
        <v>1800000</v>
      </c>
      <c r="FE5">
        <v>36053856</v>
      </c>
      <c r="FF5" t="s">
        <v>5181</v>
      </c>
      <c r="FI5" t="str">
        <f>_xll.BDS("MTZ US Equity","SUPPLY_CHAIN_CUSTOMERS_ALL_DATA","cols=12;rows=5")</f>
        <v>T US Equity</v>
      </c>
      <c r="FJ5">
        <v>10</v>
      </c>
      <c r="FK5" t="s">
        <v>1786</v>
      </c>
      <c r="FL5">
        <v>2.8136899999999998</v>
      </c>
      <c r="FM5" t="s">
        <v>1745</v>
      </c>
      <c r="FN5">
        <v>2025</v>
      </c>
      <c r="FO5" t="s">
        <v>5259</v>
      </c>
      <c r="FP5" s="6">
        <v>46079</v>
      </c>
      <c r="FQ5">
        <v>5</v>
      </c>
      <c r="FR5">
        <v>357479264</v>
      </c>
      <c r="FS5">
        <v>101376</v>
      </c>
      <c r="FT5" t="s">
        <v>1895</v>
      </c>
      <c r="FY5" t="str">
        <f>_xll.BDS("391243Q US Equity","SUPPLY_CHAIN_SUPPLIERS_ALL_DATA")</f>
        <v>#N/A N/A</v>
      </c>
      <c r="GM5" t="str">
        <f>_xll.BDS("391243Q US Equity","SUPPLY_CHAIN_CUSTOMERS_ALL_DATA")</f>
        <v>#N/A N/A</v>
      </c>
      <c r="HC5" t="str">
        <f>_xll.BDS("2258717D US Equity","SUPPLY_CHAIN_SUPPLIERS_ALL_DATA")</f>
        <v>#N/A N/A</v>
      </c>
      <c r="HQ5" t="str">
        <f>_xll.BDS("2258717D US Equity","SUPPLY_CHAIN_CUSTOMERS_ALL_DATA")</f>
        <v>#N/A N/A</v>
      </c>
      <c r="IG5" t="str">
        <f>_xll.BDS("LLY US Equity","SUPPLY_CHAIN_SUPPLIERS_ALL_DATA","cols=12;rows=5")</f>
        <v>RIGL US Equity</v>
      </c>
      <c r="IH5" t="s">
        <v>1786</v>
      </c>
      <c r="II5">
        <v>39</v>
      </c>
      <c r="IJ5">
        <v>1.782985</v>
      </c>
      <c r="IK5" t="s">
        <v>1762</v>
      </c>
      <c r="IL5">
        <v>2025</v>
      </c>
      <c r="IM5" t="s">
        <v>2872</v>
      </c>
      <c r="IN5" s="6">
        <v>45874</v>
      </c>
      <c r="IO5">
        <v>5</v>
      </c>
      <c r="IP5">
        <v>39657152</v>
      </c>
      <c r="IQ5">
        <v>1176875</v>
      </c>
      <c r="IR5" t="s">
        <v>2873</v>
      </c>
      <c r="IU5" t="str">
        <f>_xll.BDS("LLY US Equity","SUPPLY_CHAIN_CUSTOMERS_ALL_DATA","cols=12;rows=5")</f>
        <v>MCK US Equity</v>
      </c>
      <c r="IV5">
        <v>23.281113000000001</v>
      </c>
      <c r="IW5" t="s">
        <v>1786</v>
      </c>
      <c r="IX5">
        <v>5.5350809999999999</v>
      </c>
      <c r="IY5" t="s">
        <v>1742</v>
      </c>
      <c r="IZ5">
        <v>2025</v>
      </c>
      <c r="JA5" t="s">
        <v>3253</v>
      </c>
      <c r="JB5" s="6">
        <v>46041</v>
      </c>
      <c r="JC5">
        <v>5</v>
      </c>
      <c r="JD5">
        <v>4097661952</v>
      </c>
      <c r="JE5">
        <v>154936</v>
      </c>
      <c r="JF5" t="s">
        <v>2146</v>
      </c>
      <c r="JK5" t="str">
        <f>_xll.BDS("CEMJQ US Equity","SUPPLY_CHAIN_SUPPLIERS_ALL_DATA")</f>
        <v>#N/A N/A</v>
      </c>
      <c r="JY5" t="str">
        <f>_xll.BDS("CEMJQ US Equity","SUPPLY_CHAIN_CUSTOMERS_ALL_DATA")</f>
        <v>#N/A N/A</v>
      </c>
      <c r="KO5" t="str">
        <f>_xll.BDS("NCC US Equity","SUPPLY_CHAIN_SUPPLIERS_ALL_DATA")</f>
        <v>#N/A N/A</v>
      </c>
      <c r="LC5" t="str">
        <f>_xll.BDS("NCC US Equity","SUPPLY_CHAIN_CUSTOMERS_ALL_DATA")</f>
        <v>#N/A N/A</v>
      </c>
      <c r="LS5" t="str">
        <f>_xll.BDS("DCLK US Equity","SUPPLY_CHAIN_SUPPLIERS_ALL_DATA")</f>
        <v>#N/A N/A</v>
      </c>
      <c r="MG5" t="str">
        <f>_xll.BDS("DCLK US Equity","SUPPLY_CHAIN_CUSTOMERS_ALL_DATA")</f>
        <v>#N/A N/A</v>
      </c>
      <c r="MW5" t="str">
        <f>_xll.BDS("BBIO US Equity","SUPPLY_CHAIN_SUPPLIERS_ALL_DATA","cols=12;rows=4")</f>
        <v>ERF FP Equity</v>
      </c>
      <c r="MX5" t="s">
        <v>1786</v>
      </c>
      <c r="MY5">
        <v>2.3383999999999999E-2</v>
      </c>
      <c r="MZ5">
        <v>0.18986900000000001</v>
      </c>
      <c r="NA5" t="s">
        <v>1845</v>
      </c>
      <c r="NB5">
        <v>2024</v>
      </c>
      <c r="NC5" t="s">
        <v>5405</v>
      </c>
      <c r="ND5" s="6">
        <v>45730</v>
      </c>
      <c r="NE5">
        <v>4</v>
      </c>
      <c r="NF5">
        <v>440791.7</v>
      </c>
      <c r="NG5">
        <v>239787</v>
      </c>
      <c r="NH5" t="s">
        <v>5406</v>
      </c>
      <c r="NK5" t="str">
        <f>_xll.BDS("BBIO US Equity","SUPPLY_CHAIN_CUSTOMERS_ALL_DATA","cols=12;rows=5")</f>
        <v>AZN LN Equity</v>
      </c>
      <c r="NL5">
        <v>22.299999</v>
      </c>
      <c r="NM5" t="s">
        <v>1786</v>
      </c>
      <c r="NN5">
        <v>0.99700699999999998</v>
      </c>
      <c r="NO5" t="s">
        <v>1762</v>
      </c>
      <c r="NP5">
        <v>2025</v>
      </c>
      <c r="NQ5" t="s">
        <v>4913</v>
      </c>
      <c r="NR5" s="6">
        <v>45874</v>
      </c>
      <c r="NS5">
        <v>5</v>
      </c>
      <c r="NT5">
        <v>24655996</v>
      </c>
      <c r="NU5">
        <v>111093</v>
      </c>
      <c r="NV5" t="s">
        <v>2414</v>
      </c>
      <c r="OA5" t="str">
        <f>_xll.BDS("MVL US Equity","SUPPLY_CHAIN_SUPPLIERS_ALL_DATA")</f>
        <v>#N/A N/A</v>
      </c>
      <c r="OO5" t="str">
        <f>_xll.BDS("MVL US Equity","SUPPLY_CHAIN_CUSTOMERS_ALL_DATA")</f>
        <v>#N/A N/A</v>
      </c>
      <c r="PE5" t="str">
        <f>_xll.BDS("VSUNQ US Equity","SUPPLY_CHAIN_SUPPLIERS_ALL_DATA")</f>
        <v>#N/A N/A</v>
      </c>
      <c r="PS5" t="str">
        <f>_xll.BDS("VSUNQ US Equity","SUPPLY_CHAIN_CUSTOMERS_ALL_DATA")</f>
        <v>#N/A N/A</v>
      </c>
      <c r="QI5" t="str">
        <f>_xll.BDS("CKH US Equity","SUPPLY_CHAIN_SUPPLIERS_ALL_DATA","cols=12;rows=1")</f>
        <v>1143L US Equity</v>
      </c>
      <c r="QK5">
        <v>-2.4245362661989844E-14</v>
      </c>
      <c r="QL5">
        <v>-2.4245362661989844E-14</v>
      </c>
      <c r="QM5" t="s">
        <v>1745</v>
      </c>
      <c r="QN5">
        <v>2023</v>
      </c>
      <c r="QO5" t="s">
        <v>5639</v>
      </c>
      <c r="QP5" s="6">
        <v>45225</v>
      </c>
      <c r="QQ5">
        <v>1</v>
      </c>
      <c r="QR5">
        <v>-2.4245362661989844E-14</v>
      </c>
      <c r="QS5">
        <v>904938</v>
      </c>
      <c r="QT5" t="s">
        <v>5640</v>
      </c>
      <c r="QW5" t="str">
        <f>_xll.BDS("CKH US Equity","SUPPLY_CHAIN_CUSTOMERS_ALL_DATA","cols=12;rows=1")</f>
        <v>30585MF US Equity</v>
      </c>
      <c r="QX5">
        <v>-2.4245362661989844E-14</v>
      </c>
      <c r="QZ5">
        <v>-2.4245362661989844E-14</v>
      </c>
      <c r="RA5" t="s">
        <v>1745</v>
      </c>
      <c r="RB5">
        <v>2022</v>
      </c>
      <c r="RC5" t="s">
        <v>5502</v>
      </c>
      <c r="RD5" s="6">
        <v>44712</v>
      </c>
      <c r="RE5">
        <v>1</v>
      </c>
      <c r="RF5">
        <v>-2.4245362661989844E-14</v>
      </c>
      <c r="RG5">
        <v>1021433</v>
      </c>
      <c r="RH5" t="s">
        <v>5503</v>
      </c>
      <c r="RM5" t="str">
        <f>_xll.BDS("PPBI US Equity","SUPPLY_CHAIN_SUPPLIERS_ALL_DATA","cols=12;rows=1")</f>
        <v>MUST SP Equity</v>
      </c>
      <c r="RO5">
        <v>-2.4245362661989844E-14</v>
      </c>
      <c r="RP5">
        <v>-2.4245362661989844E-14</v>
      </c>
      <c r="RQ5" t="s">
        <v>1745</v>
      </c>
      <c r="RR5">
        <v>2024</v>
      </c>
      <c r="RS5" t="s">
        <v>2839</v>
      </c>
      <c r="RT5" s="6">
        <v>45762</v>
      </c>
      <c r="RU5">
        <v>1</v>
      </c>
      <c r="RV5">
        <v>-2.4245362661989844E-14</v>
      </c>
      <c r="RW5">
        <v>46286147</v>
      </c>
      <c r="RX5" t="s">
        <v>2733</v>
      </c>
      <c r="SA5" t="str">
        <f>_xll.BDS("PPBI US Equity","SUPPLY_CHAIN_CUSTOMERS_ALL_DATA")</f>
        <v>#N/A N/A</v>
      </c>
      <c r="SQ5" t="str">
        <f>_xll.BDS("MDT US Equity","SUPPLY_CHAIN_SUPPLIERS_ALL_DATA","cols=12;rows=5")</f>
        <v>FLEX US Equity</v>
      </c>
      <c r="SR5" t="s">
        <v>1786</v>
      </c>
      <c r="SS5">
        <v>1.2190190000000001</v>
      </c>
      <c r="ST5">
        <v>2.8758149999999998</v>
      </c>
      <c r="SU5" t="s">
        <v>1742</v>
      </c>
      <c r="SV5">
        <v>2025</v>
      </c>
      <c r="SW5" t="s">
        <v>2387</v>
      </c>
      <c r="SX5" s="6">
        <v>45763</v>
      </c>
      <c r="SY5">
        <v>5</v>
      </c>
      <c r="SZ5">
        <v>79918888</v>
      </c>
      <c r="TA5">
        <v>136547</v>
      </c>
      <c r="TB5" t="s">
        <v>2388</v>
      </c>
      <c r="TE5" t="str">
        <f>_xll.BDS("MDT US Equity","SUPPLY_CHAIN_CUSTOMERS_ALL_DATA","cols=12;rows=5")</f>
        <v>4104 TT Equity</v>
      </c>
      <c r="TF5">
        <v>0.20070099999999999</v>
      </c>
      <c r="TG5" t="s">
        <v>1786</v>
      </c>
      <c r="TH5">
        <v>32.397697000000001</v>
      </c>
      <c r="TI5" t="s">
        <v>1745</v>
      </c>
      <c r="TJ5">
        <v>2024</v>
      </c>
      <c r="TK5" t="s">
        <v>3546</v>
      </c>
      <c r="TL5" s="6">
        <v>45814</v>
      </c>
      <c r="TM5">
        <v>5</v>
      </c>
      <c r="TN5">
        <v>17028014.890000001</v>
      </c>
      <c r="TO5">
        <v>7324380</v>
      </c>
      <c r="TP5" t="s">
        <v>3547</v>
      </c>
      <c r="TU5" t="str">
        <f>_xll.BDS("VIRT US Equity","SUPPLY_CHAIN_SUPPLIERS_ALL_DATA")</f>
        <v>#N/A N/A</v>
      </c>
      <c r="UI5" t="str">
        <f>_xll.BDS("VIRT US Equity","SUPPLY_CHAIN_CUSTOMERS_ALL_DATA","cols=12;rows=1")</f>
        <v>8309 JP Equity</v>
      </c>
      <c r="UJ5">
        <v>-2.4245362661989844E-14</v>
      </c>
      <c r="UL5">
        <v>-2.4245362661989844E-14</v>
      </c>
      <c r="UM5" t="s">
        <v>1745</v>
      </c>
      <c r="UN5">
        <v>2023</v>
      </c>
      <c r="UO5" t="s">
        <v>5317</v>
      </c>
      <c r="UP5" s="6">
        <v>45176</v>
      </c>
      <c r="UQ5">
        <v>1</v>
      </c>
      <c r="UR5">
        <v>-2.4245362661989844E-14</v>
      </c>
      <c r="US5">
        <v>7611823</v>
      </c>
      <c r="UT5" t="s">
        <v>5318</v>
      </c>
      <c r="UY5" t="str">
        <f>_xll.BDS("CMA US Equity","SUPPLY_CHAIN_SUPPLIERS_ALL_DATA","cols=12;rows=1")</f>
        <v>TEMN SW Equity</v>
      </c>
      <c r="UZ5" t="s">
        <v>1786</v>
      </c>
      <c r="VA5">
        <v>9.1541999999999998E-2</v>
      </c>
      <c r="VB5">
        <v>4.0731000000000003E-2</v>
      </c>
      <c r="VC5" t="s">
        <v>1845</v>
      </c>
      <c r="VD5">
        <v>2024</v>
      </c>
      <c r="VE5" t="s">
        <v>3340</v>
      </c>
      <c r="VF5" s="6">
        <v>45709</v>
      </c>
      <c r="VG5">
        <v>1</v>
      </c>
      <c r="VH5">
        <v>228906</v>
      </c>
      <c r="VI5">
        <v>1713474</v>
      </c>
      <c r="VJ5" t="s">
        <v>3341</v>
      </c>
      <c r="VM5" t="str">
        <f>_xll.BDS("CMA US Equity","SUPPLY_CHAIN_CUSTOMERS_ALL_DATA","cols=12;rows=1")</f>
        <v>AUTLANB MM Equity</v>
      </c>
      <c r="VN5">
        <v>-2.4245362661989844E-14</v>
      </c>
      <c r="VP5">
        <v>-2.4245362661989844E-14</v>
      </c>
      <c r="VQ5" t="s">
        <v>1798</v>
      </c>
      <c r="VR5">
        <v>2022</v>
      </c>
      <c r="VS5" t="s">
        <v>2080</v>
      </c>
      <c r="VT5" s="6">
        <v>44860</v>
      </c>
      <c r="VU5">
        <v>1</v>
      </c>
      <c r="VV5">
        <v>-2.4245362661989844E-14</v>
      </c>
      <c r="VW5">
        <v>154733</v>
      </c>
      <c r="VX5" t="s">
        <v>2081</v>
      </c>
    </row>
    <row r="6" spans="1:600" x14ac:dyDescent="0.25">
      <c r="AE6" t="s">
        <v>2477</v>
      </c>
      <c r="AF6" t="s">
        <v>1786</v>
      </c>
      <c r="AG6">
        <v>57</v>
      </c>
      <c r="AH6">
        <v>0.58612699999999995</v>
      </c>
      <c r="AI6" t="s">
        <v>1745</v>
      </c>
      <c r="AJ6">
        <v>2024</v>
      </c>
      <c r="AK6" t="s">
        <v>2478</v>
      </c>
      <c r="AL6" s="6">
        <v>45687</v>
      </c>
      <c r="AM6">
        <v>5</v>
      </c>
      <c r="AN6">
        <v>2640541.5699999998</v>
      </c>
      <c r="AO6">
        <v>13528079</v>
      </c>
      <c r="AP6" t="s">
        <v>2479</v>
      </c>
      <c r="AS6" t="s">
        <v>1795</v>
      </c>
      <c r="AT6">
        <v>-2.4245362661989844E-14</v>
      </c>
      <c r="AV6">
        <v>-2.4245362661989844E-14</v>
      </c>
      <c r="AW6" t="s">
        <v>1742</v>
      </c>
      <c r="AX6">
        <v>2023</v>
      </c>
      <c r="AY6" t="s">
        <v>1793</v>
      </c>
      <c r="AZ6" s="6">
        <v>45139</v>
      </c>
      <c r="BA6">
        <v>5</v>
      </c>
      <c r="BB6">
        <v>-2.4245362661989844E-14</v>
      </c>
      <c r="BC6">
        <v>962205</v>
      </c>
      <c r="BD6" t="s">
        <v>1796</v>
      </c>
      <c r="CM6" t="s">
        <v>4516</v>
      </c>
      <c r="CN6" t="s">
        <v>1786</v>
      </c>
      <c r="CO6">
        <v>0.38619700000000001</v>
      </c>
      <c r="CP6">
        <v>0.47442000000000001</v>
      </c>
      <c r="CQ6" t="s">
        <v>1762</v>
      </c>
      <c r="CR6">
        <v>2025</v>
      </c>
      <c r="CS6" t="s">
        <v>4517</v>
      </c>
      <c r="CT6" s="6">
        <v>45952</v>
      </c>
      <c r="CU6">
        <v>5</v>
      </c>
      <c r="CV6">
        <v>7236754.0099999998</v>
      </c>
      <c r="CW6">
        <v>27639867</v>
      </c>
      <c r="CX6" t="s">
        <v>4518</v>
      </c>
      <c r="DA6" t="s">
        <v>1992</v>
      </c>
      <c r="DB6">
        <v>-2.4245362661989844E-14</v>
      </c>
      <c r="DD6">
        <v>-2.4245362661989844E-14</v>
      </c>
      <c r="DE6" t="s">
        <v>1993</v>
      </c>
      <c r="DF6">
        <v>2024</v>
      </c>
      <c r="DG6" t="s">
        <v>1994</v>
      </c>
      <c r="DH6" s="6">
        <v>45518</v>
      </c>
      <c r="DI6">
        <v>5</v>
      </c>
      <c r="DJ6">
        <v>-2.4245362661989844E-14</v>
      </c>
      <c r="DK6">
        <v>130119</v>
      </c>
      <c r="DL6" t="s">
        <v>1995</v>
      </c>
      <c r="EU6" t="s">
        <v>5182</v>
      </c>
      <c r="EW6">
        <v>-2.4245362661989844E-14</v>
      </c>
      <c r="EX6">
        <v>-2.4245362661989844E-14</v>
      </c>
      <c r="EY6" t="s">
        <v>1745</v>
      </c>
      <c r="EZ6">
        <v>2023</v>
      </c>
      <c r="FA6" t="s">
        <v>5183</v>
      </c>
      <c r="FB6" s="6">
        <v>45371</v>
      </c>
      <c r="FC6">
        <v>4</v>
      </c>
      <c r="FD6">
        <v>-2.4245362661989844E-14</v>
      </c>
      <c r="FE6">
        <v>37585679</v>
      </c>
      <c r="FF6" t="s">
        <v>5184</v>
      </c>
      <c r="FI6" t="s">
        <v>2346</v>
      </c>
      <c r="FJ6">
        <v>5.3509349999999998</v>
      </c>
      <c r="FK6" t="s">
        <v>1786</v>
      </c>
      <c r="FL6">
        <v>6.1617280000000001</v>
      </c>
      <c r="FM6" t="s">
        <v>1809</v>
      </c>
      <c r="FN6">
        <v>2025</v>
      </c>
      <c r="FO6" t="s">
        <v>4616</v>
      </c>
      <c r="FP6" s="6">
        <v>45849</v>
      </c>
      <c r="FQ6">
        <v>5</v>
      </c>
      <c r="FR6">
        <v>152379536</v>
      </c>
      <c r="FS6">
        <v>100481</v>
      </c>
      <c r="FT6" t="s">
        <v>2348</v>
      </c>
      <c r="IG6" t="s">
        <v>2874</v>
      </c>
      <c r="IH6" t="s">
        <v>1786</v>
      </c>
      <c r="II6">
        <v>2.8125499999999999</v>
      </c>
      <c r="IJ6">
        <v>1.308325</v>
      </c>
      <c r="IK6" t="s">
        <v>1745</v>
      </c>
      <c r="IL6">
        <v>2025</v>
      </c>
      <c r="IM6" t="s">
        <v>2875</v>
      </c>
      <c r="IN6" s="6">
        <v>46063</v>
      </c>
      <c r="IO6">
        <v>5</v>
      </c>
      <c r="IP6">
        <v>36150000</v>
      </c>
      <c r="IQ6">
        <v>126255</v>
      </c>
      <c r="IR6" t="s">
        <v>2876</v>
      </c>
      <c r="IU6" t="s">
        <v>2147</v>
      </c>
      <c r="IV6">
        <v>22.163627999999999</v>
      </c>
      <c r="IW6" t="s">
        <v>1786</v>
      </c>
      <c r="IX6">
        <v>4.8294360000000003</v>
      </c>
      <c r="IY6" t="s">
        <v>1742</v>
      </c>
      <c r="IZ6">
        <v>2025</v>
      </c>
      <c r="JA6" t="s">
        <v>3253</v>
      </c>
      <c r="JB6" s="6">
        <v>46041</v>
      </c>
      <c r="JC6">
        <v>5</v>
      </c>
      <c r="JD6">
        <v>3900975616</v>
      </c>
      <c r="JE6">
        <v>156969</v>
      </c>
      <c r="JF6" t="s">
        <v>2148</v>
      </c>
      <c r="MW6" t="s">
        <v>2649</v>
      </c>
      <c r="MY6">
        <v>-2.4245362661989844E-14</v>
      </c>
      <c r="MZ6">
        <v>-2.4245362661989844E-14</v>
      </c>
      <c r="NA6" t="s">
        <v>1762</v>
      </c>
      <c r="NB6">
        <v>2024</v>
      </c>
      <c r="NC6" t="s">
        <v>5949</v>
      </c>
      <c r="ND6" s="6">
        <v>45574</v>
      </c>
      <c r="NE6">
        <v>4</v>
      </c>
      <c r="NF6">
        <v>-2.4245362661989844E-14</v>
      </c>
      <c r="NG6">
        <v>8215130</v>
      </c>
      <c r="NH6" t="s">
        <v>2651</v>
      </c>
      <c r="NK6" t="s">
        <v>4914</v>
      </c>
      <c r="NL6">
        <v>2.2369509999999999</v>
      </c>
      <c r="NM6" t="s">
        <v>1786</v>
      </c>
      <c r="NN6">
        <v>1.4117150000000001</v>
      </c>
      <c r="NO6" t="s">
        <v>1742</v>
      </c>
      <c r="NP6">
        <v>2025</v>
      </c>
      <c r="NQ6" t="s">
        <v>4915</v>
      </c>
      <c r="NR6" s="6">
        <v>45959</v>
      </c>
      <c r="NS6">
        <v>5</v>
      </c>
      <c r="NT6">
        <v>2700000</v>
      </c>
      <c r="NU6">
        <v>114053</v>
      </c>
      <c r="NV6" t="s">
        <v>4916</v>
      </c>
      <c r="SQ6" t="s">
        <v>2369</v>
      </c>
      <c r="SR6" t="s">
        <v>1786</v>
      </c>
      <c r="SS6">
        <v>2.3008839999999999</v>
      </c>
      <c r="ST6">
        <v>1.9882420000000001</v>
      </c>
      <c r="SU6" t="s">
        <v>1845</v>
      </c>
      <c r="SV6">
        <v>2024</v>
      </c>
      <c r="SW6" t="s">
        <v>2370</v>
      </c>
      <c r="SX6" s="6">
        <v>45694</v>
      </c>
      <c r="SY6">
        <v>5</v>
      </c>
      <c r="SZ6">
        <v>58573604</v>
      </c>
      <c r="TA6">
        <v>349266</v>
      </c>
      <c r="TB6" t="s">
        <v>2371</v>
      </c>
      <c r="TE6" t="s">
        <v>3548</v>
      </c>
      <c r="TF6">
        <v>-2.4245362661989844E-14</v>
      </c>
      <c r="TH6">
        <v>-2.4245362661989844E-14</v>
      </c>
      <c r="TI6" t="s">
        <v>1745</v>
      </c>
      <c r="TJ6">
        <v>2021</v>
      </c>
      <c r="TK6" t="s">
        <v>3549</v>
      </c>
      <c r="TL6" s="6">
        <v>44676</v>
      </c>
      <c r="TM6">
        <v>5</v>
      </c>
      <c r="TN6">
        <v>-2.4245362661989844E-14</v>
      </c>
      <c r="TO6">
        <v>24598477</v>
      </c>
      <c r="TP6" t="s">
        <v>3550</v>
      </c>
    </row>
    <row r="7" spans="1:600" x14ac:dyDescent="0.25">
      <c r="AE7" t="s">
        <v>2480</v>
      </c>
      <c r="AF7" t="s">
        <v>1820</v>
      </c>
      <c r="AG7">
        <v>2.9821E-2</v>
      </c>
      <c r="AH7">
        <v>0.29687599999999997</v>
      </c>
      <c r="AI7" t="s">
        <v>1845</v>
      </c>
      <c r="AJ7">
        <v>2025</v>
      </c>
      <c r="AK7" t="s">
        <v>2481</v>
      </c>
      <c r="AL7" s="6">
        <v>45868</v>
      </c>
      <c r="AM7">
        <v>5</v>
      </c>
      <c r="AN7">
        <v>119346.11</v>
      </c>
      <c r="AO7">
        <v>126987</v>
      </c>
      <c r="AP7" t="s">
        <v>2482</v>
      </c>
      <c r="AS7" t="s">
        <v>1797</v>
      </c>
      <c r="AT7">
        <v>-2.4245362661989844E-14</v>
      </c>
      <c r="AV7">
        <v>-2.4245362661989844E-14</v>
      </c>
      <c r="AW7" t="s">
        <v>1798</v>
      </c>
      <c r="AX7">
        <v>2024</v>
      </c>
      <c r="AY7" t="s">
        <v>1799</v>
      </c>
      <c r="AZ7" s="6">
        <v>45642</v>
      </c>
      <c r="BA7">
        <v>5</v>
      </c>
      <c r="BB7">
        <v>-2.4245362661989844E-14</v>
      </c>
      <c r="BC7">
        <v>72018854</v>
      </c>
      <c r="BD7" t="s">
        <v>1800</v>
      </c>
      <c r="CM7" t="s">
        <v>4519</v>
      </c>
      <c r="CN7" t="s">
        <v>1820</v>
      </c>
      <c r="CO7">
        <v>0.254056</v>
      </c>
      <c r="CP7">
        <v>0.26785799999999998</v>
      </c>
      <c r="CQ7" t="s">
        <v>1845</v>
      </c>
      <c r="CR7">
        <v>2024</v>
      </c>
      <c r="CS7" t="s">
        <v>4520</v>
      </c>
      <c r="CT7" s="6">
        <v>45770</v>
      </c>
      <c r="CU7">
        <v>5</v>
      </c>
      <c r="CV7">
        <v>4756853.6399999997</v>
      </c>
      <c r="CW7">
        <v>186659</v>
      </c>
      <c r="CX7" t="s">
        <v>4521</v>
      </c>
      <c r="DA7" t="s">
        <v>1996</v>
      </c>
      <c r="DB7">
        <v>-2.4245362661989844E-14</v>
      </c>
      <c r="DD7">
        <v>-2.4245362661989844E-14</v>
      </c>
      <c r="DE7" t="s">
        <v>1993</v>
      </c>
      <c r="DF7">
        <v>2024</v>
      </c>
      <c r="DG7" t="s">
        <v>1997</v>
      </c>
      <c r="DH7" s="6">
        <v>45518</v>
      </c>
      <c r="DI7">
        <v>5</v>
      </c>
      <c r="DJ7">
        <v>-2.4245362661989844E-14</v>
      </c>
      <c r="DK7">
        <v>227699</v>
      </c>
      <c r="DL7" t="s">
        <v>1998</v>
      </c>
      <c r="EU7" t="s">
        <v>5185</v>
      </c>
      <c r="EW7">
        <v>-2.4245362661989844E-14</v>
      </c>
      <c r="EX7">
        <v>-2.4245362661989844E-14</v>
      </c>
      <c r="EY7" t="s">
        <v>1762</v>
      </c>
      <c r="EZ7">
        <v>2025</v>
      </c>
      <c r="FA7" t="s">
        <v>5186</v>
      </c>
      <c r="FB7" s="6">
        <v>45874</v>
      </c>
      <c r="FC7">
        <v>4</v>
      </c>
      <c r="FD7">
        <v>-2.4245362661989844E-14</v>
      </c>
      <c r="FE7">
        <v>54246485</v>
      </c>
      <c r="FF7" t="s">
        <v>5187</v>
      </c>
      <c r="FI7" t="s">
        <v>75</v>
      </c>
      <c r="FJ7">
        <v>3.2202639999999998</v>
      </c>
      <c r="FK7" t="s">
        <v>1786</v>
      </c>
      <c r="FL7">
        <v>0.70238999999999996</v>
      </c>
      <c r="FM7" t="s">
        <v>1809</v>
      </c>
      <c r="FN7">
        <v>2025</v>
      </c>
      <c r="FO7" t="s">
        <v>4616</v>
      </c>
      <c r="FP7" s="6">
        <v>45849</v>
      </c>
      <c r="FQ7">
        <v>5</v>
      </c>
      <c r="FR7">
        <v>91704040</v>
      </c>
      <c r="FS7">
        <v>100185</v>
      </c>
      <c r="FT7" t="s">
        <v>1894</v>
      </c>
      <c r="IG7" t="s">
        <v>2877</v>
      </c>
      <c r="IH7" t="s">
        <v>1786</v>
      </c>
      <c r="II7">
        <v>13.694044</v>
      </c>
      <c r="IJ7">
        <v>1.0251479999999999</v>
      </c>
      <c r="IK7" t="s">
        <v>1745</v>
      </c>
      <c r="IL7">
        <v>2024</v>
      </c>
      <c r="IM7" t="s">
        <v>2878</v>
      </c>
      <c r="IN7" s="6">
        <v>45735</v>
      </c>
      <c r="IO7">
        <v>5</v>
      </c>
      <c r="IP7">
        <v>21575000</v>
      </c>
      <c r="IQ7">
        <v>10664510</v>
      </c>
      <c r="IR7" t="s">
        <v>2879</v>
      </c>
      <c r="IU7" t="s">
        <v>236</v>
      </c>
      <c r="IV7">
        <v>19.020800000000001</v>
      </c>
      <c r="IW7" t="s">
        <v>1786</v>
      </c>
      <c r="IX7">
        <v>5.4268320000000001</v>
      </c>
      <c r="IY7" t="s">
        <v>1742</v>
      </c>
      <c r="IZ7">
        <v>2025</v>
      </c>
      <c r="JA7" t="s">
        <v>3253</v>
      </c>
      <c r="JB7" s="6">
        <v>46041</v>
      </c>
      <c r="JC7">
        <v>5</v>
      </c>
      <c r="JD7">
        <v>3347812864</v>
      </c>
      <c r="JE7">
        <v>102782</v>
      </c>
      <c r="JF7" t="s">
        <v>2149</v>
      </c>
      <c r="MW7" t="s">
        <v>5950</v>
      </c>
      <c r="MY7">
        <v>-2.4245362661989844E-14</v>
      </c>
      <c r="MZ7">
        <v>-2.4245362661989844E-14</v>
      </c>
      <c r="NA7" t="s">
        <v>1745</v>
      </c>
      <c r="NB7">
        <v>2024</v>
      </c>
      <c r="NC7" t="s">
        <v>5951</v>
      </c>
      <c r="ND7" s="6">
        <v>45716</v>
      </c>
      <c r="NE7">
        <v>4</v>
      </c>
      <c r="NF7">
        <v>-2.4245362661989844E-14</v>
      </c>
      <c r="NG7">
        <v>116723</v>
      </c>
      <c r="NH7" t="s">
        <v>5952</v>
      </c>
      <c r="NK7" t="s">
        <v>2802</v>
      </c>
      <c r="NL7">
        <v>0.24854999999999999</v>
      </c>
      <c r="NM7" t="s">
        <v>1786</v>
      </c>
      <c r="NN7">
        <v>5.9610000000000002E-3</v>
      </c>
      <c r="NO7" t="s">
        <v>1742</v>
      </c>
      <c r="NP7">
        <v>2025</v>
      </c>
      <c r="NQ7" t="s">
        <v>4915</v>
      </c>
      <c r="NR7" s="6">
        <v>45959</v>
      </c>
      <c r="NS7">
        <v>5</v>
      </c>
      <c r="NT7">
        <v>300000</v>
      </c>
      <c r="NU7">
        <v>115679</v>
      </c>
      <c r="NV7" t="s">
        <v>2804</v>
      </c>
      <c r="SQ7" t="s">
        <v>2795</v>
      </c>
      <c r="SR7" t="s">
        <v>1786</v>
      </c>
      <c r="SS7">
        <v>0.23526900000000001</v>
      </c>
      <c r="ST7">
        <v>0.58521900000000004</v>
      </c>
      <c r="SU7" t="s">
        <v>1742</v>
      </c>
      <c r="SV7">
        <v>2025</v>
      </c>
      <c r="SW7" t="s">
        <v>2796</v>
      </c>
      <c r="SX7" s="6">
        <v>45867</v>
      </c>
      <c r="SY7">
        <v>5</v>
      </c>
      <c r="SZ7">
        <v>18416856</v>
      </c>
      <c r="TA7">
        <v>117092</v>
      </c>
      <c r="TB7" t="s">
        <v>2797</v>
      </c>
      <c r="TE7" t="s">
        <v>3551</v>
      </c>
      <c r="TF7">
        <v>-2.4245362661989844E-14</v>
      </c>
      <c r="TH7">
        <v>-2.4245362661989844E-14</v>
      </c>
      <c r="TI7" t="s">
        <v>1745</v>
      </c>
      <c r="TJ7">
        <v>2023</v>
      </c>
      <c r="TK7" t="s">
        <v>3552</v>
      </c>
      <c r="TL7" s="6">
        <v>45135</v>
      </c>
      <c r="TM7">
        <v>5</v>
      </c>
      <c r="TN7">
        <v>-2.4245362661989844E-14</v>
      </c>
      <c r="TO7">
        <v>103017</v>
      </c>
      <c r="TP7" t="s">
        <v>3553</v>
      </c>
    </row>
    <row r="8" spans="1:600" x14ac:dyDescent="0.25">
      <c r="AE8" t="s">
        <v>1804</v>
      </c>
      <c r="AG8">
        <v>-2.4245362661989844E-14</v>
      </c>
      <c r="AH8">
        <v>-2.4245362661989844E-14</v>
      </c>
      <c r="AI8" t="s">
        <v>1805</v>
      </c>
      <c r="AJ8">
        <v>2025</v>
      </c>
      <c r="AK8" t="s">
        <v>2483</v>
      </c>
      <c r="AL8" s="6">
        <v>45890</v>
      </c>
      <c r="AM8">
        <v>5</v>
      </c>
      <c r="AN8">
        <v>-2.4245362661989844E-14</v>
      </c>
      <c r="AO8">
        <v>40810398</v>
      </c>
      <c r="AP8" t="s">
        <v>1807</v>
      </c>
      <c r="AS8" t="s">
        <v>1801</v>
      </c>
      <c r="AT8">
        <v>-2.4245362661989844E-14</v>
      </c>
      <c r="AV8">
        <v>-2.4245362661989844E-14</v>
      </c>
      <c r="AW8" t="s">
        <v>1762</v>
      </c>
      <c r="AX8">
        <v>2023</v>
      </c>
      <c r="AY8" t="s">
        <v>1802</v>
      </c>
      <c r="AZ8" s="6">
        <v>45048</v>
      </c>
      <c r="BA8">
        <v>5</v>
      </c>
      <c r="BB8">
        <v>-2.4245362661989844E-14</v>
      </c>
      <c r="BC8">
        <v>218252</v>
      </c>
      <c r="BD8" t="s">
        <v>1803</v>
      </c>
      <c r="CM8" t="s">
        <v>34</v>
      </c>
      <c r="CN8" t="s">
        <v>1786</v>
      </c>
      <c r="CO8">
        <v>2.1909000000000001E-2</v>
      </c>
      <c r="CP8">
        <v>0.25751600000000002</v>
      </c>
      <c r="CQ8" t="s">
        <v>1845</v>
      </c>
      <c r="CR8">
        <v>2025</v>
      </c>
      <c r="CS8" t="s">
        <v>1883</v>
      </c>
      <c r="CT8" s="6">
        <v>45848</v>
      </c>
      <c r="CU8">
        <v>5</v>
      </c>
      <c r="CV8">
        <v>3484188</v>
      </c>
      <c r="CW8">
        <v>101752</v>
      </c>
      <c r="CX8" t="s">
        <v>2723</v>
      </c>
      <c r="DA8" t="s">
        <v>1999</v>
      </c>
      <c r="DB8">
        <v>-2.4245362661989844E-14</v>
      </c>
      <c r="DD8">
        <v>-2.4245362661989844E-14</v>
      </c>
      <c r="DE8" t="s">
        <v>1798</v>
      </c>
      <c r="DF8">
        <v>2025</v>
      </c>
      <c r="DG8" t="s">
        <v>2000</v>
      </c>
      <c r="DH8" s="6">
        <v>45975</v>
      </c>
      <c r="DI8">
        <v>5</v>
      </c>
      <c r="DJ8">
        <v>-2.4245362661989844E-14</v>
      </c>
      <c r="DK8">
        <v>9760711</v>
      </c>
      <c r="DL8" t="s">
        <v>2001</v>
      </c>
      <c r="EU8" t="s">
        <v>154</v>
      </c>
      <c r="EW8">
        <v>-2.4245362661989844E-14</v>
      </c>
      <c r="EX8">
        <v>-2.4245362661989844E-14</v>
      </c>
      <c r="EY8" t="s">
        <v>1745</v>
      </c>
      <c r="EZ8">
        <v>2024</v>
      </c>
      <c r="FA8" t="s">
        <v>5188</v>
      </c>
      <c r="FB8" s="6">
        <v>45736</v>
      </c>
      <c r="FC8">
        <v>4</v>
      </c>
      <c r="FD8">
        <v>-2.4245362661989844E-14</v>
      </c>
      <c r="FE8">
        <v>100399</v>
      </c>
      <c r="FF8" t="s">
        <v>5189</v>
      </c>
      <c r="FI8" t="s">
        <v>5260</v>
      </c>
      <c r="FJ8">
        <v>2.8100589999999999</v>
      </c>
      <c r="FK8" t="s">
        <v>1786</v>
      </c>
      <c r="FL8">
        <v>0.70238999999999996</v>
      </c>
      <c r="FM8" t="s">
        <v>1809</v>
      </c>
      <c r="FN8">
        <v>2025</v>
      </c>
      <c r="FO8" t="s">
        <v>4616</v>
      </c>
      <c r="FP8" s="6">
        <v>45849</v>
      </c>
      <c r="FQ8">
        <v>5</v>
      </c>
      <c r="FR8">
        <v>80022560</v>
      </c>
      <c r="FS8">
        <v>13965309</v>
      </c>
      <c r="FT8" t="s">
        <v>5261</v>
      </c>
      <c r="IG8" t="s">
        <v>306</v>
      </c>
      <c r="IH8" t="s">
        <v>2416</v>
      </c>
      <c r="II8">
        <v>2.0662310000000002</v>
      </c>
      <c r="IJ8">
        <v>0.63925799999999999</v>
      </c>
      <c r="IK8" t="s">
        <v>1762</v>
      </c>
      <c r="IL8">
        <v>2025</v>
      </c>
      <c r="IM8" t="s">
        <v>2880</v>
      </c>
      <c r="IN8" s="6">
        <v>45921</v>
      </c>
      <c r="IO8">
        <v>5</v>
      </c>
      <c r="IP8">
        <v>21326292</v>
      </c>
      <c r="IQ8">
        <v>963610</v>
      </c>
      <c r="IR8" t="s">
        <v>2881</v>
      </c>
      <c r="IU8" t="s">
        <v>3746</v>
      </c>
      <c r="IV8">
        <v>5.4489999999999998</v>
      </c>
      <c r="IX8">
        <v>-2.4245362661989844E-14</v>
      </c>
      <c r="IY8" t="s">
        <v>1742</v>
      </c>
      <c r="IZ8">
        <v>2025</v>
      </c>
      <c r="JA8" t="s">
        <v>3253</v>
      </c>
      <c r="JB8" s="6">
        <v>46041</v>
      </c>
      <c r="JC8">
        <v>5</v>
      </c>
      <c r="JD8">
        <v>959067584</v>
      </c>
      <c r="JE8">
        <v>199844</v>
      </c>
      <c r="JF8" t="s">
        <v>3747</v>
      </c>
      <c r="MW8" t="s">
        <v>5953</v>
      </c>
      <c r="MY8">
        <v>-2.4245362661989844E-14</v>
      </c>
      <c r="MZ8">
        <v>-2.4245362661989844E-14</v>
      </c>
      <c r="NA8" t="s">
        <v>1745</v>
      </c>
      <c r="NB8">
        <v>2022</v>
      </c>
      <c r="NC8" t="s">
        <v>5954</v>
      </c>
      <c r="ND8" s="6">
        <v>44938</v>
      </c>
      <c r="NE8">
        <v>4</v>
      </c>
      <c r="NF8">
        <v>-2.4245362661989844E-14</v>
      </c>
      <c r="NG8">
        <v>201650</v>
      </c>
      <c r="NH8" t="s">
        <v>5955</v>
      </c>
      <c r="NK8" t="s">
        <v>4917</v>
      </c>
      <c r="NL8">
        <v>-2.4245362661989844E-14</v>
      </c>
      <c r="NN8">
        <v>-2.4245362661989844E-14</v>
      </c>
      <c r="NO8" t="s">
        <v>1745</v>
      </c>
      <c r="NP8">
        <v>2024</v>
      </c>
      <c r="NQ8" t="s">
        <v>4918</v>
      </c>
      <c r="NR8" s="6">
        <v>45744</v>
      </c>
      <c r="NS8">
        <v>5</v>
      </c>
      <c r="NT8">
        <v>-2.4245362661989844E-14</v>
      </c>
      <c r="NU8">
        <v>113970</v>
      </c>
      <c r="NV8" t="s">
        <v>4919</v>
      </c>
      <c r="SQ8" t="s">
        <v>806</v>
      </c>
      <c r="SR8" t="s">
        <v>1786</v>
      </c>
      <c r="SS8">
        <v>1.69564</v>
      </c>
      <c r="ST8">
        <v>0.41697800000000002</v>
      </c>
      <c r="SU8" t="s">
        <v>1742</v>
      </c>
      <c r="SV8">
        <v>2025</v>
      </c>
      <c r="SW8" t="s">
        <v>2072</v>
      </c>
      <c r="SX8" s="6">
        <v>46001</v>
      </c>
      <c r="SY8">
        <v>5</v>
      </c>
      <c r="SZ8">
        <v>12763693</v>
      </c>
      <c r="TA8">
        <v>1182195</v>
      </c>
      <c r="TB8" t="s">
        <v>3476</v>
      </c>
      <c r="TE8" t="s">
        <v>3554</v>
      </c>
      <c r="TF8">
        <v>-2.4245362661989844E-14</v>
      </c>
      <c r="TH8">
        <v>-2.4245362661989844E-14</v>
      </c>
      <c r="TI8" t="s">
        <v>1745</v>
      </c>
      <c r="TJ8">
        <v>2022</v>
      </c>
      <c r="TK8" t="s">
        <v>3555</v>
      </c>
      <c r="TL8" s="6">
        <v>44887</v>
      </c>
      <c r="TM8">
        <v>5</v>
      </c>
      <c r="TN8">
        <v>-2.4245362661989844E-14</v>
      </c>
      <c r="TO8">
        <v>104917</v>
      </c>
      <c r="TP8" t="s">
        <v>3556</v>
      </c>
    </row>
    <row r="9" spans="1:600" x14ac:dyDescent="0.25">
      <c r="AE9" t="s">
        <v>2484</v>
      </c>
      <c r="AG9">
        <v>-2.4245362661989844E-14</v>
      </c>
      <c r="AH9">
        <v>-2.4245362661989844E-14</v>
      </c>
      <c r="AI9" t="s">
        <v>1745</v>
      </c>
      <c r="AJ9">
        <v>2022</v>
      </c>
      <c r="AK9" t="s">
        <v>2485</v>
      </c>
      <c r="AL9" s="6">
        <v>44693</v>
      </c>
      <c r="AM9">
        <v>5</v>
      </c>
      <c r="AN9">
        <v>-2.4245362661989844E-14</v>
      </c>
      <c r="AO9">
        <v>114991</v>
      </c>
      <c r="AP9" t="s">
        <v>2486</v>
      </c>
      <c r="AS9" t="s">
        <v>1804</v>
      </c>
      <c r="AT9">
        <v>-2.4245362661989844E-14</v>
      </c>
      <c r="AV9">
        <v>-2.4245362661989844E-14</v>
      </c>
      <c r="AW9" t="s">
        <v>1805</v>
      </c>
      <c r="AX9">
        <v>2022</v>
      </c>
      <c r="AY9" t="s">
        <v>1806</v>
      </c>
      <c r="AZ9" s="6">
        <v>44790</v>
      </c>
      <c r="BA9">
        <v>5</v>
      </c>
      <c r="BB9">
        <v>-2.4245362661989844E-14</v>
      </c>
      <c r="BC9">
        <v>40810398</v>
      </c>
      <c r="BD9" t="s">
        <v>1807</v>
      </c>
      <c r="CM9" t="s">
        <v>4522</v>
      </c>
      <c r="CN9" t="s">
        <v>1786</v>
      </c>
      <c r="CO9">
        <v>3.7962999999999997E-2</v>
      </c>
      <c r="CP9">
        <v>0.117649</v>
      </c>
      <c r="CQ9" t="s">
        <v>1762</v>
      </c>
      <c r="CR9">
        <v>2025</v>
      </c>
      <c r="CS9" t="s">
        <v>4523</v>
      </c>
      <c r="CT9" s="6">
        <v>45917</v>
      </c>
      <c r="CU9">
        <v>5</v>
      </c>
      <c r="CV9">
        <v>1794964.29</v>
      </c>
      <c r="CW9">
        <v>112156</v>
      </c>
      <c r="CX9" t="s">
        <v>4524</v>
      </c>
      <c r="DA9" t="s">
        <v>2002</v>
      </c>
      <c r="DB9">
        <v>-2.4245362661989844E-14</v>
      </c>
      <c r="DD9">
        <v>-2.4245362661989844E-14</v>
      </c>
      <c r="DE9" t="s">
        <v>1745</v>
      </c>
      <c r="DF9">
        <v>2022</v>
      </c>
      <c r="DG9" t="s">
        <v>2003</v>
      </c>
      <c r="DH9" s="6">
        <v>44973</v>
      </c>
      <c r="DI9">
        <v>5</v>
      </c>
      <c r="DJ9">
        <v>-2.4245362661989844E-14</v>
      </c>
      <c r="DK9">
        <v>11599856</v>
      </c>
      <c r="DL9" t="s">
        <v>2004</v>
      </c>
      <c r="FI9" t="s">
        <v>813</v>
      </c>
      <c r="FJ9">
        <v>2.5734720000000002</v>
      </c>
      <c r="FK9" t="s">
        <v>1786</v>
      </c>
      <c r="FL9">
        <v>6.5550290000000002</v>
      </c>
      <c r="FM9" t="s">
        <v>1809</v>
      </c>
      <c r="FN9">
        <v>2025</v>
      </c>
      <c r="FO9" t="s">
        <v>4616</v>
      </c>
      <c r="FP9" s="6">
        <v>45849</v>
      </c>
      <c r="FQ9">
        <v>5</v>
      </c>
      <c r="FR9">
        <v>73285224</v>
      </c>
      <c r="FS9">
        <v>100466</v>
      </c>
      <c r="FT9" t="s">
        <v>2286</v>
      </c>
      <c r="IG9" t="s">
        <v>2882</v>
      </c>
      <c r="IH9" t="s">
        <v>1769</v>
      </c>
      <c r="II9">
        <v>2.8060939999999999</v>
      </c>
      <c r="IJ9">
        <v>0.76549599999999995</v>
      </c>
      <c r="IK9" t="s">
        <v>1745</v>
      </c>
      <c r="IL9">
        <v>2025</v>
      </c>
      <c r="IM9" t="s">
        <v>2883</v>
      </c>
      <c r="IN9" s="6">
        <v>46048</v>
      </c>
      <c r="IO9">
        <v>5</v>
      </c>
      <c r="IP9">
        <v>21232000</v>
      </c>
      <c r="IQ9">
        <v>216867</v>
      </c>
      <c r="IR9" t="s">
        <v>2884</v>
      </c>
      <c r="IU9" t="s">
        <v>3748</v>
      </c>
      <c r="IV9">
        <v>0.28446199999999999</v>
      </c>
      <c r="IW9" t="s">
        <v>1786</v>
      </c>
      <c r="IX9">
        <v>0.82704999999999995</v>
      </c>
      <c r="IY9" t="s">
        <v>1742</v>
      </c>
      <c r="IZ9">
        <v>2025</v>
      </c>
      <c r="JA9" t="s">
        <v>3253</v>
      </c>
      <c r="JB9" s="6">
        <v>46041</v>
      </c>
      <c r="JC9">
        <v>5</v>
      </c>
      <c r="JD9">
        <v>50067588</v>
      </c>
      <c r="JE9">
        <v>169936</v>
      </c>
      <c r="JF9" t="s">
        <v>3749</v>
      </c>
      <c r="NK9" t="s">
        <v>1114</v>
      </c>
      <c r="NL9">
        <v>-2.4245362661989844E-14</v>
      </c>
      <c r="NN9">
        <v>-2.4245362661989844E-14</v>
      </c>
      <c r="NO9" t="s">
        <v>1745</v>
      </c>
      <c r="NP9">
        <v>2024</v>
      </c>
      <c r="NQ9" t="s">
        <v>4920</v>
      </c>
      <c r="NR9" s="6">
        <v>45708</v>
      </c>
      <c r="NS9">
        <v>5</v>
      </c>
      <c r="NT9">
        <v>-2.4245362661989844E-14</v>
      </c>
      <c r="NU9">
        <v>100225</v>
      </c>
      <c r="NV9" t="s">
        <v>2151</v>
      </c>
      <c r="SQ9" t="s">
        <v>3477</v>
      </c>
      <c r="SR9" t="s">
        <v>1786</v>
      </c>
      <c r="SS9">
        <v>1.749268</v>
      </c>
      <c r="ST9">
        <v>0.29281299999999999</v>
      </c>
      <c r="SU9" t="s">
        <v>1762</v>
      </c>
      <c r="SV9">
        <v>2025</v>
      </c>
      <c r="SW9" t="s">
        <v>3478</v>
      </c>
      <c r="SX9" s="6">
        <v>45867</v>
      </c>
      <c r="SY9">
        <v>5</v>
      </c>
      <c r="SZ9">
        <v>9701879.8399999999</v>
      </c>
      <c r="TA9">
        <v>157487</v>
      </c>
      <c r="TB9" t="s">
        <v>3479</v>
      </c>
      <c r="TE9" t="s">
        <v>3557</v>
      </c>
      <c r="TF9">
        <v>-2.4245362661989844E-14</v>
      </c>
      <c r="TH9">
        <v>-2.4245362661989844E-14</v>
      </c>
      <c r="TI9" t="s">
        <v>1745</v>
      </c>
      <c r="TJ9">
        <v>2025</v>
      </c>
      <c r="TK9" t="s">
        <v>3558</v>
      </c>
      <c r="TL9" s="6">
        <v>45834</v>
      </c>
      <c r="TM9">
        <v>5</v>
      </c>
      <c r="TN9">
        <v>-2.4245362661989844E-14</v>
      </c>
      <c r="TO9">
        <v>11745327</v>
      </c>
      <c r="TP9" t="s">
        <v>3559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679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680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681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682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683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684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685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686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687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688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689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690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691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692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693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694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695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696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697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698</v>
      </c>
      <c r="AE2" s="3" t="s">
        <v>699</v>
      </c>
      <c r="BI2" s="3" t="s">
        <v>35</v>
      </c>
      <c r="CM2" s="3" t="s">
        <v>700</v>
      </c>
      <c r="DQ2" s="3" t="s">
        <v>432</v>
      </c>
      <c r="EU2" s="3" t="s">
        <v>701</v>
      </c>
      <c r="FY2" s="3" t="s">
        <v>702</v>
      </c>
      <c r="HC2" s="3" t="s">
        <v>703</v>
      </c>
      <c r="IG2" s="3" t="s">
        <v>704</v>
      </c>
      <c r="JK2" s="3" t="s">
        <v>535</v>
      </c>
      <c r="KO2" s="3" t="s">
        <v>705</v>
      </c>
      <c r="LS2" s="3" t="s">
        <v>706</v>
      </c>
      <c r="MW2" s="3" t="s">
        <v>236</v>
      </c>
      <c r="OA2" s="3" t="s">
        <v>707</v>
      </c>
      <c r="PE2" s="3" t="s">
        <v>454</v>
      </c>
      <c r="QI2" s="3" t="s">
        <v>708</v>
      </c>
      <c r="RM2" s="3" t="s">
        <v>709</v>
      </c>
      <c r="SQ2" s="3" t="s">
        <v>710</v>
      </c>
      <c r="TU2" s="3" t="s">
        <v>317</v>
      </c>
      <c r="UY2" s="3" t="s">
        <v>711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_xll.BDS("TIN US Equity","SUPPLY_CHAIN_SUPPLIERS_ALL_DATA")</f>
        <v>#N/A N/A</v>
      </c>
      <c r="O5" t="str">
        <f>_xll.BDS("TIN US Equity","SUPPLY_CHAIN_CUSTOMERS_ALL_DATA")</f>
        <v>#N/A N/A</v>
      </c>
      <c r="AE5" t="str">
        <f>_xll.BDS("MOVIQ US Equity","SUPPLY_CHAIN_SUPPLIERS_ALL_DATA")</f>
        <v>#N/A N/A</v>
      </c>
      <c r="AS5" t="str">
        <f>_xll.BDS("MOVIQ US Equity","SUPPLY_CHAIN_CUSTOMERS_ALL_DATA")</f>
        <v>#N/A N/A</v>
      </c>
      <c r="BI5" t="str">
        <f>_xll.BDS("nan Equity","SUPPLY_CHAIN_SUPPLIERS_ALL_DATA")</f>
        <v>#N/A N/A</v>
      </c>
      <c r="BW5" t="str">
        <f>_xll.BDS("nan Equity","SUPPLY_CHAIN_CUSTOMERS_ALL_DATA")</f>
        <v>#N/A N/A</v>
      </c>
      <c r="CM5" t="str">
        <f>_xll.BDS("ORLY US Equity","SUPPLY_CHAIN_SUPPLIERS_ALL_DATA","cols=12;rows=5")</f>
        <v>SMP US Equity</v>
      </c>
      <c r="CN5" t="s">
        <v>1786</v>
      </c>
      <c r="CO5">
        <v>28.4</v>
      </c>
      <c r="CP5">
        <v>5.0985240000000003</v>
      </c>
      <c r="CQ5" t="s">
        <v>1745</v>
      </c>
      <c r="CR5">
        <v>2024</v>
      </c>
      <c r="CS5" t="s">
        <v>6231</v>
      </c>
      <c r="CT5" s="6">
        <v>45716</v>
      </c>
      <c r="CU5">
        <v>5</v>
      </c>
      <c r="CV5">
        <v>103933280</v>
      </c>
      <c r="CW5">
        <v>101392</v>
      </c>
      <c r="CX5" t="s">
        <v>4327</v>
      </c>
      <c r="DA5" t="str">
        <f>_xll.BDS("ORLY US Equity","SUPPLY_CHAIN_CUSTOMERS_ALL_DATA")</f>
        <v>#N/A N/A</v>
      </c>
      <c r="DQ5" t="str">
        <f>_xll.BDS("9990822D US Equity","SUPPLY_CHAIN_SUPPLIERS_ALL_DATA","cols=12;rows=1")</f>
        <v>AMZN US Equity</v>
      </c>
      <c r="DS5">
        <v>-2.4245362661989844E-14</v>
      </c>
      <c r="DT5">
        <v>-2.4245362661989844E-14</v>
      </c>
      <c r="DU5" t="s">
        <v>1745</v>
      </c>
      <c r="DV5">
        <v>2025</v>
      </c>
      <c r="DW5" t="s">
        <v>3186</v>
      </c>
      <c r="DX5" s="6">
        <v>45993</v>
      </c>
      <c r="DY5">
        <v>1</v>
      </c>
      <c r="DZ5">
        <v>-2.4245362661989844E-14</v>
      </c>
      <c r="EA5">
        <v>216952</v>
      </c>
      <c r="EB5" t="s">
        <v>1886</v>
      </c>
      <c r="EE5" t="str">
        <f>_xll.BDS("9990822D US Equity","SUPPLY_CHAIN_CUSTOMERS_ALL_DATA","cols=12;rows=3")</f>
        <v>0759608D US Equity</v>
      </c>
      <c r="EF5">
        <v>-2.4245362661989844E-14</v>
      </c>
      <c r="EH5">
        <v>-2.4245362661989844E-14</v>
      </c>
      <c r="EI5" t="s">
        <v>1745</v>
      </c>
      <c r="EJ5">
        <v>2023</v>
      </c>
      <c r="EK5" t="s">
        <v>3154</v>
      </c>
      <c r="EL5" s="6">
        <v>44972</v>
      </c>
      <c r="EM5">
        <v>3</v>
      </c>
      <c r="EN5">
        <v>-2.4245362661989844E-14</v>
      </c>
      <c r="EO5">
        <v>22120244</v>
      </c>
      <c r="EP5" t="s">
        <v>3155</v>
      </c>
      <c r="EU5" t="str">
        <f>_xll.BDS("SOV US Equity","SUPPLY_CHAIN_SUPPLIERS_ALL_DATA")</f>
        <v>#N/A N/A</v>
      </c>
      <c r="FI5" t="str">
        <f>_xll.BDS("SOV US Equity","SUPPLY_CHAIN_CUSTOMERS_ALL_DATA")</f>
        <v>#N/A N/A</v>
      </c>
      <c r="FY5" t="str">
        <f>_xll.BDS("HOPE US Equity","SUPPLY_CHAIN_SUPPLIERS_ALL_DATA","cols=12;rows=1")</f>
        <v>NICE IT Equity</v>
      </c>
      <c r="GA5">
        <v>-2.4245362661989844E-14</v>
      </c>
      <c r="GB5">
        <v>-2.4245362661989844E-14</v>
      </c>
      <c r="GC5" t="s">
        <v>1809</v>
      </c>
      <c r="GD5">
        <v>2023</v>
      </c>
      <c r="GE5" t="s">
        <v>2668</v>
      </c>
      <c r="GF5" s="6">
        <v>45057</v>
      </c>
      <c r="GG5">
        <v>1</v>
      </c>
      <c r="GH5">
        <v>-2.4245362661989844E-14</v>
      </c>
      <c r="GI5">
        <v>173249</v>
      </c>
      <c r="GJ5" t="s">
        <v>2669</v>
      </c>
      <c r="GM5" t="str">
        <f>_xll.BDS("HOPE US Equity","SUPPLY_CHAIN_CUSTOMERS_ALL_DATA")</f>
        <v>#N/A N/A</v>
      </c>
      <c r="HC5" t="str">
        <f>_xll.BDS("1746513D US Equity","SUPPLY_CHAIN_SUPPLIERS_ALL_DATA")</f>
        <v>#N/A N/A</v>
      </c>
      <c r="HQ5" t="str">
        <f>_xll.BDS("1746513D US Equity","SUPPLY_CHAIN_CUSTOMERS_ALL_DATA")</f>
        <v>#N/A N/A</v>
      </c>
      <c r="IG5" t="str">
        <f>_xll.BDS("UBSI US Equity","SUPPLY_CHAIN_SUPPLIERS_ALL_DATA","cols=12;rows=1")</f>
        <v>FICO US Equity</v>
      </c>
      <c r="II5">
        <v>-2.4245362661989844E-14</v>
      </c>
      <c r="IJ5">
        <v>-2.4245362661989844E-14</v>
      </c>
      <c r="IK5" t="s">
        <v>1745</v>
      </c>
      <c r="IL5">
        <v>2024</v>
      </c>
      <c r="IM5" t="s">
        <v>3931</v>
      </c>
      <c r="IN5" s="6">
        <v>45348</v>
      </c>
      <c r="IO5">
        <v>1</v>
      </c>
      <c r="IP5">
        <v>-2.4245362661989844E-14</v>
      </c>
      <c r="IQ5">
        <v>103869</v>
      </c>
      <c r="IR5" t="s">
        <v>3932</v>
      </c>
      <c r="IU5" t="str">
        <f>_xll.BDS("UBSI US Equity","SUPPLY_CHAIN_CUSTOMERS_ALL_DATA")</f>
        <v>#N/A N/A</v>
      </c>
      <c r="JK5" t="str">
        <f>_xll.BDS("TFC US Equity","SUPPLY_CHAIN_SUPPLIERS_ALL_DATA","cols=12;rows=5")</f>
        <v>ADBE US Equity</v>
      </c>
      <c r="JL5" t="s">
        <v>1769</v>
      </c>
      <c r="JM5">
        <v>9.3438999999999994E-2</v>
      </c>
      <c r="JN5">
        <v>0.18883900000000001</v>
      </c>
      <c r="JO5" t="s">
        <v>1762</v>
      </c>
      <c r="JP5">
        <v>2025</v>
      </c>
      <c r="JQ5" t="s">
        <v>2268</v>
      </c>
      <c r="JR5" s="6">
        <v>45838</v>
      </c>
      <c r="JS5">
        <v>5</v>
      </c>
      <c r="JT5">
        <v>5487672</v>
      </c>
      <c r="JU5">
        <v>101689</v>
      </c>
      <c r="JV5" t="s">
        <v>2269</v>
      </c>
      <c r="JY5" t="str">
        <f>_xll.BDS("TFC US Equity","SUPPLY_CHAIN_CUSTOMERS_ALL_DATA","cols=12;rows=1")</f>
        <v>RENG IN Equity</v>
      </c>
      <c r="JZ5">
        <v>-2.4245362661989844E-14</v>
      </c>
      <c r="KB5">
        <v>-2.4245362661989844E-14</v>
      </c>
      <c r="KC5" t="s">
        <v>1745</v>
      </c>
      <c r="KD5">
        <v>2025</v>
      </c>
      <c r="KE5" t="s">
        <v>1952</v>
      </c>
      <c r="KF5" s="6">
        <v>45901</v>
      </c>
      <c r="KG5">
        <v>1</v>
      </c>
      <c r="KH5">
        <v>-2.4245362661989844E-14</v>
      </c>
      <c r="KI5">
        <v>182734</v>
      </c>
      <c r="KJ5" t="s">
        <v>1953</v>
      </c>
      <c r="KO5" t="str">
        <f>_xll.BDS("ZBH US Equity","SUPPLY_CHAIN_SUPPLIERS_ALL_DATA","cols=12;rows=5")</f>
        <v>4548 JP Equity</v>
      </c>
      <c r="KP5" t="s">
        <v>1786</v>
      </c>
      <c r="KQ5">
        <v>11.421241999999999</v>
      </c>
      <c r="KR5">
        <v>1.323291</v>
      </c>
      <c r="KS5" t="s">
        <v>1745</v>
      </c>
      <c r="KT5">
        <v>2025</v>
      </c>
      <c r="KU5" t="s">
        <v>4438</v>
      </c>
      <c r="KV5" s="6">
        <v>45831</v>
      </c>
      <c r="KW5">
        <v>5</v>
      </c>
      <c r="KX5">
        <v>7380520.1799999997</v>
      </c>
      <c r="KY5">
        <v>148753</v>
      </c>
      <c r="KZ5" t="s">
        <v>3257</v>
      </c>
      <c r="LC5" t="str">
        <f>_xll.BDS("ZBH US Equity","SUPPLY_CHAIN_CUSTOMERS_ALL_DATA","cols=12;rows=5")</f>
        <v>000078 CH Equity</v>
      </c>
      <c r="LD5">
        <v>-2.4245362661989844E-14</v>
      </c>
      <c r="LF5">
        <v>-2.4245362661989844E-14</v>
      </c>
      <c r="LG5" t="s">
        <v>1745</v>
      </c>
      <c r="LH5">
        <v>2024</v>
      </c>
      <c r="LI5" t="s">
        <v>5522</v>
      </c>
      <c r="LJ5" s="6">
        <v>45775</v>
      </c>
      <c r="LK5">
        <v>5</v>
      </c>
      <c r="LL5">
        <v>-2.4245362661989844E-14</v>
      </c>
      <c r="LM5">
        <v>812235</v>
      </c>
      <c r="LN5" t="s">
        <v>5523</v>
      </c>
      <c r="LS5" t="str">
        <f>_xll.BDS("IEP US Equity","SUPPLY_CHAIN_SUPPLIERS_ALL_DATA","cols=12;rows=5")</f>
        <v>SMP US Equity</v>
      </c>
      <c r="LT5" t="s">
        <v>1786</v>
      </c>
      <c r="LU5">
        <v>0.58005099999999998</v>
      </c>
      <c r="LV5">
        <v>0.126083</v>
      </c>
      <c r="LW5" t="s">
        <v>1762</v>
      </c>
      <c r="LX5">
        <v>2025</v>
      </c>
      <c r="LY5" t="s">
        <v>4326</v>
      </c>
      <c r="LZ5" s="6">
        <v>45908</v>
      </c>
      <c r="MA5">
        <v>5</v>
      </c>
      <c r="MB5">
        <v>2864599</v>
      </c>
      <c r="MC5">
        <v>101392</v>
      </c>
      <c r="MD5" t="s">
        <v>4327</v>
      </c>
      <c r="MG5" t="str">
        <f>_xll.BDS("IEP US Equity","SUPPLY_CHAIN_CUSTOMERS_ALL_DATA","cols=12;rows=2")</f>
        <v>FMGI IN Equity</v>
      </c>
      <c r="MH5">
        <v>-2.4245362661989844E-14</v>
      </c>
      <c r="MJ5">
        <v>-2.4245362661989844E-14</v>
      </c>
      <c r="MK5" t="s">
        <v>1745</v>
      </c>
      <c r="ML5">
        <v>2023</v>
      </c>
      <c r="MM5" t="s">
        <v>5319</v>
      </c>
      <c r="MN5" s="6">
        <v>45076</v>
      </c>
      <c r="MO5">
        <v>2</v>
      </c>
      <c r="MP5">
        <v>-2.4245362661989844E-14</v>
      </c>
      <c r="MQ5">
        <v>174503</v>
      </c>
      <c r="MR5" t="s">
        <v>5320</v>
      </c>
      <c r="MW5" t="str">
        <f>_xll.BDS("CAH US Equity","SUPPLY_CHAIN_SUPPLIERS_ALL_DATA","cols=12;rows=5")</f>
        <v>LLY US Equity</v>
      </c>
      <c r="MX5" t="s">
        <v>1786</v>
      </c>
      <c r="MY5">
        <v>19.020800000000001</v>
      </c>
      <c r="MZ5">
        <v>5.4268320000000001</v>
      </c>
      <c r="NA5" t="s">
        <v>1742</v>
      </c>
      <c r="NB5">
        <v>2025</v>
      </c>
      <c r="NC5" t="s">
        <v>3253</v>
      </c>
      <c r="ND5" s="6">
        <v>46041</v>
      </c>
      <c r="NE5">
        <v>5</v>
      </c>
      <c r="NF5">
        <v>3347812864</v>
      </c>
      <c r="NG5">
        <v>100894</v>
      </c>
      <c r="NH5" t="s">
        <v>3254</v>
      </c>
      <c r="NK5" t="str">
        <f>_xll.BDS("CAH US Equity","SUPPLY_CHAIN_CUSTOMERS_ALL_DATA","cols=12;rows=5")</f>
        <v>CVS US Equity</v>
      </c>
      <c r="NL5">
        <v>30</v>
      </c>
      <c r="NM5" t="s">
        <v>1786</v>
      </c>
      <c r="NN5">
        <v>20.040337000000001</v>
      </c>
      <c r="NO5" t="s">
        <v>1745</v>
      </c>
      <c r="NP5">
        <v>2025</v>
      </c>
      <c r="NQ5" t="s">
        <v>3842</v>
      </c>
      <c r="NR5" s="6">
        <v>45881</v>
      </c>
      <c r="NS5">
        <v>5</v>
      </c>
      <c r="NT5">
        <v>16693350400</v>
      </c>
      <c r="NU5">
        <v>100976</v>
      </c>
      <c r="NV5" t="s">
        <v>1888</v>
      </c>
      <c r="OA5" t="str">
        <f>_xll.BDS("LXP US Equity","SUPPLY_CHAIN_SUPPLIERS_ALL_DATA","cols=12;rows=5")</f>
        <v>0109817D US Equity</v>
      </c>
      <c r="OC5">
        <v>-2.4245362661989844E-14</v>
      </c>
      <c r="OD5">
        <v>-2.4245362661989844E-14</v>
      </c>
      <c r="OE5" t="s">
        <v>1745</v>
      </c>
      <c r="OF5">
        <v>2022</v>
      </c>
      <c r="OG5" t="s">
        <v>3385</v>
      </c>
      <c r="OH5" s="6">
        <v>44974</v>
      </c>
      <c r="OI5">
        <v>5</v>
      </c>
      <c r="OJ5">
        <v>-2.4245362661989844E-14</v>
      </c>
      <c r="OK5">
        <v>28178641</v>
      </c>
      <c r="OL5" t="s">
        <v>3386</v>
      </c>
      <c r="OO5" t="str">
        <f>_xll.BDS("LXP US Equity","SUPPLY_CHAIN_CUSTOMERS_ALL_DATA","cols=12;rows=5")</f>
        <v>AMZN US Equity</v>
      </c>
      <c r="OP5">
        <v>6.9</v>
      </c>
      <c r="OQ5" t="s">
        <v>1769</v>
      </c>
      <c r="OR5">
        <v>4.1180000000000001E-2</v>
      </c>
      <c r="OS5" t="s">
        <v>1742</v>
      </c>
      <c r="OT5">
        <v>2025</v>
      </c>
      <c r="OU5" t="s">
        <v>5219</v>
      </c>
      <c r="OV5" s="6">
        <v>45960</v>
      </c>
      <c r="OW5">
        <v>5</v>
      </c>
      <c r="OX5">
        <v>5996238</v>
      </c>
      <c r="OY5">
        <v>216952</v>
      </c>
      <c r="OZ5" t="s">
        <v>1886</v>
      </c>
      <c r="PE5" t="str">
        <f>_xll.BDS("GE US Equity","SUPPLY_CHAIN_SUPPLIERS_ALL_DATA","cols=12;rows=5")</f>
        <v>SAF FP Equity</v>
      </c>
      <c r="PF5" t="s">
        <v>1786</v>
      </c>
      <c r="PG5">
        <v>7.9101749999999997</v>
      </c>
      <c r="PH5">
        <v>9.7364909999999991</v>
      </c>
      <c r="PI5" t="s">
        <v>1762</v>
      </c>
      <c r="PJ5">
        <v>2025</v>
      </c>
      <c r="PK5" t="s">
        <v>2423</v>
      </c>
      <c r="PL5" s="6">
        <v>45874</v>
      </c>
      <c r="PM5">
        <v>5</v>
      </c>
      <c r="PN5">
        <v>666294015.34000003</v>
      </c>
      <c r="PO5">
        <v>115519</v>
      </c>
      <c r="PP5" t="s">
        <v>2424</v>
      </c>
      <c r="PS5" t="str">
        <f>_xll.BDS("GE US Equity","SUPPLY_CHAIN_CUSTOMERS_ALL_DATA","cols=12;rows=5")</f>
        <v>3352Z US Equity</v>
      </c>
      <c r="PT5">
        <v>10</v>
      </c>
      <c r="PV5">
        <v>-2.4245362661989844E-14</v>
      </c>
      <c r="PW5" t="s">
        <v>1745</v>
      </c>
      <c r="PX5">
        <v>2025</v>
      </c>
      <c r="PY5" t="s">
        <v>1876</v>
      </c>
      <c r="PZ5" s="6">
        <v>46051</v>
      </c>
      <c r="QA5">
        <v>5</v>
      </c>
      <c r="QB5">
        <v>1146375040</v>
      </c>
      <c r="QC5">
        <v>218252</v>
      </c>
      <c r="QD5" t="s">
        <v>1803</v>
      </c>
      <c r="QI5" t="str">
        <f>_xll.BDS("3346Q US Equity","SUPPLY_CHAIN_SUPPLIERS_ALL_DATA")</f>
        <v>#N/A N/A</v>
      </c>
      <c r="QW5" t="str">
        <f>_xll.BDS("3346Q US Equity","SUPPLY_CHAIN_CUSTOMERS_ALL_DATA")</f>
        <v>#N/A N/A</v>
      </c>
      <c r="RM5" t="str">
        <f>_xll.BDS("LEHMQ US Equity","SUPPLY_CHAIN_SUPPLIERS_ALL_DATA")</f>
        <v>#N/A N/A</v>
      </c>
      <c r="SA5" t="str">
        <f>_xll.BDS("LEHMQ US Equity","SUPPLY_CHAIN_CUSTOMERS_ALL_DATA")</f>
        <v>#N/A N/A</v>
      </c>
      <c r="SQ5" t="str">
        <f>_xll.BDS("FFBC US Equity","SUPPLY_CHAIN_SUPPLIERS_ALL_DATA","cols=12;rows=1")</f>
        <v>QMCI US Equity</v>
      </c>
      <c r="SS5">
        <v>-2.4245362661989844E-14</v>
      </c>
      <c r="ST5">
        <v>-2.4245362661989844E-14</v>
      </c>
      <c r="SU5" t="s">
        <v>1745</v>
      </c>
      <c r="SV5">
        <v>2022</v>
      </c>
      <c r="SW5" t="s">
        <v>6305</v>
      </c>
      <c r="SX5" s="6">
        <v>44868</v>
      </c>
      <c r="SY5">
        <v>1</v>
      </c>
      <c r="SZ5">
        <v>-2.4245362661989844E-14</v>
      </c>
      <c r="TA5">
        <v>154432</v>
      </c>
      <c r="TB5" t="s">
        <v>6306</v>
      </c>
      <c r="TE5" t="str">
        <f>_xll.BDS("FFBC US Equity","SUPPLY_CHAIN_CUSTOMERS_ALL_DATA")</f>
        <v>#N/A N/A</v>
      </c>
      <c r="TU5" t="str">
        <f>_xll.BDS("TXT US Equity","SUPPLY_CHAIN_SUPPLIERS_ALL_DATA","cols=12;rows=5")</f>
        <v>RR/ LN Equity</v>
      </c>
      <c r="TV5" t="s">
        <v>1786</v>
      </c>
      <c r="TW5">
        <v>1.544897</v>
      </c>
      <c r="TX5">
        <v>3.251614</v>
      </c>
      <c r="TY5" t="s">
        <v>1762</v>
      </c>
      <c r="TZ5">
        <v>2025</v>
      </c>
      <c r="UA5" t="s">
        <v>3926</v>
      </c>
      <c r="UB5" s="6">
        <v>45873</v>
      </c>
      <c r="UC5">
        <v>5</v>
      </c>
      <c r="UD5">
        <v>97847994.530000001</v>
      </c>
      <c r="UE5">
        <v>112185</v>
      </c>
      <c r="UF5" t="s">
        <v>3927</v>
      </c>
      <c r="UI5" t="str">
        <f>_xll.BDS("TXT US Equity","SUPPLY_CHAIN_CUSTOMERS_ALL_DATA","cols=12;rows=5")</f>
        <v>3352Z US Equity</v>
      </c>
      <c r="UJ5">
        <v>26.981552000000001</v>
      </c>
      <c r="UL5">
        <v>-2.4245362661989844E-14</v>
      </c>
      <c r="UM5" t="s">
        <v>1745</v>
      </c>
      <c r="UN5">
        <v>2025</v>
      </c>
      <c r="UO5" t="s">
        <v>4131</v>
      </c>
      <c r="UP5" s="6">
        <v>46064</v>
      </c>
      <c r="UQ5">
        <v>5</v>
      </c>
      <c r="UR5">
        <v>998250000</v>
      </c>
      <c r="US5">
        <v>218252</v>
      </c>
      <c r="UT5" t="s">
        <v>1803</v>
      </c>
      <c r="UY5" t="str">
        <f>_xll.BDS("IBTX US Equity","SUPPLY_CHAIN_SUPPLIERS_ALL_DATA")</f>
        <v>#N/A N/A</v>
      </c>
      <c r="VM5" t="str">
        <f>_xll.BDS("IBTX US Equity","SUPPLY_CHAIN_CUSTOMERS_ALL_DATA")</f>
        <v>#N/A N/A</v>
      </c>
    </row>
    <row r="6" spans="1:600" x14ac:dyDescent="0.25">
      <c r="CM6" t="s">
        <v>6232</v>
      </c>
      <c r="CN6" t="s">
        <v>1786</v>
      </c>
      <c r="CO6">
        <v>21.000077999999998</v>
      </c>
      <c r="CP6">
        <v>2.052692</v>
      </c>
      <c r="CQ6" t="s">
        <v>1762</v>
      </c>
      <c r="CR6">
        <v>2026</v>
      </c>
      <c r="CS6" t="s">
        <v>6233</v>
      </c>
      <c r="CT6" s="6">
        <v>46000</v>
      </c>
      <c r="CU6">
        <v>5</v>
      </c>
      <c r="CV6">
        <v>46508872</v>
      </c>
      <c r="CW6">
        <v>136618</v>
      </c>
      <c r="CX6" t="s">
        <v>6234</v>
      </c>
      <c r="EE6" t="s">
        <v>246</v>
      </c>
      <c r="EF6">
        <v>-2.4245362661989844E-14</v>
      </c>
      <c r="EH6">
        <v>-2.4245362661989844E-14</v>
      </c>
      <c r="EI6" t="s">
        <v>1745</v>
      </c>
      <c r="EJ6">
        <v>2023</v>
      </c>
      <c r="EK6" t="s">
        <v>3154</v>
      </c>
      <c r="EL6" s="6">
        <v>44943</v>
      </c>
      <c r="EM6">
        <v>3</v>
      </c>
      <c r="EN6">
        <v>-2.4245362661989844E-14</v>
      </c>
      <c r="EO6">
        <v>46946968</v>
      </c>
      <c r="EP6" t="s">
        <v>1765</v>
      </c>
      <c r="JK6" t="s">
        <v>2270</v>
      </c>
      <c r="JL6" t="s">
        <v>1769</v>
      </c>
      <c r="JM6">
        <v>1.151538</v>
      </c>
      <c r="JN6">
        <v>7.7191999999999997E-2</v>
      </c>
      <c r="JO6" t="s">
        <v>1745</v>
      </c>
      <c r="JP6">
        <v>2024</v>
      </c>
      <c r="JQ6" t="s">
        <v>2271</v>
      </c>
      <c r="JR6" s="6">
        <v>45716</v>
      </c>
      <c r="JS6">
        <v>5</v>
      </c>
      <c r="JT6">
        <v>2317499</v>
      </c>
      <c r="JU6">
        <v>35300053</v>
      </c>
      <c r="JV6" t="s">
        <v>2272</v>
      </c>
      <c r="KO6" t="s">
        <v>3477</v>
      </c>
      <c r="KP6" t="s">
        <v>1786</v>
      </c>
      <c r="KQ6">
        <v>0.289105</v>
      </c>
      <c r="KR6">
        <v>0.27074799999999999</v>
      </c>
      <c r="KS6" t="s">
        <v>1762</v>
      </c>
      <c r="KT6">
        <v>2025</v>
      </c>
      <c r="KU6" t="s">
        <v>3478</v>
      </c>
      <c r="KV6" s="6">
        <v>45867</v>
      </c>
      <c r="KW6">
        <v>5</v>
      </c>
      <c r="KX6">
        <v>1603449.5</v>
      </c>
      <c r="KY6">
        <v>157487</v>
      </c>
      <c r="KZ6" t="s">
        <v>3479</v>
      </c>
      <c r="LC6" t="s">
        <v>5524</v>
      </c>
      <c r="LD6">
        <v>-2.4245362661989844E-14</v>
      </c>
      <c r="LF6">
        <v>-2.4245362661989844E-14</v>
      </c>
      <c r="LG6" t="s">
        <v>1805</v>
      </c>
      <c r="LH6">
        <v>2022</v>
      </c>
      <c r="LI6" t="s">
        <v>5525</v>
      </c>
      <c r="LJ6" s="6">
        <v>44798</v>
      </c>
      <c r="LK6">
        <v>5</v>
      </c>
      <c r="LL6">
        <v>-2.4245362661989844E-14</v>
      </c>
      <c r="LM6">
        <v>384546</v>
      </c>
      <c r="LN6" t="s">
        <v>5526</v>
      </c>
      <c r="LS6" t="s">
        <v>5478</v>
      </c>
      <c r="LT6" t="s">
        <v>1786</v>
      </c>
      <c r="LU6">
        <v>3.8052999999999997E-2</v>
      </c>
      <c r="LV6">
        <v>3.3156999999999999E-2</v>
      </c>
      <c r="LW6" t="s">
        <v>1762</v>
      </c>
      <c r="LX6">
        <v>2025</v>
      </c>
      <c r="LY6" t="s">
        <v>5479</v>
      </c>
      <c r="LZ6" s="6">
        <v>45954</v>
      </c>
      <c r="MA6">
        <v>5</v>
      </c>
      <c r="MB6">
        <v>753034.07</v>
      </c>
      <c r="MC6">
        <v>114817</v>
      </c>
      <c r="MD6" t="s">
        <v>5480</v>
      </c>
      <c r="MG6" t="s">
        <v>5041</v>
      </c>
      <c r="MH6">
        <v>-2.4245362661989844E-14</v>
      </c>
      <c r="MJ6">
        <v>-2.4245362661989844E-14</v>
      </c>
      <c r="MK6" t="s">
        <v>1745</v>
      </c>
      <c r="ML6">
        <v>2022</v>
      </c>
      <c r="MM6" t="s">
        <v>5321</v>
      </c>
      <c r="MN6" s="6">
        <v>44994</v>
      </c>
      <c r="MO6">
        <v>2</v>
      </c>
      <c r="MP6">
        <v>-2.4245362661989844E-14</v>
      </c>
      <c r="MQ6">
        <v>10498790</v>
      </c>
      <c r="MR6" t="s">
        <v>5043</v>
      </c>
      <c r="MW6" t="s">
        <v>1699</v>
      </c>
      <c r="MX6" t="s">
        <v>1786</v>
      </c>
      <c r="MY6">
        <v>18.560427000000001</v>
      </c>
      <c r="MZ6">
        <v>4.8780200000000002</v>
      </c>
      <c r="NA6" t="s">
        <v>1845</v>
      </c>
      <c r="NB6">
        <v>2025</v>
      </c>
      <c r="NC6" t="s">
        <v>2798</v>
      </c>
      <c r="ND6" s="6">
        <v>46077</v>
      </c>
      <c r="NE6">
        <v>5</v>
      </c>
      <c r="NF6">
        <v>3084371712</v>
      </c>
      <c r="NG6">
        <v>28046509</v>
      </c>
      <c r="NH6" t="s">
        <v>2799</v>
      </c>
      <c r="NK6" t="s">
        <v>3121</v>
      </c>
      <c r="NL6">
        <v>4</v>
      </c>
      <c r="NN6">
        <v>-2.4245362661989844E-14</v>
      </c>
      <c r="NO6" t="s">
        <v>1845</v>
      </c>
      <c r="NP6">
        <v>2025</v>
      </c>
      <c r="NQ6" t="s">
        <v>3843</v>
      </c>
      <c r="NR6" s="6">
        <v>45954</v>
      </c>
      <c r="NS6">
        <v>5</v>
      </c>
      <c r="NT6">
        <v>2406360064</v>
      </c>
      <c r="NU6">
        <v>48003505</v>
      </c>
      <c r="NV6" t="s">
        <v>3122</v>
      </c>
      <c r="OA6" t="s">
        <v>3387</v>
      </c>
      <c r="OC6">
        <v>-2.4245362661989844E-14</v>
      </c>
      <c r="OD6">
        <v>-2.4245362661989844E-14</v>
      </c>
      <c r="OE6" t="s">
        <v>1745</v>
      </c>
      <c r="OF6">
        <v>2023</v>
      </c>
      <c r="OG6" t="s">
        <v>3388</v>
      </c>
      <c r="OH6" s="6">
        <v>45337</v>
      </c>
      <c r="OI6">
        <v>5</v>
      </c>
      <c r="OJ6">
        <v>-2.4245362661989844E-14</v>
      </c>
      <c r="OK6">
        <v>61124780</v>
      </c>
      <c r="OL6" t="s">
        <v>3389</v>
      </c>
      <c r="OO6" t="s">
        <v>5220</v>
      </c>
      <c r="OP6">
        <v>4.8</v>
      </c>
      <c r="OQ6" t="s">
        <v>1769</v>
      </c>
      <c r="OR6">
        <v>0.367259</v>
      </c>
      <c r="OS6" t="s">
        <v>1742</v>
      </c>
      <c r="OT6">
        <v>2025</v>
      </c>
      <c r="OU6" t="s">
        <v>5219</v>
      </c>
      <c r="OV6" s="6">
        <v>45960</v>
      </c>
      <c r="OW6">
        <v>5</v>
      </c>
      <c r="OX6">
        <v>4171296</v>
      </c>
      <c r="OY6">
        <v>114428</v>
      </c>
      <c r="OZ6" t="s">
        <v>5221</v>
      </c>
      <c r="PE6" t="s">
        <v>2425</v>
      </c>
      <c r="PF6" t="s">
        <v>1786</v>
      </c>
      <c r="PG6">
        <v>13.760432</v>
      </c>
      <c r="PH6">
        <v>4.7536569999999996</v>
      </c>
      <c r="PI6" t="s">
        <v>1762</v>
      </c>
      <c r="PJ6">
        <v>2025</v>
      </c>
      <c r="PK6" t="s">
        <v>2426</v>
      </c>
      <c r="PL6" s="6">
        <v>45937</v>
      </c>
      <c r="PM6">
        <v>5</v>
      </c>
      <c r="PN6">
        <v>325305405.77999997</v>
      </c>
      <c r="PO6">
        <v>8445936</v>
      </c>
      <c r="PP6" t="s">
        <v>2427</v>
      </c>
      <c r="PS6" t="s">
        <v>1088</v>
      </c>
      <c r="PT6">
        <v>9.2636719999999997</v>
      </c>
      <c r="PU6" t="s">
        <v>1786</v>
      </c>
      <c r="PV6">
        <v>5.0267530000000002</v>
      </c>
      <c r="PW6" t="s">
        <v>1762</v>
      </c>
      <c r="PX6">
        <v>2025</v>
      </c>
      <c r="PY6" t="s">
        <v>1877</v>
      </c>
      <c r="PZ6" s="6">
        <v>45888</v>
      </c>
      <c r="QA6">
        <v>5</v>
      </c>
      <c r="QB6">
        <v>1021134592</v>
      </c>
      <c r="QC6">
        <v>100211</v>
      </c>
      <c r="QD6" t="s">
        <v>1851</v>
      </c>
      <c r="TU6" t="s">
        <v>1054</v>
      </c>
      <c r="TV6" t="s">
        <v>1786</v>
      </c>
      <c r="TW6">
        <v>0.40776600000000002</v>
      </c>
      <c r="TX6">
        <v>2.926504</v>
      </c>
      <c r="TY6" t="s">
        <v>1762</v>
      </c>
      <c r="TZ6">
        <v>2025</v>
      </c>
      <c r="UA6" t="s">
        <v>3638</v>
      </c>
      <c r="UB6" s="6">
        <v>45895</v>
      </c>
      <c r="UC6">
        <v>5</v>
      </c>
      <c r="UD6">
        <v>87999984</v>
      </c>
      <c r="UE6">
        <v>101555</v>
      </c>
      <c r="UF6" t="s">
        <v>1848</v>
      </c>
      <c r="UI6" t="s">
        <v>86</v>
      </c>
      <c r="UJ6">
        <v>6.6028770000000003</v>
      </c>
      <c r="UK6" t="s">
        <v>1820</v>
      </c>
      <c r="UL6">
        <v>5.0506979999999997</v>
      </c>
      <c r="UM6" t="s">
        <v>1762</v>
      </c>
      <c r="UN6">
        <v>2025</v>
      </c>
      <c r="UO6" t="s">
        <v>3043</v>
      </c>
      <c r="UP6" s="6">
        <v>45915</v>
      </c>
      <c r="UQ6">
        <v>5</v>
      </c>
      <c r="UR6">
        <v>245362912</v>
      </c>
      <c r="US6">
        <v>100193</v>
      </c>
      <c r="UT6" t="s">
        <v>1849</v>
      </c>
    </row>
    <row r="7" spans="1:600" x14ac:dyDescent="0.25">
      <c r="CM7" t="s">
        <v>4322</v>
      </c>
      <c r="CN7" t="s">
        <v>1786</v>
      </c>
      <c r="CO7">
        <v>0.64147500000000002</v>
      </c>
      <c r="CP7">
        <v>1.8424179999999999</v>
      </c>
      <c r="CQ7" t="s">
        <v>1762</v>
      </c>
      <c r="CR7">
        <v>2025</v>
      </c>
      <c r="CS7" t="s">
        <v>4323</v>
      </c>
      <c r="CT7" s="6">
        <v>45869</v>
      </c>
      <c r="CU7">
        <v>5</v>
      </c>
      <c r="CV7">
        <v>40505940</v>
      </c>
      <c r="CW7">
        <v>101341</v>
      </c>
      <c r="CX7" t="s">
        <v>4324</v>
      </c>
      <c r="EE7" t="s">
        <v>1044</v>
      </c>
      <c r="EF7">
        <v>-2.4245362661989844E-14</v>
      </c>
      <c r="EH7">
        <v>-2.4245362661989844E-14</v>
      </c>
      <c r="EI7" t="s">
        <v>1745</v>
      </c>
      <c r="EJ7">
        <v>2025</v>
      </c>
      <c r="EK7" t="s">
        <v>3154</v>
      </c>
      <c r="EL7" s="6">
        <v>46007</v>
      </c>
      <c r="EM7">
        <v>3</v>
      </c>
      <c r="EN7">
        <v>-2.4245362661989844E-14</v>
      </c>
      <c r="EO7">
        <v>107071</v>
      </c>
      <c r="EP7" t="s">
        <v>3156</v>
      </c>
      <c r="JK7" t="s">
        <v>2273</v>
      </c>
      <c r="JL7" t="s">
        <v>1769</v>
      </c>
      <c r="JM7">
        <v>0.492811</v>
      </c>
      <c r="JN7">
        <v>2.9784000000000001E-2</v>
      </c>
      <c r="JO7" t="s">
        <v>1809</v>
      </c>
      <c r="JP7">
        <v>2026</v>
      </c>
      <c r="JQ7" t="s">
        <v>2274</v>
      </c>
      <c r="JR7" s="6">
        <v>45898</v>
      </c>
      <c r="JS7">
        <v>5</v>
      </c>
      <c r="JT7">
        <v>889383.69</v>
      </c>
      <c r="JU7">
        <v>178651</v>
      </c>
      <c r="JV7" t="s">
        <v>2275</v>
      </c>
      <c r="KO7" t="s">
        <v>4439</v>
      </c>
      <c r="KQ7">
        <v>-2.4245362661989844E-14</v>
      </c>
      <c r="KR7">
        <v>-2.4245362661989844E-14</v>
      </c>
      <c r="KS7" t="s">
        <v>1798</v>
      </c>
      <c r="KT7">
        <v>2024</v>
      </c>
      <c r="KU7" t="s">
        <v>4440</v>
      </c>
      <c r="KV7" s="6">
        <v>45607</v>
      </c>
      <c r="KW7">
        <v>5</v>
      </c>
      <c r="KX7">
        <v>-2.4245362661989844E-14</v>
      </c>
      <c r="KY7">
        <v>7749868</v>
      </c>
      <c r="KZ7" t="s">
        <v>4441</v>
      </c>
      <c r="LC7" t="s">
        <v>4439</v>
      </c>
      <c r="LD7">
        <v>-2.4245362661989844E-14</v>
      </c>
      <c r="LF7">
        <v>-2.4245362661989844E-14</v>
      </c>
      <c r="LG7" t="s">
        <v>1798</v>
      </c>
      <c r="LH7">
        <v>2025</v>
      </c>
      <c r="LI7" t="s">
        <v>5527</v>
      </c>
      <c r="LJ7" s="6">
        <v>45973</v>
      </c>
      <c r="LK7">
        <v>5</v>
      </c>
      <c r="LL7">
        <v>-2.4245362661989844E-14</v>
      </c>
      <c r="LM7">
        <v>7749868</v>
      </c>
      <c r="LN7" t="s">
        <v>4441</v>
      </c>
      <c r="LS7" t="s">
        <v>5481</v>
      </c>
      <c r="LT7" t="s">
        <v>1786</v>
      </c>
      <c r="LU7">
        <v>8.6390000000000008E-3</v>
      </c>
      <c r="LV7">
        <v>2.8081999999999999E-2</v>
      </c>
      <c r="LW7" t="s">
        <v>1762</v>
      </c>
      <c r="LX7">
        <v>2025</v>
      </c>
      <c r="LY7" t="s">
        <v>5482</v>
      </c>
      <c r="LZ7" s="6">
        <v>45951</v>
      </c>
      <c r="MA7">
        <v>5</v>
      </c>
      <c r="MB7">
        <v>637757.78</v>
      </c>
      <c r="MC7">
        <v>115439</v>
      </c>
      <c r="MD7" t="s">
        <v>5483</v>
      </c>
      <c r="MW7" t="s">
        <v>385</v>
      </c>
      <c r="MX7" t="s">
        <v>1786</v>
      </c>
      <c r="MY7">
        <v>12.373919000000001</v>
      </c>
      <c r="MZ7">
        <v>4.81257</v>
      </c>
      <c r="NA7" t="s">
        <v>1742</v>
      </c>
      <c r="NB7">
        <v>2025</v>
      </c>
      <c r="NC7" t="s">
        <v>2501</v>
      </c>
      <c r="ND7" s="6">
        <v>46018</v>
      </c>
      <c r="NE7">
        <v>5</v>
      </c>
      <c r="NF7">
        <v>2968874496</v>
      </c>
      <c r="NG7">
        <v>100828</v>
      </c>
      <c r="NH7" t="s">
        <v>2464</v>
      </c>
      <c r="NK7" t="s">
        <v>3123</v>
      </c>
      <c r="NL7">
        <v>3.75</v>
      </c>
      <c r="NN7">
        <v>-2.4245362661989844E-14</v>
      </c>
      <c r="NO7" t="s">
        <v>1845</v>
      </c>
      <c r="NP7">
        <v>2025</v>
      </c>
      <c r="NQ7" t="s">
        <v>3843</v>
      </c>
      <c r="NR7" s="6">
        <v>45954</v>
      </c>
      <c r="NS7">
        <v>5</v>
      </c>
      <c r="NT7">
        <v>2255962624</v>
      </c>
      <c r="NU7">
        <v>353064</v>
      </c>
      <c r="NV7" t="s">
        <v>3124</v>
      </c>
      <c r="OA7" t="s">
        <v>3390</v>
      </c>
      <c r="OC7">
        <v>-2.4245362661989844E-14</v>
      </c>
      <c r="OD7">
        <v>-2.4245362661989844E-14</v>
      </c>
      <c r="OE7" t="s">
        <v>1745</v>
      </c>
      <c r="OF7">
        <v>2022</v>
      </c>
      <c r="OG7" t="s">
        <v>3385</v>
      </c>
      <c r="OH7" s="6">
        <v>44974</v>
      </c>
      <c r="OI7">
        <v>5</v>
      </c>
      <c r="OJ7">
        <v>-2.4245362661989844E-14</v>
      </c>
      <c r="OK7">
        <v>136994</v>
      </c>
      <c r="OL7" t="s">
        <v>3391</v>
      </c>
      <c r="OO7" t="s">
        <v>5222</v>
      </c>
      <c r="OP7">
        <v>3.6</v>
      </c>
      <c r="OQ7" t="s">
        <v>1769</v>
      </c>
      <c r="OR7">
        <v>0.359429</v>
      </c>
      <c r="OS7" t="s">
        <v>1742</v>
      </c>
      <c r="OT7">
        <v>2025</v>
      </c>
      <c r="OU7" t="s">
        <v>5219</v>
      </c>
      <c r="OV7" s="6">
        <v>45960</v>
      </c>
      <c r="OW7">
        <v>5</v>
      </c>
      <c r="OX7">
        <v>3128472</v>
      </c>
      <c r="OY7">
        <v>101397</v>
      </c>
      <c r="OZ7" t="s">
        <v>5223</v>
      </c>
      <c r="PE7" t="s">
        <v>1844</v>
      </c>
      <c r="PF7" t="s">
        <v>1786</v>
      </c>
      <c r="PG7">
        <v>11</v>
      </c>
      <c r="PH7">
        <v>3.1337429999999999</v>
      </c>
      <c r="PI7" t="s">
        <v>1745</v>
      </c>
      <c r="PJ7">
        <v>2025</v>
      </c>
      <c r="PK7" t="s">
        <v>2428</v>
      </c>
      <c r="PL7" s="6">
        <v>46065</v>
      </c>
      <c r="PM7">
        <v>5</v>
      </c>
      <c r="PN7">
        <v>226930000</v>
      </c>
      <c r="PO7">
        <v>59099358</v>
      </c>
      <c r="PP7" t="s">
        <v>1847</v>
      </c>
      <c r="PS7" t="s">
        <v>1878</v>
      </c>
      <c r="PT7">
        <v>4.5319979999999997</v>
      </c>
      <c r="PU7" t="s">
        <v>1786</v>
      </c>
      <c r="PV7">
        <v>3.2162160000000002</v>
      </c>
      <c r="PW7" t="s">
        <v>1762</v>
      </c>
      <c r="PX7">
        <v>2025</v>
      </c>
      <c r="PY7" t="s">
        <v>1877</v>
      </c>
      <c r="PZ7" s="6">
        <v>45888</v>
      </c>
      <c r="QA7">
        <v>5</v>
      </c>
      <c r="QB7">
        <v>499562144</v>
      </c>
      <c r="QC7">
        <v>876285</v>
      </c>
      <c r="QD7" t="s">
        <v>1879</v>
      </c>
      <c r="TU7" t="s">
        <v>1346</v>
      </c>
      <c r="TV7" t="s">
        <v>1786</v>
      </c>
      <c r="TW7">
        <v>0.65316700000000005</v>
      </c>
      <c r="TX7">
        <v>2.248615</v>
      </c>
      <c r="TY7" t="s">
        <v>1762</v>
      </c>
      <c r="TZ7">
        <v>2025</v>
      </c>
      <c r="UA7" t="s">
        <v>2368</v>
      </c>
      <c r="UB7" s="6">
        <v>45898</v>
      </c>
      <c r="UC7">
        <v>5</v>
      </c>
      <c r="UD7">
        <v>67615848</v>
      </c>
      <c r="UE7">
        <v>100043</v>
      </c>
      <c r="UF7" t="s">
        <v>3434</v>
      </c>
      <c r="UI7" t="s">
        <v>536</v>
      </c>
      <c r="UJ7">
        <v>1.0461879999999999</v>
      </c>
      <c r="UK7" t="s">
        <v>1820</v>
      </c>
      <c r="UL7">
        <v>2.6392630000000001</v>
      </c>
      <c r="UM7" t="s">
        <v>1762</v>
      </c>
      <c r="UN7">
        <v>2025</v>
      </c>
      <c r="UO7" t="s">
        <v>3043</v>
      </c>
      <c r="UP7" s="6">
        <v>45915</v>
      </c>
      <c r="UQ7">
        <v>5</v>
      </c>
      <c r="UR7">
        <v>38876344</v>
      </c>
      <c r="US7">
        <v>100554</v>
      </c>
      <c r="UT7" t="s">
        <v>4132</v>
      </c>
    </row>
    <row r="8" spans="1:600" x14ac:dyDescent="0.25">
      <c r="CM8" t="s">
        <v>6235</v>
      </c>
      <c r="CN8" t="s">
        <v>1786</v>
      </c>
      <c r="CO8">
        <v>1.6752899999999999</v>
      </c>
      <c r="CP8">
        <v>0.95234399999999997</v>
      </c>
      <c r="CQ8" t="s">
        <v>1742</v>
      </c>
      <c r="CR8">
        <v>2025</v>
      </c>
      <c r="CS8" t="s">
        <v>6236</v>
      </c>
      <c r="CT8" s="6">
        <v>46018</v>
      </c>
      <c r="CU8">
        <v>5</v>
      </c>
      <c r="CV8">
        <v>21577736</v>
      </c>
      <c r="CW8">
        <v>43170856</v>
      </c>
      <c r="CX8" t="s">
        <v>6237</v>
      </c>
      <c r="JK8" t="s">
        <v>2276</v>
      </c>
      <c r="JM8">
        <v>0.44397199999999998</v>
      </c>
      <c r="JN8">
        <v>-2.4245362661989844E-14</v>
      </c>
      <c r="JO8" t="s">
        <v>1845</v>
      </c>
      <c r="JP8">
        <v>2024</v>
      </c>
      <c r="JQ8" t="s">
        <v>2277</v>
      </c>
      <c r="JR8" s="6">
        <v>45699</v>
      </c>
      <c r="JS8">
        <v>5</v>
      </c>
      <c r="JT8">
        <v>316250</v>
      </c>
      <c r="JU8">
        <v>10086577</v>
      </c>
      <c r="JV8" t="s">
        <v>2278</v>
      </c>
      <c r="KO8" t="s">
        <v>4442</v>
      </c>
      <c r="KQ8">
        <v>-2.4245362661989844E-14</v>
      </c>
      <c r="KR8">
        <v>-2.4245362661989844E-14</v>
      </c>
      <c r="KS8" t="s">
        <v>1745</v>
      </c>
      <c r="KT8">
        <v>2023</v>
      </c>
      <c r="KU8" t="s">
        <v>4443</v>
      </c>
      <c r="KV8" s="6">
        <v>45422</v>
      </c>
      <c r="KW8">
        <v>5</v>
      </c>
      <c r="KX8">
        <v>-2.4245362661989844E-14</v>
      </c>
      <c r="KY8">
        <v>11339628</v>
      </c>
      <c r="KZ8" t="s">
        <v>4444</v>
      </c>
      <c r="LC8" t="s">
        <v>5528</v>
      </c>
      <c r="LD8">
        <v>-2.4245362661989844E-14</v>
      </c>
      <c r="LF8">
        <v>-2.4245362661989844E-14</v>
      </c>
      <c r="LG8" t="s">
        <v>1745</v>
      </c>
      <c r="LH8">
        <v>2024</v>
      </c>
      <c r="LI8" t="s">
        <v>5529</v>
      </c>
      <c r="LJ8" s="6">
        <v>45454</v>
      </c>
      <c r="LK8">
        <v>5</v>
      </c>
      <c r="LL8">
        <v>-2.4245362661989844E-14</v>
      </c>
      <c r="LM8">
        <v>42530478</v>
      </c>
      <c r="LN8" t="s">
        <v>5530</v>
      </c>
      <c r="LS8" t="s">
        <v>5484</v>
      </c>
      <c r="LT8" t="s">
        <v>1786</v>
      </c>
      <c r="LU8">
        <v>3.1126000000000001E-2</v>
      </c>
      <c r="LV8">
        <v>3.6621000000000001E-2</v>
      </c>
      <c r="LW8" t="s">
        <v>1742</v>
      </c>
      <c r="LX8">
        <v>2025</v>
      </c>
      <c r="LY8" t="s">
        <v>5485</v>
      </c>
      <c r="LZ8" s="6">
        <v>45974</v>
      </c>
      <c r="MA8">
        <v>5</v>
      </c>
      <c r="MB8">
        <v>617178.78</v>
      </c>
      <c r="MC8">
        <v>128163</v>
      </c>
      <c r="MD8" t="s">
        <v>5486</v>
      </c>
      <c r="MW8" t="s">
        <v>1114</v>
      </c>
      <c r="MX8" t="s">
        <v>1786</v>
      </c>
      <c r="MY8">
        <v>22</v>
      </c>
      <c r="MZ8">
        <v>4.4996770000000001</v>
      </c>
      <c r="NA8" t="s">
        <v>1745</v>
      </c>
      <c r="NB8">
        <v>2025</v>
      </c>
      <c r="NC8" t="s">
        <v>2150</v>
      </c>
      <c r="ND8" s="6">
        <v>46064</v>
      </c>
      <c r="NE8">
        <v>5</v>
      </c>
      <c r="NF8">
        <v>2650670080</v>
      </c>
      <c r="NG8">
        <v>100225</v>
      </c>
      <c r="NH8" t="s">
        <v>2151</v>
      </c>
      <c r="NK8" t="s">
        <v>985</v>
      </c>
      <c r="NL8">
        <v>3.1469290000000001</v>
      </c>
      <c r="NM8" t="s">
        <v>1786</v>
      </c>
      <c r="NN8">
        <v>7.2451629999999998</v>
      </c>
      <c r="NO8" t="s">
        <v>1845</v>
      </c>
      <c r="NP8">
        <v>2025</v>
      </c>
      <c r="NQ8" t="s">
        <v>3843</v>
      </c>
      <c r="NR8" s="6">
        <v>45954</v>
      </c>
      <c r="NS8">
        <v>5</v>
      </c>
      <c r="NT8">
        <v>1893160960</v>
      </c>
      <c r="NU8">
        <v>100864</v>
      </c>
      <c r="NV8" t="s">
        <v>1971</v>
      </c>
      <c r="OA8" t="s">
        <v>3392</v>
      </c>
      <c r="OC8">
        <v>-2.4245362661989844E-14</v>
      </c>
      <c r="OD8">
        <v>-2.4245362661989844E-14</v>
      </c>
      <c r="OE8" t="s">
        <v>1745</v>
      </c>
      <c r="OF8">
        <v>2024</v>
      </c>
      <c r="OG8" t="s">
        <v>3393</v>
      </c>
      <c r="OH8" s="6">
        <v>45701</v>
      </c>
      <c r="OI8">
        <v>5</v>
      </c>
      <c r="OJ8">
        <v>-2.4245362661989844E-14</v>
      </c>
      <c r="OK8">
        <v>1749172</v>
      </c>
      <c r="OL8" t="s">
        <v>3394</v>
      </c>
      <c r="OO8" t="s">
        <v>2096</v>
      </c>
      <c r="OP8">
        <v>3.3</v>
      </c>
      <c r="OQ8" t="s">
        <v>1769</v>
      </c>
      <c r="OR8">
        <v>7.6790000000000001E-3</v>
      </c>
      <c r="OS8" t="s">
        <v>1742</v>
      </c>
      <c r="OT8">
        <v>2025</v>
      </c>
      <c r="OU8" t="s">
        <v>5219</v>
      </c>
      <c r="OV8" s="6">
        <v>45960</v>
      </c>
      <c r="OW8">
        <v>5</v>
      </c>
      <c r="OX8">
        <v>2867766</v>
      </c>
      <c r="OY8">
        <v>101616</v>
      </c>
      <c r="OZ8" t="s">
        <v>2098</v>
      </c>
      <c r="PE8" t="s">
        <v>2374</v>
      </c>
      <c r="PF8" t="s">
        <v>1786</v>
      </c>
      <c r="PG8">
        <v>8.8672269999999997</v>
      </c>
      <c r="PH8">
        <v>1.980351</v>
      </c>
      <c r="PI8" t="s">
        <v>1762</v>
      </c>
      <c r="PJ8">
        <v>2025</v>
      </c>
      <c r="PK8" t="s">
        <v>2375</v>
      </c>
      <c r="PL8" s="6">
        <v>45922</v>
      </c>
      <c r="PM8">
        <v>5</v>
      </c>
      <c r="PN8">
        <v>135574848</v>
      </c>
      <c r="PO8">
        <v>11937231</v>
      </c>
      <c r="PP8" t="s">
        <v>2376</v>
      </c>
      <c r="PS8" t="s">
        <v>1880</v>
      </c>
      <c r="PT8">
        <v>3.2472560000000001</v>
      </c>
      <c r="PU8" t="s">
        <v>1786</v>
      </c>
      <c r="PV8">
        <v>2.573108</v>
      </c>
      <c r="PW8" t="s">
        <v>1762</v>
      </c>
      <c r="PX8">
        <v>2025</v>
      </c>
      <c r="PY8" t="s">
        <v>1877</v>
      </c>
      <c r="PZ8" s="6">
        <v>45888</v>
      </c>
      <c r="QA8">
        <v>5</v>
      </c>
      <c r="QB8">
        <v>357945024</v>
      </c>
      <c r="QC8">
        <v>10451815</v>
      </c>
      <c r="QD8" t="s">
        <v>1881</v>
      </c>
      <c r="TU8" t="s">
        <v>454</v>
      </c>
      <c r="TV8" t="s">
        <v>1786</v>
      </c>
      <c r="TW8">
        <v>0.52513100000000001</v>
      </c>
      <c r="TX8">
        <v>1.9250149999999999</v>
      </c>
      <c r="TY8" t="s">
        <v>1762</v>
      </c>
      <c r="TZ8">
        <v>2025</v>
      </c>
      <c r="UA8" t="s">
        <v>1877</v>
      </c>
      <c r="UB8" s="6">
        <v>45888</v>
      </c>
      <c r="UC8">
        <v>5</v>
      </c>
      <c r="UD8">
        <v>57885192</v>
      </c>
      <c r="UE8">
        <v>100632</v>
      </c>
      <c r="UF8" t="s">
        <v>1850</v>
      </c>
      <c r="UI8" t="s">
        <v>3236</v>
      </c>
      <c r="UJ8">
        <v>0.36827399999999999</v>
      </c>
      <c r="UK8" t="s">
        <v>1786</v>
      </c>
      <c r="UL8">
        <v>3.6235999999999997E-2</v>
      </c>
      <c r="UM8" t="s">
        <v>1762</v>
      </c>
      <c r="UN8">
        <v>2025</v>
      </c>
      <c r="UO8" t="s">
        <v>3043</v>
      </c>
      <c r="UP8" s="6">
        <v>45915</v>
      </c>
      <c r="UQ8">
        <v>5</v>
      </c>
      <c r="UR8">
        <v>13685062</v>
      </c>
      <c r="US8">
        <v>16632863</v>
      </c>
      <c r="UT8" t="s">
        <v>3238</v>
      </c>
    </row>
    <row r="9" spans="1:600" x14ac:dyDescent="0.25">
      <c r="CM9" t="s">
        <v>4652</v>
      </c>
      <c r="CN9" t="s">
        <v>1786</v>
      </c>
      <c r="CO9">
        <v>0.33819500000000002</v>
      </c>
      <c r="CP9">
        <v>0.305811</v>
      </c>
      <c r="CQ9" t="s">
        <v>1845</v>
      </c>
      <c r="CR9">
        <v>2025</v>
      </c>
      <c r="CS9" t="s">
        <v>4653</v>
      </c>
      <c r="CT9" s="6">
        <v>45946</v>
      </c>
      <c r="CU9">
        <v>5</v>
      </c>
      <c r="CV9">
        <v>6723317</v>
      </c>
      <c r="CW9">
        <v>100345</v>
      </c>
      <c r="CX9" t="s">
        <v>4654</v>
      </c>
      <c r="JK9" t="s">
        <v>2043</v>
      </c>
      <c r="JM9">
        <v>-2.4245362661989844E-14</v>
      </c>
      <c r="JN9">
        <v>-2.4245362661989844E-14</v>
      </c>
      <c r="JO9" t="s">
        <v>1798</v>
      </c>
      <c r="JP9">
        <v>2025</v>
      </c>
      <c r="JQ9" t="s">
        <v>2279</v>
      </c>
      <c r="JR9" s="6">
        <v>45974</v>
      </c>
      <c r="JS9">
        <v>5</v>
      </c>
      <c r="JT9">
        <v>-2.4245362661989844E-14</v>
      </c>
      <c r="JU9">
        <v>118099</v>
      </c>
      <c r="JV9" t="s">
        <v>2044</v>
      </c>
      <c r="KO9" t="s">
        <v>4445</v>
      </c>
      <c r="KQ9">
        <v>-2.4245362661989844E-14</v>
      </c>
      <c r="KR9">
        <v>-2.4245362661989844E-14</v>
      </c>
      <c r="KS9" t="s">
        <v>1798</v>
      </c>
      <c r="KT9">
        <v>2025</v>
      </c>
      <c r="KU9" t="s">
        <v>4446</v>
      </c>
      <c r="KV9" s="6">
        <v>45965</v>
      </c>
      <c r="KW9">
        <v>5</v>
      </c>
      <c r="KX9">
        <v>-2.4245362661989844E-14</v>
      </c>
      <c r="KY9">
        <v>330633</v>
      </c>
      <c r="KZ9" t="s">
        <v>4447</v>
      </c>
      <c r="LC9" t="s">
        <v>5531</v>
      </c>
      <c r="LD9">
        <v>-2.4245362661989844E-14</v>
      </c>
      <c r="LF9">
        <v>-2.4245362661989844E-14</v>
      </c>
      <c r="LG9" t="s">
        <v>1745</v>
      </c>
      <c r="LH9">
        <v>2024</v>
      </c>
      <c r="LI9" t="s">
        <v>5532</v>
      </c>
      <c r="LJ9" s="6">
        <v>45742</v>
      </c>
      <c r="LK9">
        <v>5</v>
      </c>
      <c r="LL9">
        <v>-2.4245362661989844E-14</v>
      </c>
      <c r="LM9">
        <v>196431</v>
      </c>
      <c r="LN9" t="s">
        <v>5533</v>
      </c>
      <c r="LS9" t="s">
        <v>4429</v>
      </c>
      <c r="LT9" t="s">
        <v>1786</v>
      </c>
      <c r="LU9">
        <v>3.4840000000000001E-3</v>
      </c>
      <c r="LV9">
        <v>1.7006E-2</v>
      </c>
      <c r="LW9" t="s">
        <v>1845</v>
      </c>
      <c r="LX9">
        <v>2024</v>
      </c>
      <c r="LY9" t="s">
        <v>4430</v>
      </c>
      <c r="LZ9" s="6">
        <v>45740</v>
      </c>
      <c r="MA9">
        <v>5</v>
      </c>
      <c r="MB9">
        <v>375380.08</v>
      </c>
      <c r="MC9">
        <v>115688</v>
      </c>
      <c r="MD9" t="s">
        <v>4431</v>
      </c>
      <c r="MW9" t="s">
        <v>381</v>
      </c>
      <c r="MX9" t="s">
        <v>1786</v>
      </c>
      <c r="MY9">
        <v>29</v>
      </c>
      <c r="MZ9">
        <v>3.6236459999999999</v>
      </c>
      <c r="NA9" t="s">
        <v>1745</v>
      </c>
      <c r="NB9">
        <v>2025</v>
      </c>
      <c r="NC9" t="s">
        <v>2391</v>
      </c>
      <c r="ND9" s="6">
        <v>46077</v>
      </c>
      <c r="NE9">
        <v>5</v>
      </c>
      <c r="NF9">
        <v>2134617472</v>
      </c>
      <c r="NG9">
        <v>104161</v>
      </c>
      <c r="NH9" t="s">
        <v>3950</v>
      </c>
      <c r="NK9" t="s">
        <v>3844</v>
      </c>
      <c r="NL9">
        <v>1.1000000000000001</v>
      </c>
      <c r="NN9">
        <v>-2.4245362661989844E-14</v>
      </c>
      <c r="NO9" t="s">
        <v>1845</v>
      </c>
      <c r="NP9">
        <v>2025</v>
      </c>
      <c r="NQ9" t="s">
        <v>3843</v>
      </c>
      <c r="NR9" s="6">
        <v>45954</v>
      </c>
      <c r="NS9">
        <v>5</v>
      </c>
      <c r="NT9">
        <v>661748992</v>
      </c>
      <c r="NU9">
        <v>935121</v>
      </c>
      <c r="NV9" t="s">
        <v>3845</v>
      </c>
      <c r="OA9" t="s">
        <v>2538</v>
      </c>
      <c r="OC9">
        <v>-2.4245362661989844E-14</v>
      </c>
      <c r="OD9">
        <v>-2.4245362661989844E-14</v>
      </c>
      <c r="OE9" t="s">
        <v>1745</v>
      </c>
      <c r="OF9">
        <v>2024</v>
      </c>
      <c r="OG9" t="s">
        <v>3393</v>
      </c>
      <c r="OH9" s="6">
        <v>45701</v>
      </c>
      <c r="OI9">
        <v>5</v>
      </c>
      <c r="OJ9">
        <v>-2.4245362661989844E-14</v>
      </c>
      <c r="OK9">
        <v>72748346</v>
      </c>
      <c r="OL9" t="s">
        <v>2540</v>
      </c>
      <c r="OO9" t="s">
        <v>5224</v>
      </c>
      <c r="OP9">
        <v>2.6</v>
      </c>
      <c r="OQ9" t="s">
        <v>1769</v>
      </c>
      <c r="OR9">
        <v>0.830681</v>
      </c>
      <c r="OS9" t="s">
        <v>1742</v>
      </c>
      <c r="OT9">
        <v>2025</v>
      </c>
      <c r="OU9" t="s">
        <v>5219</v>
      </c>
      <c r="OV9" s="6">
        <v>45960</v>
      </c>
      <c r="OW9">
        <v>5</v>
      </c>
      <c r="OX9">
        <v>2259452</v>
      </c>
      <c r="OY9">
        <v>69347778</v>
      </c>
      <c r="OZ9" t="s">
        <v>5225</v>
      </c>
      <c r="PE9" t="s">
        <v>949</v>
      </c>
      <c r="PF9" t="s">
        <v>1786</v>
      </c>
      <c r="PG9">
        <v>9.9027270000000005</v>
      </c>
      <c r="PH9">
        <v>1.5774429999999999</v>
      </c>
      <c r="PI9" t="s">
        <v>1762</v>
      </c>
      <c r="PJ9">
        <v>2025</v>
      </c>
      <c r="PK9" t="s">
        <v>2429</v>
      </c>
      <c r="PL9" s="6">
        <v>45904</v>
      </c>
      <c r="PM9">
        <v>5</v>
      </c>
      <c r="PN9">
        <v>107991712</v>
      </c>
      <c r="PO9">
        <v>187877</v>
      </c>
      <c r="PP9" t="s">
        <v>2430</v>
      </c>
      <c r="PS9" t="s">
        <v>1079</v>
      </c>
      <c r="PT9">
        <v>3.0622020000000001</v>
      </c>
      <c r="PU9" t="s">
        <v>1786</v>
      </c>
      <c r="PV9">
        <v>2.546176</v>
      </c>
      <c r="PW9" t="s">
        <v>1762</v>
      </c>
      <c r="PX9">
        <v>2025</v>
      </c>
      <c r="PY9" t="s">
        <v>1877</v>
      </c>
      <c r="PZ9" s="6">
        <v>45888</v>
      </c>
      <c r="QA9">
        <v>5</v>
      </c>
      <c r="QB9">
        <v>337546528</v>
      </c>
      <c r="QC9">
        <v>100090</v>
      </c>
      <c r="QD9" t="s">
        <v>1882</v>
      </c>
      <c r="TU9" t="s">
        <v>274</v>
      </c>
      <c r="TV9" t="s">
        <v>1786</v>
      </c>
      <c r="TW9">
        <v>2.507603</v>
      </c>
      <c r="TX9">
        <v>1.8620080000000001</v>
      </c>
      <c r="TY9" t="s">
        <v>1762</v>
      </c>
      <c r="TZ9">
        <v>2025</v>
      </c>
      <c r="UA9" t="s">
        <v>2172</v>
      </c>
      <c r="UB9" s="6">
        <v>45791</v>
      </c>
      <c r="UC9">
        <v>5</v>
      </c>
      <c r="UD9">
        <v>49752848</v>
      </c>
      <c r="UE9">
        <v>116988</v>
      </c>
      <c r="UF9" t="s">
        <v>4108</v>
      </c>
      <c r="UI9" t="s">
        <v>1870</v>
      </c>
      <c r="UJ9">
        <v>0.14956900000000001</v>
      </c>
      <c r="UK9" t="s">
        <v>1786</v>
      </c>
      <c r="UL9">
        <v>0.12129</v>
      </c>
      <c r="UM9" t="s">
        <v>1809</v>
      </c>
      <c r="UN9">
        <v>2025</v>
      </c>
      <c r="UO9" t="s">
        <v>1871</v>
      </c>
      <c r="UP9" s="6">
        <v>45820</v>
      </c>
      <c r="UQ9">
        <v>5</v>
      </c>
      <c r="UR9">
        <v>4944751</v>
      </c>
      <c r="US9">
        <v>12129192</v>
      </c>
      <c r="UT9" t="s">
        <v>1872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713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714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715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716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717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718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719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720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721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722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723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724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725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726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727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728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729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730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731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732</v>
      </c>
      <c r="AE2" s="3" t="s">
        <v>733</v>
      </c>
      <c r="BI2" s="3" t="s">
        <v>566</v>
      </c>
      <c r="CM2" s="3" t="s">
        <v>284</v>
      </c>
      <c r="DQ2" s="3" t="s">
        <v>734</v>
      </c>
      <c r="EU2" s="3" t="s">
        <v>735</v>
      </c>
      <c r="FY2" s="3" t="s">
        <v>521</v>
      </c>
      <c r="HC2" s="3" t="s">
        <v>736</v>
      </c>
      <c r="IG2" s="3" t="s">
        <v>737</v>
      </c>
      <c r="JK2" s="3" t="s">
        <v>738</v>
      </c>
      <c r="KO2" s="3" t="s">
        <v>463</v>
      </c>
      <c r="LS2" s="3" t="s">
        <v>739</v>
      </c>
      <c r="MW2" s="3" t="s">
        <v>740</v>
      </c>
      <c r="OA2" s="3" t="s">
        <v>741</v>
      </c>
      <c r="PE2" s="3" t="s">
        <v>165</v>
      </c>
      <c r="QI2" s="3" t="s">
        <v>742</v>
      </c>
      <c r="RM2" s="3" t="s">
        <v>743</v>
      </c>
      <c r="SQ2" s="3" t="s">
        <v>744</v>
      </c>
      <c r="TU2" s="3" t="s">
        <v>86</v>
      </c>
      <c r="UY2" s="3" t="s">
        <v>35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_xll.BDS("LHCG US Equity","SUPPLY_CHAIN_SUPPLIERS_ALL_DATA")</f>
        <v>#N/A N/A</v>
      </c>
      <c r="O5" t="str">
        <f>_xll.BDS("LHCG US Equity","SUPPLY_CHAIN_CUSTOMERS_ALL_DATA","cols=12;rows=1")</f>
        <v>9877893Z US Equity</v>
      </c>
      <c r="P5">
        <v>-2.4245362661989844E-14</v>
      </c>
      <c r="R5">
        <v>-2.4245362661989844E-14</v>
      </c>
      <c r="S5" t="s">
        <v>1742</v>
      </c>
      <c r="T5">
        <v>2022</v>
      </c>
      <c r="U5" t="s">
        <v>3689</v>
      </c>
      <c r="V5" s="6">
        <v>44868</v>
      </c>
      <c r="W5">
        <v>1</v>
      </c>
      <c r="X5">
        <v>-2.4245362661989844E-14</v>
      </c>
      <c r="Y5">
        <v>17483390</v>
      </c>
      <c r="Z5" t="s">
        <v>2093</v>
      </c>
      <c r="AE5" t="str">
        <f>_xll.BDS("EVRI US Equity","SUPPLY_CHAIN_SUPPLIERS_ALL_DATA","cols=12;rows=5")</f>
        <v>0384054D US Equity</v>
      </c>
      <c r="AG5">
        <v>-2.4245362661989844E-14</v>
      </c>
      <c r="AH5">
        <v>-2.4245362661989844E-14</v>
      </c>
      <c r="AI5" t="s">
        <v>1745</v>
      </c>
      <c r="AJ5">
        <v>2023</v>
      </c>
      <c r="AK5" t="s">
        <v>3420</v>
      </c>
      <c r="AL5" s="6">
        <v>44965</v>
      </c>
      <c r="AM5">
        <v>5</v>
      </c>
      <c r="AN5">
        <v>-2.4245362661989844E-14</v>
      </c>
      <c r="AO5">
        <v>30368756</v>
      </c>
      <c r="AP5" t="s">
        <v>3421</v>
      </c>
      <c r="AS5" t="str">
        <f>_xll.BDS("EVRI US Equity","SUPPLY_CHAIN_CUSTOMERS_ALL_DATA","cols=12;rows=5")</f>
        <v>1730532D US Equity</v>
      </c>
      <c r="AT5">
        <v>-2.4245362661989844E-14</v>
      </c>
      <c r="AV5">
        <v>-2.4245362661989844E-14</v>
      </c>
      <c r="AW5" t="s">
        <v>1762</v>
      </c>
      <c r="AX5">
        <v>2025</v>
      </c>
      <c r="AY5" t="s">
        <v>5885</v>
      </c>
      <c r="AZ5" s="6">
        <v>45852</v>
      </c>
      <c r="BA5">
        <v>5</v>
      </c>
      <c r="BB5">
        <v>-2.4245362661989844E-14</v>
      </c>
      <c r="BC5">
        <v>65260637</v>
      </c>
      <c r="BD5" t="s">
        <v>5886</v>
      </c>
      <c r="BI5" t="str">
        <f>_xll.BDS("EMR US Equity","SUPPLY_CHAIN_SUPPLIERS_ALL_DATA","cols=12;rows=5")</f>
        <v>JBL US Equity</v>
      </c>
      <c r="BJ5" t="s">
        <v>1786</v>
      </c>
      <c r="BK5">
        <v>0.48485499999999998</v>
      </c>
      <c r="BL5">
        <v>1.7638879999999999</v>
      </c>
      <c r="BM5" t="s">
        <v>1742</v>
      </c>
      <c r="BN5">
        <v>2025</v>
      </c>
      <c r="BO5" t="s">
        <v>2796</v>
      </c>
      <c r="BP5" s="6">
        <v>45867</v>
      </c>
      <c r="BQ5">
        <v>5</v>
      </c>
      <c r="BR5">
        <v>37954448</v>
      </c>
      <c r="BS5">
        <v>117092</v>
      </c>
      <c r="BT5" t="s">
        <v>2797</v>
      </c>
      <c r="BW5" t="str">
        <f>_xll.BDS("EMR US Equity","SUPPLY_CHAIN_CUSTOMERS_ALL_DATA","cols=12;rows=5")</f>
        <v>TMO US Equity</v>
      </c>
      <c r="BX5">
        <v>4.2224550000000001</v>
      </c>
      <c r="BY5" t="s">
        <v>1786</v>
      </c>
      <c r="BZ5">
        <v>2.8645350000000001</v>
      </c>
      <c r="CA5" t="s">
        <v>1742</v>
      </c>
      <c r="CB5">
        <v>2025</v>
      </c>
      <c r="CC5" t="s">
        <v>2994</v>
      </c>
      <c r="CD5" s="6">
        <v>45881</v>
      </c>
      <c r="CE5">
        <v>5</v>
      </c>
      <c r="CF5">
        <v>184647952</v>
      </c>
      <c r="CG5">
        <v>101466</v>
      </c>
      <c r="CH5" t="s">
        <v>5776</v>
      </c>
      <c r="CM5" t="str">
        <f>_xll.BDS("WAMUQ US Equity","SUPPLY_CHAIN_SUPPLIERS_ALL_DATA")</f>
        <v>#N/A N/A</v>
      </c>
      <c r="DA5" t="str">
        <f>_xll.BDS("WAMUQ US Equity","SUPPLY_CHAIN_CUSTOMERS_ALL_DATA")</f>
        <v>#N/A N/A</v>
      </c>
      <c r="DQ5" t="str">
        <f>_xll.BDS("WDC US Equity","SUPPLY_CHAIN_SUPPLIERS_ALL_DATA","cols=12;rows=5")</f>
        <v>000660 KS Equity</v>
      </c>
      <c r="DR5" t="s">
        <v>1786</v>
      </c>
      <c r="DS5">
        <v>0.155471</v>
      </c>
      <c r="DT5">
        <v>1.601205</v>
      </c>
      <c r="DU5" t="s">
        <v>1742</v>
      </c>
      <c r="DV5">
        <v>2025</v>
      </c>
      <c r="DW5" t="s">
        <v>2945</v>
      </c>
      <c r="DX5" s="6">
        <v>46080</v>
      </c>
      <c r="DY5">
        <v>5</v>
      </c>
      <c r="DZ5">
        <v>27420662.800000001</v>
      </c>
      <c r="EA5">
        <v>193974</v>
      </c>
      <c r="EB5" t="s">
        <v>2946</v>
      </c>
      <c r="EE5" t="str">
        <f>_xll.BDS("WDC US Equity","SUPPLY_CHAIN_CUSTOMERS_ALL_DATA","cols=12;rows=5")</f>
        <v>AMZN US Equity</v>
      </c>
      <c r="EF5">
        <v>15.058596</v>
      </c>
      <c r="EG5" t="s">
        <v>1820</v>
      </c>
      <c r="EH5">
        <v>1.149532</v>
      </c>
      <c r="EI5" t="s">
        <v>1762</v>
      </c>
      <c r="EJ5">
        <v>2026</v>
      </c>
      <c r="EK5" t="s">
        <v>2320</v>
      </c>
      <c r="EL5" s="6">
        <v>46059</v>
      </c>
      <c r="EM5">
        <v>5</v>
      </c>
      <c r="EN5">
        <v>454317856</v>
      </c>
      <c r="EO5">
        <v>216952</v>
      </c>
      <c r="EP5" t="s">
        <v>1886</v>
      </c>
      <c r="EU5" t="str">
        <f>_xll.BDS("SDW US Equity","SUPPLY_CHAIN_SUPPLIERS_ALL_DATA")</f>
        <v>#N/A N/A</v>
      </c>
      <c r="FI5" t="str">
        <f>_xll.BDS("SDW US Equity","SUPPLY_CHAIN_CUSTOMERS_ALL_DATA")</f>
        <v>#N/A N/A</v>
      </c>
      <c r="FY5" t="str">
        <f>_xll.BDS("RS US Equity","SUPPLY_CHAIN_SUPPLIERS_ALL_DATA","cols=12;rows=5")</f>
        <v>KALU US Equity</v>
      </c>
      <c r="FZ5" t="s">
        <v>1786</v>
      </c>
      <c r="GA5">
        <v>16.059286</v>
      </c>
      <c r="GB5">
        <v>5.1395460000000002</v>
      </c>
      <c r="GC5" t="s">
        <v>1762</v>
      </c>
      <c r="GD5">
        <v>2025</v>
      </c>
      <c r="GE5" t="s">
        <v>4366</v>
      </c>
      <c r="GF5" s="6">
        <v>45922</v>
      </c>
      <c r="GG5">
        <v>5</v>
      </c>
      <c r="GH5">
        <v>132183984</v>
      </c>
      <c r="GI5">
        <v>10793005</v>
      </c>
      <c r="GJ5" t="s">
        <v>4367</v>
      </c>
      <c r="GM5" t="str">
        <f>_xll.BDS("RS US Equity","SUPPLY_CHAIN_CUSTOMERS_ALL_DATA","cols=12;rows=5")</f>
        <v>RTX US Equity</v>
      </c>
      <c r="GN5">
        <v>0.46411000000000002</v>
      </c>
      <c r="GO5" t="s">
        <v>1786</v>
      </c>
      <c r="GP5">
        <v>9.4678999999999999E-2</v>
      </c>
      <c r="GQ5" t="s">
        <v>1742</v>
      </c>
      <c r="GR5">
        <v>2025</v>
      </c>
      <c r="GS5" t="s">
        <v>3428</v>
      </c>
      <c r="GT5" s="6">
        <v>45982</v>
      </c>
      <c r="GU5">
        <v>5</v>
      </c>
      <c r="GV5">
        <v>16945584</v>
      </c>
      <c r="GW5">
        <v>101555</v>
      </c>
      <c r="GX5" t="s">
        <v>1848</v>
      </c>
      <c r="HC5" t="str">
        <f>_xll.BDS("ARGO US Equity","SUPPLY_CHAIN_SUPPLIERS_ALL_DATA")</f>
        <v>#N/A N/A</v>
      </c>
      <c r="HQ5" t="str">
        <f>_xll.BDS("ARGO US Equity","SUPPLY_CHAIN_CUSTOMERS_ALL_DATA")</f>
        <v>#N/A N/A</v>
      </c>
      <c r="IG5" t="str">
        <f>_xll.BDS("IFF US Equity","SUPPLY_CHAIN_SUPPLIERS_ALL_DATA","cols=12;rows=5")</f>
        <v>BAS GR Equity</v>
      </c>
      <c r="IH5" t="s">
        <v>1786</v>
      </c>
      <c r="II5">
        <v>0.229652</v>
      </c>
      <c r="IJ5">
        <v>2.2471269999999999</v>
      </c>
      <c r="IK5" t="s">
        <v>1742</v>
      </c>
      <c r="IL5">
        <v>2025</v>
      </c>
      <c r="IM5" t="s">
        <v>3869</v>
      </c>
      <c r="IN5" s="6">
        <v>46003</v>
      </c>
      <c r="IO5">
        <v>5</v>
      </c>
      <c r="IP5">
        <v>38455535.899999999</v>
      </c>
      <c r="IQ5">
        <v>115694</v>
      </c>
      <c r="IR5" t="s">
        <v>3870</v>
      </c>
      <c r="IU5" t="str">
        <f>_xll.BDS("IFF US Equity","SUPPLY_CHAIN_CUSTOMERS_ALL_DATA","cols=12;rows=5")</f>
        <v>NESN SW Equity</v>
      </c>
      <c r="IV5">
        <v>5.9517939999999996</v>
      </c>
      <c r="IW5" t="s">
        <v>1786</v>
      </c>
      <c r="IX5">
        <v>1.16865</v>
      </c>
      <c r="IY5" t="s">
        <v>1742</v>
      </c>
      <c r="IZ5">
        <v>2025</v>
      </c>
      <c r="JA5" t="s">
        <v>3656</v>
      </c>
      <c r="JB5" s="6">
        <v>46050</v>
      </c>
      <c r="JC5">
        <v>5</v>
      </c>
      <c r="JD5">
        <v>160341328</v>
      </c>
      <c r="JE5">
        <v>112571</v>
      </c>
      <c r="JF5" t="s">
        <v>3104</v>
      </c>
      <c r="JK5" t="str">
        <f>_xll.BDS("STZ US Equity","SUPPLY_CHAIN_SUPPLIERS_ALL_DATA","cols=12;rows=5")</f>
        <v>KO US Equity</v>
      </c>
      <c r="JL5" t="s">
        <v>1786</v>
      </c>
      <c r="JM5">
        <v>0.45225100000000001</v>
      </c>
      <c r="JN5">
        <v>4.0316419999999997</v>
      </c>
      <c r="JO5" t="s">
        <v>1809</v>
      </c>
      <c r="JP5">
        <v>2025</v>
      </c>
      <c r="JQ5" t="s">
        <v>3395</v>
      </c>
      <c r="JR5" s="6">
        <v>45853</v>
      </c>
      <c r="JS5">
        <v>5</v>
      </c>
      <c r="JT5">
        <v>50331016</v>
      </c>
      <c r="JU5">
        <v>100355</v>
      </c>
      <c r="JV5" t="s">
        <v>3396</v>
      </c>
      <c r="JY5" t="str">
        <f>_xll.BDS("STZ US Equity","SUPPLY_CHAIN_CUSTOMERS_ALL_DATA","cols=12;rows=5")</f>
        <v>24549Z US Equity</v>
      </c>
      <c r="JZ5">
        <v>25.4</v>
      </c>
      <c r="KB5">
        <v>-2.4245362661989844E-14</v>
      </c>
      <c r="KC5" t="s">
        <v>1745</v>
      </c>
      <c r="KD5">
        <v>2025</v>
      </c>
      <c r="KE5" t="s">
        <v>6530</v>
      </c>
      <c r="KF5" s="6">
        <v>45770</v>
      </c>
      <c r="KG5">
        <v>5</v>
      </c>
      <c r="KH5">
        <v>648252480</v>
      </c>
      <c r="KI5">
        <v>946663</v>
      </c>
      <c r="KJ5" t="s">
        <v>6531</v>
      </c>
      <c r="KO5" t="str">
        <f>_xll.BDS("1858968D US Equity","SUPPLY_CHAIN_SUPPLIERS_ALL_DATA")</f>
        <v>#N/A N/A</v>
      </c>
      <c r="LC5" t="str">
        <f>_xll.BDS("1858968D US Equity","SUPPLY_CHAIN_CUSTOMERS_ALL_DATA")</f>
        <v>#N/A N/A</v>
      </c>
      <c r="LS5" t="str">
        <f>_xll.BDS("SITC US Equity","SUPPLY_CHAIN_SUPPLIERS_ALL_DATA")</f>
        <v>#N/A N/A</v>
      </c>
      <c r="MG5" t="str">
        <f>_xll.BDS("SITC US Equity","SUPPLY_CHAIN_CUSTOMERS_ALL_DATA","cols=12;rows=5")</f>
        <v>TJX US Equity</v>
      </c>
      <c r="MH5">
        <v>1.577124</v>
      </c>
      <c r="MI5" t="s">
        <v>1769</v>
      </c>
      <c r="MJ5">
        <v>3.9978E-2</v>
      </c>
      <c r="MK5" t="s">
        <v>1745</v>
      </c>
      <c r="ML5">
        <v>2024</v>
      </c>
      <c r="MM5" t="s">
        <v>1965</v>
      </c>
      <c r="MN5" s="6">
        <v>45715</v>
      </c>
      <c r="MO5">
        <v>5</v>
      </c>
      <c r="MP5">
        <v>1094000</v>
      </c>
      <c r="MQ5">
        <v>101481</v>
      </c>
      <c r="MR5" t="s">
        <v>1966</v>
      </c>
      <c r="MW5" t="str">
        <f>_xll.BDS("9966911D US Equity","SUPPLY_CHAIN_SUPPLIERS_ALL_DATA")</f>
        <v>#N/A N/A</v>
      </c>
      <c r="NK5" t="str">
        <f>_xll.BDS("9966911D US Equity","SUPPLY_CHAIN_CUSTOMERS_ALL_DATA")</f>
        <v>#N/A N/A</v>
      </c>
      <c r="OA5" t="str">
        <f>_xll.BDS("2297161Q US Equity","SUPPLY_CHAIN_SUPPLIERS_ALL_DATA")</f>
        <v>#N/A N/A</v>
      </c>
      <c r="OO5" t="str">
        <f>_xll.BDS("2297161Q US Equity","SUPPLY_CHAIN_CUSTOMERS_ALL_DATA")</f>
        <v>#N/A N/A</v>
      </c>
      <c r="PE5" t="str">
        <f>_xll.BDS("1837572D US Equity","SUPPLY_CHAIN_SUPPLIERS_ALL_DATA")</f>
        <v>#N/A N/A</v>
      </c>
      <c r="PS5" t="str">
        <f>_xll.BDS("1837572D US Equity","SUPPLY_CHAIN_CUSTOMERS_ALL_DATA")</f>
        <v>#N/A N/A</v>
      </c>
      <c r="QI5" t="str">
        <f>_xll.BDS("CNX US Equity","SUPPLY_CHAIN_SUPPLIERS_ALL_DATA","cols=12;rows=3")</f>
        <v>SLB US Equity</v>
      </c>
      <c r="QJ5" t="s">
        <v>1820</v>
      </c>
      <c r="QK5">
        <v>2.5469999999999998E-3</v>
      </c>
      <c r="QL5">
        <v>0.301012</v>
      </c>
      <c r="QM5" t="s">
        <v>1742</v>
      </c>
      <c r="QN5">
        <v>2025</v>
      </c>
      <c r="QO5" t="s">
        <v>2788</v>
      </c>
      <c r="QP5" s="6">
        <v>45985</v>
      </c>
      <c r="QQ5">
        <v>3</v>
      </c>
      <c r="QR5">
        <v>227396</v>
      </c>
      <c r="QS5">
        <v>101318</v>
      </c>
      <c r="QT5" t="s">
        <v>2789</v>
      </c>
      <c r="QW5" t="str">
        <f>_xll.BDS("CNX US Equity","SUPPLY_CHAIN_CUSTOMERS_ALL_DATA","cols=12;rows=4")</f>
        <v>2348512D US Equity</v>
      </c>
      <c r="QX5">
        <v>12.571438000000001</v>
      </c>
      <c r="QZ5">
        <v>-2.4245362661989844E-14</v>
      </c>
      <c r="RA5" t="s">
        <v>1745</v>
      </c>
      <c r="RB5">
        <v>2024</v>
      </c>
      <c r="RC5" t="s">
        <v>5830</v>
      </c>
      <c r="RD5" s="6">
        <v>45699</v>
      </c>
      <c r="RE5">
        <v>4</v>
      </c>
      <c r="RF5">
        <v>33727250</v>
      </c>
      <c r="RG5">
        <v>42989759</v>
      </c>
      <c r="RH5" t="s">
        <v>5831</v>
      </c>
      <c r="RM5" t="str">
        <f>_xll.BDS("TFX US Equity","SUPPLY_CHAIN_SUPPLIERS_ALL_DATA","cols=12;rows=5")</f>
        <v>PFE US Equity</v>
      </c>
      <c r="RN5" t="s">
        <v>1786</v>
      </c>
      <c r="RO5">
        <v>8.5760000000000003E-3</v>
      </c>
      <c r="RP5">
        <v>0.35924200000000001</v>
      </c>
      <c r="RQ5" t="s">
        <v>1762</v>
      </c>
      <c r="RR5">
        <v>2025</v>
      </c>
      <c r="RS5" t="s">
        <v>3945</v>
      </c>
      <c r="RT5" s="6">
        <v>45914</v>
      </c>
      <c r="RU5">
        <v>5</v>
      </c>
      <c r="RV5">
        <v>1256641</v>
      </c>
      <c r="RW5">
        <v>101166</v>
      </c>
      <c r="RX5" t="s">
        <v>3255</v>
      </c>
      <c r="SA5" t="str">
        <f>_xll.BDS("TFX US Equity","SUPPLY_CHAIN_CUSTOMERS_ALL_DATA","cols=12;rows=5")</f>
        <v>1339564D US Equity</v>
      </c>
      <c r="SB5">
        <v>-2.4245362661989844E-14</v>
      </c>
      <c r="SD5">
        <v>-2.4245362661989844E-14</v>
      </c>
      <c r="SE5" t="s">
        <v>1745</v>
      </c>
      <c r="SF5">
        <v>2024</v>
      </c>
      <c r="SG5" t="s">
        <v>3676</v>
      </c>
      <c r="SH5" s="6">
        <v>45666</v>
      </c>
      <c r="SI5">
        <v>5</v>
      </c>
      <c r="SJ5">
        <v>-2.4245362661989844E-14</v>
      </c>
      <c r="SK5">
        <v>48003505</v>
      </c>
      <c r="SL5" t="s">
        <v>3122</v>
      </c>
      <c r="SQ5" t="str">
        <f>_xll.BDS("PXP US Equity","SUPPLY_CHAIN_SUPPLIERS_ALL_DATA")</f>
        <v>#N/A N/A</v>
      </c>
      <c r="TE5" t="str">
        <f>_xll.BDS("PXP US Equity","SUPPLY_CHAIN_CUSTOMERS_ALL_DATA")</f>
        <v>#N/A N/A</v>
      </c>
      <c r="TU5" t="str">
        <f>_xll.BDS("BRK/A US Equity","SUPPLY_CHAIN_SUPPLIERS_ALL_DATA","cols=12;rows=5")</f>
        <v>HSY US Equity</v>
      </c>
      <c r="TV5" t="s">
        <v>1786</v>
      </c>
      <c r="TW5">
        <v>27</v>
      </c>
      <c r="TX5">
        <v>1.2151259999999999</v>
      </c>
      <c r="TY5" t="s">
        <v>1745</v>
      </c>
      <c r="TZ5">
        <v>2025</v>
      </c>
      <c r="UA5" t="s">
        <v>3041</v>
      </c>
      <c r="UB5" s="6">
        <v>46070</v>
      </c>
      <c r="UC5">
        <v>5</v>
      </c>
      <c r="UD5">
        <v>789248896</v>
      </c>
      <c r="UE5">
        <v>100731</v>
      </c>
      <c r="UF5" t="s">
        <v>3042</v>
      </c>
      <c r="UI5" t="str">
        <f>_xll.BDS("BRK/A US Equity","SUPPLY_CHAIN_CUSTOMERS_ALL_DATA","cols=12;rows=5")</f>
        <v>WMT US Equity</v>
      </c>
      <c r="UJ5">
        <v>2.1167449999999999</v>
      </c>
      <c r="UK5" t="s">
        <v>1786</v>
      </c>
      <c r="UL5">
        <v>1.7547349999999999</v>
      </c>
      <c r="UM5" t="s">
        <v>1745</v>
      </c>
      <c r="UN5">
        <v>2024</v>
      </c>
      <c r="UO5" t="s">
        <v>3646</v>
      </c>
      <c r="UP5" s="6">
        <v>45712</v>
      </c>
      <c r="UQ5">
        <v>5</v>
      </c>
      <c r="UR5">
        <v>2244977664</v>
      </c>
      <c r="US5">
        <v>101616</v>
      </c>
      <c r="UT5" t="s">
        <v>2098</v>
      </c>
      <c r="UY5" t="str">
        <f>_xll.BDS("nan Equity","SUPPLY_CHAIN_SUPPLIERS_ALL_DATA")</f>
        <v>#N/A N/A</v>
      </c>
      <c r="VM5" t="str">
        <f>_xll.BDS("nan Equity","SUPPLY_CHAIN_CUSTOMERS_ALL_DATA")</f>
        <v>#N/A N/A</v>
      </c>
    </row>
    <row r="6" spans="1:600" x14ac:dyDescent="0.25">
      <c r="AE6" t="s">
        <v>3422</v>
      </c>
      <c r="AG6">
        <v>-2.4245362661989844E-14</v>
      </c>
      <c r="AH6">
        <v>-2.4245362661989844E-14</v>
      </c>
      <c r="AI6" t="s">
        <v>1745</v>
      </c>
      <c r="AJ6">
        <v>2022</v>
      </c>
      <c r="AK6" t="s">
        <v>3420</v>
      </c>
      <c r="AL6" s="6">
        <v>44840</v>
      </c>
      <c r="AM6">
        <v>5</v>
      </c>
      <c r="AN6">
        <v>-2.4245362661989844E-14</v>
      </c>
      <c r="AO6">
        <v>24733264</v>
      </c>
      <c r="AP6" t="s">
        <v>3423</v>
      </c>
      <c r="AS6" t="s">
        <v>5887</v>
      </c>
      <c r="AT6">
        <v>-2.4245362661989844E-14</v>
      </c>
      <c r="AV6">
        <v>-2.4245362661989844E-14</v>
      </c>
      <c r="AW6" t="s">
        <v>1745</v>
      </c>
      <c r="AX6">
        <v>2022</v>
      </c>
      <c r="AY6" t="s">
        <v>3420</v>
      </c>
      <c r="AZ6" s="6">
        <v>44936</v>
      </c>
      <c r="BA6">
        <v>5</v>
      </c>
      <c r="BB6">
        <v>-2.4245362661989844E-14</v>
      </c>
      <c r="BC6">
        <v>7281299</v>
      </c>
      <c r="BD6" t="s">
        <v>5888</v>
      </c>
      <c r="BI6" t="s">
        <v>2993</v>
      </c>
      <c r="BJ6" t="s">
        <v>1786</v>
      </c>
      <c r="BK6">
        <v>0.26191500000000001</v>
      </c>
      <c r="BL6">
        <v>0.80558700000000005</v>
      </c>
      <c r="BM6" t="s">
        <v>1809</v>
      </c>
      <c r="BN6">
        <v>2025</v>
      </c>
      <c r="BO6" t="s">
        <v>2994</v>
      </c>
      <c r="BP6" s="6">
        <v>45740</v>
      </c>
      <c r="BQ6">
        <v>5</v>
      </c>
      <c r="BR6">
        <v>17334218</v>
      </c>
      <c r="BS6">
        <v>115110</v>
      </c>
      <c r="BT6" t="s">
        <v>2995</v>
      </c>
      <c r="BW6" t="s">
        <v>2167</v>
      </c>
      <c r="BX6">
        <v>2.5764130000000001</v>
      </c>
      <c r="BY6" t="s">
        <v>1786</v>
      </c>
      <c r="BZ6">
        <v>0.42681599999999997</v>
      </c>
      <c r="CA6" t="s">
        <v>1742</v>
      </c>
      <c r="CB6">
        <v>2025</v>
      </c>
      <c r="CC6" t="s">
        <v>2994</v>
      </c>
      <c r="CD6" s="6">
        <v>45881</v>
      </c>
      <c r="CE6">
        <v>5</v>
      </c>
      <c r="CF6">
        <v>112666544</v>
      </c>
      <c r="CG6">
        <v>100743</v>
      </c>
      <c r="CH6" t="s">
        <v>2169</v>
      </c>
      <c r="DQ6" t="s">
        <v>5534</v>
      </c>
      <c r="DR6" t="s">
        <v>1786</v>
      </c>
      <c r="DS6">
        <v>80.210266000000004</v>
      </c>
      <c r="DT6">
        <v>1.08311</v>
      </c>
      <c r="DU6" t="s">
        <v>1745</v>
      </c>
      <c r="DV6">
        <v>2024</v>
      </c>
      <c r="DW6" t="s">
        <v>5535</v>
      </c>
      <c r="DX6" s="6">
        <v>45814</v>
      </c>
      <c r="DY6">
        <v>5</v>
      </c>
      <c r="DZ6">
        <v>21901014.34</v>
      </c>
      <c r="EA6">
        <v>8073030</v>
      </c>
      <c r="EB6" t="s">
        <v>5536</v>
      </c>
      <c r="EE6" t="s">
        <v>1892</v>
      </c>
      <c r="EF6">
        <v>12.685537</v>
      </c>
      <c r="EG6" t="s">
        <v>1820</v>
      </c>
      <c r="EH6">
        <v>1.7898449999999999</v>
      </c>
      <c r="EI6" t="s">
        <v>1762</v>
      </c>
      <c r="EJ6">
        <v>2026</v>
      </c>
      <c r="EK6" t="s">
        <v>2320</v>
      </c>
      <c r="EL6" s="6">
        <v>46059</v>
      </c>
      <c r="EM6">
        <v>5</v>
      </c>
      <c r="EN6">
        <v>382722656</v>
      </c>
      <c r="EO6">
        <v>11092218</v>
      </c>
      <c r="EP6" t="s">
        <v>1893</v>
      </c>
      <c r="FY6" t="s">
        <v>4368</v>
      </c>
      <c r="FZ6" t="s">
        <v>1786</v>
      </c>
      <c r="GA6">
        <v>11</v>
      </c>
      <c r="GB6">
        <v>3.1475149999999998</v>
      </c>
      <c r="GC6" t="s">
        <v>1745</v>
      </c>
      <c r="GD6">
        <v>2024</v>
      </c>
      <c r="GE6" t="s">
        <v>4369</v>
      </c>
      <c r="GF6" s="6">
        <v>45800</v>
      </c>
      <c r="GG6">
        <v>5</v>
      </c>
      <c r="GH6">
        <v>76868478.150000006</v>
      </c>
      <c r="GI6">
        <v>193671</v>
      </c>
      <c r="GJ6" t="s">
        <v>4370</v>
      </c>
      <c r="GM6" t="s">
        <v>454</v>
      </c>
      <c r="GN6">
        <v>0.44179600000000002</v>
      </c>
      <c r="GO6" t="s">
        <v>1786</v>
      </c>
      <c r="GP6">
        <v>0.207818</v>
      </c>
      <c r="GQ6" t="s">
        <v>1742</v>
      </c>
      <c r="GR6">
        <v>2025</v>
      </c>
      <c r="GS6" t="s">
        <v>3428</v>
      </c>
      <c r="GT6" s="6">
        <v>45982</v>
      </c>
      <c r="GU6">
        <v>5</v>
      </c>
      <c r="GV6">
        <v>16130856</v>
      </c>
      <c r="GW6">
        <v>100632</v>
      </c>
      <c r="GX6" t="s">
        <v>1850</v>
      </c>
      <c r="IG6" t="s">
        <v>4045</v>
      </c>
      <c r="IH6" t="s">
        <v>1786</v>
      </c>
      <c r="II6">
        <v>0.66454899999999995</v>
      </c>
      <c r="IJ6">
        <v>0.57949099999999998</v>
      </c>
      <c r="IK6" t="s">
        <v>1742</v>
      </c>
      <c r="IL6">
        <v>2025</v>
      </c>
      <c r="IM6" t="s">
        <v>4046</v>
      </c>
      <c r="IN6" s="6">
        <v>46027</v>
      </c>
      <c r="IO6">
        <v>5</v>
      </c>
      <c r="IP6">
        <v>9916948.9199999999</v>
      </c>
      <c r="IQ6">
        <v>8082154</v>
      </c>
      <c r="IR6" t="s">
        <v>4047</v>
      </c>
      <c r="IU6" t="s">
        <v>3023</v>
      </c>
      <c r="IV6">
        <v>4.3657159999999999</v>
      </c>
      <c r="IW6" t="s">
        <v>1786</v>
      </c>
      <c r="IX6">
        <v>1.3024039999999999</v>
      </c>
      <c r="IY6" t="s">
        <v>1742</v>
      </c>
      <c r="IZ6">
        <v>2025</v>
      </c>
      <c r="JA6" t="s">
        <v>3656</v>
      </c>
      <c r="JB6" s="6">
        <v>46050</v>
      </c>
      <c r="JC6">
        <v>5</v>
      </c>
      <c r="JD6">
        <v>117612392</v>
      </c>
      <c r="JE6">
        <v>101534</v>
      </c>
      <c r="JF6" t="s">
        <v>3025</v>
      </c>
      <c r="JK6" t="s">
        <v>3397</v>
      </c>
      <c r="JL6" t="s">
        <v>1786</v>
      </c>
      <c r="JM6">
        <v>0.90388299999999999</v>
      </c>
      <c r="JN6">
        <v>2.937881</v>
      </c>
      <c r="JO6" t="s">
        <v>1742</v>
      </c>
      <c r="JP6">
        <v>2025</v>
      </c>
      <c r="JQ6" t="s">
        <v>3398</v>
      </c>
      <c r="JR6" s="6">
        <v>46050</v>
      </c>
      <c r="JS6">
        <v>5</v>
      </c>
      <c r="JT6">
        <v>30542208</v>
      </c>
      <c r="JU6">
        <v>100149</v>
      </c>
      <c r="JV6" t="s">
        <v>3399</v>
      </c>
      <c r="JY6" t="s">
        <v>6532</v>
      </c>
      <c r="JZ6">
        <v>11.2</v>
      </c>
      <c r="KB6">
        <v>-2.4245362661989844E-14</v>
      </c>
      <c r="KC6" t="s">
        <v>1745</v>
      </c>
      <c r="KD6">
        <v>2025</v>
      </c>
      <c r="KE6" t="s">
        <v>6530</v>
      </c>
      <c r="KF6" s="6">
        <v>45770</v>
      </c>
      <c r="KG6">
        <v>5</v>
      </c>
      <c r="KH6">
        <v>285843584</v>
      </c>
      <c r="KI6">
        <v>50414253</v>
      </c>
      <c r="KJ6" t="s">
        <v>6533</v>
      </c>
      <c r="MG6" t="s">
        <v>1967</v>
      </c>
      <c r="MH6">
        <v>1.5129729999999999</v>
      </c>
      <c r="MI6" t="s">
        <v>1769</v>
      </c>
      <c r="MJ6">
        <v>0.12743299999999999</v>
      </c>
      <c r="MK6" t="s">
        <v>1745</v>
      </c>
      <c r="ML6">
        <v>2024</v>
      </c>
      <c r="MM6" t="s">
        <v>1965</v>
      </c>
      <c r="MN6" s="6">
        <v>45715</v>
      </c>
      <c r="MO6">
        <v>5</v>
      </c>
      <c r="MP6">
        <v>1049500</v>
      </c>
      <c r="MQ6">
        <v>1133363</v>
      </c>
      <c r="MR6" t="s">
        <v>1968</v>
      </c>
      <c r="QI6" t="s">
        <v>5792</v>
      </c>
      <c r="QK6">
        <v>-2.4245362661989844E-14</v>
      </c>
      <c r="QL6">
        <v>-2.4245362661989844E-14</v>
      </c>
      <c r="QM6" t="s">
        <v>1745</v>
      </c>
      <c r="QN6">
        <v>2022</v>
      </c>
      <c r="QO6" t="s">
        <v>5793</v>
      </c>
      <c r="QP6" s="6">
        <v>44768</v>
      </c>
      <c r="QQ6">
        <v>3</v>
      </c>
      <c r="QR6">
        <v>-2.4245362661989844E-14</v>
      </c>
      <c r="QS6">
        <v>69630452</v>
      </c>
      <c r="QT6" t="s">
        <v>5794</v>
      </c>
      <c r="QW6" t="s">
        <v>5832</v>
      </c>
      <c r="QX6">
        <v>12.387491000000001</v>
      </c>
      <c r="QY6" t="s">
        <v>1786</v>
      </c>
      <c r="QZ6">
        <v>0.56221200000000005</v>
      </c>
      <c r="RA6" t="s">
        <v>1745</v>
      </c>
      <c r="RB6">
        <v>2024</v>
      </c>
      <c r="RC6" t="s">
        <v>5830</v>
      </c>
      <c r="RD6" s="6">
        <v>45699</v>
      </c>
      <c r="RE6">
        <v>4</v>
      </c>
      <c r="RF6">
        <v>33233750</v>
      </c>
      <c r="RG6">
        <v>8502156</v>
      </c>
      <c r="RH6" t="s">
        <v>5833</v>
      </c>
      <c r="RM6" t="s">
        <v>3946</v>
      </c>
      <c r="RN6" t="s">
        <v>1769</v>
      </c>
      <c r="RO6">
        <v>2</v>
      </c>
      <c r="RP6">
        <v>0.28326600000000002</v>
      </c>
      <c r="RQ6" t="s">
        <v>1745</v>
      </c>
      <c r="RR6">
        <v>2024</v>
      </c>
      <c r="RS6" t="s">
        <v>3947</v>
      </c>
      <c r="RT6" s="6">
        <v>45754</v>
      </c>
      <c r="RU6">
        <v>5</v>
      </c>
      <c r="RV6">
        <v>704815</v>
      </c>
      <c r="RW6">
        <v>65193455</v>
      </c>
      <c r="RX6" t="s">
        <v>3948</v>
      </c>
      <c r="SA6" t="s">
        <v>3677</v>
      </c>
      <c r="SB6">
        <v>-2.4245362661989844E-14</v>
      </c>
      <c r="SD6">
        <v>-2.4245362661989844E-14</v>
      </c>
      <c r="SE6" t="s">
        <v>1798</v>
      </c>
      <c r="SF6">
        <v>2025</v>
      </c>
      <c r="SG6" t="s">
        <v>3678</v>
      </c>
      <c r="SH6" s="6">
        <v>45986</v>
      </c>
      <c r="SI6">
        <v>5</v>
      </c>
      <c r="SJ6">
        <v>-2.4245362661989844E-14</v>
      </c>
      <c r="SK6">
        <v>9152670</v>
      </c>
      <c r="SL6" t="s">
        <v>3679</v>
      </c>
      <c r="TU6" t="s">
        <v>317</v>
      </c>
      <c r="TV6" t="s">
        <v>1820</v>
      </c>
      <c r="TW6">
        <v>6.6028770000000003</v>
      </c>
      <c r="TX6">
        <v>5.0506979999999997</v>
      </c>
      <c r="TY6" t="s">
        <v>1762</v>
      </c>
      <c r="TZ6">
        <v>2025</v>
      </c>
      <c r="UA6" t="s">
        <v>3043</v>
      </c>
      <c r="UB6" s="6">
        <v>45915</v>
      </c>
      <c r="UC6">
        <v>5</v>
      </c>
      <c r="UD6">
        <v>245362912</v>
      </c>
      <c r="UE6">
        <v>101464</v>
      </c>
      <c r="UF6" t="s">
        <v>3044</v>
      </c>
      <c r="UI6" t="s">
        <v>2969</v>
      </c>
      <c r="UJ6">
        <v>1.615089</v>
      </c>
      <c r="UK6" t="s">
        <v>1786</v>
      </c>
      <c r="UL6">
        <v>12.136977999999999</v>
      </c>
      <c r="UM6" t="s">
        <v>1745</v>
      </c>
      <c r="UN6">
        <v>2024</v>
      </c>
      <c r="UO6" t="s">
        <v>3646</v>
      </c>
      <c r="UP6" s="6">
        <v>45712</v>
      </c>
      <c r="UQ6">
        <v>5</v>
      </c>
      <c r="UR6">
        <v>1712931072</v>
      </c>
      <c r="US6">
        <v>9917432</v>
      </c>
      <c r="UT6" t="s">
        <v>2971</v>
      </c>
    </row>
    <row r="7" spans="1:600" x14ac:dyDescent="0.25">
      <c r="AE7" t="s">
        <v>3424</v>
      </c>
      <c r="AG7">
        <v>-2.4245362661989844E-14</v>
      </c>
      <c r="AH7">
        <v>-2.4245362661989844E-14</v>
      </c>
      <c r="AI7" t="s">
        <v>1745</v>
      </c>
      <c r="AJ7">
        <v>2023</v>
      </c>
      <c r="AK7" t="s">
        <v>3425</v>
      </c>
      <c r="AL7" s="6">
        <v>45364</v>
      </c>
      <c r="AM7">
        <v>5</v>
      </c>
      <c r="AN7">
        <v>-2.4245362661989844E-14</v>
      </c>
      <c r="AO7">
        <v>35132092</v>
      </c>
      <c r="AP7" t="s">
        <v>3426</v>
      </c>
      <c r="AS7" t="s">
        <v>1772</v>
      </c>
      <c r="AT7">
        <v>-2.4245362661989844E-14</v>
      </c>
      <c r="AV7">
        <v>-2.4245362661989844E-14</v>
      </c>
      <c r="AW7" t="s">
        <v>1745</v>
      </c>
      <c r="AX7">
        <v>2024</v>
      </c>
      <c r="AY7" t="s">
        <v>3420</v>
      </c>
      <c r="AZ7" s="6">
        <v>45370</v>
      </c>
      <c r="BA7">
        <v>5</v>
      </c>
      <c r="BB7">
        <v>-2.4245362661989844E-14</v>
      </c>
      <c r="BC7">
        <v>69491275</v>
      </c>
      <c r="BD7" t="s">
        <v>1773</v>
      </c>
      <c r="BI7" t="s">
        <v>2996</v>
      </c>
      <c r="BJ7" t="s">
        <v>1786</v>
      </c>
      <c r="BK7">
        <v>2.1447500000000002</v>
      </c>
      <c r="BL7">
        <v>0.66883300000000001</v>
      </c>
      <c r="BM7" t="s">
        <v>1742</v>
      </c>
      <c r="BN7">
        <v>2025</v>
      </c>
      <c r="BO7" t="s">
        <v>2994</v>
      </c>
      <c r="BP7" s="6">
        <v>45881</v>
      </c>
      <c r="BQ7">
        <v>5</v>
      </c>
      <c r="BR7">
        <v>14391614</v>
      </c>
      <c r="BS7">
        <v>7304202</v>
      </c>
      <c r="BT7" t="s">
        <v>2997</v>
      </c>
      <c r="BW7" t="s">
        <v>5273</v>
      </c>
      <c r="BX7">
        <v>1.2233309999999999</v>
      </c>
      <c r="BY7" t="s">
        <v>1786</v>
      </c>
      <c r="BZ7">
        <v>0.77858000000000005</v>
      </c>
      <c r="CA7" t="s">
        <v>1742</v>
      </c>
      <c r="CB7">
        <v>2025</v>
      </c>
      <c r="CC7" t="s">
        <v>2994</v>
      </c>
      <c r="CD7" s="6">
        <v>45881</v>
      </c>
      <c r="CE7">
        <v>5</v>
      </c>
      <c r="CF7">
        <v>53496264</v>
      </c>
      <c r="CG7">
        <v>9932803</v>
      </c>
      <c r="CH7" t="s">
        <v>5275</v>
      </c>
      <c r="DQ7" t="s">
        <v>5537</v>
      </c>
      <c r="DR7" t="s">
        <v>1786</v>
      </c>
      <c r="DS7">
        <v>20.6</v>
      </c>
      <c r="DT7">
        <v>0.94862400000000002</v>
      </c>
      <c r="DU7" t="s">
        <v>1745</v>
      </c>
      <c r="DV7">
        <v>2025</v>
      </c>
      <c r="DW7" t="s">
        <v>5538</v>
      </c>
      <c r="DX7" s="6">
        <v>45833</v>
      </c>
      <c r="DY7">
        <v>5</v>
      </c>
      <c r="DZ7">
        <v>21617424.309999999</v>
      </c>
      <c r="EA7">
        <v>114824</v>
      </c>
      <c r="EB7" t="s">
        <v>5539</v>
      </c>
      <c r="EE7" t="s">
        <v>424</v>
      </c>
      <c r="EF7">
        <v>12.397100999999999</v>
      </c>
      <c r="EG7" t="s">
        <v>1820</v>
      </c>
      <c r="EH7">
        <v>1.2519100000000001</v>
      </c>
      <c r="EI7" t="s">
        <v>1762</v>
      </c>
      <c r="EJ7">
        <v>2026</v>
      </c>
      <c r="EK7" t="s">
        <v>2320</v>
      </c>
      <c r="EL7" s="6">
        <v>46059</v>
      </c>
      <c r="EM7">
        <v>5</v>
      </c>
      <c r="EN7">
        <v>374020544</v>
      </c>
      <c r="EO7">
        <v>101743</v>
      </c>
      <c r="EP7" t="s">
        <v>1891</v>
      </c>
      <c r="FY7" t="s">
        <v>2293</v>
      </c>
      <c r="FZ7" t="s">
        <v>1786</v>
      </c>
      <c r="GA7">
        <v>1.9491999999999999E-2</v>
      </c>
      <c r="GB7">
        <v>1.4229E-2</v>
      </c>
      <c r="GC7" t="s">
        <v>1762</v>
      </c>
      <c r="GD7">
        <v>2025</v>
      </c>
      <c r="GE7" t="s">
        <v>2294</v>
      </c>
      <c r="GF7" s="6">
        <v>45917</v>
      </c>
      <c r="GG7">
        <v>5</v>
      </c>
      <c r="GH7">
        <v>365815.64</v>
      </c>
      <c r="GI7">
        <v>23059377</v>
      </c>
      <c r="GJ7" t="s">
        <v>2295</v>
      </c>
      <c r="GM7" t="s">
        <v>1677</v>
      </c>
      <c r="GN7">
        <v>0.428342</v>
      </c>
      <c r="GO7" t="s">
        <v>1786</v>
      </c>
      <c r="GP7">
        <v>1.3107409999999999</v>
      </c>
      <c r="GQ7" t="s">
        <v>1762</v>
      </c>
      <c r="GR7">
        <v>2025</v>
      </c>
      <c r="GS7" t="s">
        <v>2465</v>
      </c>
      <c r="GT7" s="6">
        <v>45912</v>
      </c>
      <c r="GU7">
        <v>5</v>
      </c>
      <c r="GV7">
        <v>15676462</v>
      </c>
      <c r="GW7">
        <v>101455</v>
      </c>
      <c r="GX7" t="s">
        <v>3269</v>
      </c>
      <c r="IG7" t="s">
        <v>2745</v>
      </c>
      <c r="IH7" t="s">
        <v>1820</v>
      </c>
      <c r="II7">
        <v>9.8840999999999998E-2</v>
      </c>
      <c r="IJ7">
        <v>1.0821270000000001</v>
      </c>
      <c r="IK7" t="s">
        <v>1742</v>
      </c>
      <c r="IL7">
        <v>2025</v>
      </c>
      <c r="IM7" t="s">
        <v>2746</v>
      </c>
      <c r="IN7" s="6">
        <v>45966</v>
      </c>
      <c r="IO7">
        <v>5</v>
      </c>
      <c r="IP7">
        <v>1028021</v>
      </c>
      <c r="IQ7">
        <v>10656931</v>
      </c>
      <c r="IR7" t="s">
        <v>2747</v>
      </c>
      <c r="IU7" t="s">
        <v>1772</v>
      </c>
      <c r="IV7">
        <v>2.3059889999999998</v>
      </c>
      <c r="IW7" t="s">
        <v>1786</v>
      </c>
      <c r="IX7">
        <v>1.5310429999999999</v>
      </c>
      <c r="IY7" t="s">
        <v>1809</v>
      </c>
      <c r="IZ7">
        <v>2025</v>
      </c>
      <c r="JA7" t="s">
        <v>3656</v>
      </c>
      <c r="JB7" s="6">
        <v>45834</v>
      </c>
      <c r="JC7">
        <v>5</v>
      </c>
      <c r="JD7">
        <v>65559268</v>
      </c>
      <c r="JE7">
        <v>69491275</v>
      </c>
      <c r="JF7" t="s">
        <v>1773</v>
      </c>
      <c r="JK7" t="s">
        <v>3400</v>
      </c>
      <c r="JL7" t="s">
        <v>1786</v>
      </c>
      <c r="JM7">
        <v>1.171929</v>
      </c>
      <c r="JN7">
        <v>1.863408</v>
      </c>
      <c r="JO7" t="s">
        <v>1742</v>
      </c>
      <c r="JP7">
        <v>2025</v>
      </c>
      <c r="JQ7" t="s">
        <v>3401</v>
      </c>
      <c r="JR7" s="6">
        <v>46048</v>
      </c>
      <c r="JS7">
        <v>5</v>
      </c>
      <c r="JT7">
        <v>19371986</v>
      </c>
      <c r="JU7">
        <v>66766968</v>
      </c>
      <c r="JV7" t="s">
        <v>3402</v>
      </c>
      <c r="JY7" t="s">
        <v>4307</v>
      </c>
      <c r="JZ7">
        <v>1.6929829999999999</v>
      </c>
      <c r="KA7" t="s">
        <v>1786</v>
      </c>
      <c r="KB7">
        <v>0.22577700000000001</v>
      </c>
      <c r="KC7" t="s">
        <v>1762</v>
      </c>
      <c r="KD7">
        <v>2025</v>
      </c>
      <c r="KE7" t="s">
        <v>4308</v>
      </c>
      <c r="KF7" s="6">
        <v>45887</v>
      </c>
      <c r="KG7">
        <v>5</v>
      </c>
      <c r="KH7">
        <v>43433198.5</v>
      </c>
      <c r="KI7">
        <v>115643</v>
      </c>
      <c r="KJ7" t="s">
        <v>4309</v>
      </c>
      <c r="MG7" t="s">
        <v>1969</v>
      </c>
      <c r="MH7">
        <v>1.5068459999999999</v>
      </c>
      <c r="MI7" t="s">
        <v>1769</v>
      </c>
      <c r="MJ7">
        <v>0.11787499999999999</v>
      </c>
      <c r="MK7" t="s">
        <v>1745</v>
      </c>
      <c r="ML7">
        <v>2024</v>
      </c>
      <c r="MM7" t="s">
        <v>1965</v>
      </c>
      <c r="MN7" s="6">
        <v>45715</v>
      </c>
      <c r="MO7">
        <v>5</v>
      </c>
      <c r="MP7">
        <v>1045250</v>
      </c>
      <c r="MQ7">
        <v>34501311</v>
      </c>
      <c r="MR7" t="s">
        <v>1970</v>
      </c>
      <c r="QI7" t="s">
        <v>5795</v>
      </c>
      <c r="QK7">
        <v>-2.4245362661989844E-14</v>
      </c>
      <c r="QL7">
        <v>-2.4245362661989844E-14</v>
      </c>
      <c r="QM7" t="s">
        <v>1745</v>
      </c>
      <c r="QN7">
        <v>2024</v>
      </c>
      <c r="QO7" t="s">
        <v>5796</v>
      </c>
      <c r="QP7" s="6">
        <v>45719</v>
      </c>
      <c r="QQ7">
        <v>3</v>
      </c>
      <c r="QR7">
        <v>-2.4245362661989844E-14</v>
      </c>
      <c r="QS7">
        <v>814774</v>
      </c>
      <c r="QT7" t="s">
        <v>5797</v>
      </c>
      <c r="QW7" t="s">
        <v>5834</v>
      </c>
      <c r="QX7">
        <v>-2.4245362661989844E-14</v>
      </c>
      <c r="QZ7">
        <v>-2.4245362661989844E-14</v>
      </c>
      <c r="RA7" t="s">
        <v>1745</v>
      </c>
      <c r="RB7">
        <v>2022</v>
      </c>
      <c r="RC7" t="s">
        <v>5835</v>
      </c>
      <c r="RD7" s="6">
        <v>44966</v>
      </c>
      <c r="RE7">
        <v>4</v>
      </c>
      <c r="RF7">
        <v>-2.4245362661989844E-14</v>
      </c>
      <c r="RG7">
        <v>216204</v>
      </c>
      <c r="RH7" t="s">
        <v>5836</v>
      </c>
      <c r="RM7" t="s">
        <v>3121</v>
      </c>
      <c r="RO7">
        <v>-2.4245362661989844E-14</v>
      </c>
      <c r="RP7">
        <v>-2.4245362661989844E-14</v>
      </c>
      <c r="RQ7" t="s">
        <v>1745</v>
      </c>
      <c r="RR7">
        <v>2022</v>
      </c>
      <c r="RS7" t="s">
        <v>3676</v>
      </c>
      <c r="RT7" s="6">
        <v>44774</v>
      </c>
      <c r="RU7">
        <v>5</v>
      </c>
      <c r="RV7">
        <v>-2.4245362661989844E-14</v>
      </c>
      <c r="RW7">
        <v>48003505</v>
      </c>
      <c r="RX7" t="s">
        <v>3122</v>
      </c>
      <c r="SA7" t="s">
        <v>3680</v>
      </c>
      <c r="SB7">
        <v>-2.4245362661989844E-14</v>
      </c>
      <c r="SD7">
        <v>-2.4245362661989844E-14</v>
      </c>
      <c r="SE7" t="s">
        <v>1745</v>
      </c>
      <c r="SF7">
        <v>2021</v>
      </c>
      <c r="SG7" t="s">
        <v>3681</v>
      </c>
      <c r="SH7" s="6">
        <v>44671</v>
      </c>
      <c r="SI7">
        <v>5</v>
      </c>
      <c r="SJ7">
        <v>-2.4245362661989844E-14</v>
      </c>
      <c r="SK7">
        <v>20515722</v>
      </c>
      <c r="SL7" t="s">
        <v>3682</v>
      </c>
      <c r="TU7" t="s">
        <v>3045</v>
      </c>
      <c r="TV7" t="s">
        <v>1786</v>
      </c>
      <c r="TW7">
        <v>18</v>
      </c>
      <c r="TX7">
        <v>0.28558099999999997</v>
      </c>
      <c r="TY7" t="s">
        <v>1745</v>
      </c>
      <c r="TZ7">
        <v>2025</v>
      </c>
      <c r="UA7" t="s">
        <v>3046</v>
      </c>
      <c r="UB7" s="6">
        <v>46079</v>
      </c>
      <c r="UC7">
        <v>5</v>
      </c>
      <c r="UD7">
        <v>185490768</v>
      </c>
      <c r="UE7">
        <v>103442</v>
      </c>
      <c r="UF7" t="s">
        <v>3047</v>
      </c>
      <c r="UI7" t="s">
        <v>1706</v>
      </c>
      <c r="UJ7">
        <v>1.5294399999999999</v>
      </c>
      <c r="UL7">
        <v>-2.4245362661989844E-14</v>
      </c>
      <c r="UM7" t="s">
        <v>1745</v>
      </c>
      <c r="UN7">
        <v>2024</v>
      </c>
      <c r="UO7" t="s">
        <v>3646</v>
      </c>
      <c r="UP7" s="6">
        <v>45712</v>
      </c>
      <c r="UQ7">
        <v>5</v>
      </c>
      <c r="UR7">
        <v>1622093696</v>
      </c>
      <c r="US7">
        <v>302359</v>
      </c>
      <c r="UT7" t="s">
        <v>3647</v>
      </c>
    </row>
    <row r="8" spans="1:600" x14ac:dyDescent="0.25">
      <c r="AE8" t="s">
        <v>607</v>
      </c>
      <c r="AG8">
        <v>-2.4245362661989844E-14</v>
      </c>
      <c r="AH8">
        <v>-2.4245362661989844E-14</v>
      </c>
      <c r="AI8" t="s">
        <v>1762</v>
      </c>
      <c r="AJ8">
        <v>2023</v>
      </c>
      <c r="AK8" t="s">
        <v>2670</v>
      </c>
      <c r="AL8" s="6">
        <v>45173</v>
      </c>
      <c r="AM8">
        <v>5</v>
      </c>
      <c r="AN8">
        <v>-2.4245362661989844E-14</v>
      </c>
      <c r="AO8">
        <v>202476</v>
      </c>
      <c r="AP8" t="s">
        <v>2355</v>
      </c>
      <c r="AS8" t="s">
        <v>5889</v>
      </c>
      <c r="AT8">
        <v>-2.4245362661989844E-14</v>
      </c>
      <c r="AV8">
        <v>-2.4245362661989844E-14</v>
      </c>
      <c r="AW8" t="s">
        <v>1745</v>
      </c>
      <c r="AX8">
        <v>2025</v>
      </c>
      <c r="AY8" t="s">
        <v>3420</v>
      </c>
      <c r="AZ8" s="6">
        <v>45944</v>
      </c>
      <c r="BA8">
        <v>5</v>
      </c>
      <c r="BB8">
        <v>-2.4245362661989844E-14</v>
      </c>
      <c r="BC8">
        <v>117121</v>
      </c>
      <c r="BD8" t="s">
        <v>5890</v>
      </c>
      <c r="BI8" t="s">
        <v>2998</v>
      </c>
      <c r="BJ8" t="s">
        <v>1786</v>
      </c>
      <c r="BK8">
        <v>0.36666900000000002</v>
      </c>
      <c r="BL8">
        <v>0.66739899999999996</v>
      </c>
      <c r="BM8" t="s">
        <v>1742</v>
      </c>
      <c r="BN8">
        <v>2025</v>
      </c>
      <c r="BO8" t="s">
        <v>2994</v>
      </c>
      <c r="BP8" s="6">
        <v>45881</v>
      </c>
      <c r="BQ8">
        <v>5</v>
      </c>
      <c r="BR8">
        <v>14360758</v>
      </c>
      <c r="BS8">
        <v>116563</v>
      </c>
      <c r="BT8" t="s">
        <v>2999</v>
      </c>
      <c r="BW8" t="s">
        <v>5576</v>
      </c>
      <c r="BX8">
        <v>1.059528</v>
      </c>
      <c r="BY8" t="s">
        <v>1786</v>
      </c>
      <c r="BZ8">
        <v>1.4451590000000001</v>
      </c>
      <c r="CA8" t="s">
        <v>1742</v>
      </c>
      <c r="CB8">
        <v>2025</v>
      </c>
      <c r="CC8" t="s">
        <v>2994</v>
      </c>
      <c r="CD8" s="6">
        <v>45881</v>
      </c>
      <c r="CE8">
        <v>5</v>
      </c>
      <c r="CF8">
        <v>46333160</v>
      </c>
      <c r="CG8">
        <v>47183276</v>
      </c>
      <c r="CH8" t="s">
        <v>5577</v>
      </c>
      <c r="DQ8" t="s">
        <v>2076</v>
      </c>
      <c r="DR8" t="s">
        <v>1786</v>
      </c>
      <c r="DS8">
        <v>7.3733999999999994E-2</v>
      </c>
      <c r="DT8">
        <v>0.83489500000000005</v>
      </c>
      <c r="DU8" t="s">
        <v>1845</v>
      </c>
      <c r="DV8">
        <v>2025</v>
      </c>
      <c r="DW8" t="s">
        <v>2316</v>
      </c>
      <c r="DX8" s="6">
        <v>46010</v>
      </c>
      <c r="DY8">
        <v>5</v>
      </c>
      <c r="DZ8">
        <v>13283180</v>
      </c>
      <c r="EA8">
        <v>59907412</v>
      </c>
      <c r="EB8" t="s">
        <v>2077</v>
      </c>
      <c r="EE8" t="s">
        <v>4911</v>
      </c>
      <c r="EF8">
        <v>4.6813409999999998</v>
      </c>
      <c r="EG8" t="s">
        <v>1786</v>
      </c>
      <c r="EH8">
        <v>1.188463</v>
      </c>
      <c r="EI8" t="s">
        <v>1762</v>
      </c>
      <c r="EJ8">
        <v>2026</v>
      </c>
      <c r="EK8" t="s">
        <v>2320</v>
      </c>
      <c r="EL8" s="6">
        <v>46059</v>
      </c>
      <c r="EM8">
        <v>5</v>
      </c>
      <c r="EN8">
        <v>141236064</v>
      </c>
      <c r="EO8">
        <v>11217910</v>
      </c>
      <c r="EP8" t="s">
        <v>4912</v>
      </c>
      <c r="FY8" t="s">
        <v>1407</v>
      </c>
      <c r="FZ8" t="s">
        <v>1786</v>
      </c>
      <c r="GA8">
        <v>9.7699999999999992E-3</v>
      </c>
      <c r="GB8">
        <v>2.7320000000000001E-3</v>
      </c>
      <c r="GC8" t="s">
        <v>1845</v>
      </c>
      <c r="GD8">
        <v>2025</v>
      </c>
      <c r="GE8" t="s">
        <v>1846</v>
      </c>
      <c r="GF8" s="6">
        <v>45884</v>
      </c>
      <c r="GG8">
        <v>5</v>
      </c>
      <c r="GH8">
        <v>70273</v>
      </c>
      <c r="GI8">
        <v>100277</v>
      </c>
      <c r="GJ8" t="s">
        <v>4371</v>
      </c>
      <c r="GM8" t="s">
        <v>5308</v>
      </c>
      <c r="GN8">
        <v>0.32963399999999998</v>
      </c>
      <c r="GO8" t="s">
        <v>1786</v>
      </c>
      <c r="GP8">
        <v>0.31070999999999999</v>
      </c>
      <c r="GQ8" t="s">
        <v>1742</v>
      </c>
      <c r="GR8">
        <v>2025</v>
      </c>
      <c r="GS8" t="s">
        <v>3428</v>
      </c>
      <c r="GT8" s="6">
        <v>45982</v>
      </c>
      <c r="GU8">
        <v>5</v>
      </c>
      <c r="GV8">
        <v>12035597</v>
      </c>
      <c r="GW8">
        <v>221794</v>
      </c>
      <c r="GX8" t="s">
        <v>5309</v>
      </c>
      <c r="IG8" t="s">
        <v>4048</v>
      </c>
      <c r="II8">
        <v>-2.4245362661989844E-14</v>
      </c>
      <c r="IJ8">
        <v>-2.4245362661989844E-14</v>
      </c>
      <c r="IK8" t="s">
        <v>1745</v>
      </c>
      <c r="IL8">
        <v>2025</v>
      </c>
      <c r="IM8" t="s">
        <v>4049</v>
      </c>
      <c r="IN8" s="6">
        <v>45896</v>
      </c>
      <c r="IO8">
        <v>5</v>
      </c>
      <c r="IP8">
        <v>-2.4245362661989844E-14</v>
      </c>
      <c r="IQ8">
        <v>15183113</v>
      </c>
      <c r="IR8" t="s">
        <v>4050</v>
      </c>
      <c r="IU8" t="s">
        <v>3657</v>
      </c>
      <c r="IV8">
        <v>2.2620149999999999</v>
      </c>
      <c r="IW8" t="s">
        <v>1786</v>
      </c>
      <c r="IX8">
        <v>2.1851310000000002</v>
      </c>
      <c r="IY8" t="s">
        <v>1742</v>
      </c>
      <c r="IZ8">
        <v>2025</v>
      </c>
      <c r="JA8" t="s">
        <v>3656</v>
      </c>
      <c r="JB8" s="6">
        <v>46050</v>
      </c>
      <c r="JC8">
        <v>5</v>
      </c>
      <c r="JD8">
        <v>60938684</v>
      </c>
      <c r="JE8">
        <v>115711</v>
      </c>
      <c r="JF8" t="s">
        <v>3658</v>
      </c>
      <c r="JK8" t="s">
        <v>3403</v>
      </c>
      <c r="JL8" t="s">
        <v>1786</v>
      </c>
      <c r="JM8">
        <v>3.1261999999999998E-2</v>
      </c>
      <c r="JN8">
        <v>0.46141199999999999</v>
      </c>
      <c r="JO8" t="s">
        <v>1845</v>
      </c>
      <c r="JP8">
        <v>2025</v>
      </c>
      <c r="JQ8" t="s">
        <v>3404</v>
      </c>
      <c r="JR8" s="6">
        <v>46080</v>
      </c>
      <c r="JS8">
        <v>5</v>
      </c>
      <c r="JT8">
        <v>4796841</v>
      </c>
      <c r="JU8">
        <v>50856480</v>
      </c>
      <c r="JV8" t="s">
        <v>3405</v>
      </c>
      <c r="JY8" t="s">
        <v>6534</v>
      </c>
      <c r="JZ8">
        <v>1.287663</v>
      </c>
      <c r="KA8" t="s">
        <v>1786</v>
      </c>
      <c r="KB8">
        <v>6.6934649999999998</v>
      </c>
      <c r="KC8" t="s">
        <v>1809</v>
      </c>
      <c r="KD8">
        <v>2026</v>
      </c>
      <c r="KE8" t="s">
        <v>6535</v>
      </c>
      <c r="KF8" s="6">
        <v>45869</v>
      </c>
      <c r="KG8">
        <v>5</v>
      </c>
      <c r="KH8">
        <v>32384724</v>
      </c>
      <c r="KI8">
        <v>148330</v>
      </c>
      <c r="KJ8" t="s">
        <v>6536</v>
      </c>
      <c r="MG8" t="s">
        <v>985</v>
      </c>
      <c r="MH8">
        <v>1.2592490000000001</v>
      </c>
      <c r="MI8" t="s">
        <v>1769</v>
      </c>
      <c r="MJ8">
        <v>1.3738999999999999E-2</v>
      </c>
      <c r="MK8" t="s">
        <v>1745</v>
      </c>
      <c r="ML8">
        <v>2024</v>
      </c>
      <c r="MM8" t="s">
        <v>1965</v>
      </c>
      <c r="MN8" s="6">
        <v>45715</v>
      </c>
      <c r="MO8">
        <v>5</v>
      </c>
      <c r="MP8">
        <v>873500</v>
      </c>
      <c r="MQ8">
        <v>100864</v>
      </c>
      <c r="MR8" t="s">
        <v>1971</v>
      </c>
      <c r="QW8" t="s">
        <v>5837</v>
      </c>
      <c r="QX8">
        <v>-2.4245362661989844E-14</v>
      </c>
      <c r="QZ8">
        <v>-2.4245362661989844E-14</v>
      </c>
      <c r="RA8" t="s">
        <v>1745</v>
      </c>
      <c r="RB8">
        <v>2023</v>
      </c>
      <c r="RC8" t="s">
        <v>5838</v>
      </c>
      <c r="RD8" s="6">
        <v>45342</v>
      </c>
      <c r="RE8">
        <v>4</v>
      </c>
      <c r="RF8">
        <v>-2.4245362661989844E-14</v>
      </c>
      <c r="RG8">
        <v>61857323</v>
      </c>
      <c r="RH8" t="s">
        <v>5839</v>
      </c>
      <c r="RM8" t="s">
        <v>3187</v>
      </c>
      <c r="RO8">
        <v>-2.4245362661989844E-14</v>
      </c>
      <c r="RP8">
        <v>-2.4245362661989844E-14</v>
      </c>
      <c r="RQ8" t="s">
        <v>1745</v>
      </c>
      <c r="RR8">
        <v>2023</v>
      </c>
      <c r="RS8" t="s">
        <v>3949</v>
      </c>
      <c r="RT8" s="6">
        <v>45407</v>
      </c>
      <c r="RU8">
        <v>5</v>
      </c>
      <c r="RV8">
        <v>-2.4245362661989844E-14</v>
      </c>
      <c r="RW8">
        <v>22884053</v>
      </c>
      <c r="RX8" t="s">
        <v>3189</v>
      </c>
      <c r="SA8" t="s">
        <v>3683</v>
      </c>
      <c r="SB8">
        <v>-2.4245362661989844E-14</v>
      </c>
      <c r="SD8">
        <v>-2.4245362661989844E-14</v>
      </c>
      <c r="SE8" t="s">
        <v>1745</v>
      </c>
      <c r="SF8">
        <v>2023</v>
      </c>
      <c r="SG8" t="s">
        <v>3676</v>
      </c>
      <c r="SH8" s="6">
        <v>45014</v>
      </c>
      <c r="SI8">
        <v>5</v>
      </c>
      <c r="SJ8">
        <v>-2.4245362661989844E-14</v>
      </c>
      <c r="SK8">
        <v>868425</v>
      </c>
      <c r="SL8" t="s">
        <v>3684</v>
      </c>
      <c r="TU8" t="s">
        <v>1578</v>
      </c>
      <c r="TV8" t="s">
        <v>1786</v>
      </c>
      <c r="TW8">
        <v>4.630776</v>
      </c>
      <c r="TX8">
        <v>0.19183800000000001</v>
      </c>
      <c r="TY8" t="s">
        <v>1742</v>
      </c>
      <c r="TZ8">
        <v>2025</v>
      </c>
      <c r="UA8" t="s">
        <v>3048</v>
      </c>
      <c r="UB8" s="6">
        <v>45952</v>
      </c>
      <c r="UC8">
        <v>5</v>
      </c>
      <c r="UD8">
        <v>125308800</v>
      </c>
      <c r="UE8">
        <v>171010</v>
      </c>
      <c r="UF8" t="s">
        <v>3049</v>
      </c>
      <c r="UI8" t="s">
        <v>1088</v>
      </c>
      <c r="UJ8">
        <v>0.34598400000000001</v>
      </c>
      <c r="UK8" t="s">
        <v>1786</v>
      </c>
      <c r="UL8">
        <v>1.684086</v>
      </c>
      <c r="UM8" t="s">
        <v>1762</v>
      </c>
      <c r="UN8">
        <v>2025</v>
      </c>
      <c r="UO8" t="s">
        <v>3484</v>
      </c>
      <c r="UP8" s="6">
        <v>45873</v>
      </c>
      <c r="UQ8">
        <v>5</v>
      </c>
      <c r="UR8">
        <v>342105216</v>
      </c>
      <c r="US8">
        <v>100211</v>
      </c>
      <c r="UT8" t="s">
        <v>1851</v>
      </c>
    </row>
    <row r="9" spans="1:600" x14ac:dyDescent="0.25">
      <c r="AE9" t="s">
        <v>307</v>
      </c>
      <c r="AG9">
        <v>-2.4245362661989844E-14</v>
      </c>
      <c r="AH9">
        <v>-2.4245362661989844E-14</v>
      </c>
      <c r="AI9" t="s">
        <v>1745</v>
      </c>
      <c r="AJ9">
        <v>2022</v>
      </c>
      <c r="AK9" t="s">
        <v>3147</v>
      </c>
      <c r="AL9" s="6">
        <v>44986</v>
      </c>
      <c r="AM9">
        <v>5</v>
      </c>
      <c r="AN9">
        <v>-2.4245362661989844E-14</v>
      </c>
      <c r="AO9">
        <v>101092</v>
      </c>
      <c r="AP9" t="s">
        <v>3427</v>
      </c>
      <c r="AS9" t="s">
        <v>282</v>
      </c>
      <c r="AT9">
        <v>-2.4245362661989844E-14</v>
      </c>
      <c r="AV9">
        <v>-2.4245362661989844E-14</v>
      </c>
      <c r="AW9" t="s">
        <v>1745</v>
      </c>
      <c r="AX9">
        <v>2024</v>
      </c>
      <c r="AY9" t="s">
        <v>3420</v>
      </c>
      <c r="AZ9" s="6">
        <v>45328</v>
      </c>
      <c r="BA9">
        <v>5</v>
      </c>
      <c r="BB9">
        <v>-2.4245362661989844E-14</v>
      </c>
      <c r="BC9">
        <v>58579521</v>
      </c>
      <c r="BD9" t="s">
        <v>5891</v>
      </c>
      <c r="BI9" t="s">
        <v>3000</v>
      </c>
      <c r="BJ9" t="s">
        <v>1786</v>
      </c>
      <c r="BK9">
        <v>3.8373949999999999</v>
      </c>
      <c r="BL9">
        <v>0.65883999999999998</v>
      </c>
      <c r="BM9" t="s">
        <v>1809</v>
      </c>
      <c r="BN9">
        <v>2025</v>
      </c>
      <c r="BO9" t="s">
        <v>2994</v>
      </c>
      <c r="BP9" s="6">
        <v>45740</v>
      </c>
      <c r="BQ9">
        <v>5</v>
      </c>
      <c r="BR9">
        <v>14176590</v>
      </c>
      <c r="BS9">
        <v>21813538</v>
      </c>
      <c r="BT9" t="s">
        <v>3001</v>
      </c>
      <c r="BW9" t="s">
        <v>5777</v>
      </c>
      <c r="BX9">
        <v>0.95568799999999998</v>
      </c>
      <c r="BY9" t="s">
        <v>1786</v>
      </c>
      <c r="BZ9">
        <v>2.8645339999999999</v>
      </c>
      <c r="CA9" t="s">
        <v>1742</v>
      </c>
      <c r="CB9">
        <v>2025</v>
      </c>
      <c r="CC9" t="s">
        <v>2994</v>
      </c>
      <c r="CD9" s="6">
        <v>45881</v>
      </c>
      <c r="CE9">
        <v>5</v>
      </c>
      <c r="CF9">
        <v>41792236</v>
      </c>
      <c r="CG9">
        <v>107907</v>
      </c>
      <c r="CH9" t="s">
        <v>5778</v>
      </c>
      <c r="DQ9" t="s">
        <v>5540</v>
      </c>
      <c r="DR9" t="s">
        <v>1786</v>
      </c>
      <c r="DS9">
        <v>0.15844900000000001</v>
      </c>
      <c r="DT9">
        <v>0.19003600000000001</v>
      </c>
      <c r="DU9" t="s">
        <v>1845</v>
      </c>
      <c r="DV9">
        <v>2024</v>
      </c>
      <c r="DW9" t="s">
        <v>5541</v>
      </c>
      <c r="DX9" s="6">
        <v>45727</v>
      </c>
      <c r="DY9">
        <v>5</v>
      </c>
      <c r="DZ9">
        <v>5262091</v>
      </c>
      <c r="EA9">
        <v>153916</v>
      </c>
      <c r="EB9" t="s">
        <v>5542</v>
      </c>
      <c r="EE9" t="s">
        <v>3505</v>
      </c>
      <c r="EF9">
        <v>4.3718529999999998</v>
      </c>
      <c r="EG9" t="s">
        <v>1786</v>
      </c>
      <c r="EH9">
        <v>0.616004</v>
      </c>
      <c r="EI9" t="s">
        <v>1762</v>
      </c>
      <c r="EJ9">
        <v>2026</v>
      </c>
      <c r="EK9" t="s">
        <v>2320</v>
      </c>
      <c r="EL9" s="6">
        <v>46059</v>
      </c>
      <c r="EM9">
        <v>5</v>
      </c>
      <c r="EN9">
        <v>131898808</v>
      </c>
      <c r="EO9">
        <v>50985605</v>
      </c>
      <c r="EP9" t="s">
        <v>3506</v>
      </c>
      <c r="FY9" t="s">
        <v>3724</v>
      </c>
      <c r="FZ9" t="s">
        <v>1786</v>
      </c>
      <c r="GA9">
        <v>1.2689999999999999E-3</v>
      </c>
      <c r="GB9">
        <v>2.4000000000000001E-5</v>
      </c>
      <c r="GC9" t="s">
        <v>1742</v>
      </c>
      <c r="GD9">
        <v>2026</v>
      </c>
      <c r="GE9" t="s">
        <v>3725</v>
      </c>
      <c r="GF9" s="6">
        <v>46091</v>
      </c>
      <c r="GG9">
        <v>5</v>
      </c>
      <c r="GH9">
        <v>609.87</v>
      </c>
      <c r="GI9">
        <v>178184</v>
      </c>
      <c r="GJ9" t="s">
        <v>3726</v>
      </c>
      <c r="GM9" t="s">
        <v>3794</v>
      </c>
      <c r="GN9">
        <v>0.24837600000000001</v>
      </c>
      <c r="GO9" t="s">
        <v>1786</v>
      </c>
      <c r="GP9">
        <v>0.140818</v>
      </c>
      <c r="GQ9" t="s">
        <v>1742</v>
      </c>
      <c r="GR9">
        <v>2025</v>
      </c>
      <c r="GS9" t="s">
        <v>3428</v>
      </c>
      <c r="GT9" s="6">
        <v>45982</v>
      </c>
      <c r="GU9">
        <v>5</v>
      </c>
      <c r="GV9">
        <v>9068705</v>
      </c>
      <c r="GW9">
        <v>111270</v>
      </c>
      <c r="GX9" t="s">
        <v>3796</v>
      </c>
      <c r="IG9" t="s">
        <v>4051</v>
      </c>
      <c r="II9">
        <v>-2.4245362661989844E-14</v>
      </c>
      <c r="IJ9">
        <v>-2.4245362661989844E-14</v>
      </c>
      <c r="IK9" t="s">
        <v>1745</v>
      </c>
      <c r="IL9">
        <v>2022</v>
      </c>
      <c r="IM9" t="s">
        <v>4052</v>
      </c>
      <c r="IN9" s="6">
        <v>45040</v>
      </c>
      <c r="IO9">
        <v>5</v>
      </c>
      <c r="IP9">
        <v>-2.4245362661989844E-14</v>
      </c>
      <c r="IQ9">
        <v>19015168</v>
      </c>
      <c r="IR9" t="s">
        <v>4053</v>
      </c>
      <c r="IU9" t="s">
        <v>3659</v>
      </c>
      <c r="IV9">
        <v>2.0449480000000002</v>
      </c>
      <c r="IW9" t="s">
        <v>1786</v>
      </c>
      <c r="IX9">
        <v>0.72965500000000005</v>
      </c>
      <c r="IY9" t="s">
        <v>1742</v>
      </c>
      <c r="IZ9">
        <v>2025</v>
      </c>
      <c r="JA9" t="s">
        <v>3656</v>
      </c>
      <c r="JB9" s="6">
        <v>46050</v>
      </c>
      <c r="JC9">
        <v>5</v>
      </c>
      <c r="JD9">
        <v>55090900</v>
      </c>
      <c r="JE9">
        <v>115428</v>
      </c>
      <c r="JF9" t="s">
        <v>3660</v>
      </c>
      <c r="JK9" t="s">
        <v>2745</v>
      </c>
      <c r="JL9" t="s">
        <v>1820</v>
      </c>
      <c r="JM9">
        <v>0.22195300000000001</v>
      </c>
      <c r="JN9">
        <v>1.062346</v>
      </c>
      <c r="JO9" t="s">
        <v>1742</v>
      </c>
      <c r="JP9">
        <v>2025</v>
      </c>
      <c r="JQ9" t="s">
        <v>2746</v>
      </c>
      <c r="JR9" s="6">
        <v>45966</v>
      </c>
      <c r="JS9">
        <v>5</v>
      </c>
      <c r="JT9">
        <v>2308478</v>
      </c>
      <c r="JU9">
        <v>10656931</v>
      </c>
      <c r="JV9" t="s">
        <v>2747</v>
      </c>
      <c r="JY9" t="s">
        <v>6537</v>
      </c>
      <c r="JZ9">
        <v>0.58665900000000004</v>
      </c>
      <c r="KB9">
        <v>-2.4245362661989844E-14</v>
      </c>
      <c r="KC9" t="s">
        <v>1809</v>
      </c>
      <c r="KD9">
        <v>2026</v>
      </c>
      <c r="KE9" t="s">
        <v>6535</v>
      </c>
      <c r="KF9" s="6">
        <v>45869</v>
      </c>
      <c r="KG9">
        <v>5</v>
      </c>
      <c r="KH9">
        <v>14754474</v>
      </c>
      <c r="KI9">
        <v>33022637</v>
      </c>
      <c r="KJ9" t="s">
        <v>6538</v>
      </c>
      <c r="MG9" t="s">
        <v>1972</v>
      </c>
      <c r="MH9">
        <v>1.1295040000000001</v>
      </c>
      <c r="MJ9">
        <v>-2.4245362661989844E-14</v>
      </c>
      <c r="MK9" t="s">
        <v>1745</v>
      </c>
      <c r="ML9">
        <v>2024</v>
      </c>
      <c r="MM9" t="s">
        <v>1965</v>
      </c>
      <c r="MN9" s="6">
        <v>45715</v>
      </c>
      <c r="MO9">
        <v>5</v>
      </c>
      <c r="MP9">
        <v>783500</v>
      </c>
      <c r="MQ9">
        <v>119389</v>
      </c>
      <c r="MR9" t="s">
        <v>1973</v>
      </c>
      <c r="RM9" t="s">
        <v>2280</v>
      </c>
      <c r="RO9">
        <v>-2.4245362661989844E-14</v>
      </c>
      <c r="RP9">
        <v>-2.4245362661989844E-14</v>
      </c>
      <c r="RQ9" t="s">
        <v>1745</v>
      </c>
      <c r="RR9">
        <v>2021</v>
      </c>
      <c r="RS9" t="s">
        <v>2281</v>
      </c>
      <c r="RT9" s="6">
        <v>44693</v>
      </c>
      <c r="RU9">
        <v>5</v>
      </c>
      <c r="RV9">
        <v>-2.4245362661989844E-14</v>
      </c>
      <c r="RW9">
        <v>313098</v>
      </c>
      <c r="RX9" t="s">
        <v>2282</v>
      </c>
      <c r="SA9" t="s">
        <v>3123</v>
      </c>
      <c r="SB9">
        <v>-2.4245362661989844E-14</v>
      </c>
      <c r="SD9">
        <v>-2.4245362661989844E-14</v>
      </c>
      <c r="SE9" t="s">
        <v>1745</v>
      </c>
      <c r="SF9">
        <v>2024</v>
      </c>
      <c r="SG9" t="s">
        <v>3676</v>
      </c>
      <c r="SH9" s="6">
        <v>45502</v>
      </c>
      <c r="SI9">
        <v>5</v>
      </c>
      <c r="SJ9">
        <v>-2.4245362661989844E-14</v>
      </c>
      <c r="SK9">
        <v>353064</v>
      </c>
      <c r="SL9" t="s">
        <v>3124</v>
      </c>
      <c r="TU9" t="s">
        <v>2919</v>
      </c>
      <c r="TV9" t="s">
        <v>1820</v>
      </c>
      <c r="TW9">
        <v>1.650523</v>
      </c>
      <c r="TX9">
        <v>1.7462089999999999</v>
      </c>
      <c r="TY9" t="s">
        <v>1742</v>
      </c>
      <c r="TZ9">
        <v>2025</v>
      </c>
      <c r="UA9" t="s">
        <v>2920</v>
      </c>
      <c r="UB9" s="6">
        <v>46029</v>
      </c>
      <c r="UC9">
        <v>5</v>
      </c>
      <c r="UD9">
        <v>97565313.560000002</v>
      </c>
      <c r="UE9">
        <v>115705</v>
      </c>
      <c r="UF9" t="s">
        <v>2921</v>
      </c>
      <c r="UI9" t="s">
        <v>1054</v>
      </c>
      <c r="UJ9">
        <v>0.19926099999999999</v>
      </c>
      <c r="UK9" t="s">
        <v>1786</v>
      </c>
      <c r="UL9">
        <v>1.1451750000000001</v>
      </c>
      <c r="UM9" t="s">
        <v>1762</v>
      </c>
      <c r="UN9">
        <v>2025</v>
      </c>
      <c r="UO9" t="s">
        <v>3638</v>
      </c>
      <c r="UP9" s="6">
        <v>45895</v>
      </c>
      <c r="UQ9">
        <v>5</v>
      </c>
      <c r="UR9">
        <v>197027360</v>
      </c>
      <c r="US9">
        <v>101555</v>
      </c>
      <c r="UT9" t="s">
        <v>1848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746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747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748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749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750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751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752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753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754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755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756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757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758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759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760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761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762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763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764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765</v>
      </c>
      <c r="AE2" s="3" t="s">
        <v>156</v>
      </c>
      <c r="BI2" s="3" t="s">
        <v>766</v>
      </c>
      <c r="CM2" s="3" t="s">
        <v>767</v>
      </c>
      <c r="DQ2" s="3" t="s">
        <v>768</v>
      </c>
      <c r="EU2" s="3" t="s">
        <v>769</v>
      </c>
      <c r="FY2" s="3" t="s">
        <v>770</v>
      </c>
      <c r="HC2" s="3" t="s">
        <v>771</v>
      </c>
      <c r="IG2" s="3" t="s">
        <v>772</v>
      </c>
      <c r="JK2" s="3" t="s">
        <v>603</v>
      </c>
      <c r="KO2" s="3" t="s">
        <v>773</v>
      </c>
      <c r="LS2" s="3" t="s">
        <v>774</v>
      </c>
      <c r="MW2" s="3" t="s">
        <v>775</v>
      </c>
      <c r="OA2" s="3" t="s">
        <v>86</v>
      </c>
      <c r="PE2" s="3" t="s">
        <v>776</v>
      </c>
      <c r="QI2" s="3" t="s">
        <v>777</v>
      </c>
      <c r="RM2" s="3" t="s">
        <v>778</v>
      </c>
      <c r="SQ2" s="3" t="s">
        <v>779</v>
      </c>
      <c r="TU2" s="3" t="s">
        <v>780</v>
      </c>
      <c r="UY2" s="3" t="s">
        <v>271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_xll.BDS("VYTLQ US Equity","SUPPLY_CHAIN_SUPPLIERS_ALL_DATA")</f>
        <v>#N/A N/A</v>
      </c>
      <c r="O5" t="str">
        <f>_xll.BDS("VYTLQ US Equity","SUPPLY_CHAIN_CUSTOMERS_ALL_DATA")</f>
        <v>#N/A N/A</v>
      </c>
      <c r="AE5" t="str">
        <f>_xll.BDS("AMGN US Equity","SUPPLY_CHAIN_SUPPLIERS_ALL_DATA","cols=12;rows=5")</f>
        <v>AZN LN Equity</v>
      </c>
      <c r="AF5" t="s">
        <v>1786</v>
      </c>
      <c r="AG5">
        <v>1.1178159999999999</v>
      </c>
      <c r="AH5">
        <v>5.8230849999999998</v>
      </c>
      <c r="AI5" t="s">
        <v>1742</v>
      </c>
      <c r="AJ5">
        <v>2025</v>
      </c>
      <c r="AK5" t="s">
        <v>2730</v>
      </c>
      <c r="AL5" s="6">
        <v>46080</v>
      </c>
      <c r="AM5">
        <v>5</v>
      </c>
      <c r="AN5">
        <v>173295008</v>
      </c>
      <c r="AO5">
        <v>111093</v>
      </c>
      <c r="AP5" t="s">
        <v>2414</v>
      </c>
      <c r="AS5" t="str">
        <f>_xll.BDS("AMGN US Equity","SUPPLY_CHAIN_CUSTOMERS_ALL_DATA","cols=12;rows=5")</f>
        <v>MCK US Equity</v>
      </c>
      <c r="AT5">
        <v>34</v>
      </c>
      <c r="AU5" t="s">
        <v>1786</v>
      </c>
      <c r="AV5">
        <v>3.2555800000000001</v>
      </c>
      <c r="AW5" t="s">
        <v>1745</v>
      </c>
      <c r="AX5">
        <v>2025</v>
      </c>
      <c r="AY5" t="s">
        <v>5214</v>
      </c>
      <c r="AZ5" s="6">
        <v>46066</v>
      </c>
      <c r="BA5">
        <v>5</v>
      </c>
      <c r="BB5">
        <v>3123834880</v>
      </c>
      <c r="BC5">
        <v>154936</v>
      </c>
      <c r="BD5" t="s">
        <v>2146</v>
      </c>
      <c r="BI5" t="str">
        <f>_xll.BDS("CAVM US Equity","SUPPLY_CHAIN_SUPPLIERS_ALL_DATA")</f>
        <v>#N/A N/A</v>
      </c>
      <c r="BW5" t="str">
        <f>_xll.BDS("CAVM US Equity","SUPPLY_CHAIN_CUSTOMERS_ALL_DATA")</f>
        <v>#N/A N/A</v>
      </c>
      <c r="CM5" t="str">
        <f>_xll.BDS("BATL US Equity","SUPPLY_CHAIN_SUPPLIERS_ALL_DATA")</f>
        <v>#N/A N/A</v>
      </c>
      <c r="DA5" t="str">
        <f>_xll.BDS("BATL US Equity","SUPPLY_CHAIN_CUSTOMERS_ALL_DATA","cols=12;rows=3")</f>
        <v>ET US Equity</v>
      </c>
      <c r="DB5">
        <v>-2.4245362661989844E-14</v>
      </c>
      <c r="DD5">
        <v>-2.4245362661989844E-14</v>
      </c>
      <c r="DE5" t="s">
        <v>1745</v>
      </c>
      <c r="DF5">
        <v>2024</v>
      </c>
      <c r="DG5" t="s">
        <v>6445</v>
      </c>
      <c r="DH5" s="6">
        <v>45747</v>
      </c>
      <c r="DI5">
        <v>3</v>
      </c>
      <c r="DJ5">
        <v>-2.4245362661989844E-14</v>
      </c>
      <c r="DK5">
        <v>10005604</v>
      </c>
      <c r="DL5" t="s">
        <v>3469</v>
      </c>
      <c r="DQ5" t="str">
        <f>_xll.BDS("ENTG US Equity","SUPPLY_CHAIN_SUPPLIERS_ALL_DATA","cols=12;rows=5")</f>
        <v>CBT US Equity</v>
      </c>
      <c r="DR5" t="s">
        <v>1786</v>
      </c>
      <c r="DS5">
        <v>0.35865000000000002</v>
      </c>
      <c r="DT5">
        <v>0.74043300000000001</v>
      </c>
      <c r="DU5" t="s">
        <v>1809</v>
      </c>
      <c r="DV5">
        <v>2025</v>
      </c>
      <c r="DW5" t="s">
        <v>3167</v>
      </c>
      <c r="DX5" s="6">
        <v>45777</v>
      </c>
      <c r="DY5">
        <v>5</v>
      </c>
      <c r="DZ5">
        <v>3425108</v>
      </c>
      <c r="EA5">
        <v>100252</v>
      </c>
      <c r="EB5" t="s">
        <v>3168</v>
      </c>
      <c r="EE5" t="str">
        <f>_xll.BDS("ENTG US Equity","SUPPLY_CHAIN_CUSTOMERS_ALL_DATA","cols=12;rows=5")</f>
        <v>2330 TT Equity</v>
      </c>
      <c r="EF5">
        <v>16</v>
      </c>
      <c r="EG5" t="s">
        <v>1786</v>
      </c>
      <c r="EH5">
        <v>1.0404880000000001</v>
      </c>
      <c r="EI5" t="s">
        <v>1745</v>
      </c>
      <c r="EJ5">
        <v>2025</v>
      </c>
      <c r="EK5" t="s">
        <v>3141</v>
      </c>
      <c r="EL5" s="6">
        <v>46064</v>
      </c>
      <c r="EM5">
        <v>5</v>
      </c>
      <c r="EN5">
        <v>127864000</v>
      </c>
      <c r="EO5">
        <v>153737</v>
      </c>
      <c r="EP5" t="s">
        <v>2171</v>
      </c>
      <c r="EU5" t="str">
        <f>_xll.BDS("VLO US Equity","SUPPLY_CHAIN_SUPPLIERS_ALL_DATA","cols=12;rows=5")</f>
        <v>DAR US Equity</v>
      </c>
      <c r="EV5" t="s">
        <v>1786</v>
      </c>
      <c r="EW5">
        <v>22</v>
      </c>
      <c r="EX5">
        <v>1.2306760000000001</v>
      </c>
      <c r="EY5" t="s">
        <v>1742</v>
      </c>
      <c r="EZ5">
        <v>2025</v>
      </c>
      <c r="FA5" t="s">
        <v>3432</v>
      </c>
      <c r="FB5" s="6">
        <v>45966</v>
      </c>
      <c r="FC5">
        <v>5</v>
      </c>
      <c r="FD5">
        <v>344072512</v>
      </c>
      <c r="FE5">
        <v>136254</v>
      </c>
      <c r="FF5" t="s">
        <v>3433</v>
      </c>
      <c r="FI5" t="str">
        <f>_xll.BDS("VLO US Equity","SUPPLY_CHAIN_CUSTOMERS_ALL_DATA","cols=12;rows=5")</f>
        <v>ARKO US Equity</v>
      </c>
      <c r="FJ5">
        <v>-2.4245362661989844E-14</v>
      </c>
      <c r="FL5">
        <v>-2.4245362661989844E-14</v>
      </c>
      <c r="FM5" t="s">
        <v>1745</v>
      </c>
      <c r="FN5">
        <v>2024</v>
      </c>
      <c r="FO5" t="s">
        <v>6282</v>
      </c>
      <c r="FP5" s="6">
        <v>45714</v>
      </c>
      <c r="FQ5">
        <v>5</v>
      </c>
      <c r="FR5">
        <v>-2.4245362661989844E-14</v>
      </c>
      <c r="FS5">
        <v>69344989</v>
      </c>
      <c r="FT5" t="s">
        <v>6283</v>
      </c>
      <c r="FY5" t="str">
        <f>_xll.BDS("VBTX US Equity","SUPPLY_CHAIN_SUPPLIERS_ALL_DATA")</f>
        <v>#N/A N/A</v>
      </c>
      <c r="GM5" t="str">
        <f>_xll.BDS("VBTX US Equity","SUPPLY_CHAIN_CUSTOMERS_ALL_DATA")</f>
        <v>#N/A N/A</v>
      </c>
      <c r="HC5" t="str">
        <f>_xll.BDS("PF US Equity","SUPPLY_CHAIN_SUPPLIERS_ALL_DATA","cols=12;rows=1")</f>
        <v>FE US Equity</v>
      </c>
      <c r="HE5">
        <v>-2.4245362661989844E-14</v>
      </c>
      <c r="HF5">
        <v>-2.4245362661989844E-14</v>
      </c>
      <c r="HG5" t="s">
        <v>1745</v>
      </c>
      <c r="HH5">
        <v>2021</v>
      </c>
      <c r="HI5" t="s">
        <v>2288</v>
      </c>
      <c r="HJ5" s="6">
        <v>44693</v>
      </c>
      <c r="HK5">
        <v>1</v>
      </c>
      <c r="HL5">
        <v>-2.4245362661989844E-14</v>
      </c>
      <c r="HM5">
        <v>302916</v>
      </c>
      <c r="HN5" t="s">
        <v>2289</v>
      </c>
      <c r="HQ5" t="str">
        <f>_xll.BDS("PF US Equity","SUPPLY_CHAIN_CUSTOMERS_ALL_DATA")</f>
        <v>#N/A N/A</v>
      </c>
      <c r="IG5" t="str">
        <f>_xll.BDS("SCG US Equity","SUPPLY_CHAIN_SUPPLIERS_ALL_DATA")</f>
        <v>#N/A N/A</v>
      </c>
      <c r="IU5" t="str">
        <f>_xll.BDS("SCG US Equity","SUPPLY_CHAIN_CUSTOMERS_ALL_DATA")</f>
        <v>#N/A N/A</v>
      </c>
      <c r="JK5" t="str">
        <f>_xll.BDS("ON US Equity","SUPPLY_CHAIN_SUPPLIERS_ALL_DATA","cols=12;rows=5")</f>
        <v>981 HK Equity</v>
      </c>
      <c r="JL5" t="s">
        <v>1786</v>
      </c>
      <c r="JM5">
        <v>1.149251</v>
      </c>
      <c r="JN5">
        <v>2.2420330000000002</v>
      </c>
      <c r="JO5" t="s">
        <v>1809</v>
      </c>
      <c r="JP5">
        <v>2025</v>
      </c>
      <c r="JQ5" t="s">
        <v>3065</v>
      </c>
      <c r="JR5" s="6">
        <v>45846</v>
      </c>
      <c r="JS5">
        <v>5</v>
      </c>
      <c r="JT5">
        <v>25825980</v>
      </c>
      <c r="JU5">
        <v>7039692</v>
      </c>
      <c r="JV5" t="s">
        <v>3066</v>
      </c>
      <c r="JY5" t="str">
        <f>_xll.BDS("ON US Equity","SUPPLY_CHAIN_CUSTOMERS_ALL_DATA","cols=12;rows=5")</f>
        <v>3036 TT Equity</v>
      </c>
      <c r="JZ5">
        <v>10.876538999999999</v>
      </c>
      <c r="KA5" t="s">
        <v>1786</v>
      </c>
      <c r="KB5">
        <v>1.98163</v>
      </c>
      <c r="KC5" t="s">
        <v>1762</v>
      </c>
      <c r="KD5">
        <v>2025</v>
      </c>
      <c r="KE5" t="s">
        <v>5976</v>
      </c>
      <c r="KF5" s="6">
        <v>45943</v>
      </c>
      <c r="KG5">
        <v>5</v>
      </c>
      <c r="KH5">
        <v>159743728</v>
      </c>
      <c r="KI5">
        <v>1459396</v>
      </c>
      <c r="KJ5" t="s">
        <v>3626</v>
      </c>
      <c r="KO5" t="str">
        <f>_xll.BDS("DOC US Equity","SUPPLY_CHAIN_SUPPLIERS_ALL_DATA","cols=12;rows=2")</f>
        <v>MUST SP Equity</v>
      </c>
      <c r="KQ5">
        <v>-2.4245362661989844E-14</v>
      </c>
      <c r="KR5">
        <v>-2.4245362661989844E-14</v>
      </c>
      <c r="KS5" t="s">
        <v>1745</v>
      </c>
      <c r="KT5">
        <v>2023</v>
      </c>
      <c r="KU5" t="s">
        <v>4380</v>
      </c>
      <c r="KV5" s="6">
        <v>45377</v>
      </c>
      <c r="KW5">
        <v>2</v>
      </c>
      <c r="KX5">
        <v>-2.4245362661989844E-14</v>
      </c>
      <c r="KY5">
        <v>46286147</v>
      </c>
      <c r="KZ5" t="s">
        <v>2733</v>
      </c>
      <c r="LC5" t="str">
        <f>_xll.BDS("DOC US Equity","SUPPLY_CHAIN_CUSTOMERS_ALL_DATA","cols=12;rows=5")</f>
        <v>HCA US Equity</v>
      </c>
      <c r="LD5">
        <v>6.6974640000000001</v>
      </c>
      <c r="LE5" t="s">
        <v>1769</v>
      </c>
      <c r="LF5">
        <v>0.30115500000000001</v>
      </c>
      <c r="LG5" t="s">
        <v>1745</v>
      </c>
      <c r="LH5">
        <v>2024</v>
      </c>
      <c r="LI5" t="s">
        <v>5820</v>
      </c>
      <c r="LJ5" s="6">
        <v>45692</v>
      </c>
      <c r="LK5">
        <v>5</v>
      </c>
      <c r="LL5">
        <v>45215400</v>
      </c>
      <c r="LM5">
        <v>21445200</v>
      </c>
      <c r="LN5" t="s">
        <v>5821</v>
      </c>
      <c r="LS5" t="str">
        <f>_xll.BDS("ISIL US Equity","SUPPLY_CHAIN_SUPPLIERS_ALL_DATA","cols=12;rows=1")</f>
        <v>FE US Equity</v>
      </c>
      <c r="LU5">
        <v>-2.4245362661989844E-14</v>
      </c>
      <c r="LV5">
        <v>-2.4245362661989844E-14</v>
      </c>
      <c r="LW5" t="s">
        <v>1745</v>
      </c>
      <c r="LX5">
        <v>2021</v>
      </c>
      <c r="LY5" t="s">
        <v>2288</v>
      </c>
      <c r="LZ5" s="6">
        <v>44693</v>
      </c>
      <c r="MA5">
        <v>1</v>
      </c>
      <c r="MB5">
        <v>-2.4245362661989844E-14</v>
      </c>
      <c r="MC5">
        <v>302916</v>
      </c>
      <c r="MD5" t="s">
        <v>2289</v>
      </c>
      <c r="MG5" t="str">
        <f>_xll.BDS("ISIL US Equity","SUPPLY_CHAIN_CUSTOMERS_ALL_DATA")</f>
        <v>#N/A N/A</v>
      </c>
      <c r="MW5" t="str">
        <f>_xll.BDS("PRGNQ US Equity","SUPPLY_CHAIN_SUPPLIERS_ALL_DATA")</f>
        <v>#N/A N/A</v>
      </c>
      <c r="NK5" t="str">
        <f>_xll.BDS("PRGNQ US Equity","SUPPLY_CHAIN_CUSTOMERS_ALL_DATA")</f>
        <v>#N/A N/A</v>
      </c>
      <c r="OA5" t="str">
        <f>_xll.BDS("BRK/A US Equity","SUPPLY_CHAIN_SUPPLIERS_ALL_DATA","cols=12;rows=5")</f>
        <v>HSY US Equity</v>
      </c>
      <c r="OB5" t="s">
        <v>1786</v>
      </c>
      <c r="OC5">
        <v>27</v>
      </c>
      <c r="OD5">
        <v>1.2151259999999999</v>
      </c>
      <c r="OE5" t="s">
        <v>1745</v>
      </c>
      <c r="OF5">
        <v>2025</v>
      </c>
      <c r="OG5" t="s">
        <v>3041</v>
      </c>
      <c r="OH5" s="6">
        <v>46070</v>
      </c>
      <c r="OI5">
        <v>5</v>
      </c>
      <c r="OJ5">
        <v>789248896</v>
      </c>
      <c r="OK5">
        <v>100731</v>
      </c>
      <c r="OL5" t="s">
        <v>3042</v>
      </c>
      <c r="OO5" t="str">
        <f>_xll.BDS("BRK/A US Equity","SUPPLY_CHAIN_CUSTOMERS_ALL_DATA","cols=12;rows=5")</f>
        <v>WMT US Equity</v>
      </c>
      <c r="OP5">
        <v>2.1167449999999999</v>
      </c>
      <c r="OQ5" t="s">
        <v>1786</v>
      </c>
      <c r="OR5">
        <v>1.7547349999999999</v>
      </c>
      <c r="OS5" t="s">
        <v>1745</v>
      </c>
      <c r="OT5">
        <v>2024</v>
      </c>
      <c r="OU5" t="s">
        <v>3646</v>
      </c>
      <c r="OV5" s="6">
        <v>45712</v>
      </c>
      <c r="OW5">
        <v>5</v>
      </c>
      <c r="OX5">
        <v>2244977664</v>
      </c>
      <c r="OY5">
        <v>101616</v>
      </c>
      <c r="OZ5" t="s">
        <v>2098</v>
      </c>
      <c r="PE5" t="str">
        <f>_xll.BDS("2491Q US Equity","SUPPLY_CHAIN_SUPPLIERS_ALL_DATA")</f>
        <v>#N/A N/A</v>
      </c>
      <c r="PS5" t="str">
        <f>_xll.BDS("2491Q US Equity","SUPPLY_CHAIN_CUSTOMERS_ALL_DATA")</f>
        <v>#N/A N/A</v>
      </c>
      <c r="QI5" t="str">
        <f>_xll.BDS("1731877D US Equity","SUPPLY_CHAIN_SUPPLIERS_ALL_DATA","cols=12;rows=1")</f>
        <v>FE US Equity</v>
      </c>
      <c r="QK5">
        <v>-2.4245362661989844E-14</v>
      </c>
      <c r="QL5">
        <v>-2.4245362661989844E-14</v>
      </c>
      <c r="QM5" t="s">
        <v>1745</v>
      </c>
      <c r="QN5">
        <v>2021</v>
      </c>
      <c r="QO5" t="s">
        <v>2288</v>
      </c>
      <c r="QP5" s="6">
        <v>44693</v>
      </c>
      <c r="QQ5">
        <v>1</v>
      </c>
      <c r="QR5">
        <v>-2.4245362661989844E-14</v>
      </c>
      <c r="QS5">
        <v>302916</v>
      </c>
      <c r="QT5" t="s">
        <v>2289</v>
      </c>
      <c r="QW5" t="str">
        <f>_xll.BDS("1731877D US Equity","SUPPLY_CHAIN_CUSTOMERS_ALL_DATA")</f>
        <v>#N/A N/A</v>
      </c>
      <c r="RM5" t="str">
        <f>_xll.BDS("2150994D US Equity","SUPPLY_CHAIN_SUPPLIERS_ALL_DATA","cols=12;rows=5")</f>
        <v>002222 CH Equity</v>
      </c>
      <c r="RO5">
        <v>-2.4245362661989844E-14</v>
      </c>
      <c r="RP5">
        <v>-2.4245362661989844E-14</v>
      </c>
      <c r="RQ5" t="s">
        <v>1745</v>
      </c>
      <c r="RR5">
        <v>2021</v>
      </c>
      <c r="RS5" t="s">
        <v>3444</v>
      </c>
      <c r="RT5" s="6">
        <v>44673</v>
      </c>
      <c r="RU5">
        <v>5</v>
      </c>
      <c r="RV5">
        <v>-2.4245362661989844E-14</v>
      </c>
      <c r="RW5">
        <v>14058192</v>
      </c>
      <c r="RX5" t="s">
        <v>3445</v>
      </c>
      <c r="SA5" t="str">
        <f>_xll.BDS("2150994D US Equity","SUPPLY_CHAIN_CUSTOMERS_ALL_DATA","cols=12;rows=2")</f>
        <v>INFN US Equity</v>
      </c>
      <c r="SB5">
        <v>-2.4245362661989844E-14</v>
      </c>
      <c r="SD5">
        <v>-2.4245362661989844E-14</v>
      </c>
      <c r="SE5" t="s">
        <v>1809</v>
      </c>
      <c r="SF5">
        <v>2022</v>
      </c>
      <c r="SG5" t="s">
        <v>4881</v>
      </c>
      <c r="SH5" s="6">
        <v>44685</v>
      </c>
      <c r="SI5">
        <v>2</v>
      </c>
      <c r="SJ5">
        <v>-2.4245362661989844E-14</v>
      </c>
      <c r="SK5">
        <v>10092517</v>
      </c>
      <c r="SL5" t="s">
        <v>4765</v>
      </c>
      <c r="SQ5" t="str">
        <f>_xll.BDS("TLAB US Equity","SUPPLY_CHAIN_SUPPLIERS_ALL_DATA")</f>
        <v>#N/A N/A</v>
      </c>
      <c r="TE5" t="str">
        <f>_xll.BDS("TLAB US Equity","SUPPLY_CHAIN_CUSTOMERS_ALL_DATA")</f>
        <v>#N/A N/A</v>
      </c>
      <c r="TU5" t="str">
        <f>_xll.BDS("2619871D US Equity","SUPPLY_CHAIN_SUPPLIERS_ALL_DATA","cols=12;rows=5")</f>
        <v>301501 CH Equity</v>
      </c>
      <c r="TW5">
        <v>4.95</v>
      </c>
      <c r="TX5">
        <v>-2.4245362661989844E-14</v>
      </c>
      <c r="TY5" t="s">
        <v>1805</v>
      </c>
      <c r="TZ5">
        <v>2024</v>
      </c>
      <c r="UA5" t="s">
        <v>4398</v>
      </c>
      <c r="UB5" s="6">
        <v>45715</v>
      </c>
      <c r="UC5">
        <v>5</v>
      </c>
      <c r="UD5">
        <v>2513321.8199999998</v>
      </c>
      <c r="UE5">
        <v>70150054</v>
      </c>
      <c r="UF5" t="s">
        <v>4399</v>
      </c>
      <c r="UI5" t="str">
        <f>_xll.BDS("2619871D US Equity","SUPPLY_CHAIN_CUSTOMERS_ALL_DATA","cols=12;rows=5")</f>
        <v>002980 CH Equity</v>
      </c>
      <c r="UJ5">
        <v>-2.4245362661989844E-14</v>
      </c>
      <c r="UL5">
        <v>-2.4245362661989844E-14</v>
      </c>
      <c r="UM5" t="s">
        <v>1745</v>
      </c>
      <c r="UN5">
        <v>2023</v>
      </c>
      <c r="UO5" t="s">
        <v>6433</v>
      </c>
      <c r="UP5" s="6">
        <v>45401</v>
      </c>
      <c r="UQ5">
        <v>5</v>
      </c>
      <c r="UR5">
        <v>-2.4245362661989844E-14</v>
      </c>
      <c r="US5">
        <v>21759213</v>
      </c>
      <c r="UT5" t="s">
        <v>6434</v>
      </c>
      <c r="UY5" t="str">
        <f>_xll.BDS("RFMD US Equity","SUPPLY_CHAIN_SUPPLIERS_ALL_DATA")</f>
        <v>#N/A N/A</v>
      </c>
      <c r="VM5" t="str">
        <f>_xll.BDS("RFMD US Equity","SUPPLY_CHAIN_CUSTOMERS_ALL_DATA")</f>
        <v>#N/A N/A</v>
      </c>
    </row>
    <row r="6" spans="1:600" x14ac:dyDescent="0.25">
      <c r="AE6" t="s">
        <v>5278</v>
      </c>
      <c r="AF6" t="s">
        <v>1786</v>
      </c>
      <c r="AG6">
        <v>1.073509</v>
      </c>
      <c r="AH6">
        <v>1.223395</v>
      </c>
      <c r="AI6" t="s">
        <v>1762</v>
      </c>
      <c r="AJ6">
        <v>2025</v>
      </c>
      <c r="AK6" t="s">
        <v>5279</v>
      </c>
      <c r="AL6" s="6">
        <v>45959</v>
      </c>
      <c r="AM6">
        <v>5</v>
      </c>
      <c r="AN6">
        <v>36821796.350000001</v>
      </c>
      <c r="AO6">
        <v>113332</v>
      </c>
      <c r="AP6" t="s">
        <v>5280</v>
      </c>
      <c r="AS6" t="s">
        <v>2147</v>
      </c>
      <c r="AT6">
        <v>27</v>
      </c>
      <c r="AU6" t="s">
        <v>1786</v>
      </c>
      <c r="AV6">
        <v>3.1622810000000001</v>
      </c>
      <c r="AW6" t="s">
        <v>1745</v>
      </c>
      <c r="AX6">
        <v>2025</v>
      </c>
      <c r="AY6" t="s">
        <v>5214</v>
      </c>
      <c r="AZ6" s="6">
        <v>46066</v>
      </c>
      <c r="BA6">
        <v>5</v>
      </c>
      <c r="BB6">
        <v>2480692480</v>
      </c>
      <c r="BC6">
        <v>156969</v>
      </c>
      <c r="BD6" t="s">
        <v>2148</v>
      </c>
      <c r="DA6" t="s">
        <v>4738</v>
      </c>
      <c r="DB6">
        <v>-2.4245362661989844E-14</v>
      </c>
      <c r="DD6">
        <v>-2.4245362661989844E-14</v>
      </c>
      <c r="DE6" t="s">
        <v>1745</v>
      </c>
      <c r="DF6">
        <v>2024</v>
      </c>
      <c r="DG6" t="s">
        <v>6445</v>
      </c>
      <c r="DH6" s="6">
        <v>45747</v>
      </c>
      <c r="DI6">
        <v>3</v>
      </c>
      <c r="DJ6">
        <v>-2.4245362661989844E-14</v>
      </c>
      <c r="DK6">
        <v>23756399</v>
      </c>
      <c r="DL6" t="s">
        <v>4739</v>
      </c>
      <c r="DQ6" t="s">
        <v>3169</v>
      </c>
      <c r="DS6">
        <v>-2.4245362661989844E-14</v>
      </c>
      <c r="DT6">
        <v>-2.4245362661989844E-14</v>
      </c>
      <c r="DU6" t="s">
        <v>1745</v>
      </c>
      <c r="DV6">
        <v>2022</v>
      </c>
      <c r="DW6" t="s">
        <v>3170</v>
      </c>
      <c r="DX6" s="6">
        <v>45006</v>
      </c>
      <c r="DY6">
        <v>5</v>
      </c>
      <c r="DZ6">
        <v>-2.4245362661989844E-14</v>
      </c>
      <c r="EA6">
        <v>7595232</v>
      </c>
      <c r="EB6" t="s">
        <v>3171</v>
      </c>
      <c r="EE6" t="s">
        <v>1789</v>
      </c>
      <c r="EF6">
        <v>6.3256480000000002</v>
      </c>
      <c r="EG6" t="s">
        <v>1786</v>
      </c>
      <c r="EH6">
        <v>0.13467499999999999</v>
      </c>
      <c r="EI6" t="s">
        <v>1742</v>
      </c>
      <c r="EJ6">
        <v>2025</v>
      </c>
      <c r="EK6" t="s">
        <v>3142</v>
      </c>
      <c r="EL6" s="6">
        <v>45996</v>
      </c>
      <c r="EM6">
        <v>5</v>
      </c>
      <c r="EN6">
        <v>51054304</v>
      </c>
      <c r="EO6">
        <v>117929</v>
      </c>
      <c r="EP6" t="s">
        <v>1791</v>
      </c>
      <c r="EU6" t="s">
        <v>34</v>
      </c>
      <c r="EV6" t="s">
        <v>1786</v>
      </c>
      <c r="EW6">
        <v>0.45644699999999999</v>
      </c>
      <c r="EX6">
        <v>0.26349899999999998</v>
      </c>
      <c r="EY6" t="s">
        <v>1845</v>
      </c>
      <c r="EZ6">
        <v>2025</v>
      </c>
      <c r="FA6" t="s">
        <v>1883</v>
      </c>
      <c r="FB6" s="6">
        <v>45848</v>
      </c>
      <c r="FC6">
        <v>5</v>
      </c>
      <c r="FD6">
        <v>72588768</v>
      </c>
      <c r="FE6">
        <v>101752</v>
      </c>
      <c r="FF6" t="s">
        <v>2723</v>
      </c>
      <c r="FI6" t="s">
        <v>4732</v>
      </c>
      <c r="FJ6">
        <v>-2.4245362661989844E-14</v>
      </c>
      <c r="FL6">
        <v>-2.4245362661989844E-14</v>
      </c>
      <c r="FM6" t="s">
        <v>1745</v>
      </c>
      <c r="FN6">
        <v>2025</v>
      </c>
      <c r="FO6" t="s">
        <v>6284</v>
      </c>
      <c r="FP6" s="6">
        <v>45834</v>
      </c>
      <c r="FQ6">
        <v>5</v>
      </c>
      <c r="FR6">
        <v>-2.4245362661989844E-14</v>
      </c>
      <c r="FS6">
        <v>108241</v>
      </c>
      <c r="FT6" t="s">
        <v>4734</v>
      </c>
      <c r="JK6" t="s">
        <v>3067</v>
      </c>
      <c r="JL6" t="s">
        <v>1786</v>
      </c>
      <c r="JM6">
        <v>0.60310900000000001</v>
      </c>
      <c r="JN6">
        <v>1.2434970000000001</v>
      </c>
      <c r="JO6" t="s">
        <v>1742</v>
      </c>
      <c r="JP6">
        <v>2025</v>
      </c>
      <c r="JQ6" t="s">
        <v>3068</v>
      </c>
      <c r="JR6" s="6">
        <v>46035</v>
      </c>
      <c r="JS6">
        <v>5</v>
      </c>
      <c r="JT6">
        <v>11983583</v>
      </c>
      <c r="JU6">
        <v>302680</v>
      </c>
      <c r="JV6" t="s">
        <v>3069</v>
      </c>
      <c r="JY6" t="s">
        <v>1814</v>
      </c>
      <c r="JZ6">
        <v>9.0821310000000004</v>
      </c>
      <c r="KA6" t="s">
        <v>1786</v>
      </c>
      <c r="KB6">
        <v>1.98163</v>
      </c>
      <c r="KC6" t="s">
        <v>1762</v>
      </c>
      <c r="KD6">
        <v>2025</v>
      </c>
      <c r="KE6" t="s">
        <v>5976</v>
      </c>
      <c r="KF6" s="6">
        <v>45943</v>
      </c>
      <c r="KG6">
        <v>5</v>
      </c>
      <c r="KH6">
        <v>133389256</v>
      </c>
      <c r="KI6">
        <v>100115</v>
      </c>
      <c r="KJ6" t="s">
        <v>1816</v>
      </c>
      <c r="KO6" t="s">
        <v>4381</v>
      </c>
      <c r="KQ6">
        <v>-2.4245362661989844E-14</v>
      </c>
      <c r="KR6">
        <v>-2.4245362661989844E-14</v>
      </c>
      <c r="KS6" t="s">
        <v>1745</v>
      </c>
      <c r="KT6">
        <v>2025</v>
      </c>
      <c r="KU6" t="s">
        <v>4382</v>
      </c>
      <c r="KV6" s="6">
        <v>45771</v>
      </c>
      <c r="KW6">
        <v>2</v>
      </c>
      <c r="KX6">
        <v>-2.4245362661989844E-14</v>
      </c>
      <c r="KY6">
        <v>1417974</v>
      </c>
      <c r="KZ6" t="s">
        <v>4383</v>
      </c>
      <c r="LC6" t="s">
        <v>5432</v>
      </c>
      <c r="LD6">
        <v>2.6789860000000001</v>
      </c>
      <c r="LE6" t="s">
        <v>1769</v>
      </c>
      <c r="LF6">
        <v>0.18566099999999999</v>
      </c>
      <c r="LG6" t="s">
        <v>1745</v>
      </c>
      <c r="LH6">
        <v>2024</v>
      </c>
      <c r="LI6" t="s">
        <v>5820</v>
      </c>
      <c r="LJ6" s="6">
        <v>45692</v>
      </c>
      <c r="LK6">
        <v>5</v>
      </c>
      <c r="LL6">
        <v>18086160</v>
      </c>
      <c r="LM6">
        <v>1081218</v>
      </c>
      <c r="LN6" t="s">
        <v>5434</v>
      </c>
      <c r="OA6" t="s">
        <v>317</v>
      </c>
      <c r="OB6" t="s">
        <v>1820</v>
      </c>
      <c r="OC6">
        <v>6.6028770000000003</v>
      </c>
      <c r="OD6">
        <v>5.0506979999999997</v>
      </c>
      <c r="OE6" t="s">
        <v>1762</v>
      </c>
      <c r="OF6">
        <v>2025</v>
      </c>
      <c r="OG6" t="s">
        <v>3043</v>
      </c>
      <c r="OH6" s="6">
        <v>45915</v>
      </c>
      <c r="OI6">
        <v>5</v>
      </c>
      <c r="OJ6">
        <v>245362912</v>
      </c>
      <c r="OK6">
        <v>101464</v>
      </c>
      <c r="OL6" t="s">
        <v>3044</v>
      </c>
      <c r="OO6" t="s">
        <v>2969</v>
      </c>
      <c r="OP6">
        <v>1.615089</v>
      </c>
      <c r="OQ6" t="s">
        <v>1786</v>
      </c>
      <c r="OR6">
        <v>12.136977999999999</v>
      </c>
      <c r="OS6" t="s">
        <v>1745</v>
      </c>
      <c r="OT6">
        <v>2024</v>
      </c>
      <c r="OU6" t="s">
        <v>3646</v>
      </c>
      <c r="OV6" s="6">
        <v>45712</v>
      </c>
      <c r="OW6">
        <v>5</v>
      </c>
      <c r="OX6">
        <v>1712931072</v>
      </c>
      <c r="OY6">
        <v>9917432</v>
      </c>
      <c r="OZ6" t="s">
        <v>2971</v>
      </c>
      <c r="RM6" t="s">
        <v>5231</v>
      </c>
      <c r="RO6">
        <v>-2.4245362661989844E-14</v>
      </c>
      <c r="RP6">
        <v>-2.4245362661989844E-14</v>
      </c>
      <c r="RQ6" t="s">
        <v>1745</v>
      </c>
      <c r="RR6">
        <v>2021</v>
      </c>
      <c r="RS6" t="s">
        <v>5232</v>
      </c>
      <c r="RT6" s="6">
        <v>44637</v>
      </c>
      <c r="RU6">
        <v>5</v>
      </c>
      <c r="RV6">
        <v>-2.4245362661989844E-14</v>
      </c>
      <c r="RW6">
        <v>22889527</v>
      </c>
      <c r="RX6" t="s">
        <v>5233</v>
      </c>
      <c r="SA6" t="s">
        <v>4882</v>
      </c>
      <c r="SB6">
        <v>-2.4245362661989844E-14</v>
      </c>
      <c r="SD6">
        <v>-2.4245362661989844E-14</v>
      </c>
      <c r="SE6" t="s">
        <v>1745</v>
      </c>
      <c r="SF6">
        <v>2021</v>
      </c>
      <c r="SG6" t="s">
        <v>4883</v>
      </c>
      <c r="SH6" s="6">
        <v>44635</v>
      </c>
      <c r="SI6">
        <v>2</v>
      </c>
      <c r="SJ6">
        <v>-2.4245362661989844E-14</v>
      </c>
      <c r="SK6">
        <v>8544584</v>
      </c>
      <c r="SL6" t="s">
        <v>4884</v>
      </c>
      <c r="TU6" t="s">
        <v>4400</v>
      </c>
      <c r="TW6">
        <v>1.1008659999999999</v>
      </c>
      <c r="TX6">
        <v>-2.4245362661989844E-14</v>
      </c>
      <c r="TY6" t="s">
        <v>1745</v>
      </c>
      <c r="TZ6">
        <v>2024</v>
      </c>
      <c r="UA6" t="s">
        <v>4401</v>
      </c>
      <c r="UB6" s="6">
        <v>45706</v>
      </c>
      <c r="UC6">
        <v>5</v>
      </c>
      <c r="UD6">
        <v>2490432.91</v>
      </c>
      <c r="UE6">
        <v>129697</v>
      </c>
      <c r="UF6" t="s">
        <v>4402</v>
      </c>
      <c r="UI6" t="s">
        <v>6435</v>
      </c>
      <c r="UJ6">
        <v>-2.4245362661989844E-14</v>
      </c>
      <c r="UL6">
        <v>-2.4245362661989844E-14</v>
      </c>
      <c r="UM6" t="s">
        <v>1745</v>
      </c>
      <c r="UN6">
        <v>2025</v>
      </c>
      <c r="UO6" t="s">
        <v>6436</v>
      </c>
      <c r="UP6" s="6">
        <v>45748</v>
      </c>
      <c r="UQ6">
        <v>5</v>
      </c>
      <c r="UR6">
        <v>-2.4245362661989844E-14</v>
      </c>
      <c r="US6">
        <v>69611723</v>
      </c>
      <c r="UT6" t="s">
        <v>6437</v>
      </c>
    </row>
    <row r="7" spans="1:600" x14ac:dyDescent="0.25">
      <c r="AE7" t="s">
        <v>5281</v>
      </c>
      <c r="AF7" t="s">
        <v>1786</v>
      </c>
      <c r="AG7">
        <v>2.3738000000000001</v>
      </c>
      <c r="AH7">
        <v>0.71700799999999998</v>
      </c>
      <c r="AI7" t="s">
        <v>1742</v>
      </c>
      <c r="AJ7">
        <v>2025</v>
      </c>
      <c r="AK7" t="s">
        <v>5282</v>
      </c>
      <c r="AL7" s="6">
        <v>46069</v>
      </c>
      <c r="AM7">
        <v>5</v>
      </c>
      <c r="AN7">
        <v>21422836.649999999</v>
      </c>
      <c r="AO7">
        <v>153809</v>
      </c>
      <c r="AP7" t="s">
        <v>5283</v>
      </c>
      <c r="AS7" t="s">
        <v>236</v>
      </c>
      <c r="AT7">
        <v>16</v>
      </c>
      <c r="AU7" t="s">
        <v>1786</v>
      </c>
      <c r="AV7">
        <v>2.4954839999999998</v>
      </c>
      <c r="AW7" t="s">
        <v>1745</v>
      </c>
      <c r="AX7">
        <v>2025</v>
      </c>
      <c r="AY7" t="s">
        <v>5214</v>
      </c>
      <c r="AZ7" s="6">
        <v>46066</v>
      </c>
      <c r="BA7">
        <v>5</v>
      </c>
      <c r="BB7">
        <v>1470040064</v>
      </c>
      <c r="BC7">
        <v>102782</v>
      </c>
      <c r="BD7" t="s">
        <v>2149</v>
      </c>
      <c r="DA7" t="s">
        <v>2869</v>
      </c>
      <c r="DB7">
        <v>-2.4245362661989844E-14</v>
      </c>
      <c r="DD7">
        <v>-2.4245362661989844E-14</v>
      </c>
      <c r="DE7" t="s">
        <v>1745</v>
      </c>
      <c r="DF7">
        <v>2023</v>
      </c>
      <c r="DG7" t="s">
        <v>6446</v>
      </c>
      <c r="DH7" s="6">
        <v>45383</v>
      </c>
      <c r="DI7">
        <v>3</v>
      </c>
      <c r="DJ7">
        <v>-2.4245362661989844E-14</v>
      </c>
      <c r="DK7">
        <v>13041324</v>
      </c>
      <c r="DL7" t="s">
        <v>2871</v>
      </c>
      <c r="DQ7" t="s">
        <v>3172</v>
      </c>
      <c r="DS7">
        <v>-2.4245362661989844E-14</v>
      </c>
      <c r="DT7">
        <v>-2.4245362661989844E-14</v>
      </c>
      <c r="DU7" t="s">
        <v>1745</v>
      </c>
      <c r="DV7">
        <v>2023</v>
      </c>
      <c r="DW7" t="s">
        <v>3173</v>
      </c>
      <c r="DX7" s="6">
        <v>45020</v>
      </c>
      <c r="DY7">
        <v>5</v>
      </c>
      <c r="DZ7">
        <v>-2.4245362661989844E-14</v>
      </c>
      <c r="EA7">
        <v>70553029</v>
      </c>
      <c r="EB7" t="s">
        <v>3174</v>
      </c>
      <c r="EE7" t="s">
        <v>3002</v>
      </c>
      <c r="EF7">
        <v>4.1531789999999997</v>
      </c>
      <c r="EG7" t="s">
        <v>1786</v>
      </c>
      <c r="EH7">
        <v>0.78904099999999999</v>
      </c>
      <c r="EI7" t="s">
        <v>1742</v>
      </c>
      <c r="EJ7">
        <v>2025</v>
      </c>
      <c r="EK7" t="s">
        <v>3142</v>
      </c>
      <c r="EL7" s="6">
        <v>45996</v>
      </c>
      <c r="EM7">
        <v>5</v>
      </c>
      <c r="EN7">
        <v>33520308</v>
      </c>
      <c r="EO7">
        <v>163205</v>
      </c>
      <c r="EP7" t="s">
        <v>3004</v>
      </c>
      <c r="EU7" t="s">
        <v>2864</v>
      </c>
      <c r="EV7" t="s">
        <v>1786</v>
      </c>
      <c r="EW7">
        <v>4.1193600000000004</v>
      </c>
      <c r="EX7">
        <v>0.25783</v>
      </c>
      <c r="EY7" t="s">
        <v>1809</v>
      </c>
      <c r="EZ7">
        <v>2025</v>
      </c>
      <c r="FA7" t="s">
        <v>2865</v>
      </c>
      <c r="FB7" s="6">
        <v>45863</v>
      </c>
      <c r="FC7">
        <v>5</v>
      </c>
      <c r="FD7">
        <v>67891664</v>
      </c>
      <c r="FE7">
        <v>10832677</v>
      </c>
      <c r="FF7" t="s">
        <v>2866</v>
      </c>
      <c r="FI7" t="s">
        <v>6285</v>
      </c>
      <c r="FJ7">
        <v>-2.4245362661989844E-14</v>
      </c>
      <c r="FL7">
        <v>-2.4245362661989844E-14</v>
      </c>
      <c r="FM7" t="s">
        <v>1809</v>
      </c>
      <c r="FN7">
        <v>2024</v>
      </c>
      <c r="FO7" t="s">
        <v>6286</v>
      </c>
      <c r="FP7" s="6">
        <v>45413</v>
      </c>
      <c r="FQ7">
        <v>5</v>
      </c>
      <c r="FR7">
        <v>-2.4245362661989844E-14</v>
      </c>
      <c r="FS7">
        <v>11391268</v>
      </c>
      <c r="FT7" t="s">
        <v>6287</v>
      </c>
      <c r="JK7" t="s">
        <v>3070</v>
      </c>
      <c r="JL7" t="s">
        <v>1786</v>
      </c>
      <c r="JM7">
        <v>0.11007599999999999</v>
      </c>
      <c r="JN7">
        <v>0.50764399999999998</v>
      </c>
      <c r="JO7" t="s">
        <v>1762</v>
      </c>
      <c r="JP7">
        <v>2026</v>
      </c>
      <c r="JQ7" t="s">
        <v>3071</v>
      </c>
      <c r="JR7" s="6">
        <v>45999</v>
      </c>
      <c r="JS7">
        <v>5</v>
      </c>
      <c r="JT7">
        <v>4898794.78</v>
      </c>
      <c r="JU7">
        <v>114713</v>
      </c>
      <c r="JV7" t="s">
        <v>3072</v>
      </c>
      <c r="JY7" t="s">
        <v>840</v>
      </c>
      <c r="JZ7">
        <v>6.7787360000000003</v>
      </c>
      <c r="KA7" t="s">
        <v>1786</v>
      </c>
      <c r="KB7">
        <v>1.98163</v>
      </c>
      <c r="KC7" t="s">
        <v>1762</v>
      </c>
      <c r="KD7">
        <v>2025</v>
      </c>
      <c r="KE7" t="s">
        <v>5976</v>
      </c>
      <c r="KF7" s="6">
        <v>45943</v>
      </c>
      <c r="KG7">
        <v>5</v>
      </c>
      <c r="KH7">
        <v>99559296</v>
      </c>
      <c r="KI7">
        <v>100142</v>
      </c>
      <c r="KJ7" t="s">
        <v>2200</v>
      </c>
      <c r="LC7" t="s">
        <v>115</v>
      </c>
      <c r="LD7">
        <v>1.150015</v>
      </c>
      <c r="LE7" t="s">
        <v>1769</v>
      </c>
      <c r="LF7">
        <v>0.39580700000000002</v>
      </c>
      <c r="LG7" t="s">
        <v>1845</v>
      </c>
      <c r="LH7">
        <v>2024</v>
      </c>
      <c r="LI7" t="s">
        <v>5822</v>
      </c>
      <c r="LJ7" s="6">
        <v>45691</v>
      </c>
      <c r="LK7">
        <v>5</v>
      </c>
      <c r="LL7">
        <v>8026965</v>
      </c>
      <c r="LM7">
        <v>154936</v>
      </c>
      <c r="LN7" t="s">
        <v>2146</v>
      </c>
      <c r="OA7" t="s">
        <v>3045</v>
      </c>
      <c r="OB7" t="s">
        <v>1786</v>
      </c>
      <c r="OC7">
        <v>18</v>
      </c>
      <c r="OD7">
        <v>0.28558099999999997</v>
      </c>
      <c r="OE7" t="s">
        <v>1745</v>
      </c>
      <c r="OF7">
        <v>2025</v>
      </c>
      <c r="OG7" t="s">
        <v>3046</v>
      </c>
      <c r="OH7" s="6">
        <v>46079</v>
      </c>
      <c r="OI7">
        <v>5</v>
      </c>
      <c r="OJ7">
        <v>185490768</v>
      </c>
      <c r="OK7">
        <v>103442</v>
      </c>
      <c r="OL7" t="s">
        <v>3047</v>
      </c>
      <c r="OO7" t="s">
        <v>1706</v>
      </c>
      <c r="OP7">
        <v>1.5294399999999999</v>
      </c>
      <c r="OR7">
        <v>-2.4245362661989844E-14</v>
      </c>
      <c r="OS7" t="s">
        <v>1745</v>
      </c>
      <c r="OT7">
        <v>2024</v>
      </c>
      <c r="OU7" t="s">
        <v>3646</v>
      </c>
      <c r="OV7" s="6">
        <v>45712</v>
      </c>
      <c r="OW7">
        <v>5</v>
      </c>
      <c r="OX7">
        <v>1622093696</v>
      </c>
      <c r="OY7">
        <v>302359</v>
      </c>
      <c r="OZ7" t="s">
        <v>3647</v>
      </c>
      <c r="RM7" t="s">
        <v>5234</v>
      </c>
      <c r="RO7">
        <v>-2.4245362661989844E-14</v>
      </c>
      <c r="RP7">
        <v>-2.4245362661989844E-14</v>
      </c>
      <c r="RQ7" t="s">
        <v>2435</v>
      </c>
      <c r="RR7">
        <v>2022</v>
      </c>
      <c r="RS7" t="s">
        <v>5235</v>
      </c>
      <c r="RT7" s="6">
        <v>44697</v>
      </c>
      <c r="RU7">
        <v>5</v>
      </c>
      <c r="RV7">
        <v>-2.4245362661989844E-14</v>
      </c>
      <c r="RW7">
        <v>41242871</v>
      </c>
      <c r="RX7" t="s">
        <v>5236</v>
      </c>
      <c r="TU7" t="s">
        <v>4403</v>
      </c>
      <c r="TW7">
        <v>1.3</v>
      </c>
      <c r="TX7">
        <v>-2.4245362661989844E-14</v>
      </c>
      <c r="TY7" t="s">
        <v>1745</v>
      </c>
      <c r="TZ7">
        <v>2024</v>
      </c>
      <c r="UA7" t="s">
        <v>4404</v>
      </c>
      <c r="UB7" s="6">
        <v>45700</v>
      </c>
      <c r="UC7">
        <v>5</v>
      </c>
      <c r="UD7">
        <v>2178915.9</v>
      </c>
      <c r="UE7">
        <v>310269</v>
      </c>
      <c r="UF7" t="s">
        <v>4405</v>
      </c>
      <c r="UI7" t="s">
        <v>6438</v>
      </c>
      <c r="UJ7">
        <v>-2.4245362661989844E-14</v>
      </c>
      <c r="UL7">
        <v>-2.4245362661989844E-14</v>
      </c>
      <c r="UM7" t="s">
        <v>1809</v>
      </c>
      <c r="UN7">
        <v>2025</v>
      </c>
      <c r="UO7" t="s">
        <v>6439</v>
      </c>
      <c r="UP7" s="6">
        <v>45824</v>
      </c>
      <c r="UQ7">
        <v>5</v>
      </c>
      <c r="UR7">
        <v>-2.4245362661989844E-14</v>
      </c>
      <c r="US7">
        <v>47184386</v>
      </c>
      <c r="UT7" t="s">
        <v>6440</v>
      </c>
    </row>
    <row r="8" spans="1:600" x14ac:dyDescent="0.25">
      <c r="AE8" t="s">
        <v>306</v>
      </c>
      <c r="AF8" t="s">
        <v>2416</v>
      </c>
      <c r="AG8">
        <v>1.459176</v>
      </c>
      <c r="AH8">
        <v>0.86356999999999995</v>
      </c>
      <c r="AI8" t="s">
        <v>1762</v>
      </c>
      <c r="AJ8">
        <v>2025</v>
      </c>
      <c r="AK8" t="s">
        <v>2880</v>
      </c>
      <c r="AL8" s="6">
        <v>45921</v>
      </c>
      <c r="AM8">
        <v>5</v>
      </c>
      <c r="AN8">
        <v>15060666</v>
      </c>
      <c r="AO8">
        <v>963610</v>
      </c>
      <c r="AP8" t="s">
        <v>2881</v>
      </c>
      <c r="AS8" t="s">
        <v>2502</v>
      </c>
      <c r="AT8">
        <v>3.6153759999999999</v>
      </c>
      <c r="AU8" t="s">
        <v>1786</v>
      </c>
      <c r="AV8">
        <v>0.54387399999999997</v>
      </c>
      <c r="AW8" t="s">
        <v>1762</v>
      </c>
      <c r="AX8">
        <v>2025</v>
      </c>
      <c r="AY8" t="s">
        <v>5215</v>
      </c>
      <c r="AZ8" s="6">
        <v>45929</v>
      </c>
      <c r="BA8">
        <v>5</v>
      </c>
      <c r="BB8">
        <v>331855360</v>
      </c>
      <c r="BC8">
        <v>60401289</v>
      </c>
      <c r="BD8" t="s">
        <v>2503</v>
      </c>
      <c r="DQ8" t="s">
        <v>3175</v>
      </c>
      <c r="DS8">
        <v>-2.4245362661989844E-14</v>
      </c>
      <c r="DT8">
        <v>-2.4245362661989844E-14</v>
      </c>
      <c r="DU8" t="s">
        <v>1805</v>
      </c>
      <c r="DV8">
        <v>2025</v>
      </c>
      <c r="DW8" t="s">
        <v>3176</v>
      </c>
      <c r="DX8" s="6">
        <v>45856</v>
      </c>
      <c r="DY8">
        <v>5</v>
      </c>
      <c r="DZ8">
        <v>-2.4245362661989844E-14</v>
      </c>
      <c r="EA8">
        <v>20507888</v>
      </c>
      <c r="EB8" t="s">
        <v>3177</v>
      </c>
      <c r="EE8" t="s">
        <v>117</v>
      </c>
      <c r="EF8">
        <v>3.4559039999999999</v>
      </c>
      <c r="EG8" t="s">
        <v>1786</v>
      </c>
      <c r="EH8">
        <v>0.78904099999999999</v>
      </c>
      <c r="EI8" t="s">
        <v>1742</v>
      </c>
      <c r="EJ8">
        <v>2025</v>
      </c>
      <c r="EK8" t="s">
        <v>3142</v>
      </c>
      <c r="EL8" s="6">
        <v>45996</v>
      </c>
      <c r="EM8">
        <v>5</v>
      </c>
      <c r="EN8">
        <v>27892600</v>
      </c>
      <c r="EO8">
        <v>102032</v>
      </c>
      <c r="EP8" t="s">
        <v>3009</v>
      </c>
      <c r="EU8" t="s">
        <v>1346</v>
      </c>
      <c r="EV8" t="s">
        <v>1786</v>
      </c>
      <c r="EW8">
        <v>0.45408300000000001</v>
      </c>
      <c r="EX8">
        <v>0.17851500000000001</v>
      </c>
      <c r="EY8" t="s">
        <v>1762</v>
      </c>
      <c r="EZ8">
        <v>2025</v>
      </c>
      <c r="FA8" t="s">
        <v>2368</v>
      </c>
      <c r="FB8" s="6">
        <v>45898</v>
      </c>
      <c r="FC8">
        <v>5</v>
      </c>
      <c r="FD8">
        <v>47006672</v>
      </c>
      <c r="FE8">
        <v>100043</v>
      </c>
      <c r="FF8" t="s">
        <v>3434</v>
      </c>
      <c r="FI8" t="s">
        <v>4735</v>
      </c>
      <c r="FJ8">
        <v>-2.4245362661989844E-14</v>
      </c>
      <c r="FL8">
        <v>-2.4245362661989844E-14</v>
      </c>
      <c r="FM8" t="s">
        <v>1745</v>
      </c>
      <c r="FN8">
        <v>2024</v>
      </c>
      <c r="FO8" t="s">
        <v>6288</v>
      </c>
      <c r="FP8" s="6">
        <v>45715</v>
      </c>
      <c r="FQ8">
        <v>5</v>
      </c>
      <c r="FR8">
        <v>-2.4245362661989844E-14</v>
      </c>
      <c r="FS8">
        <v>30541166</v>
      </c>
      <c r="FT8" t="s">
        <v>4737</v>
      </c>
      <c r="JK8" t="s">
        <v>3073</v>
      </c>
      <c r="JL8" t="s">
        <v>1786</v>
      </c>
      <c r="JM8">
        <v>0.88656199999999996</v>
      </c>
      <c r="JN8">
        <v>0.361396</v>
      </c>
      <c r="JO8" t="s">
        <v>1845</v>
      </c>
      <c r="JP8">
        <v>2024</v>
      </c>
      <c r="JQ8" t="s">
        <v>3074</v>
      </c>
      <c r="JR8" s="6">
        <v>45729</v>
      </c>
      <c r="JS8">
        <v>5</v>
      </c>
      <c r="JT8">
        <v>3413042.89</v>
      </c>
      <c r="JU8">
        <v>880428</v>
      </c>
      <c r="JV8" t="s">
        <v>3075</v>
      </c>
      <c r="JY8" t="s">
        <v>3241</v>
      </c>
      <c r="JZ8">
        <v>4.3691420000000001</v>
      </c>
      <c r="KA8" t="s">
        <v>1786</v>
      </c>
      <c r="KB8">
        <v>0.22909099999999999</v>
      </c>
      <c r="KC8" t="s">
        <v>1762</v>
      </c>
      <c r="KD8">
        <v>2025</v>
      </c>
      <c r="KE8" t="s">
        <v>5976</v>
      </c>
      <c r="KF8" s="6">
        <v>45943</v>
      </c>
      <c r="KG8">
        <v>5</v>
      </c>
      <c r="KH8">
        <v>64169588</v>
      </c>
      <c r="KI8">
        <v>117621</v>
      </c>
      <c r="KJ8" t="s">
        <v>3242</v>
      </c>
      <c r="LC8" t="s">
        <v>5823</v>
      </c>
      <c r="LD8">
        <v>1.0733470000000001</v>
      </c>
      <c r="LF8">
        <v>-2.4245362661989844E-14</v>
      </c>
      <c r="LG8" t="s">
        <v>1845</v>
      </c>
      <c r="LH8">
        <v>2024</v>
      </c>
      <c r="LI8" t="s">
        <v>5822</v>
      </c>
      <c r="LJ8" s="6">
        <v>45691</v>
      </c>
      <c r="LK8">
        <v>5</v>
      </c>
      <c r="LL8">
        <v>7491834</v>
      </c>
      <c r="LM8">
        <v>1067340</v>
      </c>
      <c r="LN8" t="s">
        <v>5824</v>
      </c>
      <c r="OA8" t="s">
        <v>1578</v>
      </c>
      <c r="OB8" t="s">
        <v>1786</v>
      </c>
      <c r="OC8">
        <v>4.630776</v>
      </c>
      <c r="OD8">
        <v>0.19183800000000001</v>
      </c>
      <c r="OE8" t="s">
        <v>1742</v>
      </c>
      <c r="OF8">
        <v>2025</v>
      </c>
      <c r="OG8" t="s">
        <v>3048</v>
      </c>
      <c r="OH8" s="6">
        <v>45952</v>
      </c>
      <c r="OI8">
        <v>5</v>
      </c>
      <c r="OJ8">
        <v>125308800</v>
      </c>
      <c r="OK8">
        <v>171010</v>
      </c>
      <c r="OL8" t="s">
        <v>3049</v>
      </c>
      <c r="OO8" t="s">
        <v>1088</v>
      </c>
      <c r="OP8">
        <v>0.34598400000000001</v>
      </c>
      <c r="OQ8" t="s">
        <v>1786</v>
      </c>
      <c r="OR8">
        <v>1.684086</v>
      </c>
      <c r="OS8" t="s">
        <v>1762</v>
      </c>
      <c r="OT8">
        <v>2025</v>
      </c>
      <c r="OU8" t="s">
        <v>3484</v>
      </c>
      <c r="OV8" s="6">
        <v>45873</v>
      </c>
      <c r="OW8">
        <v>5</v>
      </c>
      <c r="OX8">
        <v>342105216</v>
      </c>
      <c r="OY8">
        <v>100211</v>
      </c>
      <c r="OZ8" t="s">
        <v>1851</v>
      </c>
      <c r="RM8" t="s">
        <v>2484</v>
      </c>
      <c r="RO8">
        <v>-2.4245362661989844E-14</v>
      </c>
      <c r="RP8">
        <v>-2.4245362661989844E-14</v>
      </c>
      <c r="RQ8" t="s">
        <v>1745</v>
      </c>
      <c r="RR8">
        <v>2022</v>
      </c>
      <c r="RS8" t="s">
        <v>2485</v>
      </c>
      <c r="RT8" s="6">
        <v>44693</v>
      </c>
      <c r="RU8">
        <v>5</v>
      </c>
      <c r="RV8">
        <v>-2.4245362661989844E-14</v>
      </c>
      <c r="RW8">
        <v>114991</v>
      </c>
      <c r="RX8" t="s">
        <v>2486</v>
      </c>
      <c r="TU8" t="s">
        <v>1146</v>
      </c>
      <c r="TW8">
        <v>0.41055199999999997</v>
      </c>
      <c r="TX8">
        <v>-2.4245362661989844E-14</v>
      </c>
      <c r="TY8" t="s">
        <v>1745</v>
      </c>
      <c r="TZ8">
        <v>2024</v>
      </c>
      <c r="UA8" t="s">
        <v>3652</v>
      </c>
      <c r="UB8" s="6">
        <v>45695</v>
      </c>
      <c r="UC8">
        <v>5</v>
      </c>
      <c r="UD8">
        <v>2090750</v>
      </c>
      <c r="UE8">
        <v>70771731</v>
      </c>
      <c r="UF8" t="s">
        <v>4406</v>
      </c>
      <c r="UI8" t="s">
        <v>2183</v>
      </c>
      <c r="UJ8">
        <v>-2.4245362661989844E-14</v>
      </c>
      <c r="UL8">
        <v>-2.4245362661989844E-14</v>
      </c>
      <c r="UM8" t="s">
        <v>1742</v>
      </c>
      <c r="UN8">
        <v>2025</v>
      </c>
      <c r="UO8" t="s">
        <v>6441</v>
      </c>
      <c r="UP8" s="6">
        <v>45777</v>
      </c>
      <c r="UQ8">
        <v>5</v>
      </c>
      <c r="UR8">
        <v>-2.4245362661989844E-14</v>
      </c>
      <c r="US8">
        <v>101073</v>
      </c>
      <c r="UT8" t="s">
        <v>2185</v>
      </c>
    </row>
    <row r="9" spans="1:600" x14ac:dyDescent="0.25">
      <c r="AE9" t="s">
        <v>4486</v>
      </c>
      <c r="AF9" t="s">
        <v>1786</v>
      </c>
      <c r="AG9">
        <v>0.27685399999999999</v>
      </c>
      <c r="AH9">
        <v>0.36708800000000003</v>
      </c>
      <c r="AI9" t="s">
        <v>1809</v>
      </c>
      <c r="AJ9">
        <v>2025</v>
      </c>
      <c r="AK9" t="s">
        <v>4487</v>
      </c>
      <c r="AL9" s="6">
        <v>45795</v>
      </c>
      <c r="AM9">
        <v>5</v>
      </c>
      <c r="AN9">
        <v>10895174</v>
      </c>
      <c r="AO9">
        <v>100499</v>
      </c>
      <c r="AP9" t="s">
        <v>4488</v>
      </c>
      <c r="AS9" t="s">
        <v>5216</v>
      </c>
      <c r="AT9">
        <v>0.72379000000000004</v>
      </c>
      <c r="AU9" t="s">
        <v>1786</v>
      </c>
      <c r="AV9">
        <v>38.702872999999997</v>
      </c>
      <c r="AW9" t="s">
        <v>1745</v>
      </c>
      <c r="AX9">
        <v>2025</v>
      </c>
      <c r="AY9" t="s">
        <v>5214</v>
      </c>
      <c r="AZ9" s="6">
        <v>46066</v>
      </c>
      <c r="BA9">
        <v>5</v>
      </c>
      <c r="BB9">
        <v>66500000</v>
      </c>
      <c r="BC9">
        <v>47826561</v>
      </c>
      <c r="BD9" t="s">
        <v>5217</v>
      </c>
      <c r="DQ9" t="s">
        <v>3178</v>
      </c>
      <c r="DS9">
        <v>-2.4245362661989844E-14</v>
      </c>
      <c r="DT9">
        <v>-2.4245362661989844E-14</v>
      </c>
      <c r="DU9" t="s">
        <v>1805</v>
      </c>
      <c r="DV9">
        <v>2024</v>
      </c>
      <c r="DW9" t="s">
        <v>3179</v>
      </c>
      <c r="DX9" s="6">
        <v>45660</v>
      </c>
      <c r="DY9">
        <v>5</v>
      </c>
      <c r="DZ9">
        <v>-2.4245362661989844E-14</v>
      </c>
      <c r="EA9">
        <v>66939206</v>
      </c>
      <c r="EB9" t="s">
        <v>3180</v>
      </c>
      <c r="EE9" t="s">
        <v>168</v>
      </c>
      <c r="EF9">
        <v>2.6170840000000002</v>
      </c>
      <c r="EG9" t="s">
        <v>1786</v>
      </c>
      <c r="EH9">
        <v>0.250415</v>
      </c>
      <c r="EI9" t="s">
        <v>1742</v>
      </c>
      <c r="EJ9">
        <v>2025</v>
      </c>
      <c r="EK9" t="s">
        <v>3142</v>
      </c>
      <c r="EL9" s="6">
        <v>45996</v>
      </c>
      <c r="EM9">
        <v>5</v>
      </c>
      <c r="EN9">
        <v>21122484</v>
      </c>
      <c r="EO9">
        <v>101729</v>
      </c>
      <c r="EP9" t="s">
        <v>2246</v>
      </c>
      <c r="EU9" t="s">
        <v>2826</v>
      </c>
      <c r="EV9" t="s">
        <v>1786</v>
      </c>
      <c r="EW9">
        <v>1.149265</v>
      </c>
      <c r="EX9">
        <v>0.12801899999999999</v>
      </c>
      <c r="EY9" t="s">
        <v>1809</v>
      </c>
      <c r="EZ9">
        <v>2025</v>
      </c>
      <c r="FA9" t="s">
        <v>2827</v>
      </c>
      <c r="FB9" s="6">
        <v>45849</v>
      </c>
      <c r="FC9">
        <v>5</v>
      </c>
      <c r="FD9">
        <v>35266245.240000002</v>
      </c>
      <c r="FE9">
        <v>179551</v>
      </c>
      <c r="FF9" t="s">
        <v>2828</v>
      </c>
      <c r="FI9" t="s">
        <v>1674</v>
      </c>
      <c r="FJ9">
        <v>-2.4245362661989844E-14</v>
      </c>
      <c r="FL9">
        <v>-2.4245362661989844E-14</v>
      </c>
      <c r="FM9" t="s">
        <v>1809</v>
      </c>
      <c r="FN9">
        <v>2024</v>
      </c>
      <c r="FO9" t="s">
        <v>6286</v>
      </c>
      <c r="FP9" s="6">
        <v>45413</v>
      </c>
      <c r="FQ9">
        <v>5</v>
      </c>
      <c r="FR9">
        <v>-2.4245362661989844E-14</v>
      </c>
      <c r="FS9">
        <v>100315</v>
      </c>
      <c r="FT9" t="s">
        <v>5963</v>
      </c>
      <c r="JK9" t="s">
        <v>3010</v>
      </c>
      <c r="JL9" t="s">
        <v>1820</v>
      </c>
      <c r="JM9">
        <v>0.10218000000000001</v>
      </c>
      <c r="JN9">
        <v>4.8755769999999998</v>
      </c>
      <c r="JO9" t="s">
        <v>1762</v>
      </c>
      <c r="JP9">
        <v>2026</v>
      </c>
      <c r="JQ9" t="s">
        <v>3011</v>
      </c>
      <c r="JR9" s="6">
        <v>46063</v>
      </c>
      <c r="JS9">
        <v>5</v>
      </c>
      <c r="JT9">
        <v>3369024</v>
      </c>
      <c r="JU9">
        <v>101732</v>
      </c>
      <c r="JV9" t="s">
        <v>3012</v>
      </c>
      <c r="JY9" t="s">
        <v>3507</v>
      </c>
      <c r="JZ9">
        <v>2.8023609999999999</v>
      </c>
      <c r="KA9" t="s">
        <v>1786</v>
      </c>
      <c r="KB9">
        <v>0.52624300000000002</v>
      </c>
      <c r="KC9" t="s">
        <v>1762</v>
      </c>
      <c r="KD9">
        <v>2025</v>
      </c>
      <c r="KE9" t="s">
        <v>5976</v>
      </c>
      <c r="KF9" s="6">
        <v>45943</v>
      </c>
      <c r="KG9">
        <v>5</v>
      </c>
      <c r="KH9">
        <v>41158276</v>
      </c>
      <c r="KI9">
        <v>9568853</v>
      </c>
      <c r="KJ9" t="s">
        <v>3509</v>
      </c>
      <c r="LC9" t="s">
        <v>5825</v>
      </c>
      <c r="LD9">
        <v>1.0733470000000001</v>
      </c>
      <c r="LF9">
        <v>-2.4245362661989844E-14</v>
      </c>
      <c r="LG9" t="s">
        <v>1845</v>
      </c>
      <c r="LH9">
        <v>2024</v>
      </c>
      <c r="LI9" t="s">
        <v>5822</v>
      </c>
      <c r="LJ9" s="6">
        <v>45691</v>
      </c>
      <c r="LK9">
        <v>5</v>
      </c>
      <c r="LL9">
        <v>7491834</v>
      </c>
      <c r="LM9">
        <v>29627285</v>
      </c>
      <c r="LN9" t="s">
        <v>5826</v>
      </c>
      <c r="OA9" t="s">
        <v>2919</v>
      </c>
      <c r="OB9" t="s">
        <v>1820</v>
      </c>
      <c r="OC9">
        <v>1.650523</v>
      </c>
      <c r="OD9">
        <v>1.7462089999999999</v>
      </c>
      <c r="OE9" t="s">
        <v>1742</v>
      </c>
      <c r="OF9">
        <v>2025</v>
      </c>
      <c r="OG9" t="s">
        <v>2920</v>
      </c>
      <c r="OH9" s="6">
        <v>46029</v>
      </c>
      <c r="OI9">
        <v>5</v>
      </c>
      <c r="OJ9">
        <v>97565313.560000002</v>
      </c>
      <c r="OK9">
        <v>115705</v>
      </c>
      <c r="OL9" t="s">
        <v>2921</v>
      </c>
      <c r="OO9" t="s">
        <v>1054</v>
      </c>
      <c r="OP9">
        <v>0.19926099999999999</v>
      </c>
      <c r="OQ9" t="s">
        <v>1786</v>
      </c>
      <c r="OR9">
        <v>1.1451750000000001</v>
      </c>
      <c r="OS9" t="s">
        <v>1762</v>
      </c>
      <c r="OT9">
        <v>2025</v>
      </c>
      <c r="OU9" t="s">
        <v>3638</v>
      </c>
      <c r="OV9" s="6">
        <v>45895</v>
      </c>
      <c r="OW9">
        <v>5</v>
      </c>
      <c r="OX9">
        <v>197027360</v>
      </c>
      <c r="OY9">
        <v>101555</v>
      </c>
      <c r="OZ9" t="s">
        <v>1848</v>
      </c>
      <c r="RM9" t="s">
        <v>5237</v>
      </c>
      <c r="RO9">
        <v>-2.4245362661989844E-14</v>
      </c>
      <c r="RP9">
        <v>-2.4245362661989844E-14</v>
      </c>
      <c r="RQ9" t="s">
        <v>1745</v>
      </c>
      <c r="RR9">
        <v>2021</v>
      </c>
      <c r="RS9" t="s">
        <v>5238</v>
      </c>
      <c r="RT9" s="6">
        <v>44693</v>
      </c>
      <c r="RU9">
        <v>5</v>
      </c>
      <c r="RV9">
        <v>-2.4245362661989844E-14</v>
      </c>
      <c r="RW9">
        <v>310116</v>
      </c>
      <c r="RX9" t="s">
        <v>5239</v>
      </c>
      <c r="TU9" t="s">
        <v>4407</v>
      </c>
      <c r="TW9">
        <v>0.48641200000000001</v>
      </c>
      <c r="TX9">
        <v>-2.4245362661989844E-14</v>
      </c>
      <c r="TY9" t="s">
        <v>1745</v>
      </c>
      <c r="TZ9">
        <v>2024</v>
      </c>
      <c r="UA9" t="s">
        <v>4408</v>
      </c>
      <c r="UB9" s="6">
        <v>45700</v>
      </c>
      <c r="UC9">
        <v>5</v>
      </c>
      <c r="UD9">
        <v>1207458.96</v>
      </c>
      <c r="UE9">
        <v>35632117</v>
      </c>
      <c r="UF9" t="s">
        <v>4409</v>
      </c>
      <c r="UI9" t="s">
        <v>6442</v>
      </c>
      <c r="UJ9">
        <v>-2.4245362661989844E-14</v>
      </c>
      <c r="UL9">
        <v>-2.4245362661989844E-14</v>
      </c>
      <c r="UM9" t="s">
        <v>1809</v>
      </c>
      <c r="UN9">
        <v>2025</v>
      </c>
      <c r="UO9" t="s">
        <v>6443</v>
      </c>
      <c r="UP9" s="6">
        <v>45782</v>
      </c>
      <c r="UQ9">
        <v>5</v>
      </c>
      <c r="UR9">
        <v>-2.4245362661989844E-14</v>
      </c>
      <c r="US9">
        <v>101264</v>
      </c>
      <c r="UT9" t="s">
        <v>6444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782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783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784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785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786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787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788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789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790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791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792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793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794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795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796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797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798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799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800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121</v>
      </c>
      <c r="AE2" s="3" t="s">
        <v>493</v>
      </c>
      <c r="BI2" s="3" t="s">
        <v>35</v>
      </c>
      <c r="CM2" s="3" t="s">
        <v>801</v>
      </c>
      <c r="DQ2" s="3" t="s">
        <v>802</v>
      </c>
      <c r="EU2" s="3" t="s">
        <v>420</v>
      </c>
      <c r="FY2" s="3" t="s">
        <v>803</v>
      </c>
      <c r="HC2" s="3" t="s">
        <v>804</v>
      </c>
      <c r="IG2" s="3" t="s">
        <v>805</v>
      </c>
      <c r="JK2" s="3" t="s">
        <v>455</v>
      </c>
      <c r="KO2" s="3" t="s">
        <v>307</v>
      </c>
      <c r="LS2" s="3" t="s">
        <v>806</v>
      </c>
      <c r="MW2" s="3" t="s">
        <v>807</v>
      </c>
      <c r="OA2" s="3" t="s">
        <v>808</v>
      </c>
      <c r="PE2" s="3" t="s">
        <v>809</v>
      </c>
      <c r="QI2" s="3" t="s">
        <v>810</v>
      </c>
      <c r="RM2" s="3" t="s">
        <v>704</v>
      </c>
      <c r="SQ2" s="3" t="s">
        <v>811</v>
      </c>
      <c r="TU2" s="3" t="s">
        <v>812</v>
      </c>
      <c r="UY2" s="3" t="s">
        <v>813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_xll.BDS("IBM US Equity","SUPPLY_CHAIN_SUPPLIERS_ALL_DATA","cols=12;rows=5")</f>
        <v>005930 KS Equity</v>
      </c>
      <c r="B5" t="s">
        <v>1786</v>
      </c>
      <c r="C5">
        <v>0.49490499999999998</v>
      </c>
      <c r="D5">
        <v>4.1423690000000004</v>
      </c>
      <c r="E5" t="s">
        <v>1809</v>
      </c>
      <c r="F5">
        <v>2025</v>
      </c>
      <c r="G5" t="s">
        <v>2035</v>
      </c>
      <c r="H5" s="6">
        <v>45797</v>
      </c>
      <c r="I5">
        <v>5</v>
      </c>
      <c r="J5">
        <v>269668224</v>
      </c>
      <c r="K5">
        <v>117929</v>
      </c>
      <c r="L5" t="s">
        <v>1791</v>
      </c>
      <c r="O5" t="str">
        <f>_xll.BDS("IBM US Equity","SUPPLY_CHAIN_CUSTOMERS_ALL_DATA","cols=12;rows=5")</f>
        <v>AMZN US Equity</v>
      </c>
      <c r="P5">
        <v>4.454224</v>
      </c>
      <c r="Q5" t="s">
        <v>1786</v>
      </c>
      <c r="R5">
        <v>0.84141600000000005</v>
      </c>
      <c r="S5" t="s">
        <v>1809</v>
      </c>
      <c r="T5">
        <v>2025</v>
      </c>
      <c r="U5" t="s">
        <v>2035</v>
      </c>
      <c r="V5" s="6">
        <v>45797</v>
      </c>
      <c r="W5">
        <v>5</v>
      </c>
      <c r="X5">
        <v>647688704</v>
      </c>
      <c r="Y5">
        <v>216952</v>
      </c>
      <c r="Z5" t="s">
        <v>1886</v>
      </c>
      <c r="AE5" t="str">
        <f>_xll.BDS("605018Q US Equity","SUPPLY_CHAIN_SUPPLIERS_ALL_DATA")</f>
        <v>#N/A N/A</v>
      </c>
      <c r="AS5" t="str">
        <f>_xll.BDS("605018Q US Equity","SUPPLY_CHAIN_CUSTOMERS_ALL_DATA")</f>
        <v>#N/A N/A</v>
      </c>
      <c r="BI5" t="str">
        <f>_xll.BDS("nan Equity","SUPPLY_CHAIN_SUPPLIERS_ALL_DATA")</f>
        <v>#N/A N/A</v>
      </c>
      <c r="BW5" t="str">
        <f>_xll.BDS("nan Equity","SUPPLY_CHAIN_CUSTOMERS_ALL_DATA")</f>
        <v>#N/A N/A</v>
      </c>
      <c r="CM5" t="str">
        <f>_xll.BDS("NTIQ US Equity","SUPPLY_CHAIN_SUPPLIERS_ALL_DATA")</f>
        <v>#N/A N/A</v>
      </c>
      <c r="DA5" t="str">
        <f>_xll.BDS("NTIQ US Equity","SUPPLY_CHAIN_CUSTOMERS_ALL_DATA")</f>
        <v>#N/A N/A</v>
      </c>
      <c r="DQ5" t="str">
        <f>_xll.BDS("GENZ US Equity","SUPPLY_CHAIN_SUPPLIERS_ALL_DATA")</f>
        <v>#N/A N/A</v>
      </c>
      <c r="EE5" t="str">
        <f>_xll.BDS("GENZ US Equity","SUPPLY_CHAIN_CUSTOMERS_ALL_DATA")</f>
        <v>#N/A N/A</v>
      </c>
      <c r="EU5" t="str">
        <f>_xll.BDS("HPE US Equity","SUPPLY_CHAIN_SUPPLIERS_ALL_DATA","cols=12;rows=5")</f>
        <v>2356 TT Equity</v>
      </c>
      <c r="EV5" t="s">
        <v>1786</v>
      </c>
      <c r="EW5">
        <v>31.028231000000002</v>
      </c>
      <c r="EX5">
        <v>27.952665</v>
      </c>
      <c r="EY5" t="s">
        <v>1742</v>
      </c>
      <c r="EZ5">
        <v>2025</v>
      </c>
      <c r="FA5" t="s">
        <v>2243</v>
      </c>
      <c r="FB5" s="6">
        <v>46035</v>
      </c>
      <c r="FC5">
        <v>5</v>
      </c>
      <c r="FD5">
        <v>1828116121.97</v>
      </c>
      <c r="FE5">
        <v>193712</v>
      </c>
      <c r="FF5" t="s">
        <v>2244</v>
      </c>
      <c r="FI5" t="str">
        <f>_xll.BDS("HPE US Equity","SUPPLY_CHAIN_CUSTOMERS_ALL_DATA","cols=12;rows=5")</f>
        <v>ARW US Equity</v>
      </c>
      <c r="FJ5">
        <v>6.2410899999999998</v>
      </c>
      <c r="FK5" t="s">
        <v>1786</v>
      </c>
      <c r="FL5">
        <v>7.8808930000000004</v>
      </c>
      <c r="FM5" t="s">
        <v>1762</v>
      </c>
      <c r="FN5">
        <v>2025</v>
      </c>
      <c r="FO5" t="s">
        <v>3326</v>
      </c>
      <c r="FP5" s="6">
        <v>45846</v>
      </c>
      <c r="FQ5">
        <v>5</v>
      </c>
      <c r="FR5">
        <v>476007936</v>
      </c>
      <c r="FS5">
        <v>100115</v>
      </c>
      <c r="FT5" t="s">
        <v>1816</v>
      </c>
      <c r="FY5" t="str">
        <f>_xll.BDS("RVBD US Equity","SUPPLY_CHAIN_SUPPLIERS_ALL_DATA","cols=12;rows=2")</f>
        <v>JBL US Equity</v>
      </c>
      <c r="GA5">
        <v>-2.4245362661989844E-14</v>
      </c>
      <c r="GB5">
        <v>-2.4245362661989844E-14</v>
      </c>
      <c r="GC5" t="s">
        <v>1745</v>
      </c>
      <c r="GD5">
        <v>2023</v>
      </c>
      <c r="GE5" t="s">
        <v>4422</v>
      </c>
      <c r="GF5" s="6">
        <v>45197</v>
      </c>
      <c r="GG5">
        <v>2</v>
      </c>
      <c r="GH5">
        <v>-2.4245362661989844E-14</v>
      </c>
      <c r="GI5">
        <v>117092</v>
      </c>
      <c r="GJ5" t="s">
        <v>2797</v>
      </c>
      <c r="GM5" t="str">
        <f>_xll.BDS("RVBD US Equity","SUPPLY_CHAIN_CUSTOMERS_ALL_DATA","cols=12;rows=5")</f>
        <v>3145290Z NZ Equity</v>
      </c>
      <c r="GN5">
        <v>-2.4245362661989844E-14</v>
      </c>
      <c r="GP5">
        <v>-2.4245362661989844E-14</v>
      </c>
      <c r="GQ5" t="s">
        <v>1745</v>
      </c>
      <c r="GR5">
        <v>2023</v>
      </c>
      <c r="GS5" t="s">
        <v>5643</v>
      </c>
      <c r="GT5" s="6">
        <v>45223</v>
      </c>
      <c r="GU5">
        <v>5</v>
      </c>
      <c r="GV5">
        <v>-2.4245362661989844E-14</v>
      </c>
      <c r="GW5">
        <v>15499370</v>
      </c>
      <c r="GX5" t="s">
        <v>5644</v>
      </c>
      <c r="HC5" t="str">
        <f>_xll.BDS("HALO US Equity","SUPPLY_CHAIN_SUPPLIERS_ALL_DATA","cols=12;rows=5")</f>
        <v>6753 JP Equity</v>
      </c>
      <c r="HD5" t="s">
        <v>1786</v>
      </c>
      <c r="HE5">
        <v>6.038E-3</v>
      </c>
      <c r="HF5">
        <v>0.34642699999999998</v>
      </c>
      <c r="HG5" t="s">
        <v>1762</v>
      </c>
      <c r="HH5">
        <v>2026</v>
      </c>
      <c r="HI5" t="s">
        <v>5495</v>
      </c>
      <c r="HJ5" s="6">
        <v>46066</v>
      </c>
      <c r="HK5">
        <v>5</v>
      </c>
      <c r="HL5">
        <v>191448.32000000001</v>
      </c>
      <c r="HM5">
        <v>114689</v>
      </c>
      <c r="HN5" t="s">
        <v>5496</v>
      </c>
      <c r="HQ5" t="str">
        <f>_xll.BDS("HALO US Equity","SUPPLY_CHAIN_CUSTOMERS_ALL_DATA","cols=12;rows=5")</f>
        <v>JNJ US Equity</v>
      </c>
      <c r="HR5">
        <v>49.056618</v>
      </c>
      <c r="HS5" t="s">
        <v>1786</v>
      </c>
      <c r="HT5">
        <v>2.3797060000000001</v>
      </c>
      <c r="HU5" t="s">
        <v>1742</v>
      </c>
      <c r="HV5">
        <v>2025</v>
      </c>
      <c r="HW5" t="s">
        <v>2800</v>
      </c>
      <c r="HX5" s="6">
        <v>46050</v>
      </c>
      <c r="HY5">
        <v>5</v>
      </c>
      <c r="HZ5">
        <v>173789936</v>
      </c>
      <c r="IA5">
        <v>100828</v>
      </c>
      <c r="IB5" t="s">
        <v>2464</v>
      </c>
      <c r="IG5" t="str">
        <f>_xll.BDS("SGI US Equity","SUPPLY_CHAIN_SUPPLIERS_ALL_DATA","cols=12;rows=5")</f>
        <v>603610 CH Equity</v>
      </c>
      <c r="IH5" t="s">
        <v>1786</v>
      </c>
      <c r="II5">
        <v>44.77</v>
      </c>
      <c r="IJ5">
        <v>7.7070679999999996</v>
      </c>
      <c r="IK5" t="s">
        <v>1805</v>
      </c>
      <c r="IL5">
        <v>2025</v>
      </c>
      <c r="IM5" t="s">
        <v>3934</v>
      </c>
      <c r="IN5" s="6">
        <v>45891</v>
      </c>
      <c r="IO5">
        <v>5</v>
      </c>
      <c r="IP5">
        <v>66591194.880000003</v>
      </c>
      <c r="IQ5">
        <v>61067585</v>
      </c>
      <c r="IR5" t="s">
        <v>3935</v>
      </c>
      <c r="IU5" t="str">
        <f>_xll.BDS("SGI US Equity","SUPPLY_CHAIN_CUSTOMERS_ALL_DATA","cols=12;rows=5")</f>
        <v>LIVEPOL1 MM Equity</v>
      </c>
      <c r="IV5">
        <v>0.13317999999999999</v>
      </c>
      <c r="IW5" t="s">
        <v>1786</v>
      </c>
      <c r="IX5">
        <v>0.142512</v>
      </c>
      <c r="IY5" t="s">
        <v>1762</v>
      </c>
      <c r="IZ5">
        <v>2025</v>
      </c>
      <c r="JA5" t="s">
        <v>2134</v>
      </c>
      <c r="JB5" s="6">
        <v>45908</v>
      </c>
      <c r="JC5">
        <v>5</v>
      </c>
      <c r="JD5">
        <v>2504685.59</v>
      </c>
      <c r="JE5">
        <v>116755</v>
      </c>
      <c r="JF5" t="s">
        <v>2135</v>
      </c>
      <c r="JK5" t="str">
        <f>_xll.BDS("MKSI US Equity","SUPPLY_CHAIN_SUPPLIERS_ALL_DATA","cols=12;rows=5")</f>
        <v>LASR US Equity</v>
      </c>
      <c r="JL5" t="s">
        <v>1786</v>
      </c>
      <c r="JM5">
        <v>1.6989019999999999</v>
      </c>
      <c r="JN5">
        <v>0.21515799999999999</v>
      </c>
      <c r="JO5" t="s">
        <v>1742</v>
      </c>
      <c r="JP5">
        <v>2025</v>
      </c>
      <c r="JQ5" t="s">
        <v>3437</v>
      </c>
      <c r="JR5" s="6">
        <v>46003</v>
      </c>
      <c r="JS5">
        <v>5</v>
      </c>
      <c r="JT5">
        <v>1133881</v>
      </c>
      <c r="JU5">
        <v>26876165</v>
      </c>
      <c r="JV5" t="s">
        <v>3438</v>
      </c>
      <c r="JY5" t="str">
        <f>_xll.BDS("MKSI US Equity","SUPPLY_CHAIN_CUSTOMERS_ALL_DATA","cols=12;rows=5")</f>
        <v>LRCX US Equity</v>
      </c>
      <c r="JZ5">
        <v>9.3821600000000007</v>
      </c>
      <c r="KA5" t="s">
        <v>1786</v>
      </c>
      <c r="KB5">
        <v>3.6491760000000002</v>
      </c>
      <c r="KC5" t="s">
        <v>1809</v>
      </c>
      <c r="KD5">
        <v>2025</v>
      </c>
      <c r="KE5" t="s">
        <v>5144</v>
      </c>
      <c r="KF5" s="6">
        <v>45813</v>
      </c>
      <c r="KG5">
        <v>5</v>
      </c>
      <c r="KH5">
        <v>87817016</v>
      </c>
      <c r="KI5">
        <v>105120</v>
      </c>
      <c r="KJ5" t="s">
        <v>3007</v>
      </c>
      <c r="KO5" t="str">
        <f>_xll.BDS("WFC US Equity","SUPPLY_CHAIN_SUPPLIERS_ALL_DATA","cols=12;rows=5")</f>
        <v>ADBE US Equity</v>
      </c>
      <c r="KP5" t="s">
        <v>1769</v>
      </c>
      <c r="KQ5">
        <v>0.357321</v>
      </c>
      <c r="KR5">
        <v>0.15107200000000001</v>
      </c>
      <c r="KS5" t="s">
        <v>1762</v>
      </c>
      <c r="KT5">
        <v>2025</v>
      </c>
      <c r="KU5" t="s">
        <v>2268</v>
      </c>
      <c r="KV5" s="6">
        <v>45838</v>
      </c>
      <c r="KW5">
        <v>5</v>
      </c>
      <c r="KX5">
        <v>20985462</v>
      </c>
      <c r="KY5">
        <v>101689</v>
      </c>
      <c r="KZ5" t="s">
        <v>2269</v>
      </c>
      <c r="LC5" t="str">
        <f>_xll.BDS("WFC US Equity","SUPPLY_CHAIN_CUSTOMERS_ALL_DATA","cols=12;rows=5")</f>
        <v>CDW US Equity</v>
      </c>
      <c r="LD5">
        <v>4.1894000000000001E-2</v>
      </c>
      <c r="LE5" t="s">
        <v>1786</v>
      </c>
      <c r="LF5">
        <v>0.304456</v>
      </c>
      <c r="LG5" t="s">
        <v>1809</v>
      </c>
      <c r="LH5">
        <v>2025</v>
      </c>
      <c r="LI5" t="s">
        <v>1871</v>
      </c>
      <c r="LJ5" s="6">
        <v>45820</v>
      </c>
      <c r="LK5">
        <v>5</v>
      </c>
      <c r="LL5">
        <v>12412062</v>
      </c>
      <c r="LM5">
        <v>12129192</v>
      </c>
      <c r="LN5" t="s">
        <v>1872</v>
      </c>
      <c r="LS5" t="str">
        <f>_xll.BDS("TTMI US Equity","SUPPLY_CHAIN_SUPPLIERS_ALL_DATA","cols=12;rows=5")</f>
        <v>MKSI US Equity</v>
      </c>
      <c r="LT5" t="s">
        <v>1786</v>
      </c>
      <c r="LU5">
        <v>0.78108599999999995</v>
      </c>
      <c r="LV5">
        <v>1.412212</v>
      </c>
      <c r="LW5" t="s">
        <v>1809</v>
      </c>
      <c r="LX5">
        <v>2025</v>
      </c>
      <c r="LY5" t="s">
        <v>5144</v>
      </c>
      <c r="LZ5" s="6">
        <v>45813</v>
      </c>
      <c r="MA5">
        <v>5</v>
      </c>
      <c r="MB5">
        <v>7310965</v>
      </c>
      <c r="MC5">
        <v>302946</v>
      </c>
      <c r="MD5" t="s">
        <v>5145</v>
      </c>
      <c r="MG5" t="str">
        <f>_xll.BDS("TTMI US Equity","SUPPLY_CHAIN_CUSTOMERS_ALL_DATA","cols=12;rows=5")</f>
        <v>RTX US Equity</v>
      </c>
      <c r="MH5">
        <v>12.039605999999999</v>
      </c>
      <c r="MI5" t="s">
        <v>1786</v>
      </c>
      <c r="MJ5">
        <v>0.50634999999999997</v>
      </c>
      <c r="MK5" t="s">
        <v>1742</v>
      </c>
      <c r="ML5">
        <v>2025</v>
      </c>
      <c r="MM5" t="s">
        <v>2072</v>
      </c>
      <c r="MN5" s="6">
        <v>46001</v>
      </c>
      <c r="MO5">
        <v>5</v>
      </c>
      <c r="MP5">
        <v>90626448</v>
      </c>
      <c r="MQ5">
        <v>101555</v>
      </c>
      <c r="MR5" t="s">
        <v>1848</v>
      </c>
      <c r="MW5" t="str">
        <f>_xll.BDS("VRNT US Equity","SUPPLY_CHAIN_SUPPLIERS_ALL_DATA","cols=12;rows=5")</f>
        <v>AMZN US Equity</v>
      </c>
      <c r="MY5">
        <v>-2.4245362661989844E-14</v>
      </c>
      <c r="MZ5">
        <v>-2.4245362661989844E-14</v>
      </c>
      <c r="NA5" t="s">
        <v>1745</v>
      </c>
      <c r="NB5">
        <v>2023</v>
      </c>
      <c r="NC5" t="s">
        <v>6520</v>
      </c>
      <c r="ND5" s="6">
        <v>45197</v>
      </c>
      <c r="NE5">
        <v>5</v>
      </c>
      <c r="NF5">
        <v>-2.4245362661989844E-14</v>
      </c>
      <c r="NG5">
        <v>216952</v>
      </c>
      <c r="NH5" t="s">
        <v>1886</v>
      </c>
      <c r="NK5" t="str">
        <f>_xll.BDS("VRNT US Equity","SUPPLY_CHAIN_CUSTOMERS_ALL_DATA","cols=12;rows=5")</f>
        <v>SNX US Equity</v>
      </c>
      <c r="NL5">
        <v>1.1345810000000001</v>
      </c>
      <c r="NM5" t="s">
        <v>1786</v>
      </c>
      <c r="NN5">
        <v>1.4581999999999999E-2</v>
      </c>
      <c r="NO5" t="s">
        <v>1845</v>
      </c>
      <c r="NP5">
        <v>2025</v>
      </c>
      <c r="NQ5" t="s">
        <v>1887</v>
      </c>
      <c r="NR5" s="6">
        <v>46056</v>
      </c>
      <c r="NS5">
        <v>5</v>
      </c>
      <c r="NT5">
        <v>2360008</v>
      </c>
      <c r="NU5">
        <v>1499717</v>
      </c>
      <c r="NV5" t="s">
        <v>1864</v>
      </c>
      <c r="OA5" t="str">
        <f>_xll.BDS("UAN US Equity","SUPPLY_CHAIN_SUPPLIERS_ALL_DATA","cols=12;rows=5")</f>
        <v>CNP US Equity</v>
      </c>
      <c r="OC5">
        <v>-2.4245362661989844E-14</v>
      </c>
      <c r="OD5">
        <v>-2.4245362661989844E-14</v>
      </c>
      <c r="OE5" t="s">
        <v>1745</v>
      </c>
      <c r="OF5">
        <v>2021</v>
      </c>
      <c r="OG5" t="s">
        <v>2301</v>
      </c>
      <c r="OH5" s="6">
        <v>44693</v>
      </c>
      <c r="OI5">
        <v>5</v>
      </c>
      <c r="OJ5">
        <v>-2.4245362661989844E-14</v>
      </c>
      <c r="OK5">
        <v>100760</v>
      </c>
      <c r="OL5" t="s">
        <v>2302</v>
      </c>
      <c r="OO5" t="str">
        <f>_xll.BDS("UAN US Equity","SUPPLY_CHAIN_CUSTOMERS_ALL_DATA","cols=12;rows=1")</f>
        <v>CVI US Equity</v>
      </c>
      <c r="OP5">
        <v>-2.4245362661989844E-14</v>
      </c>
      <c r="OR5">
        <v>-2.4245362661989844E-14</v>
      </c>
      <c r="OS5" t="s">
        <v>1745</v>
      </c>
      <c r="OT5">
        <v>2022</v>
      </c>
      <c r="OU5" t="s">
        <v>6277</v>
      </c>
      <c r="OV5" s="6">
        <v>44979</v>
      </c>
      <c r="OW5">
        <v>1</v>
      </c>
      <c r="OX5">
        <v>-2.4245362661989844E-14</v>
      </c>
      <c r="OY5">
        <v>12097771</v>
      </c>
      <c r="OZ5" t="s">
        <v>6278</v>
      </c>
      <c r="PE5" t="str">
        <f>_xll.BDS("ALL US Equity","SUPPLY_CHAIN_SUPPLIERS_ALL_DATA","cols=12;rows=5")</f>
        <v>OPITQ US Equity</v>
      </c>
      <c r="PF5" t="s">
        <v>1769</v>
      </c>
      <c r="PG5">
        <v>1.2490559999999999</v>
      </c>
      <c r="PH5">
        <v>62.699989000000002</v>
      </c>
      <c r="PI5" t="s">
        <v>1745</v>
      </c>
      <c r="PJ5">
        <v>2024</v>
      </c>
      <c r="PK5" t="s">
        <v>4372</v>
      </c>
      <c r="PL5" s="6">
        <v>45701</v>
      </c>
      <c r="PM5">
        <v>5</v>
      </c>
      <c r="PN5">
        <v>1567499.75</v>
      </c>
      <c r="PO5">
        <v>15671511</v>
      </c>
      <c r="PP5" t="s">
        <v>3225</v>
      </c>
      <c r="PS5" t="str">
        <f>_xll.BDS("ALL US Equity","SUPPLY_CHAIN_CUSTOMERS_ALL_DATA","cols=12;rows=5")</f>
        <v>035720 KS Equity</v>
      </c>
      <c r="PT5">
        <v>-2.4245362661989844E-14</v>
      </c>
      <c r="PV5">
        <v>-2.4245362661989844E-14</v>
      </c>
      <c r="PW5" t="s">
        <v>1745</v>
      </c>
      <c r="PX5">
        <v>2022</v>
      </c>
      <c r="PY5" t="s">
        <v>4375</v>
      </c>
      <c r="PZ5" s="6">
        <v>45005</v>
      </c>
      <c r="QA5">
        <v>5</v>
      </c>
      <c r="QB5">
        <v>-2.4245362661989844E-14</v>
      </c>
      <c r="QC5">
        <v>827647</v>
      </c>
      <c r="QD5" t="s">
        <v>4376</v>
      </c>
      <c r="QI5" t="str">
        <f>_xll.BDS("GBCI US Equity","SUPPLY_CHAIN_SUPPLIERS_ALL_DATA","cols=12;rows=1")</f>
        <v>VYX US Equity</v>
      </c>
      <c r="QK5">
        <v>-2.4245362661989844E-14</v>
      </c>
      <c r="QL5">
        <v>-2.4245362661989844E-14</v>
      </c>
      <c r="QM5" t="s">
        <v>1762</v>
      </c>
      <c r="QN5">
        <v>2023</v>
      </c>
      <c r="QO5" t="s">
        <v>2670</v>
      </c>
      <c r="QP5" s="6">
        <v>45173</v>
      </c>
      <c r="QQ5">
        <v>1</v>
      </c>
      <c r="QR5">
        <v>-2.4245362661989844E-14</v>
      </c>
      <c r="QS5">
        <v>202476</v>
      </c>
      <c r="QT5" t="s">
        <v>2355</v>
      </c>
      <c r="QW5" t="str">
        <f>_xll.BDS("GBCI US Equity","SUPPLY_CHAIN_CUSTOMERS_ALL_DATA")</f>
        <v>#N/A N/A</v>
      </c>
      <c r="RM5" t="str">
        <f>_xll.BDS("UBSI US Equity","SUPPLY_CHAIN_SUPPLIERS_ALL_DATA","cols=12;rows=1")</f>
        <v>FICO US Equity</v>
      </c>
      <c r="RO5">
        <v>-2.4245362661989844E-14</v>
      </c>
      <c r="RP5">
        <v>-2.4245362661989844E-14</v>
      </c>
      <c r="RQ5" t="s">
        <v>1745</v>
      </c>
      <c r="RR5">
        <v>2024</v>
      </c>
      <c r="RS5" t="s">
        <v>3931</v>
      </c>
      <c r="RT5" s="6">
        <v>45348</v>
      </c>
      <c r="RU5">
        <v>1</v>
      </c>
      <c r="RV5">
        <v>-2.4245362661989844E-14</v>
      </c>
      <c r="RW5">
        <v>103869</v>
      </c>
      <c r="RX5" t="s">
        <v>3932</v>
      </c>
      <c r="SA5" t="str">
        <f>_xll.BDS("UBSI US Equity","SUPPLY_CHAIN_CUSTOMERS_ALL_DATA")</f>
        <v>#N/A N/A</v>
      </c>
      <c r="SQ5" t="str">
        <f>_xll.BDS("IM US Equity","SUPPLY_CHAIN_SUPPLIERS_ALL_DATA","cols=12;rows=5")</f>
        <v>LOGN SW Equity</v>
      </c>
      <c r="SS5">
        <v>14</v>
      </c>
      <c r="ST5">
        <v>-2.4245362661989844E-14</v>
      </c>
      <c r="SU5" t="s">
        <v>1745</v>
      </c>
      <c r="SV5">
        <v>2025</v>
      </c>
      <c r="SW5" t="s">
        <v>3449</v>
      </c>
      <c r="SX5" s="6">
        <v>45800</v>
      </c>
      <c r="SY5">
        <v>5</v>
      </c>
      <c r="SZ5">
        <v>159421504</v>
      </c>
      <c r="TA5">
        <v>117746</v>
      </c>
      <c r="TB5" t="s">
        <v>3450</v>
      </c>
      <c r="TE5" t="str">
        <f>_xll.BDS("IM US Equity","SUPPLY_CHAIN_CUSTOMERS_ALL_DATA","cols=12;rows=5")</f>
        <v>AMZN US Equity</v>
      </c>
      <c r="TF5">
        <v>-2.4245362661989844E-14</v>
      </c>
      <c r="TH5">
        <v>-2.4245362661989844E-14</v>
      </c>
      <c r="TI5" t="s">
        <v>1745</v>
      </c>
      <c r="TJ5">
        <v>2023</v>
      </c>
      <c r="TK5" t="s">
        <v>5929</v>
      </c>
      <c r="TL5" s="6">
        <v>45271</v>
      </c>
      <c r="TM5">
        <v>5</v>
      </c>
      <c r="TN5">
        <v>-2.4245362661989844E-14</v>
      </c>
      <c r="TO5">
        <v>216952</v>
      </c>
      <c r="TP5" t="s">
        <v>1886</v>
      </c>
      <c r="TU5" t="str">
        <f>_xll.BDS("FMER US Equity","SUPPLY_CHAIN_SUPPLIERS_ALL_DATA")</f>
        <v>#N/A N/A</v>
      </c>
      <c r="UI5" t="str">
        <f>_xll.BDS("FMER US Equity","SUPPLY_CHAIN_CUSTOMERS_ALL_DATA")</f>
        <v>#N/A N/A</v>
      </c>
      <c r="UY5" t="str">
        <f>_xll.BDS("D US Equity","SUPPLY_CHAIN_SUPPLIERS_ALL_DATA","cols=12;rows=5")</f>
        <v>PWR US Equity</v>
      </c>
      <c r="UZ5" t="s">
        <v>1820</v>
      </c>
      <c r="VA5">
        <v>3.1101740000000002</v>
      </c>
      <c r="VB5">
        <v>7.8050009999999999</v>
      </c>
      <c r="VC5" t="s">
        <v>1742</v>
      </c>
      <c r="VD5">
        <v>2025</v>
      </c>
      <c r="VE5" t="s">
        <v>2779</v>
      </c>
      <c r="VF5" s="6">
        <v>45975</v>
      </c>
      <c r="VG5">
        <v>5</v>
      </c>
      <c r="VH5">
        <v>237350064</v>
      </c>
      <c r="VI5">
        <v>305366</v>
      </c>
      <c r="VJ5" t="s">
        <v>2780</v>
      </c>
      <c r="VM5" t="str">
        <f>_xll.BDS("D US Equity","SUPPLY_CHAIN_CUSTOMERS_ALL_DATA","cols=12;rows=5")</f>
        <v>000039 CH Equity</v>
      </c>
      <c r="VN5">
        <v>-2.4245362661989844E-14</v>
      </c>
      <c r="VP5">
        <v>-2.4245362661989844E-14</v>
      </c>
      <c r="VQ5" t="s">
        <v>1745</v>
      </c>
      <c r="VR5">
        <v>2021</v>
      </c>
      <c r="VS5" t="s">
        <v>2037</v>
      </c>
      <c r="VT5" s="6">
        <v>44693</v>
      </c>
      <c r="VU5">
        <v>5</v>
      </c>
      <c r="VV5">
        <v>-2.4245362661989844E-14</v>
      </c>
      <c r="VW5">
        <v>135744</v>
      </c>
      <c r="VX5" t="s">
        <v>2038</v>
      </c>
    </row>
    <row r="6" spans="1:600" x14ac:dyDescent="0.25">
      <c r="A6" t="s">
        <v>1287</v>
      </c>
      <c r="B6" t="s">
        <v>1786</v>
      </c>
      <c r="C6">
        <v>0.86485599999999996</v>
      </c>
      <c r="D6">
        <v>4.0630959999999998</v>
      </c>
      <c r="E6" t="s">
        <v>1809</v>
      </c>
      <c r="F6">
        <v>2025</v>
      </c>
      <c r="G6" t="s">
        <v>2035</v>
      </c>
      <c r="H6" s="6">
        <v>45797</v>
      </c>
      <c r="I6">
        <v>5</v>
      </c>
      <c r="J6">
        <v>264507552</v>
      </c>
      <c r="K6">
        <v>101376</v>
      </c>
      <c r="L6" t="s">
        <v>1895</v>
      </c>
      <c r="O6" t="s">
        <v>424</v>
      </c>
      <c r="P6">
        <v>3.8131789999999999</v>
      </c>
      <c r="Q6" t="s">
        <v>1786</v>
      </c>
      <c r="R6">
        <v>2.529652</v>
      </c>
      <c r="S6" t="s">
        <v>1809</v>
      </c>
      <c r="T6">
        <v>2025</v>
      </c>
      <c r="U6" t="s">
        <v>2035</v>
      </c>
      <c r="V6" s="6">
        <v>45797</v>
      </c>
      <c r="W6">
        <v>5</v>
      </c>
      <c r="X6">
        <v>554474368</v>
      </c>
      <c r="Y6">
        <v>101743</v>
      </c>
      <c r="Z6" t="s">
        <v>1891</v>
      </c>
      <c r="EU6" t="s">
        <v>2250</v>
      </c>
      <c r="EV6" t="s">
        <v>1786</v>
      </c>
      <c r="EW6">
        <v>2.7800349999999998</v>
      </c>
      <c r="EX6">
        <v>8.0667629999999999</v>
      </c>
      <c r="EY6" t="s">
        <v>1742</v>
      </c>
      <c r="EZ6">
        <v>2025</v>
      </c>
      <c r="FA6" t="s">
        <v>2251</v>
      </c>
      <c r="FB6" s="6">
        <v>46087</v>
      </c>
      <c r="FC6">
        <v>5</v>
      </c>
      <c r="FD6">
        <v>527569647.02999997</v>
      </c>
      <c r="FE6">
        <v>7975354</v>
      </c>
      <c r="FF6" t="s">
        <v>2252</v>
      </c>
      <c r="FI6" t="s">
        <v>1870</v>
      </c>
      <c r="FJ6">
        <v>4.2125120000000003</v>
      </c>
      <c r="FK6" t="s">
        <v>1786</v>
      </c>
      <c r="FL6">
        <v>7.8808939999999996</v>
      </c>
      <c r="FM6" t="s">
        <v>1762</v>
      </c>
      <c r="FN6">
        <v>2025</v>
      </c>
      <c r="FO6" t="s">
        <v>3326</v>
      </c>
      <c r="FP6" s="6">
        <v>45846</v>
      </c>
      <c r="FQ6">
        <v>5</v>
      </c>
      <c r="FR6">
        <v>321288288</v>
      </c>
      <c r="FS6">
        <v>12129192</v>
      </c>
      <c r="FT6" t="s">
        <v>1872</v>
      </c>
      <c r="FY6" t="s">
        <v>4423</v>
      </c>
      <c r="GA6">
        <v>-2.4245362661989844E-14</v>
      </c>
      <c r="GB6">
        <v>-2.4245362661989844E-14</v>
      </c>
      <c r="GC6" t="s">
        <v>1742</v>
      </c>
      <c r="GD6">
        <v>2025</v>
      </c>
      <c r="GE6" t="s">
        <v>4424</v>
      </c>
      <c r="GF6" s="6">
        <v>45960</v>
      </c>
      <c r="GG6">
        <v>2</v>
      </c>
      <c r="GH6">
        <v>-2.4245362661989844E-14</v>
      </c>
      <c r="GI6">
        <v>136154</v>
      </c>
      <c r="GJ6" t="s">
        <v>4425</v>
      </c>
      <c r="GM6" t="s">
        <v>5645</v>
      </c>
      <c r="GN6">
        <v>-2.4245362661989844E-14</v>
      </c>
      <c r="GP6">
        <v>-2.4245362661989844E-14</v>
      </c>
      <c r="GQ6" t="s">
        <v>1745</v>
      </c>
      <c r="GR6">
        <v>2024</v>
      </c>
      <c r="GS6" t="s">
        <v>5646</v>
      </c>
      <c r="GT6" s="6">
        <v>45814</v>
      </c>
      <c r="GU6">
        <v>5</v>
      </c>
      <c r="GV6">
        <v>-2.4245362661989844E-14</v>
      </c>
      <c r="GW6">
        <v>7781285</v>
      </c>
      <c r="GX6" t="s">
        <v>5647</v>
      </c>
      <c r="HC6" t="s">
        <v>2795</v>
      </c>
      <c r="HD6" t="s">
        <v>1786</v>
      </c>
      <c r="HE6">
        <v>1.4530000000000001E-3</v>
      </c>
      <c r="HF6">
        <v>0.234987</v>
      </c>
      <c r="HG6" t="s">
        <v>1742</v>
      </c>
      <c r="HH6">
        <v>2025</v>
      </c>
      <c r="HI6" t="s">
        <v>2796</v>
      </c>
      <c r="HJ6" s="6">
        <v>45867</v>
      </c>
      <c r="HK6">
        <v>5</v>
      </c>
      <c r="HL6">
        <v>113741</v>
      </c>
      <c r="HM6">
        <v>117092</v>
      </c>
      <c r="HN6" t="s">
        <v>2797</v>
      </c>
      <c r="HQ6" t="s">
        <v>2418</v>
      </c>
      <c r="HR6">
        <v>11.657337999999999</v>
      </c>
      <c r="HS6" t="s">
        <v>1786</v>
      </c>
      <c r="HT6">
        <v>0.88762099999999999</v>
      </c>
      <c r="HU6" t="s">
        <v>1742</v>
      </c>
      <c r="HV6">
        <v>2025</v>
      </c>
      <c r="HW6" t="s">
        <v>2800</v>
      </c>
      <c r="HX6" s="6">
        <v>46050</v>
      </c>
      <c r="HY6">
        <v>5</v>
      </c>
      <c r="HZ6">
        <v>41297752</v>
      </c>
      <c r="IA6">
        <v>115785</v>
      </c>
      <c r="IB6" t="s">
        <v>2419</v>
      </c>
      <c r="IG6" t="s">
        <v>3936</v>
      </c>
      <c r="IH6" t="s">
        <v>1786</v>
      </c>
      <c r="II6">
        <v>0.62580999999999998</v>
      </c>
      <c r="IJ6">
        <v>0.55444499999999997</v>
      </c>
      <c r="IK6" t="s">
        <v>1742</v>
      </c>
      <c r="IL6">
        <v>2025</v>
      </c>
      <c r="IM6" t="s">
        <v>3937</v>
      </c>
      <c r="IN6" s="6">
        <v>46049</v>
      </c>
      <c r="IO6">
        <v>5</v>
      </c>
      <c r="IP6">
        <v>6485895</v>
      </c>
      <c r="IQ6">
        <v>100885</v>
      </c>
      <c r="IR6" t="s">
        <v>3938</v>
      </c>
      <c r="IU6" t="s">
        <v>3832</v>
      </c>
      <c r="IV6">
        <v>-2.4245362661989844E-14</v>
      </c>
      <c r="IX6">
        <v>-2.4245362661989844E-14</v>
      </c>
      <c r="IY6" t="s">
        <v>1745</v>
      </c>
      <c r="IZ6">
        <v>2023</v>
      </c>
      <c r="JA6" t="s">
        <v>3833</v>
      </c>
      <c r="JB6" s="6">
        <v>45338</v>
      </c>
      <c r="JC6">
        <v>5</v>
      </c>
      <c r="JD6">
        <v>-2.4245362661989844E-14</v>
      </c>
      <c r="JE6">
        <v>7896026</v>
      </c>
      <c r="JF6" t="s">
        <v>3834</v>
      </c>
      <c r="JK6" t="s">
        <v>3439</v>
      </c>
      <c r="JL6" t="s">
        <v>1786</v>
      </c>
      <c r="JM6">
        <v>1.150172</v>
      </c>
      <c r="JN6">
        <v>0.11659799999999999</v>
      </c>
      <c r="JO6" t="s">
        <v>1845</v>
      </c>
      <c r="JP6">
        <v>2024</v>
      </c>
      <c r="JQ6" t="s">
        <v>3440</v>
      </c>
      <c r="JR6" s="6">
        <v>45687</v>
      </c>
      <c r="JS6">
        <v>5</v>
      </c>
      <c r="JT6">
        <v>541152.34</v>
      </c>
      <c r="JU6">
        <v>310099</v>
      </c>
      <c r="JV6" t="s">
        <v>3441</v>
      </c>
      <c r="JY6" t="s">
        <v>117</v>
      </c>
      <c r="JZ6">
        <v>9.0968900000000001</v>
      </c>
      <c r="KA6" t="s">
        <v>1786</v>
      </c>
      <c r="KB6">
        <v>2.3553769999999998</v>
      </c>
      <c r="KC6" t="s">
        <v>1809</v>
      </c>
      <c r="KD6">
        <v>2025</v>
      </c>
      <c r="KE6" t="s">
        <v>5144</v>
      </c>
      <c r="KF6" s="6">
        <v>45813</v>
      </c>
      <c r="KG6">
        <v>5</v>
      </c>
      <c r="KH6">
        <v>85146888</v>
      </c>
      <c r="KI6">
        <v>102032</v>
      </c>
      <c r="KJ6" t="s">
        <v>3009</v>
      </c>
      <c r="KO6" t="s">
        <v>2273</v>
      </c>
      <c r="KP6" t="s">
        <v>1769</v>
      </c>
      <c r="KQ6">
        <v>5.2993949999999996</v>
      </c>
      <c r="KR6">
        <v>7.1481000000000003E-2</v>
      </c>
      <c r="KS6" t="s">
        <v>1809</v>
      </c>
      <c r="KT6">
        <v>2026</v>
      </c>
      <c r="KU6" t="s">
        <v>2274</v>
      </c>
      <c r="KV6" s="6">
        <v>45898</v>
      </c>
      <c r="KW6">
        <v>5</v>
      </c>
      <c r="KX6">
        <v>9563900.9100000001</v>
      </c>
      <c r="KY6">
        <v>178651</v>
      </c>
      <c r="KZ6" t="s">
        <v>2275</v>
      </c>
      <c r="LC6" t="s">
        <v>3143</v>
      </c>
      <c r="LD6">
        <v>-2.4245362661989844E-14</v>
      </c>
      <c r="LF6">
        <v>-2.4245362661989844E-14</v>
      </c>
      <c r="LG6" t="s">
        <v>1745</v>
      </c>
      <c r="LH6">
        <v>2024</v>
      </c>
      <c r="LI6" t="s">
        <v>3144</v>
      </c>
      <c r="LJ6" s="6">
        <v>45756</v>
      </c>
      <c r="LK6">
        <v>5</v>
      </c>
      <c r="LL6">
        <v>-2.4245362661989844E-14</v>
      </c>
      <c r="LM6">
        <v>23063237</v>
      </c>
      <c r="LN6" t="s">
        <v>3145</v>
      </c>
      <c r="LS6" t="s">
        <v>3010</v>
      </c>
      <c r="LT6" t="s">
        <v>1820</v>
      </c>
      <c r="LU6">
        <v>4.0030000000000003E-2</v>
      </c>
      <c r="LV6">
        <v>2.5751620000000002</v>
      </c>
      <c r="LW6" t="s">
        <v>1762</v>
      </c>
      <c r="LX6">
        <v>2026</v>
      </c>
      <c r="LY6" t="s">
        <v>3011</v>
      </c>
      <c r="LZ6" s="6">
        <v>46063</v>
      </c>
      <c r="MA6">
        <v>5</v>
      </c>
      <c r="MB6">
        <v>1319848</v>
      </c>
      <c r="MC6">
        <v>101732</v>
      </c>
      <c r="MD6" t="s">
        <v>3012</v>
      </c>
      <c r="MG6" t="s">
        <v>2073</v>
      </c>
      <c r="MH6">
        <v>11.051456999999999</v>
      </c>
      <c r="MI6" t="s">
        <v>1786</v>
      </c>
      <c r="MJ6">
        <v>0.50820600000000005</v>
      </c>
      <c r="MK6" t="s">
        <v>1742</v>
      </c>
      <c r="ML6">
        <v>2025</v>
      </c>
      <c r="MM6" t="s">
        <v>2072</v>
      </c>
      <c r="MN6" s="6">
        <v>46001</v>
      </c>
      <c r="MO6">
        <v>5</v>
      </c>
      <c r="MP6">
        <v>83188296</v>
      </c>
      <c r="MQ6">
        <v>156923</v>
      </c>
      <c r="MR6" t="s">
        <v>2074</v>
      </c>
      <c r="MW6" t="s">
        <v>6521</v>
      </c>
      <c r="MY6">
        <v>-2.4245362661989844E-14</v>
      </c>
      <c r="MZ6">
        <v>-2.4245362661989844E-14</v>
      </c>
      <c r="NA6" t="s">
        <v>1809</v>
      </c>
      <c r="NB6">
        <v>2023</v>
      </c>
      <c r="NC6" t="s">
        <v>6522</v>
      </c>
      <c r="ND6" s="6">
        <v>44879</v>
      </c>
      <c r="NE6">
        <v>5</v>
      </c>
      <c r="NF6">
        <v>-2.4245362661989844E-14</v>
      </c>
      <c r="NG6">
        <v>917580</v>
      </c>
      <c r="NH6" t="s">
        <v>6523</v>
      </c>
      <c r="NK6" t="s">
        <v>4822</v>
      </c>
      <c r="NL6">
        <v>-2.4245362661989844E-14</v>
      </c>
      <c r="NN6">
        <v>-2.4245362661989844E-14</v>
      </c>
      <c r="NO6" t="s">
        <v>1745</v>
      </c>
      <c r="NP6">
        <v>2025</v>
      </c>
      <c r="NQ6" t="s">
        <v>4823</v>
      </c>
      <c r="NR6" s="6">
        <v>45909</v>
      </c>
      <c r="NS6">
        <v>5</v>
      </c>
      <c r="NT6">
        <v>-2.4245362661989844E-14</v>
      </c>
      <c r="NU6">
        <v>37969367</v>
      </c>
      <c r="NV6" t="s">
        <v>4824</v>
      </c>
      <c r="OA6" t="s">
        <v>6276</v>
      </c>
      <c r="OC6">
        <v>-2.4245362661989844E-14</v>
      </c>
      <c r="OD6">
        <v>-2.4245362661989844E-14</v>
      </c>
      <c r="OE6" t="s">
        <v>1745</v>
      </c>
      <c r="OF6">
        <v>2022</v>
      </c>
      <c r="OG6" t="s">
        <v>6277</v>
      </c>
      <c r="OH6" s="6">
        <v>44979</v>
      </c>
      <c r="OI6">
        <v>5</v>
      </c>
      <c r="OJ6">
        <v>-2.4245362661989844E-14</v>
      </c>
      <c r="OK6">
        <v>12097771</v>
      </c>
      <c r="OL6" t="s">
        <v>6278</v>
      </c>
      <c r="PE6" t="s">
        <v>2975</v>
      </c>
      <c r="PF6" t="s">
        <v>1769</v>
      </c>
      <c r="PG6">
        <v>0.69296100000000005</v>
      </c>
      <c r="PH6">
        <v>59.369999</v>
      </c>
      <c r="PI6" t="s">
        <v>1745</v>
      </c>
      <c r="PJ6">
        <v>2024</v>
      </c>
      <c r="PK6" t="s">
        <v>4373</v>
      </c>
      <c r="PL6" s="6">
        <v>45694</v>
      </c>
      <c r="PM6">
        <v>5</v>
      </c>
      <c r="PN6">
        <v>1484250</v>
      </c>
      <c r="PO6">
        <v>106045</v>
      </c>
      <c r="PP6" t="s">
        <v>2977</v>
      </c>
      <c r="PS6" t="s">
        <v>6196</v>
      </c>
      <c r="PT6">
        <v>-2.4245362661989844E-14</v>
      </c>
      <c r="PV6">
        <v>-2.4245362661989844E-14</v>
      </c>
      <c r="PW6" t="s">
        <v>1745</v>
      </c>
      <c r="PX6">
        <v>2022</v>
      </c>
      <c r="PY6" t="s">
        <v>6197</v>
      </c>
      <c r="PZ6" s="6">
        <v>44742</v>
      </c>
      <c r="QA6">
        <v>5</v>
      </c>
      <c r="QB6">
        <v>-2.4245362661989844E-14</v>
      </c>
      <c r="QC6">
        <v>23120697</v>
      </c>
      <c r="QD6" t="s">
        <v>6198</v>
      </c>
      <c r="SQ6" t="s">
        <v>3451</v>
      </c>
      <c r="SS6">
        <v>17</v>
      </c>
      <c r="ST6">
        <v>-2.4245362661989844E-14</v>
      </c>
      <c r="SU6" t="s">
        <v>1742</v>
      </c>
      <c r="SV6">
        <v>2025</v>
      </c>
      <c r="SW6" t="s">
        <v>3452</v>
      </c>
      <c r="SX6" s="6">
        <v>45875</v>
      </c>
      <c r="SY6">
        <v>5</v>
      </c>
      <c r="SZ6">
        <v>132662896</v>
      </c>
      <c r="TA6">
        <v>386861</v>
      </c>
      <c r="TB6" t="s">
        <v>3453</v>
      </c>
      <c r="TE6" t="s">
        <v>840</v>
      </c>
      <c r="TF6">
        <v>-2.4245362661989844E-14</v>
      </c>
      <c r="TH6">
        <v>-2.4245362661989844E-14</v>
      </c>
      <c r="TI6" t="s">
        <v>1745</v>
      </c>
      <c r="TJ6">
        <v>2022</v>
      </c>
      <c r="TK6" t="s">
        <v>5930</v>
      </c>
      <c r="TL6" s="6">
        <v>44839</v>
      </c>
      <c r="TM6">
        <v>5</v>
      </c>
      <c r="TN6">
        <v>-2.4245362661989844E-14</v>
      </c>
      <c r="TO6">
        <v>100142</v>
      </c>
      <c r="TP6" t="s">
        <v>2200</v>
      </c>
      <c r="UY6" t="s">
        <v>669</v>
      </c>
      <c r="UZ6" t="s">
        <v>1786</v>
      </c>
      <c r="VA6">
        <v>2.5734720000000002</v>
      </c>
      <c r="VB6">
        <v>6.5550290000000002</v>
      </c>
      <c r="VC6" t="s">
        <v>1809</v>
      </c>
      <c r="VD6">
        <v>2025</v>
      </c>
      <c r="VE6" t="s">
        <v>4616</v>
      </c>
      <c r="VF6" s="6">
        <v>45849</v>
      </c>
      <c r="VG6">
        <v>5</v>
      </c>
      <c r="VH6">
        <v>73285224</v>
      </c>
      <c r="VI6">
        <v>102595</v>
      </c>
      <c r="VJ6" t="s">
        <v>4617</v>
      </c>
      <c r="VM6" t="s">
        <v>2039</v>
      </c>
      <c r="VN6">
        <v>-2.4245362661989844E-14</v>
      </c>
      <c r="VP6">
        <v>-2.4245362661989844E-14</v>
      </c>
      <c r="VQ6" t="s">
        <v>1745</v>
      </c>
      <c r="VR6">
        <v>2021</v>
      </c>
      <c r="VS6" t="s">
        <v>2037</v>
      </c>
      <c r="VT6" s="6">
        <v>44693</v>
      </c>
      <c r="VU6">
        <v>5</v>
      </c>
      <c r="VV6">
        <v>-2.4245362661989844E-14</v>
      </c>
      <c r="VW6">
        <v>9288162</v>
      </c>
      <c r="VX6" t="s">
        <v>2040</v>
      </c>
    </row>
    <row r="7" spans="1:600" x14ac:dyDescent="0.25">
      <c r="A7" t="s">
        <v>1885</v>
      </c>
      <c r="B7" t="s">
        <v>1786</v>
      </c>
      <c r="C7">
        <v>0.167933</v>
      </c>
      <c r="D7">
        <v>4.0156150000000004</v>
      </c>
      <c r="E7" t="s">
        <v>1809</v>
      </c>
      <c r="F7">
        <v>2025</v>
      </c>
      <c r="G7" t="s">
        <v>2035</v>
      </c>
      <c r="H7" s="6">
        <v>45797</v>
      </c>
      <c r="I7">
        <v>5</v>
      </c>
      <c r="J7">
        <v>261416544</v>
      </c>
      <c r="K7">
        <v>216952</v>
      </c>
      <c r="L7" t="s">
        <v>1886</v>
      </c>
      <c r="O7" t="s">
        <v>1789</v>
      </c>
      <c r="P7">
        <v>3.1054590000000002</v>
      </c>
      <c r="Q7" t="s">
        <v>1786</v>
      </c>
      <c r="R7">
        <v>1.2857479999999999</v>
      </c>
      <c r="S7" t="s">
        <v>1809</v>
      </c>
      <c r="T7">
        <v>2025</v>
      </c>
      <c r="U7" t="s">
        <v>2035</v>
      </c>
      <c r="V7" s="6">
        <v>45797</v>
      </c>
      <c r="W7">
        <v>5</v>
      </c>
      <c r="X7">
        <v>451564800</v>
      </c>
      <c r="Y7">
        <v>117929</v>
      </c>
      <c r="Z7" t="s">
        <v>1791</v>
      </c>
      <c r="EU7" t="s">
        <v>2310</v>
      </c>
      <c r="EV7" t="s">
        <v>1786</v>
      </c>
      <c r="EW7">
        <v>0.484518</v>
      </c>
      <c r="EX7">
        <v>5.1271760000000004</v>
      </c>
      <c r="EY7" t="s">
        <v>1845</v>
      </c>
      <c r="EZ7">
        <v>2026</v>
      </c>
      <c r="FA7" t="s">
        <v>2311</v>
      </c>
      <c r="FB7" s="6">
        <v>46087</v>
      </c>
      <c r="FC7">
        <v>5</v>
      </c>
      <c r="FD7">
        <v>330087584</v>
      </c>
      <c r="FE7">
        <v>313657</v>
      </c>
      <c r="FF7" t="s">
        <v>2312</v>
      </c>
      <c r="FI7" t="s">
        <v>357</v>
      </c>
      <c r="FJ7">
        <v>3.7042269999999999</v>
      </c>
      <c r="FK7" t="s">
        <v>1786</v>
      </c>
      <c r="FL7">
        <v>2.2152959999999999</v>
      </c>
      <c r="FM7" t="s">
        <v>1845</v>
      </c>
      <c r="FN7">
        <v>2025</v>
      </c>
      <c r="FO7" t="s">
        <v>1887</v>
      </c>
      <c r="FP7" s="6">
        <v>46056</v>
      </c>
      <c r="FQ7">
        <v>5</v>
      </c>
      <c r="FR7">
        <v>358532160</v>
      </c>
      <c r="FS7">
        <v>1499717</v>
      </c>
      <c r="FT7" t="s">
        <v>1864</v>
      </c>
      <c r="GM7" t="s">
        <v>1814</v>
      </c>
      <c r="GN7">
        <v>-2.4245362661989844E-14</v>
      </c>
      <c r="GP7">
        <v>-2.4245362661989844E-14</v>
      </c>
      <c r="GQ7" t="s">
        <v>1745</v>
      </c>
      <c r="GR7">
        <v>2022</v>
      </c>
      <c r="GS7" t="s">
        <v>5648</v>
      </c>
      <c r="GT7" s="6">
        <v>44881</v>
      </c>
      <c r="GU7">
        <v>5</v>
      </c>
      <c r="GV7">
        <v>-2.4245362661989844E-14</v>
      </c>
      <c r="GW7">
        <v>100115</v>
      </c>
      <c r="GX7" t="s">
        <v>1816</v>
      </c>
      <c r="HC7" t="s">
        <v>5497</v>
      </c>
      <c r="HE7">
        <v>-2.4245362661989844E-14</v>
      </c>
      <c r="HF7">
        <v>-2.4245362661989844E-14</v>
      </c>
      <c r="HG7" t="s">
        <v>1745</v>
      </c>
      <c r="HH7">
        <v>2025</v>
      </c>
      <c r="HI7" t="s">
        <v>5498</v>
      </c>
      <c r="HJ7" s="6">
        <v>46070</v>
      </c>
      <c r="HK7">
        <v>5</v>
      </c>
      <c r="HL7">
        <v>-2.4245362661989844E-14</v>
      </c>
      <c r="HM7">
        <v>31691864</v>
      </c>
      <c r="HN7" t="s">
        <v>5499</v>
      </c>
      <c r="HQ7" t="s">
        <v>5417</v>
      </c>
      <c r="HR7">
        <v>6.2961179999999999</v>
      </c>
      <c r="HS7" t="s">
        <v>1786</v>
      </c>
      <c r="HT7">
        <v>23.288588000000001</v>
      </c>
      <c r="HU7" t="s">
        <v>1742</v>
      </c>
      <c r="HV7">
        <v>2025</v>
      </c>
      <c r="HW7" t="s">
        <v>2800</v>
      </c>
      <c r="HX7" s="6">
        <v>46050</v>
      </c>
      <c r="HY7">
        <v>5</v>
      </c>
      <c r="HZ7">
        <v>22304880</v>
      </c>
      <c r="IA7">
        <v>17085420</v>
      </c>
      <c r="IB7" t="s">
        <v>5418</v>
      </c>
      <c r="IG7" t="s">
        <v>3939</v>
      </c>
      <c r="IH7" t="s">
        <v>1786</v>
      </c>
      <c r="II7">
        <v>5.3387929999999999</v>
      </c>
      <c r="IJ7">
        <v>0.25423600000000002</v>
      </c>
      <c r="IK7" t="s">
        <v>1845</v>
      </c>
      <c r="IL7">
        <v>2025</v>
      </c>
      <c r="IM7" t="s">
        <v>3940</v>
      </c>
      <c r="IN7" s="6">
        <v>45862</v>
      </c>
      <c r="IO7">
        <v>5</v>
      </c>
      <c r="IP7">
        <v>2603890</v>
      </c>
      <c r="IQ7">
        <v>103234</v>
      </c>
      <c r="IR7" t="s">
        <v>3941</v>
      </c>
      <c r="IU7" t="s">
        <v>3835</v>
      </c>
      <c r="IV7">
        <v>-2.4245362661989844E-14</v>
      </c>
      <c r="IX7">
        <v>-2.4245362661989844E-14</v>
      </c>
      <c r="IY7" t="s">
        <v>1745</v>
      </c>
      <c r="IZ7">
        <v>2021</v>
      </c>
      <c r="JA7" t="s">
        <v>3836</v>
      </c>
      <c r="JB7" s="6">
        <v>44676</v>
      </c>
      <c r="JC7">
        <v>5</v>
      </c>
      <c r="JD7">
        <v>-2.4245362661989844E-14</v>
      </c>
      <c r="JE7">
        <v>40058418</v>
      </c>
      <c r="JF7" t="s">
        <v>3837</v>
      </c>
      <c r="JK7" t="s">
        <v>387</v>
      </c>
      <c r="JL7" t="s">
        <v>1786</v>
      </c>
      <c r="JM7">
        <v>3.0783999999999999E-2</v>
      </c>
      <c r="JN7">
        <v>3.1181E-2</v>
      </c>
      <c r="JO7" t="s">
        <v>1809</v>
      </c>
      <c r="JP7">
        <v>2026</v>
      </c>
      <c r="JQ7" t="s">
        <v>3442</v>
      </c>
      <c r="JR7" s="6">
        <v>45967</v>
      </c>
      <c r="JS7">
        <v>5</v>
      </c>
      <c r="JT7">
        <v>164325</v>
      </c>
      <c r="JU7">
        <v>42186257</v>
      </c>
      <c r="JV7" t="s">
        <v>2666</v>
      </c>
      <c r="JY7" t="s">
        <v>1789</v>
      </c>
      <c r="JZ7">
        <v>5.4997720000000001</v>
      </c>
      <c r="KA7" t="s">
        <v>1820</v>
      </c>
      <c r="KB7">
        <v>0.61648700000000001</v>
      </c>
      <c r="KC7" t="s">
        <v>1809</v>
      </c>
      <c r="KD7">
        <v>2025</v>
      </c>
      <c r="KE7" t="s">
        <v>5144</v>
      </c>
      <c r="KF7" s="6">
        <v>45813</v>
      </c>
      <c r="KG7">
        <v>5</v>
      </c>
      <c r="KH7">
        <v>51477864</v>
      </c>
      <c r="KI7">
        <v>117929</v>
      </c>
      <c r="KJ7" t="s">
        <v>1791</v>
      </c>
      <c r="KO7" t="s">
        <v>2972</v>
      </c>
      <c r="KP7" t="s">
        <v>1769</v>
      </c>
      <c r="KQ7">
        <v>0.56072500000000003</v>
      </c>
      <c r="KR7">
        <v>1.5883999999999999E-2</v>
      </c>
      <c r="KS7" t="s">
        <v>1745</v>
      </c>
      <c r="KT7">
        <v>2025</v>
      </c>
      <c r="KU7" t="s">
        <v>2973</v>
      </c>
      <c r="KV7" s="6">
        <v>46066</v>
      </c>
      <c r="KW7">
        <v>5</v>
      </c>
      <c r="KX7">
        <v>2177750</v>
      </c>
      <c r="KY7">
        <v>126273</v>
      </c>
      <c r="KZ7" t="s">
        <v>2974</v>
      </c>
      <c r="LC7" t="s">
        <v>2139</v>
      </c>
      <c r="LD7">
        <v>-2.4245362661989844E-14</v>
      </c>
      <c r="LF7">
        <v>-2.4245362661989844E-14</v>
      </c>
      <c r="LG7" t="s">
        <v>1809</v>
      </c>
      <c r="LH7">
        <v>2025</v>
      </c>
      <c r="LI7" t="s">
        <v>3146</v>
      </c>
      <c r="LJ7" s="6">
        <v>45799</v>
      </c>
      <c r="LK7">
        <v>5</v>
      </c>
      <c r="LL7">
        <v>-2.4245362661989844E-14</v>
      </c>
      <c r="LM7">
        <v>313021</v>
      </c>
      <c r="LN7" t="s">
        <v>2141</v>
      </c>
      <c r="LS7" t="s">
        <v>5146</v>
      </c>
      <c r="LT7" t="s">
        <v>1786</v>
      </c>
      <c r="LU7">
        <v>5.7299999999999997E-2</v>
      </c>
      <c r="LV7">
        <v>0.127605</v>
      </c>
      <c r="LW7" t="s">
        <v>1845</v>
      </c>
      <c r="LX7">
        <v>2025</v>
      </c>
      <c r="LY7" t="s">
        <v>5147</v>
      </c>
      <c r="LZ7" s="6">
        <v>46086</v>
      </c>
      <c r="MA7">
        <v>5</v>
      </c>
      <c r="MB7">
        <v>776415</v>
      </c>
      <c r="MC7">
        <v>9188256</v>
      </c>
      <c r="MD7" t="s">
        <v>5148</v>
      </c>
      <c r="MG7" t="s">
        <v>1442</v>
      </c>
      <c r="MH7">
        <v>6.9616020000000001</v>
      </c>
      <c r="MI7" t="s">
        <v>1786</v>
      </c>
      <c r="MJ7">
        <v>0.64157799999999998</v>
      </c>
      <c r="MK7" t="s">
        <v>1742</v>
      </c>
      <c r="ML7">
        <v>2025</v>
      </c>
      <c r="MM7" t="s">
        <v>2072</v>
      </c>
      <c r="MN7" s="6">
        <v>46001</v>
      </c>
      <c r="MO7">
        <v>5</v>
      </c>
      <c r="MP7">
        <v>52402484</v>
      </c>
      <c r="MQ7">
        <v>101090</v>
      </c>
      <c r="MR7" t="s">
        <v>2075</v>
      </c>
      <c r="MW7" t="s">
        <v>6524</v>
      </c>
      <c r="MY7">
        <v>-2.4245362661989844E-14</v>
      </c>
      <c r="MZ7">
        <v>-2.4245362661989844E-14</v>
      </c>
      <c r="NA7" t="s">
        <v>1745</v>
      </c>
      <c r="NB7">
        <v>2024</v>
      </c>
      <c r="NC7" t="s">
        <v>6525</v>
      </c>
      <c r="ND7" s="6">
        <v>45709</v>
      </c>
      <c r="NE7">
        <v>5</v>
      </c>
      <c r="NF7">
        <v>-2.4245362661989844E-14</v>
      </c>
      <c r="NG7">
        <v>17612746</v>
      </c>
      <c r="NH7" t="s">
        <v>6526</v>
      </c>
      <c r="NK7" t="s">
        <v>4825</v>
      </c>
      <c r="NL7">
        <v>-2.4245362661989844E-14</v>
      </c>
      <c r="NN7">
        <v>-2.4245362661989844E-14</v>
      </c>
      <c r="NO7" t="s">
        <v>1745</v>
      </c>
      <c r="NP7">
        <v>2024</v>
      </c>
      <c r="NQ7" t="s">
        <v>4826</v>
      </c>
      <c r="NR7" s="6">
        <v>45376</v>
      </c>
      <c r="NS7">
        <v>5</v>
      </c>
      <c r="NT7">
        <v>-2.4245362661989844E-14</v>
      </c>
      <c r="NU7">
        <v>39075974</v>
      </c>
      <c r="NV7" t="s">
        <v>4827</v>
      </c>
      <c r="OA7" t="s">
        <v>3369</v>
      </c>
      <c r="OC7">
        <v>-2.4245362661989844E-14</v>
      </c>
      <c r="OD7">
        <v>-2.4245362661989844E-14</v>
      </c>
      <c r="OE7" t="s">
        <v>1745</v>
      </c>
      <c r="OF7">
        <v>2021</v>
      </c>
      <c r="OG7" t="s">
        <v>3370</v>
      </c>
      <c r="OH7" s="6">
        <v>44693</v>
      </c>
      <c r="OI7">
        <v>5</v>
      </c>
      <c r="OJ7">
        <v>-2.4245362661989844E-14</v>
      </c>
      <c r="OK7">
        <v>100532</v>
      </c>
      <c r="OL7" t="s">
        <v>3371</v>
      </c>
      <c r="PE7" t="s">
        <v>2919</v>
      </c>
      <c r="PF7" t="s">
        <v>1820</v>
      </c>
      <c r="PG7">
        <v>2.2846000000000002E-2</v>
      </c>
      <c r="PH7">
        <v>2.8128380000000002</v>
      </c>
      <c r="PI7" t="s">
        <v>1742</v>
      </c>
      <c r="PJ7">
        <v>2025</v>
      </c>
      <c r="PK7" t="s">
        <v>2920</v>
      </c>
      <c r="PL7" s="6">
        <v>46029</v>
      </c>
      <c r="PM7">
        <v>5</v>
      </c>
      <c r="PN7">
        <v>1350467.19</v>
      </c>
      <c r="PO7">
        <v>115705</v>
      </c>
      <c r="PP7" t="s">
        <v>2921</v>
      </c>
      <c r="PS7" t="s">
        <v>4670</v>
      </c>
      <c r="PT7">
        <v>-2.4245362661989844E-14</v>
      </c>
      <c r="PV7">
        <v>-2.4245362661989844E-14</v>
      </c>
      <c r="PW7" t="s">
        <v>1745</v>
      </c>
      <c r="PX7">
        <v>2024</v>
      </c>
      <c r="PY7" t="s">
        <v>6199</v>
      </c>
      <c r="PZ7" s="6">
        <v>45715</v>
      </c>
      <c r="QA7">
        <v>5</v>
      </c>
      <c r="QB7">
        <v>-2.4245362661989844E-14</v>
      </c>
      <c r="QC7">
        <v>27514034</v>
      </c>
      <c r="QD7" t="s">
        <v>4672</v>
      </c>
      <c r="SQ7" t="s">
        <v>3454</v>
      </c>
      <c r="SS7">
        <v>32</v>
      </c>
      <c r="ST7">
        <v>-2.4245362661989844E-14</v>
      </c>
      <c r="SU7" t="s">
        <v>1742</v>
      </c>
      <c r="SV7">
        <v>2025</v>
      </c>
      <c r="SW7" t="s">
        <v>3455</v>
      </c>
      <c r="SX7" s="6">
        <v>45965</v>
      </c>
      <c r="SY7">
        <v>5</v>
      </c>
      <c r="SZ7">
        <v>80780800</v>
      </c>
      <c r="TA7">
        <v>60943466</v>
      </c>
      <c r="TB7" t="s">
        <v>3456</v>
      </c>
      <c r="TE7" t="s">
        <v>1870</v>
      </c>
      <c r="TF7">
        <v>-2.4245362661989844E-14</v>
      </c>
      <c r="TH7">
        <v>-2.4245362661989844E-14</v>
      </c>
      <c r="TI7" t="s">
        <v>1745</v>
      </c>
      <c r="TJ7">
        <v>2025</v>
      </c>
      <c r="TK7" t="s">
        <v>5931</v>
      </c>
      <c r="TL7" s="6">
        <v>46073</v>
      </c>
      <c r="TM7">
        <v>5</v>
      </c>
      <c r="TN7">
        <v>-2.4245362661989844E-14</v>
      </c>
      <c r="TO7">
        <v>12129192</v>
      </c>
      <c r="TP7" t="s">
        <v>1872</v>
      </c>
      <c r="UY7" t="s">
        <v>5827</v>
      </c>
      <c r="UZ7" t="s">
        <v>1820</v>
      </c>
      <c r="VA7">
        <v>0.95882900000000004</v>
      </c>
      <c r="VB7">
        <v>1.568192</v>
      </c>
      <c r="VC7" t="s">
        <v>1742</v>
      </c>
      <c r="VD7">
        <v>2025</v>
      </c>
      <c r="VE7" t="s">
        <v>5828</v>
      </c>
      <c r="VF7" s="6">
        <v>46013</v>
      </c>
      <c r="VG7">
        <v>5</v>
      </c>
      <c r="VH7">
        <v>47697634.200000003</v>
      </c>
      <c r="VI7">
        <v>11796370</v>
      </c>
      <c r="VJ7" t="s">
        <v>5829</v>
      </c>
      <c r="VM7" t="s">
        <v>2041</v>
      </c>
      <c r="VN7">
        <v>-2.4245362661989844E-14</v>
      </c>
      <c r="VP7">
        <v>-2.4245362661989844E-14</v>
      </c>
      <c r="VQ7" t="s">
        <v>1745</v>
      </c>
      <c r="VR7">
        <v>2021</v>
      </c>
      <c r="VS7" t="s">
        <v>2037</v>
      </c>
      <c r="VT7" s="6">
        <v>44693</v>
      </c>
      <c r="VU7">
        <v>5</v>
      </c>
      <c r="VV7">
        <v>-2.4245362661989844E-14</v>
      </c>
      <c r="VW7">
        <v>129208</v>
      </c>
      <c r="VX7" t="s">
        <v>2042</v>
      </c>
    </row>
    <row r="8" spans="1:600" x14ac:dyDescent="0.25">
      <c r="A8" t="s">
        <v>357</v>
      </c>
      <c r="B8" t="s">
        <v>1786</v>
      </c>
      <c r="C8">
        <v>0.893262</v>
      </c>
      <c r="D8">
        <v>1.9939499999999999</v>
      </c>
      <c r="E8" t="s">
        <v>1809</v>
      </c>
      <c r="F8">
        <v>2025</v>
      </c>
      <c r="G8" t="s">
        <v>2035</v>
      </c>
      <c r="H8" s="6">
        <v>45797</v>
      </c>
      <c r="I8">
        <v>5</v>
      </c>
      <c r="J8">
        <v>129806144</v>
      </c>
      <c r="K8">
        <v>1499717</v>
      </c>
      <c r="L8" t="s">
        <v>1864</v>
      </c>
      <c r="O8" t="s">
        <v>1814</v>
      </c>
      <c r="P8">
        <v>0.94301500000000005</v>
      </c>
      <c r="Q8" t="s">
        <v>1786</v>
      </c>
      <c r="R8">
        <v>2.2702520000000002</v>
      </c>
      <c r="S8" t="s">
        <v>1809</v>
      </c>
      <c r="T8">
        <v>2025</v>
      </c>
      <c r="U8" t="s">
        <v>1815</v>
      </c>
      <c r="V8" s="6">
        <v>45784</v>
      </c>
      <c r="W8">
        <v>5</v>
      </c>
      <c r="X8">
        <v>137123792</v>
      </c>
      <c r="Y8">
        <v>100115</v>
      </c>
      <c r="Z8" t="s">
        <v>1816</v>
      </c>
      <c r="EU8" t="s">
        <v>2383</v>
      </c>
      <c r="EV8" t="s">
        <v>1786</v>
      </c>
      <c r="EW8">
        <v>0.49171399999999998</v>
      </c>
      <c r="EX8">
        <v>4.9231530000000001</v>
      </c>
      <c r="EY8" t="s">
        <v>1762</v>
      </c>
      <c r="EZ8">
        <v>2025</v>
      </c>
      <c r="FA8" t="s">
        <v>2384</v>
      </c>
      <c r="FB8" s="6">
        <v>45889</v>
      </c>
      <c r="FC8">
        <v>5</v>
      </c>
      <c r="FD8">
        <v>286008065.88</v>
      </c>
      <c r="FE8">
        <v>119133</v>
      </c>
      <c r="FF8" t="s">
        <v>2385</v>
      </c>
      <c r="FI8" t="s">
        <v>5737</v>
      </c>
      <c r="FJ8">
        <v>2.2282519999999999</v>
      </c>
      <c r="FK8" t="s">
        <v>1786</v>
      </c>
      <c r="FL8">
        <v>0.82639099999999999</v>
      </c>
      <c r="FM8" t="s">
        <v>1762</v>
      </c>
      <c r="FN8">
        <v>2025</v>
      </c>
      <c r="FO8" t="s">
        <v>3326</v>
      </c>
      <c r="FP8" s="6">
        <v>45846</v>
      </c>
      <c r="FQ8">
        <v>5</v>
      </c>
      <c r="FR8">
        <v>169948784</v>
      </c>
      <c r="FS8">
        <v>52332183</v>
      </c>
      <c r="FT8" t="s">
        <v>5738</v>
      </c>
      <c r="GM8" t="s">
        <v>2273</v>
      </c>
      <c r="GN8">
        <v>-2.4245362661989844E-14</v>
      </c>
      <c r="GP8">
        <v>-2.4245362661989844E-14</v>
      </c>
      <c r="GQ8" t="s">
        <v>1742</v>
      </c>
      <c r="GR8">
        <v>2025</v>
      </c>
      <c r="GS8" t="s">
        <v>5649</v>
      </c>
      <c r="GT8" s="6">
        <v>45699</v>
      </c>
      <c r="GU8">
        <v>5</v>
      </c>
      <c r="GV8">
        <v>-2.4245362661989844E-14</v>
      </c>
      <c r="GW8">
        <v>178651</v>
      </c>
      <c r="GX8" t="s">
        <v>2275</v>
      </c>
      <c r="HC8" t="s">
        <v>4643</v>
      </c>
      <c r="HE8">
        <v>-2.4245362661989844E-14</v>
      </c>
      <c r="HF8">
        <v>-2.4245362661989844E-14</v>
      </c>
      <c r="HG8" t="s">
        <v>1745</v>
      </c>
      <c r="HH8">
        <v>2025</v>
      </c>
      <c r="HI8" t="s">
        <v>5498</v>
      </c>
      <c r="HJ8" s="6">
        <v>46070</v>
      </c>
      <c r="HK8">
        <v>5</v>
      </c>
      <c r="HL8">
        <v>-2.4245362661989844E-14</v>
      </c>
      <c r="HM8">
        <v>41727847</v>
      </c>
      <c r="HN8" t="s">
        <v>4644</v>
      </c>
      <c r="HQ8" t="s">
        <v>115</v>
      </c>
      <c r="HR8">
        <v>5.3469280000000001</v>
      </c>
      <c r="HS8" t="s">
        <v>1786</v>
      </c>
      <c r="HT8">
        <v>2.5586999999999999E-2</v>
      </c>
      <c r="HU8" t="s">
        <v>1742</v>
      </c>
      <c r="HV8">
        <v>2025</v>
      </c>
      <c r="HW8" t="s">
        <v>2800</v>
      </c>
      <c r="HX8" s="6">
        <v>46050</v>
      </c>
      <c r="HY8">
        <v>5</v>
      </c>
      <c r="HZ8">
        <v>18942240</v>
      </c>
      <c r="IA8">
        <v>154936</v>
      </c>
      <c r="IB8" t="s">
        <v>2146</v>
      </c>
      <c r="IG8" t="s">
        <v>2933</v>
      </c>
      <c r="IH8" t="s">
        <v>1769</v>
      </c>
      <c r="II8">
        <v>0.69626699999999997</v>
      </c>
      <c r="IJ8">
        <v>0.23098099999999999</v>
      </c>
      <c r="IK8" t="s">
        <v>1742</v>
      </c>
      <c r="IL8">
        <v>2025</v>
      </c>
      <c r="IM8" t="s">
        <v>2934</v>
      </c>
      <c r="IN8" s="6">
        <v>45959</v>
      </c>
      <c r="IO8">
        <v>5</v>
      </c>
      <c r="IP8">
        <v>1469965</v>
      </c>
      <c r="IQ8">
        <v>20264138</v>
      </c>
      <c r="IR8" t="s">
        <v>2935</v>
      </c>
      <c r="IU8" t="s">
        <v>1281</v>
      </c>
      <c r="IV8">
        <v>-2.4245362661989844E-14</v>
      </c>
      <c r="IX8">
        <v>-2.4245362661989844E-14</v>
      </c>
      <c r="IY8" t="s">
        <v>1809</v>
      </c>
      <c r="IZ8">
        <v>2024</v>
      </c>
      <c r="JA8" t="s">
        <v>3838</v>
      </c>
      <c r="JB8" s="6">
        <v>45039</v>
      </c>
      <c r="JC8">
        <v>5</v>
      </c>
      <c r="JD8">
        <v>-2.4245362661989844E-14</v>
      </c>
      <c r="JE8">
        <v>102354</v>
      </c>
      <c r="JF8" t="s">
        <v>2155</v>
      </c>
      <c r="JK8" t="s">
        <v>3443</v>
      </c>
      <c r="JM8">
        <v>-2.4245362661989844E-14</v>
      </c>
      <c r="JN8">
        <v>-2.4245362661989844E-14</v>
      </c>
      <c r="JO8" t="s">
        <v>1745</v>
      </c>
      <c r="JP8">
        <v>2021</v>
      </c>
      <c r="JQ8" t="s">
        <v>3444</v>
      </c>
      <c r="JR8" s="6">
        <v>44673</v>
      </c>
      <c r="JS8">
        <v>5</v>
      </c>
      <c r="JT8">
        <v>-2.4245362661989844E-14</v>
      </c>
      <c r="JU8">
        <v>14058192</v>
      </c>
      <c r="JV8" t="s">
        <v>3445</v>
      </c>
      <c r="JY8" t="s">
        <v>3002</v>
      </c>
      <c r="JZ8">
        <v>2.655659</v>
      </c>
      <c r="KA8" t="s">
        <v>1786</v>
      </c>
      <c r="KB8">
        <v>0.66348600000000002</v>
      </c>
      <c r="KC8" t="s">
        <v>1809</v>
      </c>
      <c r="KD8">
        <v>2025</v>
      </c>
      <c r="KE8" t="s">
        <v>5144</v>
      </c>
      <c r="KF8" s="6">
        <v>45813</v>
      </c>
      <c r="KG8">
        <v>5</v>
      </c>
      <c r="KH8">
        <v>24856968</v>
      </c>
      <c r="KI8">
        <v>163205</v>
      </c>
      <c r="KJ8" t="s">
        <v>3004</v>
      </c>
      <c r="KO8" t="s">
        <v>2975</v>
      </c>
      <c r="KP8" t="s">
        <v>1769</v>
      </c>
      <c r="KQ8">
        <v>0.78817400000000004</v>
      </c>
      <c r="KR8">
        <v>1.4283000000000001E-2</v>
      </c>
      <c r="KS8" t="s">
        <v>1745</v>
      </c>
      <c r="KT8">
        <v>2025</v>
      </c>
      <c r="KU8" t="s">
        <v>2976</v>
      </c>
      <c r="KV8" s="6">
        <v>46058</v>
      </c>
      <c r="KW8">
        <v>5</v>
      </c>
      <c r="KX8">
        <v>1958250</v>
      </c>
      <c r="KY8">
        <v>106045</v>
      </c>
      <c r="KZ8" t="s">
        <v>2977</v>
      </c>
      <c r="LC8" t="s">
        <v>733</v>
      </c>
      <c r="LD8">
        <v>-2.4245362661989844E-14</v>
      </c>
      <c r="LF8">
        <v>-2.4245362661989844E-14</v>
      </c>
      <c r="LG8" t="s">
        <v>1745</v>
      </c>
      <c r="LH8">
        <v>2022</v>
      </c>
      <c r="LI8" t="s">
        <v>3147</v>
      </c>
      <c r="LJ8" s="6">
        <v>44986</v>
      </c>
      <c r="LK8">
        <v>5</v>
      </c>
      <c r="LL8">
        <v>-2.4245362661989844E-14</v>
      </c>
      <c r="LM8">
        <v>394590</v>
      </c>
      <c r="LN8" t="s">
        <v>3148</v>
      </c>
      <c r="LS8" t="s">
        <v>4931</v>
      </c>
      <c r="LT8" t="s">
        <v>1786</v>
      </c>
      <c r="LU8">
        <v>0.27268999999999999</v>
      </c>
      <c r="LV8">
        <v>9.4684000000000004E-2</v>
      </c>
      <c r="LW8" t="s">
        <v>1762</v>
      </c>
      <c r="LX8">
        <v>2025</v>
      </c>
      <c r="LY8" t="s">
        <v>4932</v>
      </c>
      <c r="LZ8" s="6">
        <v>45911</v>
      </c>
      <c r="MA8">
        <v>5</v>
      </c>
      <c r="MB8">
        <v>551543</v>
      </c>
      <c r="MC8">
        <v>103317</v>
      </c>
      <c r="MD8" t="s">
        <v>4933</v>
      </c>
      <c r="MG8" t="s">
        <v>2076</v>
      </c>
      <c r="MH8">
        <v>5.9202700000000004</v>
      </c>
      <c r="MI8" t="s">
        <v>1786</v>
      </c>
      <c r="MJ8">
        <v>0.84899999999999998</v>
      </c>
      <c r="MK8" t="s">
        <v>1742</v>
      </c>
      <c r="ML8">
        <v>2025</v>
      </c>
      <c r="MM8" t="s">
        <v>2072</v>
      </c>
      <c r="MN8" s="6">
        <v>46001</v>
      </c>
      <c r="MO8">
        <v>5</v>
      </c>
      <c r="MP8">
        <v>44564004</v>
      </c>
      <c r="MQ8">
        <v>59907412</v>
      </c>
      <c r="MR8" t="s">
        <v>2077</v>
      </c>
      <c r="MW8" t="s">
        <v>6527</v>
      </c>
      <c r="MY8">
        <v>-2.4245362661989844E-14</v>
      </c>
      <c r="MZ8">
        <v>-2.4245362661989844E-14</v>
      </c>
      <c r="NA8" t="s">
        <v>1805</v>
      </c>
      <c r="NB8">
        <v>2023</v>
      </c>
      <c r="NC8" t="s">
        <v>6528</v>
      </c>
      <c r="ND8" s="6">
        <v>45203</v>
      </c>
      <c r="NE8">
        <v>5</v>
      </c>
      <c r="NF8">
        <v>-2.4245362661989844E-14</v>
      </c>
      <c r="NG8">
        <v>181736</v>
      </c>
      <c r="NH8" t="s">
        <v>6529</v>
      </c>
      <c r="NK8" t="s">
        <v>4828</v>
      </c>
      <c r="NL8">
        <v>-2.4245362661989844E-14</v>
      </c>
      <c r="NN8">
        <v>-2.4245362661989844E-14</v>
      </c>
      <c r="NO8" t="s">
        <v>1745</v>
      </c>
      <c r="NP8">
        <v>2024</v>
      </c>
      <c r="NQ8" t="s">
        <v>4829</v>
      </c>
      <c r="NR8" s="6">
        <v>45484</v>
      </c>
      <c r="NS8">
        <v>5</v>
      </c>
      <c r="NT8">
        <v>-2.4245362661989844E-14</v>
      </c>
      <c r="NU8">
        <v>49136358</v>
      </c>
      <c r="NV8" t="s">
        <v>4830</v>
      </c>
      <c r="OA8" t="s">
        <v>2859</v>
      </c>
      <c r="OC8">
        <v>-2.4245362661989844E-14</v>
      </c>
      <c r="OD8">
        <v>-2.4245362661989844E-14</v>
      </c>
      <c r="OE8" t="s">
        <v>1745</v>
      </c>
      <c r="OF8">
        <v>2021</v>
      </c>
      <c r="OG8" t="s">
        <v>2860</v>
      </c>
      <c r="OH8" s="6">
        <v>44693</v>
      </c>
      <c r="OI8">
        <v>5</v>
      </c>
      <c r="OJ8">
        <v>-2.4245362661989844E-14</v>
      </c>
      <c r="OK8">
        <v>54282724</v>
      </c>
      <c r="OL8" t="s">
        <v>2861</v>
      </c>
      <c r="PE8" t="s">
        <v>4374</v>
      </c>
      <c r="PG8">
        <v>-2.4245362661989844E-14</v>
      </c>
      <c r="PH8">
        <v>-2.4245362661989844E-14</v>
      </c>
      <c r="PI8" t="s">
        <v>1745</v>
      </c>
      <c r="PJ8">
        <v>2022</v>
      </c>
      <c r="PK8" t="s">
        <v>4375</v>
      </c>
      <c r="PL8" s="6">
        <v>45005</v>
      </c>
      <c r="PM8">
        <v>5</v>
      </c>
      <c r="PN8">
        <v>-2.4245362661989844E-14</v>
      </c>
      <c r="PO8">
        <v>827647</v>
      </c>
      <c r="PP8" t="s">
        <v>4376</v>
      </c>
      <c r="PS8" t="s">
        <v>5910</v>
      </c>
      <c r="PT8">
        <v>-2.4245362661989844E-14</v>
      </c>
      <c r="PV8">
        <v>-2.4245362661989844E-14</v>
      </c>
      <c r="PW8" t="s">
        <v>1745</v>
      </c>
      <c r="PX8">
        <v>2022</v>
      </c>
      <c r="PY8" t="s">
        <v>5911</v>
      </c>
      <c r="PZ8" s="6">
        <v>44862</v>
      </c>
      <c r="QA8">
        <v>5</v>
      </c>
      <c r="QB8">
        <v>-2.4245362661989844E-14</v>
      </c>
      <c r="QC8">
        <v>68654798</v>
      </c>
      <c r="QD8" t="s">
        <v>5912</v>
      </c>
      <c r="SQ8" t="s">
        <v>3457</v>
      </c>
      <c r="SS8">
        <v>5</v>
      </c>
      <c r="ST8">
        <v>-2.4245362661989844E-14</v>
      </c>
      <c r="SU8" t="s">
        <v>1745</v>
      </c>
      <c r="SV8">
        <v>2025</v>
      </c>
      <c r="SW8" t="s">
        <v>3458</v>
      </c>
      <c r="SX8" s="6">
        <v>45722</v>
      </c>
      <c r="SY8">
        <v>5</v>
      </c>
      <c r="SZ8">
        <v>76637504</v>
      </c>
      <c r="TA8">
        <v>101697</v>
      </c>
      <c r="TB8" t="s">
        <v>3459</v>
      </c>
      <c r="TE8" t="s">
        <v>5932</v>
      </c>
      <c r="TF8">
        <v>-2.4245362661989844E-14</v>
      </c>
      <c r="TH8">
        <v>-2.4245362661989844E-14</v>
      </c>
      <c r="TI8" t="s">
        <v>1745</v>
      </c>
      <c r="TJ8">
        <v>2023</v>
      </c>
      <c r="TK8" t="s">
        <v>5933</v>
      </c>
      <c r="TL8" s="6">
        <v>45412</v>
      </c>
      <c r="TM8">
        <v>5</v>
      </c>
      <c r="TN8">
        <v>-2.4245362661989844E-14</v>
      </c>
      <c r="TO8">
        <v>9307910</v>
      </c>
      <c r="TP8" t="s">
        <v>5934</v>
      </c>
      <c r="UY8" t="s">
        <v>2671</v>
      </c>
      <c r="UZ8" t="s">
        <v>1820</v>
      </c>
      <c r="VA8">
        <v>0.77759999999999996</v>
      </c>
      <c r="VB8">
        <v>0.35574</v>
      </c>
      <c r="VC8" t="s">
        <v>1762</v>
      </c>
      <c r="VD8">
        <v>2026</v>
      </c>
      <c r="VE8" t="s">
        <v>2672</v>
      </c>
      <c r="VF8" s="6">
        <v>45894</v>
      </c>
      <c r="VG8">
        <v>5</v>
      </c>
      <c r="VH8">
        <v>10714893</v>
      </c>
      <c r="VI8">
        <v>100487</v>
      </c>
      <c r="VJ8" t="s">
        <v>2673</v>
      </c>
      <c r="VM8" t="s">
        <v>2043</v>
      </c>
      <c r="VN8">
        <v>-2.4245362661989844E-14</v>
      </c>
      <c r="VP8">
        <v>-2.4245362661989844E-14</v>
      </c>
      <c r="VQ8" t="s">
        <v>1745</v>
      </c>
      <c r="VR8">
        <v>2021</v>
      </c>
      <c r="VS8" t="s">
        <v>2037</v>
      </c>
      <c r="VT8" s="6">
        <v>44693</v>
      </c>
      <c r="VU8">
        <v>5</v>
      </c>
      <c r="VV8">
        <v>-2.4245362661989844E-14</v>
      </c>
      <c r="VW8">
        <v>118099</v>
      </c>
      <c r="VX8" t="s">
        <v>2044</v>
      </c>
    </row>
    <row r="9" spans="1:600" x14ac:dyDescent="0.25">
      <c r="A9" t="s">
        <v>2512</v>
      </c>
      <c r="B9" t="s">
        <v>1786</v>
      </c>
      <c r="C9">
        <v>0.59890299999999996</v>
      </c>
      <c r="D9">
        <v>1.729209</v>
      </c>
      <c r="E9" t="s">
        <v>1809</v>
      </c>
      <c r="F9">
        <v>2025</v>
      </c>
      <c r="G9" t="s">
        <v>2035</v>
      </c>
      <c r="H9" s="6">
        <v>45797</v>
      </c>
      <c r="I9">
        <v>5</v>
      </c>
      <c r="J9">
        <v>112571504</v>
      </c>
      <c r="K9">
        <v>130929</v>
      </c>
      <c r="L9" t="s">
        <v>2513</v>
      </c>
      <c r="O9" t="s">
        <v>167</v>
      </c>
      <c r="P9">
        <v>0.76780499999999996</v>
      </c>
      <c r="Q9" t="s">
        <v>1786</v>
      </c>
      <c r="R9">
        <v>2.2920660000000002</v>
      </c>
      <c r="S9" t="s">
        <v>1809</v>
      </c>
      <c r="T9">
        <v>2025</v>
      </c>
      <c r="U9" t="s">
        <v>2035</v>
      </c>
      <c r="V9" s="6">
        <v>45797</v>
      </c>
      <c r="W9">
        <v>5</v>
      </c>
      <c r="X9">
        <v>111646528</v>
      </c>
      <c r="Y9">
        <v>69423747</v>
      </c>
      <c r="Z9" t="s">
        <v>2036</v>
      </c>
      <c r="EU9" t="s">
        <v>2512</v>
      </c>
      <c r="EV9" t="s">
        <v>1786</v>
      </c>
      <c r="EW9">
        <v>1.087032</v>
      </c>
      <c r="EX9">
        <v>3.6755100000000001</v>
      </c>
      <c r="EY9" t="s">
        <v>1742</v>
      </c>
      <c r="EZ9">
        <v>2025</v>
      </c>
      <c r="FA9" t="s">
        <v>2824</v>
      </c>
      <c r="FB9" s="6">
        <v>45727</v>
      </c>
      <c r="FC9">
        <v>5</v>
      </c>
      <c r="FD9">
        <v>204321584</v>
      </c>
      <c r="FE9">
        <v>130929</v>
      </c>
      <c r="FF9" t="s">
        <v>2513</v>
      </c>
      <c r="FI9" t="s">
        <v>424</v>
      </c>
      <c r="FJ9">
        <v>1.7294510000000001</v>
      </c>
      <c r="FK9" t="s">
        <v>1786</v>
      </c>
      <c r="FL9">
        <v>0.60178500000000001</v>
      </c>
      <c r="FM9" t="s">
        <v>1762</v>
      </c>
      <c r="FN9">
        <v>2025</v>
      </c>
      <c r="FO9" t="s">
        <v>3326</v>
      </c>
      <c r="FP9" s="6">
        <v>45846</v>
      </c>
      <c r="FQ9">
        <v>5</v>
      </c>
      <c r="FR9">
        <v>131905232</v>
      </c>
      <c r="FS9">
        <v>101743</v>
      </c>
      <c r="FT9" t="s">
        <v>1891</v>
      </c>
      <c r="GM9" t="s">
        <v>1873</v>
      </c>
      <c r="GN9">
        <v>-2.4245362661989844E-14</v>
      </c>
      <c r="GP9">
        <v>-2.4245362661989844E-14</v>
      </c>
      <c r="GQ9" t="s">
        <v>1805</v>
      </c>
      <c r="GR9">
        <v>2022</v>
      </c>
      <c r="GS9" t="s">
        <v>5650</v>
      </c>
      <c r="GT9" s="6">
        <v>44957</v>
      </c>
      <c r="GU9">
        <v>5</v>
      </c>
      <c r="GV9">
        <v>-2.4245362661989844E-14</v>
      </c>
      <c r="GW9">
        <v>349049</v>
      </c>
      <c r="GX9" t="s">
        <v>1875</v>
      </c>
      <c r="HC9" t="s">
        <v>5500</v>
      </c>
      <c r="HE9">
        <v>-2.4245362661989844E-14</v>
      </c>
      <c r="HF9">
        <v>-2.4245362661989844E-14</v>
      </c>
      <c r="HG9" t="s">
        <v>1745</v>
      </c>
      <c r="HH9">
        <v>2025</v>
      </c>
      <c r="HI9" t="s">
        <v>5498</v>
      </c>
      <c r="HJ9" s="6">
        <v>46070</v>
      </c>
      <c r="HK9">
        <v>5</v>
      </c>
      <c r="HL9">
        <v>-2.4245362661989844E-14</v>
      </c>
      <c r="HM9">
        <v>368569</v>
      </c>
      <c r="HN9" t="s">
        <v>5501</v>
      </c>
      <c r="HQ9" t="s">
        <v>2147</v>
      </c>
      <c r="HR9">
        <v>5.0477600000000002</v>
      </c>
      <c r="HS9" t="s">
        <v>1786</v>
      </c>
      <c r="HT9">
        <v>2.2138999999999999E-2</v>
      </c>
      <c r="HU9" t="s">
        <v>1742</v>
      </c>
      <c r="HV9">
        <v>2025</v>
      </c>
      <c r="HW9" t="s">
        <v>2800</v>
      </c>
      <c r="HX9" s="6">
        <v>46050</v>
      </c>
      <c r="HY9">
        <v>5</v>
      </c>
      <c r="HZ9">
        <v>17882396</v>
      </c>
      <c r="IA9">
        <v>156969</v>
      </c>
      <c r="IB9" t="s">
        <v>2148</v>
      </c>
      <c r="IG9" t="s">
        <v>3942</v>
      </c>
      <c r="IH9" t="s">
        <v>1786</v>
      </c>
      <c r="II9">
        <v>0.57500300000000004</v>
      </c>
      <c r="IJ9">
        <v>8.1714999999999996E-2</v>
      </c>
      <c r="IK9" t="s">
        <v>1742</v>
      </c>
      <c r="IL9">
        <v>2025</v>
      </c>
      <c r="IM9" t="s">
        <v>3943</v>
      </c>
      <c r="IN9" s="6">
        <v>45819</v>
      </c>
      <c r="IO9">
        <v>5</v>
      </c>
      <c r="IP9">
        <v>836930</v>
      </c>
      <c r="IQ9">
        <v>101531</v>
      </c>
      <c r="IR9" t="s">
        <v>3944</v>
      </c>
      <c r="IU9" t="s">
        <v>3839</v>
      </c>
      <c r="IV9">
        <v>-2.4245362661989844E-14</v>
      </c>
      <c r="IX9">
        <v>-2.4245362661989844E-14</v>
      </c>
      <c r="IY9" t="s">
        <v>1809</v>
      </c>
      <c r="IZ9">
        <v>2025</v>
      </c>
      <c r="JA9" t="s">
        <v>3840</v>
      </c>
      <c r="JB9" s="6">
        <v>45544</v>
      </c>
      <c r="JC9">
        <v>5</v>
      </c>
      <c r="JD9">
        <v>-2.4245362661989844E-14</v>
      </c>
      <c r="JE9">
        <v>100386</v>
      </c>
      <c r="JF9" t="s">
        <v>3841</v>
      </c>
      <c r="JK9" t="s">
        <v>3446</v>
      </c>
      <c r="JM9">
        <v>-2.4245362661989844E-14</v>
      </c>
      <c r="JN9">
        <v>-2.4245362661989844E-14</v>
      </c>
      <c r="JO9" t="s">
        <v>1805</v>
      </c>
      <c r="JP9">
        <v>2025</v>
      </c>
      <c r="JQ9" t="s">
        <v>3447</v>
      </c>
      <c r="JR9" s="6">
        <v>45886</v>
      </c>
      <c r="JS9">
        <v>5</v>
      </c>
      <c r="JT9">
        <v>-2.4245362661989844E-14</v>
      </c>
      <c r="JU9">
        <v>48116636</v>
      </c>
      <c r="JV9" t="s">
        <v>3448</v>
      </c>
      <c r="JY9" t="s">
        <v>5240</v>
      </c>
      <c r="JZ9">
        <v>2.633435</v>
      </c>
      <c r="KA9" t="s">
        <v>1786</v>
      </c>
      <c r="KB9">
        <v>11.472034000000001</v>
      </c>
      <c r="KC9" t="s">
        <v>1798</v>
      </c>
      <c r="KD9">
        <v>2025</v>
      </c>
      <c r="KE9" t="s">
        <v>5241</v>
      </c>
      <c r="KF9" s="6">
        <v>45974</v>
      </c>
      <c r="KG9">
        <v>5</v>
      </c>
      <c r="KH9">
        <v>25179579.969999999</v>
      </c>
      <c r="KI9">
        <v>44606377</v>
      </c>
      <c r="KJ9" t="s">
        <v>5242</v>
      </c>
      <c r="KO9" t="s">
        <v>2978</v>
      </c>
      <c r="KP9" t="s">
        <v>1769</v>
      </c>
      <c r="KQ9">
        <v>0.777281</v>
      </c>
      <c r="KR9">
        <v>1.0723999999999999E-2</v>
      </c>
      <c r="KS9" t="s">
        <v>1745</v>
      </c>
      <c r="KT9">
        <v>2024</v>
      </c>
      <c r="KU9" t="s">
        <v>2979</v>
      </c>
      <c r="KV9" s="6">
        <v>45694</v>
      </c>
      <c r="KW9">
        <v>5</v>
      </c>
      <c r="KX9">
        <v>1463750</v>
      </c>
      <c r="KY9">
        <v>106543</v>
      </c>
      <c r="KZ9" t="s">
        <v>2980</v>
      </c>
      <c r="LC9" t="s">
        <v>3149</v>
      </c>
      <c r="LD9">
        <v>-2.4245362661989844E-14</v>
      </c>
      <c r="LF9">
        <v>-2.4245362661989844E-14</v>
      </c>
      <c r="LG9" t="s">
        <v>1745</v>
      </c>
      <c r="LH9">
        <v>2023</v>
      </c>
      <c r="LI9" t="s">
        <v>3150</v>
      </c>
      <c r="LJ9" s="6">
        <v>45175</v>
      </c>
      <c r="LK9">
        <v>5</v>
      </c>
      <c r="LL9">
        <v>-2.4245362661989844E-14</v>
      </c>
      <c r="LM9">
        <v>100555</v>
      </c>
      <c r="LN9" t="s">
        <v>3151</v>
      </c>
      <c r="LS9" t="s">
        <v>5149</v>
      </c>
      <c r="LT9" t="s">
        <v>1786</v>
      </c>
      <c r="LU9">
        <v>1.3659460000000001</v>
      </c>
      <c r="LV9">
        <v>9.8289000000000001E-2</v>
      </c>
      <c r="LW9" t="s">
        <v>1809</v>
      </c>
      <c r="LX9">
        <v>2025</v>
      </c>
      <c r="LY9" t="s">
        <v>5150</v>
      </c>
      <c r="LZ9" s="6">
        <v>45825</v>
      </c>
      <c r="MA9">
        <v>5</v>
      </c>
      <c r="MB9">
        <v>508815.5</v>
      </c>
      <c r="MC9">
        <v>24363542</v>
      </c>
      <c r="MD9" t="s">
        <v>5151</v>
      </c>
      <c r="MG9" t="s">
        <v>2078</v>
      </c>
      <c r="MH9">
        <v>5.4225099999999999</v>
      </c>
      <c r="MI9" t="s">
        <v>1786</v>
      </c>
      <c r="MJ9">
        <v>0.24113100000000001</v>
      </c>
      <c r="MK9" t="s">
        <v>1742</v>
      </c>
      <c r="ML9">
        <v>2025</v>
      </c>
      <c r="MM9" t="s">
        <v>2072</v>
      </c>
      <c r="MN9" s="6">
        <v>46001</v>
      </c>
      <c r="MO9">
        <v>5</v>
      </c>
      <c r="MP9">
        <v>40817184</v>
      </c>
      <c r="MQ9">
        <v>136983</v>
      </c>
      <c r="MR9" t="s">
        <v>2079</v>
      </c>
      <c r="MW9" t="s">
        <v>1667</v>
      </c>
      <c r="MY9">
        <v>-2.4245362661989844E-14</v>
      </c>
      <c r="MZ9">
        <v>-2.4245362661989844E-14</v>
      </c>
      <c r="NA9" t="s">
        <v>1745</v>
      </c>
      <c r="NB9">
        <v>2021</v>
      </c>
      <c r="NC9" t="s">
        <v>4571</v>
      </c>
      <c r="ND9" s="6">
        <v>44693</v>
      </c>
      <c r="NE9">
        <v>5</v>
      </c>
      <c r="NF9">
        <v>-2.4245362661989844E-14</v>
      </c>
      <c r="NG9">
        <v>101370</v>
      </c>
      <c r="NH9" t="s">
        <v>1830</v>
      </c>
      <c r="NK9" t="s">
        <v>4831</v>
      </c>
      <c r="NL9">
        <v>-2.4245362661989844E-14</v>
      </c>
      <c r="NN9">
        <v>-2.4245362661989844E-14</v>
      </c>
      <c r="NO9" t="s">
        <v>1745</v>
      </c>
      <c r="NP9">
        <v>2023</v>
      </c>
      <c r="NQ9" t="s">
        <v>4832</v>
      </c>
      <c r="NR9" s="6">
        <v>45302</v>
      </c>
      <c r="NS9">
        <v>5</v>
      </c>
      <c r="NT9">
        <v>-2.4245362661989844E-14</v>
      </c>
      <c r="NU9">
        <v>69221745</v>
      </c>
      <c r="NV9" t="s">
        <v>4833</v>
      </c>
      <c r="OA9" t="s">
        <v>6447</v>
      </c>
      <c r="OC9">
        <v>-2.4245362661989844E-14</v>
      </c>
      <c r="OD9">
        <v>-2.4245362661989844E-14</v>
      </c>
      <c r="OE9" t="s">
        <v>1745</v>
      </c>
      <c r="OF9">
        <v>2022</v>
      </c>
      <c r="OG9" t="s">
        <v>6448</v>
      </c>
      <c r="OH9" s="6">
        <v>44980</v>
      </c>
      <c r="OI9">
        <v>5</v>
      </c>
      <c r="OJ9">
        <v>-2.4245362661989844E-14</v>
      </c>
      <c r="OK9">
        <v>105125</v>
      </c>
      <c r="OL9" t="s">
        <v>6449</v>
      </c>
      <c r="PE9" t="s">
        <v>4377</v>
      </c>
      <c r="PG9">
        <v>-2.4245362661989844E-14</v>
      </c>
      <c r="PH9">
        <v>-2.4245362661989844E-14</v>
      </c>
      <c r="PI9" t="s">
        <v>1742</v>
      </c>
      <c r="PJ9">
        <v>2025</v>
      </c>
      <c r="PK9" t="s">
        <v>4378</v>
      </c>
      <c r="PL9" s="6">
        <v>45965</v>
      </c>
      <c r="PM9">
        <v>5</v>
      </c>
      <c r="PN9">
        <v>-2.4245362661989844E-14</v>
      </c>
      <c r="PO9">
        <v>51446588</v>
      </c>
      <c r="PP9" t="s">
        <v>4379</v>
      </c>
      <c r="PS9" t="s">
        <v>6200</v>
      </c>
      <c r="PT9">
        <v>-2.4245362661989844E-14</v>
      </c>
      <c r="PV9">
        <v>-2.4245362661989844E-14</v>
      </c>
      <c r="PW9" t="s">
        <v>1745</v>
      </c>
      <c r="PX9">
        <v>2024</v>
      </c>
      <c r="PY9" t="s">
        <v>6201</v>
      </c>
      <c r="PZ9" s="6">
        <v>45328</v>
      </c>
      <c r="QA9">
        <v>5</v>
      </c>
      <c r="QB9">
        <v>-2.4245362661989844E-14</v>
      </c>
      <c r="QC9">
        <v>105831</v>
      </c>
      <c r="QD9" t="s">
        <v>6202</v>
      </c>
      <c r="SQ9" t="s">
        <v>3460</v>
      </c>
      <c r="SS9">
        <v>11</v>
      </c>
      <c r="ST9">
        <v>-2.4245362661989844E-14</v>
      </c>
      <c r="SU9" t="s">
        <v>1809</v>
      </c>
      <c r="SV9">
        <v>2025</v>
      </c>
      <c r="SW9" t="s">
        <v>3461</v>
      </c>
      <c r="SX9" s="6">
        <v>45785</v>
      </c>
      <c r="SY9">
        <v>5</v>
      </c>
      <c r="SZ9">
        <v>436249</v>
      </c>
      <c r="TA9">
        <v>171038</v>
      </c>
      <c r="TB9" t="s">
        <v>3462</v>
      </c>
      <c r="TE9" t="s">
        <v>2139</v>
      </c>
      <c r="TF9">
        <v>-2.4245362661989844E-14</v>
      </c>
      <c r="TH9">
        <v>-2.4245362661989844E-14</v>
      </c>
      <c r="TI9" t="s">
        <v>1745</v>
      </c>
      <c r="TJ9">
        <v>2025</v>
      </c>
      <c r="TK9" t="s">
        <v>5935</v>
      </c>
      <c r="TL9" s="6">
        <v>46077</v>
      </c>
      <c r="TM9">
        <v>5</v>
      </c>
      <c r="TN9">
        <v>-2.4245362661989844E-14</v>
      </c>
      <c r="TO9">
        <v>313021</v>
      </c>
      <c r="TP9" t="s">
        <v>2141</v>
      </c>
      <c r="UY9" t="s">
        <v>2864</v>
      </c>
      <c r="UZ9" t="s">
        <v>1786</v>
      </c>
      <c r="VA9">
        <v>0.60481300000000005</v>
      </c>
      <c r="VB9">
        <v>0.89159200000000005</v>
      </c>
      <c r="VC9" t="s">
        <v>1809</v>
      </c>
      <c r="VD9">
        <v>2025</v>
      </c>
      <c r="VE9" t="s">
        <v>2865</v>
      </c>
      <c r="VF9" s="6">
        <v>45863</v>
      </c>
      <c r="VG9">
        <v>5</v>
      </c>
      <c r="VH9">
        <v>9967996</v>
      </c>
      <c r="VI9">
        <v>10832677</v>
      </c>
      <c r="VJ9" t="s">
        <v>2866</v>
      </c>
      <c r="VM9" t="s">
        <v>1789</v>
      </c>
      <c r="VN9">
        <v>-2.4245362661989844E-14</v>
      </c>
      <c r="VP9">
        <v>-2.4245362661989844E-14</v>
      </c>
      <c r="VQ9" t="s">
        <v>1745</v>
      </c>
      <c r="VR9">
        <v>2021</v>
      </c>
      <c r="VS9" t="s">
        <v>2037</v>
      </c>
      <c r="VT9" s="6">
        <v>44693</v>
      </c>
      <c r="VU9">
        <v>5</v>
      </c>
      <c r="VV9">
        <v>-2.4245362661989844E-14</v>
      </c>
      <c r="VW9">
        <v>117929</v>
      </c>
      <c r="VX9" t="s">
        <v>1791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815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816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817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818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819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820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821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822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823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824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825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826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827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828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829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830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831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832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833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201</v>
      </c>
      <c r="AE2" s="3" t="s">
        <v>834</v>
      </c>
      <c r="BI2" s="3" t="s">
        <v>835</v>
      </c>
      <c r="CM2" s="3" t="s">
        <v>205</v>
      </c>
      <c r="DQ2" s="3" t="s">
        <v>836</v>
      </c>
      <c r="EU2" s="3" t="s">
        <v>353</v>
      </c>
      <c r="FY2" s="3" t="s">
        <v>837</v>
      </c>
      <c r="HC2" s="3" t="s">
        <v>454</v>
      </c>
      <c r="IG2" s="3" t="s">
        <v>838</v>
      </c>
      <c r="JK2" s="3" t="s">
        <v>248</v>
      </c>
      <c r="KO2" s="3" t="s">
        <v>385</v>
      </c>
      <c r="LS2" s="3" t="s">
        <v>839</v>
      </c>
      <c r="MW2" s="3" t="s">
        <v>431</v>
      </c>
      <c r="OA2" s="3" t="s">
        <v>840</v>
      </c>
      <c r="PE2" s="3" t="s">
        <v>841</v>
      </c>
      <c r="QI2" s="3" t="s">
        <v>842</v>
      </c>
      <c r="RM2" s="3" t="s">
        <v>390</v>
      </c>
      <c r="SQ2" s="3" t="s">
        <v>843</v>
      </c>
      <c r="TU2" s="3" t="s">
        <v>844</v>
      </c>
      <c r="UY2" s="3" t="s">
        <v>845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_xll.BDS("AGN US Equity","SUPPLY_CHAIN_SUPPLIERS_ALL_DATA","cols=12;rows=5")</f>
        <v>AEE US Equity</v>
      </c>
      <c r="C5">
        <v>-2.4245362661989844E-14</v>
      </c>
      <c r="D5">
        <v>-2.4245362661989844E-14</v>
      </c>
      <c r="E5" t="s">
        <v>1745</v>
      </c>
      <c r="F5">
        <v>2021</v>
      </c>
      <c r="G5" t="s">
        <v>2281</v>
      </c>
      <c r="H5" s="6">
        <v>44693</v>
      </c>
      <c r="I5">
        <v>5</v>
      </c>
      <c r="J5">
        <v>-2.4245362661989844E-14</v>
      </c>
      <c r="K5">
        <v>313098</v>
      </c>
      <c r="L5" t="s">
        <v>2282</v>
      </c>
      <c r="O5" t="str">
        <f>_xll.BDS("AGN US Equity","SUPPLY_CHAIN_CUSTOMERS_ALL_DATA","cols=12;rows=1")</f>
        <v>4569 JP Equity</v>
      </c>
      <c r="P5">
        <v>-2.4245362661989844E-14</v>
      </c>
      <c r="R5">
        <v>-2.4245362661989844E-14</v>
      </c>
      <c r="S5" t="s">
        <v>1745</v>
      </c>
      <c r="T5">
        <v>2022</v>
      </c>
      <c r="U5" t="s">
        <v>3152</v>
      </c>
      <c r="V5" s="6">
        <v>44736</v>
      </c>
      <c r="W5">
        <v>1</v>
      </c>
      <c r="X5">
        <v>-2.4245362661989844E-14</v>
      </c>
      <c r="Y5">
        <v>10499395</v>
      </c>
      <c r="Z5" t="s">
        <v>3153</v>
      </c>
      <c r="AE5" t="str">
        <f>_xll.BDS("AVNT US Equity","SUPPLY_CHAIN_SUPPLIERS_ALL_DATA","cols=12;rows=5")</f>
        <v>DOW US Equity</v>
      </c>
      <c r="AF5" t="s">
        <v>1786</v>
      </c>
      <c r="AG5">
        <v>8.8497999999999993E-2</v>
      </c>
      <c r="AH5">
        <v>1.690933</v>
      </c>
      <c r="AI5" t="s">
        <v>1809</v>
      </c>
      <c r="AJ5">
        <v>2025</v>
      </c>
      <c r="AK5" t="s">
        <v>5574</v>
      </c>
      <c r="AL5" s="6">
        <v>45786</v>
      </c>
      <c r="AM5">
        <v>5</v>
      </c>
      <c r="AN5">
        <v>9231226</v>
      </c>
      <c r="AO5">
        <v>48365107</v>
      </c>
      <c r="AP5" t="s">
        <v>5575</v>
      </c>
      <c r="AS5" t="str">
        <f>_xll.BDS("AVNT US Equity","SUPPLY_CHAIN_CUSTOMERS_ALL_DATA","cols=12;rows=5")</f>
        <v>TSLA US Equity</v>
      </c>
      <c r="AT5">
        <v>2.576384</v>
      </c>
      <c r="AU5" t="s">
        <v>1786</v>
      </c>
      <c r="AV5">
        <v>9.0582999999999997E-2</v>
      </c>
      <c r="AW5" t="s">
        <v>1742</v>
      </c>
      <c r="AX5">
        <v>2025</v>
      </c>
      <c r="AY5" t="s">
        <v>5453</v>
      </c>
      <c r="AZ5" s="6">
        <v>45978</v>
      </c>
      <c r="BA5">
        <v>5</v>
      </c>
      <c r="BB5">
        <v>20871288</v>
      </c>
      <c r="BC5">
        <v>11948451</v>
      </c>
      <c r="BD5" t="s">
        <v>5454</v>
      </c>
      <c r="BI5" t="str">
        <f>_xll.BDS("GTIV US Equity","SUPPLY_CHAIN_SUPPLIERS_ALL_DATA")</f>
        <v>#N/A N/A</v>
      </c>
      <c r="BW5" t="str">
        <f>_xll.BDS("GTIV US Equity","SUPPLY_CHAIN_CUSTOMERS_ALL_DATA")</f>
        <v>#N/A N/A</v>
      </c>
      <c r="CM5" t="str">
        <f>_xll.BDS("MRK US Equity","SUPPLY_CHAIN_SUPPLIERS_ALL_DATA","cols=12;rows=5")</f>
        <v>AZN LN Equity</v>
      </c>
      <c r="CN5" t="s">
        <v>1786</v>
      </c>
      <c r="CO5">
        <v>1.1917120000000001</v>
      </c>
      <c r="CP5">
        <v>4.272983</v>
      </c>
      <c r="CQ5" t="s">
        <v>1745</v>
      </c>
      <c r="CR5">
        <v>2025</v>
      </c>
      <c r="CS5" t="s">
        <v>5322</v>
      </c>
      <c r="CT5" s="6">
        <v>46077</v>
      </c>
      <c r="CU5">
        <v>5</v>
      </c>
      <c r="CV5">
        <v>175000000</v>
      </c>
      <c r="CW5">
        <v>111093</v>
      </c>
      <c r="CX5" t="s">
        <v>2414</v>
      </c>
      <c r="DA5" t="str">
        <f>_xll.BDS("MRK US Equity","SUPPLY_CHAIN_CUSTOMERS_ALL_DATA","cols=12;rows=5")</f>
        <v>COR US Equity</v>
      </c>
      <c r="DB5">
        <v>9.6931790000000007</v>
      </c>
      <c r="DC5" t="s">
        <v>1786</v>
      </c>
      <c r="DD5">
        <v>2.073159</v>
      </c>
      <c r="DE5" t="s">
        <v>1742</v>
      </c>
      <c r="DF5">
        <v>2025</v>
      </c>
      <c r="DG5" t="s">
        <v>2224</v>
      </c>
      <c r="DH5" s="6">
        <v>45985</v>
      </c>
      <c r="DI5">
        <v>5</v>
      </c>
      <c r="DJ5">
        <v>1674593664</v>
      </c>
      <c r="DK5">
        <v>156969</v>
      </c>
      <c r="DL5" t="s">
        <v>2148</v>
      </c>
      <c r="DQ5" t="str">
        <f>_xll.BDS("1545746D US Equity","SUPPLY_CHAIN_SUPPLIERS_ALL_DATA")</f>
        <v>#N/A N/A</v>
      </c>
      <c r="EE5" t="str">
        <f>_xll.BDS("1545746D US Equity","SUPPLY_CHAIN_CUSTOMERS_ALL_DATA")</f>
        <v>#N/A N/A</v>
      </c>
      <c r="EU5" t="str">
        <f>_xll.BDS("PCH US Equity","SUPPLY_CHAIN_SUPPLIERS_ALL_DATA","cols=12;rows=1")</f>
        <v>ETR US Equity</v>
      </c>
      <c r="EW5">
        <v>-2.4245362661989844E-14</v>
      </c>
      <c r="EX5">
        <v>-2.4245362661989844E-14</v>
      </c>
      <c r="EY5" t="s">
        <v>1745</v>
      </c>
      <c r="EZ5">
        <v>2021</v>
      </c>
      <c r="FA5" t="s">
        <v>3370</v>
      </c>
      <c r="FB5" s="6">
        <v>44693</v>
      </c>
      <c r="FC5">
        <v>1</v>
      </c>
      <c r="FD5">
        <v>-2.4245362661989844E-14</v>
      </c>
      <c r="FE5">
        <v>100532</v>
      </c>
      <c r="FF5" t="s">
        <v>3371</v>
      </c>
      <c r="FI5" t="str">
        <f>_xll.BDS("PCH US Equity","SUPPLY_CHAIN_CUSTOMERS_ALL_DATA","cols=12;rows=1")</f>
        <v>TTI US Equity</v>
      </c>
      <c r="FJ5">
        <v>-2.4245362661989844E-14</v>
      </c>
      <c r="FL5">
        <v>-2.4245362661989844E-14</v>
      </c>
      <c r="FM5" t="s">
        <v>1745</v>
      </c>
      <c r="FN5">
        <v>2025</v>
      </c>
      <c r="FO5" t="s">
        <v>5123</v>
      </c>
      <c r="FP5" s="6">
        <v>45693</v>
      </c>
      <c r="FQ5">
        <v>1</v>
      </c>
      <c r="FR5">
        <v>-2.4245362661989844E-14</v>
      </c>
      <c r="FS5">
        <v>107445</v>
      </c>
      <c r="FT5" t="s">
        <v>5124</v>
      </c>
      <c r="FY5" t="str">
        <f>_xll.BDS("MKL US Equity","SUPPLY_CHAIN_SUPPLIERS_ALL_DATA","cols=12;rows=2")</f>
        <v>ABL NO Equity</v>
      </c>
      <c r="GA5">
        <v>-2.4245362661989844E-14</v>
      </c>
      <c r="GB5">
        <v>-2.4245362661989844E-14</v>
      </c>
      <c r="GC5" t="s">
        <v>1745</v>
      </c>
      <c r="GD5">
        <v>2023</v>
      </c>
      <c r="GE5" t="s">
        <v>2926</v>
      </c>
      <c r="GF5" s="6">
        <v>45618</v>
      </c>
      <c r="GG5">
        <v>2</v>
      </c>
      <c r="GH5">
        <v>-2.4245362661989844E-14</v>
      </c>
      <c r="GI5">
        <v>40899058</v>
      </c>
      <c r="GJ5" t="s">
        <v>2927</v>
      </c>
      <c r="GM5" t="str">
        <f>_xll.BDS("MKL US Equity","SUPPLY_CHAIN_CUSTOMERS_ALL_DATA","cols=12;rows=2")</f>
        <v>005380 KS Equity</v>
      </c>
      <c r="GN5">
        <v>-2.4245362661989844E-14</v>
      </c>
      <c r="GP5">
        <v>-2.4245362661989844E-14</v>
      </c>
      <c r="GQ5" t="s">
        <v>1742</v>
      </c>
      <c r="GR5">
        <v>2022</v>
      </c>
      <c r="GS5" t="s">
        <v>6548</v>
      </c>
      <c r="GT5" s="6">
        <v>44869</v>
      </c>
      <c r="GU5">
        <v>2</v>
      </c>
      <c r="GV5">
        <v>-2.4245362661989844E-14</v>
      </c>
      <c r="GW5">
        <v>117621</v>
      </c>
      <c r="GX5" t="s">
        <v>3242</v>
      </c>
      <c r="HC5" t="str">
        <f>_xll.BDS("GE US Equity","SUPPLY_CHAIN_SUPPLIERS_ALL_DATA","cols=12;rows=5")</f>
        <v>SAF FP Equity</v>
      </c>
      <c r="HD5" t="s">
        <v>1786</v>
      </c>
      <c r="HE5">
        <v>7.9101749999999997</v>
      </c>
      <c r="HF5">
        <v>9.7364909999999991</v>
      </c>
      <c r="HG5" t="s">
        <v>1762</v>
      </c>
      <c r="HH5">
        <v>2025</v>
      </c>
      <c r="HI5" t="s">
        <v>2423</v>
      </c>
      <c r="HJ5" s="6">
        <v>45874</v>
      </c>
      <c r="HK5">
        <v>5</v>
      </c>
      <c r="HL5">
        <v>666294015.34000003</v>
      </c>
      <c r="HM5">
        <v>115519</v>
      </c>
      <c r="HN5" t="s">
        <v>2424</v>
      </c>
      <c r="HQ5" t="str">
        <f>_xll.BDS("GE US Equity","SUPPLY_CHAIN_CUSTOMERS_ALL_DATA","cols=12;rows=5")</f>
        <v>3352Z US Equity</v>
      </c>
      <c r="HR5">
        <v>10</v>
      </c>
      <c r="HT5">
        <v>-2.4245362661989844E-14</v>
      </c>
      <c r="HU5" t="s">
        <v>1745</v>
      </c>
      <c r="HV5">
        <v>2025</v>
      </c>
      <c r="HW5" t="s">
        <v>1876</v>
      </c>
      <c r="HX5" s="6">
        <v>46051</v>
      </c>
      <c r="HY5">
        <v>5</v>
      </c>
      <c r="HZ5">
        <v>1146375040</v>
      </c>
      <c r="IA5">
        <v>218252</v>
      </c>
      <c r="IB5" t="s">
        <v>1803</v>
      </c>
      <c r="IG5" t="str">
        <f>_xll.BDS("BPYU US Equity","SUPPLY_CHAIN_SUPPLIERS_ALL_DATA")</f>
        <v>#N/A N/A</v>
      </c>
      <c r="IU5" t="str">
        <f>_xll.BDS("BPYU US Equity","SUPPLY_CHAIN_CUSTOMERS_ALL_DATA")</f>
        <v>#N/A N/A</v>
      </c>
      <c r="JK5" t="str">
        <f>_xll.BDS("WSFS US Equity","SUPPLY_CHAIN_SUPPLIERS_ALL_DATA","cols=12;rows=1")</f>
        <v>1748433D US Equity</v>
      </c>
      <c r="JM5">
        <v>-2.4245362661989844E-14</v>
      </c>
      <c r="JN5">
        <v>-2.4245362661989844E-14</v>
      </c>
      <c r="JO5" t="s">
        <v>1745</v>
      </c>
      <c r="JP5">
        <v>2025</v>
      </c>
      <c r="JQ5" t="s">
        <v>6183</v>
      </c>
      <c r="JR5" s="6">
        <v>45974</v>
      </c>
      <c r="JS5">
        <v>1</v>
      </c>
      <c r="JT5">
        <v>-2.4245362661989844E-14</v>
      </c>
      <c r="JU5">
        <v>65899254</v>
      </c>
      <c r="JV5" t="s">
        <v>6184</v>
      </c>
      <c r="JY5" t="str">
        <f>_xll.BDS("WSFS US Equity","SUPPLY_CHAIN_CUSTOMERS_ALL_DATA")</f>
        <v>#N/A N/A</v>
      </c>
      <c r="KO5" t="str">
        <f>_xll.BDS("JNJ US Equity","SUPPLY_CHAIN_SUPPLIERS_ALL_DATA","cols=12;rows=5")</f>
        <v>GMAB DC Equity</v>
      </c>
      <c r="KP5" t="s">
        <v>2416</v>
      </c>
      <c r="KQ5">
        <v>66.998047</v>
      </c>
      <c r="KR5">
        <v>11.040321</v>
      </c>
      <c r="KS5" t="s">
        <v>1745</v>
      </c>
      <c r="KT5">
        <v>2024</v>
      </c>
      <c r="KU5" t="s">
        <v>2793</v>
      </c>
      <c r="KV5" s="6">
        <v>45701</v>
      </c>
      <c r="KW5">
        <v>5</v>
      </c>
      <c r="KX5">
        <v>522920364.22000003</v>
      </c>
      <c r="KY5">
        <v>1405715</v>
      </c>
      <c r="KZ5" t="s">
        <v>2794</v>
      </c>
      <c r="LC5" t="str">
        <f>_xll.BDS("JNJ US Equity","SUPPLY_CHAIN_CUSTOMERS_ALL_DATA","cols=12;rows=5")</f>
        <v>MCK US Equity</v>
      </c>
      <c r="LD5">
        <v>20.476745999999999</v>
      </c>
      <c r="LE5" t="s">
        <v>1786</v>
      </c>
      <c r="LF5">
        <v>6.636412</v>
      </c>
      <c r="LG5" t="s">
        <v>1742</v>
      </c>
      <c r="LH5">
        <v>2025</v>
      </c>
      <c r="LI5" t="s">
        <v>2501</v>
      </c>
      <c r="LJ5" s="6">
        <v>46018</v>
      </c>
      <c r="LK5">
        <v>5</v>
      </c>
      <c r="LL5">
        <v>4912985600</v>
      </c>
      <c r="LM5">
        <v>154936</v>
      </c>
      <c r="LN5" t="s">
        <v>2146</v>
      </c>
      <c r="LS5" t="str">
        <f>_xll.BDS("9991735D US Equity","SUPPLY_CHAIN_SUPPLIERS_ALL_DATA")</f>
        <v>#N/A N/A</v>
      </c>
      <c r="MG5" t="str">
        <f>_xll.BDS("9991735D US Equity","SUPPLY_CHAIN_CUSTOMERS_ALL_DATA")</f>
        <v>#N/A N/A</v>
      </c>
      <c r="MW5" t="str">
        <f>_xll.BDS("URI US Equity","SUPPLY_CHAIN_SUPPLIERS_ALL_DATA","cols=12;rows=5")</f>
        <v>DE US Equity</v>
      </c>
      <c r="MX5" t="s">
        <v>1786</v>
      </c>
      <c r="MY5">
        <v>0.78303699999999998</v>
      </c>
      <c r="MZ5">
        <v>3.9047879999999999</v>
      </c>
      <c r="NA5" t="s">
        <v>1742</v>
      </c>
      <c r="NB5">
        <v>2025</v>
      </c>
      <c r="NC5" t="s">
        <v>3267</v>
      </c>
      <c r="ND5" s="6">
        <v>45904</v>
      </c>
      <c r="NE5">
        <v>5</v>
      </c>
      <c r="NF5">
        <v>94105384</v>
      </c>
      <c r="NG5">
        <v>100438</v>
      </c>
      <c r="NH5" t="s">
        <v>3268</v>
      </c>
      <c r="NK5" t="str">
        <f>_xll.BDS("URI US Equity","SUPPLY_CHAIN_CUSTOMERS_ALL_DATA","cols=12;rows=5")</f>
        <v>OSK US Equity</v>
      </c>
      <c r="NL5">
        <v>8.3140000000000002E-3</v>
      </c>
      <c r="NM5" t="s">
        <v>1786</v>
      </c>
      <c r="NN5">
        <v>1.6438999999999999E-2</v>
      </c>
      <c r="NO5" t="s">
        <v>1762</v>
      </c>
      <c r="NP5">
        <v>2025</v>
      </c>
      <c r="NQ5" t="s">
        <v>3274</v>
      </c>
      <c r="NR5" s="6">
        <v>45881</v>
      </c>
      <c r="NS5">
        <v>5</v>
      </c>
      <c r="NT5">
        <v>327839</v>
      </c>
      <c r="NU5">
        <v>105941</v>
      </c>
      <c r="NV5" t="s">
        <v>3275</v>
      </c>
      <c r="OA5" t="str">
        <f>_xll.BDS("AVT US Equity","SUPPLY_CHAIN_SUPPLIERS_ALL_DATA","cols=12;rows=5")</f>
        <v>NXPI US Equity</v>
      </c>
      <c r="OB5" t="s">
        <v>1786</v>
      </c>
      <c r="OC5">
        <v>23</v>
      </c>
      <c r="OD5">
        <v>13.637885000000001</v>
      </c>
      <c r="OE5" t="s">
        <v>1745</v>
      </c>
      <c r="OF5">
        <v>2025</v>
      </c>
      <c r="OG5" t="s">
        <v>3586</v>
      </c>
      <c r="OH5" s="6">
        <v>46072</v>
      </c>
      <c r="OI5">
        <v>5</v>
      </c>
      <c r="OJ5">
        <v>705467520</v>
      </c>
      <c r="OK5">
        <v>11109358</v>
      </c>
      <c r="OL5" t="s">
        <v>3587</v>
      </c>
      <c r="OO5" t="str">
        <f>_xll.BDS("AVT US Equity","SUPPLY_CHAIN_CUSTOMERS_ALL_DATA","cols=12;rows=5")</f>
        <v>005930 KS Equity</v>
      </c>
      <c r="OP5">
        <v>0.32775599999999999</v>
      </c>
      <c r="OQ5" t="s">
        <v>1786</v>
      </c>
      <c r="OR5">
        <v>5.2585E-2</v>
      </c>
      <c r="OS5" t="s">
        <v>1762</v>
      </c>
      <c r="OT5">
        <v>2025</v>
      </c>
      <c r="OU5" t="s">
        <v>3436</v>
      </c>
      <c r="OV5" s="6">
        <v>45952</v>
      </c>
      <c r="OW5">
        <v>5</v>
      </c>
      <c r="OX5">
        <v>18434370.91</v>
      </c>
      <c r="OY5">
        <v>117929</v>
      </c>
      <c r="OZ5" t="s">
        <v>1791</v>
      </c>
      <c r="PE5" t="str">
        <f>_xll.BDS("RJF US Equity","SUPPLY_CHAIN_SUPPLIERS_ALL_DATA","cols=12;rows=5")</f>
        <v>BFS US Equity</v>
      </c>
      <c r="PG5">
        <v>-2.4245362661989844E-14</v>
      </c>
      <c r="PH5">
        <v>-2.4245362661989844E-14</v>
      </c>
      <c r="PI5" t="s">
        <v>1745</v>
      </c>
      <c r="PJ5">
        <v>2024</v>
      </c>
      <c r="PK5" t="s">
        <v>3614</v>
      </c>
      <c r="PL5" s="6">
        <v>45716</v>
      </c>
      <c r="PM5">
        <v>5</v>
      </c>
      <c r="PN5">
        <v>-2.4245362661989844E-14</v>
      </c>
      <c r="PO5">
        <v>119752</v>
      </c>
      <c r="PP5" t="s">
        <v>3615</v>
      </c>
      <c r="PS5" t="str">
        <f>_xll.BDS("RJF US Equity","SUPPLY_CHAIN_CUSTOMERS_ALL_DATA")</f>
        <v>#N/A N/A</v>
      </c>
      <c r="QI5" t="str">
        <f>_xll.BDS("UNH US Equity","SUPPLY_CHAIN_SUPPLIERS_ALL_DATA","cols=12;rows=5")</f>
        <v>VRTX US Equity</v>
      </c>
      <c r="QJ5" t="s">
        <v>1786</v>
      </c>
      <c r="QK5">
        <v>9.6255240000000004</v>
      </c>
      <c r="QL5">
        <v>0.32416699999999998</v>
      </c>
      <c r="QM5" t="s">
        <v>1845</v>
      </c>
      <c r="QN5">
        <v>2025</v>
      </c>
      <c r="QO5" t="s">
        <v>3021</v>
      </c>
      <c r="QP5" s="6">
        <v>46077</v>
      </c>
      <c r="QQ5">
        <v>5</v>
      </c>
      <c r="QR5">
        <v>307054208</v>
      </c>
      <c r="QS5">
        <v>107741</v>
      </c>
      <c r="QT5" t="s">
        <v>3022</v>
      </c>
      <c r="QW5" t="str">
        <f>_xll.BDS("UNH US Equity","SUPPLY_CHAIN_CUSTOMERS_ALL_DATA","cols=12;rows=5")</f>
        <v>9877893Z US Equity</v>
      </c>
      <c r="QX5">
        <v>40</v>
      </c>
      <c r="QZ5">
        <v>-2.4245362661989844E-14</v>
      </c>
      <c r="RA5" t="s">
        <v>1745</v>
      </c>
      <c r="RB5">
        <v>2024</v>
      </c>
      <c r="RC5" t="s">
        <v>2092</v>
      </c>
      <c r="RD5" s="6">
        <v>45715</v>
      </c>
      <c r="RE5">
        <v>5</v>
      </c>
      <c r="RF5">
        <v>40027799552</v>
      </c>
      <c r="RG5">
        <v>17483390</v>
      </c>
      <c r="RH5" t="s">
        <v>2093</v>
      </c>
      <c r="RM5" t="str">
        <f>_xll.BDS("502466Q US Equity","SUPPLY_CHAIN_SUPPLIERS_ALL_DATA")</f>
        <v>#N/A N/A</v>
      </c>
      <c r="SA5" t="str">
        <f>_xll.BDS("502466Q US Equity","SUPPLY_CHAIN_CUSTOMERS_ALL_DATA")</f>
        <v>#N/A N/A</v>
      </c>
      <c r="SQ5" t="str">
        <f>_xll.BDS("1544866D US Equity","SUPPLY_CHAIN_SUPPLIERS_ALL_DATA")</f>
        <v>#N/A N/A</v>
      </c>
      <c r="TE5" t="str">
        <f>_xll.BDS("1544866D US Equity","SUPPLY_CHAIN_CUSTOMERS_ALL_DATA")</f>
        <v>#N/A N/A</v>
      </c>
      <c r="TU5" t="str">
        <f>_xll.BDS("DGX US Equity","SUPPLY_CHAIN_SUPPLIERS_ALL_DATA","cols=12;rows=5")</f>
        <v>PLUS US Equity</v>
      </c>
      <c r="TV5" t="s">
        <v>1786</v>
      </c>
      <c r="TW5">
        <v>0.65</v>
      </c>
      <c r="TX5">
        <v>0.21196400000000001</v>
      </c>
      <c r="TY5" t="s">
        <v>1762</v>
      </c>
      <c r="TZ5">
        <v>2026</v>
      </c>
      <c r="UA5" t="s">
        <v>2011</v>
      </c>
      <c r="UB5" s="6">
        <v>46036</v>
      </c>
      <c r="UC5">
        <v>5</v>
      </c>
      <c r="UD5">
        <v>3957369</v>
      </c>
      <c r="UE5">
        <v>194585</v>
      </c>
      <c r="UF5" t="s">
        <v>1964</v>
      </c>
      <c r="UI5" t="str">
        <f>_xll.BDS("DGX US Equity","SUPPLY_CHAIN_CUSTOMERS_ALL_DATA","cols=12;rows=5")</f>
        <v>950220 KS Equity</v>
      </c>
      <c r="UJ5">
        <v>1.7000000000000001E-4</v>
      </c>
      <c r="UK5" t="s">
        <v>1786</v>
      </c>
      <c r="UL5">
        <v>0.102143</v>
      </c>
      <c r="UM5" t="s">
        <v>1798</v>
      </c>
      <c r="UN5">
        <v>2025</v>
      </c>
      <c r="UO5" t="s">
        <v>5289</v>
      </c>
      <c r="UP5" s="6">
        <v>45968</v>
      </c>
      <c r="UQ5">
        <v>5</v>
      </c>
      <c r="UR5">
        <v>4616.33</v>
      </c>
      <c r="US5">
        <v>46755389</v>
      </c>
      <c r="UT5" t="s">
        <v>5290</v>
      </c>
      <c r="UY5" t="str">
        <f>_xll.BDS("SJM US Equity","SUPPLY_CHAIN_SUPPLIERS_ALL_DATA","cols=12;rows=5")</f>
        <v>KDP US Equity</v>
      </c>
      <c r="UZ5" t="s">
        <v>1786</v>
      </c>
      <c r="VA5">
        <v>0.239263</v>
      </c>
      <c r="VB5">
        <v>0.68763399999999997</v>
      </c>
      <c r="VC5" t="s">
        <v>1762</v>
      </c>
      <c r="VD5">
        <v>2025</v>
      </c>
      <c r="VE5" t="s">
        <v>3852</v>
      </c>
      <c r="VF5" s="6">
        <v>45908</v>
      </c>
      <c r="VG5">
        <v>5</v>
      </c>
      <c r="VH5">
        <v>9182316</v>
      </c>
      <c r="VI5">
        <v>12271051</v>
      </c>
      <c r="VJ5" t="s">
        <v>3853</v>
      </c>
      <c r="VM5" t="str">
        <f>_xll.BDS("SJM US Equity","SUPPLY_CHAIN_CUSTOMERS_ALL_DATA","cols=12;rows=5")</f>
        <v>WMT US Equity</v>
      </c>
      <c r="VN5">
        <v>33</v>
      </c>
      <c r="VO5" t="s">
        <v>1786</v>
      </c>
      <c r="VP5">
        <v>0.55955600000000005</v>
      </c>
      <c r="VQ5" t="s">
        <v>1745</v>
      </c>
      <c r="VR5">
        <v>2025</v>
      </c>
      <c r="VS5" t="s">
        <v>5133</v>
      </c>
      <c r="VT5" s="6">
        <v>45826</v>
      </c>
      <c r="VU5">
        <v>5</v>
      </c>
      <c r="VV5">
        <v>719903232</v>
      </c>
      <c r="VW5">
        <v>101616</v>
      </c>
      <c r="VX5" t="s">
        <v>2098</v>
      </c>
    </row>
    <row r="6" spans="1:600" x14ac:dyDescent="0.25">
      <c r="A6" t="s">
        <v>2283</v>
      </c>
      <c r="C6">
        <v>-2.4245362661989844E-14</v>
      </c>
      <c r="D6">
        <v>-2.4245362661989844E-14</v>
      </c>
      <c r="E6" t="s">
        <v>1745</v>
      </c>
      <c r="F6">
        <v>2021</v>
      </c>
      <c r="G6" t="s">
        <v>2284</v>
      </c>
      <c r="H6" s="6">
        <v>44693</v>
      </c>
      <c r="I6">
        <v>5</v>
      </c>
      <c r="J6">
        <v>-2.4245362661989844E-14</v>
      </c>
      <c r="K6">
        <v>100060</v>
      </c>
      <c r="L6" t="s">
        <v>2285</v>
      </c>
      <c r="AE6" t="s">
        <v>3868</v>
      </c>
      <c r="AF6" t="s">
        <v>1786</v>
      </c>
      <c r="AG6">
        <v>4.3320999999999998E-2</v>
      </c>
      <c r="AH6">
        <v>1.3286020000000001</v>
      </c>
      <c r="AI6" t="s">
        <v>1742</v>
      </c>
      <c r="AJ6">
        <v>2025</v>
      </c>
      <c r="AK6" t="s">
        <v>5453</v>
      </c>
      <c r="AL6" s="6">
        <v>45978</v>
      </c>
      <c r="AM6">
        <v>5</v>
      </c>
      <c r="AN6">
        <v>7253170</v>
      </c>
      <c r="AO6">
        <v>115694</v>
      </c>
      <c r="AP6" t="s">
        <v>3870</v>
      </c>
      <c r="AS6" t="s">
        <v>2183</v>
      </c>
      <c r="AT6">
        <v>1.4378150000000001</v>
      </c>
      <c r="AU6" t="s">
        <v>1786</v>
      </c>
      <c r="AV6">
        <v>0.171872</v>
      </c>
      <c r="AW6" t="s">
        <v>1742</v>
      </c>
      <c r="AX6">
        <v>2025</v>
      </c>
      <c r="AY6" t="s">
        <v>5453</v>
      </c>
      <c r="AZ6" s="6">
        <v>45978</v>
      </c>
      <c r="BA6">
        <v>5</v>
      </c>
      <c r="BB6">
        <v>11647739</v>
      </c>
      <c r="BC6">
        <v>101073</v>
      </c>
      <c r="BD6" t="s">
        <v>2185</v>
      </c>
      <c r="CM6" t="s">
        <v>385</v>
      </c>
      <c r="CN6" t="s">
        <v>1786</v>
      </c>
      <c r="CO6">
        <v>0.57338800000000001</v>
      </c>
      <c r="CP6">
        <v>3.5686900000000001</v>
      </c>
      <c r="CQ6" t="s">
        <v>1742</v>
      </c>
      <c r="CR6">
        <v>2025</v>
      </c>
      <c r="CS6" t="s">
        <v>2501</v>
      </c>
      <c r="CT6" s="6">
        <v>46018</v>
      </c>
      <c r="CU6">
        <v>5</v>
      </c>
      <c r="CV6">
        <v>137572976</v>
      </c>
      <c r="CW6">
        <v>100828</v>
      </c>
      <c r="CX6" t="s">
        <v>2464</v>
      </c>
      <c r="DA6" t="s">
        <v>115</v>
      </c>
      <c r="DB6">
        <v>9.6462509999999995</v>
      </c>
      <c r="DC6" t="s">
        <v>1786</v>
      </c>
      <c r="DD6">
        <v>2.2510729999999999</v>
      </c>
      <c r="DE6" t="s">
        <v>1742</v>
      </c>
      <c r="DF6">
        <v>2025</v>
      </c>
      <c r="DG6" t="s">
        <v>2224</v>
      </c>
      <c r="DH6" s="6">
        <v>45985</v>
      </c>
      <c r="DI6">
        <v>5</v>
      </c>
      <c r="DJ6">
        <v>1666486272</v>
      </c>
      <c r="DK6">
        <v>154936</v>
      </c>
      <c r="DL6" t="s">
        <v>2146</v>
      </c>
      <c r="FY6" t="s">
        <v>2928</v>
      </c>
      <c r="GA6">
        <v>-2.4245362661989844E-14</v>
      </c>
      <c r="GB6">
        <v>-2.4245362661989844E-14</v>
      </c>
      <c r="GC6" t="s">
        <v>1809</v>
      </c>
      <c r="GD6">
        <v>2025</v>
      </c>
      <c r="GE6" t="s">
        <v>2929</v>
      </c>
      <c r="GF6" s="6">
        <v>45786</v>
      </c>
      <c r="GG6">
        <v>2</v>
      </c>
      <c r="GH6">
        <v>-2.4245362661989844E-14</v>
      </c>
      <c r="GI6">
        <v>54118150</v>
      </c>
      <c r="GJ6" t="s">
        <v>2930</v>
      </c>
      <c r="GM6" t="s">
        <v>6549</v>
      </c>
      <c r="GN6">
        <v>-2.4245362661989844E-14</v>
      </c>
      <c r="GP6">
        <v>-2.4245362661989844E-14</v>
      </c>
      <c r="GQ6" t="s">
        <v>1742</v>
      </c>
      <c r="GR6">
        <v>2022</v>
      </c>
      <c r="GS6" t="s">
        <v>6550</v>
      </c>
      <c r="GT6" s="6">
        <v>44832</v>
      </c>
      <c r="GU6">
        <v>2</v>
      </c>
      <c r="GV6">
        <v>-2.4245362661989844E-14</v>
      </c>
      <c r="GW6">
        <v>101611</v>
      </c>
      <c r="GX6" t="s">
        <v>6551</v>
      </c>
      <c r="HC6" t="s">
        <v>2425</v>
      </c>
      <c r="HD6" t="s">
        <v>1786</v>
      </c>
      <c r="HE6">
        <v>13.760432</v>
      </c>
      <c r="HF6">
        <v>4.7536569999999996</v>
      </c>
      <c r="HG6" t="s">
        <v>1762</v>
      </c>
      <c r="HH6">
        <v>2025</v>
      </c>
      <c r="HI6" t="s">
        <v>2426</v>
      </c>
      <c r="HJ6" s="6">
        <v>45937</v>
      </c>
      <c r="HK6">
        <v>5</v>
      </c>
      <c r="HL6">
        <v>325305405.77999997</v>
      </c>
      <c r="HM6">
        <v>8445936</v>
      </c>
      <c r="HN6" t="s">
        <v>2427</v>
      </c>
      <c r="HQ6" t="s">
        <v>1088</v>
      </c>
      <c r="HR6">
        <v>9.2636719999999997</v>
      </c>
      <c r="HS6" t="s">
        <v>1786</v>
      </c>
      <c r="HT6">
        <v>5.0267530000000002</v>
      </c>
      <c r="HU6" t="s">
        <v>1762</v>
      </c>
      <c r="HV6">
        <v>2025</v>
      </c>
      <c r="HW6" t="s">
        <v>1877</v>
      </c>
      <c r="HX6" s="6">
        <v>45888</v>
      </c>
      <c r="HY6">
        <v>5</v>
      </c>
      <c r="HZ6">
        <v>1021134592</v>
      </c>
      <c r="IA6">
        <v>100211</v>
      </c>
      <c r="IB6" t="s">
        <v>1851</v>
      </c>
      <c r="KO6" t="s">
        <v>2795</v>
      </c>
      <c r="KP6" t="s">
        <v>1786</v>
      </c>
      <c r="KQ6">
        <v>6.6266720000000001</v>
      </c>
      <c r="KR6">
        <v>6.8004179999999996</v>
      </c>
      <c r="KS6" t="s">
        <v>1742</v>
      </c>
      <c r="KT6">
        <v>2025</v>
      </c>
      <c r="KU6" t="s">
        <v>2796</v>
      </c>
      <c r="KV6" s="6">
        <v>45867</v>
      </c>
      <c r="KW6">
        <v>5</v>
      </c>
      <c r="KX6">
        <v>518735872</v>
      </c>
      <c r="KY6">
        <v>117092</v>
      </c>
      <c r="KZ6" t="s">
        <v>2797</v>
      </c>
      <c r="LC6" t="s">
        <v>2147</v>
      </c>
      <c r="LD6">
        <v>15.549336</v>
      </c>
      <c r="LE6" t="s">
        <v>1786</v>
      </c>
      <c r="LF6">
        <v>4.6186980000000002</v>
      </c>
      <c r="LG6" t="s">
        <v>1742</v>
      </c>
      <c r="LH6">
        <v>2025</v>
      </c>
      <c r="LI6" t="s">
        <v>2501</v>
      </c>
      <c r="LJ6" s="6">
        <v>46018</v>
      </c>
      <c r="LK6">
        <v>5</v>
      </c>
      <c r="LL6">
        <v>3730752256</v>
      </c>
      <c r="LM6">
        <v>156969</v>
      </c>
      <c r="LN6" t="s">
        <v>2148</v>
      </c>
      <c r="MW6" t="s">
        <v>1677</v>
      </c>
      <c r="MX6" t="s">
        <v>1786</v>
      </c>
      <c r="MY6">
        <v>3.0836000000000001</v>
      </c>
      <c r="MZ6">
        <v>1.90262</v>
      </c>
      <c r="NA6" t="s">
        <v>1762</v>
      </c>
      <c r="NB6">
        <v>2025</v>
      </c>
      <c r="NC6" t="s">
        <v>2465</v>
      </c>
      <c r="ND6" s="6">
        <v>45912</v>
      </c>
      <c r="NE6">
        <v>5</v>
      </c>
      <c r="NF6">
        <v>45853132</v>
      </c>
      <c r="NG6">
        <v>101455</v>
      </c>
      <c r="NH6" t="s">
        <v>3269</v>
      </c>
      <c r="NK6" t="s">
        <v>3327</v>
      </c>
      <c r="NL6">
        <v>-2.4245362661989844E-14</v>
      </c>
      <c r="NN6">
        <v>-2.4245362661989844E-14</v>
      </c>
      <c r="NO6" t="s">
        <v>1742</v>
      </c>
      <c r="NP6">
        <v>2025</v>
      </c>
      <c r="NQ6" t="s">
        <v>3328</v>
      </c>
      <c r="NR6" s="6">
        <v>45967</v>
      </c>
      <c r="NS6">
        <v>5</v>
      </c>
      <c r="NT6">
        <v>-2.4245362661989844E-14</v>
      </c>
      <c r="NU6">
        <v>50955988</v>
      </c>
      <c r="NV6" t="s">
        <v>3329</v>
      </c>
      <c r="OA6" t="s">
        <v>2512</v>
      </c>
      <c r="OB6" t="s">
        <v>1786</v>
      </c>
      <c r="OC6">
        <v>2.7653910000000002</v>
      </c>
      <c r="OD6">
        <v>10.856536</v>
      </c>
      <c r="OE6" t="s">
        <v>1762</v>
      </c>
      <c r="OF6">
        <v>2025</v>
      </c>
      <c r="OG6" t="s">
        <v>2824</v>
      </c>
      <c r="OH6" s="6">
        <v>46065</v>
      </c>
      <c r="OI6">
        <v>5</v>
      </c>
      <c r="OJ6">
        <v>614036672</v>
      </c>
      <c r="OK6">
        <v>130929</v>
      </c>
      <c r="OL6" t="s">
        <v>2513</v>
      </c>
      <c r="OO6" t="s">
        <v>3639</v>
      </c>
      <c r="OP6">
        <v>2.2931E-2</v>
      </c>
      <c r="OQ6" t="s">
        <v>1786</v>
      </c>
      <c r="OR6">
        <v>3.4938999999999998E-2</v>
      </c>
      <c r="OS6" t="s">
        <v>1762</v>
      </c>
      <c r="OT6">
        <v>2025</v>
      </c>
      <c r="OU6" t="s">
        <v>3640</v>
      </c>
      <c r="OV6" s="6">
        <v>45908</v>
      </c>
      <c r="OW6">
        <v>5</v>
      </c>
      <c r="OX6">
        <v>1288502.0900000001</v>
      </c>
      <c r="OY6">
        <v>304299</v>
      </c>
      <c r="OZ6" t="s">
        <v>3641</v>
      </c>
      <c r="PE6" t="s">
        <v>2662</v>
      </c>
      <c r="PG6">
        <v>-2.4245362661989844E-14</v>
      </c>
      <c r="PH6">
        <v>-2.4245362661989844E-14</v>
      </c>
      <c r="PI6" t="s">
        <v>1745</v>
      </c>
      <c r="PJ6">
        <v>2022</v>
      </c>
      <c r="PK6" t="s">
        <v>2663</v>
      </c>
      <c r="PL6" s="6">
        <v>44757</v>
      </c>
      <c r="PM6">
        <v>5</v>
      </c>
      <c r="PN6">
        <v>-2.4245362661989844E-14</v>
      </c>
      <c r="PO6">
        <v>39775273</v>
      </c>
      <c r="PP6" t="s">
        <v>2664</v>
      </c>
      <c r="QI6" t="s">
        <v>2874</v>
      </c>
      <c r="QJ6" t="s">
        <v>1786</v>
      </c>
      <c r="QK6">
        <v>12.627013</v>
      </c>
      <c r="QL6">
        <v>0.18209500000000001</v>
      </c>
      <c r="QM6" t="s">
        <v>1742</v>
      </c>
      <c r="QN6">
        <v>2025</v>
      </c>
      <c r="QO6" t="s">
        <v>5641</v>
      </c>
      <c r="QP6" s="6">
        <v>46050</v>
      </c>
      <c r="QQ6">
        <v>5</v>
      </c>
      <c r="QR6">
        <v>172482464</v>
      </c>
      <c r="QS6">
        <v>126255</v>
      </c>
      <c r="QT6" t="s">
        <v>2876</v>
      </c>
      <c r="QW6" t="s">
        <v>1801</v>
      </c>
      <c r="QX6">
        <v>-2.4245362661989844E-14</v>
      </c>
      <c r="QZ6">
        <v>-2.4245362661989844E-14</v>
      </c>
      <c r="RA6" t="s">
        <v>1745</v>
      </c>
      <c r="RB6">
        <v>2024</v>
      </c>
      <c r="RC6" t="s">
        <v>2092</v>
      </c>
      <c r="RD6" s="6">
        <v>45715</v>
      </c>
      <c r="RE6">
        <v>5</v>
      </c>
      <c r="RF6">
        <v>-2.4245362661989844E-14</v>
      </c>
      <c r="RG6">
        <v>218252</v>
      </c>
      <c r="RH6" t="s">
        <v>1803</v>
      </c>
      <c r="TU6" t="s">
        <v>2731</v>
      </c>
      <c r="TV6" t="s">
        <v>1769</v>
      </c>
      <c r="TW6">
        <v>3.7</v>
      </c>
      <c r="TX6">
        <v>0.35031299999999999</v>
      </c>
      <c r="TY6" t="s">
        <v>1745</v>
      </c>
      <c r="TZ6">
        <v>2024</v>
      </c>
      <c r="UA6" t="s">
        <v>2839</v>
      </c>
      <c r="UB6" s="6">
        <v>45708</v>
      </c>
      <c r="UC6">
        <v>5</v>
      </c>
      <c r="UD6">
        <v>1550133.5</v>
      </c>
      <c r="UE6">
        <v>46286147</v>
      </c>
      <c r="UF6" t="s">
        <v>2733</v>
      </c>
      <c r="UI6" t="s">
        <v>5291</v>
      </c>
      <c r="UJ6">
        <v>-2.4245362661989844E-14</v>
      </c>
      <c r="UL6">
        <v>-2.4245362661989844E-14</v>
      </c>
      <c r="UM6" t="s">
        <v>1745</v>
      </c>
      <c r="UN6">
        <v>2024</v>
      </c>
      <c r="UO6" t="s">
        <v>4362</v>
      </c>
      <c r="UP6" s="6">
        <v>45588</v>
      </c>
      <c r="UQ6">
        <v>5</v>
      </c>
      <c r="UR6">
        <v>-2.4245362661989844E-14</v>
      </c>
      <c r="US6">
        <v>25341310</v>
      </c>
      <c r="UT6" t="s">
        <v>5292</v>
      </c>
      <c r="UY6" t="s">
        <v>5066</v>
      </c>
      <c r="UZ6" t="s">
        <v>1786</v>
      </c>
      <c r="VA6">
        <v>0.52808600000000006</v>
      </c>
      <c r="VB6">
        <v>0.58078200000000002</v>
      </c>
      <c r="VC6" t="s">
        <v>1845</v>
      </c>
      <c r="VD6">
        <v>2025</v>
      </c>
      <c r="VE6" t="s">
        <v>5067</v>
      </c>
      <c r="VF6" s="6">
        <v>46077</v>
      </c>
      <c r="VG6">
        <v>5</v>
      </c>
      <c r="VH6">
        <v>7755471</v>
      </c>
      <c r="VI6">
        <v>159323</v>
      </c>
      <c r="VJ6" t="s">
        <v>5068</v>
      </c>
      <c r="VM6" t="s">
        <v>1854</v>
      </c>
      <c r="VN6">
        <v>4.163754</v>
      </c>
      <c r="VO6" t="s">
        <v>1786</v>
      </c>
      <c r="VP6">
        <v>0.16516400000000001</v>
      </c>
      <c r="VQ6" t="s">
        <v>1845</v>
      </c>
      <c r="VR6">
        <v>2025</v>
      </c>
      <c r="VS6" t="s">
        <v>5134</v>
      </c>
      <c r="VT6" s="6">
        <v>45835</v>
      </c>
      <c r="VU6">
        <v>5</v>
      </c>
      <c r="VV6">
        <v>90833336</v>
      </c>
      <c r="VW6">
        <v>101758</v>
      </c>
      <c r="VX6" t="s">
        <v>1856</v>
      </c>
    </row>
    <row r="7" spans="1:600" x14ac:dyDescent="0.25">
      <c r="A7" t="s">
        <v>428</v>
      </c>
      <c r="C7">
        <v>-2.4245362661989844E-14</v>
      </c>
      <c r="D7">
        <v>-2.4245362661989844E-14</v>
      </c>
      <c r="E7" t="s">
        <v>1745</v>
      </c>
      <c r="F7">
        <v>2021</v>
      </c>
      <c r="G7" t="s">
        <v>3264</v>
      </c>
      <c r="H7" s="6">
        <v>44693</v>
      </c>
      <c r="I7">
        <v>5</v>
      </c>
      <c r="J7">
        <v>-2.4245362661989844E-14</v>
      </c>
      <c r="K7">
        <v>101690</v>
      </c>
      <c r="L7" t="s">
        <v>3265</v>
      </c>
      <c r="AE7" t="s">
        <v>5576</v>
      </c>
      <c r="AF7" t="s">
        <v>1786</v>
      </c>
      <c r="AG7">
        <v>0.183146</v>
      </c>
      <c r="AH7">
        <v>1.243093</v>
      </c>
      <c r="AI7" t="s">
        <v>1742</v>
      </c>
      <c r="AJ7">
        <v>2025</v>
      </c>
      <c r="AK7" t="s">
        <v>5453</v>
      </c>
      <c r="AL7" s="6">
        <v>45978</v>
      </c>
      <c r="AM7">
        <v>5</v>
      </c>
      <c r="AN7">
        <v>6786355</v>
      </c>
      <c r="AO7">
        <v>47183276</v>
      </c>
      <c r="AP7" t="s">
        <v>5577</v>
      </c>
      <c r="AS7" t="s">
        <v>3014</v>
      </c>
      <c r="AT7">
        <v>0.66042199999999995</v>
      </c>
      <c r="AU7" t="s">
        <v>1786</v>
      </c>
      <c r="AV7">
        <v>0.171872</v>
      </c>
      <c r="AW7" t="s">
        <v>1742</v>
      </c>
      <c r="AX7">
        <v>2025</v>
      </c>
      <c r="AY7" t="s">
        <v>5453</v>
      </c>
      <c r="AZ7" s="6">
        <v>45978</v>
      </c>
      <c r="BA7">
        <v>5</v>
      </c>
      <c r="BB7">
        <v>5350079</v>
      </c>
      <c r="BC7">
        <v>115414</v>
      </c>
      <c r="BD7" t="s">
        <v>3016</v>
      </c>
      <c r="CM7" t="s">
        <v>2226</v>
      </c>
      <c r="CN7" t="s">
        <v>1786</v>
      </c>
      <c r="CO7">
        <v>6.0908949999999997</v>
      </c>
      <c r="CP7">
        <v>2.5669719999999998</v>
      </c>
      <c r="CQ7" t="s">
        <v>1745</v>
      </c>
      <c r="CR7">
        <v>2024</v>
      </c>
      <c r="CS7" t="s">
        <v>2227</v>
      </c>
      <c r="CT7" s="6">
        <v>45713</v>
      </c>
      <c r="CU7">
        <v>5</v>
      </c>
      <c r="CV7">
        <v>97500000</v>
      </c>
      <c r="CW7">
        <v>69483676</v>
      </c>
      <c r="CX7" t="s">
        <v>2228</v>
      </c>
      <c r="DA7" t="s">
        <v>236</v>
      </c>
      <c r="DB7">
        <v>7.5766629999999999</v>
      </c>
      <c r="DC7" t="s">
        <v>1786</v>
      </c>
      <c r="DD7">
        <v>2.12181</v>
      </c>
      <c r="DE7" t="s">
        <v>1742</v>
      </c>
      <c r="DF7">
        <v>2025</v>
      </c>
      <c r="DG7" t="s">
        <v>2224</v>
      </c>
      <c r="DH7" s="6">
        <v>45985</v>
      </c>
      <c r="DI7">
        <v>5</v>
      </c>
      <c r="DJ7">
        <v>1308944256</v>
      </c>
      <c r="DK7">
        <v>102782</v>
      </c>
      <c r="DL7" t="s">
        <v>2149</v>
      </c>
      <c r="HC7" t="s">
        <v>1844</v>
      </c>
      <c r="HD7" t="s">
        <v>1786</v>
      </c>
      <c r="HE7">
        <v>11</v>
      </c>
      <c r="HF7">
        <v>3.1337429999999999</v>
      </c>
      <c r="HG7" t="s">
        <v>1745</v>
      </c>
      <c r="HH7">
        <v>2025</v>
      </c>
      <c r="HI7" t="s">
        <v>2428</v>
      </c>
      <c r="HJ7" s="6">
        <v>46065</v>
      </c>
      <c r="HK7">
        <v>5</v>
      </c>
      <c r="HL7">
        <v>226930000</v>
      </c>
      <c r="HM7">
        <v>59099358</v>
      </c>
      <c r="HN7" t="s">
        <v>1847</v>
      </c>
      <c r="HQ7" t="s">
        <v>1878</v>
      </c>
      <c r="HR7">
        <v>4.5319979999999997</v>
      </c>
      <c r="HS7" t="s">
        <v>1786</v>
      </c>
      <c r="HT7">
        <v>3.2162160000000002</v>
      </c>
      <c r="HU7" t="s">
        <v>1762</v>
      </c>
      <c r="HV7">
        <v>2025</v>
      </c>
      <c r="HW7" t="s">
        <v>1877</v>
      </c>
      <c r="HX7" s="6">
        <v>45888</v>
      </c>
      <c r="HY7">
        <v>5</v>
      </c>
      <c r="HZ7">
        <v>499562144</v>
      </c>
      <c r="IA7">
        <v>876285</v>
      </c>
      <c r="IB7" t="s">
        <v>1879</v>
      </c>
      <c r="KO7" t="s">
        <v>1699</v>
      </c>
      <c r="KP7" t="s">
        <v>1786</v>
      </c>
      <c r="KQ7">
        <v>1.3419449999999999</v>
      </c>
      <c r="KR7">
        <v>2.7987500000000001</v>
      </c>
      <c r="KS7" t="s">
        <v>1845</v>
      </c>
      <c r="KT7">
        <v>2025</v>
      </c>
      <c r="KU7" t="s">
        <v>2798</v>
      </c>
      <c r="KV7" s="6">
        <v>46077</v>
      </c>
      <c r="KW7">
        <v>5</v>
      </c>
      <c r="KX7">
        <v>223004416</v>
      </c>
      <c r="KY7">
        <v>28046509</v>
      </c>
      <c r="KZ7" t="s">
        <v>2799</v>
      </c>
      <c r="LC7" t="s">
        <v>236</v>
      </c>
      <c r="LD7">
        <v>12.373919000000001</v>
      </c>
      <c r="LE7" t="s">
        <v>1786</v>
      </c>
      <c r="LF7">
        <v>4.81257</v>
      </c>
      <c r="LG7" t="s">
        <v>1742</v>
      </c>
      <c r="LH7">
        <v>2025</v>
      </c>
      <c r="LI7" t="s">
        <v>2501</v>
      </c>
      <c r="LJ7" s="6">
        <v>46018</v>
      </c>
      <c r="LK7">
        <v>5</v>
      </c>
      <c r="LL7">
        <v>2968874496</v>
      </c>
      <c r="LM7">
        <v>102782</v>
      </c>
      <c r="LN7" t="s">
        <v>2149</v>
      </c>
      <c r="MW7" t="s">
        <v>3270</v>
      </c>
      <c r="MX7" t="s">
        <v>1786</v>
      </c>
      <c r="MY7">
        <v>12.7</v>
      </c>
      <c r="MZ7">
        <v>1.8900570000000001</v>
      </c>
      <c r="NA7" t="s">
        <v>1745</v>
      </c>
      <c r="NB7">
        <v>2025</v>
      </c>
      <c r="NC7" t="s">
        <v>3271</v>
      </c>
      <c r="ND7" s="6">
        <v>45800</v>
      </c>
      <c r="NE7">
        <v>5</v>
      </c>
      <c r="NF7">
        <v>44533644.140000001</v>
      </c>
      <c r="NG7">
        <v>7914750</v>
      </c>
      <c r="NH7" t="s">
        <v>3272</v>
      </c>
      <c r="NK7" t="s">
        <v>3330</v>
      </c>
      <c r="NL7">
        <v>-2.4245362661989844E-14</v>
      </c>
      <c r="NN7">
        <v>-2.4245362661989844E-14</v>
      </c>
      <c r="NO7" t="s">
        <v>1762</v>
      </c>
      <c r="NP7">
        <v>2024</v>
      </c>
      <c r="NQ7" t="s">
        <v>3331</v>
      </c>
      <c r="NR7" s="6">
        <v>45546</v>
      </c>
      <c r="NS7">
        <v>5</v>
      </c>
      <c r="NT7">
        <v>-2.4245362661989844E-14</v>
      </c>
      <c r="NU7">
        <v>27386014</v>
      </c>
      <c r="NV7" t="s">
        <v>3332</v>
      </c>
      <c r="OA7" t="s">
        <v>2313</v>
      </c>
      <c r="OB7" t="s">
        <v>1786</v>
      </c>
      <c r="OC7">
        <v>4.4623819999999998</v>
      </c>
      <c r="OD7">
        <v>8.1027819999999995</v>
      </c>
      <c r="OE7" t="s">
        <v>1762</v>
      </c>
      <c r="OF7">
        <v>2026</v>
      </c>
      <c r="OG7" t="s">
        <v>2640</v>
      </c>
      <c r="OH7" s="6">
        <v>46063</v>
      </c>
      <c r="OI7">
        <v>5</v>
      </c>
      <c r="OJ7">
        <v>458286624</v>
      </c>
      <c r="OK7">
        <v>100010</v>
      </c>
      <c r="OL7" t="s">
        <v>2315</v>
      </c>
      <c r="OO7" t="s">
        <v>4546</v>
      </c>
      <c r="OP7">
        <v>9.7490000000000007E-3</v>
      </c>
      <c r="OQ7" t="s">
        <v>1786</v>
      </c>
      <c r="OR7">
        <v>2.8011149999999998</v>
      </c>
      <c r="OS7" t="s">
        <v>1745</v>
      </c>
      <c r="OT7">
        <v>2024</v>
      </c>
      <c r="OU7" t="s">
        <v>4547</v>
      </c>
      <c r="OV7" s="6">
        <v>45769</v>
      </c>
      <c r="OW7">
        <v>5</v>
      </c>
      <c r="OX7">
        <v>541353.6</v>
      </c>
      <c r="OY7">
        <v>49153272</v>
      </c>
      <c r="OZ7" t="s">
        <v>4548</v>
      </c>
      <c r="PE7" t="s">
        <v>3616</v>
      </c>
      <c r="PG7">
        <v>-2.4245362661989844E-14</v>
      </c>
      <c r="PH7">
        <v>-2.4245362661989844E-14</v>
      </c>
      <c r="PI7" t="s">
        <v>1845</v>
      </c>
      <c r="PJ7">
        <v>2022</v>
      </c>
      <c r="PK7" t="s">
        <v>3617</v>
      </c>
      <c r="PL7" s="6">
        <v>44980</v>
      </c>
      <c r="PM7">
        <v>5</v>
      </c>
      <c r="PN7">
        <v>-2.4245362661989844E-14</v>
      </c>
      <c r="PO7">
        <v>61726873</v>
      </c>
      <c r="PP7" t="s">
        <v>3618</v>
      </c>
      <c r="QI7" t="s">
        <v>2412</v>
      </c>
      <c r="QJ7" t="s">
        <v>1786</v>
      </c>
      <c r="QK7">
        <v>1.035563</v>
      </c>
      <c r="QL7">
        <v>0.169491</v>
      </c>
      <c r="QM7" t="s">
        <v>1742</v>
      </c>
      <c r="QN7">
        <v>2025</v>
      </c>
      <c r="QO7" t="s">
        <v>2730</v>
      </c>
      <c r="QP7" s="6">
        <v>46080</v>
      </c>
      <c r="QQ7">
        <v>5</v>
      </c>
      <c r="QR7">
        <v>160543328</v>
      </c>
      <c r="QS7">
        <v>111093</v>
      </c>
      <c r="QT7" t="s">
        <v>2414</v>
      </c>
      <c r="QW7" t="s">
        <v>121</v>
      </c>
      <c r="QX7">
        <v>-2.4245362661989844E-14</v>
      </c>
      <c r="QZ7">
        <v>-2.4245362661989844E-14</v>
      </c>
      <c r="RA7" t="s">
        <v>1745</v>
      </c>
      <c r="RB7">
        <v>2023</v>
      </c>
      <c r="RC7" t="s">
        <v>2094</v>
      </c>
      <c r="RD7" s="6">
        <v>45398</v>
      </c>
      <c r="RE7">
        <v>5</v>
      </c>
      <c r="RF7">
        <v>-2.4245362661989844E-14</v>
      </c>
      <c r="RG7">
        <v>100801</v>
      </c>
      <c r="RH7" t="s">
        <v>2095</v>
      </c>
      <c r="TU7" t="s">
        <v>2993</v>
      </c>
      <c r="TV7" t="s">
        <v>1820</v>
      </c>
      <c r="TW7">
        <v>5.9080000000000001E-3</v>
      </c>
      <c r="TX7">
        <v>0.28640199999999999</v>
      </c>
      <c r="TY7" t="s">
        <v>1762</v>
      </c>
      <c r="TZ7">
        <v>2025</v>
      </c>
      <c r="UA7" t="s">
        <v>3290</v>
      </c>
      <c r="UB7" s="6">
        <v>46024</v>
      </c>
      <c r="UC7">
        <v>5</v>
      </c>
      <c r="UD7">
        <v>412581.71</v>
      </c>
      <c r="UE7">
        <v>115110</v>
      </c>
      <c r="UF7" t="s">
        <v>2995</v>
      </c>
      <c r="UI7" t="s">
        <v>5293</v>
      </c>
      <c r="UJ7">
        <v>-2.4245362661989844E-14</v>
      </c>
      <c r="UL7">
        <v>-2.4245362661989844E-14</v>
      </c>
      <c r="UM7" t="s">
        <v>1745</v>
      </c>
      <c r="UN7">
        <v>2022</v>
      </c>
      <c r="UO7" t="s">
        <v>4362</v>
      </c>
      <c r="UP7" s="6">
        <v>44817</v>
      </c>
      <c r="UQ7">
        <v>5</v>
      </c>
      <c r="UR7">
        <v>-2.4245362661989844E-14</v>
      </c>
      <c r="US7">
        <v>53781538</v>
      </c>
      <c r="UT7" t="s">
        <v>5294</v>
      </c>
      <c r="UY7" t="s">
        <v>34</v>
      </c>
      <c r="UZ7" t="s">
        <v>1786</v>
      </c>
      <c r="VA7">
        <v>2.3279999999999999E-2</v>
      </c>
      <c r="VB7">
        <v>0.27724700000000002</v>
      </c>
      <c r="VC7" t="s">
        <v>1845</v>
      </c>
      <c r="VD7">
        <v>2025</v>
      </c>
      <c r="VE7" t="s">
        <v>1883</v>
      </c>
      <c r="VF7" s="6">
        <v>45848</v>
      </c>
      <c r="VG7">
        <v>5</v>
      </c>
      <c r="VH7">
        <v>3702218</v>
      </c>
      <c r="VI7">
        <v>101752</v>
      </c>
      <c r="VJ7" t="s">
        <v>2723</v>
      </c>
      <c r="VM7" t="s">
        <v>2024</v>
      </c>
      <c r="VN7">
        <v>3.482637</v>
      </c>
      <c r="VO7" t="s">
        <v>1786</v>
      </c>
      <c r="VP7">
        <v>0.55657000000000001</v>
      </c>
      <c r="VQ7" t="s">
        <v>1845</v>
      </c>
      <c r="VR7">
        <v>2025</v>
      </c>
      <c r="VS7" t="s">
        <v>5134</v>
      </c>
      <c r="VT7" s="6">
        <v>45835</v>
      </c>
      <c r="VU7">
        <v>5</v>
      </c>
      <c r="VV7">
        <v>75974600</v>
      </c>
      <c r="VW7">
        <v>46386935</v>
      </c>
      <c r="VX7" t="s">
        <v>2025</v>
      </c>
    </row>
    <row r="8" spans="1:600" x14ac:dyDescent="0.25">
      <c r="A8" t="s">
        <v>86</v>
      </c>
      <c r="C8">
        <v>-2.4245362661989844E-14</v>
      </c>
      <c r="D8">
        <v>-2.4245362661989844E-14</v>
      </c>
      <c r="E8" t="s">
        <v>1745</v>
      </c>
      <c r="F8">
        <v>2021</v>
      </c>
      <c r="G8" t="s">
        <v>2299</v>
      </c>
      <c r="H8" s="6">
        <v>44693</v>
      </c>
      <c r="I8">
        <v>5</v>
      </c>
      <c r="J8">
        <v>-2.4245362661989844E-14</v>
      </c>
      <c r="K8">
        <v>100193</v>
      </c>
      <c r="L8" t="s">
        <v>1849</v>
      </c>
      <c r="AE8" t="s">
        <v>5273</v>
      </c>
      <c r="AF8" t="s">
        <v>1786</v>
      </c>
      <c r="AG8">
        <v>7.4870000000000006E-2</v>
      </c>
      <c r="AH8">
        <v>1.0597099999999999</v>
      </c>
      <c r="AI8" t="s">
        <v>1742</v>
      </c>
      <c r="AJ8">
        <v>2025</v>
      </c>
      <c r="AK8" t="s">
        <v>5453</v>
      </c>
      <c r="AL8" s="6">
        <v>45978</v>
      </c>
      <c r="AM8">
        <v>5</v>
      </c>
      <c r="AN8">
        <v>5785222</v>
      </c>
      <c r="AO8">
        <v>9932803</v>
      </c>
      <c r="AP8" t="s">
        <v>5275</v>
      </c>
      <c r="AS8" t="s">
        <v>5455</v>
      </c>
      <c r="AT8">
        <v>0.34853400000000001</v>
      </c>
      <c r="AU8" t="s">
        <v>1786</v>
      </c>
      <c r="AV8">
        <v>9.1314999999999993E-2</v>
      </c>
      <c r="AW8" t="s">
        <v>1742</v>
      </c>
      <c r="AX8">
        <v>2025</v>
      </c>
      <c r="AY8" t="s">
        <v>5453</v>
      </c>
      <c r="AZ8" s="6">
        <v>45978</v>
      </c>
      <c r="BA8">
        <v>5</v>
      </c>
      <c r="BB8">
        <v>2823474</v>
      </c>
      <c r="BC8">
        <v>100183</v>
      </c>
      <c r="BD8" t="s">
        <v>5456</v>
      </c>
      <c r="CM8" t="s">
        <v>5323</v>
      </c>
      <c r="CN8" t="s">
        <v>2416</v>
      </c>
      <c r="CO8">
        <v>-2.4245362661989844E-14</v>
      </c>
      <c r="CP8">
        <v>1.9000570000000001</v>
      </c>
      <c r="CQ8" t="s">
        <v>1745</v>
      </c>
      <c r="CR8">
        <v>2025</v>
      </c>
      <c r="CS8" t="s">
        <v>5322</v>
      </c>
      <c r="CT8" s="6">
        <v>46077</v>
      </c>
      <c r="CU8">
        <v>5</v>
      </c>
      <c r="CV8">
        <v>75000000</v>
      </c>
      <c r="CW8">
        <v>71999429</v>
      </c>
      <c r="CX8" t="s">
        <v>5324</v>
      </c>
      <c r="DA8" t="s">
        <v>1114</v>
      </c>
      <c r="DB8">
        <v>0.787219</v>
      </c>
      <c r="DC8" t="s">
        <v>1786</v>
      </c>
      <c r="DD8">
        <v>3.9592429999999998</v>
      </c>
      <c r="DE8" t="s">
        <v>1742</v>
      </c>
      <c r="DF8">
        <v>2025</v>
      </c>
      <c r="DG8" t="s">
        <v>2225</v>
      </c>
      <c r="DH8" s="6">
        <v>45966</v>
      </c>
      <c r="DI8">
        <v>5</v>
      </c>
      <c r="DJ8">
        <v>136000000</v>
      </c>
      <c r="DK8">
        <v>100225</v>
      </c>
      <c r="DL8" t="s">
        <v>2151</v>
      </c>
      <c r="HC8" t="s">
        <v>2374</v>
      </c>
      <c r="HD8" t="s">
        <v>1786</v>
      </c>
      <c r="HE8">
        <v>8.8672269999999997</v>
      </c>
      <c r="HF8">
        <v>1.980351</v>
      </c>
      <c r="HG8" t="s">
        <v>1762</v>
      </c>
      <c r="HH8">
        <v>2025</v>
      </c>
      <c r="HI8" t="s">
        <v>2375</v>
      </c>
      <c r="HJ8" s="6">
        <v>45922</v>
      </c>
      <c r="HK8">
        <v>5</v>
      </c>
      <c r="HL8">
        <v>135574848</v>
      </c>
      <c r="HM8">
        <v>11937231</v>
      </c>
      <c r="HN8" t="s">
        <v>2376</v>
      </c>
      <c r="HQ8" t="s">
        <v>1880</v>
      </c>
      <c r="HR8">
        <v>3.2472560000000001</v>
      </c>
      <c r="HS8" t="s">
        <v>1786</v>
      </c>
      <c r="HT8">
        <v>2.573108</v>
      </c>
      <c r="HU8" t="s">
        <v>1762</v>
      </c>
      <c r="HV8">
        <v>2025</v>
      </c>
      <c r="HW8" t="s">
        <v>1877</v>
      </c>
      <c r="HX8" s="6">
        <v>45888</v>
      </c>
      <c r="HY8">
        <v>5</v>
      </c>
      <c r="HZ8">
        <v>357945024</v>
      </c>
      <c r="IA8">
        <v>10451815</v>
      </c>
      <c r="IB8" t="s">
        <v>1881</v>
      </c>
      <c r="KO8" t="s">
        <v>804</v>
      </c>
      <c r="KP8" t="s">
        <v>1786</v>
      </c>
      <c r="KQ8">
        <v>49.056618</v>
      </c>
      <c r="KR8">
        <v>2.3797060000000001</v>
      </c>
      <c r="KS8" t="s">
        <v>1742</v>
      </c>
      <c r="KT8">
        <v>2025</v>
      </c>
      <c r="KU8" t="s">
        <v>2800</v>
      </c>
      <c r="KV8" s="6">
        <v>46050</v>
      </c>
      <c r="KW8">
        <v>5</v>
      </c>
      <c r="KX8">
        <v>173789936</v>
      </c>
      <c r="KY8">
        <v>1753841</v>
      </c>
      <c r="KZ8" t="s">
        <v>2801</v>
      </c>
      <c r="LC8" t="s">
        <v>2502</v>
      </c>
      <c r="LD8">
        <v>2.966253</v>
      </c>
      <c r="LE8" t="s">
        <v>1786</v>
      </c>
      <c r="LF8">
        <v>1.12304</v>
      </c>
      <c r="LG8" t="s">
        <v>1742</v>
      </c>
      <c r="LH8">
        <v>2025</v>
      </c>
      <c r="LI8" t="s">
        <v>2501</v>
      </c>
      <c r="LJ8" s="6">
        <v>46018</v>
      </c>
      <c r="LK8">
        <v>5</v>
      </c>
      <c r="LL8">
        <v>711693056</v>
      </c>
      <c r="LM8">
        <v>60401289</v>
      </c>
      <c r="LN8" t="s">
        <v>2503</v>
      </c>
      <c r="MW8" t="s">
        <v>3273</v>
      </c>
      <c r="MX8" t="s">
        <v>1786</v>
      </c>
      <c r="MY8">
        <v>1.4937910000000001</v>
      </c>
      <c r="MZ8">
        <v>1.4965649999999999</v>
      </c>
      <c r="NA8" t="s">
        <v>1762</v>
      </c>
      <c r="NB8">
        <v>2025</v>
      </c>
      <c r="NC8" t="s">
        <v>3274</v>
      </c>
      <c r="ND8" s="6">
        <v>45881</v>
      </c>
      <c r="NE8">
        <v>5</v>
      </c>
      <c r="NF8">
        <v>36067208</v>
      </c>
      <c r="NG8">
        <v>105941</v>
      </c>
      <c r="NH8" t="s">
        <v>3275</v>
      </c>
      <c r="NK8" t="s">
        <v>3333</v>
      </c>
      <c r="NL8">
        <v>-2.4245362661989844E-14</v>
      </c>
      <c r="NN8">
        <v>-2.4245362661989844E-14</v>
      </c>
      <c r="NO8" t="s">
        <v>1809</v>
      </c>
      <c r="NP8">
        <v>2025</v>
      </c>
      <c r="NQ8" t="s">
        <v>3334</v>
      </c>
      <c r="NR8" s="6">
        <v>45763</v>
      </c>
      <c r="NS8">
        <v>5</v>
      </c>
      <c r="NT8">
        <v>-2.4245362661989844E-14</v>
      </c>
      <c r="NU8">
        <v>181899</v>
      </c>
      <c r="NV8" t="s">
        <v>3335</v>
      </c>
      <c r="OA8" t="s">
        <v>2310</v>
      </c>
      <c r="OB8" t="s">
        <v>1786</v>
      </c>
      <c r="OC8">
        <v>0.69696199999999997</v>
      </c>
      <c r="OD8">
        <v>7.0246810000000002</v>
      </c>
      <c r="OE8" t="s">
        <v>1762</v>
      </c>
      <c r="OF8">
        <v>2026</v>
      </c>
      <c r="OG8" t="s">
        <v>2640</v>
      </c>
      <c r="OH8" s="6">
        <v>46063</v>
      </c>
      <c r="OI8">
        <v>5</v>
      </c>
      <c r="OJ8">
        <v>397310112</v>
      </c>
      <c r="OK8">
        <v>313657</v>
      </c>
      <c r="OL8" t="s">
        <v>2312</v>
      </c>
      <c r="OO8" t="s">
        <v>4549</v>
      </c>
      <c r="OP8">
        <v>3.3630000000000001E-3</v>
      </c>
      <c r="OQ8" t="s">
        <v>1786</v>
      </c>
      <c r="OR8">
        <v>2.5916320000000002</v>
      </c>
      <c r="OS8" t="s">
        <v>1798</v>
      </c>
      <c r="OT8">
        <v>2025</v>
      </c>
      <c r="OU8" t="s">
        <v>4550</v>
      </c>
      <c r="OV8" s="6">
        <v>45974</v>
      </c>
      <c r="OW8">
        <v>5</v>
      </c>
      <c r="OX8">
        <v>188733.74</v>
      </c>
      <c r="OY8">
        <v>38417413</v>
      </c>
      <c r="OZ8" t="s">
        <v>4551</v>
      </c>
      <c r="PE8" t="s">
        <v>3619</v>
      </c>
      <c r="PG8">
        <v>-2.4245362661989844E-14</v>
      </c>
      <c r="PH8">
        <v>-2.4245362661989844E-14</v>
      </c>
      <c r="PI8" t="s">
        <v>1742</v>
      </c>
      <c r="PJ8">
        <v>2024</v>
      </c>
      <c r="PK8" t="s">
        <v>3620</v>
      </c>
      <c r="PL8" s="6">
        <v>45419</v>
      </c>
      <c r="PM8">
        <v>5</v>
      </c>
      <c r="PN8">
        <v>-2.4245362661989844E-14</v>
      </c>
      <c r="PO8">
        <v>30816155</v>
      </c>
      <c r="PP8" t="s">
        <v>3621</v>
      </c>
      <c r="QI8" t="s">
        <v>2724</v>
      </c>
      <c r="QJ8" t="s">
        <v>1786</v>
      </c>
      <c r="QK8">
        <v>1.2087429999999999</v>
      </c>
      <c r="QL8">
        <v>0.14913000000000001</v>
      </c>
      <c r="QM8" t="s">
        <v>1742</v>
      </c>
      <c r="QN8">
        <v>2025</v>
      </c>
      <c r="QO8" t="s">
        <v>2725</v>
      </c>
      <c r="QP8" s="6">
        <v>46049</v>
      </c>
      <c r="QQ8">
        <v>5</v>
      </c>
      <c r="QR8">
        <v>141902324.31</v>
      </c>
      <c r="QS8">
        <v>101095</v>
      </c>
      <c r="QT8" t="s">
        <v>2726</v>
      </c>
      <c r="QW8" t="s">
        <v>2096</v>
      </c>
      <c r="QX8">
        <v>-2.4245362661989844E-14</v>
      </c>
      <c r="QZ8">
        <v>-2.4245362661989844E-14</v>
      </c>
      <c r="RA8" t="s">
        <v>1745</v>
      </c>
      <c r="RB8">
        <v>2024</v>
      </c>
      <c r="RC8" t="s">
        <v>2097</v>
      </c>
      <c r="RD8" s="6">
        <v>45367</v>
      </c>
      <c r="RE8">
        <v>5</v>
      </c>
      <c r="RF8">
        <v>-2.4245362661989844E-14</v>
      </c>
      <c r="RG8">
        <v>101616</v>
      </c>
      <c r="RH8" t="s">
        <v>2098</v>
      </c>
      <c r="TU8" t="s">
        <v>3812</v>
      </c>
      <c r="TW8">
        <v>-2.4245362661989844E-14</v>
      </c>
      <c r="TX8">
        <v>-2.4245362661989844E-14</v>
      </c>
      <c r="TY8" t="s">
        <v>1745</v>
      </c>
      <c r="TZ8">
        <v>2024</v>
      </c>
      <c r="UA8" t="s">
        <v>4362</v>
      </c>
      <c r="UB8" s="6">
        <v>45358</v>
      </c>
      <c r="UC8">
        <v>5</v>
      </c>
      <c r="UD8">
        <v>-2.4245362661989844E-14</v>
      </c>
      <c r="UE8">
        <v>41866638</v>
      </c>
      <c r="UF8" t="s">
        <v>3813</v>
      </c>
      <c r="UI8" t="s">
        <v>5295</v>
      </c>
      <c r="UJ8">
        <v>-2.4245362661989844E-14</v>
      </c>
      <c r="UL8">
        <v>-2.4245362661989844E-14</v>
      </c>
      <c r="UM8" t="s">
        <v>1745</v>
      </c>
      <c r="UN8">
        <v>2023</v>
      </c>
      <c r="UO8" t="s">
        <v>4362</v>
      </c>
      <c r="UP8" s="6">
        <v>45105</v>
      </c>
      <c r="UQ8">
        <v>5</v>
      </c>
      <c r="UR8">
        <v>-2.4245362661989844E-14</v>
      </c>
      <c r="US8">
        <v>69444555</v>
      </c>
      <c r="UT8" t="s">
        <v>5296</v>
      </c>
      <c r="UY8" t="s">
        <v>3400</v>
      </c>
      <c r="UZ8" t="s">
        <v>1786</v>
      </c>
      <c r="VA8">
        <v>0.18863199999999999</v>
      </c>
      <c r="VB8">
        <v>0.23350299999999999</v>
      </c>
      <c r="VC8" t="s">
        <v>1742</v>
      </c>
      <c r="VD8">
        <v>2025</v>
      </c>
      <c r="VE8" t="s">
        <v>3401</v>
      </c>
      <c r="VF8" s="6">
        <v>46048</v>
      </c>
      <c r="VG8">
        <v>5</v>
      </c>
      <c r="VH8">
        <v>3118087</v>
      </c>
      <c r="VI8">
        <v>66766968</v>
      </c>
      <c r="VJ8" t="s">
        <v>3402</v>
      </c>
      <c r="VM8" t="s">
        <v>1885</v>
      </c>
      <c r="VN8">
        <v>3.3879459999999999</v>
      </c>
      <c r="VO8" t="s">
        <v>1786</v>
      </c>
      <c r="VP8">
        <v>9.6015000000000003E-2</v>
      </c>
      <c r="VQ8" t="s">
        <v>1845</v>
      </c>
      <c r="VR8">
        <v>2025</v>
      </c>
      <c r="VS8" t="s">
        <v>5134</v>
      </c>
      <c r="VT8" s="6">
        <v>45835</v>
      </c>
      <c r="VU8">
        <v>5</v>
      </c>
      <c r="VV8">
        <v>73908888</v>
      </c>
      <c r="VW8">
        <v>216952</v>
      </c>
      <c r="VX8" t="s">
        <v>1886</v>
      </c>
    </row>
    <row r="9" spans="1:600" x14ac:dyDescent="0.25">
      <c r="A9" t="s">
        <v>2346</v>
      </c>
      <c r="C9">
        <v>-2.4245362661989844E-14</v>
      </c>
      <c r="D9">
        <v>-2.4245362661989844E-14</v>
      </c>
      <c r="E9" t="s">
        <v>1745</v>
      </c>
      <c r="F9">
        <v>2021</v>
      </c>
      <c r="G9" t="s">
        <v>2347</v>
      </c>
      <c r="H9" s="6">
        <v>44693</v>
      </c>
      <c r="I9">
        <v>5</v>
      </c>
      <c r="J9">
        <v>-2.4245362661989844E-14</v>
      </c>
      <c r="K9">
        <v>100481</v>
      </c>
      <c r="L9" t="s">
        <v>2348</v>
      </c>
      <c r="AE9" t="s">
        <v>5578</v>
      </c>
      <c r="AF9" t="s">
        <v>1786</v>
      </c>
      <c r="AG9">
        <v>0.16591400000000001</v>
      </c>
      <c r="AH9">
        <v>0.77667900000000001</v>
      </c>
      <c r="AI9" t="s">
        <v>1742</v>
      </c>
      <c r="AJ9">
        <v>2025</v>
      </c>
      <c r="AK9" t="s">
        <v>5453</v>
      </c>
      <c r="AL9" s="6">
        <v>45978</v>
      </c>
      <c r="AM9">
        <v>5</v>
      </c>
      <c r="AN9">
        <v>4240085</v>
      </c>
      <c r="AO9">
        <v>10108180</v>
      </c>
      <c r="AP9" t="s">
        <v>5579</v>
      </c>
      <c r="AS9" t="s">
        <v>5457</v>
      </c>
      <c r="AT9">
        <v>0.232825</v>
      </c>
      <c r="AU9" t="s">
        <v>1786</v>
      </c>
      <c r="AV9">
        <v>2.0143000000000001E-2</v>
      </c>
      <c r="AW9" t="s">
        <v>1742</v>
      </c>
      <c r="AX9">
        <v>2025</v>
      </c>
      <c r="AY9" t="s">
        <v>5453</v>
      </c>
      <c r="AZ9" s="6">
        <v>45978</v>
      </c>
      <c r="BA9">
        <v>5</v>
      </c>
      <c r="BB9">
        <v>1886115</v>
      </c>
      <c r="BC9">
        <v>156049</v>
      </c>
      <c r="BD9" t="s">
        <v>5458</v>
      </c>
      <c r="CM9" t="s">
        <v>3871</v>
      </c>
      <c r="CN9" t="s">
        <v>1769</v>
      </c>
      <c r="CO9">
        <v>1.6404799999999999</v>
      </c>
      <c r="CP9">
        <v>2.2485889999999999</v>
      </c>
      <c r="CQ9" t="s">
        <v>1845</v>
      </c>
      <c r="CR9">
        <v>2025</v>
      </c>
      <c r="CS9" t="s">
        <v>3872</v>
      </c>
      <c r="CT9" s="6">
        <v>45796</v>
      </c>
      <c r="CU9">
        <v>5</v>
      </c>
      <c r="CV9">
        <v>57397160.810000002</v>
      </c>
      <c r="CW9">
        <v>995671</v>
      </c>
      <c r="CX9" t="s">
        <v>3873</v>
      </c>
      <c r="DA9" t="s">
        <v>2226</v>
      </c>
      <c r="DB9">
        <v>0.61089599999999999</v>
      </c>
      <c r="DC9" t="s">
        <v>1786</v>
      </c>
      <c r="DD9">
        <v>14.583333</v>
      </c>
      <c r="DE9" t="s">
        <v>1745</v>
      </c>
      <c r="DF9">
        <v>2024</v>
      </c>
      <c r="DG9" t="s">
        <v>2227</v>
      </c>
      <c r="DH9" s="6">
        <v>45713</v>
      </c>
      <c r="DI9">
        <v>5</v>
      </c>
      <c r="DJ9">
        <v>98000000</v>
      </c>
      <c r="DK9">
        <v>69483676</v>
      </c>
      <c r="DL9" t="s">
        <v>2228</v>
      </c>
      <c r="HC9" t="s">
        <v>949</v>
      </c>
      <c r="HD9" t="s">
        <v>1786</v>
      </c>
      <c r="HE9">
        <v>9.9027270000000005</v>
      </c>
      <c r="HF9">
        <v>1.5774429999999999</v>
      </c>
      <c r="HG9" t="s">
        <v>1762</v>
      </c>
      <c r="HH9">
        <v>2025</v>
      </c>
      <c r="HI9" t="s">
        <v>2429</v>
      </c>
      <c r="HJ9" s="6">
        <v>45904</v>
      </c>
      <c r="HK9">
        <v>5</v>
      </c>
      <c r="HL9">
        <v>107991712</v>
      </c>
      <c r="HM9">
        <v>187877</v>
      </c>
      <c r="HN9" t="s">
        <v>2430</v>
      </c>
      <c r="HQ9" t="s">
        <v>1079</v>
      </c>
      <c r="HR9">
        <v>3.0622020000000001</v>
      </c>
      <c r="HS9" t="s">
        <v>1786</v>
      </c>
      <c r="HT9">
        <v>2.546176</v>
      </c>
      <c r="HU9" t="s">
        <v>1762</v>
      </c>
      <c r="HV9">
        <v>2025</v>
      </c>
      <c r="HW9" t="s">
        <v>1877</v>
      </c>
      <c r="HX9" s="6">
        <v>45888</v>
      </c>
      <c r="HY9">
        <v>5</v>
      </c>
      <c r="HZ9">
        <v>337546528</v>
      </c>
      <c r="IA9">
        <v>100090</v>
      </c>
      <c r="IB9" t="s">
        <v>1882</v>
      </c>
      <c r="KO9" t="s">
        <v>2802</v>
      </c>
      <c r="KP9" t="s">
        <v>1786</v>
      </c>
      <c r="KQ9">
        <v>1.017503</v>
      </c>
      <c r="KR9">
        <v>1.621964</v>
      </c>
      <c r="KS9" t="s">
        <v>1762</v>
      </c>
      <c r="KT9">
        <v>2025</v>
      </c>
      <c r="KU9" t="s">
        <v>2803</v>
      </c>
      <c r="KV9" s="6">
        <v>45929</v>
      </c>
      <c r="KW9">
        <v>5</v>
      </c>
      <c r="KX9">
        <v>123835292.08</v>
      </c>
      <c r="KY9">
        <v>115679</v>
      </c>
      <c r="KZ9" t="s">
        <v>2804</v>
      </c>
      <c r="LC9" t="s">
        <v>2504</v>
      </c>
      <c r="LD9">
        <v>2.108371</v>
      </c>
      <c r="LE9" t="s">
        <v>1786</v>
      </c>
      <c r="LF9">
        <v>2.5571009999999998</v>
      </c>
      <c r="LG9" t="s">
        <v>1762</v>
      </c>
      <c r="LH9">
        <v>2025</v>
      </c>
      <c r="LI9" t="s">
        <v>2505</v>
      </c>
      <c r="LJ9" s="6">
        <v>45919</v>
      </c>
      <c r="LK9">
        <v>5</v>
      </c>
      <c r="LL9">
        <v>501043244.87</v>
      </c>
      <c r="LM9">
        <v>115268</v>
      </c>
      <c r="LN9" t="s">
        <v>2506</v>
      </c>
      <c r="MW9" t="s">
        <v>2790</v>
      </c>
      <c r="MX9" t="s">
        <v>1786</v>
      </c>
      <c r="MY9">
        <v>1.700528</v>
      </c>
      <c r="MZ9">
        <v>0.73907500000000004</v>
      </c>
      <c r="NA9" t="s">
        <v>1742</v>
      </c>
      <c r="NB9">
        <v>2025</v>
      </c>
      <c r="NC9" t="s">
        <v>2791</v>
      </c>
      <c r="ND9" s="6">
        <v>46022</v>
      </c>
      <c r="NE9">
        <v>5</v>
      </c>
      <c r="NF9">
        <v>18949884</v>
      </c>
      <c r="NG9">
        <v>17300196</v>
      </c>
      <c r="NH9" t="s">
        <v>2792</v>
      </c>
      <c r="NK9" t="s">
        <v>3336</v>
      </c>
      <c r="NL9">
        <v>-2.4245362661989844E-14</v>
      </c>
      <c r="NN9">
        <v>-2.4245362661989844E-14</v>
      </c>
      <c r="NO9" t="s">
        <v>1745</v>
      </c>
      <c r="NP9">
        <v>2022</v>
      </c>
      <c r="NQ9" t="s">
        <v>3337</v>
      </c>
      <c r="NR9" s="6">
        <v>44761</v>
      </c>
      <c r="NS9">
        <v>5</v>
      </c>
      <c r="NT9">
        <v>-2.4245362661989844E-14</v>
      </c>
      <c r="NU9">
        <v>116667</v>
      </c>
      <c r="NV9" t="s">
        <v>3338</v>
      </c>
      <c r="OA9" t="s">
        <v>163</v>
      </c>
      <c r="OB9" t="s">
        <v>1786</v>
      </c>
      <c r="OC9">
        <v>2.9171480000000001</v>
      </c>
      <c r="OD9">
        <v>3.8580190000000001</v>
      </c>
      <c r="OE9" t="s">
        <v>1742</v>
      </c>
      <c r="OF9">
        <v>2025</v>
      </c>
      <c r="OG9" t="s">
        <v>2198</v>
      </c>
      <c r="OH9" s="6">
        <v>46003</v>
      </c>
      <c r="OI9">
        <v>5</v>
      </c>
      <c r="OJ9">
        <v>203850304</v>
      </c>
      <c r="OK9">
        <v>100496</v>
      </c>
      <c r="OL9" t="s">
        <v>3588</v>
      </c>
      <c r="OO9" t="s">
        <v>4552</v>
      </c>
      <c r="OP9">
        <v>2.7060000000000001E-3</v>
      </c>
      <c r="OQ9" t="s">
        <v>1786</v>
      </c>
      <c r="OR9">
        <v>9.5002829999999996</v>
      </c>
      <c r="OS9" t="s">
        <v>1745</v>
      </c>
      <c r="OT9">
        <v>2024</v>
      </c>
      <c r="OU9" t="s">
        <v>4553</v>
      </c>
      <c r="OV9" s="6">
        <v>45826</v>
      </c>
      <c r="OW9">
        <v>5</v>
      </c>
      <c r="OX9">
        <v>151457.47</v>
      </c>
      <c r="OY9">
        <v>7121552</v>
      </c>
      <c r="OZ9" t="s">
        <v>4554</v>
      </c>
      <c r="PE9" t="s">
        <v>2351</v>
      </c>
      <c r="PG9">
        <v>-2.4245362661989844E-14</v>
      </c>
      <c r="PH9">
        <v>-2.4245362661989844E-14</v>
      </c>
      <c r="PI9" t="s">
        <v>1745</v>
      </c>
      <c r="PJ9">
        <v>2024</v>
      </c>
      <c r="PK9" t="s">
        <v>3622</v>
      </c>
      <c r="PL9" s="6">
        <v>45733</v>
      </c>
      <c r="PM9">
        <v>5</v>
      </c>
      <c r="PN9">
        <v>-2.4245362661989844E-14</v>
      </c>
      <c r="PO9">
        <v>1183488</v>
      </c>
      <c r="PP9" t="s">
        <v>2353</v>
      </c>
      <c r="QI9" t="s">
        <v>1114</v>
      </c>
      <c r="QJ9" t="s">
        <v>1786</v>
      </c>
      <c r="QK9">
        <v>1.0236080000000001</v>
      </c>
      <c r="QL9">
        <v>0.137097</v>
      </c>
      <c r="QM9" t="s">
        <v>1762</v>
      </c>
      <c r="QN9">
        <v>2025</v>
      </c>
      <c r="QO9" t="s">
        <v>5642</v>
      </c>
      <c r="QP9" s="6">
        <v>45929</v>
      </c>
      <c r="QQ9">
        <v>5</v>
      </c>
      <c r="QR9">
        <v>125586464</v>
      </c>
      <c r="QS9">
        <v>100225</v>
      </c>
      <c r="QT9" t="s">
        <v>2151</v>
      </c>
      <c r="QW9" t="s">
        <v>2099</v>
      </c>
      <c r="QX9">
        <v>-2.4245362661989844E-14</v>
      </c>
      <c r="QZ9">
        <v>-2.4245362661989844E-14</v>
      </c>
      <c r="RA9" t="s">
        <v>1745</v>
      </c>
      <c r="RB9">
        <v>2024</v>
      </c>
      <c r="RC9" t="s">
        <v>2100</v>
      </c>
      <c r="RD9" s="6">
        <v>45435</v>
      </c>
      <c r="RE9">
        <v>5</v>
      </c>
      <c r="RF9">
        <v>-2.4245362661989844E-14</v>
      </c>
      <c r="RG9">
        <v>1028866</v>
      </c>
      <c r="RH9" t="s">
        <v>2101</v>
      </c>
      <c r="TU9" t="s">
        <v>4363</v>
      </c>
      <c r="TW9">
        <v>-2.4245362661989844E-14</v>
      </c>
      <c r="TX9">
        <v>-2.4245362661989844E-14</v>
      </c>
      <c r="TY9" t="s">
        <v>1745</v>
      </c>
      <c r="TZ9">
        <v>2023</v>
      </c>
      <c r="UA9" t="s">
        <v>4364</v>
      </c>
      <c r="UB9" s="6">
        <v>45300</v>
      </c>
      <c r="UC9">
        <v>5</v>
      </c>
      <c r="UD9">
        <v>-2.4245362661989844E-14</v>
      </c>
      <c r="UE9">
        <v>70165912</v>
      </c>
      <c r="UF9" t="s">
        <v>4365</v>
      </c>
      <c r="UI9" t="s">
        <v>5297</v>
      </c>
      <c r="UJ9">
        <v>-2.4245362661989844E-14</v>
      </c>
      <c r="UL9">
        <v>-2.4245362661989844E-14</v>
      </c>
      <c r="UM9" t="s">
        <v>1745</v>
      </c>
      <c r="UN9">
        <v>2024</v>
      </c>
      <c r="UO9" t="s">
        <v>5298</v>
      </c>
      <c r="UP9" s="6">
        <v>45769</v>
      </c>
      <c r="UQ9">
        <v>5</v>
      </c>
      <c r="UR9">
        <v>-2.4245362661989844E-14</v>
      </c>
      <c r="US9">
        <v>25491917</v>
      </c>
      <c r="UT9" t="s">
        <v>5299</v>
      </c>
      <c r="UY9" t="s">
        <v>3103</v>
      </c>
      <c r="UZ9" t="s">
        <v>1786</v>
      </c>
      <c r="VA9">
        <v>9.3740000000000004E-3</v>
      </c>
      <c r="VB9">
        <v>0.17705699999999999</v>
      </c>
      <c r="VC9" t="s">
        <v>1762</v>
      </c>
      <c r="VD9">
        <v>2025</v>
      </c>
      <c r="VE9" t="s">
        <v>5218</v>
      </c>
      <c r="VF9" s="6">
        <v>45896</v>
      </c>
      <c r="VG9">
        <v>5</v>
      </c>
      <c r="VH9">
        <v>2518528.3199999998</v>
      </c>
      <c r="VI9">
        <v>112571</v>
      </c>
      <c r="VJ9" t="s">
        <v>3104</v>
      </c>
      <c r="VM9" t="s">
        <v>985</v>
      </c>
      <c r="VN9">
        <v>3.320344</v>
      </c>
      <c r="VO9" t="s">
        <v>1786</v>
      </c>
      <c r="VP9">
        <v>0.209644</v>
      </c>
      <c r="VQ9" t="s">
        <v>1845</v>
      </c>
      <c r="VR9">
        <v>2025</v>
      </c>
      <c r="VS9" t="s">
        <v>5134</v>
      </c>
      <c r="VT9" s="6">
        <v>45835</v>
      </c>
      <c r="VU9">
        <v>5</v>
      </c>
      <c r="VV9">
        <v>72434136</v>
      </c>
      <c r="VW9">
        <v>100864</v>
      </c>
      <c r="VX9" t="s">
        <v>1971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847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848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849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850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851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852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853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854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855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856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857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858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859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860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861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862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863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864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865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866</v>
      </c>
      <c r="AE2" s="3" t="s">
        <v>867</v>
      </c>
      <c r="BI2" s="3" t="s">
        <v>868</v>
      </c>
      <c r="CM2" s="3" t="s">
        <v>869</v>
      </c>
      <c r="DQ2" s="3" t="s">
        <v>870</v>
      </c>
      <c r="EU2" s="3" t="s">
        <v>871</v>
      </c>
      <c r="FY2" s="3" t="s">
        <v>872</v>
      </c>
      <c r="HC2" s="3" t="s">
        <v>873</v>
      </c>
      <c r="IG2" s="3" t="s">
        <v>874</v>
      </c>
      <c r="JK2" s="3" t="s">
        <v>875</v>
      </c>
      <c r="KO2" s="3" t="s">
        <v>876</v>
      </c>
      <c r="LS2" s="3" t="s">
        <v>877</v>
      </c>
      <c r="MW2" s="3" t="s">
        <v>878</v>
      </c>
      <c r="OA2" s="3" t="s">
        <v>879</v>
      </c>
      <c r="PE2" s="3" t="s">
        <v>779</v>
      </c>
      <c r="QI2" s="3" t="s">
        <v>880</v>
      </c>
      <c r="RM2" s="3" t="s">
        <v>881</v>
      </c>
      <c r="SQ2" s="3" t="s">
        <v>882</v>
      </c>
      <c r="TU2" s="3" t="s">
        <v>883</v>
      </c>
      <c r="UY2" s="3" t="s">
        <v>197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_xll.BDS("9990721D US Equity","SUPPLY_CHAIN_SUPPLIERS_ALL_DATA")</f>
        <v>#N/A N/A</v>
      </c>
      <c r="O5" t="str">
        <f>_xll.BDS("9990721D US Equity","SUPPLY_CHAIN_CUSTOMERS_ALL_DATA")</f>
        <v>#N/A N/A</v>
      </c>
      <c r="AE5" t="str">
        <f>_xll.BDS("SWN US Equity","SUPPLY_CHAIN_SUPPLIERS_ALL_DATA","cols=12;rows=5")</f>
        <v>848936Z US Equity</v>
      </c>
      <c r="AG5">
        <v>-2.4245362661989844E-14</v>
      </c>
      <c r="AH5">
        <v>-2.4245362661989844E-14</v>
      </c>
      <c r="AI5" t="s">
        <v>1745</v>
      </c>
      <c r="AJ5">
        <v>2023</v>
      </c>
      <c r="AK5" t="s">
        <v>3463</v>
      </c>
      <c r="AL5" s="6">
        <v>45344</v>
      </c>
      <c r="AM5">
        <v>5</v>
      </c>
      <c r="AN5">
        <v>-2.4245362661989844E-14</v>
      </c>
      <c r="AO5">
        <v>10759646</v>
      </c>
      <c r="AP5" t="s">
        <v>3464</v>
      </c>
      <c r="AS5" t="str">
        <f>_xll.BDS("SWN US Equity","SUPPLY_CHAIN_CUSTOMERS_ALL_DATA","cols=12;rows=1")</f>
        <v>UN0 GR Equity</v>
      </c>
      <c r="AT5">
        <v>-2.4245362661989844E-14</v>
      </c>
      <c r="AV5">
        <v>-2.4245362661989844E-14</v>
      </c>
      <c r="AW5" t="s">
        <v>1745</v>
      </c>
      <c r="AX5">
        <v>2022</v>
      </c>
      <c r="AY5" t="s">
        <v>6504</v>
      </c>
      <c r="AZ5" s="6">
        <v>44726</v>
      </c>
      <c r="BA5">
        <v>1</v>
      </c>
      <c r="BB5">
        <v>-2.4245362661989844E-14</v>
      </c>
      <c r="BC5">
        <v>50566664</v>
      </c>
      <c r="BD5" t="s">
        <v>6505</v>
      </c>
      <c r="BI5" t="str">
        <f>_xll.BDS("HOMB US Equity","SUPPLY_CHAIN_SUPPLIERS_ALL_DATA","cols=12;rows=1")</f>
        <v>GWI LN Equity</v>
      </c>
      <c r="BK5">
        <v>-2.4245362661989844E-14</v>
      </c>
      <c r="BL5">
        <v>-2.4245362661989844E-14</v>
      </c>
      <c r="BM5" t="s">
        <v>1745</v>
      </c>
      <c r="BN5">
        <v>2022</v>
      </c>
      <c r="BO5" t="s">
        <v>2931</v>
      </c>
      <c r="BP5" s="6">
        <v>45019</v>
      </c>
      <c r="BQ5">
        <v>1</v>
      </c>
      <c r="BR5">
        <v>-2.4245362661989844E-14</v>
      </c>
      <c r="BS5">
        <v>36157131</v>
      </c>
      <c r="BT5" t="s">
        <v>2932</v>
      </c>
      <c r="BW5" t="str">
        <f>_xll.BDS("HOMB US Equity","SUPPLY_CHAIN_CUSTOMERS_ALL_DATA")</f>
        <v>#N/A N/A</v>
      </c>
      <c r="CM5" t="str">
        <f>_xll.BDS("SIVBQ US Equity","SUPPLY_CHAIN_SUPPLIERS_ALL_DATA","cols=12;rows=2")</f>
        <v>CUZ US Equity</v>
      </c>
      <c r="CO5">
        <v>-2.4245362661989844E-14</v>
      </c>
      <c r="CP5">
        <v>-2.4245362661989844E-14</v>
      </c>
      <c r="CQ5" t="s">
        <v>1745</v>
      </c>
      <c r="CR5">
        <v>2022</v>
      </c>
      <c r="CS5" t="s">
        <v>6272</v>
      </c>
      <c r="CT5" s="6">
        <v>44966</v>
      </c>
      <c r="CU5">
        <v>2</v>
      </c>
      <c r="CV5">
        <v>-2.4245362661989844E-14</v>
      </c>
      <c r="CW5">
        <v>106045</v>
      </c>
      <c r="CX5" t="s">
        <v>2977</v>
      </c>
      <c r="DA5" t="str">
        <f>_xll.BDS("SIVBQ US Equity","SUPPLY_CHAIN_CUSTOMERS_ALL_DATA")</f>
        <v>#N/A N/A</v>
      </c>
      <c r="DQ5" t="str">
        <f>_xll.BDS("HZNP US Equity","SUPPLY_CHAIN_SUPPLIERS_ALL_DATA","cols=12;rows=5")</f>
        <v>0217032D US Equity</v>
      </c>
      <c r="DS5">
        <v>-2.4245362661989844E-14</v>
      </c>
      <c r="DT5">
        <v>-2.4245362661989844E-14</v>
      </c>
      <c r="DU5" t="s">
        <v>1762</v>
      </c>
      <c r="DV5">
        <v>2023</v>
      </c>
      <c r="DW5" t="s">
        <v>3373</v>
      </c>
      <c r="DX5" s="6">
        <v>45146</v>
      </c>
      <c r="DY5">
        <v>5</v>
      </c>
      <c r="DZ5">
        <v>-2.4245362661989844E-14</v>
      </c>
      <c r="EA5">
        <v>8538176</v>
      </c>
      <c r="EB5" t="s">
        <v>3374</v>
      </c>
      <c r="EE5" t="str">
        <f>_xll.BDS("HZNP US Equity","SUPPLY_CHAIN_CUSTOMERS_ALL_DATA","cols=12;rows=5")</f>
        <v>1789 TT Equity</v>
      </c>
      <c r="EF5">
        <v>-2.4245362661989844E-14</v>
      </c>
      <c r="EH5">
        <v>-2.4245362661989844E-14</v>
      </c>
      <c r="EI5" t="s">
        <v>1745</v>
      </c>
      <c r="EJ5">
        <v>2021</v>
      </c>
      <c r="EK5" t="s">
        <v>5042</v>
      </c>
      <c r="EL5" s="6">
        <v>44637</v>
      </c>
      <c r="EM5">
        <v>5</v>
      </c>
      <c r="EN5">
        <v>-2.4245362661989844E-14</v>
      </c>
      <c r="EO5">
        <v>10498790</v>
      </c>
      <c r="EP5" t="s">
        <v>5043</v>
      </c>
      <c r="EU5" t="str">
        <f>_xll.BDS("EBC US Equity","SUPPLY_CHAIN_SUPPLIERS_ALL_DATA")</f>
        <v>#N/A N/A</v>
      </c>
      <c r="FI5" t="str">
        <f>_xll.BDS("EBC US Equity","SUPPLY_CHAIN_CUSTOMERS_ALL_DATA")</f>
        <v>#N/A N/A</v>
      </c>
      <c r="FY5" t="str">
        <f>_xll.BDS("WLTGQ US Equity","SUPPLY_CHAIN_SUPPLIERS_ALL_DATA")</f>
        <v>#N/A N/A</v>
      </c>
      <c r="GM5" t="str">
        <f>_xll.BDS("WLTGQ US Equity","SUPPLY_CHAIN_CUSTOMERS_ALL_DATA")</f>
        <v>#N/A N/A</v>
      </c>
      <c r="HC5" t="str">
        <f>_xll.BDS("CVBF US Equity","SUPPLY_CHAIN_SUPPLIERS_ALL_DATA")</f>
        <v>#N/A N/A</v>
      </c>
      <c r="HQ5" t="str">
        <f>_xll.BDS("CVBF US Equity","SUPPLY_CHAIN_CUSTOMERS_ALL_DATA")</f>
        <v>#N/A N/A</v>
      </c>
      <c r="IG5" t="str">
        <f>_xll.BDS("244630Q US Equity","SUPPLY_CHAIN_SUPPLIERS_ALL_DATA")</f>
        <v>#N/A N/A</v>
      </c>
      <c r="IU5" t="str">
        <f>_xll.BDS("244630Q US Equity","SUPPLY_CHAIN_CUSTOMERS_ALL_DATA")</f>
        <v>#N/A N/A</v>
      </c>
      <c r="JK5" t="str">
        <f>_xll.BDS("PSS US Equity","SUPPLY_CHAIN_SUPPLIERS_ALL_DATA")</f>
        <v>#N/A N/A</v>
      </c>
      <c r="JY5" t="str">
        <f>_xll.BDS("PSS US Equity","SUPPLY_CHAIN_CUSTOMERS_ALL_DATA","cols=12;rows=2")</f>
        <v>MAPA IJ Equity</v>
      </c>
      <c r="JZ5">
        <v>-2.4245362661989844E-14</v>
      </c>
      <c r="KB5">
        <v>-2.4245362661989844E-14</v>
      </c>
      <c r="KC5" t="s">
        <v>1745</v>
      </c>
      <c r="KD5">
        <v>2024</v>
      </c>
      <c r="KE5" t="s">
        <v>5762</v>
      </c>
      <c r="KF5" s="6">
        <v>45743</v>
      </c>
      <c r="KG5">
        <v>2</v>
      </c>
      <c r="KH5">
        <v>-2.4245362661989844E-14</v>
      </c>
      <c r="KI5">
        <v>45151597</v>
      </c>
      <c r="KJ5" t="s">
        <v>5763</v>
      </c>
      <c r="KO5" t="str">
        <f>_xll.BDS("1683997D US Equity","SUPPLY_CHAIN_SUPPLIERS_ALL_DATA")</f>
        <v>#N/A N/A</v>
      </c>
      <c r="LC5" t="str">
        <f>_xll.BDS("1683997D US Equity","SUPPLY_CHAIN_CUSTOMERS_ALL_DATA")</f>
        <v>#N/A N/A</v>
      </c>
      <c r="LS5" t="str">
        <f>_xll.BDS("EQIX US Equity","SUPPLY_CHAIN_SUPPLIERS_ALL_DATA","cols=12;rows=5")</f>
        <v>BE US Equity</v>
      </c>
      <c r="LT5" t="s">
        <v>1820</v>
      </c>
      <c r="LU5">
        <v>8.1990250000000007</v>
      </c>
      <c r="LV5">
        <v>2.9801730000000002</v>
      </c>
      <c r="LW5" t="s">
        <v>1742</v>
      </c>
      <c r="LX5">
        <v>2025</v>
      </c>
      <c r="LY5" t="s">
        <v>3929</v>
      </c>
      <c r="LZ5" s="6">
        <v>45964</v>
      </c>
      <c r="MA5">
        <v>5</v>
      </c>
      <c r="MB5">
        <v>42556876</v>
      </c>
      <c r="MC5">
        <v>16546862</v>
      </c>
      <c r="MD5" t="s">
        <v>3930</v>
      </c>
      <c r="MG5" t="str">
        <f>_xll.BDS("EQIX US Equity","SUPPLY_CHAIN_CUSTOMERS_ALL_DATA","cols=12;rows=5")</f>
        <v>941 HK Equity</v>
      </c>
      <c r="MH5">
        <v>0.74848899999999996</v>
      </c>
      <c r="MI5" t="s">
        <v>1786</v>
      </c>
      <c r="MJ5">
        <v>6.2861E-2</v>
      </c>
      <c r="MK5" t="s">
        <v>1809</v>
      </c>
      <c r="ML5">
        <v>2025</v>
      </c>
      <c r="MM5" t="s">
        <v>1868</v>
      </c>
      <c r="MN5" s="6">
        <v>45797</v>
      </c>
      <c r="MO5">
        <v>5</v>
      </c>
      <c r="MP5">
        <v>16653207.23</v>
      </c>
      <c r="MQ5">
        <v>223340</v>
      </c>
      <c r="MR5" t="s">
        <v>1869</v>
      </c>
      <c r="MW5" t="str">
        <f>_xll.BDS("BMC US Equity","SUPPLY_CHAIN_SUPPLIERS_ALL_DATA","cols=12;rows=1")</f>
        <v>AMZN US Equity</v>
      </c>
      <c r="MY5">
        <v>-2.4245362661989844E-14</v>
      </c>
      <c r="MZ5">
        <v>-2.4245362661989844E-14</v>
      </c>
      <c r="NA5" t="s">
        <v>1745</v>
      </c>
      <c r="NB5">
        <v>2025</v>
      </c>
      <c r="NC5" t="s">
        <v>5010</v>
      </c>
      <c r="ND5" s="6">
        <v>45959</v>
      </c>
      <c r="NE5">
        <v>1</v>
      </c>
      <c r="NF5">
        <v>-2.4245362661989844E-14</v>
      </c>
      <c r="NG5">
        <v>216952</v>
      </c>
      <c r="NH5" t="s">
        <v>1886</v>
      </c>
      <c r="NK5" t="str">
        <f>_xll.BDS("BMC US Equity","SUPPLY_CHAIN_CUSTOMERS_ALL_DATA")</f>
        <v>#N/A N/A</v>
      </c>
      <c r="OA5" t="str">
        <f>_xll.BDS("4612775Q US Equity","SUPPLY_CHAIN_SUPPLIERS_ALL_DATA")</f>
        <v>#N/A N/A</v>
      </c>
      <c r="OO5" t="str">
        <f>_xll.BDS("4612775Q US Equity","SUPPLY_CHAIN_CUSTOMERS_ALL_DATA")</f>
        <v>#N/A N/A</v>
      </c>
      <c r="PE5" t="str">
        <f>_xll.BDS("TLAB US Equity","SUPPLY_CHAIN_SUPPLIERS_ALL_DATA")</f>
        <v>#N/A N/A</v>
      </c>
      <c r="PS5" t="str">
        <f>_xll.BDS("TLAB US Equity","SUPPLY_CHAIN_CUSTOMERS_ALL_DATA")</f>
        <v>#N/A N/A</v>
      </c>
      <c r="QI5" t="str">
        <f>_xll.BDS("ASNAQ US Equity","SUPPLY_CHAIN_SUPPLIERS_ALL_DATA","cols=12;rows=4")</f>
        <v>AEP US Equity</v>
      </c>
      <c r="QK5">
        <v>-2.4245362661989844E-14</v>
      </c>
      <c r="QL5">
        <v>-2.4245362661989844E-14</v>
      </c>
      <c r="QM5" t="s">
        <v>1745</v>
      </c>
      <c r="QN5">
        <v>2021</v>
      </c>
      <c r="QO5" t="s">
        <v>2284</v>
      </c>
      <c r="QP5" s="6">
        <v>44693</v>
      </c>
      <c r="QQ5">
        <v>4</v>
      </c>
      <c r="QR5">
        <v>-2.4245362661989844E-14</v>
      </c>
      <c r="QS5">
        <v>100060</v>
      </c>
      <c r="QT5" t="s">
        <v>2285</v>
      </c>
      <c r="QW5" t="str">
        <f>_xll.BDS("ASNAQ US Equity","SUPPLY_CHAIN_CUSTOMERS_ALL_DATA")</f>
        <v>#N/A N/A</v>
      </c>
      <c r="RM5" t="str">
        <f>_xll.BDS("MFIC US Equity","SUPPLY_CHAIN_SUPPLIERS_ALL_DATA","cols=12;rows=1")</f>
        <v>EMBJ3 BZ Equity</v>
      </c>
      <c r="RO5">
        <v>-2.4245362661989844E-14</v>
      </c>
      <c r="RP5">
        <v>-2.4245362661989844E-14</v>
      </c>
      <c r="RQ5" t="s">
        <v>1798</v>
      </c>
      <c r="RR5">
        <v>2023</v>
      </c>
      <c r="RS5" t="s">
        <v>3988</v>
      </c>
      <c r="RT5" s="6">
        <v>45246</v>
      </c>
      <c r="RU5">
        <v>1</v>
      </c>
      <c r="RV5">
        <v>-2.4245362661989844E-14</v>
      </c>
      <c r="RW5">
        <v>158756</v>
      </c>
      <c r="RX5" t="s">
        <v>3989</v>
      </c>
      <c r="SA5" t="str">
        <f>_xll.BDS("MFIC US Equity","SUPPLY_CHAIN_CUSTOMERS_ALL_DATA")</f>
        <v>#N/A N/A</v>
      </c>
      <c r="SQ5" t="str">
        <f>_xll.BDS("ESVNQ US Equity","SUPPLY_CHAIN_SUPPLIERS_ALL_DATA")</f>
        <v>#N/A N/A</v>
      </c>
      <c r="TE5" t="str">
        <f>_xll.BDS("ESVNQ US Equity","SUPPLY_CHAIN_CUSTOMERS_ALL_DATA")</f>
        <v>#N/A N/A</v>
      </c>
      <c r="TU5" t="str">
        <f>_xll.BDS("116777Q US Equity","SUPPLY_CHAIN_SUPPLIERS_ALL_DATA")</f>
        <v>#N/A N/A</v>
      </c>
      <c r="UI5" t="str">
        <f>_xll.BDS("116777Q US Equity","SUPPLY_CHAIN_CUSTOMERS_ALL_DATA")</f>
        <v>#N/A N/A</v>
      </c>
      <c r="UY5" t="str">
        <f>_xll.BDS("GMH US Equity","SUPPLY_CHAIN_SUPPLIERS_ALL_DATA")</f>
        <v>#N/A N/A</v>
      </c>
      <c r="VM5" t="str">
        <f>_xll.BDS("GMH US Equity","SUPPLY_CHAIN_CUSTOMERS_ALL_DATA")</f>
        <v>#N/A N/A</v>
      </c>
    </row>
    <row r="6" spans="1:600" x14ac:dyDescent="0.25">
      <c r="AE6" t="s">
        <v>3465</v>
      </c>
      <c r="AG6">
        <v>-2.4245362661989844E-14</v>
      </c>
      <c r="AH6">
        <v>-2.4245362661989844E-14</v>
      </c>
      <c r="AI6" t="s">
        <v>1745</v>
      </c>
      <c r="AJ6">
        <v>2023</v>
      </c>
      <c r="AK6" t="s">
        <v>3466</v>
      </c>
      <c r="AL6" s="6">
        <v>45372</v>
      </c>
      <c r="AM6">
        <v>5</v>
      </c>
      <c r="AN6">
        <v>-2.4245362661989844E-14</v>
      </c>
      <c r="AO6">
        <v>13406059</v>
      </c>
      <c r="AP6" t="s">
        <v>3467</v>
      </c>
      <c r="CM6" t="s">
        <v>6273</v>
      </c>
      <c r="CO6">
        <v>-2.4245362661989844E-14</v>
      </c>
      <c r="CP6">
        <v>-2.4245362661989844E-14</v>
      </c>
      <c r="CQ6" t="s">
        <v>1745</v>
      </c>
      <c r="CR6">
        <v>2022</v>
      </c>
      <c r="CS6" t="s">
        <v>6274</v>
      </c>
      <c r="CT6" s="6">
        <v>44841</v>
      </c>
      <c r="CU6">
        <v>2</v>
      </c>
      <c r="CV6">
        <v>-2.4245362661989844E-14</v>
      </c>
      <c r="CW6">
        <v>65690426</v>
      </c>
      <c r="CX6" t="s">
        <v>6275</v>
      </c>
      <c r="DQ6" t="s">
        <v>3375</v>
      </c>
      <c r="DS6">
        <v>-2.4245362661989844E-14</v>
      </c>
      <c r="DT6">
        <v>-2.4245362661989844E-14</v>
      </c>
      <c r="DU6" t="s">
        <v>1762</v>
      </c>
      <c r="DV6">
        <v>2023</v>
      </c>
      <c r="DW6" t="s">
        <v>3373</v>
      </c>
      <c r="DX6" s="6">
        <v>45146</v>
      </c>
      <c r="DY6">
        <v>5</v>
      </c>
      <c r="DZ6">
        <v>-2.4245362661989844E-14</v>
      </c>
      <c r="EA6">
        <v>946185</v>
      </c>
      <c r="EB6" t="s">
        <v>3376</v>
      </c>
      <c r="EE6" t="s">
        <v>5044</v>
      </c>
      <c r="EF6">
        <v>-2.4245362661989844E-14</v>
      </c>
      <c r="EH6">
        <v>-2.4245362661989844E-14</v>
      </c>
      <c r="EI6" t="s">
        <v>1762</v>
      </c>
      <c r="EJ6">
        <v>2023</v>
      </c>
      <c r="EK6" t="s">
        <v>3373</v>
      </c>
      <c r="EL6" s="6">
        <v>45146</v>
      </c>
      <c r="EM6">
        <v>5</v>
      </c>
      <c r="EN6">
        <v>-2.4245362661989844E-14</v>
      </c>
      <c r="EO6">
        <v>64778847</v>
      </c>
      <c r="EP6" t="s">
        <v>5045</v>
      </c>
      <c r="JY6" t="s">
        <v>1758</v>
      </c>
      <c r="JZ6">
        <v>-2.4245362661989844E-14</v>
      </c>
      <c r="KB6">
        <v>-2.4245362661989844E-14</v>
      </c>
      <c r="KC6" t="s">
        <v>1745</v>
      </c>
      <c r="KD6">
        <v>2024</v>
      </c>
      <c r="KE6" t="s">
        <v>5487</v>
      </c>
      <c r="KF6" s="6">
        <v>45744</v>
      </c>
      <c r="KG6">
        <v>2</v>
      </c>
      <c r="KH6">
        <v>-2.4245362661989844E-14</v>
      </c>
      <c r="KI6">
        <v>9183698</v>
      </c>
      <c r="KJ6" t="s">
        <v>1760</v>
      </c>
      <c r="LS6" t="s">
        <v>5001</v>
      </c>
      <c r="LT6" t="s">
        <v>1769</v>
      </c>
      <c r="LU6">
        <v>1.56463</v>
      </c>
      <c r="LV6">
        <v>3.6884299999999999</v>
      </c>
      <c r="LW6" t="s">
        <v>1745</v>
      </c>
      <c r="LX6">
        <v>2025</v>
      </c>
      <c r="LY6" t="s">
        <v>5002</v>
      </c>
      <c r="LZ6" s="6">
        <v>46066</v>
      </c>
      <c r="MA6">
        <v>5</v>
      </c>
      <c r="MB6">
        <v>23910250</v>
      </c>
      <c r="MC6">
        <v>9084002</v>
      </c>
      <c r="MD6" t="s">
        <v>5003</v>
      </c>
      <c r="MG6" t="s">
        <v>2005</v>
      </c>
      <c r="MH6">
        <v>9.8089999999999997E-2</v>
      </c>
      <c r="MI6" t="s">
        <v>1769</v>
      </c>
      <c r="MJ6">
        <v>20.656593000000001</v>
      </c>
      <c r="MK6" t="s">
        <v>1745</v>
      </c>
      <c r="ML6">
        <v>2024</v>
      </c>
      <c r="MM6" t="s">
        <v>2006</v>
      </c>
      <c r="MN6" s="6">
        <v>45775</v>
      </c>
      <c r="MO6">
        <v>5</v>
      </c>
      <c r="MP6">
        <v>2175626.7000000002</v>
      </c>
      <c r="MQ6">
        <v>330357</v>
      </c>
      <c r="MR6" t="s">
        <v>2007</v>
      </c>
      <c r="QI6" t="s">
        <v>2346</v>
      </c>
      <c r="QK6">
        <v>-2.4245362661989844E-14</v>
      </c>
      <c r="QL6">
        <v>-2.4245362661989844E-14</v>
      </c>
      <c r="QM6" t="s">
        <v>1745</v>
      </c>
      <c r="QN6">
        <v>2021</v>
      </c>
      <c r="QO6" t="s">
        <v>2347</v>
      </c>
      <c r="QP6" s="6">
        <v>44693</v>
      </c>
      <c r="QQ6">
        <v>4</v>
      </c>
      <c r="QR6">
        <v>-2.4245362661989844E-14</v>
      </c>
      <c r="QS6">
        <v>100481</v>
      </c>
      <c r="QT6" t="s">
        <v>2348</v>
      </c>
    </row>
    <row r="7" spans="1:600" x14ac:dyDescent="0.25">
      <c r="AE7" t="s">
        <v>3468</v>
      </c>
      <c r="AG7">
        <v>-2.4245362661989844E-14</v>
      </c>
      <c r="AH7">
        <v>-2.4245362661989844E-14</v>
      </c>
      <c r="AI7" t="s">
        <v>1745</v>
      </c>
      <c r="AJ7">
        <v>2023</v>
      </c>
      <c r="AK7" t="s">
        <v>3463</v>
      </c>
      <c r="AL7" s="6">
        <v>45344</v>
      </c>
      <c r="AM7">
        <v>5</v>
      </c>
      <c r="AN7">
        <v>-2.4245362661989844E-14</v>
      </c>
      <c r="AO7">
        <v>10005604</v>
      </c>
      <c r="AP7" t="s">
        <v>3469</v>
      </c>
      <c r="DQ7" t="s">
        <v>3377</v>
      </c>
      <c r="DS7">
        <v>-2.4245362661989844E-14</v>
      </c>
      <c r="DT7">
        <v>-2.4245362661989844E-14</v>
      </c>
      <c r="DU7" t="s">
        <v>1745</v>
      </c>
      <c r="DV7">
        <v>2022</v>
      </c>
      <c r="DW7" t="s">
        <v>3378</v>
      </c>
      <c r="DX7" s="6">
        <v>44986</v>
      </c>
      <c r="DY7">
        <v>5</v>
      </c>
      <c r="DZ7">
        <v>-2.4245362661989844E-14</v>
      </c>
      <c r="EA7">
        <v>11778012</v>
      </c>
      <c r="EB7" t="s">
        <v>3379</v>
      </c>
      <c r="EE7" t="s">
        <v>5046</v>
      </c>
      <c r="EF7">
        <v>-2.4245362661989844E-14</v>
      </c>
      <c r="EH7">
        <v>-2.4245362661989844E-14</v>
      </c>
      <c r="EI7" t="s">
        <v>1745</v>
      </c>
      <c r="EJ7">
        <v>2022</v>
      </c>
      <c r="EK7" t="s">
        <v>3378</v>
      </c>
      <c r="EL7" s="6">
        <v>44986</v>
      </c>
      <c r="EM7">
        <v>5</v>
      </c>
      <c r="EN7">
        <v>-2.4245362661989844E-14</v>
      </c>
      <c r="EO7">
        <v>62317360</v>
      </c>
      <c r="EP7" t="s">
        <v>5047</v>
      </c>
      <c r="LS7" t="s">
        <v>5589</v>
      </c>
      <c r="LT7" t="s">
        <v>1769</v>
      </c>
      <c r="LU7">
        <v>18.216951000000002</v>
      </c>
      <c r="LV7">
        <v>0.89854500000000004</v>
      </c>
      <c r="LW7" t="s">
        <v>1745</v>
      </c>
      <c r="LX7">
        <v>2025</v>
      </c>
      <c r="LY7" t="s">
        <v>5590</v>
      </c>
      <c r="LZ7" s="6">
        <v>45828</v>
      </c>
      <c r="MA7">
        <v>5</v>
      </c>
      <c r="MB7">
        <v>5855454</v>
      </c>
      <c r="MC7">
        <v>113940</v>
      </c>
      <c r="MD7" t="s">
        <v>5591</v>
      </c>
      <c r="MG7" t="s">
        <v>2008</v>
      </c>
      <c r="MH7">
        <v>4.3288E-2</v>
      </c>
      <c r="MI7" t="s">
        <v>1786</v>
      </c>
      <c r="MJ7">
        <v>9.3360000000000005E-3</v>
      </c>
      <c r="MK7" t="s">
        <v>1742</v>
      </c>
      <c r="ML7">
        <v>2025</v>
      </c>
      <c r="MM7" t="s">
        <v>2009</v>
      </c>
      <c r="MN7" s="6">
        <v>46069</v>
      </c>
      <c r="MO7">
        <v>5</v>
      </c>
      <c r="MP7">
        <v>1037112.8</v>
      </c>
      <c r="MQ7">
        <v>8957976</v>
      </c>
      <c r="MR7" t="s">
        <v>2010</v>
      </c>
      <c r="QI7" t="s">
        <v>5211</v>
      </c>
      <c r="QK7">
        <v>-2.4245362661989844E-14</v>
      </c>
      <c r="QL7">
        <v>-2.4245362661989844E-14</v>
      </c>
      <c r="QM7" t="s">
        <v>1742</v>
      </c>
      <c r="QN7">
        <v>2024</v>
      </c>
      <c r="QO7" t="s">
        <v>5212</v>
      </c>
      <c r="QP7" s="6">
        <v>45659</v>
      </c>
      <c r="QQ7">
        <v>4</v>
      </c>
      <c r="QR7">
        <v>-2.4245362661989844E-14</v>
      </c>
      <c r="QS7">
        <v>11225923</v>
      </c>
      <c r="QT7" t="s">
        <v>5213</v>
      </c>
    </row>
    <row r="8" spans="1:600" x14ac:dyDescent="0.25">
      <c r="AE8" t="s">
        <v>3470</v>
      </c>
      <c r="AG8">
        <v>-2.4245362661989844E-14</v>
      </c>
      <c r="AH8">
        <v>-2.4245362661989844E-14</v>
      </c>
      <c r="AI8" t="s">
        <v>1742</v>
      </c>
      <c r="AJ8">
        <v>2023</v>
      </c>
      <c r="AK8" t="s">
        <v>3471</v>
      </c>
      <c r="AL8" s="6">
        <v>45245</v>
      </c>
      <c r="AM8">
        <v>5</v>
      </c>
      <c r="AN8">
        <v>-2.4245362661989844E-14</v>
      </c>
      <c r="AO8">
        <v>30093415</v>
      </c>
      <c r="AP8" t="s">
        <v>3472</v>
      </c>
      <c r="DQ8" t="s">
        <v>3380</v>
      </c>
      <c r="DS8">
        <v>-2.4245362661989844E-14</v>
      </c>
      <c r="DT8">
        <v>-2.4245362661989844E-14</v>
      </c>
      <c r="DU8" t="s">
        <v>1762</v>
      </c>
      <c r="DV8">
        <v>2022</v>
      </c>
      <c r="DW8" t="s">
        <v>3381</v>
      </c>
      <c r="DX8" s="6">
        <v>44817</v>
      </c>
      <c r="DY8">
        <v>5</v>
      </c>
      <c r="DZ8">
        <v>-2.4245362661989844E-14</v>
      </c>
      <c r="EA8">
        <v>29596182</v>
      </c>
      <c r="EB8" t="s">
        <v>3382</v>
      </c>
      <c r="EE8" t="s">
        <v>5048</v>
      </c>
      <c r="EF8">
        <v>-2.4245362661989844E-14</v>
      </c>
      <c r="EH8">
        <v>-2.4245362661989844E-14</v>
      </c>
      <c r="EI8" t="s">
        <v>1762</v>
      </c>
      <c r="EJ8">
        <v>2023</v>
      </c>
      <c r="EK8" t="s">
        <v>3373</v>
      </c>
      <c r="EL8" s="6">
        <v>45146</v>
      </c>
      <c r="EM8">
        <v>5</v>
      </c>
      <c r="EN8">
        <v>-2.4245362661989844E-14</v>
      </c>
      <c r="EO8">
        <v>7749970</v>
      </c>
      <c r="EP8" t="s">
        <v>5049</v>
      </c>
      <c r="LS8" t="s">
        <v>5592</v>
      </c>
      <c r="LT8" t="s">
        <v>1769</v>
      </c>
      <c r="LU8">
        <v>3.7</v>
      </c>
      <c r="LV8">
        <v>0.77184799999999998</v>
      </c>
      <c r="LW8" t="s">
        <v>1745</v>
      </c>
      <c r="LX8">
        <v>2025</v>
      </c>
      <c r="LY8" t="s">
        <v>5593</v>
      </c>
      <c r="LZ8" s="6">
        <v>45832</v>
      </c>
      <c r="MA8">
        <v>5</v>
      </c>
      <c r="MB8">
        <v>5025966.5599999996</v>
      </c>
      <c r="MC8">
        <v>9866174</v>
      </c>
      <c r="MD8" t="s">
        <v>5594</v>
      </c>
      <c r="MG8" t="s">
        <v>1962</v>
      </c>
      <c r="MH8">
        <v>1.6250000000000001E-2</v>
      </c>
      <c r="MI8" t="s">
        <v>1786</v>
      </c>
      <c r="MJ8">
        <v>8.4252999999999995E-2</v>
      </c>
      <c r="MK8" t="s">
        <v>1762</v>
      </c>
      <c r="ML8">
        <v>2026</v>
      </c>
      <c r="MM8" t="s">
        <v>2011</v>
      </c>
      <c r="MN8" s="6">
        <v>46036</v>
      </c>
      <c r="MO8">
        <v>5</v>
      </c>
      <c r="MP8">
        <v>376360</v>
      </c>
      <c r="MQ8">
        <v>194585</v>
      </c>
      <c r="MR8" t="s">
        <v>1964</v>
      </c>
      <c r="QI8" t="s">
        <v>3898</v>
      </c>
      <c r="QK8">
        <v>-2.4245362661989844E-14</v>
      </c>
      <c r="QL8">
        <v>-2.4245362661989844E-14</v>
      </c>
      <c r="QM8" t="s">
        <v>1745</v>
      </c>
      <c r="QN8">
        <v>2021</v>
      </c>
      <c r="QO8" t="s">
        <v>3899</v>
      </c>
      <c r="QP8" s="6">
        <v>44693</v>
      </c>
      <c r="QQ8">
        <v>4</v>
      </c>
      <c r="QR8">
        <v>-2.4245362661989844E-14</v>
      </c>
      <c r="QS8">
        <v>101153</v>
      </c>
      <c r="QT8" t="s">
        <v>3900</v>
      </c>
    </row>
    <row r="9" spans="1:600" x14ac:dyDescent="0.25">
      <c r="AE9" t="s">
        <v>3473</v>
      </c>
      <c r="AG9">
        <v>-2.4245362661989844E-14</v>
      </c>
      <c r="AH9">
        <v>-2.4245362661989844E-14</v>
      </c>
      <c r="AI9" t="s">
        <v>1762</v>
      </c>
      <c r="AJ9">
        <v>2024</v>
      </c>
      <c r="AK9" t="s">
        <v>3474</v>
      </c>
      <c r="AL9" s="6">
        <v>45506</v>
      </c>
      <c r="AM9">
        <v>5</v>
      </c>
      <c r="AN9">
        <v>-2.4245362661989844E-14</v>
      </c>
      <c r="AO9">
        <v>60242829</v>
      </c>
      <c r="AP9" t="s">
        <v>3475</v>
      </c>
      <c r="DQ9" t="s">
        <v>3383</v>
      </c>
      <c r="DS9">
        <v>-2.4245362661989844E-14</v>
      </c>
      <c r="DT9">
        <v>-2.4245362661989844E-14</v>
      </c>
      <c r="DU9" t="s">
        <v>1745</v>
      </c>
      <c r="DV9">
        <v>2022</v>
      </c>
      <c r="DW9" t="s">
        <v>3378</v>
      </c>
      <c r="DX9" s="6">
        <v>44986</v>
      </c>
      <c r="DY9">
        <v>5</v>
      </c>
      <c r="DZ9">
        <v>-2.4245362661989844E-14</v>
      </c>
      <c r="EA9">
        <v>14703138</v>
      </c>
      <c r="EB9" t="s">
        <v>3384</v>
      </c>
      <c r="EE9" t="s">
        <v>5050</v>
      </c>
      <c r="EF9">
        <v>-2.4245362661989844E-14</v>
      </c>
      <c r="EH9">
        <v>-2.4245362661989844E-14</v>
      </c>
      <c r="EI9" t="s">
        <v>1762</v>
      </c>
      <c r="EJ9">
        <v>2023</v>
      </c>
      <c r="EK9" t="s">
        <v>3373</v>
      </c>
      <c r="EL9" s="6">
        <v>45146</v>
      </c>
      <c r="EM9">
        <v>5</v>
      </c>
      <c r="EN9">
        <v>-2.4245362661989844E-14</v>
      </c>
      <c r="EO9">
        <v>26132526</v>
      </c>
      <c r="EP9" t="s">
        <v>5051</v>
      </c>
      <c r="LS9" t="s">
        <v>5595</v>
      </c>
      <c r="LT9" t="s">
        <v>1769</v>
      </c>
      <c r="LU9">
        <v>2.5</v>
      </c>
      <c r="LV9">
        <v>0.47323500000000002</v>
      </c>
      <c r="LW9" t="s">
        <v>1742</v>
      </c>
      <c r="LX9">
        <v>2026</v>
      </c>
      <c r="LY9" t="s">
        <v>5596</v>
      </c>
      <c r="LZ9" s="6">
        <v>46050</v>
      </c>
      <c r="MA9">
        <v>5</v>
      </c>
      <c r="MB9">
        <v>3147328.34</v>
      </c>
      <c r="MC9">
        <v>20989131</v>
      </c>
      <c r="MD9" t="s">
        <v>5597</v>
      </c>
      <c r="MG9" t="s">
        <v>2012</v>
      </c>
      <c r="MH9">
        <v>1.5807999999999999E-2</v>
      </c>
      <c r="MI9" t="s">
        <v>1786</v>
      </c>
      <c r="MJ9">
        <v>5.8171E-2</v>
      </c>
      <c r="MK9" t="s">
        <v>1742</v>
      </c>
      <c r="ML9">
        <v>2025</v>
      </c>
      <c r="MM9" t="s">
        <v>2013</v>
      </c>
      <c r="MN9" s="6">
        <v>45840</v>
      </c>
      <c r="MO9">
        <v>5</v>
      </c>
      <c r="MP9">
        <v>351728</v>
      </c>
      <c r="MQ9">
        <v>136424</v>
      </c>
      <c r="MR9" t="s">
        <v>2014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885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886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887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888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889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890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891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892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893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894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895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896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897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898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899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900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901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902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903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197</v>
      </c>
      <c r="AE2" s="3" t="s">
        <v>904</v>
      </c>
      <c r="BI2" s="3" t="s">
        <v>844</v>
      </c>
      <c r="CM2" s="3" t="s">
        <v>34</v>
      </c>
      <c r="DQ2" s="3" t="s">
        <v>905</v>
      </c>
      <c r="EU2" s="3" t="s">
        <v>906</v>
      </c>
      <c r="FY2" s="3" t="s">
        <v>907</v>
      </c>
      <c r="HC2" s="3" t="s">
        <v>352</v>
      </c>
      <c r="IG2" s="3" t="s">
        <v>599</v>
      </c>
      <c r="JK2" s="3" t="s">
        <v>561</v>
      </c>
      <c r="KO2" s="3" t="s">
        <v>908</v>
      </c>
      <c r="LS2" s="3" t="s">
        <v>86</v>
      </c>
      <c r="MW2" s="3" t="s">
        <v>909</v>
      </c>
      <c r="OA2" s="3" t="s">
        <v>454</v>
      </c>
      <c r="PE2" s="3" t="s">
        <v>910</v>
      </c>
      <c r="QI2" s="3" t="s">
        <v>911</v>
      </c>
      <c r="RM2" s="3" t="s">
        <v>912</v>
      </c>
      <c r="SQ2" s="3" t="s">
        <v>913</v>
      </c>
      <c r="TU2" s="3" t="s">
        <v>914</v>
      </c>
      <c r="UY2" s="3" t="s">
        <v>915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_xll.BDS("GMH US Equity","SUPPLY_CHAIN_SUPPLIERS_ALL_DATA")</f>
        <v>#N/A N/A</v>
      </c>
      <c r="O5" t="str">
        <f>_xll.BDS("GMH US Equity","SUPPLY_CHAIN_CUSTOMERS_ALL_DATA")</f>
        <v>#N/A N/A</v>
      </c>
      <c r="AE5" t="str">
        <f>_xll.BDS("NWSA US Equity","SUPPLY_CHAIN_SUPPLIERS_ALL_DATA","cols=12;rows=5")</f>
        <v>VISN US Equity</v>
      </c>
      <c r="AF5" t="s">
        <v>1820</v>
      </c>
      <c r="AG5">
        <v>0.33066800000000002</v>
      </c>
      <c r="AH5">
        <v>1.124676</v>
      </c>
      <c r="AI5" t="s">
        <v>1809</v>
      </c>
      <c r="AJ5">
        <v>2025</v>
      </c>
      <c r="AK5" t="s">
        <v>6316</v>
      </c>
      <c r="AL5" s="6">
        <v>45800</v>
      </c>
      <c r="AM5">
        <v>5</v>
      </c>
      <c r="AN5">
        <v>3677689</v>
      </c>
      <c r="AO5">
        <v>35508256</v>
      </c>
      <c r="AP5" t="s">
        <v>4121</v>
      </c>
      <c r="AS5" t="str">
        <f>_xll.BDS("NWSA US Equity","SUPPLY_CHAIN_CUSTOMERS_ALL_DATA","cols=12;rows=5")</f>
        <v>TSCO LN Equity</v>
      </c>
      <c r="AT5">
        <v>0.74447799999999997</v>
      </c>
      <c r="AU5" t="s">
        <v>1786</v>
      </c>
      <c r="AV5">
        <v>7.2485999999999995E-2</v>
      </c>
      <c r="AW5" t="s">
        <v>1809</v>
      </c>
      <c r="AX5">
        <v>2026</v>
      </c>
      <c r="AY5" t="s">
        <v>1834</v>
      </c>
      <c r="AZ5" s="6">
        <v>45898</v>
      </c>
      <c r="BA5">
        <v>5</v>
      </c>
      <c r="BB5">
        <v>15380370.130000001</v>
      </c>
      <c r="BC5">
        <v>112370</v>
      </c>
      <c r="BD5" t="s">
        <v>1835</v>
      </c>
      <c r="BI5" t="str">
        <f>_xll.BDS("DGX US Equity","SUPPLY_CHAIN_SUPPLIERS_ALL_DATA","cols=12;rows=5")</f>
        <v>PLUS US Equity</v>
      </c>
      <c r="BJ5" t="s">
        <v>1786</v>
      </c>
      <c r="BK5">
        <v>0.65</v>
      </c>
      <c r="BL5">
        <v>0.21196400000000001</v>
      </c>
      <c r="BM5" t="s">
        <v>1762</v>
      </c>
      <c r="BN5">
        <v>2026</v>
      </c>
      <c r="BO5" t="s">
        <v>2011</v>
      </c>
      <c r="BP5" s="6">
        <v>46036</v>
      </c>
      <c r="BQ5">
        <v>5</v>
      </c>
      <c r="BR5">
        <v>3957369</v>
      </c>
      <c r="BS5">
        <v>194585</v>
      </c>
      <c r="BT5" t="s">
        <v>1964</v>
      </c>
      <c r="BW5" t="str">
        <f>_xll.BDS("DGX US Equity","SUPPLY_CHAIN_CUSTOMERS_ALL_DATA","cols=12;rows=5")</f>
        <v>950220 KS Equity</v>
      </c>
      <c r="BX5">
        <v>1.7000000000000001E-4</v>
      </c>
      <c r="BY5" t="s">
        <v>1786</v>
      </c>
      <c r="BZ5">
        <v>0.102143</v>
      </c>
      <c r="CA5" t="s">
        <v>1798</v>
      </c>
      <c r="CB5">
        <v>2025</v>
      </c>
      <c r="CC5" t="s">
        <v>5289</v>
      </c>
      <c r="CD5" s="6">
        <v>45968</v>
      </c>
      <c r="CE5">
        <v>5</v>
      </c>
      <c r="CF5">
        <v>4616.33</v>
      </c>
      <c r="CG5">
        <v>46755389</v>
      </c>
      <c r="CH5" t="s">
        <v>5290</v>
      </c>
      <c r="CM5" t="str">
        <f>_xll.BDS("ORCL US Equity","SUPPLY_CHAIN_SUPPLIERS_ALL_DATA","cols=12;rows=5")</f>
        <v>NVDA US Equity</v>
      </c>
      <c r="CN5" t="s">
        <v>1820</v>
      </c>
      <c r="CO5">
        <v>1.9751799999999999</v>
      </c>
      <c r="CP5">
        <v>11.182838</v>
      </c>
      <c r="CQ5" t="s">
        <v>1845</v>
      </c>
      <c r="CR5">
        <v>2026</v>
      </c>
      <c r="CS5" t="s">
        <v>2311</v>
      </c>
      <c r="CT5" s="6">
        <v>46087</v>
      </c>
      <c r="CU5">
        <v>5</v>
      </c>
      <c r="CV5">
        <v>1345630848</v>
      </c>
      <c r="CW5">
        <v>313657</v>
      </c>
      <c r="CX5" t="s">
        <v>2312</v>
      </c>
      <c r="DA5" t="str">
        <f>_xll.BDS("ORCL US Equity","SUPPLY_CHAIN_CUSTOMERS_ALL_DATA","cols=12;rows=5")</f>
        <v>ACN US Equity</v>
      </c>
      <c r="DB5">
        <v>1.9061380000000001</v>
      </c>
      <c r="DC5" t="s">
        <v>1786</v>
      </c>
      <c r="DD5">
        <v>2.7725070000000001</v>
      </c>
      <c r="DE5" t="s">
        <v>1845</v>
      </c>
      <c r="DF5">
        <v>2025</v>
      </c>
      <c r="DG5" t="s">
        <v>1883</v>
      </c>
      <c r="DH5" s="6">
        <v>45848</v>
      </c>
      <c r="DI5">
        <v>5</v>
      </c>
      <c r="DJ5">
        <v>303133120</v>
      </c>
      <c r="DK5">
        <v>300787</v>
      </c>
      <c r="DL5" t="s">
        <v>1884</v>
      </c>
      <c r="DQ5" t="str">
        <f>_xll.BDS("VMC US Equity","SUPPLY_CHAIN_SUPPLIERS_ALL_DATA","cols=12;rows=5")</f>
        <v>ATCOA SS Equity</v>
      </c>
      <c r="DR5" t="s">
        <v>1820</v>
      </c>
      <c r="DS5">
        <v>0.115511</v>
      </c>
      <c r="DT5">
        <v>2.7509480000000002</v>
      </c>
      <c r="DU5" t="s">
        <v>1809</v>
      </c>
      <c r="DV5">
        <v>2025</v>
      </c>
      <c r="DW5" t="s">
        <v>3911</v>
      </c>
      <c r="DX5" s="6">
        <v>45825</v>
      </c>
      <c r="DY5">
        <v>5</v>
      </c>
      <c r="DZ5">
        <v>4626205.7</v>
      </c>
      <c r="EA5">
        <v>115632</v>
      </c>
      <c r="EB5" t="s">
        <v>3912</v>
      </c>
      <c r="EE5" t="str">
        <f>_xll.BDS("VMC US Equity","SUPPLY_CHAIN_CUSTOMERS_ALL_DATA","cols=12;rows=2")</f>
        <v>267222Z US Equity</v>
      </c>
      <c r="EF5">
        <v>-2.4245362661989844E-14</v>
      </c>
      <c r="EH5">
        <v>-2.4245362661989844E-14</v>
      </c>
      <c r="EI5" t="s">
        <v>1745</v>
      </c>
      <c r="EJ5">
        <v>2022</v>
      </c>
      <c r="EK5" t="s">
        <v>3661</v>
      </c>
      <c r="EL5" s="6">
        <v>44981</v>
      </c>
      <c r="EM5">
        <v>2</v>
      </c>
      <c r="EN5">
        <v>-2.4245362661989844E-14</v>
      </c>
      <c r="EO5">
        <v>7038232</v>
      </c>
      <c r="EP5" t="s">
        <v>3662</v>
      </c>
      <c r="EU5" t="str">
        <f>_xll.BDS("PYPL US Equity","SUPPLY_CHAIN_SUPPLIERS_ALL_DATA","cols=12;rows=5")</f>
        <v>AKAM US Equity</v>
      </c>
      <c r="EV5" t="s">
        <v>1786</v>
      </c>
      <c r="EW5">
        <v>0.60588200000000003</v>
      </c>
      <c r="EX5">
        <v>0.166051</v>
      </c>
      <c r="EY5" t="s">
        <v>1809</v>
      </c>
      <c r="EZ5">
        <v>2025</v>
      </c>
      <c r="FA5" t="s">
        <v>3086</v>
      </c>
      <c r="FB5" s="6">
        <v>45834</v>
      </c>
      <c r="FC5">
        <v>5</v>
      </c>
      <c r="FD5">
        <v>6150544</v>
      </c>
      <c r="FE5">
        <v>393374</v>
      </c>
      <c r="FF5" t="s">
        <v>3087</v>
      </c>
      <c r="FI5" t="str">
        <f>_xll.BDS("PYPL US Equity","SUPPLY_CHAIN_CUSTOMERS_ALL_DATA","cols=12;rows=5")</f>
        <v>1935092D US Equity</v>
      </c>
      <c r="FJ5">
        <v>-2.4245362661989844E-14</v>
      </c>
      <c r="FL5">
        <v>-2.4245362661989844E-14</v>
      </c>
      <c r="FM5" t="s">
        <v>1745</v>
      </c>
      <c r="FN5">
        <v>2025</v>
      </c>
      <c r="FO5" t="s">
        <v>5868</v>
      </c>
      <c r="FP5" s="6">
        <v>45817</v>
      </c>
      <c r="FQ5">
        <v>5</v>
      </c>
      <c r="FR5">
        <v>-2.4245362661989844E-14</v>
      </c>
      <c r="FS5">
        <v>69794415</v>
      </c>
      <c r="FT5" t="s">
        <v>5869</v>
      </c>
      <c r="FY5" t="str">
        <f>_xll.BDS("ARR US Equity","SUPPLY_CHAIN_SUPPLIERS_ALL_DATA")</f>
        <v>#N/A N/A</v>
      </c>
      <c r="GM5" t="str">
        <f>_xll.BDS("ARR US Equity","SUPPLY_CHAIN_CUSTOMERS_ALL_DATA")</f>
        <v>#N/A N/A</v>
      </c>
      <c r="HC5" t="str">
        <f>_xll.BDS("CAR US Equity","SUPPLY_CHAIN_SUPPLIERS_ALL_DATA","cols=12;rows=5")</f>
        <v>VRRM US Equity</v>
      </c>
      <c r="HD5" t="s">
        <v>1786</v>
      </c>
      <c r="HE5">
        <v>13.5</v>
      </c>
      <c r="HF5">
        <v>1.973611</v>
      </c>
      <c r="HG5" t="s">
        <v>1745</v>
      </c>
      <c r="HH5">
        <v>2024</v>
      </c>
      <c r="HI5" t="s">
        <v>4514</v>
      </c>
      <c r="HJ5" s="6">
        <v>45715</v>
      </c>
      <c r="HK5">
        <v>5</v>
      </c>
      <c r="HL5">
        <v>29673236</v>
      </c>
      <c r="HM5">
        <v>51985055</v>
      </c>
      <c r="HN5" t="s">
        <v>4515</v>
      </c>
      <c r="HQ5" t="str">
        <f>_xll.BDS("CAR US Equity","SUPPLY_CHAIN_CUSTOMERS_ALL_DATA","cols=12;rows=5")</f>
        <v>EIH IN Equity</v>
      </c>
      <c r="HR5">
        <v>1.306E-2</v>
      </c>
      <c r="HS5" t="s">
        <v>1786</v>
      </c>
      <c r="HT5">
        <v>0.69246200000000002</v>
      </c>
      <c r="HU5" t="s">
        <v>1745</v>
      </c>
      <c r="HV5">
        <v>2025</v>
      </c>
      <c r="HW5" t="s">
        <v>1990</v>
      </c>
      <c r="HX5" s="6">
        <v>45850</v>
      </c>
      <c r="HY5">
        <v>5</v>
      </c>
      <c r="HZ5">
        <v>381034.1</v>
      </c>
      <c r="IA5">
        <v>162657</v>
      </c>
      <c r="IB5" t="s">
        <v>1991</v>
      </c>
      <c r="IG5" t="str">
        <f>_xll.BDS("NS US Equity","SUPPLY_CHAIN_SUPPLIERS_ALL_DATA","cols=12;rows=5")</f>
        <v>1623420D US Equity</v>
      </c>
      <c r="II5">
        <v>-2.4245362661989844E-14</v>
      </c>
      <c r="IJ5">
        <v>-2.4245362661989844E-14</v>
      </c>
      <c r="IK5" t="s">
        <v>1745</v>
      </c>
      <c r="IL5">
        <v>2023</v>
      </c>
      <c r="IM5" t="s">
        <v>4533</v>
      </c>
      <c r="IN5" s="6">
        <v>45224</v>
      </c>
      <c r="IO5">
        <v>5</v>
      </c>
      <c r="IP5">
        <v>-2.4245362661989844E-14</v>
      </c>
      <c r="IQ5">
        <v>60546301</v>
      </c>
      <c r="IR5" t="s">
        <v>4534</v>
      </c>
      <c r="IU5" t="str">
        <f>_xll.BDS("NS US Equity","SUPPLY_CHAIN_CUSTOMERS_ALL_DATA","cols=12;rows=5")</f>
        <v>010060 KS Equity</v>
      </c>
      <c r="IV5">
        <v>-2.4245362661989844E-14</v>
      </c>
      <c r="IX5">
        <v>-2.4245362661989844E-14</v>
      </c>
      <c r="IY5" t="s">
        <v>1745</v>
      </c>
      <c r="IZ5">
        <v>2023</v>
      </c>
      <c r="JA5" t="s">
        <v>4533</v>
      </c>
      <c r="JB5" s="6">
        <v>45049</v>
      </c>
      <c r="JC5">
        <v>5</v>
      </c>
      <c r="JD5">
        <v>-2.4245362661989844E-14</v>
      </c>
      <c r="JE5">
        <v>119138</v>
      </c>
      <c r="JF5" t="s">
        <v>4788</v>
      </c>
      <c r="JK5" t="str">
        <f>_xll.BDS("MTCH US Equity","SUPPLY_CHAIN_SUPPLIERS_ALL_DATA","cols=12;rows=5")</f>
        <v>053300 KS Equity</v>
      </c>
      <c r="JM5">
        <v>-2.4245362661989844E-14</v>
      </c>
      <c r="JN5">
        <v>-2.4245362661989844E-14</v>
      </c>
      <c r="JO5" t="s">
        <v>1798</v>
      </c>
      <c r="JP5">
        <v>2025</v>
      </c>
      <c r="JQ5" t="s">
        <v>2323</v>
      </c>
      <c r="JR5" s="6">
        <v>45974</v>
      </c>
      <c r="JS5">
        <v>5</v>
      </c>
      <c r="JT5">
        <v>-2.4245362661989844E-14</v>
      </c>
      <c r="JU5">
        <v>23189849</v>
      </c>
      <c r="JV5" t="s">
        <v>2324</v>
      </c>
      <c r="JY5" t="str">
        <f>_xll.BDS("MTCH US Equity","SUPPLY_CHAIN_CUSTOMERS_ALL_DATA","cols=12;rows=3")</f>
        <v>AAPL US Equity</v>
      </c>
      <c r="JZ5">
        <v>-2.4245362661989844E-14</v>
      </c>
      <c r="KB5">
        <v>-2.4245362661989844E-14</v>
      </c>
      <c r="KC5" t="s">
        <v>1762</v>
      </c>
      <c r="KD5">
        <v>2024</v>
      </c>
      <c r="KE5" t="s">
        <v>1763</v>
      </c>
      <c r="KF5" s="6">
        <v>45505</v>
      </c>
      <c r="KG5">
        <v>3</v>
      </c>
      <c r="KH5">
        <v>-2.4245362661989844E-14</v>
      </c>
      <c r="KI5">
        <v>101695</v>
      </c>
      <c r="KJ5" t="s">
        <v>1764</v>
      </c>
      <c r="KO5" t="str">
        <f>_xll.BDS("CSFL US Equity","SUPPLY_CHAIN_SUPPLIERS_ALL_DATA")</f>
        <v>#N/A N/A</v>
      </c>
      <c r="LC5" t="str">
        <f>_xll.BDS("CSFL US Equity","SUPPLY_CHAIN_CUSTOMERS_ALL_DATA")</f>
        <v>#N/A N/A</v>
      </c>
      <c r="LS5" t="str">
        <f>_xll.BDS("BRK/A US Equity","SUPPLY_CHAIN_SUPPLIERS_ALL_DATA","cols=12;rows=5")</f>
        <v>HSY US Equity</v>
      </c>
      <c r="LT5" t="s">
        <v>1786</v>
      </c>
      <c r="LU5">
        <v>27</v>
      </c>
      <c r="LV5">
        <v>1.2151259999999999</v>
      </c>
      <c r="LW5" t="s">
        <v>1745</v>
      </c>
      <c r="LX5">
        <v>2025</v>
      </c>
      <c r="LY5" t="s">
        <v>3041</v>
      </c>
      <c r="LZ5" s="6">
        <v>46070</v>
      </c>
      <c r="MA5">
        <v>5</v>
      </c>
      <c r="MB5">
        <v>789248896</v>
      </c>
      <c r="MC5">
        <v>100731</v>
      </c>
      <c r="MD5" t="s">
        <v>3042</v>
      </c>
      <c r="MG5" t="str">
        <f>_xll.BDS("BRK/A US Equity","SUPPLY_CHAIN_CUSTOMERS_ALL_DATA","cols=12;rows=5")</f>
        <v>WMT US Equity</v>
      </c>
      <c r="MH5">
        <v>2.1167449999999999</v>
      </c>
      <c r="MI5" t="s">
        <v>1786</v>
      </c>
      <c r="MJ5">
        <v>1.7547349999999999</v>
      </c>
      <c r="MK5" t="s">
        <v>1745</v>
      </c>
      <c r="ML5">
        <v>2024</v>
      </c>
      <c r="MM5" t="s">
        <v>3646</v>
      </c>
      <c r="MN5" s="6">
        <v>45712</v>
      </c>
      <c r="MO5">
        <v>5</v>
      </c>
      <c r="MP5">
        <v>2244977664</v>
      </c>
      <c r="MQ5">
        <v>101616</v>
      </c>
      <c r="MR5" t="s">
        <v>2098</v>
      </c>
      <c r="MW5" t="str">
        <f>_xll.BDS("AIV US Equity","SUPPLY_CHAIN_SUPPLIERS_ALL_DATA","cols=12;rows=1")</f>
        <v>MS US Equity</v>
      </c>
      <c r="MY5">
        <v>-2.4245362661989844E-14</v>
      </c>
      <c r="MZ5">
        <v>-2.4245362661989844E-14</v>
      </c>
      <c r="NA5" t="s">
        <v>1745</v>
      </c>
      <c r="NB5">
        <v>2025</v>
      </c>
      <c r="NC5" t="s">
        <v>3663</v>
      </c>
      <c r="ND5" s="6">
        <v>45875</v>
      </c>
      <c r="NE5">
        <v>1</v>
      </c>
      <c r="NF5">
        <v>-2.4245362661989844E-14</v>
      </c>
      <c r="NG5">
        <v>116646</v>
      </c>
      <c r="NH5" t="s">
        <v>3903</v>
      </c>
      <c r="NK5" t="str">
        <f>_xll.BDS("AIV US Equity","SUPPLY_CHAIN_CUSTOMERS_ALL_DATA","cols=12;rows=1")</f>
        <v>29326Z US Equity</v>
      </c>
      <c r="NL5">
        <v>-2.4245362661989844E-14</v>
      </c>
      <c r="NN5">
        <v>-2.4245362661989844E-14</v>
      </c>
      <c r="NO5" t="s">
        <v>1745</v>
      </c>
      <c r="NP5">
        <v>2025</v>
      </c>
      <c r="NQ5" t="s">
        <v>3663</v>
      </c>
      <c r="NR5" s="6">
        <v>45875</v>
      </c>
      <c r="NS5">
        <v>1</v>
      </c>
      <c r="NT5">
        <v>-2.4245362661989844E-14</v>
      </c>
      <c r="NU5">
        <v>7389859</v>
      </c>
      <c r="NV5" t="s">
        <v>3664</v>
      </c>
      <c r="OA5" t="str">
        <f>_xll.BDS("GE US Equity","SUPPLY_CHAIN_SUPPLIERS_ALL_DATA","cols=12;rows=5")</f>
        <v>SAF FP Equity</v>
      </c>
      <c r="OB5" t="s">
        <v>1786</v>
      </c>
      <c r="OC5">
        <v>7.9101749999999997</v>
      </c>
      <c r="OD5">
        <v>9.7364909999999991</v>
      </c>
      <c r="OE5" t="s">
        <v>1762</v>
      </c>
      <c r="OF5">
        <v>2025</v>
      </c>
      <c r="OG5" t="s">
        <v>2423</v>
      </c>
      <c r="OH5" s="6">
        <v>45874</v>
      </c>
      <c r="OI5">
        <v>5</v>
      </c>
      <c r="OJ5">
        <v>666294015.34000003</v>
      </c>
      <c r="OK5">
        <v>115519</v>
      </c>
      <c r="OL5" t="s">
        <v>2424</v>
      </c>
      <c r="OO5" t="str">
        <f>_xll.BDS("GE US Equity","SUPPLY_CHAIN_CUSTOMERS_ALL_DATA","cols=12;rows=5")</f>
        <v>3352Z US Equity</v>
      </c>
      <c r="OP5">
        <v>10</v>
      </c>
      <c r="OR5">
        <v>-2.4245362661989844E-14</v>
      </c>
      <c r="OS5" t="s">
        <v>1745</v>
      </c>
      <c r="OT5">
        <v>2025</v>
      </c>
      <c r="OU5" t="s">
        <v>1876</v>
      </c>
      <c r="OV5" s="6">
        <v>46051</v>
      </c>
      <c r="OW5">
        <v>5</v>
      </c>
      <c r="OX5">
        <v>1146375040</v>
      </c>
      <c r="OY5">
        <v>218252</v>
      </c>
      <c r="OZ5" t="s">
        <v>1803</v>
      </c>
      <c r="PE5" t="str">
        <f>_xll.BDS("MU US Equity","SUPPLY_CHAIN_SUPPLIERS_ALL_DATA","cols=12;rows=5")</f>
        <v>ASML NA Equity</v>
      </c>
      <c r="PF5" t="s">
        <v>1820</v>
      </c>
      <c r="PG5">
        <v>7.2637039999999997</v>
      </c>
      <c r="PH5">
        <v>11.199857</v>
      </c>
      <c r="PI5" t="s">
        <v>1762</v>
      </c>
      <c r="PJ5">
        <v>2025</v>
      </c>
      <c r="PK5" t="s">
        <v>3003</v>
      </c>
      <c r="PL5" s="6">
        <v>45979</v>
      </c>
      <c r="PM5">
        <v>5</v>
      </c>
      <c r="PN5">
        <v>618331607.75999999</v>
      </c>
      <c r="PO5">
        <v>163205</v>
      </c>
      <c r="PP5" t="s">
        <v>3004</v>
      </c>
      <c r="PS5" t="str">
        <f>_xll.BDS("MU US Equity","SUPPLY_CHAIN_CUSTOMERS_ALL_DATA","cols=12;rows=5")</f>
        <v>NVDA US Equity</v>
      </c>
      <c r="PT5">
        <v>17.003219999999999</v>
      </c>
      <c r="PU5" t="s">
        <v>1786</v>
      </c>
      <c r="PV5">
        <v>13.618347</v>
      </c>
      <c r="PW5" t="s">
        <v>1809</v>
      </c>
      <c r="PX5">
        <v>2026</v>
      </c>
      <c r="PY5" t="s">
        <v>2389</v>
      </c>
      <c r="PZ5" s="6">
        <v>46079</v>
      </c>
      <c r="QA5">
        <v>5</v>
      </c>
      <c r="QB5">
        <v>2319749376</v>
      </c>
      <c r="QC5">
        <v>313657</v>
      </c>
      <c r="QD5" t="s">
        <v>2312</v>
      </c>
      <c r="QI5" t="str">
        <f>_xll.BDS("DST US Equity","SUPPLY_CHAIN_SUPPLIERS_ALL_DATA")</f>
        <v>#N/A N/A</v>
      </c>
      <c r="QW5" t="str">
        <f>_xll.BDS("DST US Equity","SUPPLY_CHAIN_CUSTOMERS_ALL_DATA")</f>
        <v>#N/A N/A</v>
      </c>
      <c r="RM5" t="str">
        <f>_xll.BDS("MCHP US Equity","SUPPLY_CHAIN_SUPPLIERS_ALL_DATA","cols=12;rows=5")</f>
        <v>GFS US Equity</v>
      </c>
      <c r="RN5" t="s">
        <v>1786</v>
      </c>
      <c r="RO5">
        <v>0.92524700000000004</v>
      </c>
      <c r="RP5">
        <v>3.1242359999999998</v>
      </c>
      <c r="RQ5" t="s">
        <v>1809</v>
      </c>
      <c r="RR5">
        <v>2025</v>
      </c>
      <c r="RS5" t="s">
        <v>3991</v>
      </c>
      <c r="RT5" s="6">
        <v>45792</v>
      </c>
      <c r="RU5">
        <v>5</v>
      </c>
      <c r="RV5">
        <v>14665165</v>
      </c>
      <c r="RW5">
        <v>15242973</v>
      </c>
      <c r="RX5" t="s">
        <v>3992</v>
      </c>
      <c r="SA5" t="str">
        <f>_xll.BDS("MCHP US Equity","SUPPLY_CHAIN_CUSTOMERS_ALL_DATA","cols=12;rows=5")</f>
        <v>ARW US Equity</v>
      </c>
      <c r="SB5">
        <v>12</v>
      </c>
      <c r="SC5" t="s">
        <v>1786</v>
      </c>
      <c r="SD5">
        <v>1.987511</v>
      </c>
      <c r="SE5" t="s">
        <v>1798</v>
      </c>
      <c r="SF5">
        <v>2026</v>
      </c>
      <c r="SG5" t="s">
        <v>3846</v>
      </c>
      <c r="SH5" s="6">
        <v>46058</v>
      </c>
      <c r="SI5">
        <v>5</v>
      </c>
      <c r="SJ5">
        <v>136076000</v>
      </c>
      <c r="SK5">
        <v>100115</v>
      </c>
      <c r="SL5" t="s">
        <v>1816</v>
      </c>
      <c r="SQ5" t="str">
        <f>_xll.BDS("390297Q US Equity","SUPPLY_CHAIN_SUPPLIERS_ALL_DATA")</f>
        <v>#N/A N/A</v>
      </c>
      <c r="TE5" t="str">
        <f>_xll.BDS("390297Q US Equity","SUPPLY_CHAIN_CUSTOMERS_ALL_DATA")</f>
        <v>#N/A N/A</v>
      </c>
      <c r="TU5" t="str">
        <f>_xll.BDS("JACK US Equity","SUPPLY_CHAIN_SUPPLIERS_ALL_DATA","cols=12;rows=5")</f>
        <v>GTLS US Equity</v>
      </c>
      <c r="TV5" t="s">
        <v>1820</v>
      </c>
      <c r="TW5">
        <v>1.9209E-2</v>
      </c>
      <c r="TX5">
        <v>0.88700100000000004</v>
      </c>
      <c r="TY5" t="s">
        <v>1742</v>
      </c>
      <c r="TZ5">
        <v>2025</v>
      </c>
      <c r="UA5" t="s">
        <v>2746</v>
      </c>
      <c r="UB5" s="6">
        <v>45966</v>
      </c>
      <c r="UC5">
        <v>5</v>
      </c>
      <c r="UD5">
        <v>199788</v>
      </c>
      <c r="UE5">
        <v>10656931</v>
      </c>
      <c r="UF5" t="s">
        <v>2747</v>
      </c>
      <c r="UI5" t="str">
        <f>_xll.BDS("JACK US Equity","SUPPLY_CHAIN_CUSTOMERS_ALL_DATA")</f>
        <v>#N/A N/A</v>
      </c>
      <c r="UY5" t="str">
        <f>_xll.BDS("BEN US Equity","SUPPLY_CHAIN_SUPPLIERS_ALL_DATA","cols=12;rows=5")</f>
        <v>SLG US Equity</v>
      </c>
      <c r="UZ5" t="s">
        <v>1769</v>
      </c>
      <c r="VA5">
        <v>2.1589309999999999</v>
      </c>
      <c r="VB5">
        <v>0.23002</v>
      </c>
      <c r="VC5" t="s">
        <v>1745</v>
      </c>
      <c r="VD5">
        <v>2024</v>
      </c>
      <c r="VE5" t="s">
        <v>4353</v>
      </c>
      <c r="VF5" s="6">
        <v>45706</v>
      </c>
      <c r="VG5">
        <v>5</v>
      </c>
      <c r="VH5">
        <v>4783500</v>
      </c>
      <c r="VI5">
        <v>231753</v>
      </c>
      <c r="VJ5" t="s">
        <v>4354</v>
      </c>
      <c r="VM5" t="str">
        <f>_xll.BDS("BEN US Equity","SUPPLY_CHAIN_CUSTOMERS_ALL_DATA")</f>
        <v>#N/A N/A</v>
      </c>
    </row>
    <row r="6" spans="1:600" x14ac:dyDescent="0.25">
      <c r="AE6" t="s">
        <v>4109</v>
      </c>
      <c r="AF6" t="s">
        <v>1769</v>
      </c>
      <c r="AG6">
        <v>4.7251000000000001E-2</v>
      </c>
      <c r="AH6">
        <v>0.25660699999999997</v>
      </c>
      <c r="AI6" t="s">
        <v>1762</v>
      </c>
      <c r="AJ6">
        <v>2026</v>
      </c>
      <c r="AK6" t="s">
        <v>4110</v>
      </c>
      <c r="AL6" s="6">
        <v>46022</v>
      </c>
      <c r="AM6">
        <v>5</v>
      </c>
      <c r="AN6">
        <v>2215411.91</v>
      </c>
      <c r="AO6">
        <v>174545</v>
      </c>
      <c r="AP6" t="s">
        <v>4111</v>
      </c>
      <c r="AS6" t="s">
        <v>6174</v>
      </c>
      <c r="AT6">
        <v>1.8600000000000001E-3</v>
      </c>
      <c r="AU6" t="s">
        <v>1786</v>
      </c>
      <c r="AV6">
        <v>9.8637580000000007</v>
      </c>
      <c r="AW6" t="s">
        <v>1745</v>
      </c>
      <c r="AX6">
        <v>2024</v>
      </c>
      <c r="AY6" t="s">
        <v>6175</v>
      </c>
      <c r="AZ6" s="6">
        <v>45706</v>
      </c>
      <c r="BA6">
        <v>5</v>
      </c>
      <c r="BB6">
        <v>45664.93</v>
      </c>
      <c r="BC6">
        <v>126095</v>
      </c>
      <c r="BD6" t="s">
        <v>6176</v>
      </c>
      <c r="BI6" t="s">
        <v>2731</v>
      </c>
      <c r="BJ6" t="s">
        <v>1769</v>
      </c>
      <c r="BK6">
        <v>3.7</v>
      </c>
      <c r="BL6">
        <v>0.35031299999999999</v>
      </c>
      <c r="BM6" t="s">
        <v>1745</v>
      </c>
      <c r="BN6">
        <v>2024</v>
      </c>
      <c r="BO6" t="s">
        <v>2839</v>
      </c>
      <c r="BP6" s="6">
        <v>45708</v>
      </c>
      <c r="BQ6">
        <v>5</v>
      </c>
      <c r="BR6">
        <v>1550133.5</v>
      </c>
      <c r="BS6">
        <v>46286147</v>
      </c>
      <c r="BT6" t="s">
        <v>2733</v>
      </c>
      <c r="BW6" t="s">
        <v>5291</v>
      </c>
      <c r="BX6">
        <v>-2.4245362661989844E-14</v>
      </c>
      <c r="BZ6">
        <v>-2.4245362661989844E-14</v>
      </c>
      <c r="CA6" t="s">
        <v>1745</v>
      </c>
      <c r="CB6">
        <v>2024</v>
      </c>
      <c r="CC6" t="s">
        <v>4362</v>
      </c>
      <c r="CD6" s="6">
        <v>45588</v>
      </c>
      <c r="CE6">
        <v>5</v>
      </c>
      <c r="CF6">
        <v>-2.4245362661989844E-14</v>
      </c>
      <c r="CG6">
        <v>25341310</v>
      </c>
      <c r="CH6" t="s">
        <v>5292</v>
      </c>
      <c r="CM6" t="s">
        <v>2313</v>
      </c>
      <c r="CN6" t="s">
        <v>1820</v>
      </c>
      <c r="CO6">
        <v>3.5808580000000001</v>
      </c>
      <c r="CP6">
        <v>3.236755</v>
      </c>
      <c r="CQ6" t="s">
        <v>1762</v>
      </c>
      <c r="CR6">
        <v>2025</v>
      </c>
      <c r="CS6" t="s">
        <v>2314</v>
      </c>
      <c r="CT6" s="6">
        <v>45947</v>
      </c>
      <c r="CU6">
        <v>5</v>
      </c>
      <c r="CV6">
        <v>275188928</v>
      </c>
      <c r="CW6">
        <v>100010</v>
      </c>
      <c r="CX6" t="s">
        <v>2315</v>
      </c>
      <c r="DA6" t="s">
        <v>1885</v>
      </c>
      <c r="DB6">
        <v>1.3419890000000001</v>
      </c>
      <c r="DC6" t="s">
        <v>1786</v>
      </c>
      <c r="DD6">
        <v>0.27725100000000003</v>
      </c>
      <c r="DE6" t="s">
        <v>1845</v>
      </c>
      <c r="DF6">
        <v>2025</v>
      </c>
      <c r="DG6" t="s">
        <v>1883</v>
      </c>
      <c r="DH6" s="6">
        <v>45848</v>
      </c>
      <c r="DI6">
        <v>5</v>
      </c>
      <c r="DJ6">
        <v>213416512</v>
      </c>
      <c r="DK6">
        <v>216952</v>
      </c>
      <c r="DL6" t="s">
        <v>1886</v>
      </c>
      <c r="DQ6" t="s">
        <v>3913</v>
      </c>
      <c r="DR6" t="s">
        <v>1820</v>
      </c>
      <c r="DS6">
        <v>3.7828379999999999</v>
      </c>
      <c r="DT6">
        <v>2.1681520000000001</v>
      </c>
      <c r="DU6" t="s">
        <v>1809</v>
      </c>
      <c r="DV6">
        <v>2025</v>
      </c>
      <c r="DW6" t="s">
        <v>3914</v>
      </c>
      <c r="DX6" s="6">
        <v>45840</v>
      </c>
      <c r="DY6">
        <v>5</v>
      </c>
      <c r="DZ6">
        <v>3642495</v>
      </c>
      <c r="EA6">
        <v>9371099</v>
      </c>
      <c r="EB6" t="s">
        <v>3915</v>
      </c>
      <c r="EE6" t="s">
        <v>1801</v>
      </c>
      <c r="EF6">
        <v>-2.4245362661989844E-14</v>
      </c>
      <c r="EH6">
        <v>-2.4245362661989844E-14</v>
      </c>
      <c r="EI6" t="s">
        <v>1745</v>
      </c>
      <c r="EJ6">
        <v>2022</v>
      </c>
      <c r="EK6" t="s">
        <v>3661</v>
      </c>
      <c r="EL6" s="6">
        <v>44981</v>
      </c>
      <c r="EM6">
        <v>2</v>
      </c>
      <c r="EN6">
        <v>-2.4245362661989844E-14</v>
      </c>
      <c r="EO6">
        <v>218252</v>
      </c>
      <c r="EP6" t="s">
        <v>1803</v>
      </c>
      <c r="EU6" t="s">
        <v>195</v>
      </c>
      <c r="EV6" t="s">
        <v>1769</v>
      </c>
      <c r="EW6">
        <v>3.1864999999999997E-2</v>
      </c>
      <c r="EX6">
        <v>0.18884300000000001</v>
      </c>
      <c r="EY6" t="s">
        <v>1762</v>
      </c>
      <c r="EZ6">
        <v>2025</v>
      </c>
      <c r="FA6" t="s">
        <v>2268</v>
      </c>
      <c r="FB6" s="6">
        <v>45838</v>
      </c>
      <c r="FC6">
        <v>5</v>
      </c>
      <c r="FD6">
        <v>1871431</v>
      </c>
      <c r="FE6">
        <v>101689</v>
      </c>
      <c r="FF6" t="s">
        <v>2269</v>
      </c>
      <c r="FI6" t="s">
        <v>5870</v>
      </c>
      <c r="FJ6">
        <v>-2.4245362661989844E-14</v>
      </c>
      <c r="FL6">
        <v>-2.4245362661989844E-14</v>
      </c>
      <c r="FM6" t="s">
        <v>1745</v>
      </c>
      <c r="FN6">
        <v>2025</v>
      </c>
      <c r="FO6" t="s">
        <v>5868</v>
      </c>
      <c r="FP6" s="6">
        <v>45791</v>
      </c>
      <c r="FQ6">
        <v>5</v>
      </c>
      <c r="FR6">
        <v>-2.4245362661989844E-14</v>
      </c>
      <c r="FS6">
        <v>70990457</v>
      </c>
      <c r="FT6" t="s">
        <v>5871</v>
      </c>
      <c r="HC6" t="s">
        <v>4516</v>
      </c>
      <c r="HD6" t="s">
        <v>1786</v>
      </c>
      <c r="HE6">
        <v>0.38619700000000001</v>
      </c>
      <c r="HF6">
        <v>0.47442000000000001</v>
      </c>
      <c r="HG6" t="s">
        <v>1762</v>
      </c>
      <c r="HH6">
        <v>2025</v>
      </c>
      <c r="HI6" t="s">
        <v>4517</v>
      </c>
      <c r="HJ6" s="6">
        <v>45952</v>
      </c>
      <c r="HK6">
        <v>5</v>
      </c>
      <c r="HL6">
        <v>7236754.0099999998</v>
      </c>
      <c r="HM6">
        <v>27639867</v>
      </c>
      <c r="HN6" t="s">
        <v>4518</v>
      </c>
      <c r="HQ6" t="s">
        <v>1992</v>
      </c>
      <c r="HR6">
        <v>-2.4245362661989844E-14</v>
      </c>
      <c r="HT6">
        <v>-2.4245362661989844E-14</v>
      </c>
      <c r="HU6" t="s">
        <v>1993</v>
      </c>
      <c r="HV6">
        <v>2024</v>
      </c>
      <c r="HW6" t="s">
        <v>1994</v>
      </c>
      <c r="HX6" s="6">
        <v>45518</v>
      </c>
      <c r="HY6">
        <v>5</v>
      </c>
      <c r="HZ6">
        <v>-2.4245362661989844E-14</v>
      </c>
      <c r="IA6">
        <v>130119</v>
      </c>
      <c r="IB6" t="s">
        <v>1995</v>
      </c>
      <c r="IG6" t="s">
        <v>4535</v>
      </c>
      <c r="II6">
        <v>-2.4245362661989844E-14</v>
      </c>
      <c r="IJ6">
        <v>-2.4245362661989844E-14</v>
      </c>
      <c r="IK6" t="s">
        <v>1745</v>
      </c>
      <c r="IL6">
        <v>2022</v>
      </c>
      <c r="IM6" t="s">
        <v>4536</v>
      </c>
      <c r="IN6" s="6">
        <v>44980</v>
      </c>
      <c r="IO6">
        <v>5</v>
      </c>
      <c r="IP6">
        <v>-2.4245362661989844E-14</v>
      </c>
      <c r="IQ6">
        <v>201737</v>
      </c>
      <c r="IR6" t="s">
        <v>4537</v>
      </c>
      <c r="IU6" t="s">
        <v>4535</v>
      </c>
      <c r="IV6">
        <v>-2.4245362661989844E-14</v>
      </c>
      <c r="IX6">
        <v>-2.4245362661989844E-14</v>
      </c>
      <c r="IY6" t="s">
        <v>1745</v>
      </c>
      <c r="IZ6">
        <v>2022</v>
      </c>
      <c r="JA6" t="s">
        <v>4536</v>
      </c>
      <c r="JB6" s="6">
        <v>44980</v>
      </c>
      <c r="JC6">
        <v>5</v>
      </c>
      <c r="JD6">
        <v>-2.4245362661989844E-14</v>
      </c>
      <c r="JE6">
        <v>201737</v>
      </c>
      <c r="JF6" t="s">
        <v>4537</v>
      </c>
      <c r="JK6" t="s">
        <v>2325</v>
      </c>
      <c r="JM6">
        <v>-2.4245362661989844E-14</v>
      </c>
      <c r="JN6">
        <v>-2.4245362661989844E-14</v>
      </c>
      <c r="JO6" t="s">
        <v>1745</v>
      </c>
      <c r="JP6">
        <v>2023</v>
      </c>
      <c r="JQ6" t="s">
        <v>2326</v>
      </c>
      <c r="JR6" s="6">
        <v>45373</v>
      </c>
      <c r="JS6">
        <v>5</v>
      </c>
      <c r="JT6">
        <v>-2.4245362661989844E-14</v>
      </c>
      <c r="JU6">
        <v>1459277</v>
      </c>
      <c r="JV6" t="s">
        <v>2327</v>
      </c>
      <c r="JY6" t="s">
        <v>246</v>
      </c>
      <c r="JZ6">
        <v>-2.4245362661989844E-14</v>
      </c>
      <c r="KB6">
        <v>-2.4245362661989844E-14</v>
      </c>
      <c r="KC6" t="s">
        <v>1762</v>
      </c>
      <c r="KD6">
        <v>2024</v>
      </c>
      <c r="KE6" t="s">
        <v>1763</v>
      </c>
      <c r="KF6" s="6">
        <v>45505</v>
      </c>
      <c r="KG6">
        <v>3</v>
      </c>
      <c r="KH6">
        <v>-2.4245362661989844E-14</v>
      </c>
      <c r="KI6">
        <v>46946968</v>
      </c>
      <c r="KJ6" t="s">
        <v>1765</v>
      </c>
      <c r="LS6" t="s">
        <v>317</v>
      </c>
      <c r="LT6" t="s">
        <v>1820</v>
      </c>
      <c r="LU6">
        <v>6.6028770000000003</v>
      </c>
      <c r="LV6">
        <v>5.0506979999999997</v>
      </c>
      <c r="LW6" t="s">
        <v>1762</v>
      </c>
      <c r="LX6">
        <v>2025</v>
      </c>
      <c r="LY6" t="s">
        <v>3043</v>
      </c>
      <c r="LZ6" s="6">
        <v>45915</v>
      </c>
      <c r="MA6">
        <v>5</v>
      </c>
      <c r="MB6">
        <v>245362912</v>
      </c>
      <c r="MC6">
        <v>101464</v>
      </c>
      <c r="MD6" t="s">
        <v>3044</v>
      </c>
      <c r="MG6" t="s">
        <v>2969</v>
      </c>
      <c r="MH6">
        <v>1.615089</v>
      </c>
      <c r="MI6" t="s">
        <v>1786</v>
      </c>
      <c r="MJ6">
        <v>12.136977999999999</v>
      </c>
      <c r="MK6" t="s">
        <v>1745</v>
      </c>
      <c r="ML6">
        <v>2024</v>
      </c>
      <c r="MM6" t="s">
        <v>3646</v>
      </c>
      <c r="MN6" s="6">
        <v>45712</v>
      </c>
      <c r="MO6">
        <v>5</v>
      </c>
      <c r="MP6">
        <v>1712931072</v>
      </c>
      <c r="MQ6">
        <v>9917432</v>
      </c>
      <c r="MR6" t="s">
        <v>2971</v>
      </c>
      <c r="OA6" t="s">
        <v>2425</v>
      </c>
      <c r="OB6" t="s">
        <v>1786</v>
      </c>
      <c r="OC6">
        <v>13.760432</v>
      </c>
      <c r="OD6">
        <v>4.7536569999999996</v>
      </c>
      <c r="OE6" t="s">
        <v>1762</v>
      </c>
      <c r="OF6">
        <v>2025</v>
      </c>
      <c r="OG6" t="s">
        <v>2426</v>
      </c>
      <c r="OH6" s="6">
        <v>45937</v>
      </c>
      <c r="OI6">
        <v>5</v>
      </c>
      <c r="OJ6">
        <v>325305405.77999997</v>
      </c>
      <c r="OK6">
        <v>8445936</v>
      </c>
      <c r="OL6" t="s">
        <v>2427</v>
      </c>
      <c r="OO6" t="s">
        <v>1088</v>
      </c>
      <c r="OP6">
        <v>9.2636719999999997</v>
      </c>
      <c r="OQ6" t="s">
        <v>1786</v>
      </c>
      <c r="OR6">
        <v>5.0267530000000002</v>
      </c>
      <c r="OS6" t="s">
        <v>1762</v>
      </c>
      <c r="OT6">
        <v>2025</v>
      </c>
      <c r="OU6" t="s">
        <v>1877</v>
      </c>
      <c r="OV6" s="6">
        <v>45888</v>
      </c>
      <c r="OW6">
        <v>5</v>
      </c>
      <c r="OX6">
        <v>1021134592</v>
      </c>
      <c r="OY6">
        <v>100211</v>
      </c>
      <c r="OZ6" t="s">
        <v>1851</v>
      </c>
      <c r="PE6" t="s">
        <v>3005</v>
      </c>
      <c r="PF6" t="s">
        <v>1820</v>
      </c>
      <c r="PG6">
        <v>5.2839460000000003</v>
      </c>
      <c r="PH6">
        <v>5.2405989999999996</v>
      </c>
      <c r="PI6" t="s">
        <v>1762</v>
      </c>
      <c r="PJ6">
        <v>2026</v>
      </c>
      <c r="PK6" t="s">
        <v>3006</v>
      </c>
      <c r="PL6" s="6">
        <v>46063</v>
      </c>
      <c r="PM6">
        <v>5</v>
      </c>
      <c r="PN6">
        <v>282415872</v>
      </c>
      <c r="PO6">
        <v>105120</v>
      </c>
      <c r="PP6" t="s">
        <v>3007</v>
      </c>
      <c r="PS6" t="s">
        <v>3507</v>
      </c>
      <c r="PT6">
        <v>9.0576869999999996</v>
      </c>
      <c r="PU6" t="s">
        <v>1786</v>
      </c>
      <c r="PV6">
        <v>15.765295</v>
      </c>
      <c r="PW6" t="s">
        <v>1809</v>
      </c>
      <c r="PX6">
        <v>2026</v>
      </c>
      <c r="PY6" t="s">
        <v>2389</v>
      </c>
      <c r="PZ6" s="6">
        <v>46079</v>
      </c>
      <c r="QA6">
        <v>5</v>
      </c>
      <c r="QB6">
        <v>1235740288</v>
      </c>
      <c r="QC6">
        <v>9568853</v>
      </c>
      <c r="QD6" t="s">
        <v>3509</v>
      </c>
      <c r="RM6" t="s">
        <v>3067</v>
      </c>
      <c r="RN6" t="s">
        <v>1786</v>
      </c>
      <c r="RO6">
        <v>0.30862800000000001</v>
      </c>
      <c r="RP6">
        <v>1.2203660000000001</v>
      </c>
      <c r="RQ6" t="s">
        <v>1742</v>
      </c>
      <c r="RR6">
        <v>2025</v>
      </c>
      <c r="RS6" t="s">
        <v>3068</v>
      </c>
      <c r="RT6" s="6">
        <v>46035</v>
      </c>
      <c r="RU6">
        <v>5</v>
      </c>
      <c r="RV6">
        <v>6132340</v>
      </c>
      <c r="RW6">
        <v>302680</v>
      </c>
      <c r="RX6" t="s">
        <v>3069</v>
      </c>
      <c r="SA6" t="s">
        <v>3625</v>
      </c>
      <c r="SB6">
        <v>4.9519380000000002</v>
      </c>
      <c r="SC6" t="s">
        <v>1786</v>
      </c>
      <c r="SD6">
        <v>0.53381100000000004</v>
      </c>
      <c r="SE6" t="s">
        <v>1762</v>
      </c>
      <c r="SF6">
        <v>2026</v>
      </c>
      <c r="SG6" t="s">
        <v>3847</v>
      </c>
      <c r="SH6" s="6">
        <v>46035</v>
      </c>
      <c r="SI6">
        <v>5</v>
      </c>
      <c r="SJ6">
        <v>56471900</v>
      </c>
      <c r="SK6">
        <v>1459396</v>
      </c>
      <c r="SL6" t="s">
        <v>3626</v>
      </c>
      <c r="TU6" t="s">
        <v>4341</v>
      </c>
      <c r="TW6">
        <v>-2.4245362661989844E-14</v>
      </c>
      <c r="TX6">
        <v>-2.4245362661989844E-14</v>
      </c>
      <c r="TY6" t="s">
        <v>1742</v>
      </c>
      <c r="TZ6">
        <v>2026</v>
      </c>
      <c r="UA6" t="s">
        <v>4342</v>
      </c>
      <c r="UB6" s="6">
        <v>45994</v>
      </c>
      <c r="UC6">
        <v>5</v>
      </c>
      <c r="UD6">
        <v>-2.4245362661989844E-14</v>
      </c>
      <c r="UE6">
        <v>34392121</v>
      </c>
      <c r="UF6" t="s">
        <v>4343</v>
      </c>
      <c r="UY6" t="s">
        <v>4206</v>
      </c>
      <c r="VA6">
        <v>0.52656800000000004</v>
      </c>
      <c r="VB6">
        <v>-2.4245362661989844E-14</v>
      </c>
      <c r="VC6" t="s">
        <v>1742</v>
      </c>
      <c r="VD6">
        <v>2025</v>
      </c>
      <c r="VE6" t="s">
        <v>4207</v>
      </c>
      <c r="VF6" s="6">
        <v>45966</v>
      </c>
      <c r="VG6">
        <v>5</v>
      </c>
      <c r="VH6">
        <v>484000</v>
      </c>
      <c r="VI6">
        <v>34865158</v>
      </c>
      <c r="VJ6" t="s">
        <v>4208</v>
      </c>
    </row>
    <row r="7" spans="1:600" x14ac:dyDescent="0.25">
      <c r="AE7" t="s">
        <v>2270</v>
      </c>
      <c r="AF7" t="s">
        <v>1769</v>
      </c>
      <c r="AG7">
        <v>0.79912099999999997</v>
      </c>
      <c r="AH7">
        <v>0.184063</v>
      </c>
      <c r="AI7" t="s">
        <v>1745</v>
      </c>
      <c r="AJ7">
        <v>2024</v>
      </c>
      <c r="AK7" t="s">
        <v>2271</v>
      </c>
      <c r="AL7" s="6">
        <v>45716</v>
      </c>
      <c r="AM7">
        <v>5</v>
      </c>
      <c r="AN7">
        <v>1608251</v>
      </c>
      <c r="AO7">
        <v>35300053</v>
      </c>
      <c r="AP7" t="s">
        <v>2272</v>
      </c>
      <c r="AS7" t="s">
        <v>6177</v>
      </c>
      <c r="AT7">
        <v>-2.4245362661989844E-14</v>
      </c>
      <c r="AV7">
        <v>-2.4245362661989844E-14</v>
      </c>
      <c r="AW7" t="s">
        <v>1745</v>
      </c>
      <c r="AX7">
        <v>2024</v>
      </c>
      <c r="AY7" t="s">
        <v>6178</v>
      </c>
      <c r="AZ7" s="6">
        <v>45434</v>
      </c>
      <c r="BA7">
        <v>5</v>
      </c>
      <c r="BB7">
        <v>-2.4245362661989844E-14</v>
      </c>
      <c r="BC7">
        <v>50800659</v>
      </c>
      <c r="BD7" t="s">
        <v>6179</v>
      </c>
      <c r="BI7" t="s">
        <v>2993</v>
      </c>
      <c r="BJ7" t="s">
        <v>1820</v>
      </c>
      <c r="BK7">
        <v>5.9080000000000001E-3</v>
      </c>
      <c r="BL7">
        <v>0.28640199999999999</v>
      </c>
      <c r="BM7" t="s">
        <v>1762</v>
      </c>
      <c r="BN7">
        <v>2025</v>
      </c>
      <c r="BO7" t="s">
        <v>3290</v>
      </c>
      <c r="BP7" s="6">
        <v>46024</v>
      </c>
      <c r="BQ7">
        <v>5</v>
      </c>
      <c r="BR7">
        <v>412581.71</v>
      </c>
      <c r="BS7">
        <v>115110</v>
      </c>
      <c r="BT7" t="s">
        <v>2995</v>
      </c>
      <c r="BW7" t="s">
        <v>5293</v>
      </c>
      <c r="BX7">
        <v>-2.4245362661989844E-14</v>
      </c>
      <c r="BZ7">
        <v>-2.4245362661989844E-14</v>
      </c>
      <c r="CA7" t="s">
        <v>1745</v>
      </c>
      <c r="CB7">
        <v>2022</v>
      </c>
      <c r="CC7" t="s">
        <v>4362</v>
      </c>
      <c r="CD7" s="6">
        <v>44817</v>
      </c>
      <c r="CE7">
        <v>5</v>
      </c>
      <c r="CF7">
        <v>-2.4245362661989844E-14</v>
      </c>
      <c r="CG7">
        <v>53781538</v>
      </c>
      <c r="CH7" t="s">
        <v>5294</v>
      </c>
      <c r="CM7" t="s">
        <v>2076</v>
      </c>
      <c r="CN7" t="s">
        <v>1820</v>
      </c>
      <c r="CO7">
        <v>0.91127400000000003</v>
      </c>
      <c r="CP7">
        <v>1.364298</v>
      </c>
      <c r="CQ7" t="s">
        <v>1845</v>
      </c>
      <c r="CR7">
        <v>2025</v>
      </c>
      <c r="CS7" t="s">
        <v>2316</v>
      </c>
      <c r="CT7" s="6">
        <v>46010</v>
      </c>
      <c r="CU7">
        <v>5</v>
      </c>
      <c r="CV7">
        <v>164166016</v>
      </c>
      <c r="CW7">
        <v>59907412</v>
      </c>
      <c r="CX7" t="s">
        <v>2077</v>
      </c>
      <c r="DA7" t="s">
        <v>357</v>
      </c>
      <c r="DB7">
        <v>1.0301469999999999</v>
      </c>
      <c r="DC7" t="s">
        <v>1786</v>
      </c>
      <c r="DD7">
        <v>1.0221020000000001</v>
      </c>
      <c r="DE7" t="s">
        <v>1845</v>
      </c>
      <c r="DF7">
        <v>2025</v>
      </c>
      <c r="DG7" t="s">
        <v>1887</v>
      </c>
      <c r="DH7" s="6">
        <v>46056</v>
      </c>
      <c r="DI7">
        <v>5</v>
      </c>
      <c r="DJ7">
        <v>165420976</v>
      </c>
      <c r="DK7">
        <v>1499717</v>
      </c>
      <c r="DL7" t="s">
        <v>1864</v>
      </c>
      <c r="DQ7" t="s">
        <v>3916</v>
      </c>
      <c r="DR7" t="s">
        <v>1769</v>
      </c>
      <c r="DS7">
        <v>23</v>
      </c>
      <c r="DT7">
        <v>1.80942</v>
      </c>
      <c r="DU7" t="s">
        <v>1745</v>
      </c>
      <c r="DV7">
        <v>2024</v>
      </c>
      <c r="DW7" t="s">
        <v>3917</v>
      </c>
      <c r="DX7" s="6">
        <v>45734</v>
      </c>
      <c r="DY7">
        <v>5</v>
      </c>
      <c r="DZ7">
        <v>2402005</v>
      </c>
      <c r="EA7">
        <v>103995</v>
      </c>
      <c r="EB7" t="s">
        <v>3918</v>
      </c>
      <c r="EU7" t="s">
        <v>3491</v>
      </c>
      <c r="EV7" t="s">
        <v>1786</v>
      </c>
      <c r="EW7">
        <v>40</v>
      </c>
      <c r="EX7">
        <v>4.3147999999999999E-2</v>
      </c>
      <c r="EY7" t="s">
        <v>1745</v>
      </c>
      <c r="EZ7">
        <v>2025</v>
      </c>
      <c r="FA7" t="s">
        <v>3492</v>
      </c>
      <c r="FB7" s="6">
        <v>45898</v>
      </c>
      <c r="FC7">
        <v>5</v>
      </c>
      <c r="FD7">
        <v>1663372.01</v>
      </c>
      <c r="FE7">
        <v>10835236</v>
      </c>
      <c r="FF7" t="s">
        <v>3493</v>
      </c>
      <c r="FI7" t="s">
        <v>5872</v>
      </c>
      <c r="FJ7">
        <v>-2.4245362661989844E-14</v>
      </c>
      <c r="FL7">
        <v>-2.4245362661989844E-14</v>
      </c>
      <c r="FM7" t="s">
        <v>1805</v>
      </c>
      <c r="FN7">
        <v>2025</v>
      </c>
      <c r="FO7" t="s">
        <v>5873</v>
      </c>
      <c r="FP7" s="6">
        <v>45884</v>
      </c>
      <c r="FQ7">
        <v>5</v>
      </c>
      <c r="FR7">
        <v>-2.4245362661989844E-14</v>
      </c>
      <c r="FS7">
        <v>48104257</v>
      </c>
      <c r="FT7" t="s">
        <v>5874</v>
      </c>
      <c r="HC7" t="s">
        <v>4519</v>
      </c>
      <c r="HD7" t="s">
        <v>1820</v>
      </c>
      <c r="HE7">
        <v>0.254056</v>
      </c>
      <c r="HF7">
        <v>0.26785799999999998</v>
      </c>
      <c r="HG7" t="s">
        <v>1845</v>
      </c>
      <c r="HH7">
        <v>2024</v>
      </c>
      <c r="HI7" t="s">
        <v>4520</v>
      </c>
      <c r="HJ7" s="6">
        <v>45770</v>
      </c>
      <c r="HK7">
        <v>5</v>
      </c>
      <c r="HL7">
        <v>4756853.6399999997</v>
      </c>
      <c r="HM7">
        <v>186659</v>
      </c>
      <c r="HN7" t="s">
        <v>4521</v>
      </c>
      <c r="HQ7" t="s">
        <v>1996</v>
      </c>
      <c r="HR7">
        <v>-2.4245362661989844E-14</v>
      </c>
      <c r="HT7">
        <v>-2.4245362661989844E-14</v>
      </c>
      <c r="HU7" t="s">
        <v>1993</v>
      </c>
      <c r="HV7">
        <v>2024</v>
      </c>
      <c r="HW7" t="s">
        <v>1997</v>
      </c>
      <c r="HX7" s="6">
        <v>45518</v>
      </c>
      <c r="HY7">
        <v>5</v>
      </c>
      <c r="HZ7">
        <v>-2.4245362661989844E-14</v>
      </c>
      <c r="IA7">
        <v>227699</v>
      </c>
      <c r="IB7" t="s">
        <v>1998</v>
      </c>
      <c r="IG7" t="s">
        <v>3628</v>
      </c>
      <c r="II7">
        <v>-2.4245362661989844E-14</v>
      </c>
      <c r="IJ7">
        <v>-2.4245362661989844E-14</v>
      </c>
      <c r="IK7" t="s">
        <v>1745</v>
      </c>
      <c r="IL7">
        <v>2022</v>
      </c>
      <c r="IM7" t="s">
        <v>4536</v>
      </c>
      <c r="IN7" s="6">
        <v>44980</v>
      </c>
      <c r="IO7">
        <v>5</v>
      </c>
      <c r="IP7">
        <v>-2.4245362661989844E-14</v>
      </c>
      <c r="IQ7">
        <v>69792617</v>
      </c>
      <c r="IR7" t="s">
        <v>3629</v>
      </c>
      <c r="IU7" t="s">
        <v>3628</v>
      </c>
      <c r="IV7">
        <v>-2.4245362661989844E-14</v>
      </c>
      <c r="IX7">
        <v>-2.4245362661989844E-14</v>
      </c>
      <c r="IY7" t="s">
        <v>1745</v>
      </c>
      <c r="IZ7">
        <v>2023</v>
      </c>
      <c r="JA7" t="s">
        <v>4789</v>
      </c>
      <c r="JB7" s="6">
        <v>45344</v>
      </c>
      <c r="JC7">
        <v>5</v>
      </c>
      <c r="JD7">
        <v>-2.4245362661989844E-14</v>
      </c>
      <c r="JE7">
        <v>69792617</v>
      </c>
      <c r="JF7" t="s">
        <v>3629</v>
      </c>
      <c r="JK7" t="s">
        <v>2328</v>
      </c>
      <c r="JM7">
        <v>-2.4245362661989844E-14</v>
      </c>
      <c r="JN7">
        <v>-2.4245362661989844E-14</v>
      </c>
      <c r="JO7" t="s">
        <v>1745</v>
      </c>
      <c r="JP7">
        <v>2022</v>
      </c>
      <c r="JQ7" t="s">
        <v>2329</v>
      </c>
      <c r="JR7" s="6">
        <v>44736</v>
      </c>
      <c r="JS7">
        <v>5</v>
      </c>
      <c r="JT7">
        <v>-2.4245362661989844E-14</v>
      </c>
      <c r="JU7">
        <v>114629</v>
      </c>
      <c r="JV7" t="s">
        <v>2330</v>
      </c>
      <c r="JY7" t="s">
        <v>1766</v>
      </c>
      <c r="JZ7">
        <v>-2.4245362661989844E-14</v>
      </c>
      <c r="KB7">
        <v>-2.4245362661989844E-14</v>
      </c>
      <c r="KC7" t="s">
        <v>1742</v>
      </c>
      <c r="KD7">
        <v>2022</v>
      </c>
      <c r="KE7" t="s">
        <v>1767</v>
      </c>
      <c r="KF7" s="6">
        <v>44870</v>
      </c>
      <c r="KG7">
        <v>3</v>
      </c>
      <c r="KH7">
        <v>-2.4245362661989844E-14</v>
      </c>
      <c r="KI7">
        <v>67335162</v>
      </c>
      <c r="KJ7" t="s">
        <v>1768</v>
      </c>
      <c r="LS7" t="s">
        <v>3045</v>
      </c>
      <c r="LT7" t="s">
        <v>1786</v>
      </c>
      <c r="LU7">
        <v>18</v>
      </c>
      <c r="LV7">
        <v>0.28558099999999997</v>
      </c>
      <c r="LW7" t="s">
        <v>1745</v>
      </c>
      <c r="LX7">
        <v>2025</v>
      </c>
      <c r="LY7" t="s">
        <v>3046</v>
      </c>
      <c r="LZ7" s="6">
        <v>46079</v>
      </c>
      <c r="MA7">
        <v>5</v>
      </c>
      <c r="MB7">
        <v>185490768</v>
      </c>
      <c r="MC7">
        <v>103442</v>
      </c>
      <c r="MD7" t="s">
        <v>3047</v>
      </c>
      <c r="MG7" t="s">
        <v>1706</v>
      </c>
      <c r="MH7">
        <v>1.5294399999999999</v>
      </c>
      <c r="MJ7">
        <v>-2.4245362661989844E-14</v>
      </c>
      <c r="MK7" t="s">
        <v>1745</v>
      </c>
      <c r="ML7">
        <v>2024</v>
      </c>
      <c r="MM7" t="s">
        <v>3646</v>
      </c>
      <c r="MN7" s="6">
        <v>45712</v>
      </c>
      <c r="MO7">
        <v>5</v>
      </c>
      <c r="MP7">
        <v>1622093696</v>
      </c>
      <c r="MQ7">
        <v>302359</v>
      </c>
      <c r="MR7" t="s">
        <v>3647</v>
      </c>
      <c r="OA7" t="s">
        <v>1844</v>
      </c>
      <c r="OB7" t="s">
        <v>1786</v>
      </c>
      <c r="OC7">
        <v>11</v>
      </c>
      <c r="OD7">
        <v>3.1337429999999999</v>
      </c>
      <c r="OE7" t="s">
        <v>1745</v>
      </c>
      <c r="OF7">
        <v>2025</v>
      </c>
      <c r="OG7" t="s">
        <v>2428</v>
      </c>
      <c r="OH7" s="6">
        <v>46065</v>
      </c>
      <c r="OI7">
        <v>5</v>
      </c>
      <c r="OJ7">
        <v>226930000</v>
      </c>
      <c r="OK7">
        <v>59099358</v>
      </c>
      <c r="OL7" t="s">
        <v>1847</v>
      </c>
      <c r="OO7" t="s">
        <v>1878</v>
      </c>
      <c r="OP7">
        <v>4.5319979999999997</v>
      </c>
      <c r="OQ7" t="s">
        <v>1786</v>
      </c>
      <c r="OR7">
        <v>3.2162160000000002</v>
      </c>
      <c r="OS7" t="s">
        <v>1762</v>
      </c>
      <c r="OT7">
        <v>2025</v>
      </c>
      <c r="OU7" t="s">
        <v>1877</v>
      </c>
      <c r="OV7" s="6">
        <v>45888</v>
      </c>
      <c r="OW7">
        <v>5</v>
      </c>
      <c r="OX7">
        <v>499562144</v>
      </c>
      <c r="OY7">
        <v>876285</v>
      </c>
      <c r="OZ7" t="s">
        <v>1879</v>
      </c>
      <c r="PE7" t="s">
        <v>117</v>
      </c>
      <c r="PF7" t="s">
        <v>1820</v>
      </c>
      <c r="PG7">
        <v>3.1587649999999998</v>
      </c>
      <c r="PH7">
        <v>4.0765820000000001</v>
      </c>
      <c r="PI7" t="s">
        <v>1742</v>
      </c>
      <c r="PJ7">
        <v>2025</v>
      </c>
      <c r="PK7" t="s">
        <v>3008</v>
      </c>
      <c r="PL7" s="6">
        <v>45931</v>
      </c>
      <c r="PM7">
        <v>5</v>
      </c>
      <c r="PN7">
        <v>230653024</v>
      </c>
      <c r="PO7">
        <v>102032</v>
      </c>
      <c r="PP7" t="s">
        <v>3009</v>
      </c>
      <c r="PS7" t="s">
        <v>2512</v>
      </c>
      <c r="PT7">
        <v>4.9282789999999999</v>
      </c>
      <c r="PU7" t="s">
        <v>1786</v>
      </c>
      <c r="PV7">
        <v>3.5659179999999999</v>
      </c>
      <c r="PW7" t="s">
        <v>1809</v>
      </c>
      <c r="PX7">
        <v>2026</v>
      </c>
      <c r="PY7" t="s">
        <v>2389</v>
      </c>
      <c r="PZ7" s="6">
        <v>46079</v>
      </c>
      <c r="QA7">
        <v>5</v>
      </c>
      <c r="QB7">
        <v>672365120</v>
      </c>
      <c r="QC7">
        <v>130929</v>
      </c>
      <c r="QD7" t="s">
        <v>2513</v>
      </c>
      <c r="RM7" t="s">
        <v>910</v>
      </c>
      <c r="RN7" t="s">
        <v>1786</v>
      </c>
      <c r="RO7">
        <v>1.8717000000000001E-2</v>
      </c>
      <c r="RP7">
        <v>0.53299099999999999</v>
      </c>
      <c r="RQ7" t="s">
        <v>1809</v>
      </c>
      <c r="RR7">
        <v>2026</v>
      </c>
      <c r="RS7" t="s">
        <v>2389</v>
      </c>
      <c r="RT7" s="6">
        <v>46079</v>
      </c>
      <c r="RU7">
        <v>5</v>
      </c>
      <c r="RV7">
        <v>2553560</v>
      </c>
      <c r="RW7">
        <v>100995</v>
      </c>
      <c r="RX7" t="s">
        <v>2390</v>
      </c>
      <c r="SA7" t="s">
        <v>840</v>
      </c>
      <c r="SB7">
        <v>4.8382500000000004</v>
      </c>
      <c r="SC7" t="s">
        <v>1786</v>
      </c>
      <c r="SD7">
        <v>1.0442359999999999</v>
      </c>
      <c r="SE7" t="s">
        <v>1762</v>
      </c>
      <c r="SF7">
        <v>2026</v>
      </c>
      <c r="SG7" t="s">
        <v>3847</v>
      </c>
      <c r="SH7" s="6">
        <v>46035</v>
      </c>
      <c r="SI7">
        <v>5</v>
      </c>
      <c r="SJ7">
        <v>55175404</v>
      </c>
      <c r="SK7">
        <v>100142</v>
      </c>
      <c r="SL7" t="s">
        <v>2200</v>
      </c>
      <c r="TU7" t="s">
        <v>3218</v>
      </c>
      <c r="TW7">
        <v>-2.4245362661989844E-14</v>
      </c>
      <c r="TX7">
        <v>-2.4245362661989844E-14</v>
      </c>
      <c r="TY7" t="s">
        <v>1745</v>
      </c>
      <c r="TZ7">
        <v>2023</v>
      </c>
      <c r="UA7" t="s">
        <v>3219</v>
      </c>
      <c r="UB7" s="6">
        <v>45337</v>
      </c>
      <c r="UC7">
        <v>5</v>
      </c>
      <c r="UD7">
        <v>-2.4245362661989844E-14</v>
      </c>
      <c r="UE7">
        <v>46177523</v>
      </c>
      <c r="UF7" t="s">
        <v>3220</v>
      </c>
      <c r="UY7" t="s">
        <v>5940</v>
      </c>
      <c r="VA7">
        <v>-2.4245362661989844E-14</v>
      </c>
      <c r="VB7">
        <v>-2.4245362661989844E-14</v>
      </c>
      <c r="VC7" t="s">
        <v>1993</v>
      </c>
      <c r="VD7">
        <v>2025</v>
      </c>
      <c r="VE7" t="s">
        <v>5941</v>
      </c>
      <c r="VF7" s="6">
        <v>45883</v>
      </c>
      <c r="VG7">
        <v>5</v>
      </c>
      <c r="VH7">
        <v>-2.4245362661989844E-14</v>
      </c>
      <c r="VI7">
        <v>129001</v>
      </c>
      <c r="VJ7" t="s">
        <v>5942</v>
      </c>
    </row>
    <row r="8" spans="1:600" x14ac:dyDescent="0.25">
      <c r="AE8" t="s">
        <v>6317</v>
      </c>
      <c r="AF8" t="s">
        <v>1769</v>
      </c>
      <c r="AG8">
        <v>1.916641</v>
      </c>
      <c r="AH8">
        <v>0.120591</v>
      </c>
      <c r="AI8" t="s">
        <v>1745</v>
      </c>
      <c r="AJ8">
        <v>2025</v>
      </c>
      <c r="AK8" t="s">
        <v>6318</v>
      </c>
      <c r="AL8" s="6">
        <v>45884</v>
      </c>
      <c r="AM8">
        <v>5</v>
      </c>
      <c r="AN8">
        <v>1020284.84</v>
      </c>
      <c r="AO8">
        <v>11948955</v>
      </c>
      <c r="AP8" t="s">
        <v>6319</v>
      </c>
      <c r="AS8" t="s">
        <v>6180</v>
      </c>
      <c r="AT8">
        <v>-2.4245362661989844E-14</v>
      </c>
      <c r="AV8">
        <v>-2.4245362661989844E-14</v>
      </c>
      <c r="AW8" t="s">
        <v>1745</v>
      </c>
      <c r="AX8">
        <v>2025</v>
      </c>
      <c r="AY8" t="s">
        <v>6181</v>
      </c>
      <c r="AZ8" s="6">
        <v>45875</v>
      </c>
      <c r="BA8">
        <v>5</v>
      </c>
      <c r="BB8">
        <v>-2.4245362661989844E-14</v>
      </c>
      <c r="BC8">
        <v>143028</v>
      </c>
      <c r="BD8" t="s">
        <v>6182</v>
      </c>
      <c r="BI8" t="s">
        <v>3812</v>
      </c>
      <c r="BK8">
        <v>-2.4245362661989844E-14</v>
      </c>
      <c r="BL8">
        <v>-2.4245362661989844E-14</v>
      </c>
      <c r="BM8" t="s">
        <v>1745</v>
      </c>
      <c r="BN8">
        <v>2024</v>
      </c>
      <c r="BO8" t="s">
        <v>4362</v>
      </c>
      <c r="BP8" s="6">
        <v>45358</v>
      </c>
      <c r="BQ8">
        <v>5</v>
      </c>
      <c r="BR8">
        <v>-2.4245362661989844E-14</v>
      </c>
      <c r="BS8">
        <v>41866638</v>
      </c>
      <c r="BT8" t="s">
        <v>3813</v>
      </c>
      <c r="BW8" t="s">
        <v>5295</v>
      </c>
      <c r="BX8">
        <v>-2.4245362661989844E-14</v>
      </c>
      <c r="BZ8">
        <v>-2.4245362661989844E-14</v>
      </c>
      <c r="CA8" t="s">
        <v>1745</v>
      </c>
      <c r="CB8">
        <v>2023</v>
      </c>
      <c r="CC8" t="s">
        <v>4362</v>
      </c>
      <c r="CD8" s="6">
        <v>45105</v>
      </c>
      <c r="CE8">
        <v>5</v>
      </c>
      <c r="CF8">
        <v>-2.4245362661989844E-14</v>
      </c>
      <c r="CG8">
        <v>69444555</v>
      </c>
      <c r="CH8" t="s">
        <v>5296</v>
      </c>
      <c r="CM8" t="s">
        <v>2317</v>
      </c>
      <c r="CN8" t="s">
        <v>1820</v>
      </c>
      <c r="CO8">
        <v>6.234559</v>
      </c>
      <c r="CP8">
        <v>1.5138720000000001</v>
      </c>
      <c r="CQ8" t="s">
        <v>1762</v>
      </c>
      <c r="CR8">
        <v>2025</v>
      </c>
      <c r="CS8" t="s">
        <v>2318</v>
      </c>
      <c r="CT8" s="6">
        <v>45897</v>
      </c>
      <c r="CU8">
        <v>5</v>
      </c>
      <c r="CV8">
        <v>137459552</v>
      </c>
      <c r="CW8">
        <v>16532368</v>
      </c>
      <c r="CX8" t="s">
        <v>2319</v>
      </c>
      <c r="DA8" t="s">
        <v>496</v>
      </c>
      <c r="DB8">
        <v>0.69902799999999998</v>
      </c>
      <c r="DC8" t="s">
        <v>1786</v>
      </c>
      <c r="DD8">
        <v>0.138625</v>
      </c>
      <c r="DE8" t="s">
        <v>1845</v>
      </c>
      <c r="DF8">
        <v>2025</v>
      </c>
      <c r="DG8" t="s">
        <v>1883</v>
      </c>
      <c r="DH8" s="6">
        <v>45848</v>
      </c>
      <c r="DI8">
        <v>5</v>
      </c>
      <c r="DJ8">
        <v>111166424</v>
      </c>
      <c r="DK8">
        <v>100976</v>
      </c>
      <c r="DL8" t="s">
        <v>1888</v>
      </c>
      <c r="DQ8" t="s">
        <v>2280</v>
      </c>
      <c r="DS8">
        <v>-2.4245362661989844E-14</v>
      </c>
      <c r="DT8">
        <v>-2.4245362661989844E-14</v>
      </c>
      <c r="DU8" t="s">
        <v>1745</v>
      </c>
      <c r="DV8">
        <v>2021</v>
      </c>
      <c r="DW8" t="s">
        <v>2281</v>
      </c>
      <c r="DX8" s="6">
        <v>44693</v>
      </c>
      <c r="DY8">
        <v>5</v>
      </c>
      <c r="DZ8">
        <v>-2.4245362661989844E-14</v>
      </c>
      <c r="EA8">
        <v>313098</v>
      </c>
      <c r="EB8" t="s">
        <v>2282</v>
      </c>
      <c r="EU8" t="s">
        <v>3339</v>
      </c>
      <c r="EV8" t="s">
        <v>1786</v>
      </c>
      <c r="EW8">
        <v>0.65105599999999997</v>
      </c>
      <c r="EX8">
        <v>4.0731000000000003E-2</v>
      </c>
      <c r="EY8" t="s">
        <v>1845</v>
      </c>
      <c r="EZ8">
        <v>2024</v>
      </c>
      <c r="FA8" t="s">
        <v>3340</v>
      </c>
      <c r="FB8" s="6">
        <v>45709</v>
      </c>
      <c r="FC8">
        <v>5</v>
      </c>
      <c r="FD8">
        <v>1628005</v>
      </c>
      <c r="FE8">
        <v>1713474</v>
      </c>
      <c r="FF8" t="s">
        <v>3341</v>
      </c>
      <c r="FI8" t="s">
        <v>5875</v>
      </c>
      <c r="FJ8">
        <v>-2.4245362661989844E-14</v>
      </c>
      <c r="FL8">
        <v>-2.4245362661989844E-14</v>
      </c>
      <c r="FM8" t="s">
        <v>1742</v>
      </c>
      <c r="FN8">
        <v>2024</v>
      </c>
      <c r="FO8" t="s">
        <v>5876</v>
      </c>
      <c r="FP8" s="6">
        <v>45670</v>
      </c>
      <c r="FQ8">
        <v>5</v>
      </c>
      <c r="FR8">
        <v>-2.4245362661989844E-14</v>
      </c>
      <c r="FS8">
        <v>69712248</v>
      </c>
      <c r="FT8" t="s">
        <v>5877</v>
      </c>
      <c r="HC8" t="s">
        <v>34</v>
      </c>
      <c r="HD8" t="s">
        <v>1786</v>
      </c>
      <c r="HE8">
        <v>2.1909000000000001E-2</v>
      </c>
      <c r="HF8">
        <v>0.25751600000000002</v>
      </c>
      <c r="HG8" t="s">
        <v>1845</v>
      </c>
      <c r="HH8">
        <v>2025</v>
      </c>
      <c r="HI8" t="s">
        <v>1883</v>
      </c>
      <c r="HJ8" s="6">
        <v>45848</v>
      </c>
      <c r="HK8">
        <v>5</v>
      </c>
      <c r="HL8">
        <v>3484188</v>
      </c>
      <c r="HM8">
        <v>101752</v>
      </c>
      <c r="HN8" t="s">
        <v>2723</v>
      </c>
      <c r="HQ8" t="s">
        <v>1999</v>
      </c>
      <c r="HR8">
        <v>-2.4245362661989844E-14</v>
      </c>
      <c r="HT8">
        <v>-2.4245362661989844E-14</v>
      </c>
      <c r="HU8" t="s">
        <v>1798</v>
      </c>
      <c r="HV8">
        <v>2025</v>
      </c>
      <c r="HW8" t="s">
        <v>2000</v>
      </c>
      <c r="HX8" s="6">
        <v>45975</v>
      </c>
      <c r="HY8">
        <v>5</v>
      </c>
      <c r="HZ8">
        <v>-2.4245362661989844E-14</v>
      </c>
      <c r="IA8">
        <v>9760711</v>
      </c>
      <c r="IB8" t="s">
        <v>2001</v>
      </c>
      <c r="IG8" t="s">
        <v>4538</v>
      </c>
      <c r="II8">
        <v>-2.4245362661989844E-14</v>
      </c>
      <c r="IJ8">
        <v>-2.4245362661989844E-14</v>
      </c>
      <c r="IK8" t="s">
        <v>1745</v>
      </c>
      <c r="IL8">
        <v>2022</v>
      </c>
      <c r="IM8" t="s">
        <v>4539</v>
      </c>
      <c r="IN8" s="6">
        <v>44985</v>
      </c>
      <c r="IO8">
        <v>5</v>
      </c>
      <c r="IP8">
        <v>-2.4245362661989844E-14</v>
      </c>
      <c r="IQ8">
        <v>8746371</v>
      </c>
      <c r="IR8" t="s">
        <v>4540</v>
      </c>
      <c r="IU8" t="s">
        <v>1708</v>
      </c>
      <c r="IV8">
        <v>-2.4245362661989844E-14</v>
      </c>
      <c r="IX8">
        <v>-2.4245362661989844E-14</v>
      </c>
      <c r="IY8" t="s">
        <v>1745</v>
      </c>
      <c r="IZ8">
        <v>2022</v>
      </c>
      <c r="JA8" t="s">
        <v>4536</v>
      </c>
      <c r="JB8" s="6">
        <v>44980</v>
      </c>
      <c r="JC8">
        <v>5</v>
      </c>
      <c r="JD8">
        <v>-2.4245362661989844E-14</v>
      </c>
      <c r="JE8">
        <v>101581</v>
      </c>
      <c r="JF8" t="s">
        <v>4790</v>
      </c>
      <c r="JK8" t="s">
        <v>1761</v>
      </c>
      <c r="JM8">
        <v>-2.4245362661989844E-14</v>
      </c>
      <c r="JN8">
        <v>-2.4245362661989844E-14</v>
      </c>
      <c r="JO8" t="s">
        <v>1742</v>
      </c>
      <c r="JP8">
        <v>2025</v>
      </c>
      <c r="JQ8" t="s">
        <v>2331</v>
      </c>
      <c r="JR8" s="6">
        <v>45966</v>
      </c>
      <c r="JS8">
        <v>5</v>
      </c>
      <c r="JT8">
        <v>-2.4245362661989844E-14</v>
      </c>
      <c r="JU8">
        <v>101695</v>
      </c>
      <c r="JV8" t="s">
        <v>1764</v>
      </c>
      <c r="LS8" t="s">
        <v>1578</v>
      </c>
      <c r="LT8" t="s">
        <v>1786</v>
      </c>
      <c r="LU8">
        <v>4.630776</v>
      </c>
      <c r="LV8">
        <v>0.19183800000000001</v>
      </c>
      <c r="LW8" t="s">
        <v>1742</v>
      </c>
      <c r="LX8">
        <v>2025</v>
      </c>
      <c r="LY8" t="s">
        <v>3048</v>
      </c>
      <c r="LZ8" s="6">
        <v>45952</v>
      </c>
      <c r="MA8">
        <v>5</v>
      </c>
      <c r="MB8">
        <v>125308800</v>
      </c>
      <c r="MC8">
        <v>171010</v>
      </c>
      <c r="MD8" t="s">
        <v>3049</v>
      </c>
      <c r="MG8" t="s">
        <v>1088</v>
      </c>
      <c r="MH8">
        <v>0.34598400000000001</v>
      </c>
      <c r="MI8" t="s">
        <v>1786</v>
      </c>
      <c r="MJ8">
        <v>1.684086</v>
      </c>
      <c r="MK8" t="s">
        <v>1762</v>
      </c>
      <c r="ML8">
        <v>2025</v>
      </c>
      <c r="MM8" t="s">
        <v>3484</v>
      </c>
      <c r="MN8" s="6">
        <v>45873</v>
      </c>
      <c r="MO8">
        <v>5</v>
      </c>
      <c r="MP8">
        <v>342105216</v>
      </c>
      <c r="MQ8">
        <v>100211</v>
      </c>
      <c r="MR8" t="s">
        <v>1851</v>
      </c>
      <c r="OA8" t="s">
        <v>2374</v>
      </c>
      <c r="OB8" t="s">
        <v>1786</v>
      </c>
      <c r="OC8">
        <v>8.8672269999999997</v>
      </c>
      <c r="OD8">
        <v>1.980351</v>
      </c>
      <c r="OE8" t="s">
        <v>1762</v>
      </c>
      <c r="OF8">
        <v>2025</v>
      </c>
      <c r="OG8" t="s">
        <v>2375</v>
      </c>
      <c r="OH8" s="6">
        <v>45922</v>
      </c>
      <c r="OI8">
        <v>5</v>
      </c>
      <c r="OJ8">
        <v>135574848</v>
      </c>
      <c r="OK8">
        <v>11937231</v>
      </c>
      <c r="OL8" t="s">
        <v>2376</v>
      </c>
      <c r="OO8" t="s">
        <v>1880</v>
      </c>
      <c r="OP8">
        <v>3.2472560000000001</v>
      </c>
      <c r="OQ8" t="s">
        <v>1786</v>
      </c>
      <c r="OR8">
        <v>2.573108</v>
      </c>
      <c r="OS8" t="s">
        <v>1762</v>
      </c>
      <c r="OT8">
        <v>2025</v>
      </c>
      <c r="OU8" t="s">
        <v>1877</v>
      </c>
      <c r="OV8" s="6">
        <v>45888</v>
      </c>
      <c r="OW8">
        <v>5</v>
      </c>
      <c r="OX8">
        <v>357945024</v>
      </c>
      <c r="OY8">
        <v>10451815</v>
      </c>
      <c r="OZ8" t="s">
        <v>1881</v>
      </c>
      <c r="PE8" t="s">
        <v>3010</v>
      </c>
      <c r="PF8" t="s">
        <v>1820</v>
      </c>
      <c r="PG8">
        <v>4.9560279999999999</v>
      </c>
      <c r="PH8">
        <v>3.032241</v>
      </c>
      <c r="PI8" t="s">
        <v>1762</v>
      </c>
      <c r="PJ8">
        <v>2026</v>
      </c>
      <c r="PK8" t="s">
        <v>3011</v>
      </c>
      <c r="PL8" s="6">
        <v>46063</v>
      </c>
      <c r="PM8">
        <v>5</v>
      </c>
      <c r="PN8">
        <v>163407472</v>
      </c>
      <c r="PO8">
        <v>101732</v>
      </c>
      <c r="PP8" t="s">
        <v>3012</v>
      </c>
      <c r="PS8" t="s">
        <v>424</v>
      </c>
      <c r="PT8">
        <v>4.764043</v>
      </c>
      <c r="PU8" t="s">
        <v>1820</v>
      </c>
      <c r="PV8">
        <v>2.1755200000000001</v>
      </c>
      <c r="PW8" t="s">
        <v>1809</v>
      </c>
      <c r="PX8">
        <v>2026</v>
      </c>
      <c r="PY8" t="s">
        <v>2389</v>
      </c>
      <c r="PZ8" s="6">
        <v>46079</v>
      </c>
      <c r="QA8">
        <v>5</v>
      </c>
      <c r="QB8">
        <v>649958400</v>
      </c>
      <c r="QC8">
        <v>101743</v>
      </c>
      <c r="QD8" t="s">
        <v>1891</v>
      </c>
      <c r="RM8" t="s">
        <v>3199</v>
      </c>
      <c r="RN8" t="s">
        <v>1786</v>
      </c>
      <c r="RO8">
        <v>2.9225000000000001E-2</v>
      </c>
      <c r="RP8">
        <v>0.24604699999999999</v>
      </c>
      <c r="RQ8" t="s">
        <v>1742</v>
      </c>
      <c r="RR8">
        <v>2025</v>
      </c>
      <c r="RS8" t="s">
        <v>3993</v>
      </c>
      <c r="RT8" s="6">
        <v>45936</v>
      </c>
      <c r="RU8">
        <v>5</v>
      </c>
      <c r="RV8">
        <v>1226790.45</v>
      </c>
      <c r="RW8">
        <v>835530</v>
      </c>
      <c r="RX8" t="s">
        <v>3201</v>
      </c>
      <c r="SA8" t="s">
        <v>2161</v>
      </c>
      <c r="SB8">
        <v>3.9990190000000001</v>
      </c>
      <c r="SC8" t="s">
        <v>1786</v>
      </c>
      <c r="SD8">
        <v>0.37565900000000002</v>
      </c>
      <c r="SE8" t="s">
        <v>1742</v>
      </c>
      <c r="SF8">
        <v>2024</v>
      </c>
      <c r="SG8" t="s">
        <v>2162</v>
      </c>
      <c r="SH8" s="6">
        <v>45727</v>
      </c>
      <c r="SI8">
        <v>5</v>
      </c>
      <c r="SJ8">
        <v>46555768.390000001</v>
      </c>
      <c r="SK8">
        <v>7583418</v>
      </c>
      <c r="SL8" t="s">
        <v>2163</v>
      </c>
      <c r="TU8" t="s">
        <v>4344</v>
      </c>
      <c r="TW8">
        <v>-2.4245362661989844E-14</v>
      </c>
      <c r="TX8">
        <v>-2.4245362661989844E-14</v>
      </c>
      <c r="TY8" t="s">
        <v>1745</v>
      </c>
      <c r="TZ8">
        <v>2024</v>
      </c>
      <c r="UA8" t="s">
        <v>4345</v>
      </c>
      <c r="UB8" s="6">
        <v>45730</v>
      </c>
      <c r="UC8">
        <v>5</v>
      </c>
      <c r="UD8">
        <v>-2.4245362661989844E-14</v>
      </c>
      <c r="UE8">
        <v>64043231</v>
      </c>
      <c r="UF8" t="s">
        <v>4346</v>
      </c>
      <c r="UY8" t="s">
        <v>5943</v>
      </c>
      <c r="VA8">
        <v>-2.4245362661989844E-14</v>
      </c>
      <c r="VB8">
        <v>-2.4245362661989844E-14</v>
      </c>
      <c r="VC8" t="s">
        <v>1798</v>
      </c>
      <c r="VD8">
        <v>2025</v>
      </c>
      <c r="VE8" t="s">
        <v>5944</v>
      </c>
      <c r="VF8" s="6">
        <v>45975</v>
      </c>
      <c r="VG8">
        <v>5</v>
      </c>
      <c r="VH8">
        <v>-2.4245362661989844E-14</v>
      </c>
      <c r="VI8">
        <v>7815848</v>
      </c>
      <c r="VJ8" t="s">
        <v>5945</v>
      </c>
    </row>
    <row r="9" spans="1:600" x14ac:dyDescent="0.25">
      <c r="AE9" t="s">
        <v>195</v>
      </c>
      <c r="AF9" t="s">
        <v>1769</v>
      </c>
      <c r="AG9">
        <v>1.2592000000000001E-2</v>
      </c>
      <c r="AH9">
        <v>9.0740000000000001E-2</v>
      </c>
      <c r="AI9" t="s">
        <v>1762</v>
      </c>
      <c r="AJ9">
        <v>2025</v>
      </c>
      <c r="AK9" t="s">
        <v>2268</v>
      </c>
      <c r="AL9" s="6">
        <v>45838</v>
      </c>
      <c r="AM9">
        <v>5</v>
      </c>
      <c r="AN9">
        <v>739528</v>
      </c>
      <c r="AO9">
        <v>101689</v>
      </c>
      <c r="AP9" t="s">
        <v>2269</v>
      </c>
      <c r="AS9" t="s">
        <v>1761</v>
      </c>
      <c r="AT9">
        <v>-2.4245362661989844E-14</v>
      </c>
      <c r="AV9">
        <v>-2.4245362661989844E-14</v>
      </c>
      <c r="AW9" t="s">
        <v>1745</v>
      </c>
      <c r="AX9">
        <v>2025</v>
      </c>
      <c r="AY9" t="s">
        <v>6181</v>
      </c>
      <c r="AZ9" s="6">
        <v>45875</v>
      </c>
      <c r="BA9">
        <v>5</v>
      </c>
      <c r="BB9">
        <v>-2.4245362661989844E-14</v>
      </c>
      <c r="BC9">
        <v>101695</v>
      </c>
      <c r="BD9" t="s">
        <v>1764</v>
      </c>
      <c r="BI9" t="s">
        <v>4363</v>
      </c>
      <c r="BK9">
        <v>-2.4245362661989844E-14</v>
      </c>
      <c r="BL9">
        <v>-2.4245362661989844E-14</v>
      </c>
      <c r="BM9" t="s">
        <v>1745</v>
      </c>
      <c r="BN9">
        <v>2023</v>
      </c>
      <c r="BO9" t="s">
        <v>4364</v>
      </c>
      <c r="BP9" s="6">
        <v>45300</v>
      </c>
      <c r="BQ9">
        <v>5</v>
      </c>
      <c r="BR9">
        <v>-2.4245362661989844E-14</v>
      </c>
      <c r="BS9">
        <v>70165912</v>
      </c>
      <c r="BT9" t="s">
        <v>4365</v>
      </c>
      <c r="BW9" t="s">
        <v>5297</v>
      </c>
      <c r="BX9">
        <v>-2.4245362661989844E-14</v>
      </c>
      <c r="BZ9">
        <v>-2.4245362661989844E-14</v>
      </c>
      <c r="CA9" t="s">
        <v>1745</v>
      </c>
      <c r="CB9">
        <v>2024</v>
      </c>
      <c r="CC9" t="s">
        <v>5298</v>
      </c>
      <c r="CD9" s="6">
        <v>45769</v>
      </c>
      <c r="CE9">
        <v>5</v>
      </c>
      <c r="CF9">
        <v>-2.4245362661989844E-14</v>
      </c>
      <c r="CG9">
        <v>25491917</v>
      </c>
      <c r="CH9" t="s">
        <v>5299</v>
      </c>
      <c r="CM9" t="s">
        <v>734</v>
      </c>
      <c r="CN9" t="s">
        <v>1820</v>
      </c>
      <c r="CO9">
        <v>3.6037650000000001</v>
      </c>
      <c r="CP9">
        <v>0.90356199999999998</v>
      </c>
      <c r="CQ9" t="s">
        <v>1762</v>
      </c>
      <c r="CR9">
        <v>2026</v>
      </c>
      <c r="CS9" t="s">
        <v>2320</v>
      </c>
      <c r="CT9" s="6">
        <v>46059</v>
      </c>
      <c r="CU9">
        <v>5</v>
      </c>
      <c r="CV9">
        <v>108725592</v>
      </c>
      <c r="CW9">
        <v>101643</v>
      </c>
      <c r="CX9" t="s">
        <v>2321</v>
      </c>
      <c r="DA9" t="s">
        <v>842</v>
      </c>
      <c r="DB9">
        <v>0.66108800000000001</v>
      </c>
      <c r="DC9" t="s">
        <v>1786</v>
      </c>
      <c r="DD9">
        <v>0.122531</v>
      </c>
      <c r="DE9" t="s">
        <v>1845</v>
      </c>
      <c r="DF9">
        <v>2025</v>
      </c>
      <c r="DG9" t="s">
        <v>1883</v>
      </c>
      <c r="DH9" s="6">
        <v>45848</v>
      </c>
      <c r="DI9">
        <v>5</v>
      </c>
      <c r="DJ9">
        <v>105132824</v>
      </c>
      <c r="DK9">
        <v>101548</v>
      </c>
      <c r="DL9" t="s">
        <v>1889</v>
      </c>
      <c r="DQ9" t="s">
        <v>2283</v>
      </c>
      <c r="DS9">
        <v>-2.4245362661989844E-14</v>
      </c>
      <c r="DT9">
        <v>-2.4245362661989844E-14</v>
      </c>
      <c r="DU9" t="s">
        <v>1745</v>
      </c>
      <c r="DV9">
        <v>2021</v>
      </c>
      <c r="DW9" t="s">
        <v>2284</v>
      </c>
      <c r="DX9" s="6">
        <v>44693</v>
      </c>
      <c r="DY9">
        <v>5</v>
      </c>
      <c r="DZ9">
        <v>-2.4245362661989844E-14</v>
      </c>
      <c r="EA9">
        <v>100060</v>
      </c>
      <c r="EB9" t="s">
        <v>2285</v>
      </c>
      <c r="EU9" t="s">
        <v>3494</v>
      </c>
      <c r="EV9" t="s">
        <v>1769</v>
      </c>
      <c r="EW9">
        <v>0.755158</v>
      </c>
      <c r="EX9">
        <v>0.153304</v>
      </c>
      <c r="EY9" t="s">
        <v>1745</v>
      </c>
      <c r="EZ9">
        <v>2024</v>
      </c>
      <c r="FA9" t="s">
        <v>3495</v>
      </c>
      <c r="FB9" s="6">
        <v>45713</v>
      </c>
      <c r="FC9">
        <v>5</v>
      </c>
      <c r="FD9">
        <v>1589762.5</v>
      </c>
      <c r="FE9">
        <v>18077551</v>
      </c>
      <c r="FF9" t="s">
        <v>3496</v>
      </c>
      <c r="FI9" t="s">
        <v>5878</v>
      </c>
      <c r="FJ9">
        <v>-2.4245362661989844E-14</v>
      </c>
      <c r="FL9">
        <v>-2.4245362661989844E-14</v>
      </c>
      <c r="FM9" t="s">
        <v>1745</v>
      </c>
      <c r="FN9">
        <v>2024</v>
      </c>
      <c r="FO9" t="s">
        <v>5879</v>
      </c>
      <c r="FP9" s="6">
        <v>45761</v>
      </c>
      <c r="FQ9">
        <v>5</v>
      </c>
      <c r="FR9">
        <v>-2.4245362661989844E-14</v>
      </c>
      <c r="FS9">
        <v>45811457</v>
      </c>
      <c r="FT9" t="s">
        <v>5880</v>
      </c>
      <c r="HC9" t="s">
        <v>4522</v>
      </c>
      <c r="HD9" t="s">
        <v>1786</v>
      </c>
      <c r="HE9">
        <v>3.7962999999999997E-2</v>
      </c>
      <c r="HF9">
        <v>0.117649</v>
      </c>
      <c r="HG9" t="s">
        <v>1762</v>
      </c>
      <c r="HH9">
        <v>2025</v>
      </c>
      <c r="HI9" t="s">
        <v>4523</v>
      </c>
      <c r="HJ9" s="6">
        <v>45917</v>
      </c>
      <c r="HK9">
        <v>5</v>
      </c>
      <c r="HL9">
        <v>1794964.29</v>
      </c>
      <c r="HM9">
        <v>112156</v>
      </c>
      <c r="HN9" t="s">
        <v>4524</v>
      </c>
      <c r="HQ9" t="s">
        <v>2002</v>
      </c>
      <c r="HR9">
        <v>-2.4245362661989844E-14</v>
      </c>
      <c r="HT9">
        <v>-2.4245362661989844E-14</v>
      </c>
      <c r="HU9" t="s">
        <v>1745</v>
      </c>
      <c r="HV9">
        <v>2022</v>
      </c>
      <c r="HW9" t="s">
        <v>2003</v>
      </c>
      <c r="HX9" s="6">
        <v>44973</v>
      </c>
      <c r="HY9">
        <v>5</v>
      </c>
      <c r="HZ9">
        <v>-2.4245362661989844E-14</v>
      </c>
      <c r="IA9">
        <v>11599856</v>
      </c>
      <c r="IB9" t="s">
        <v>2004</v>
      </c>
      <c r="IG9" t="s">
        <v>3543</v>
      </c>
      <c r="II9">
        <v>-2.4245362661989844E-14</v>
      </c>
      <c r="IJ9">
        <v>-2.4245362661989844E-14</v>
      </c>
      <c r="IK9" t="s">
        <v>1745</v>
      </c>
      <c r="IL9">
        <v>2022</v>
      </c>
      <c r="IM9" t="s">
        <v>4536</v>
      </c>
      <c r="IN9" s="6">
        <v>44980</v>
      </c>
      <c r="IO9">
        <v>5</v>
      </c>
      <c r="IP9">
        <v>-2.4245362661989844E-14</v>
      </c>
      <c r="IQ9">
        <v>28399721</v>
      </c>
      <c r="IR9" t="s">
        <v>3545</v>
      </c>
      <c r="IU9" t="s">
        <v>4791</v>
      </c>
      <c r="IV9">
        <v>-2.4245362661989844E-14</v>
      </c>
      <c r="IX9">
        <v>-2.4245362661989844E-14</v>
      </c>
      <c r="IY9" t="s">
        <v>1745</v>
      </c>
      <c r="IZ9">
        <v>2023</v>
      </c>
      <c r="JA9" t="s">
        <v>4792</v>
      </c>
      <c r="JB9" s="6">
        <v>45049</v>
      </c>
      <c r="JC9">
        <v>5</v>
      </c>
      <c r="JD9">
        <v>-2.4245362661989844E-14</v>
      </c>
      <c r="JE9">
        <v>34305270</v>
      </c>
      <c r="JF9" t="s">
        <v>4793</v>
      </c>
      <c r="JK9" t="s">
        <v>2332</v>
      </c>
      <c r="JM9">
        <v>-2.4245362661989844E-14</v>
      </c>
      <c r="JN9">
        <v>-2.4245362661989844E-14</v>
      </c>
      <c r="JO9" t="s">
        <v>1745</v>
      </c>
      <c r="JP9">
        <v>2022</v>
      </c>
      <c r="JQ9" t="s">
        <v>2333</v>
      </c>
      <c r="JR9" s="6">
        <v>45016</v>
      </c>
      <c r="JS9">
        <v>5</v>
      </c>
      <c r="JT9">
        <v>-2.4245362661989844E-14</v>
      </c>
      <c r="JU9">
        <v>9840510</v>
      </c>
      <c r="JV9" t="s">
        <v>2334</v>
      </c>
      <c r="LS9" t="s">
        <v>2919</v>
      </c>
      <c r="LT9" t="s">
        <v>1820</v>
      </c>
      <c r="LU9">
        <v>1.650523</v>
      </c>
      <c r="LV9">
        <v>1.7462089999999999</v>
      </c>
      <c r="LW9" t="s">
        <v>1742</v>
      </c>
      <c r="LX9">
        <v>2025</v>
      </c>
      <c r="LY9" t="s">
        <v>2920</v>
      </c>
      <c r="LZ9" s="6">
        <v>46029</v>
      </c>
      <c r="MA9">
        <v>5</v>
      </c>
      <c r="MB9">
        <v>97565313.560000002</v>
      </c>
      <c r="MC9">
        <v>115705</v>
      </c>
      <c r="MD9" t="s">
        <v>2921</v>
      </c>
      <c r="MG9" t="s">
        <v>1054</v>
      </c>
      <c r="MH9">
        <v>0.19926099999999999</v>
      </c>
      <c r="MI9" t="s">
        <v>1786</v>
      </c>
      <c r="MJ9">
        <v>1.1451750000000001</v>
      </c>
      <c r="MK9" t="s">
        <v>1762</v>
      </c>
      <c r="ML9">
        <v>2025</v>
      </c>
      <c r="MM9" t="s">
        <v>3638</v>
      </c>
      <c r="MN9" s="6">
        <v>45895</v>
      </c>
      <c r="MO9">
        <v>5</v>
      </c>
      <c r="MP9">
        <v>197027360</v>
      </c>
      <c r="MQ9">
        <v>101555</v>
      </c>
      <c r="MR9" t="s">
        <v>1848</v>
      </c>
      <c r="OA9" t="s">
        <v>949</v>
      </c>
      <c r="OB9" t="s">
        <v>1786</v>
      </c>
      <c r="OC9">
        <v>9.9027270000000005</v>
      </c>
      <c r="OD9">
        <v>1.5774429999999999</v>
      </c>
      <c r="OE9" t="s">
        <v>1762</v>
      </c>
      <c r="OF9">
        <v>2025</v>
      </c>
      <c r="OG9" t="s">
        <v>2429</v>
      </c>
      <c r="OH9" s="6">
        <v>45904</v>
      </c>
      <c r="OI9">
        <v>5</v>
      </c>
      <c r="OJ9">
        <v>107991712</v>
      </c>
      <c r="OK9">
        <v>187877</v>
      </c>
      <c r="OL9" t="s">
        <v>2430</v>
      </c>
      <c r="OO9" t="s">
        <v>1079</v>
      </c>
      <c r="OP9">
        <v>3.0622020000000001</v>
      </c>
      <c r="OQ9" t="s">
        <v>1786</v>
      </c>
      <c r="OR9">
        <v>2.546176</v>
      </c>
      <c r="OS9" t="s">
        <v>1762</v>
      </c>
      <c r="OT9">
        <v>2025</v>
      </c>
      <c r="OU9" t="s">
        <v>1877</v>
      </c>
      <c r="OV9" s="6">
        <v>45888</v>
      </c>
      <c r="OW9">
        <v>5</v>
      </c>
      <c r="OX9">
        <v>337546528</v>
      </c>
      <c r="OY9">
        <v>100090</v>
      </c>
      <c r="OZ9" t="s">
        <v>1882</v>
      </c>
      <c r="PE9" t="s">
        <v>2795</v>
      </c>
      <c r="PF9" t="s">
        <v>1786</v>
      </c>
      <c r="PG9">
        <v>1.2890219999999999</v>
      </c>
      <c r="PH9">
        <v>1.7418370000000001</v>
      </c>
      <c r="PI9" t="s">
        <v>1742</v>
      </c>
      <c r="PJ9">
        <v>2025</v>
      </c>
      <c r="PK9" t="s">
        <v>2796</v>
      </c>
      <c r="PL9" s="6">
        <v>45867</v>
      </c>
      <c r="PM9">
        <v>5</v>
      </c>
      <c r="PN9">
        <v>100904640</v>
      </c>
      <c r="PO9">
        <v>117092</v>
      </c>
      <c r="PP9" t="s">
        <v>2797</v>
      </c>
      <c r="PS9" t="s">
        <v>3505</v>
      </c>
      <c r="PT9">
        <v>4.518332</v>
      </c>
      <c r="PU9" t="s">
        <v>1786</v>
      </c>
      <c r="PV9">
        <v>2.8789280000000002</v>
      </c>
      <c r="PW9" t="s">
        <v>1809</v>
      </c>
      <c r="PX9">
        <v>2026</v>
      </c>
      <c r="PY9" t="s">
        <v>2389</v>
      </c>
      <c r="PZ9" s="6">
        <v>46079</v>
      </c>
      <c r="QA9">
        <v>5</v>
      </c>
      <c r="QB9">
        <v>616436032</v>
      </c>
      <c r="QC9">
        <v>50985605</v>
      </c>
      <c r="QD9" t="s">
        <v>3506</v>
      </c>
      <c r="RM9" t="s">
        <v>3010</v>
      </c>
      <c r="RN9" t="s">
        <v>1820</v>
      </c>
      <c r="RO9">
        <v>3.3274999999999999E-2</v>
      </c>
      <c r="RP9">
        <v>4.8761130000000001</v>
      </c>
      <c r="RQ9" t="s">
        <v>1762</v>
      </c>
      <c r="RR9">
        <v>2026</v>
      </c>
      <c r="RS9" t="s">
        <v>3011</v>
      </c>
      <c r="RT9" s="6">
        <v>46063</v>
      </c>
      <c r="RU9">
        <v>5</v>
      </c>
      <c r="RV9">
        <v>1097125</v>
      </c>
      <c r="RW9">
        <v>101732</v>
      </c>
      <c r="RX9" t="s">
        <v>3012</v>
      </c>
      <c r="SA9" t="s">
        <v>3848</v>
      </c>
      <c r="SB9">
        <v>2.5742210000000001</v>
      </c>
      <c r="SC9" t="s">
        <v>1786</v>
      </c>
      <c r="SD9">
        <v>18.557379000000001</v>
      </c>
      <c r="SE9" t="s">
        <v>1745</v>
      </c>
      <c r="SF9">
        <v>2024</v>
      </c>
      <c r="SG9" t="s">
        <v>3849</v>
      </c>
      <c r="SH9" s="6">
        <v>45784</v>
      </c>
      <c r="SI9">
        <v>5</v>
      </c>
      <c r="SJ9">
        <v>28636240.420000002</v>
      </c>
      <c r="SK9">
        <v>17392177</v>
      </c>
      <c r="SL9" t="s">
        <v>3850</v>
      </c>
      <c r="TU9" t="s">
        <v>3880</v>
      </c>
      <c r="TW9">
        <v>-2.4245362661989844E-14</v>
      </c>
      <c r="TX9">
        <v>-2.4245362661989844E-14</v>
      </c>
      <c r="TY9" t="s">
        <v>1745</v>
      </c>
      <c r="TZ9">
        <v>2024</v>
      </c>
      <c r="UA9" t="s">
        <v>4347</v>
      </c>
      <c r="UB9" s="6">
        <v>45716</v>
      </c>
      <c r="UC9">
        <v>5</v>
      </c>
      <c r="UD9">
        <v>-2.4245362661989844E-14</v>
      </c>
      <c r="UE9">
        <v>101145</v>
      </c>
      <c r="UF9" t="s">
        <v>3882</v>
      </c>
      <c r="UY9" t="s">
        <v>5946</v>
      </c>
      <c r="VA9">
        <v>-2.4245362661989844E-14</v>
      </c>
      <c r="VB9">
        <v>-2.4245362661989844E-14</v>
      </c>
      <c r="VC9" t="s">
        <v>1745</v>
      </c>
      <c r="VD9">
        <v>2023</v>
      </c>
      <c r="VE9" t="s">
        <v>5947</v>
      </c>
      <c r="VF9" s="6">
        <v>45402</v>
      </c>
      <c r="VG9">
        <v>5</v>
      </c>
      <c r="VH9">
        <v>-2.4245362661989844E-14</v>
      </c>
      <c r="VI9">
        <v>21799337</v>
      </c>
      <c r="VJ9" t="s">
        <v>5948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917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918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919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920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921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922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923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924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925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926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927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928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929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930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931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932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933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934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935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936</v>
      </c>
      <c r="AE2" s="3" t="s">
        <v>937</v>
      </c>
      <c r="BI2" s="3" t="s">
        <v>938</v>
      </c>
      <c r="CM2" s="3" t="s">
        <v>939</v>
      </c>
      <c r="DQ2" s="3" t="s">
        <v>940</v>
      </c>
      <c r="EU2" s="3" t="s">
        <v>941</v>
      </c>
      <c r="FY2" s="3" t="s">
        <v>432</v>
      </c>
      <c r="HC2" s="3" t="s">
        <v>942</v>
      </c>
      <c r="IG2" s="3" t="s">
        <v>943</v>
      </c>
      <c r="JK2" s="3" t="s">
        <v>273</v>
      </c>
      <c r="KO2" s="3" t="s">
        <v>944</v>
      </c>
      <c r="LS2" s="3" t="s">
        <v>945</v>
      </c>
      <c r="MW2" s="3" t="s">
        <v>946</v>
      </c>
      <c r="OA2" s="3" t="s">
        <v>947</v>
      </c>
      <c r="PE2" s="3" t="s">
        <v>948</v>
      </c>
      <c r="QI2" s="3" t="s">
        <v>199</v>
      </c>
      <c r="RM2" s="3" t="s">
        <v>391</v>
      </c>
      <c r="SQ2" s="3" t="s">
        <v>949</v>
      </c>
      <c r="TU2" s="3" t="s">
        <v>950</v>
      </c>
      <c r="UY2" s="3" t="s">
        <v>951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_xll.BDS("SHAW US Equity","SUPPLY_CHAIN_SUPPLIERS_ALL_DATA","cols=12;rows=1")</f>
        <v>023160 KS Equity</v>
      </c>
      <c r="C5">
        <v>-2.4245362661989844E-14</v>
      </c>
      <c r="D5">
        <v>-2.4245362661989844E-14</v>
      </c>
      <c r="E5" t="s">
        <v>1742</v>
      </c>
      <c r="F5">
        <v>2023</v>
      </c>
      <c r="G5" t="s">
        <v>3901</v>
      </c>
      <c r="H5" s="6">
        <v>45236</v>
      </c>
      <c r="I5">
        <v>1</v>
      </c>
      <c r="J5">
        <v>-2.4245362661989844E-14</v>
      </c>
      <c r="K5">
        <v>866468</v>
      </c>
      <c r="L5" t="s">
        <v>3902</v>
      </c>
      <c r="O5" t="str">
        <f>_xll.BDS("SHAW US Equity","SUPPLY_CHAIN_CUSTOMERS_ALL_DATA")</f>
        <v>#N/A N/A</v>
      </c>
      <c r="AE5" t="str">
        <f>_xll.BDS("4936C US Equity","SUPPLY_CHAIN_SUPPLIERS_ALL_DATA")</f>
        <v>#N/A N/A</v>
      </c>
      <c r="AS5" t="str">
        <f>_xll.BDS("4936C US Equity","SUPPLY_CHAIN_CUSTOMERS_ALL_DATA","cols=12;rows=1")</f>
        <v>GMEXICOB MM Equity</v>
      </c>
      <c r="AT5">
        <v>-2.4245362661989844E-14</v>
      </c>
      <c r="AV5">
        <v>-2.4245362661989844E-14</v>
      </c>
      <c r="AW5" t="s">
        <v>1745</v>
      </c>
      <c r="AX5">
        <v>2024</v>
      </c>
      <c r="AY5" t="s">
        <v>5851</v>
      </c>
      <c r="AZ5" s="6">
        <v>45777</v>
      </c>
      <c r="BA5">
        <v>1</v>
      </c>
      <c r="BB5">
        <v>-2.4245362661989844E-14</v>
      </c>
      <c r="BC5">
        <v>117567</v>
      </c>
      <c r="BD5" t="s">
        <v>5852</v>
      </c>
      <c r="BI5" t="str">
        <f>_xll.BDS("540513Q US Equity","SUPPLY_CHAIN_SUPPLIERS_ALL_DATA")</f>
        <v>#N/A N/A</v>
      </c>
      <c r="BW5" t="str">
        <f>_xll.BDS("540513Q US Equity","SUPPLY_CHAIN_CUSTOMERS_ALL_DATA")</f>
        <v>#N/A N/A</v>
      </c>
      <c r="CM5" t="str">
        <f>_xll.BDS("BIP US Equity","SUPPLY_CHAIN_SUPPLIERS_ALL_DATA","cols=12;rows=5")</f>
        <v>ITM LN Equity</v>
      </c>
      <c r="CN5" t="s">
        <v>1786</v>
      </c>
      <c r="CO5">
        <v>0.111343</v>
      </c>
      <c r="CP5">
        <v>1.73E-4</v>
      </c>
      <c r="CQ5" t="s">
        <v>1762</v>
      </c>
      <c r="CR5">
        <v>2026</v>
      </c>
      <c r="CS5" t="s">
        <v>5563</v>
      </c>
      <c r="CT5" s="6">
        <v>46064</v>
      </c>
      <c r="CU5">
        <v>5</v>
      </c>
      <c r="CV5">
        <v>7856.96</v>
      </c>
      <c r="CW5">
        <v>8849764</v>
      </c>
      <c r="CX5" t="s">
        <v>5564</v>
      </c>
      <c r="DA5" t="str">
        <f>_xll.BDS("BIP US Equity","SUPPLY_CHAIN_CUSTOMERS_ALL_DATA","cols=12;rows=5")</f>
        <v>0289575D PE Equity</v>
      </c>
      <c r="DB5">
        <v>-2.4245362661989844E-14</v>
      </c>
      <c r="DD5">
        <v>-2.4245362661989844E-14</v>
      </c>
      <c r="DE5" t="s">
        <v>1745</v>
      </c>
      <c r="DF5">
        <v>2021</v>
      </c>
      <c r="DG5" t="s">
        <v>1954</v>
      </c>
      <c r="DH5" s="6">
        <v>44630</v>
      </c>
      <c r="DI5">
        <v>5</v>
      </c>
      <c r="DJ5">
        <v>-2.4245362661989844E-14</v>
      </c>
      <c r="DK5">
        <v>14157521</v>
      </c>
      <c r="DL5" t="s">
        <v>1955</v>
      </c>
      <c r="DQ5" t="str">
        <f>_xll.BDS("9990213D US Equity","SUPPLY_CHAIN_SUPPLIERS_ALL_DATA","cols=12;rows=5")</f>
        <v>1434808D US Equity</v>
      </c>
      <c r="DS5">
        <v>-2.4245362661989844E-14</v>
      </c>
      <c r="DT5">
        <v>-2.4245362661989844E-14</v>
      </c>
      <c r="DU5" t="s">
        <v>1809</v>
      </c>
      <c r="DV5">
        <v>2022</v>
      </c>
      <c r="DW5" t="s">
        <v>4875</v>
      </c>
      <c r="DX5" s="6">
        <v>44635</v>
      </c>
      <c r="DY5">
        <v>5</v>
      </c>
      <c r="DZ5">
        <v>-2.4245362661989844E-14</v>
      </c>
      <c r="EA5">
        <v>50861898</v>
      </c>
      <c r="EB5" t="s">
        <v>5031</v>
      </c>
      <c r="EE5" t="str">
        <f>_xll.BDS("9990213D US Equity","SUPPLY_CHAIN_CUSTOMERS_ALL_DATA","cols=12;rows=5")</f>
        <v>0218802Z US Equity</v>
      </c>
      <c r="EF5">
        <v>-2.4245362661989844E-14</v>
      </c>
      <c r="EH5">
        <v>-2.4245362661989844E-14</v>
      </c>
      <c r="EI5" t="s">
        <v>1742</v>
      </c>
      <c r="EJ5">
        <v>2022</v>
      </c>
      <c r="EK5" t="s">
        <v>4873</v>
      </c>
      <c r="EL5" s="6">
        <v>44774</v>
      </c>
      <c r="EM5">
        <v>5</v>
      </c>
      <c r="EN5">
        <v>-2.4245362661989844E-14</v>
      </c>
      <c r="EO5">
        <v>1133577</v>
      </c>
      <c r="EP5" t="s">
        <v>4874</v>
      </c>
      <c r="EU5" t="str">
        <f>_xll.BDS("VLY US Equity","SUPPLY_CHAIN_SUPPLIERS_ALL_DATA","cols=12;rows=2")</f>
        <v>VNO US Equity</v>
      </c>
      <c r="EW5">
        <v>-2.4245362661989844E-14</v>
      </c>
      <c r="EX5">
        <v>-2.4245362661989844E-14</v>
      </c>
      <c r="EY5" t="s">
        <v>1745</v>
      </c>
      <c r="EZ5">
        <v>2022</v>
      </c>
      <c r="FA5" t="s">
        <v>5038</v>
      </c>
      <c r="FB5" s="6">
        <v>44970</v>
      </c>
      <c r="FC5">
        <v>2</v>
      </c>
      <c r="FD5">
        <v>-2.4245362661989844E-14</v>
      </c>
      <c r="FE5">
        <v>101608</v>
      </c>
      <c r="FF5" t="s">
        <v>4674</v>
      </c>
      <c r="FI5" t="str">
        <f>_xll.BDS("VLY US Equity","SUPPLY_CHAIN_CUSTOMERS_ALL_DATA")</f>
        <v>#N/A N/A</v>
      </c>
      <c r="FY5" t="str">
        <f>_xll.BDS("9990822D US Equity","SUPPLY_CHAIN_SUPPLIERS_ALL_DATA","cols=12;rows=1")</f>
        <v>AMZN US Equity</v>
      </c>
      <c r="GA5">
        <v>-2.4245362661989844E-14</v>
      </c>
      <c r="GB5">
        <v>-2.4245362661989844E-14</v>
      </c>
      <c r="GC5" t="s">
        <v>1745</v>
      </c>
      <c r="GD5">
        <v>2025</v>
      </c>
      <c r="GE5" t="s">
        <v>3186</v>
      </c>
      <c r="GF5" s="6">
        <v>45993</v>
      </c>
      <c r="GG5">
        <v>1</v>
      </c>
      <c r="GH5">
        <v>-2.4245362661989844E-14</v>
      </c>
      <c r="GI5">
        <v>216952</v>
      </c>
      <c r="GJ5" t="s">
        <v>1886</v>
      </c>
      <c r="GM5" t="str">
        <f>_xll.BDS("9990822D US Equity","SUPPLY_CHAIN_CUSTOMERS_ALL_DATA","cols=12;rows=3")</f>
        <v>0759608D US Equity</v>
      </c>
      <c r="GN5">
        <v>-2.4245362661989844E-14</v>
      </c>
      <c r="GP5">
        <v>-2.4245362661989844E-14</v>
      </c>
      <c r="GQ5" t="s">
        <v>1745</v>
      </c>
      <c r="GR5">
        <v>2023</v>
      </c>
      <c r="GS5" t="s">
        <v>3154</v>
      </c>
      <c r="GT5" s="6">
        <v>44972</v>
      </c>
      <c r="GU5">
        <v>3</v>
      </c>
      <c r="GV5">
        <v>-2.4245362661989844E-14</v>
      </c>
      <c r="GW5">
        <v>22120244</v>
      </c>
      <c r="GX5" t="s">
        <v>3155</v>
      </c>
      <c r="HC5" t="str">
        <f>_xll.BDS("SUSQ US Equity","SUPPLY_CHAIN_SUPPLIERS_ALL_DATA")</f>
        <v>#N/A N/A</v>
      </c>
      <c r="HQ5" t="str">
        <f>_xll.BDS("SUSQ US Equity","SUPPLY_CHAIN_CUSTOMERS_ALL_DATA")</f>
        <v>#N/A N/A</v>
      </c>
      <c r="IG5" t="str">
        <f>_xll.BDS("DGI US Equity","SUPPLY_CHAIN_SUPPLIERS_ALL_DATA")</f>
        <v>#N/A N/A</v>
      </c>
      <c r="IU5" t="str">
        <f>_xll.BDS("DGI US Equity","SUPPLY_CHAIN_CUSTOMERS_ALL_DATA")</f>
        <v>#N/A N/A</v>
      </c>
      <c r="JK5" t="str">
        <f>_xll.BDS("LLY US Equity","SUPPLY_CHAIN_SUPPLIERS_ALL_DATA","cols=12;rows=5")</f>
        <v>RIGL US Equity</v>
      </c>
      <c r="JL5" t="s">
        <v>1786</v>
      </c>
      <c r="JM5">
        <v>39</v>
      </c>
      <c r="JN5">
        <v>1.782985</v>
      </c>
      <c r="JO5" t="s">
        <v>1762</v>
      </c>
      <c r="JP5">
        <v>2025</v>
      </c>
      <c r="JQ5" t="s">
        <v>2872</v>
      </c>
      <c r="JR5" s="6">
        <v>45874</v>
      </c>
      <c r="JS5">
        <v>5</v>
      </c>
      <c r="JT5">
        <v>39657152</v>
      </c>
      <c r="JU5">
        <v>1176875</v>
      </c>
      <c r="JV5" t="s">
        <v>2873</v>
      </c>
      <c r="JY5" t="str">
        <f>_xll.BDS("LLY US Equity","SUPPLY_CHAIN_CUSTOMERS_ALL_DATA","cols=12;rows=5")</f>
        <v>MCK US Equity</v>
      </c>
      <c r="JZ5">
        <v>23.281113000000001</v>
      </c>
      <c r="KA5" t="s">
        <v>1786</v>
      </c>
      <c r="KB5">
        <v>5.5350809999999999</v>
      </c>
      <c r="KC5" t="s">
        <v>1742</v>
      </c>
      <c r="KD5">
        <v>2025</v>
      </c>
      <c r="KE5" t="s">
        <v>3253</v>
      </c>
      <c r="KF5" s="6">
        <v>46041</v>
      </c>
      <c r="KG5">
        <v>5</v>
      </c>
      <c r="KH5">
        <v>4097661952</v>
      </c>
      <c r="KI5">
        <v>154936</v>
      </c>
      <c r="KJ5" t="s">
        <v>2146</v>
      </c>
      <c r="KO5" t="str">
        <f>_xll.BDS("PCP US Equity","SUPPLY_CHAIN_SUPPLIERS_ALL_DATA","cols=12;rows=1")</f>
        <v>FE US Equity</v>
      </c>
      <c r="KQ5">
        <v>-2.4245362661989844E-14</v>
      </c>
      <c r="KR5">
        <v>-2.4245362661989844E-14</v>
      </c>
      <c r="KS5" t="s">
        <v>1745</v>
      </c>
      <c r="KT5">
        <v>2021</v>
      </c>
      <c r="KU5" t="s">
        <v>2288</v>
      </c>
      <c r="KV5" s="6">
        <v>44693</v>
      </c>
      <c r="KW5">
        <v>1</v>
      </c>
      <c r="KX5">
        <v>-2.4245362661989844E-14</v>
      </c>
      <c r="KY5">
        <v>302916</v>
      </c>
      <c r="KZ5" t="s">
        <v>2289</v>
      </c>
      <c r="LC5" t="str">
        <f>_xll.BDS("PCP US Equity","SUPPLY_CHAIN_CUSTOMERS_ALL_DATA")</f>
        <v>#N/A N/A</v>
      </c>
      <c r="LS5" t="str">
        <f>_xll.BDS("IP US Equity","SUPPLY_CHAIN_SUPPLIERS_ALL_DATA","cols=12;rows=5")</f>
        <v>MTX US Equity</v>
      </c>
      <c r="LT5" t="s">
        <v>1786</v>
      </c>
      <c r="LU5">
        <v>2.7562509999999998</v>
      </c>
      <c r="LV5">
        <v>0.34728900000000001</v>
      </c>
      <c r="LW5" t="s">
        <v>1845</v>
      </c>
      <c r="LX5">
        <v>2025</v>
      </c>
      <c r="LY5" t="s">
        <v>6295</v>
      </c>
      <c r="LZ5" s="6">
        <v>46070</v>
      </c>
      <c r="MA5">
        <v>5</v>
      </c>
      <c r="MB5">
        <v>14318724</v>
      </c>
      <c r="MC5">
        <v>115851</v>
      </c>
      <c r="MD5" t="s">
        <v>6296</v>
      </c>
      <c r="MG5" t="str">
        <f>_xll.BDS("IP US Equity","SUPPLY_CHAIN_CUSTOMERS_ALL_DATA","cols=12;rows=5")</f>
        <v>TSCO LN Equity</v>
      </c>
      <c r="MH5">
        <v>0.128079</v>
      </c>
      <c r="MI5" t="s">
        <v>1786</v>
      </c>
      <c r="MJ5">
        <v>4.0013E-2</v>
      </c>
      <c r="MK5" t="s">
        <v>1809</v>
      </c>
      <c r="ML5">
        <v>2026</v>
      </c>
      <c r="MM5" t="s">
        <v>1834</v>
      </c>
      <c r="MN5" s="6">
        <v>45898</v>
      </c>
      <c r="MO5">
        <v>5</v>
      </c>
      <c r="MP5">
        <v>8490118.5899999999</v>
      </c>
      <c r="MQ5">
        <v>112370</v>
      </c>
      <c r="MR5" t="s">
        <v>1835</v>
      </c>
      <c r="MW5" t="str">
        <f>_xll.BDS("GIS US Equity","SUPPLY_CHAIN_SUPPLIERS_ALL_DATA","cols=12;rows=5")</f>
        <v>GPK US Equity</v>
      </c>
      <c r="MX5" t="s">
        <v>1786</v>
      </c>
      <c r="MY5">
        <v>3.2047750000000002</v>
      </c>
      <c r="MZ5">
        <v>2.113801</v>
      </c>
      <c r="NA5" t="s">
        <v>1845</v>
      </c>
      <c r="NB5">
        <v>2025</v>
      </c>
      <c r="NC5" t="s">
        <v>3875</v>
      </c>
      <c r="ND5" s="6">
        <v>46076</v>
      </c>
      <c r="NE5">
        <v>5</v>
      </c>
      <c r="NF5">
        <v>67396416</v>
      </c>
      <c r="NG5">
        <v>187274</v>
      </c>
      <c r="NH5" t="s">
        <v>3876</v>
      </c>
      <c r="NK5" t="str">
        <f>_xll.BDS("GIS US Equity","SUPPLY_CHAIN_CUSTOMERS_ALL_DATA","cols=12;rows=5")</f>
        <v>WMT US Equity</v>
      </c>
      <c r="NL5">
        <v>22</v>
      </c>
      <c r="NM5" t="s">
        <v>1786</v>
      </c>
      <c r="NN5">
        <v>0.83304400000000001</v>
      </c>
      <c r="NO5" t="s">
        <v>1745</v>
      </c>
      <c r="NP5">
        <v>2025</v>
      </c>
      <c r="NQ5" t="s">
        <v>4784</v>
      </c>
      <c r="NR5" s="6">
        <v>45834</v>
      </c>
      <c r="NS5">
        <v>5</v>
      </c>
      <c r="NT5">
        <v>1071763008</v>
      </c>
      <c r="NU5">
        <v>101616</v>
      </c>
      <c r="NV5" t="s">
        <v>2098</v>
      </c>
      <c r="OA5" t="str">
        <f>_xll.BDS("WBVNQ US Equity","SUPPLY_CHAIN_SUPPLIERS_ALL_DATA")</f>
        <v>#N/A N/A</v>
      </c>
      <c r="OO5" t="str">
        <f>_xll.BDS("WBVNQ US Equity","SUPPLY_CHAIN_CUSTOMERS_ALL_DATA")</f>
        <v>#N/A N/A</v>
      </c>
      <c r="PE5" t="str">
        <f>_xll.BDS("VNRSQ US Equity","SUPPLY_CHAIN_SUPPLIERS_ALL_DATA")</f>
        <v>#N/A N/A</v>
      </c>
      <c r="PS5" t="str">
        <f>_xll.BDS("VNRSQ US Equity","SUPPLY_CHAIN_CUSTOMERS_ALL_DATA")</f>
        <v>#N/A N/A</v>
      </c>
      <c r="QI5" t="str">
        <f>_xll.BDS("3867693Z US Equity","SUPPLY_CHAIN_SUPPLIERS_ALL_DATA")</f>
        <v>#N/A N/A</v>
      </c>
      <c r="QW5" t="str">
        <f>_xll.BDS("3867693Z US Equity","SUPPLY_CHAIN_CUSTOMERS_ALL_DATA")</f>
        <v>#N/A N/A</v>
      </c>
      <c r="RM5" t="str">
        <f>_xll.BDS("0848680D US Equity","SUPPLY_CHAIN_SUPPLIERS_ALL_DATA")</f>
        <v>#N/A N/A</v>
      </c>
      <c r="SA5" t="str">
        <f>_xll.BDS("0848680D US Equity","SUPPLY_CHAIN_CUSTOMERS_ALL_DATA")</f>
        <v>#N/A N/A</v>
      </c>
      <c r="SQ5" t="str">
        <f>_xll.BDS("ATI US Equity","SUPPLY_CHAIN_SUPPLIERS_ALL_DATA","cols=12;rows=5")</f>
        <v>RS US Equity</v>
      </c>
      <c r="SR5" t="s">
        <v>1786</v>
      </c>
      <c r="SS5">
        <v>7.3692999999999995E-2</v>
      </c>
      <c r="ST5">
        <v>0.31071100000000001</v>
      </c>
      <c r="SU5" t="s">
        <v>1742</v>
      </c>
      <c r="SV5">
        <v>2025</v>
      </c>
      <c r="SW5" t="s">
        <v>3428</v>
      </c>
      <c r="SX5" s="6">
        <v>45982</v>
      </c>
      <c r="SY5">
        <v>5</v>
      </c>
      <c r="SZ5">
        <v>2690679</v>
      </c>
      <c r="TA5">
        <v>148223</v>
      </c>
      <c r="TB5" t="s">
        <v>2682</v>
      </c>
      <c r="TE5" t="str">
        <f>_xll.BDS("ATI US Equity","SUPPLY_CHAIN_CUSTOMERS_ALL_DATA","cols=12;rows=5")</f>
        <v>GE US Equity</v>
      </c>
      <c r="TF5">
        <v>9.9027270000000005</v>
      </c>
      <c r="TG5" t="s">
        <v>1786</v>
      </c>
      <c r="TH5">
        <v>1.5774429999999999</v>
      </c>
      <c r="TI5" t="s">
        <v>1762</v>
      </c>
      <c r="TJ5">
        <v>2025</v>
      </c>
      <c r="TK5" t="s">
        <v>2429</v>
      </c>
      <c r="TL5" s="6">
        <v>45904</v>
      </c>
      <c r="TM5">
        <v>5</v>
      </c>
      <c r="TN5">
        <v>107991712</v>
      </c>
      <c r="TO5">
        <v>100632</v>
      </c>
      <c r="TP5" t="s">
        <v>1850</v>
      </c>
      <c r="TU5" t="str">
        <f>_xll.BDS("SCOR US Equity","SUPPLY_CHAIN_SUPPLIERS_ALL_DATA","cols=12;rows=3")</f>
        <v>CHTR US Equity</v>
      </c>
      <c r="TV5" t="s">
        <v>1786</v>
      </c>
      <c r="TW5">
        <v>2.4510000000000001E-2</v>
      </c>
      <c r="TX5">
        <v>6.3486349999999998</v>
      </c>
      <c r="TY5" t="s">
        <v>1742</v>
      </c>
      <c r="TZ5">
        <v>2025</v>
      </c>
      <c r="UA5" t="s">
        <v>2954</v>
      </c>
      <c r="UB5" s="6">
        <v>45968</v>
      </c>
      <c r="UC5">
        <v>3</v>
      </c>
      <c r="UD5">
        <v>3351000</v>
      </c>
      <c r="UE5">
        <v>14038385</v>
      </c>
      <c r="UF5" t="s">
        <v>2955</v>
      </c>
      <c r="UI5" t="str">
        <f>_xll.BDS("SCOR US Equity","SUPPLY_CHAIN_CUSTOMERS_ALL_DATA","cols=12;rows=5")</f>
        <v>WPP LN Equity</v>
      </c>
      <c r="UJ5">
        <v>1.934628</v>
      </c>
      <c r="UL5">
        <v>-2.4245362661989844E-14</v>
      </c>
      <c r="UM5" t="s">
        <v>1742</v>
      </c>
      <c r="UN5">
        <v>2025</v>
      </c>
      <c r="UO5" t="s">
        <v>2954</v>
      </c>
      <c r="UP5" s="6">
        <v>45968</v>
      </c>
      <c r="UQ5">
        <v>5</v>
      </c>
      <c r="UR5">
        <v>1720000</v>
      </c>
      <c r="US5">
        <v>112554</v>
      </c>
      <c r="UT5" t="s">
        <v>2957</v>
      </c>
      <c r="UY5" t="str">
        <f>_xll.BDS("REVRQ US Equity","SUPPLY_CHAIN_SUPPLIERS_ALL_DATA","cols=12;rows=5")</f>
        <v>0200831D US Equity</v>
      </c>
      <c r="VA5">
        <v>-2.4245362661989844E-14</v>
      </c>
      <c r="VB5">
        <v>-2.4245362661989844E-14</v>
      </c>
      <c r="VC5" t="s">
        <v>1762</v>
      </c>
      <c r="VD5">
        <v>2022</v>
      </c>
      <c r="VE5" t="s">
        <v>3741</v>
      </c>
      <c r="VF5" s="6">
        <v>44727</v>
      </c>
      <c r="VG5">
        <v>5</v>
      </c>
      <c r="VH5">
        <v>-2.4245362661989844E-14</v>
      </c>
      <c r="VI5">
        <v>24835243</v>
      </c>
      <c r="VJ5" t="s">
        <v>5615</v>
      </c>
      <c r="VM5" t="str">
        <f>_xll.BDS("REVRQ US Equity","SUPPLY_CHAIN_CUSTOMERS_ALL_DATA","cols=12;rows=5")</f>
        <v>178 HK Equity</v>
      </c>
      <c r="VN5">
        <v>-2.4245362661989844E-14</v>
      </c>
      <c r="VP5">
        <v>-2.4245362661989844E-14</v>
      </c>
      <c r="VQ5" t="s">
        <v>1745</v>
      </c>
      <c r="VR5">
        <v>2025</v>
      </c>
      <c r="VS5" t="s">
        <v>2058</v>
      </c>
      <c r="VT5" s="6">
        <v>45856</v>
      </c>
      <c r="VU5">
        <v>5</v>
      </c>
      <c r="VV5">
        <v>-2.4245362661989844E-14</v>
      </c>
      <c r="VW5">
        <v>223238</v>
      </c>
      <c r="VX5" t="s">
        <v>2059</v>
      </c>
    </row>
    <row r="6" spans="1:600" x14ac:dyDescent="0.25">
      <c r="CM6" t="s">
        <v>5565</v>
      </c>
      <c r="CO6">
        <v>-2.4245362661989844E-14</v>
      </c>
      <c r="CP6">
        <v>-2.4245362661989844E-14</v>
      </c>
      <c r="CQ6" t="s">
        <v>1745</v>
      </c>
      <c r="CR6">
        <v>2024</v>
      </c>
      <c r="CS6" t="s">
        <v>5566</v>
      </c>
      <c r="CT6" s="6">
        <v>45553</v>
      </c>
      <c r="CU6">
        <v>5</v>
      </c>
      <c r="CV6">
        <v>-2.4245362661989844E-14</v>
      </c>
      <c r="CW6">
        <v>29162065</v>
      </c>
      <c r="CX6" t="s">
        <v>5567</v>
      </c>
      <c r="DA6" t="s">
        <v>1956</v>
      </c>
      <c r="DB6">
        <v>-2.4245362661989844E-14</v>
      </c>
      <c r="DD6">
        <v>-2.4245362661989844E-14</v>
      </c>
      <c r="DE6" t="s">
        <v>1745</v>
      </c>
      <c r="DF6">
        <v>2021</v>
      </c>
      <c r="DG6" t="s">
        <v>1954</v>
      </c>
      <c r="DH6" s="6">
        <v>44630</v>
      </c>
      <c r="DI6">
        <v>5</v>
      </c>
      <c r="DJ6">
        <v>-2.4245362661989844E-14</v>
      </c>
      <c r="DK6">
        <v>1481455</v>
      </c>
      <c r="DL6" t="s">
        <v>1957</v>
      </c>
      <c r="DQ6" t="s">
        <v>5032</v>
      </c>
      <c r="DS6">
        <v>-2.4245362661989844E-14</v>
      </c>
      <c r="DT6">
        <v>-2.4245362661989844E-14</v>
      </c>
      <c r="DU6" t="s">
        <v>1809</v>
      </c>
      <c r="DV6">
        <v>2022</v>
      </c>
      <c r="DW6" t="s">
        <v>4875</v>
      </c>
      <c r="DX6" s="6">
        <v>44635</v>
      </c>
      <c r="DY6">
        <v>5</v>
      </c>
      <c r="DZ6">
        <v>-2.4245362661989844E-14</v>
      </c>
      <c r="EA6">
        <v>51750392</v>
      </c>
      <c r="EB6" t="s">
        <v>5033</v>
      </c>
      <c r="EE6" t="s">
        <v>1795</v>
      </c>
      <c r="EF6">
        <v>-2.4245362661989844E-14</v>
      </c>
      <c r="EH6">
        <v>-2.4245362661989844E-14</v>
      </c>
      <c r="EI6" t="s">
        <v>1809</v>
      </c>
      <c r="EJ6">
        <v>2022</v>
      </c>
      <c r="EK6" t="s">
        <v>4875</v>
      </c>
      <c r="EL6" s="6">
        <v>44687</v>
      </c>
      <c r="EM6">
        <v>5</v>
      </c>
      <c r="EN6">
        <v>-2.4245362661989844E-14</v>
      </c>
      <c r="EO6">
        <v>962205</v>
      </c>
      <c r="EP6" t="s">
        <v>1796</v>
      </c>
      <c r="EU6" t="s">
        <v>607</v>
      </c>
      <c r="EW6">
        <v>-2.4245362661989844E-14</v>
      </c>
      <c r="EX6">
        <v>-2.4245362661989844E-14</v>
      </c>
      <c r="EY6" t="s">
        <v>1762</v>
      </c>
      <c r="EZ6">
        <v>2023</v>
      </c>
      <c r="FA6" t="s">
        <v>2670</v>
      </c>
      <c r="FB6" s="6">
        <v>45174</v>
      </c>
      <c r="FC6">
        <v>2</v>
      </c>
      <c r="FD6">
        <v>-2.4245362661989844E-14</v>
      </c>
      <c r="FE6">
        <v>202476</v>
      </c>
      <c r="FF6" t="s">
        <v>2355</v>
      </c>
      <c r="GM6" t="s">
        <v>246</v>
      </c>
      <c r="GN6">
        <v>-2.4245362661989844E-14</v>
      </c>
      <c r="GP6">
        <v>-2.4245362661989844E-14</v>
      </c>
      <c r="GQ6" t="s">
        <v>1745</v>
      </c>
      <c r="GR6">
        <v>2023</v>
      </c>
      <c r="GS6" t="s">
        <v>3154</v>
      </c>
      <c r="GT6" s="6">
        <v>44943</v>
      </c>
      <c r="GU6">
        <v>3</v>
      </c>
      <c r="GV6">
        <v>-2.4245362661989844E-14</v>
      </c>
      <c r="GW6">
        <v>46946968</v>
      </c>
      <c r="GX6" t="s">
        <v>1765</v>
      </c>
      <c r="JK6" t="s">
        <v>2874</v>
      </c>
      <c r="JL6" t="s">
        <v>1786</v>
      </c>
      <c r="JM6">
        <v>2.8125499999999999</v>
      </c>
      <c r="JN6">
        <v>1.308325</v>
      </c>
      <c r="JO6" t="s">
        <v>1745</v>
      </c>
      <c r="JP6">
        <v>2025</v>
      </c>
      <c r="JQ6" t="s">
        <v>2875</v>
      </c>
      <c r="JR6" s="6">
        <v>46063</v>
      </c>
      <c r="JS6">
        <v>5</v>
      </c>
      <c r="JT6">
        <v>36150000</v>
      </c>
      <c r="JU6">
        <v>126255</v>
      </c>
      <c r="JV6" t="s">
        <v>2876</v>
      </c>
      <c r="JY6" t="s">
        <v>2147</v>
      </c>
      <c r="JZ6">
        <v>22.163627999999999</v>
      </c>
      <c r="KA6" t="s">
        <v>1786</v>
      </c>
      <c r="KB6">
        <v>4.8294360000000003</v>
      </c>
      <c r="KC6" t="s">
        <v>1742</v>
      </c>
      <c r="KD6">
        <v>2025</v>
      </c>
      <c r="KE6" t="s">
        <v>3253</v>
      </c>
      <c r="KF6" s="6">
        <v>46041</v>
      </c>
      <c r="KG6">
        <v>5</v>
      </c>
      <c r="KH6">
        <v>3900975616</v>
      </c>
      <c r="KI6">
        <v>156969</v>
      </c>
      <c r="KJ6" t="s">
        <v>2148</v>
      </c>
      <c r="LS6" t="s">
        <v>34</v>
      </c>
      <c r="LT6" t="s">
        <v>1786</v>
      </c>
      <c r="LU6">
        <v>6.6083000000000003E-2</v>
      </c>
      <c r="LV6">
        <v>0.246752</v>
      </c>
      <c r="LW6" t="s">
        <v>1845</v>
      </c>
      <c r="LX6">
        <v>2025</v>
      </c>
      <c r="LY6" t="s">
        <v>1883</v>
      </c>
      <c r="LZ6" s="6">
        <v>45848</v>
      </c>
      <c r="MA6">
        <v>5</v>
      </c>
      <c r="MB6">
        <v>10509179</v>
      </c>
      <c r="MC6">
        <v>101752</v>
      </c>
      <c r="MD6" t="s">
        <v>2723</v>
      </c>
      <c r="MG6" t="s">
        <v>1917</v>
      </c>
      <c r="MH6">
        <v>-2.4245362661989844E-14</v>
      </c>
      <c r="MJ6">
        <v>-2.4245362661989844E-14</v>
      </c>
      <c r="MK6" t="s">
        <v>1798</v>
      </c>
      <c r="ML6">
        <v>2025</v>
      </c>
      <c r="MM6" t="s">
        <v>1918</v>
      </c>
      <c r="MN6" s="6">
        <v>45975</v>
      </c>
      <c r="MO6">
        <v>5</v>
      </c>
      <c r="MP6">
        <v>-2.4245362661989844E-14</v>
      </c>
      <c r="MQ6">
        <v>128990</v>
      </c>
      <c r="MR6" t="s">
        <v>1919</v>
      </c>
      <c r="MW6" t="s">
        <v>5063</v>
      </c>
      <c r="MX6" t="s">
        <v>1786</v>
      </c>
      <c r="MY6">
        <v>0.876467</v>
      </c>
      <c r="MZ6">
        <v>1.161265</v>
      </c>
      <c r="NA6" t="s">
        <v>1845</v>
      </c>
      <c r="NB6">
        <v>2025</v>
      </c>
      <c r="NC6" t="s">
        <v>5064</v>
      </c>
      <c r="ND6" s="6">
        <v>45986</v>
      </c>
      <c r="NE6">
        <v>5</v>
      </c>
      <c r="NF6">
        <v>40218112.399999999</v>
      </c>
      <c r="NG6">
        <v>300730</v>
      </c>
      <c r="NH6" t="s">
        <v>5065</v>
      </c>
      <c r="NK6" t="s">
        <v>1854</v>
      </c>
      <c r="NL6">
        <v>8.8456980000000005</v>
      </c>
      <c r="NM6" t="s">
        <v>1786</v>
      </c>
      <c r="NN6">
        <v>0.57429200000000002</v>
      </c>
      <c r="NO6" t="s">
        <v>1809</v>
      </c>
      <c r="NP6">
        <v>2026</v>
      </c>
      <c r="NQ6" t="s">
        <v>4785</v>
      </c>
      <c r="NR6" s="6">
        <v>45945</v>
      </c>
      <c r="NS6">
        <v>5</v>
      </c>
      <c r="NT6">
        <v>430931456</v>
      </c>
      <c r="NU6">
        <v>101758</v>
      </c>
      <c r="NV6" t="s">
        <v>1856</v>
      </c>
      <c r="SQ6" t="s">
        <v>2290</v>
      </c>
      <c r="SR6" t="s">
        <v>1786</v>
      </c>
      <c r="SS6">
        <v>0.52819899999999997</v>
      </c>
      <c r="ST6">
        <v>0.219559</v>
      </c>
      <c r="SU6" t="s">
        <v>1742</v>
      </c>
      <c r="SV6">
        <v>2025</v>
      </c>
      <c r="SW6" t="s">
        <v>2291</v>
      </c>
      <c r="SX6" s="6">
        <v>46010</v>
      </c>
      <c r="SY6">
        <v>5</v>
      </c>
      <c r="SZ6">
        <v>1901326</v>
      </c>
      <c r="TA6">
        <v>12189467</v>
      </c>
      <c r="TB6" t="s">
        <v>2292</v>
      </c>
      <c r="TE6" t="s">
        <v>1054</v>
      </c>
      <c r="TF6">
        <v>9.575151</v>
      </c>
      <c r="TG6" t="s">
        <v>1786</v>
      </c>
      <c r="TH6">
        <v>0.60691300000000004</v>
      </c>
      <c r="TI6" t="s">
        <v>1762</v>
      </c>
      <c r="TJ6">
        <v>2025</v>
      </c>
      <c r="TK6" t="s">
        <v>2429</v>
      </c>
      <c r="TL6" s="6">
        <v>45904</v>
      </c>
      <c r="TM6">
        <v>5</v>
      </c>
      <c r="TN6">
        <v>104419416</v>
      </c>
      <c r="TO6">
        <v>101555</v>
      </c>
      <c r="TP6" t="s">
        <v>1848</v>
      </c>
      <c r="TU6" t="s">
        <v>2956</v>
      </c>
      <c r="TV6" t="s">
        <v>1786</v>
      </c>
      <c r="TW6">
        <v>5.2974E-2</v>
      </c>
      <c r="TX6">
        <v>4.4105109999999996</v>
      </c>
      <c r="TY6" t="s">
        <v>1742</v>
      </c>
      <c r="TZ6">
        <v>2025</v>
      </c>
      <c r="UA6" t="s">
        <v>2954</v>
      </c>
      <c r="UB6" s="6">
        <v>45968</v>
      </c>
      <c r="UC6">
        <v>3</v>
      </c>
      <c r="UD6">
        <v>2328000</v>
      </c>
      <c r="UE6">
        <v>112554</v>
      </c>
      <c r="UF6" t="s">
        <v>2957</v>
      </c>
      <c r="UI6" t="s">
        <v>2953</v>
      </c>
      <c r="UJ6">
        <v>0.56351700000000005</v>
      </c>
      <c r="UK6" t="s">
        <v>1786</v>
      </c>
      <c r="UL6">
        <v>1.2976E-2</v>
      </c>
      <c r="UM6" t="s">
        <v>1742</v>
      </c>
      <c r="UN6">
        <v>2025</v>
      </c>
      <c r="UO6" t="s">
        <v>2954</v>
      </c>
      <c r="UP6" s="6">
        <v>45968</v>
      </c>
      <c r="UQ6">
        <v>5</v>
      </c>
      <c r="UR6">
        <v>501000</v>
      </c>
      <c r="US6">
        <v>14038385</v>
      </c>
      <c r="UT6" t="s">
        <v>2955</v>
      </c>
      <c r="UY6" t="s">
        <v>5616</v>
      </c>
      <c r="VA6">
        <v>-2.4245362661989844E-14</v>
      </c>
      <c r="VB6">
        <v>-2.4245362661989844E-14</v>
      </c>
      <c r="VC6" t="s">
        <v>1762</v>
      </c>
      <c r="VD6">
        <v>2022</v>
      </c>
      <c r="VE6" t="s">
        <v>3741</v>
      </c>
      <c r="VF6" s="6">
        <v>44727</v>
      </c>
      <c r="VG6">
        <v>5</v>
      </c>
      <c r="VH6">
        <v>-2.4245362661989844E-14</v>
      </c>
      <c r="VI6">
        <v>33677995</v>
      </c>
      <c r="VJ6" t="s">
        <v>5617</v>
      </c>
      <c r="VM6" t="s">
        <v>2060</v>
      </c>
      <c r="VN6">
        <v>-2.4245362661989844E-14</v>
      </c>
      <c r="VP6">
        <v>-2.4245362661989844E-14</v>
      </c>
      <c r="VQ6" t="s">
        <v>1745</v>
      </c>
      <c r="VR6">
        <v>2022</v>
      </c>
      <c r="VS6" t="s">
        <v>2061</v>
      </c>
      <c r="VT6" s="6">
        <v>45016</v>
      </c>
      <c r="VU6">
        <v>5</v>
      </c>
      <c r="VV6">
        <v>-2.4245362661989844E-14</v>
      </c>
      <c r="VW6">
        <v>17387973</v>
      </c>
      <c r="VX6" t="s">
        <v>2062</v>
      </c>
    </row>
    <row r="7" spans="1:600" x14ac:dyDescent="0.25">
      <c r="CM7" t="s">
        <v>5568</v>
      </c>
      <c r="CO7">
        <v>-2.4245362661989844E-14</v>
      </c>
      <c r="CP7">
        <v>-2.4245362661989844E-14</v>
      </c>
      <c r="CQ7" t="s">
        <v>1745</v>
      </c>
      <c r="CR7">
        <v>2021</v>
      </c>
      <c r="CS7" t="s">
        <v>1954</v>
      </c>
      <c r="CT7" s="6">
        <v>44630</v>
      </c>
      <c r="CU7">
        <v>5</v>
      </c>
      <c r="CV7">
        <v>-2.4245362661989844E-14</v>
      </c>
      <c r="CW7">
        <v>23649310</v>
      </c>
      <c r="CX7" t="s">
        <v>5569</v>
      </c>
      <c r="DA7" t="s">
        <v>1958</v>
      </c>
      <c r="DB7">
        <v>-2.4245362661989844E-14</v>
      </c>
      <c r="DD7">
        <v>-2.4245362661989844E-14</v>
      </c>
      <c r="DE7" t="s">
        <v>1745</v>
      </c>
      <c r="DF7">
        <v>2021</v>
      </c>
      <c r="DG7" t="s">
        <v>1954</v>
      </c>
      <c r="DH7" s="6">
        <v>44630</v>
      </c>
      <c r="DI7">
        <v>5</v>
      </c>
      <c r="DJ7">
        <v>-2.4245362661989844E-14</v>
      </c>
      <c r="DK7">
        <v>381426</v>
      </c>
      <c r="DL7" t="s">
        <v>1959</v>
      </c>
      <c r="DQ7" t="s">
        <v>5034</v>
      </c>
      <c r="DS7">
        <v>-2.4245362661989844E-14</v>
      </c>
      <c r="DT7">
        <v>-2.4245362661989844E-14</v>
      </c>
      <c r="DU7" t="s">
        <v>1809</v>
      </c>
      <c r="DV7">
        <v>2022</v>
      </c>
      <c r="DW7" t="s">
        <v>4875</v>
      </c>
      <c r="DX7" s="6">
        <v>44635</v>
      </c>
      <c r="DY7">
        <v>5</v>
      </c>
      <c r="DZ7">
        <v>-2.4245362661989844E-14</v>
      </c>
      <c r="EA7">
        <v>69567091</v>
      </c>
      <c r="EB7" t="s">
        <v>5035</v>
      </c>
      <c r="EE7" t="s">
        <v>1932</v>
      </c>
      <c r="EF7">
        <v>-2.4245362661989844E-14</v>
      </c>
      <c r="EH7">
        <v>-2.4245362661989844E-14</v>
      </c>
      <c r="EI7" t="s">
        <v>1742</v>
      </c>
      <c r="EJ7">
        <v>2022</v>
      </c>
      <c r="EK7" t="s">
        <v>4873</v>
      </c>
      <c r="EL7" s="6">
        <v>44774</v>
      </c>
      <c r="EM7">
        <v>5</v>
      </c>
      <c r="EN7">
        <v>-2.4245362661989844E-14</v>
      </c>
      <c r="EO7">
        <v>227296</v>
      </c>
      <c r="EP7" t="s">
        <v>1934</v>
      </c>
      <c r="GM7" t="s">
        <v>1044</v>
      </c>
      <c r="GN7">
        <v>-2.4245362661989844E-14</v>
      </c>
      <c r="GP7">
        <v>-2.4245362661989844E-14</v>
      </c>
      <c r="GQ7" t="s">
        <v>1745</v>
      </c>
      <c r="GR7">
        <v>2025</v>
      </c>
      <c r="GS7" t="s">
        <v>3154</v>
      </c>
      <c r="GT7" s="6">
        <v>46007</v>
      </c>
      <c r="GU7">
        <v>3</v>
      </c>
      <c r="GV7">
        <v>-2.4245362661989844E-14</v>
      </c>
      <c r="GW7">
        <v>107071</v>
      </c>
      <c r="GX7" t="s">
        <v>3156</v>
      </c>
      <c r="JK7" t="s">
        <v>2877</v>
      </c>
      <c r="JL7" t="s">
        <v>1786</v>
      </c>
      <c r="JM7">
        <v>13.694044</v>
      </c>
      <c r="JN7">
        <v>1.0251479999999999</v>
      </c>
      <c r="JO7" t="s">
        <v>1745</v>
      </c>
      <c r="JP7">
        <v>2024</v>
      </c>
      <c r="JQ7" t="s">
        <v>2878</v>
      </c>
      <c r="JR7" s="6">
        <v>45735</v>
      </c>
      <c r="JS7">
        <v>5</v>
      </c>
      <c r="JT7">
        <v>21575000</v>
      </c>
      <c r="JU7">
        <v>10664510</v>
      </c>
      <c r="JV7" t="s">
        <v>2879</v>
      </c>
      <c r="JY7" t="s">
        <v>236</v>
      </c>
      <c r="JZ7">
        <v>19.020800000000001</v>
      </c>
      <c r="KA7" t="s">
        <v>1786</v>
      </c>
      <c r="KB7">
        <v>5.4268320000000001</v>
      </c>
      <c r="KC7" t="s">
        <v>1742</v>
      </c>
      <c r="KD7">
        <v>2025</v>
      </c>
      <c r="KE7" t="s">
        <v>3253</v>
      </c>
      <c r="KF7" s="6">
        <v>46041</v>
      </c>
      <c r="KG7">
        <v>5</v>
      </c>
      <c r="KH7">
        <v>3347812864</v>
      </c>
      <c r="KI7">
        <v>102782</v>
      </c>
      <c r="KJ7" t="s">
        <v>2149</v>
      </c>
      <c r="LS7" t="s">
        <v>5093</v>
      </c>
      <c r="LT7" t="s">
        <v>1786</v>
      </c>
      <c r="LU7">
        <v>1.29813</v>
      </c>
      <c r="LV7">
        <v>0.24332400000000001</v>
      </c>
      <c r="LW7" t="s">
        <v>1742</v>
      </c>
      <c r="LX7">
        <v>2025</v>
      </c>
      <c r="LY7" t="s">
        <v>5094</v>
      </c>
      <c r="LZ7" s="6">
        <v>45985</v>
      </c>
      <c r="MA7">
        <v>5</v>
      </c>
      <c r="MB7">
        <v>10433265.390000001</v>
      </c>
      <c r="MC7">
        <v>125320</v>
      </c>
      <c r="MD7" t="s">
        <v>5095</v>
      </c>
      <c r="MG7" t="s">
        <v>1920</v>
      </c>
      <c r="MH7">
        <v>-2.4245362661989844E-14</v>
      </c>
      <c r="MJ7">
        <v>-2.4245362661989844E-14</v>
      </c>
      <c r="MK7" t="s">
        <v>1805</v>
      </c>
      <c r="ML7">
        <v>2023</v>
      </c>
      <c r="MM7" t="s">
        <v>1921</v>
      </c>
      <c r="MN7" s="6">
        <v>45154</v>
      </c>
      <c r="MO7">
        <v>5</v>
      </c>
      <c r="MP7">
        <v>-2.4245362661989844E-14</v>
      </c>
      <c r="MQ7">
        <v>330418</v>
      </c>
      <c r="MR7" t="s">
        <v>1922</v>
      </c>
      <c r="MW7" t="s">
        <v>4156</v>
      </c>
      <c r="MX7" t="s">
        <v>1786</v>
      </c>
      <c r="MY7">
        <v>0.73559600000000003</v>
      </c>
      <c r="MZ7">
        <v>1.257139</v>
      </c>
      <c r="NA7" t="s">
        <v>1762</v>
      </c>
      <c r="NB7">
        <v>2026</v>
      </c>
      <c r="NC7" t="s">
        <v>4157</v>
      </c>
      <c r="ND7" s="6">
        <v>46071</v>
      </c>
      <c r="NE7">
        <v>5</v>
      </c>
      <c r="NF7">
        <v>40082624</v>
      </c>
      <c r="NG7">
        <v>61417091</v>
      </c>
      <c r="NH7" t="s">
        <v>4158</v>
      </c>
      <c r="NK7" t="s">
        <v>1885</v>
      </c>
      <c r="NL7">
        <v>6.0199699999999998</v>
      </c>
      <c r="NM7" t="s">
        <v>1786</v>
      </c>
      <c r="NN7">
        <v>0.36292000000000002</v>
      </c>
      <c r="NO7" t="s">
        <v>1809</v>
      </c>
      <c r="NP7">
        <v>2026</v>
      </c>
      <c r="NQ7" t="s">
        <v>4785</v>
      </c>
      <c r="NR7" s="6">
        <v>45945</v>
      </c>
      <c r="NS7">
        <v>5</v>
      </c>
      <c r="NT7">
        <v>293271872</v>
      </c>
      <c r="NU7">
        <v>216952</v>
      </c>
      <c r="NV7" t="s">
        <v>1886</v>
      </c>
      <c r="SQ7" t="s">
        <v>2293</v>
      </c>
      <c r="SR7" t="s">
        <v>1786</v>
      </c>
      <c r="SS7">
        <v>5.1459999999999999E-2</v>
      </c>
      <c r="ST7">
        <v>0.10642600000000001</v>
      </c>
      <c r="SU7" t="s">
        <v>1762</v>
      </c>
      <c r="SV7">
        <v>2025</v>
      </c>
      <c r="SW7" t="s">
        <v>2294</v>
      </c>
      <c r="SX7" s="6">
        <v>45917</v>
      </c>
      <c r="SY7">
        <v>5</v>
      </c>
      <c r="SZ7">
        <v>965773.33</v>
      </c>
      <c r="TA7">
        <v>23059377</v>
      </c>
      <c r="TB7" t="s">
        <v>2295</v>
      </c>
      <c r="TE7" t="s">
        <v>1088</v>
      </c>
      <c r="TF7">
        <v>8.2263549999999999</v>
      </c>
      <c r="TG7" t="s">
        <v>1786</v>
      </c>
      <c r="TH7">
        <v>0.44161899999999998</v>
      </c>
      <c r="TI7" t="s">
        <v>1762</v>
      </c>
      <c r="TJ7">
        <v>2025</v>
      </c>
      <c r="TK7" t="s">
        <v>2429</v>
      </c>
      <c r="TL7" s="6">
        <v>45904</v>
      </c>
      <c r="TM7">
        <v>5</v>
      </c>
      <c r="TN7">
        <v>89710456</v>
      </c>
      <c r="TO7">
        <v>100211</v>
      </c>
      <c r="TP7" t="s">
        <v>1851</v>
      </c>
      <c r="TU7" t="s">
        <v>2958</v>
      </c>
      <c r="TW7">
        <v>-2.4245362661989844E-14</v>
      </c>
      <c r="TX7">
        <v>-2.4245362661989844E-14</v>
      </c>
      <c r="TY7" t="s">
        <v>1745</v>
      </c>
      <c r="TZ7">
        <v>2025</v>
      </c>
      <c r="UA7" t="s">
        <v>2959</v>
      </c>
      <c r="UB7" s="6">
        <v>45793</v>
      </c>
      <c r="UC7">
        <v>3</v>
      </c>
      <c r="UD7">
        <v>-2.4245362661989844E-14</v>
      </c>
      <c r="UE7">
        <v>1475463</v>
      </c>
      <c r="UF7" t="s">
        <v>2960</v>
      </c>
      <c r="UI7" t="s">
        <v>30</v>
      </c>
      <c r="UJ7">
        <v>0.33743499999999998</v>
      </c>
      <c r="UK7" t="s">
        <v>1786</v>
      </c>
      <c r="UL7">
        <v>2.0534E-2</v>
      </c>
      <c r="UM7" t="s">
        <v>1742</v>
      </c>
      <c r="UN7">
        <v>2025</v>
      </c>
      <c r="UO7" t="s">
        <v>2954</v>
      </c>
      <c r="UP7" s="6">
        <v>45968</v>
      </c>
      <c r="UQ7">
        <v>5</v>
      </c>
      <c r="UR7">
        <v>300000</v>
      </c>
      <c r="US7">
        <v>10793041</v>
      </c>
      <c r="UT7" t="s">
        <v>5624</v>
      </c>
      <c r="UY7" t="s">
        <v>5618</v>
      </c>
      <c r="VA7">
        <v>-2.4245362661989844E-14</v>
      </c>
      <c r="VB7">
        <v>-2.4245362661989844E-14</v>
      </c>
      <c r="VC7" t="s">
        <v>1762</v>
      </c>
      <c r="VD7">
        <v>2022</v>
      </c>
      <c r="VE7" t="s">
        <v>3741</v>
      </c>
      <c r="VF7" s="6">
        <v>44727</v>
      </c>
      <c r="VG7">
        <v>5</v>
      </c>
      <c r="VH7">
        <v>-2.4245362661989844E-14</v>
      </c>
      <c r="VI7">
        <v>1162801</v>
      </c>
      <c r="VJ7" t="s">
        <v>5619</v>
      </c>
      <c r="VM7" t="s">
        <v>2063</v>
      </c>
      <c r="VN7">
        <v>-2.4245362661989844E-14</v>
      </c>
      <c r="VP7">
        <v>-2.4245362661989844E-14</v>
      </c>
      <c r="VQ7" t="s">
        <v>1745</v>
      </c>
      <c r="VR7">
        <v>2021</v>
      </c>
      <c r="VS7" t="s">
        <v>2064</v>
      </c>
      <c r="VT7" s="6">
        <v>44643</v>
      </c>
      <c r="VU7">
        <v>5</v>
      </c>
      <c r="VV7">
        <v>-2.4245362661989844E-14</v>
      </c>
      <c r="VW7">
        <v>45765447</v>
      </c>
      <c r="VX7" t="s">
        <v>2065</v>
      </c>
    </row>
    <row r="8" spans="1:600" x14ac:dyDescent="0.25">
      <c r="CM8" t="s">
        <v>5570</v>
      </c>
      <c r="CO8">
        <v>-2.4245362661989844E-14</v>
      </c>
      <c r="CP8">
        <v>-2.4245362661989844E-14</v>
      </c>
      <c r="CQ8" t="s">
        <v>1745</v>
      </c>
      <c r="CR8">
        <v>2023</v>
      </c>
      <c r="CS8" t="s">
        <v>5571</v>
      </c>
      <c r="CT8" s="6">
        <v>45387</v>
      </c>
      <c r="CU8">
        <v>5</v>
      </c>
      <c r="CV8">
        <v>-2.4245362661989844E-14</v>
      </c>
      <c r="CW8">
        <v>108393</v>
      </c>
      <c r="CX8" t="s">
        <v>5572</v>
      </c>
      <c r="DA8" t="s">
        <v>1960</v>
      </c>
      <c r="DB8">
        <v>-2.4245362661989844E-14</v>
      </c>
      <c r="DD8">
        <v>-2.4245362661989844E-14</v>
      </c>
      <c r="DE8" t="s">
        <v>1745</v>
      </c>
      <c r="DF8">
        <v>2021</v>
      </c>
      <c r="DG8" t="s">
        <v>1954</v>
      </c>
      <c r="DH8" s="6">
        <v>44630</v>
      </c>
      <c r="DI8">
        <v>5</v>
      </c>
      <c r="DJ8">
        <v>-2.4245362661989844E-14</v>
      </c>
      <c r="DK8">
        <v>216410</v>
      </c>
      <c r="DL8" t="s">
        <v>1961</v>
      </c>
      <c r="DQ8" t="s">
        <v>5036</v>
      </c>
      <c r="DS8">
        <v>-2.4245362661989844E-14</v>
      </c>
      <c r="DT8">
        <v>-2.4245362661989844E-14</v>
      </c>
      <c r="DU8" t="s">
        <v>1809</v>
      </c>
      <c r="DV8">
        <v>2022</v>
      </c>
      <c r="DW8" t="s">
        <v>4875</v>
      </c>
      <c r="DX8" s="6">
        <v>44635</v>
      </c>
      <c r="DY8">
        <v>5</v>
      </c>
      <c r="DZ8">
        <v>-2.4245362661989844E-14</v>
      </c>
      <c r="EA8">
        <v>7350034</v>
      </c>
      <c r="EB8" t="s">
        <v>5037</v>
      </c>
      <c r="EE8" t="s">
        <v>4876</v>
      </c>
      <c r="EF8">
        <v>-2.4245362661989844E-14</v>
      </c>
      <c r="EH8">
        <v>-2.4245362661989844E-14</v>
      </c>
      <c r="EI8" t="s">
        <v>1745</v>
      </c>
      <c r="EJ8">
        <v>2022</v>
      </c>
      <c r="EK8" t="s">
        <v>4877</v>
      </c>
      <c r="EL8" s="6">
        <v>44749</v>
      </c>
      <c r="EM8">
        <v>5</v>
      </c>
      <c r="EN8">
        <v>-2.4245362661989844E-14</v>
      </c>
      <c r="EO8">
        <v>929324</v>
      </c>
      <c r="EP8" t="s">
        <v>4878</v>
      </c>
      <c r="JK8" t="s">
        <v>306</v>
      </c>
      <c r="JL8" t="s">
        <v>2416</v>
      </c>
      <c r="JM8">
        <v>2.0662310000000002</v>
      </c>
      <c r="JN8">
        <v>0.63925799999999999</v>
      </c>
      <c r="JO8" t="s">
        <v>1762</v>
      </c>
      <c r="JP8">
        <v>2025</v>
      </c>
      <c r="JQ8" t="s">
        <v>2880</v>
      </c>
      <c r="JR8" s="6">
        <v>45921</v>
      </c>
      <c r="JS8">
        <v>5</v>
      </c>
      <c r="JT8">
        <v>21326292</v>
      </c>
      <c r="JU8">
        <v>963610</v>
      </c>
      <c r="JV8" t="s">
        <v>2881</v>
      </c>
      <c r="JY8" t="s">
        <v>3746</v>
      </c>
      <c r="JZ8">
        <v>5.4489999999999998</v>
      </c>
      <c r="KB8">
        <v>-2.4245362661989844E-14</v>
      </c>
      <c r="KC8" t="s">
        <v>1742</v>
      </c>
      <c r="KD8">
        <v>2025</v>
      </c>
      <c r="KE8" t="s">
        <v>3253</v>
      </c>
      <c r="KF8" s="6">
        <v>46041</v>
      </c>
      <c r="KG8">
        <v>5</v>
      </c>
      <c r="KH8">
        <v>959067584</v>
      </c>
      <c r="KI8">
        <v>199844</v>
      </c>
      <c r="KJ8" t="s">
        <v>3747</v>
      </c>
      <c r="LS8" t="s">
        <v>4486</v>
      </c>
      <c r="LT8" t="s">
        <v>1786</v>
      </c>
      <c r="LU8">
        <v>0.205987</v>
      </c>
      <c r="LV8">
        <v>0.19661200000000001</v>
      </c>
      <c r="LW8" t="s">
        <v>1845</v>
      </c>
      <c r="LX8">
        <v>2025</v>
      </c>
      <c r="LY8" t="s">
        <v>4487</v>
      </c>
      <c r="LZ8" s="6">
        <v>46071</v>
      </c>
      <c r="MA8">
        <v>5</v>
      </c>
      <c r="MB8">
        <v>8106309</v>
      </c>
      <c r="MC8">
        <v>100499</v>
      </c>
      <c r="MD8" t="s">
        <v>4488</v>
      </c>
      <c r="MG8" t="s">
        <v>1923</v>
      </c>
      <c r="MH8">
        <v>-2.4245362661989844E-14</v>
      </c>
      <c r="MJ8">
        <v>-2.4245362661989844E-14</v>
      </c>
      <c r="MK8" t="s">
        <v>1745</v>
      </c>
      <c r="ML8">
        <v>2022</v>
      </c>
      <c r="MM8" t="s">
        <v>1924</v>
      </c>
      <c r="MN8" s="6">
        <v>45042</v>
      </c>
      <c r="MO8">
        <v>5</v>
      </c>
      <c r="MP8">
        <v>-2.4245362661989844E-14</v>
      </c>
      <c r="MQ8">
        <v>812686</v>
      </c>
      <c r="MR8" t="s">
        <v>1925</v>
      </c>
      <c r="MW8" t="s">
        <v>5066</v>
      </c>
      <c r="MX8" t="s">
        <v>1786</v>
      </c>
      <c r="MY8">
        <v>1.680712</v>
      </c>
      <c r="MZ8">
        <v>0.77414799999999995</v>
      </c>
      <c r="NA8" t="s">
        <v>1845</v>
      </c>
      <c r="NB8">
        <v>2025</v>
      </c>
      <c r="NC8" t="s">
        <v>5067</v>
      </c>
      <c r="ND8" s="6">
        <v>46077</v>
      </c>
      <c r="NE8">
        <v>5</v>
      </c>
      <c r="NF8">
        <v>24682936</v>
      </c>
      <c r="NG8">
        <v>159323</v>
      </c>
      <c r="NH8" t="s">
        <v>5068</v>
      </c>
      <c r="NK8" t="s">
        <v>985</v>
      </c>
      <c r="NL8">
        <v>4.9311600000000002</v>
      </c>
      <c r="NM8" t="s">
        <v>1786</v>
      </c>
      <c r="NN8">
        <v>0.91935999999999996</v>
      </c>
      <c r="NO8" t="s">
        <v>1809</v>
      </c>
      <c r="NP8">
        <v>2026</v>
      </c>
      <c r="NQ8" t="s">
        <v>4785</v>
      </c>
      <c r="NR8" s="6">
        <v>45945</v>
      </c>
      <c r="NS8">
        <v>5</v>
      </c>
      <c r="NT8">
        <v>240228864</v>
      </c>
      <c r="NU8">
        <v>100864</v>
      </c>
      <c r="NV8" t="s">
        <v>1971</v>
      </c>
      <c r="SQ8" t="s">
        <v>3429</v>
      </c>
      <c r="SR8" t="s">
        <v>1769</v>
      </c>
      <c r="SS8">
        <v>3.9</v>
      </c>
      <c r="ST8">
        <v>0.82429600000000003</v>
      </c>
      <c r="SU8" t="s">
        <v>1745</v>
      </c>
      <c r="SV8">
        <v>2024</v>
      </c>
      <c r="SW8" t="s">
        <v>3430</v>
      </c>
      <c r="SX8" s="6">
        <v>45698</v>
      </c>
      <c r="SY8">
        <v>5</v>
      </c>
      <c r="SZ8">
        <v>709380.51</v>
      </c>
      <c r="TA8">
        <v>13706960</v>
      </c>
      <c r="TB8" t="s">
        <v>3431</v>
      </c>
      <c r="TE8" t="s">
        <v>2422</v>
      </c>
      <c r="TF8">
        <v>6.7159490000000002</v>
      </c>
      <c r="TG8" t="s">
        <v>1786</v>
      </c>
      <c r="TH8">
        <v>1.053868</v>
      </c>
      <c r="TI8" t="s">
        <v>1762</v>
      </c>
      <c r="TJ8">
        <v>2025</v>
      </c>
      <c r="TK8" t="s">
        <v>2429</v>
      </c>
      <c r="TL8" s="6">
        <v>45904</v>
      </c>
      <c r="TM8">
        <v>5</v>
      </c>
      <c r="TN8">
        <v>73239104</v>
      </c>
      <c r="TO8">
        <v>115519</v>
      </c>
      <c r="TP8" t="s">
        <v>2424</v>
      </c>
      <c r="UI8" t="s">
        <v>1789</v>
      </c>
      <c r="UJ8">
        <v>-2.4245362661989844E-14</v>
      </c>
      <c r="UL8">
        <v>-2.4245362661989844E-14</v>
      </c>
      <c r="UM8" t="s">
        <v>1742</v>
      </c>
      <c r="UN8">
        <v>2022</v>
      </c>
      <c r="UO8" t="s">
        <v>5625</v>
      </c>
      <c r="UP8" s="6">
        <v>44873</v>
      </c>
      <c r="UQ8">
        <v>5</v>
      </c>
      <c r="UR8">
        <v>-2.4245362661989844E-14</v>
      </c>
      <c r="US8">
        <v>117929</v>
      </c>
      <c r="UT8" t="s">
        <v>1791</v>
      </c>
      <c r="UY8" t="s">
        <v>5620</v>
      </c>
      <c r="VA8">
        <v>-2.4245362661989844E-14</v>
      </c>
      <c r="VB8">
        <v>-2.4245362661989844E-14</v>
      </c>
      <c r="VC8" t="s">
        <v>1762</v>
      </c>
      <c r="VD8">
        <v>2022</v>
      </c>
      <c r="VE8" t="s">
        <v>3741</v>
      </c>
      <c r="VF8" s="6">
        <v>44727</v>
      </c>
      <c r="VG8">
        <v>5</v>
      </c>
      <c r="VH8">
        <v>-2.4245362661989844E-14</v>
      </c>
      <c r="VI8">
        <v>305354</v>
      </c>
      <c r="VJ8" t="s">
        <v>5621</v>
      </c>
      <c r="VM8" t="s">
        <v>2066</v>
      </c>
      <c r="VN8">
        <v>-2.4245362661989844E-14</v>
      </c>
      <c r="VP8">
        <v>-2.4245362661989844E-14</v>
      </c>
      <c r="VQ8" t="s">
        <v>1745</v>
      </c>
      <c r="VR8">
        <v>2021</v>
      </c>
      <c r="VS8" t="s">
        <v>2067</v>
      </c>
      <c r="VT8" s="6">
        <v>44636</v>
      </c>
      <c r="VU8">
        <v>5</v>
      </c>
      <c r="VV8">
        <v>-2.4245362661989844E-14</v>
      </c>
      <c r="VW8">
        <v>26321205</v>
      </c>
      <c r="VX8" t="s">
        <v>2068</v>
      </c>
    </row>
    <row r="9" spans="1:600" x14ac:dyDescent="0.25">
      <c r="CM9" t="s">
        <v>2826</v>
      </c>
      <c r="CO9">
        <v>-2.4245362661989844E-14</v>
      </c>
      <c r="CP9">
        <v>-2.4245362661989844E-14</v>
      </c>
      <c r="CQ9" t="s">
        <v>1762</v>
      </c>
      <c r="CR9">
        <v>2024</v>
      </c>
      <c r="CS9" t="s">
        <v>5573</v>
      </c>
      <c r="CT9" s="6">
        <v>45573</v>
      </c>
      <c r="CU9">
        <v>5</v>
      </c>
      <c r="CV9">
        <v>-2.4245362661989844E-14</v>
      </c>
      <c r="CW9">
        <v>179551</v>
      </c>
      <c r="CX9" t="s">
        <v>2828</v>
      </c>
      <c r="DA9" t="s">
        <v>1962</v>
      </c>
      <c r="DB9">
        <v>-2.4245362661989844E-14</v>
      </c>
      <c r="DD9">
        <v>-2.4245362661989844E-14</v>
      </c>
      <c r="DE9" t="s">
        <v>1745</v>
      </c>
      <c r="DF9">
        <v>2025</v>
      </c>
      <c r="DG9" t="s">
        <v>1963</v>
      </c>
      <c r="DH9" s="6">
        <v>45806</v>
      </c>
      <c r="DI9">
        <v>5</v>
      </c>
      <c r="DJ9">
        <v>-2.4245362661989844E-14</v>
      </c>
      <c r="DK9">
        <v>194585</v>
      </c>
      <c r="DL9" t="s">
        <v>1964</v>
      </c>
      <c r="DQ9" t="s">
        <v>1885</v>
      </c>
      <c r="DS9">
        <v>-2.4245362661989844E-14</v>
      </c>
      <c r="DT9">
        <v>-2.4245362661989844E-14</v>
      </c>
      <c r="DU9" t="s">
        <v>1809</v>
      </c>
      <c r="DV9">
        <v>2022</v>
      </c>
      <c r="DW9" t="s">
        <v>4875</v>
      </c>
      <c r="DX9" s="6">
        <v>44635</v>
      </c>
      <c r="DY9">
        <v>5</v>
      </c>
      <c r="DZ9">
        <v>-2.4245362661989844E-14</v>
      </c>
      <c r="EA9">
        <v>216952</v>
      </c>
      <c r="EB9" t="s">
        <v>1886</v>
      </c>
      <c r="EE9" t="s">
        <v>4879</v>
      </c>
      <c r="EF9">
        <v>-2.4245362661989844E-14</v>
      </c>
      <c r="EH9">
        <v>-2.4245362661989844E-14</v>
      </c>
      <c r="EI9" t="s">
        <v>1742</v>
      </c>
      <c r="EJ9">
        <v>2022</v>
      </c>
      <c r="EK9" t="s">
        <v>4873</v>
      </c>
      <c r="EL9" s="6">
        <v>44774</v>
      </c>
      <c r="EM9">
        <v>5</v>
      </c>
      <c r="EN9">
        <v>-2.4245362661989844E-14</v>
      </c>
      <c r="EO9">
        <v>17594141</v>
      </c>
      <c r="EP9" t="s">
        <v>4880</v>
      </c>
      <c r="JK9" t="s">
        <v>2882</v>
      </c>
      <c r="JL9" t="s">
        <v>1769</v>
      </c>
      <c r="JM9">
        <v>2.8060939999999999</v>
      </c>
      <c r="JN9">
        <v>0.76549599999999995</v>
      </c>
      <c r="JO9" t="s">
        <v>1745</v>
      </c>
      <c r="JP9">
        <v>2025</v>
      </c>
      <c r="JQ9" t="s">
        <v>2883</v>
      </c>
      <c r="JR9" s="6">
        <v>46048</v>
      </c>
      <c r="JS9">
        <v>5</v>
      </c>
      <c r="JT9">
        <v>21232000</v>
      </c>
      <c r="JU9">
        <v>216867</v>
      </c>
      <c r="JV9" t="s">
        <v>2884</v>
      </c>
      <c r="JY9" t="s">
        <v>3748</v>
      </c>
      <c r="JZ9">
        <v>0.28446199999999999</v>
      </c>
      <c r="KA9" t="s">
        <v>1786</v>
      </c>
      <c r="KB9">
        <v>0.82704999999999995</v>
      </c>
      <c r="KC9" t="s">
        <v>1742</v>
      </c>
      <c r="KD9">
        <v>2025</v>
      </c>
      <c r="KE9" t="s">
        <v>3253</v>
      </c>
      <c r="KF9" s="6">
        <v>46041</v>
      </c>
      <c r="KG9">
        <v>5</v>
      </c>
      <c r="KH9">
        <v>50067588</v>
      </c>
      <c r="KI9">
        <v>169936</v>
      </c>
      <c r="KJ9" t="s">
        <v>3749</v>
      </c>
      <c r="LS9" t="s">
        <v>2933</v>
      </c>
      <c r="LT9" t="s">
        <v>1769</v>
      </c>
      <c r="LU9">
        <v>0.79573300000000002</v>
      </c>
      <c r="LV9">
        <v>0.29065099999999999</v>
      </c>
      <c r="LW9" t="s">
        <v>1742</v>
      </c>
      <c r="LX9">
        <v>2025</v>
      </c>
      <c r="LY9" t="s">
        <v>2934</v>
      </c>
      <c r="LZ9" s="6">
        <v>45959</v>
      </c>
      <c r="MA9">
        <v>5</v>
      </c>
      <c r="MB9">
        <v>1679960</v>
      </c>
      <c r="MC9">
        <v>20264138</v>
      </c>
      <c r="MD9" t="s">
        <v>2935</v>
      </c>
      <c r="MG9" t="s">
        <v>1926</v>
      </c>
      <c r="MH9">
        <v>-2.4245362661989844E-14</v>
      </c>
      <c r="MJ9">
        <v>-2.4245362661989844E-14</v>
      </c>
      <c r="MK9" t="s">
        <v>1805</v>
      </c>
      <c r="ML9">
        <v>2024</v>
      </c>
      <c r="MM9" t="s">
        <v>1927</v>
      </c>
      <c r="MN9" s="6">
        <v>45534</v>
      </c>
      <c r="MO9">
        <v>5</v>
      </c>
      <c r="MP9">
        <v>-2.4245362661989844E-14</v>
      </c>
      <c r="MQ9">
        <v>21796045</v>
      </c>
      <c r="MR9" t="s">
        <v>1928</v>
      </c>
      <c r="MW9" t="s">
        <v>5069</v>
      </c>
      <c r="MX9" t="s">
        <v>1786</v>
      </c>
      <c r="MY9">
        <v>0.71675299999999997</v>
      </c>
      <c r="MZ9">
        <v>0.49625599999999997</v>
      </c>
      <c r="NA9" t="s">
        <v>1762</v>
      </c>
      <c r="NB9">
        <v>2025</v>
      </c>
      <c r="NC9" t="s">
        <v>5070</v>
      </c>
      <c r="ND9" s="6">
        <v>45890</v>
      </c>
      <c r="NE9">
        <v>5</v>
      </c>
      <c r="NF9">
        <v>16755125.779999999</v>
      </c>
      <c r="NG9">
        <v>1197437</v>
      </c>
      <c r="NH9" t="s">
        <v>5071</v>
      </c>
      <c r="NK9" t="s">
        <v>4786</v>
      </c>
      <c r="NL9">
        <v>2.8587180000000001</v>
      </c>
      <c r="NM9" t="s">
        <v>1786</v>
      </c>
      <c r="NN9">
        <v>6.4415699999999996</v>
      </c>
      <c r="NO9" t="s">
        <v>1809</v>
      </c>
      <c r="NP9">
        <v>2026</v>
      </c>
      <c r="NQ9" t="s">
        <v>4785</v>
      </c>
      <c r="NR9" s="6">
        <v>45945</v>
      </c>
      <c r="NS9">
        <v>5</v>
      </c>
      <c r="NT9">
        <v>139266736</v>
      </c>
      <c r="NU9">
        <v>53523229</v>
      </c>
      <c r="NV9" t="s">
        <v>4787</v>
      </c>
      <c r="SQ9" t="s">
        <v>2283</v>
      </c>
      <c r="SS9">
        <v>-2.4245362661989844E-14</v>
      </c>
      <c r="ST9">
        <v>-2.4245362661989844E-14</v>
      </c>
      <c r="SU9" t="s">
        <v>1745</v>
      </c>
      <c r="SV9">
        <v>2021</v>
      </c>
      <c r="SW9" t="s">
        <v>2284</v>
      </c>
      <c r="SX9" s="6">
        <v>44693</v>
      </c>
      <c r="SY9">
        <v>5</v>
      </c>
      <c r="SZ9">
        <v>-2.4245362661989844E-14</v>
      </c>
      <c r="TA9">
        <v>100060</v>
      </c>
      <c r="TB9" t="s">
        <v>2285</v>
      </c>
      <c r="TE9" t="s">
        <v>3925</v>
      </c>
      <c r="TF9">
        <v>6.2074160000000003</v>
      </c>
      <c r="TG9" t="s">
        <v>1786</v>
      </c>
      <c r="TH9">
        <v>1.5893189999999999</v>
      </c>
      <c r="TI9" t="s">
        <v>1762</v>
      </c>
      <c r="TJ9">
        <v>2025</v>
      </c>
      <c r="TK9" t="s">
        <v>2429</v>
      </c>
      <c r="TL9" s="6">
        <v>45904</v>
      </c>
      <c r="TM9">
        <v>5</v>
      </c>
      <c r="TN9">
        <v>67693424</v>
      </c>
      <c r="TO9">
        <v>112185</v>
      </c>
      <c r="TP9" t="s">
        <v>3927</v>
      </c>
      <c r="UI9" t="s">
        <v>5626</v>
      </c>
      <c r="UJ9">
        <v>-2.4245362661989844E-14</v>
      </c>
      <c r="UL9">
        <v>-2.4245362661989844E-14</v>
      </c>
      <c r="UM9" t="s">
        <v>1745</v>
      </c>
      <c r="UN9">
        <v>2023</v>
      </c>
      <c r="UO9" t="s">
        <v>5627</v>
      </c>
      <c r="UP9" s="6">
        <v>45062</v>
      </c>
      <c r="UQ9">
        <v>5</v>
      </c>
      <c r="UR9">
        <v>-2.4245362661989844E-14</v>
      </c>
      <c r="US9">
        <v>26753613</v>
      </c>
      <c r="UT9" t="s">
        <v>5628</v>
      </c>
      <c r="UY9" t="s">
        <v>5622</v>
      </c>
      <c r="VA9">
        <v>-2.4245362661989844E-14</v>
      </c>
      <c r="VB9">
        <v>-2.4245362661989844E-14</v>
      </c>
      <c r="VC9" t="s">
        <v>1762</v>
      </c>
      <c r="VD9">
        <v>2022</v>
      </c>
      <c r="VE9" t="s">
        <v>3741</v>
      </c>
      <c r="VF9" s="6">
        <v>44727</v>
      </c>
      <c r="VG9">
        <v>5</v>
      </c>
      <c r="VH9">
        <v>-2.4245362661989844E-14</v>
      </c>
      <c r="VI9">
        <v>328704</v>
      </c>
      <c r="VJ9" t="s">
        <v>5623</v>
      </c>
      <c r="VM9" t="s">
        <v>2069</v>
      </c>
      <c r="VN9">
        <v>-2.4245362661989844E-14</v>
      </c>
      <c r="VP9">
        <v>-2.4245362661989844E-14</v>
      </c>
      <c r="VQ9" t="s">
        <v>1745</v>
      </c>
      <c r="VR9">
        <v>2025</v>
      </c>
      <c r="VS9" t="s">
        <v>2070</v>
      </c>
      <c r="VT9" s="6">
        <v>45771</v>
      </c>
      <c r="VU9">
        <v>5</v>
      </c>
      <c r="VV9">
        <v>-2.4245362661989844E-14</v>
      </c>
      <c r="VW9">
        <v>104368</v>
      </c>
      <c r="VX9" t="s">
        <v>2071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953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954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955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956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957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958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959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960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961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962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963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964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965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966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967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968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969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970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971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972</v>
      </c>
      <c r="AE2" s="3" t="s">
        <v>973</v>
      </c>
      <c r="BI2" s="3" t="s">
        <v>974</v>
      </c>
      <c r="CM2" s="3" t="s">
        <v>975</v>
      </c>
      <c r="DQ2" s="3" t="s">
        <v>387</v>
      </c>
      <c r="EU2" s="3" t="s">
        <v>168</v>
      </c>
      <c r="FY2" s="3" t="s">
        <v>976</v>
      </c>
      <c r="HC2" s="3" t="s">
        <v>977</v>
      </c>
      <c r="IG2" s="3" t="s">
        <v>27</v>
      </c>
      <c r="JK2" s="3" t="s">
        <v>978</v>
      </c>
      <c r="KO2" s="3" t="s">
        <v>979</v>
      </c>
      <c r="LS2" s="3" t="s">
        <v>169</v>
      </c>
      <c r="MW2" s="3" t="s">
        <v>980</v>
      </c>
      <c r="OA2" s="3" t="s">
        <v>677</v>
      </c>
      <c r="PE2" s="3" t="s">
        <v>981</v>
      </c>
      <c r="QI2" s="3" t="s">
        <v>982</v>
      </c>
      <c r="RM2" s="3" t="s">
        <v>983</v>
      </c>
      <c r="SQ2" s="3" t="s">
        <v>984</v>
      </c>
      <c r="TU2" s="3" t="s">
        <v>524</v>
      </c>
      <c r="UY2" s="3" t="s">
        <v>985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_xll.BDS("CG US Equity","SUPPLY_CHAIN_SUPPLIERS_ALL_DATA","cols=12;rows=5")</f>
        <v>SLG US Equity</v>
      </c>
      <c r="B5" t="s">
        <v>1769</v>
      </c>
      <c r="C5">
        <v>2.3414929999999998</v>
      </c>
      <c r="D5">
        <v>0.61569499999999999</v>
      </c>
      <c r="E5" t="s">
        <v>1745</v>
      </c>
      <c r="F5">
        <v>2024</v>
      </c>
      <c r="G5" t="s">
        <v>4353</v>
      </c>
      <c r="H5" s="6">
        <v>45706</v>
      </c>
      <c r="I5">
        <v>5</v>
      </c>
      <c r="J5">
        <v>5187999</v>
      </c>
      <c r="K5">
        <v>231753</v>
      </c>
      <c r="L5" t="s">
        <v>4354</v>
      </c>
      <c r="O5" t="str">
        <f>_xll.BDS("CG US Equity","SUPPLY_CHAIN_CUSTOMERS_ALL_DATA","cols=12;rows=5")</f>
        <v>POOL US Equity</v>
      </c>
      <c r="P5">
        <v>8.2254889999999996</v>
      </c>
      <c r="Q5" t="s">
        <v>1786</v>
      </c>
      <c r="R5">
        <v>12</v>
      </c>
      <c r="S5" t="s">
        <v>1745</v>
      </c>
      <c r="T5">
        <v>2024</v>
      </c>
      <c r="U5" t="s">
        <v>4238</v>
      </c>
      <c r="V5" s="6">
        <v>45715</v>
      </c>
      <c r="W5">
        <v>5</v>
      </c>
      <c r="X5">
        <v>112068176</v>
      </c>
      <c r="Y5">
        <v>171077</v>
      </c>
      <c r="Z5" t="s">
        <v>4239</v>
      </c>
      <c r="AE5" t="str">
        <f>_xll.BDS("CAT US Equity","SUPPLY_CHAIN_SUPPLIERS_ALL_DATA","cols=12;rows=5")</f>
        <v>SHA0 GR Equity</v>
      </c>
      <c r="AF5" t="s">
        <v>1786</v>
      </c>
      <c r="AG5">
        <v>1.419</v>
      </c>
      <c r="AH5">
        <v>0.95231399999999999</v>
      </c>
      <c r="AI5" t="s">
        <v>1809</v>
      </c>
      <c r="AJ5">
        <v>2025</v>
      </c>
      <c r="AK5" t="s">
        <v>1812</v>
      </c>
      <c r="AL5" s="6">
        <v>45852</v>
      </c>
      <c r="AM5">
        <v>5</v>
      </c>
      <c r="AN5">
        <v>88479496</v>
      </c>
      <c r="AO5">
        <v>47298477</v>
      </c>
      <c r="AP5" t="s">
        <v>5580</v>
      </c>
      <c r="AS5" t="str">
        <f>_xll.BDS("CAT US Equity","SUPPLY_CHAIN_CUSTOMERS_ALL_DATA","cols=12;rows=5")</f>
        <v>XOM US Equity</v>
      </c>
      <c r="AT5">
        <v>0.78914899999999999</v>
      </c>
      <c r="AU5" t="s">
        <v>1820</v>
      </c>
      <c r="AV5">
        <v>2.1518000000000002</v>
      </c>
      <c r="AW5" t="s">
        <v>1762</v>
      </c>
      <c r="AX5">
        <v>2025</v>
      </c>
      <c r="AY5" t="s">
        <v>1812</v>
      </c>
      <c r="AZ5" s="6">
        <v>45876</v>
      </c>
      <c r="BA5">
        <v>5</v>
      </c>
      <c r="BB5">
        <v>130754096</v>
      </c>
      <c r="BC5">
        <v>100546</v>
      </c>
      <c r="BD5" t="s">
        <v>2125</v>
      </c>
      <c r="BI5" t="str">
        <f>_xll.BDS("ICPXQ US Equity","SUPPLY_CHAIN_SUPPLIERS_ALL_DATA")</f>
        <v>#N/A N/A</v>
      </c>
      <c r="BW5" t="str">
        <f>_xll.BDS("ICPXQ US Equity","SUPPLY_CHAIN_CUSTOMERS_ALL_DATA")</f>
        <v>#N/A N/A</v>
      </c>
      <c r="CM5" t="str">
        <f>_xll.BDS("LPT US Equity","SUPPLY_CHAIN_SUPPLIERS_ALL_DATA")</f>
        <v>#N/A N/A</v>
      </c>
      <c r="DA5" t="str">
        <f>_xll.BDS("LPT US Equity","SUPPLY_CHAIN_CUSTOMERS_ALL_DATA")</f>
        <v>#N/A N/A</v>
      </c>
      <c r="DQ5" t="str">
        <f>_xll.BDS("LITE US Equity","SUPPLY_CHAIN_SUPPLIERS_ALL_DATA","cols=12;rows=5")</f>
        <v>FN US Equity</v>
      </c>
      <c r="DR5" t="s">
        <v>1786</v>
      </c>
      <c r="DS5">
        <v>6.1975280000000001</v>
      </c>
      <c r="DT5">
        <v>16.504712999999999</v>
      </c>
      <c r="DU5" t="s">
        <v>1762</v>
      </c>
      <c r="DV5">
        <v>2026</v>
      </c>
      <c r="DW5" t="s">
        <v>3920</v>
      </c>
      <c r="DX5" s="6">
        <v>46080</v>
      </c>
      <c r="DY5">
        <v>5</v>
      </c>
      <c r="DZ5">
        <v>70211048</v>
      </c>
      <c r="EA5">
        <v>9858567</v>
      </c>
      <c r="EB5" t="s">
        <v>3921</v>
      </c>
      <c r="EE5" t="str">
        <f>_xll.BDS("LITE US Equity","SUPPLY_CHAIN_CUSTOMERS_ALL_DATA","cols=12;rows=5")</f>
        <v>CIEN US Equity</v>
      </c>
      <c r="EF5">
        <v>22.006122999999999</v>
      </c>
      <c r="EG5" t="s">
        <v>1786</v>
      </c>
      <c r="EH5">
        <v>16.399232999999999</v>
      </c>
      <c r="EI5" t="s">
        <v>1809</v>
      </c>
      <c r="EJ5">
        <v>2026</v>
      </c>
      <c r="EK5" t="s">
        <v>3442</v>
      </c>
      <c r="EL5" s="6">
        <v>45967</v>
      </c>
      <c r="EM5">
        <v>5</v>
      </c>
      <c r="EN5">
        <v>117468680</v>
      </c>
      <c r="EO5">
        <v>211040</v>
      </c>
      <c r="EP5" t="s">
        <v>2676</v>
      </c>
      <c r="EU5" t="str">
        <f>_xll.BDS("INTC US Equity","SUPPLY_CHAIN_SUPPLIERS_ALL_DATA","cols=12;rows=5")</f>
        <v>ASML NA Equity</v>
      </c>
      <c r="EV5" t="s">
        <v>1820</v>
      </c>
      <c r="EW5">
        <v>9.5417889999999996</v>
      </c>
      <c r="EX5">
        <v>34.554512000000003</v>
      </c>
      <c r="EY5" t="s">
        <v>1762</v>
      </c>
      <c r="EZ5">
        <v>2025</v>
      </c>
      <c r="FA5" t="s">
        <v>3003</v>
      </c>
      <c r="FB5" s="6">
        <v>45979</v>
      </c>
      <c r="FC5">
        <v>5</v>
      </c>
      <c r="FD5">
        <v>812256358.32000005</v>
      </c>
      <c r="FE5">
        <v>163205</v>
      </c>
      <c r="FF5" t="s">
        <v>3004</v>
      </c>
      <c r="FI5" t="str">
        <f>_xll.BDS("INTC US Equity","SUPPLY_CHAIN_CUSTOMERS_ALL_DATA","cols=12;rows=5")</f>
        <v>DELL US Equity</v>
      </c>
      <c r="FJ5">
        <v>19.035398000000001</v>
      </c>
      <c r="FK5" t="s">
        <v>1786</v>
      </c>
      <c r="FL5">
        <v>12.156269</v>
      </c>
      <c r="FM5" t="s">
        <v>1845</v>
      </c>
      <c r="FN5">
        <v>2025</v>
      </c>
      <c r="FO5" t="s">
        <v>2245</v>
      </c>
      <c r="FP5" s="6">
        <v>46048</v>
      </c>
      <c r="FQ5">
        <v>5</v>
      </c>
      <c r="FR5">
        <v>2602900224</v>
      </c>
      <c r="FS5">
        <v>50985605</v>
      </c>
      <c r="FT5" t="s">
        <v>3506</v>
      </c>
      <c r="FY5" t="str">
        <f>_xll.BDS("DK US Equity","SUPPLY_CHAIN_SUPPLIERS_ALL_DATA","cols=12;rows=5")</f>
        <v>FANG US Equity</v>
      </c>
      <c r="FZ5" t="s">
        <v>1786</v>
      </c>
      <c r="GA5">
        <v>11</v>
      </c>
      <c r="GB5">
        <v>10.06889</v>
      </c>
      <c r="GC5" t="s">
        <v>1745</v>
      </c>
      <c r="GD5">
        <v>2024</v>
      </c>
      <c r="GE5" t="s">
        <v>2961</v>
      </c>
      <c r="GF5" s="6">
        <v>45714</v>
      </c>
      <c r="GG5">
        <v>5</v>
      </c>
      <c r="GH5">
        <v>302912512</v>
      </c>
      <c r="GI5">
        <v>29182972</v>
      </c>
      <c r="GJ5" t="s">
        <v>2962</v>
      </c>
      <c r="GM5" t="str">
        <f>_xll.BDS("DK US Equity","SUPPLY_CHAIN_CUSTOMERS_ALL_DATA","cols=12;rows=4")</f>
        <v>DKL US Equity</v>
      </c>
      <c r="GN5">
        <v>0.35350700000000002</v>
      </c>
      <c r="GO5" t="s">
        <v>1786</v>
      </c>
      <c r="GP5">
        <v>7.3581849999999998</v>
      </c>
      <c r="GQ5" t="s">
        <v>1745</v>
      </c>
      <c r="GR5">
        <v>2024</v>
      </c>
      <c r="GS5" t="s">
        <v>2967</v>
      </c>
      <c r="GT5" s="6">
        <v>45714</v>
      </c>
      <c r="GU5">
        <v>4</v>
      </c>
      <c r="GV5">
        <v>10575000</v>
      </c>
      <c r="GW5">
        <v>32015916</v>
      </c>
      <c r="GX5" t="s">
        <v>2968</v>
      </c>
      <c r="HC5" t="str">
        <f>_xll.BDS("RVTY US Equity","SUPPLY_CHAIN_SUPPLIERS_ALL_DATA","cols=12;rows=5")</f>
        <v>UPS US Equity</v>
      </c>
      <c r="HD5" t="s">
        <v>1786</v>
      </c>
      <c r="HE5">
        <v>5.5890000000000002E-2</v>
      </c>
      <c r="HF5">
        <v>3.6901579999999998</v>
      </c>
      <c r="HG5" t="s">
        <v>1742</v>
      </c>
      <c r="HH5">
        <v>2025</v>
      </c>
      <c r="HI5" t="s">
        <v>1821</v>
      </c>
      <c r="HJ5" s="6">
        <v>46007</v>
      </c>
      <c r="HK5">
        <v>5</v>
      </c>
      <c r="HL5">
        <v>11968844</v>
      </c>
      <c r="HM5">
        <v>143027</v>
      </c>
      <c r="HN5" t="s">
        <v>1822</v>
      </c>
      <c r="HQ5" t="str">
        <f>_xll.BDS("RVTY US Equity","SUPPLY_CHAIN_CUSTOMERS_ALL_DATA","cols=12;rows=5")</f>
        <v>002971 CH Equity</v>
      </c>
      <c r="HR5">
        <v>-2.4245362661989844E-14</v>
      </c>
      <c r="HT5">
        <v>-2.4245362661989844E-14</v>
      </c>
      <c r="HU5" t="s">
        <v>1805</v>
      </c>
      <c r="HV5">
        <v>2025</v>
      </c>
      <c r="HW5" t="s">
        <v>1903</v>
      </c>
      <c r="HX5" s="6">
        <v>45888</v>
      </c>
      <c r="HY5">
        <v>5</v>
      </c>
      <c r="HZ5">
        <v>-2.4245362661989844E-14</v>
      </c>
      <c r="IA5">
        <v>61902583</v>
      </c>
      <c r="IB5" t="s">
        <v>1904</v>
      </c>
      <c r="IG5" t="str">
        <f>_xll.BDS("NLY US Equity","SUPPLY_CHAIN_SUPPLIERS_ALL_DATA")</f>
        <v>#N/A N/A</v>
      </c>
      <c r="IU5" t="str">
        <f>_xll.BDS("NLY US Equity","SUPPLY_CHAIN_CUSTOMERS_ALL_DATA")</f>
        <v>#N/A N/A</v>
      </c>
      <c r="JK5" t="str">
        <f>_xll.BDS("AAIC US Equity","SUPPLY_CHAIN_SUPPLIERS_ALL_DATA")</f>
        <v>#N/A N/A</v>
      </c>
      <c r="JY5" t="str">
        <f>_xll.BDS("AAIC US Equity","SUPPLY_CHAIN_CUSTOMERS_ALL_DATA")</f>
        <v>#N/A N/A</v>
      </c>
      <c r="KO5" t="str">
        <f>_xll.BDS("PACW US Equity","SUPPLY_CHAIN_SUPPLIERS_ALL_DATA")</f>
        <v>#N/A N/A</v>
      </c>
      <c r="LC5" t="str">
        <f>_xll.BDS("PACW US Equity","SUPPLY_CHAIN_CUSTOMERS_ALL_DATA","cols=12;rows=1")</f>
        <v>SNX US Equity</v>
      </c>
      <c r="LD5">
        <v>-2.4245362661989844E-14</v>
      </c>
      <c r="LF5">
        <v>-2.4245362661989844E-14</v>
      </c>
      <c r="LG5" t="s">
        <v>1745</v>
      </c>
      <c r="LH5">
        <v>2021</v>
      </c>
      <c r="LI5" t="s">
        <v>3645</v>
      </c>
      <c r="LJ5" s="6">
        <v>44656</v>
      </c>
      <c r="LK5">
        <v>1</v>
      </c>
      <c r="LL5">
        <v>-2.4245362661989844E-14</v>
      </c>
      <c r="LM5">
        <v>1499717</v>
      </c>
      <c r="LN5" t="s">
        <v>1864</v>
      </c>
      <c r="LS5" t="str">
        <f>_xll.BDS("BX US Equity","SUPPLY_CHAIN_SUPPLIERS_ALL_DATA","cols=12;rows=5")</f>
        <v>ORCL US Equity</v>
      </c>
      <c r="LT5" t="s">
        <v>1786</v>
      </c>
      <c r="LU5">
        <v>3.7003000000000001E-2</v>
      </c>
      <c r="LV5">
        <v>0.33128000000000002</v>
      </c>
      <c r="LW5" t="s">
        <v>1845</v>
      </c>
      <c r="LX5">
        <v>2025</v>
      </c>
      <c r="LY5" t="s">
        <v>1883</v>
      </c>
      <c r="LZ5" s="6">
        <v>45848</v>
      </c>
      <c r="MA5">
        <v>5</v>
      </c>
      <c r="MB5">
        <v>5884587</v>
      </c>
      <c r="MC5">
        <v>101752</v>
      </c>
      <c r="MD5" t="s">
        <v>2723</v>
      </c>
      <c r="MG5" t="str">
        <f>_xll.BDS("BX US Equity","SUPPLY_CHAIN_CUSTOMERS_ALL_DATA","cols=12;rows=5")</f>
        <v>002284 CH Equity</v>
      </c>
      <c r="MH5">
        <v>-2.4245362661989844E-14</v>
      </c>
      <c r="MJ5">
        <v>-2.4245362661989844E-14</v>
      </c>
      <c r="MK5" t="s">
        <v>1745</v>
      </c>
      <c r="ML5">
        <v>2024</v>
      </c>
      <c r="MM5" t="s">
        <v>3705</v>
      </c>
      <c r="MN5" s="6">
        <v>45744</v>
      </c>
      <c r="MO5">
        <v>5</v>
      </c>
      <c r="MP5">
        <v>-2.4245362661989844E-14</v>
      </c>
      <c r="MQ5">
        <v>15069854</v>
      </c>
      <c r="MR5" t="s">
        <v>3192</v>
      </c>
      <c r="MW5" t="str">
        <f>_xll.BDS("CRXA US Equity","SUPPLY_CHAIN_SUPPLIERS_ALL_DATA")</f>
        <v>#N/A N/A</v>
      </c>
      <c r="NK5" t="str">
        <f>_xll.BDS("CRXA US Equity","SUPPLY_CHAIN_CUSTOMERS_ALL_DATA")</f>
        <v>#N/A N/A</v>
      </c>
      <c r="OA5" t="str">
        <f>_xll.BDS("MDT US Equity","SUPPLY_CHAIN_SUPPLIERS_ALL_DATA","cols=12;rows=5")</f>
        <v>FLEX US Equity</v>
      </c>
      <c r="OB5" t="s">
        <v>1786</v>
      </c>
      <c r="OC5">
        <v>1.2190190000000001</v>
      </c>
      <c r="OD5">
        <v>2.8758149999999998</v>
      </c>
      <c r="OE5" t="s">
        <v>1742</v>
      </c>
      <c r="OF5">
        <v>2025</v>
      </c>
      <c r="OG5" t="s">
        <v>2387</v>
      </c>
      <c r="OH5" s="6">
        <v>45763</v>
      </c>
      <c r="OI5">
        <v>5</v>
      </c>
      <c r="OJ5">
        <v>79918888</v>
      </c>
      <c r="OK5">
        <v>136547</v>
      </c>
      <c r="OL5" t="s">
        <v>2388</v>
      </c>
      <c r="OO5" t="str">
        <f>_xll.BDS("MDT US Equity","SUPPLY_CHAIN_CUSTOMERS_ALL_DATA","cols=12;rows=5")</f>
        <v>4104 TT Equity</v>
      </c>
      <c r="OP5">
        <v>0.20070099999999999</v>
      </c>
      <c r="OQ5" t="s">
        <v>1786</v>
      </c>
      <c r="OR5">
        <v>32.397697000000001</v>
      </c>
      <c r="OS5" t="s">
        <v>1745</v>
      </c>
      <c r="OT5">
        <v>2024</v>
      </c>
      <c r="OU5" t="s">
        <v>3546</v>
      </c>
      <c r="OV5" s="6">
        <v>45814</v>
      </c>
      <c r="OW5">
        <v>5</v>
      </c>
      <c r="OX5">
        <v>17028014.890000001</v>
      </c>
      <c r="OY5">
        <v>7324380</v>
      </c>
      <c r="OZ5" t="s">
        <v>3547</v>
      </c>
      <c r="PE5" t="str">
        <f>_xll.BDS("SFD US Equity","SUPPLY_CHAIN_SUPPLIERS_ALL_DATA","cols=12;rows=3")</f>
        <v>2177736D US Equity</v>
      </c>
      <c r="PG5">
        <v>-2.4245362661989844E-14</v>
      </c>
      <c r="PH5">
        <v>-2.4245362661989844E-14</v>
      </c>
      <c r="PI5" t="s">
        <v>1745</v>
      </c>
      <c r="PJ5">
        <v>2023</v>
      </c>
      <c r="PK5" t="s">
        <v>3076</v>
      </c>
      <c r="PL5" s="6">
        <v>45663</v>
      </c>
      <c r="PM5">
        <v>3</v>
      </c>
      <c r="PN5">
        <v>-2.4245362661989844E-14</v>
      </c>
      <c r="PO5">
        <v>70578700</v>
      </c>
      <c r="PP5" t="s">
        <v>3077</v>
      </c>
      <c r="PS5" t="str">
        <f>_xll.BDS("SFD US Equity","SUPPLY_CHAIN_CUSTOMERS_ALL_DATA","cols=12;rows=5")</f>
        <v>WMT US Equity</v>
      </c>
      <c r="PT5">
        <v>14.257106</v>
      </c>
      <c r="PU5" t="s">
        <v>1786</v>
      </c>
      <c r="PV5">
        <v>0.39398699999999998</v>
      </c>
      <c r="PW5" t="s">
        <v>1745</v>
      </c>
      <c r="PX5">
        <v>2024</v>
      </c>
      <c r="PY5" t="s">
        <v>3081</v>
      </c>
      <c r="PZ5" s="6">
        <v>45741</v>
      </c>
      <c r="QA5">
        <v>5</v>
      </c>
      <c r="QB5">
        <v>504059968</v>
      </c>
      <c r="QC5">
        <v>101616</v>
      </c>
      <c r="QD5" t="s">
        <v>2098</v>
      </c>
      <c r="QI5" t="str">
        <f>_xll.BDS("UDR US Equity","SUPPLY_CHAIN_SUPPLIERS_ALL_DATA","cols=12;rows=3")</f>
        <v>1538739D SS Equity</v>
      </c>
      <c r="QK5">
        <v>-2.4245362661989844E-14</v>
      </c>
      <c r="QL5">
        <v>-2.4245362661989844E-14</v>
      </c>
      <c r="QM5" t="s">
        <v>1745</v>
      </c>
      <c r="QN5">
        <v>2025</v>
      </c>
      <c r="QO5" t="s">
        <v>5611</v>
      </c>
      <c r="QP5" s="6">
        <v>45685</v>
      </c>
      <c r="QQ5">
        <v>3</v>
      </c>
      <c r="QR5">
        <v>-2.4245362661989844E-14</v>
      </c>
      <c r="QS5">
        <v>55011248</v>
      </c>
      <c r="QT5" t="s">
        <v>5612</v>
      </c>
      <c r="QW5" t="str">
        <f>_xll.BDS("UDR US Equity","SUPPLY_CHAIN_CUSTOMERS_ALL_DATA","cols=12;rows=1")</f>
        <v>FFB SJ Equity</v>
      </c>
      <c r="QX5">
        <v>-2.4245362661989844E-14</v>
      </c>
      <c r="QZ5">
        <v>-2.4245362661989844E-14</v>
      </c>
      <c r="RA5" t="s">
        <v>1745</v>
      </c>
      <c r="RB5">
        <v>2024</v>
      </c>
      <c r="RC5" t="s">
        <v>1988</v>
      </c>
      <c r="RD5" s="6">
        <v>45533</v>
      </c>
      <c r="RE5">
        <v>1</v>
      </c>
      <c r="RF5">
        <v>-2.4245362661989844E-14</v>
      </c>
      <c r="RG5">
        <v>17309550</v>
      </c>
      <c r="RH5" t="s">
        <v>1989</v>
      </c>
      <c r="RM5" t="str">
        <f>_xll.BDS("ICGC US Equity","SUPPLY_CHAIN_SUPPLIERS_ALL_DATA")</f>
        <v>#N/A N/A</v>
      </c>
      <c r="SA5" t="str">
        <f>_xll.BDS("ICGC US Equity","SUPPLY_CHAIN_CUSTOMERS_ALL_DATA")</f>
        <v>#N/A N/A</v>
      </c>
      <c r="SQ5" t="str">
        <f>_xll.BDS("NTLDQ US Equity","SUPPLY_CHAIN_SUPPLIERS_ALL_DATA")</f>
        <v>#N/A N/A</v>
      </c>
      <c r="TE5" t="str">
        <f>_xll.BDS("NTLDQ US Equity","SUPPLY_CHAIN_CUSTOMERS_ALL_DATA")</f>
        <v>#N/A N/A</v>
      </c>
      <c r="TU5" t="str">
        <f>_xll.BDS("LEN US Equity","SUPPLY_CHAIN_SUPPLIERS_ALL_DATA","cols=12;rows=5")</f>
        <v>WLK US Equity</v>
      </c>
      <c r="TV5" t="s">
        <v>1786</v>
      </c>
      <c r="TW5">
        <v>5.5694879999999998</v>
      </c>
      <c r="TX5">
        <v>2.3995069999999998</v>
      </c>
      <c r="TY5" t="s">
        <v>1762</v>
      </c>
      <c r="TZ5">
        <v>2025</v>
      </c>
      <c r="UA5" t="s">
        <v>4750</v>
      </c>
      <c r="UB5" s="6">
        <v>45922</v>
      </c>
      <c r="UC5">
        <v>5</v>
      </c>
      <c r="UD5">
        <v>164466976</v>
      </c>
      <c r="UE5">
        <v>7785692</v>
      </c>
      <c r="UF5" t="s">
        <v>4751</v>
      </c>
      <c r="UI5" t="str">
        <f>_xll.BDS("LEN US Equity","SUPPLY_CHAIN_CUSTOMERS_ALL_DATA")</f>
        <v>#N/A N/A</v>
      </c>
      <c r="UY5" t="str">
        <f>_xll.BDS("KR US Equity","SUPPLY_CHAIN_SUPPLIERS_ALL_DATA","cols=12;rows=5")</f>
        <v>CAH US Equity</v>
      </c>
      <c r="UZ5" t="s">
        <v>1786</v>
      </c>
      <c r="VA5">
        <v>3.1469290000000001</v>
      </c>
      <c r="VB5">
        <v>7.2451629999999998</v>
      </c>
      <c r="VC5" t="s">
        <v>1845</v>
      </c>
      <c r="VD5">
        <v>2025</v>
      </c>
      <c r="VE5" t="s">
        <v>3843</v>
      </c>
      <c r="VF5" s="6">
        <v>45954</v>
      </c>
      <c r="VG5">
        <v>5</v>
      </c>
      <c r="VH5">
        <v>1893160960</v>
      </c>
      <c r="VI5">
        <v>102782</v>
      </c>
      <c r="VJ5" t="s">
        <v>2149</v>
      </c>
      <c r="VM5" t="str">
        <f>_xll.BDS("KR US Equity","SUPPLY_CHAIN_CUSTOMERS_ALL_DATA","cols=12;rows=1")</f>
        <v>TTD US Equity</v>
      </c>
      <c r="VN5">
        <v>-2.4245362661989844E-14</v>
      </c>
      <c r="VP5">
        <v>-2.4245362661989844E-14</v>
      </c>
      <c r="VQ5" t="s">
        <v>1742</v>
      </c>
      <c r="VR5">
        <v>2025</v>
      </c>
      <c r="VS5" t="s">
        <v>3611</v>
      </c>
      <c r="VT5" s="6">
        <v>45971</v>
      </c>
      <c r="VU5">
        <v>1</v>
      </c>
      <c r="VV5">
        <v>-2.4245362661989844E-14</v>
      </c>
      <c r="VW5">
        <v>39234675</v>
      </c>
      <c r="VX5" t="s">
        <v>3612</v>
      </c>
    </row>
    <row r="6" spans="1:600" x14ac:dyDescent="0.25">
      <c r="A6" t="s">
        <v>2978</v>
      </c>
      <c r="B6" t="s">
        <v>1769</v>
      </c>
      <c r="C6">
        <v>0.89158300000000001</v>
      </c>
      <c r="D6">
        <v>0.19925799999999999</v>
      </c>
      <c r="E6" t="s">
        <v>1745</v>
      </c>
      <c r="F6">
        <v>2024</v>
      </c>
      <c r="G6" t="s">
        <v>2979</v>
      </c>
      <c r="H6" s="6">
        <v>45694</v>
      </c>
      <c r="I6">
        <v>5</v>
      </c>
      <c r="J6">
        <v>1679000.25</v>
      </c>
      <c r="K6">
        <v>106543</v>
      </c>
      <c r="L6" t="s">
        <v>2980</v>
      </c>
      <c r="O6" t="s">
        <v>4240</v>
      </c>
      <c r="P6">
        <v>0.112706</v>
      </c>
      <c r="Q6" t="s">
        <v>1786</v>
      </c>
      <c r="R6">
        <v>3.4763000000000002E-2</v>
      </c>
      <c r="S6" t="s">
        <v>1809</v>
      </c>
      <c r="T6">
        <v>2025</v>
      </c>
      <c r="U6" t="s">
        <v>4241</v>
      </c>
      <c r="V6" s="6">
        <v>45852</v>
      </c>
      <c r="W6">
        <v>5</v>
      </c>
      <c r="X6">
        <v>1103394.56</v>
      </c>
      <c r="Y6">
        <v>14866501</v>
      </c>
      <c r="Z6" t="s">
        <v>4242</v>
      </c>
      <c r="AE6" t="s">
        <v>3414</v>
      </c>
      <c r="AF6" t="s">
        <v>1786</v>
      </c>
      <c r="AG6">
        <v>1.527676</v>
      </c>
      <c r="AH6">
        <v>0.570496</v>
      </c>
      <c r="AI6" t="s">
        <v>1845</v>
      </c>
      <c r="AJ6">
        <v>2025</v>
      </c>
      <c r="AK6" t="s">
        <v>3415</v>
      </c>
      <c r="AL6" s="6">
        <v>45975</v>
      </c>
      <c r="AM6">
        <v>5</v>
      </c>
      <c r="AN6">
        <v>66309173.990000002</v>
      </c>
      <c r="AO6">
        <v>114345</v>
      </c>
      <c r="AP6" t="s">
        <v>3416</v>
      </c>
      <c r="AS6" t="s">
        <v>5408</v>
      </c>
      <c r="AT6">
        <v>0.73597800000000002</v>
      </c>
      <c r="AU6" t="s">
        <v>1786</v>
      </c>
      <c r="AV6">
        <v>1.1793929999999999</v>
      </c>
      <c r="AW6" t="s">
        <v>1762</v>
      </c>
      <c r="AX6">
        <v>2025</v>
      </c>
      <c r="AY6" t="s">
        <v>1812</v>
      </c>
      <c r="AZ6" s="6">
        <v>45876</v>
      </c>
      <c r="BA6">
        <v>5</v>
      </c>
      <c r="BB6">
        <v>121944192</v>
      </c>
      <c r="BC6">
        <v>12409566</v>
      </c>
      <c r="BD6" t="s">
        <v>5409</v>
      </c>
      <c r="DQ6" t="s">
        <v>3774</v>
      </c>
      <c r="DR6" t="s">
        <v>1786</v>
      </c>
      <c r="DS6">
        <v>3.4268779999999999</v>
      </c>
      <c r="DT6">
        <v>1.2308840000000001</v>
      </c>
      <c r="DU6" t="s">
        <v>1809</v>
      </c>
      <c r="DV6">
        <v>2025</v>
      </c>
      <c r="DW6" t="s">
        <v>3775</v>
      </c>
      <c r="DX6" s="6">
        <v>45861</v>
      </c>
      <c r="DY6">
        <v>5</v>
      </c>
      <c r="DZ6">
        <v>3725144.19</v>
      </c>
      <c r="EA6">
        <v>14336256</v>
      </c>
      <c r="EB6" t="s">
        <v>3776</v>
      </c>
      <c r="EE6" t="s">
        <v>246</v>
      </c>
      <c r="EF6">
        <v>21.00882</v>
      </c>
      <c r="EG6" t="s">
        <v>1820</v>
      </c>
      <c r="EH6">
        <v>0.46818799999999999</v>
      </c>
      <c r="EI6" t="s">
        <v>1809</v>
      </c>
      <c r="EJ6">
        <v>2026</v>
      </c>
      <c r="EK6" t="s">
        <v>3442</v>
      </c>
      <c r="EL6" s="6">
        <v>45967</v>
      </c>
      <c r="EM6">
        <v>5</v>
      </c>
      <c r="EN6">
        <v>112145080</v>
      </c>
      <c r="EO6">
        <v>46946968</v>
      </c>
      <c r="EP6" t="s">
        <v>1765</v>
      </c>
      <c r="EU6" t="s">
        <v>2170</v>
      </c>
      <c r="EV6" t="s">
        <v>1786</v>
      </c>
      <c r="EW6">
        <v>2.9053209999999998</v>
      </c>
      <c r="EX6">
        <v>8.9932630000000007</v>
      </c>
      <c r="EY6" t="s">
        <v>1845</v>
      </c>
      <c r="EZ6">
        <v>2024</v>
      </c>
      <c r="FA6" t="s">
        <v>3435</v>
      </c>
      <c r="FB6" s="6">
        <v>45741</v>
      </c>
      <c r="FC6">
        <v>5</v>
      </c>
      <c r="FD6">
        <v>779959532.52999997</v>
      </c>
      <c r="FE6">
        <v>153737</v>
      </c>
      <c r="FF6" t="s">
        <v>2171</v>
      </c>
      <c r="FI6" t="s">
        <v>204</v>
      </c>
      <c r="FJ6">
        <v>12.003353000000001</v>
      </c>
      <c r="FK6" t="s">
        <v>1786</v>
      </c>
      <c r="FL6">
        <v>14.056165999999999</v>
      </c>
      <c r="FM6" t="s">
        <v>1845</v>
      </c>
      <c r="FN6">
        <v>2025</v>
      </c>
      <c r="FO6" t="s">
        <v>2245</v>
      </c>
      <c r="FP6" s="6">
        <v>46048</v>
      </c>
      <c r="FQ6">
        <v>5</v>
      </c>
      <c r="FR6">
        <v>1641338496</v>
      </c>
      <c r="FS6">
        <v>100732</v>
      </c>
      <c r="FT6" t="s">
        <v>2825</v>
      </c>
      <c r="FY6" t="s">
        <v>2963</v>
      </c>
      <c r="FZ6" t="s">
        <v>1786</v>
      </c>
      <c r="GA6">
        <v>87.889999000000003</v>
      </c>
      <c r="GB6">
        <v>8.742801</v>
      </c>
      <c r="GC6" t="s">
        <v>1745</v>
      </c>
      <c r="GD6">
        <v>2024</v>
      </c>
      <c r="GE6" t="s">
        <v>2964</v>
      </c>
      <c r="GF6" s="6">
        <v>45842</v>
      </c>
      <c r="GG6">
        <v>5</v>
      </c>
      <c r="GH6">
        <v>255200500.56</v>
      </c>
      <c r="GI6">
        <v>193849</v>
      </c>
      <c r="GJ6" t="s">
        <v>2965</v>
      </c>
      <c r="GM6" t="s">
        <v>3537</v>
      </c>
      <c r="GN6">
        <v>-2.4245362661989844E-14</v>
      </c>
      <c r="GP6">
        <v>-2.4245362661989844E-14</v>
      </c>
      <c r="GQ6" t="s">
        <v>1745</v>
      </c>
      <c r="GR6">
        <v>2024</v>
      </c>
      <c r="GS6" t="s">
        <v>6450</v>
      </c>
      <c r="GT6" s="6">
        <v>45324</v>
      </c>
      <c r="GU6">
        <v>4</v>
      </c>
      <c r="GV6">
        <v>-2.4245362661989844E-14</v>
      </c>
      <c r="GW6">
        <v>962207</v>
      </c>
      <c r="GX6" t="s">
        <v>3539</v>
      </c>
      <c r="HC6" t="s">
        <v>2909</v>
      </c>
      <c r="HD6" t="s">
        <v>1786</v>
      </c>
      <c r="HE6">
        <v>0.31914300000000001</v>
      </c>
      <c r="HF6">
        <v>0.73328199999999999</v>
      </c>
      <c r="HG6" t="s">
        <v>1809</v>
      </c>
      <c r="HH6">
        <v>2025</v>
      </c>
      <c r="HI6" t="s">
        <v>2910</v>
      </c>
      <c r="HJ6" s="6">
        <v>45958</v>
      </c>
      <c r="HK6">
        <v>5</v>
      </c>
      <c r="HL6">
        <v>2353606.12</v>
      </c>
      <c r="HM6">
        <v>111769</v>
      </c>
      <c r="HN6" t="s">
        <v>2911</v>
      </c>
      <c r="HQ6" t="s">
        <v>1905</v>
      </c>
      <c r="HR6">
        <v>-2.4245362661989844E-14</v>
      </c>
      <c r="HT6">
        <v>-2.4245362661989844E-14</v>
      </c>
      <c r="HU6" t="s">
        <v>1745</v>
      </c>
      <c r="HV6">
        <v>2022</v>
      </c>
      <c r="HW6" t="s">
        <v>1906</v>
      </c>
      <c r="HX6" s="6">
        <v>45015</v>
      </c>
      <c r="HY6">
        <v>5</v>
      </c>
      <c r="HZ6">
        <v>-2.4245362661989844E-14</v>
      </c>
      <c r="IA6">
        <v>21694063</v>
      </c>
      <c r="IB6" t="s">
        <v>1907</v>
      </c>
      <c r="LS6" t="s">
        <v>4796</v>
      </c>
      <c r="LT6" t="s">
        <v>1769</v>
      </c>
      <c r="LU6">
        <v>0.597939</v>
      </c>
      <c r="LV6">
        <v>5.9714000000000003E-2</v>
      </c>
      <c r="LW6" t="s">
        <v>1745</v>
      </c>
      <c r="LX6">
        <v>2024</v>
      </c>
      <c r="LY6" t="s">
        <v>4797</v>
      </c>
      <c r="LZ6" s="6">
        <v>45694</v>
      </c>
      <c r="MA6">
        <v>5</v>
      </c>
      <c r="MB6">
        <v>957052.25</v>
      </c>
      <c r="MC6">
        <v>103579</v>
      </c>
      <c r="MD6" t="s">
        <v>4798</v>
      </c>
      <c r="MG6" t="s">
        <v>3706</v>
      </c>
      <c r="MH6">
        <v>-2.4245362661989844E-14</v>
      </c>
      <c r="MJ6">
        <v>-2.4245362661989844E-14</v>
      </c>
      <c r="MK6" t="s">
        <v>1805</v>
      </c>
      <c r="ML6">
        <v>2025</v>
      </c>
      <c r="MM6" t="s">
        <v>3707</v>
      </c>
      <c r="MN6" s="6">
        <v>45894</v>
      </c>
      <c r="MO6">
        <v>5</v>
      </c>
      <c r="MP6">
        <v>-2.4245362661989844E-14</v>
      </c>
      <c r="MQ6">
        <v>15149577</v>
      </c>
      <c r="MR6" t="s">
        <v>3708</v>
      </c>
      <c r="OA6" t="s">
        <v>2369</v>
      </c>
      <c r="OB6" t="s">
        <v>1786</v>
      </c>
      <c r="OC6">
        <v>2.3008839999999999</v>
      </c>
      <c r="OD6">
        <v>1.9882420000000001</v>
      </c>
      <c r="OE6" t="s">
        <v>1845</v>
      </c>
      <c r="OF6">
        <v>2024</v>
      </c>
      <c r="OG6" t="s">
        <v>2370</v>
      </c>
      <c r="OH6" s="6">
        <v>45694</v>
      </c>
      <c r="OI6">
        <v>5</v>
      </c>
      <c r="OJ6">
        <v>58573604</v>
      </c>
      <c r="OK6">
        <v>349266</v>
      </c>
      <c r="OL6" t="s">
        <v>2371</v>
      </c>
      <c r="OO6" t="s">
        <v>3548</v>
      </c>
      <c r="OP6">
        <v>-2.4245362661989844E-14</v>
      </c>
      <c r="OR6">
        <v>-2.4245362661989844E-14</v>
      </c>
      <c r="OS6" t="s">
        <v>1745</v>
      </c>
      <c r="OT6">
        <v>2021</v>
      </c>
      <c r="OU6" t="s">
        <v>3549</v>
      </c>
      <c r="OV6" s="6">
        <v>44676</v>
      </c>
      <c r="OW6">
        <v>5</v>
      </c>
      <c r="OX6">
        <v>-2.4245362661989844E-14</v>
      </c>
      <c r="OY6">
        <v>24598477</v>
      </c>
      <c r="OZ6" t="s">
        <v>3550</v>
      </c>
      <c r="PE6" t="s">
        <v>3078</v>
      </c>
      <c r="PG6">
        <v>-2.4245362661989844E-14</v>
      </c>
      <c r="PH6">
        <v>-2.4245362661989844E-14</v>
      </c>
      <c r="PI6" t="s">
        <v>1745</v>
      </c>
      <c r="PJ6">
        <v>2023</v>
      </c>
      <c r="PK6" t="s">
        <v>3076</v>
      </c>
      <c r="PL6" s="6">
        <v>45663</v>
      </c>
      <c r="PM6">
        <v>3</v>
      </c>
      <c r="PN6">
        <v>-2.4245362661989844E-14</v>
      </c>
      <c r="PO6">
        <v>31670564</v>
      </c>
      <c r="PP6" t="s">
        <v>3079</v>
      </c>
      <c r="PS6" t="s">
        <v>985</v>
      </c>
      <c r="PT6">
        <v>4.0602980000000004</v>
      </c>
      <c r="PU6" t="s">
        <v>1786</v>
      </c>
      <c r="PV6">
        <v>0.58830000000000005</v>
      </c>
      <c r="PW6" t="s">
        <v>1762</v>
      </c>
      <c r="PX6">
        <v>2025</v>
      </c>
      <c r="PY6" t="s">
        <v>5663</v>
      </c>
      <c r="PZ6" s="6">
        <v>45923</v>
      </c>
      <c r="QA6">
        <v>5</v>
      </c>
      <c r="QB6">
        <v>153722880</v>
      </c>
      <c r="QC6">
        <v>100864</v>
      </c>
      <c r="QD6" t="s">
        <v>1971</v>
      </c>
      <c r="QI6" t="s">
        <v>5613</v>
      </c>
      <c r="QK6">
        <v>-2.4245362661989844E-14</v>
      </c>
      <c r="QL6">
        <v>-2.4245362661989844E-14</v>
      </c>
      <c r="QM6" t="s">
        <v>1745</v>
      </c>
      <c r="QN6">
        <v>2025</v>
      </c>
      <c r="QO6" t="s">
        <v>5611</v>
      </c>
      <c r="QP6" s="6">
        <v>46028</v>
      </c>
      <c r="QQ6">
        <v>3</v>
      </c>
      <c r="QR6">
        <v>-2.4245362661989844E-14</v>
      </c>
      <c r="QS6">
        <v>69994175</v>
      </c>
      <c r="QT6" t="s">
        <v>5614</v>
      </c>
      <c r="TU6" t="s">
        <v>4752</v>
      </c>
      <c r="TV6" t="s">
        <v>1786</v>
      </c>
      <c r="TW6">
        <v>2.5511309999999998</v>
      </c>
      <c r="TX6">
        <v>0.23505599999999999</v>
      </c>
      <c r="TY6" t="s">
        <v>1742</v>
      </c>
      <c r="TZ6">
        <v>2025</v>
      </c>
      <c r="UA6" t="s">
        <v>4753</v>
      </c>
      <c r="UB6" s="6">
        <v>45975</v>
      </c>
      <c r="UC6">
        <v>5</v>
      </c>
      <c r="UD6">
        <v>16914000</v>
      </c>
      <c r="UE6">
        <v>100915</v>
      </c>
      <c r="UF6" t="s">
        <v>4754</v>
      </c>
      <c r="UY6" t="s">
        <v>3877</v>
      </c>
      <c r="UZ6" t="s">
        <v>1786</v>
      </c>
      <c r="VA6">
        <v>5.077191</v>
      </c>
      <c r="VB6">
        <v>3.3744339999999999</v>
      </c>
      <c r="VC6" t="s">
        <v>1762</v>
      </c>
      <c r="VD6">
        <v>2025</v>
      </c>
      <c r="VE6" t="s">
        <v>3878</v>
      </c>
      <c r="VF6" s="6">
        <v>45855</v>
      </c>
      <c r="VG6">
        <v>5</v>
      </c>
      <c r="VH6">
        <v>1165900800</v>
      </c>
      <c r="VI6">
        <v>101158</v>
      </c>
      <c r="VJ6" t="s">
        <v>3879</v>
      </c>
    </row>
    <row r="7" spans="1:600" x14ac:dyDescent="0.25">
      <c r="A7" t="s">
        <v>4355</v>
      </c>
      <c r="B7" t="s">
        <v>1786</v>
      </c>
      <c r="C7">
        <v>10.91</v>
      </c>
      <c r="D7">
        <v>0.11763700000000001</v>
      </c>
      <c r="E7" t="s">
        <v>1745</v>
      </c>
      <c r="F7">
        <v>2025</v>
      </c>
      <c r="G7" t="s">
        <v>4356</v>
      </c>
      <c r="H7" s="6">
        <v>45895</v>
      </c>
      <c r="I7">
        <v>5</v>
      </c>
      <c r="J7">
        <v>1168969.1100000001</v>
      </c>
      <c r="K7">
        <v>59709175</v>
      </c>
      <c r="L7" t="s">
        <v>4357</v>
      </c>
      <c r="O7" t="s">
        <v>1833</v>
      </c>
      <c r="P7">
        <v>5.6222000000000001E-2</v>
      </c>
      <c r="Q7" t="s">
        <v>1786</v>
      </c>
      <c r="R7">
        <v>4.2040000000000003E-3</v>
      </c>
      <c r="S7" t="s">
        <v>1809</v>
      </c>
      <c r="T7">
        <v>2026</v>
      </c>
      <c r="U7" t="s">
        <v>1834</v>
      </c>
      <c r="V7" s="6">
        <v>45898</v>
      </c>
      <c r="W7">
        <v>5</v>
      </c>
      <c r="X7">
        <v>892021.61</v>
      </c>
      <c r="Y7">
        <v>112370</v>
      </c>
      <c r="Z7" t="s">
        <v>1835</v>
      </c>
      <c r="AE7" t="s">
        <v>5581</v>
      </c>
      <c r="AF7" t="s">
        <v>1786</v>
      </c>
      <c r="AG7">
        <v>2.2015030000000002</v>
      </c>
      <c r="AH7">
        <v>0.53680499999999998</v>
      </c>
      <c r="AI7" t="s">
        <v>1845</v>
      </c>
      <c r="AJ7">
        <v>2024</v>
      </c>
      <c r="AK7" t="s">
        <v>5582</v>
      </c>
      <c r="AL7" s="6">
        <v>45764</v>
      </c>
      <c r="AM7">
        <v>5</v>
      </c>
      <c r="AN7">
        <v>57278938.520000003</v>
      </c>
      <c r="AO7">
        <v>117894</v>
      </c>
      <c r="AP7" t="s">
        <v>5583</v>
      </c>
      <c r="AS7" t="s">
        <v>3530</v>
      </c>
      <c r="AT7">
        <v>0.53371400000000002</v>
      </c>
      <c r="AU7" t="s">
        <v>1820</v>
      </c>
      <c r="AV7">
        <v>3.6765850000000002</v>
      </c>
      <c r="AW7" t="s">
        <v>1762</v>
      </c>
      <c r="AX7">
        <v>2025</v>
      </c>
      <c r="AY7" t="s">
        <v>1812</v>
      </c>
      <c r="AZ7" s="6">
        <v>45876</v>
      </c>
      <c r="BA7">
        <v>5</v>
      </c>
      <c r="BB7">
        <v>88431072</v>
      </c>
      <c r="BC7">
        <v>101286</v>
      </c>
      <c r="BD7" t="s">
        <v>3531</v>
      </c>
      <c r="DQ7" t="s">
        <v>3777</v>
      </c>
      <c r="DR7" t="s">
        <v>1786</v>
      </c>
      <c r="DS7">
        <v>8.9766689999999993</v>
      </c>
      <c r="DT7">
        <v>0.99026499999999995</v>
      </c>
      <c r="DU7" t="s">
        <v>1762</v>
      </c>
      <c r="DV7">
        <v>2025</v>
      </c>
      <c r="DW7" t="s">
        <v>3778</v>
      </c>
      <c r="DX7" s="6">
        <v>46014</v>
      </c>
      <c r="DY7">
        <v>5</v>
      </c>
      <c r="DZ7">
        <v>3452390.79</v>
      </c>
      <c r="EA7">
        <v>815557</v>
      </c>
      <c r="EB7" t="s">
        <v>3779</v>
      </c>
      <c r="EE7" t="s">
        <v>2174</v>
      </c>
      <c r="EF7">
        <v>6.3677799999999998</v>
      </c>
      <c r="EG7" t="s">
        <v>1786</v>
      </c>
      <c r="EH7">
        <v>1.070225</v>
      </c>
      <c r="EI7" t="s">
        <v>1809</v>
      </c>
      <c r="EJ7">
        <v>2026</v>
      </c>
      <c r="EK7" t="s">
        <v>3442</v>
      </c>
      <c r="EL7" s="6">
        <v>45967</v>
      </c>
      <c r="EM7">
        <v>5</v>
      </c>
      <c r="EN7">
        <v>33991208</v>
      </c>
      <c r="EO7">
        <v>115790</v>
      </c>
      <c r="EP7" t="s">
        <v>2175</v>
      </c>
      <c r="EU7" t="s">
        <v>2944</v>
      </c>
      <c r="EV7" t="s">
        <v>1786</v>
      </c>
      <c r="EW7">
        <v>1.4676359999999999</v>
      </c>
      <c r="EX7">
        <v>2.8381699999999999</v>
      </c>
      <c r="EY7" t="s">
        <v>1742</v>
      </c>
      <c r="EZ7">
        <v>2025</v>
      </c>
      <c r="FA7" t="s">
        <v>2945</v>
      </c>
      <c r="FB7" s="6">
        <v>46080</v>
      </c>
      <c r="FC7">
        <v>5</v>
      </c>
      <c r="FD7">
        <v>258849259.34</v>
      </c>
      <c r="FE7">
        <v>193974</v>
      </c>
      <c r="FF7" t="s">
        <v>2946</v>
      </c>
      <c r="FI7" t="s">
        <v>2512</v>
      </c>
      <c r="FJ7">
        <v>12.001497000000001</v>
      </c>
      <c r="FK7" t="s">
        <v>1786</v>
      </c>
      <c r="FL7">
        <v>9.4830839999999998</v>
      </c>
      <c r="FM7" t="s">
        <v>1845</v>
      </c>
      <c r="FN7">
        <v>2025</v>
      </c>
      <c r="FO7" t="s">
        <v>2245</v>
      </c>
      <c r="FP7" s="6">
        <v>46048</v>
      </c>
      <c r="FQ7">
        <v>5</v>
      </c>
      <c r="FR7">
        <v>1641084672</v>
      </c>
      <c r="FS7">
        <v>130929</v>
      </c>
      <c r="FT7" t="s">
        <v>2513</v>
      </c>
      <c r="FY7" t="s">
        <v>2966</v>
      </c>
      <c r="FZ7" t="s">
        <v>1786</v>
      </c>
      <c r="GA7">
        <v>55</v>
      </c>
      <c r="GB7">
        <v>4.3223419999999999</v>
      </c>
      <c r="GC7" t="s">
        <v>1745</v>
      </c>
      <c r="GD7">
        <v>2024</v>
      </c>
      <c r="GE7" t="s">
        <v>2967</v>
      </c>
      <c r="GF7" s="6">
        <v>45714</v>
      </c>
      <c r="GG7">
        <v>5</v>
      </c>
      <c r="GH7">
        <v>129337448</v>
      </c>
      <c r="GI7">
        <v>32015916</v>
      </c>
      <c r="GJ7" t="s">
        <v>2968</v>
      </c>
      <c r="GM7" t="s">
        <v>6451</v>
      </c>
      <c r="GN7">
        <v>-2.4245362661989844E-14</v>
      </c>
      <c r="GP7">
        <v>-2.4245362661989844E-14</v>
      </c>
      <c r="GQ7" t="s">
        <v>1745</v>
      </c>
      <c r="GR7">
        <v>2022</v>
      </c>
      <c r="GS7" t="s">
        <v>2970</v>
      </c>
      <c r="GT7" s="6">
        <v>44986</v>
      </c>
      <c r="GU7">
        <v>4</v>
      </c>
      <c r="GV7">
        <v>-2.4245362661989844E-14</v>
      </c>
      <c r="GW7">
        <v>928323</v>
      </c>
      <c r="GX7" t="s">
        <v>6452</v>
      </c>
      <c r="HC7" t="s">
        <v>3287</v>
      </c>
      <c r="HD7" t="s">
        <v>1769</v>
      </c>
      <c r="HE7">
        <v>0.24615000000000001</v>
      </c>
      <c r="HF7">
        <v>0.37029400000000001</v>
      </c>
      <c r="HG7" t="s">
        <v>1745</v>
      </c>
      <c r="HH7">
        <v>2024</v>
      </c>
      <c r="HI7" t="s">
        <v>3288</v>
      </c>
      <c r="HJ7" s="6">
        <v>45713</v>
      </c>
      <c r="HK7">
        <v>5</v>
      </c>
      <c r="HL7">
        <v>920250</v>
      </c>
      <c r="HM7">
        <v>386356</v>
      </c>
      <c r="HN7" t="s">
        <v>3289</v>
      </c>
      <c r="HQ7" t="s">
        <v>1908</v>
      </c>
      <c r="HR7">
        <v>-2.4245362661989844E-14</v>
      </c>
      <c r="HT7">
        <v>-2.4245362661989844E-14</v>
      </c>
      <c r="HU7" t="s">
        <v>1745</v>
      </c>
      <c r="HV7">
        <v>2024</v>
      </c>
      <c r="HW7" t="s">
        <v>1909</v>
      </c>
      <c r="HX7" s="6">
        <v>45783</v>
      </c>
      <c r="HY7">
        <v>5</v>
      </c>
      <c r="HZ7">
        <v>-2.4245362661989844E-14</v>
      </c>
      <c r="IA7">
        <v>9152714</v>
      </c>
      <c r="IB7" t="s">
        <v>1910</v>
      </c>
      <c r="LS7" t="s">
        <v>4799</v>
      </c>
      <c r="LT7" t="s">
        <v>1786</v>
      </c>
      <c r="LU7">
        <v>7.4065000000000006E-2</v>
      </c>
      <c r="LV7">
        <v>2.879E-3</v>
      </c>
      <c r="LW7" t="s">
        <v>1745</v>
      </c>
      <c r="LX7">
        <v>2024</v>
      </c>
      <c r="LY7" t="s">
        <v>4800</v>
      </c>
      <c r="LZ7" s="6">
        <v>45758</v>
      </c>
      <c r="MA7">
        <v>5</v>
      </c>
      <c r="MB7">
        <v>46697.46</v>
      </c>
      <c r="MC7">
        <v>130878</v>
      </c>
      <c r="MD7" t="s">
        <v>4801</v>
      </c>
      <c r="MG7" t="s">
        <v>3709</v>
      </c>
      <c r="MH7">
        <v>-2.4245362661989844E-14</v>
      </c>
      <c r="MJ7">
        <v>-2.4245362661989844E-14</v>
      </c>
      <c r="MK7" t="s">
        <v>1762</v>
      </c>
      <c r="ML7">
        <v>2024</v>
      </c>
      <c r="MM7" t="s">
        <v>3710</v>
      </c>
      <c r="MN7" s="6">
        <v>45433</v>
      </c>
      <c r="MO7">
        <v>5</v>
      </c>
      <c r="MP7">
        <v>-2.4245362661989844E-14</v>
      </c>
      <c r="MQ7">
        <v>27196144</v>
      </c>
      <c r="MR7" t="s">
        <v>3711</v>
      </c>
      <c r="OA7" t="s">
        <v>2795</v>
      </c>
      <c r="OB7" t="s">
        <v>1786</v>
      </c>
      <c r="OC7">
        <v>0.23526900000000001</v>
      </c>
      <c r="OD7">
        <v>0.58521900000000004</v>
      </c>
      <c r="OE7" t="s">
        <v>1742</v>
      </c>
      <c r="OF7">
        <v>2025</v>
      </c>
      <c r="OG7" t="s">
        <v>2796</v>
      </c>
      <c r="OH7" s="6">
        <v>45867</v>
      </c>
      <c r="OI7">
        <v>5</v>
      </c>
      <c r="OJ7">
        <v>18416856</v>
      </c>
      <c r="OK7">
        <v>117092</v>
      </c>
      <c r="OL7" t="s">
        <v>2797</v>
      </c>
      <c r="OO7" t="s">
        <v>3551</v>
      </c>
      <c r="OP7">
        <v>-2.4245362661989844E-14</v>
      </c>
      <c r="OR7">
        <v>-2.4245362661989844E-14</v>
      </c>
      <c r="OS7" t="s">
        <v>1745</v>
      </c>
      <c r="OT7">
        <v>2023</v>
      </c>
      <c r="OU7" t="s">
        <v>3552</v>
      </c>
      <c r="OV7" s="6">
        <v>45135</v>
      </c>
      <c r="OW7">
        <v>5</v>
      </c>
      <c r="OX7">
        <v>-2.4245362661989844E-14</v>
      </c>
      <c r="OY7">
        <v>103017</v>
      </c>
      <c r="OZ7" t="s">
        <v>3553</v>
      </c>
      <c r="PE7" t="s">
        <v>3080</v>
      </c>
      <c r="PG7">
        <v>-2.4245362661989844E-14</v>
      </c>
      <c r="PH7">
        <v>-2.4245362661989844E-14</v>
      </c>
      <c r="PI7" t="s">
        <v>1745</v>
      </c>
      <c r="PJ7">
        <v>2024</v>
      </c>
      <c r="PK7" t="s">
        <v>3081</v>
      </c>
      <c r="PL7" s="6">
        <v>45741</v>
      </c>
      <c r="PM7">
        <v>3</v>
      </c>
      <c r="PN7">
        <v>-2.4245362661989844E-14</v>
      </c>
      <c r="PO7">
        <v>21531121</v>
      </c>
      <c r="PP7" t="s">
        <v>3082</v>
      </c>
      <c r="PS7" t="s">
        <v>2024</v>
      </c>
      <c r="PT7">
        <v>3.8458489999999999</v>
      </c>
      <c r="PU7" t="s">
        <v>1786</v>
      </c>
      <c r="PV7">
        <v>0.80255699999999996</v>
      </c>
      <c r="PW7" t="s">
        <v>1762</v>
      </c>
      <c r="PX7">
        <v>2025</v>
      </c>
      <c r="PY7" t="s">
        <v>5663</v>
      </c>
      <c r="PZ7" s="6">
        <v>45923</v>
      </c>
      <c r="QA7">
        <v>5</v>
      </c>
      <c r="QB7">
        <v>145603840</v>
      </c>
      <c r="QC7">
        <v>46386935</v>
      </c>
      <c r="QD7" t="s">
        <v>2025</v>
      </c>
      <c r="QI7" t="s">
        <v>5256</v>
      </c>
      <c r="QK7">
        <v>-2.4245362661989844E-14</v>
      </c>
      <c r="QL7">
        <v>-2.4245362661989844E-14</v>
      </c>
      <c r="QM7" t="s">
        <v>1809</v>
      </c>
      <c r="QN7">
        <v>2024</v>
      </c>
      <c r="QO7" t="s">
        <v>5257</v>
      </c>
      <c r="QP7" s="6">
        <v>45420</v>
      </c>
      <c r="QQ7">
        <v>3</v>
      </c>
      <c r="QR7">
        <v>-2.4245362661989844E-14</v>
      </c>
      <c r="QS7">
        <v>69417624</v>
      </c>
      <c r="QT7" t="s">
        <v>5258</v>
      </c>
      <c r="TU7" t="s">
        <v>1475</v>
      </c>
      <c r="TV7" t="s">
        <v>1786</v>
      </c>
      <c r="TW7">
        <v>1.204777</v>
      </c>
      <c r="TX7">
        <v>0.211507</v>
      </c>
      <c r="TY7" t="s">
        <v>1762</v>
      </c>
      <c r="TZ7">
        <v>2025</v>
      </c>
      <c r="UA7" t="s">
        <v>3996</v>
      </c>
      <c r="UB7" s="6">
        <v>45876</v>
      </c>
      <c r="UC7">
        <v>5</v>
      </c>
      <c r="UD7">
        <v>14497082</v>
      </c>
      <c r="UE7">
        <v>23071317</v>
      </c>
      <c r="UF7" t="s">
        <v>4755</v>
      </c>
      <c r="UY7" t="s">
        <v>3103</v>
      </c>
      <c r="UZ7" t="s">
        <v>1786</v>
      </c>
      <c r="VA7">
        <v>2.850114</v>
      </c>
      <c r="VB7">
        <v>2.1460170000000001</v>
      </c>
      <c r="VC7" t="s">
        <v>1762</v>
      </c>
      <c r="VD7">
        <v>2025</v>
      </c>
      <c r="VE7" t="s">
        <v>5218</v>
      </c>
      <c r="VF7" s="6">
        <v>45896</v>
      </c>
      <c r="VG7">
        <v>5</v>
      </c>
      <c r="VH7">
        <v>765744836.12</v>
      </c>
      <c r="VI7">
        <v>112571</v>
      </c>
      <c r="VJ7" t="s">
        <v>3104</v>
      </c>
    </row>
    <row r="8" spans="1:600" x14ac:dyDescent="0.25">
      <c r="A8" t="s">
        <v>3797</v>
      </c>
      <c r="B8" t="s">
        <v>1769</v>
      </c>
      <c r="C8">
        <v>1.061577</v>
      </c>
      <c r="D8">
        <v>0.111747</v>
      </c>
      <c r="E8" t="s">
        <v>1745</v>
      </c>
      <c r="F8">
        <v>2024</v>
      </c>
      <c r="G8" t="s">
        <v>4358</v>
      </c>
      <c r="H8" s="6">
        <v>45715</v>
      </c>
      <c r="I8">
        <v>5</v>
      </c>
      <c r="J8">
        <v>941885.68</v>
      </c>
      <c r="K8">
        <v>111471</v>
      </c>
      <c r="L8" t="s">
        <v>3799</v>
      </c>
      <c r="O8" t="s">
        <v>2374</v>
      </c>
      <c r="P8">
        <v>4.8826000000000001E-2</v>
      </c>
      <c r="Q8" t="s">
        <v>1769</v>
      </c>
      <c r="R8">
        <v>0.96890200000000004</v>
      </c>
      <c r="S8" t="s">
        <v>1745</v>
      </c>
      <c r="T8">
        <v>2025</v>
      </c>
      <c r="U8" t="s">
        <v>4243</v>
      </c>
      <c r="V8" s="6">
        <v>46079</v>
      </c>
      <c r="W8">
        <v>5</v>
      </c>
      <c r="X8">
        <v>599999.75</v>
      </c>
      <c r="Y8">
        <v>11937231</v>
      </c>
      <c r="Z8" t="s">
        <v>2376</v>
      </c>
      <c r="AE8" t="s">
        <v>5584</v>
      </c>
      <c r="AF8" t="s">
        <v>1786</v>
      </c>
      <c r="AG8">
        <v>4.2190989999999999</v>
      </c>
      <c r="AH8">
        <v>0.49108600000000002</v>
      </c>
      <c r="AI8" t="s">
        <v>1762</v>
      </c>
      <c r="AJ8">
        <v>2025</v>
      </c>
      <c r="AK8" t="s">
        <v>1812</v>
      </c>
      <c r="AL8" s="6">
        <v>45876</v>
      </c>
      <c r="AM8">
        <v>5</v>
      </c>
      <c r="AN8">
        <v>54721712</v>
      </c>
      <c r="AO8">
        <v>18303373</v>
      </c>
      <c r="AP8" t="s">
        <v>5585</v>
      </c>
      <c r="AS8" t="s">
        <v>5410</v>
      </c>
      <c r="AT8">
        <v>0.45308300000000001</v>
      </c>
      <c r="AU8" t="s">
        <v>1820</v>
      </c>
      <c r="AV8">
        <v>3.271792</v>
      </c>
      <c r="AW8" t="s">
        <v>1845</v>
      </c>
      <c r="AX8">
        <v>2025</v>
      </c>
      <c r="AY8" t="s">
        <v>5411</v>
      </c>
      <c r="AZ8" s="6">
        <v>45890</v>
      </c>
      <c r="BA8">
        <v>5</v>
      </c>
      <c r="BB8">
        <v>75071264</v>
      </c>
      <c r="BC8">
        <v>100232</v>
      </c>
      <c r="BD8" t="s">
        <v>5412</v>
      </c>
      <c r="DQ8" t="s">
        <v>2805</v>
      </c>
      <c r="DR8" t="s">
        <v>1786</v>
      </c>
      <c r="DS8">
        <v>2.1405E-2</v>
      </c>
      <c r="DT8">
        <v>0.192188</v>
      </c>
      <c r="DU8" t="s">
        <v>1742</v>
      </c>
      <c r="DV8">
        <v>2025</v>
      </c>
      <c r="DW8" t="s">
        <v>2806</v>
      </c>
      <c r="DX8" s="6">
        <v>45891</v>
      </c>
      <c r="DY8">
        <v>5</v>
      </c>
      <c r="DZ8">
        <v>616538</v>
      </c>
      <c r="EA8">
        <v>100097</v>
      </c>
      <c r="EB8" t="s">
        <v>2807</v>
      </c>
      <c r="EE8" t="s">
        <v>1761</v>
      </c>
      <c r="EF8">
        <v>4.7487089999999998</v>
      </c>
      <c r="EG8" t="s">
        <v>1786</v>
      </c>
      <c r="EH8">
        <v>4.6833E-2</v>
      </c>
      <c r="EI8" t="s">
        <v>1809</v>
      </c>
      <c r="EJ8">
        <v>2026</v>
      </c>
      <c r="EK8" t="s">
        <v>3442</v>
      </c>
      <c r="EL8" s="6">
        <v>45967</v>
      </c>
      <c r="EM8">
        <v>5</v>
      </c>
      <c r="EN8">
        <v>25348608</v>
      </c>
      <c r="EO8">
        <v>101695</v>
      </c>
      <c r="EP8" t="s">
        <v>1764</v>
      </c>
      <c r="EU8" t="s">
        <v>1789</v>
      </c>
      <c r="EV8" t="s">
        <v>1786</v>
      </c>
      <c r="EW8">
        <v>0.36901099999999998</v>
      </c>
      <c r="EX8">
        <v>2.1074079999999999</v>
      </c>
      <c r="EY8" t="s">
        <v>1762</v>
      </c>
      <c r="EZ8">
        <v>2025</v>
      </c>
      <c r="FA8" t="s">
        <v>3436</v>
      </c>
      <c r="FB8" s="6">
        <v>45952</v>
      </c>
      <c r="FC8">
        <v>5</v>
      </c>
      <c r="FD8">
        <v>196578595.78</v>
      </c>
      <c r="FE8">
        <v>117929</v>
      </c>
      <c r="FF8" t="s">
        <v>1791</v>
      </c>
      <c r="FI8" t="s">
        <v>3507</v>
      </c>
      <c r="FJ8">
        <v>6.9003030000000001</v>
      </c>
      <c r="FK8" t="s">
        <v>1786</v>
      </c>
      <c r="FL8">
        <v>13.993990999999999</v>
      </c>
      <c r="FM8" t="s">
        <v>1745</v>
      </c>
      <c r="FN8">
        <v>2024</v>
      </c>
      <c r="FO8" t="s">
        <v>3508</v>
      </c>
      <c r="FP8" s="6">
        <v>45786</v>
      </c>
      <c r="FQ8">
        <v>5</v>
      </c>
      <c r="FR8">
        <v>924964005.08000004</v>
      </c>
      <c r="FS8">
        <v>9568853</v>
      </c>
      <c r="FT8" t="s">
        <v>3509</v>
      </c>
      <c r="FY8" t="s">
        <v>1985</v>
      </c>
      <c r="FZ8" t="s">
        <v>1786</v>
      </c>
      <c r="GA8">
        <v>0.39302700000000002</v>
      </c>
      <c r="GB8">
        <v>0.10009999999999999</v>
      </c>
      <c r="GC8" t="s">
        <v>1742</v>
      </c>
      <c r="GD8">
        <v>2025</v>
      </c>
      <c r="GE8" t="s">
        <v>2490</v>
      </c>
      <c r="GF8" s="6">
        <v>46027</v>
      </c>
      <c r="GG8">
        <v>5</v>
      </c>
      <c r="GH8">
        <v>2491791</v>
      </c>
      <c r="GI8">
        <v>36965288</v>
      </c>
      <c r="GJ8" t="s">
        <v>1987</v>
      </c>
      <c r="GM8" t="s">
        <v>1801</v>
      </c>
      <c r="GN8">
        <v>-2.4245362661989844E-14</v>
      </c>
      <c r="GP8">
        <v>-2.4245362661989844E-14</v>
      </c>
      <c r="GQ8" t="s">
        <v>1745</v>
      </c>
      <c r="GR8">
        <v>2024</v>
      </c>
      <c r="GS8" t="s">
        <v>6453</v>
      </c>
      <c r="GT8" s="6">
        <v>45714</v>
      </c>
      <c r="GU8">
        <v>4</v>
      </c>
      <c r="GV8">
        <v>-2.4245362661989844E-14</v>
      </c>
      <c r="GW8">
        <v>218252</v>
      </c>
      <c r="GX8" t="s">
        <v>1803</v>
      </c>
      <c r="HC8" t="s">
        <v>2993</v>
      </c>
      <c r="HD8" t="s">
        <v>1820</v>
      </c>
      <c r="HE8">
        <v>7.76E-4</v>
      </c>
      <c r="HF8">
        <v>0.29293799999999998</v>
      </c>
      <c r="HG8" t="s">
        <v>1762</v>
      </c>
      <c r="HH8">
        <v>2025</v>
      </c>
      <c r="HI8" t="s">
        <v>3290</v>
      </c>
      <c r="HJ8" s="6">
        <v>46024</v>
      </c>
      <c r="HK8">
        <v>5</v>
      </c>
      <c r="HL8">
        <v>54191.5</v>
      </c>
      <c r="HM8">
        <v>115110</v>
      </c>
      <c r="HN8" t="s">
        <v>2995</v>
      </c>
      <c r="HQ8" t="s">
        <v>1911</v>
      </c>
      <c r="HR8">
        <v>-2.4245362661989844E-14</v>
      </c>
      <c r="HT8">
        <v>-2.4245362661989844E-14</v>
      </c>
      <c r="HU8" t="s">
        <v>1745</v>
      </c>
      <c r="HV8">
        <v>2024</v>
      </c>
      <c r="HW8" t="s">
        <v>1912</v>
      </c>
      <c r="HX8" s="6">
        <v>45742</v>
      </c>
      <c r="HY8">
        <v>5</v>
      </c>
      <c r="HZ8">
        <v>-2.4245362661989844E-14</v>
      </c>
      <c r="IA8">
        <v>14195302</v>
      </c>
      <c r="IB8" t="s">
        <v>1913</v>
      </c>
      <c r="LS8" t="s">
        <v>3928</v>
      </c>
      <c r="LT8" t="s">
        <v>1820</v>
      </c>
      <c r="LU8">
        <v>2.0240000000000002E-3</v>
      </c>
      <c r="LV8">
        <v>2.6168E-2</v>
      </c>
      <c r="LW8" t="s">
        <v>1742</v>
      </c>
      <c r="LX8">
        <v>2025</v>
      </c>
      <c r="LY8" t="s">
        <v>3929</v>
      </c>
      <c r="LZ8" s="6">
        <v>45964</v>
      </c>
      <c r="MA8">
        <v>5</v>
      </c>
      <c r="MB8">
        <v>10506</v>
      </c>
      <c r="MC8">
        <v>16546862</v>
      </c>
      <c r="MD8" t="s">
        <v>3930</v>
      </c>
      <c r="MG8" t="s">
        <v>3712</v>
      </c>
      <c r="MH8">
        <v>-2.4245362661989844E-14</v>
      </c>
      <c r="MJ8">
        <v>-2.4245362661989844E-14</v>
      </c>
      <c r="MK8" t="s">
        <v>1745</v>
      </c>
      <c r="ML8">
        <v>2024</v>
      </c>
      <c r="MM8" t="s">
        <v>3713</v>
      </c>
      <c r="MN8" s="6">
        <v>45771</v>
      </c>
      <c r="MO8">
        <v>5</v>
      </c>
      <c r="MP8">
        <v>-2.4245362661989844E-14</v>
      </c>
      <c r="MQ8">
        <v>135686</v>
      </c>
      <c r="MR8" t="s">
        <v>3714</v>
      </c>
      <c r="OA8" t="s">
        <v>806</v>
      </c>
      <c r="OB8" t="s">
        <v>1786</v>
      </c>
      <c r="OC8">
        <v>1.69564</v>
      </c>
      <c r="OD8">
        <v>0.41697800000000002</v>
      </c>
      <c r="OE8" t="s">
        <v>1742</v>
      </c>
      <c r="OF8">
        <v>2025</v>
      </c>
      <c r="OG8" t="s">
        <v>2072</v>
      </c>
      <c r="OH8" s="6">
        <v>46001</v>
      </c>
      <c r="OI8">
        <v>5</v>
      </c>
      <c r="OJ8">
        <v>12763693</v>
      </c>
      <c r="OK8">
        <v>1182195</v>
      </c>
      <c r="OL8" t="s">
        <v>3476</v>
      </c>
      <c r="OO8" t="s">
        <v>3554</v>
      </c>
      <c r="OP8">
        <v>-2.4245362661989844E-14</v>
      </c>
      <c r="OR8">
        <v>-2.4245362661989844E-14</v>
      </c>
      <c r="OS8" t="s">
        <v>1745</v>
      </c>
      <c r="OT8">
        <v>2022</v>
      </c>
      <c r="OU8" t="s">
        <v>3555</v>
      </c>
      <c r="OV8" s="6">
        <v>44887</v>
      </c>
      <c r="OW8">
        <v>5</v>
      </c>
      <c r="OX8">
        <v>-2.4245362661989844E-14</v>
      </c>
      <c r="OY8">
        <v>104917</v>
      </c>
      <c r="OZ8" t="s">
        <v>3556</v>
      </c>
      <c r="PS8" t="s">
        <v>1854</v>
      </c>
      <c r="PT8">
        <v>2.8667349999999998</v>
      </c>
      <c r="PU8" t="s">
        <v>1786</v>
      </c>
      <c r="PV8">
        <v>0.19735</v>
      </c>
      <c r="PW8" t="s">
        <v>1762</v>
      </c>
      <c r="PX8">
        <v>2025</v>
      </c>
      <c r="PY8" t="s">
        <v>5663</v>
      </c>
      <c r="PZ8" s="6">
        <v>45923</v>
      </c>
      <c r="QA8">
        <v>5</v>
      </c>
      <c r="QB8">
        <v>108534584</v>
      </c>
      <c r="QC8">
        <v>101758</v>
      </c>
      <c r="QD8" t="s">
        <v>1856</v>
      </c>
      <c r="TU8" t="s">
        <v>4756</v>
      </c>
      <c r="TV8" t="s">
        <v>1786</v>
      </c>
      <c r="TW8">
        <v>2.3476379999999999</v>
      </c>
      <c r="TX8">
        <v>0.23334099999999999</v>
      </c>
      <c r="TY8" t="s">
        <v>1762</v>
      </c>
      <c r="TZ8">
        <v>2025</v>
      </c>
      <c r="UA8" t="s">
        <v>4757</v>
      </c>
      <c r="UB8" s="6">
        <v>45826</v>
      </c>
      <c r="UC8">
        <v>5</v>
      </c>
      <c r="UD8">
        <v>14361582</v>
      </c>
      <c r="UE8">
        <v>104778</v>
      </c>
      <c r="UF8" t="s">
        <v>4758</v>
      </c>
      <c r="UY8" t="s">
        <v>3017</v>
      </c>
      <c r="UZ8" t="s">
        <v>1786</v>
      </c>
      <c r="VA8">
        <v>2.936461</v>
      </c>
      <c r="VB8">
        <v>1.790807</v>
      </c>
      <c r="VC8" t="s">
        <v>1845</v>
      </c>
      <c r="VD8">
        <v>2025</v>
      </c>
      <c r="VE8" t="s">
        <v>3018</v>
      </c>
      <c r="VF8" s="6">
        <v>45883</v>
      </c>
      <c r="VG8">
        <v>5</v>
      </c>
      <c r="VH8">
        <v>618741696</v>
      </c>
      <c r="VI8">
        <v>101215</v>
      </c>
      <c r="VJ8" t="s">
        <v>3019</v>
      </c>
    </row>
    <row r="9" spans="1:600" x14ac:dyDescent="0.25">
      <c r="A9" t="s">
        <v>2677</v>
      </c>
      <c r="B9" t="s">
        <v>1786</v>
      </c>
      <c r="C9">
        <v>2.7688999999999998E-2</v>
      </c>
      <c r="D9">
        <v>6.7176E-2</v>
      </c>
      <c r="E9" t="s">
        <v>1742</v>
      </c>
      <c r="F9">
        <v>2025</v>
      </c>
      <c r="G9" t="s">
        <v>2678</v>
      </c>
      <c r="H9" s="6">
        <v>45974</v>
      </c>
      <c r="I9">
        <v>5</v>
      </c>
      <c r="J9">
        <v>679247.66</v>
      </c>
      <c r="K9">
        <v>193571</v>
      </c>
      <c r="L9" t="s">
        <v>2679</v>
      </c>
      <c r="O9" t="s">
        <v>1870</v>
      </c>
      <c r="P9">
        <v>4.4743999999999999E-2</v>
      </c>
      <c r="Q9" t="s">
        <v>1786</v>
      </c>
      <c r="R9">
        <v>1.0747E-2</v>
      </c>
      <c r="S9" t="s">
        <v>1809</v>
      </c>
      <c r="T9">
        <v>2025</v>
      </c>
      <c r="U9" t="s">
        <v>1871</v>
      </c>
      <c r="V9" s="6">
        <v>45820</v>
      </c>
      <c r="W9">
        <v>5</v>
      </c>
      <c r="X9">
        <v>438134</v>
      </c>
      <c r="Y9">
        <v>12129192</v>
      </c>
      <c r="Z9" t="s">
        <v>1872</v>
      </c>
      <c r="AE9" t="s">
        <v>5586</v>
      </c>
      <c r="AF9" t="s">
        <v>1786</v>
      </c>
      <c r="AG9">
        <v>0.46383099999999999</v>
      </c>
      <c r="AH9">
        <v>0.46567500000000001</v>
      </c>
      <c r="AI9" t="s">
        <v>1762</v>
      </c>
      <c r="AJ9">
        <v>2025</v>
      </c>
      <c r="AK9" t="s">
        <v>5587</v>
      </c>
      <c r="AL9" s="6">
        <v>45958</v>
      </c>
      <c r="AM9">
        <v>5</v>
      </c>
      <c r="AN9">
        <v>51869468.25</v>
      </c>
      <c r="AO9">
        <v>961545</v>
      </c>
      <c r="AP9" t="s">
        <v>5588</v>
      </c>
      <c r="AS9" t="s">
        <v>5413</v>
      </c>
      <c r="AT9">
        <v>0.34054499999999999</v>
      </c>
      <c r="AU9" t="s">
        <v>1786</v>
      </c>
      <c r="AV9">
        <v>3.5244270000000002</v>
      </c>
      <c r="AW9" t="s">
        <v>1762</v>
      </c>
      <c r="AX9">
        <v>2025</v>
      </c>
      <c r="AY9" t="s">
        <v>1812</v>
      </c>
      <c r="AZ9" s="6">
        <v>45876</v>
      </c>
      <c r="BA9">
        <v>5</v>
      </c>
      <c r="BB9">
        <v>56424900</v>
      </c>
      <c r="BC9">
        <v>119922</v>
      </c>
      <c r="BD9" t="s">
        <v>5414</v>
      </c>
      <c r="DQ9" t="s">
        <v>3229</v>
      </c>
      <c r="DR9" t="s">
        <v>1769</v>
      </c>
      <c r="DS9">
        <v>2.5</v>
      </c>
      <c r="DT9">
        <v>0.75909400000000005</v>
      </c>
      <c r="DU9" t="s">
        <v>1745</v>
      </c>
      <c r="DV9">
        <v>2024</v>
      </c>
      <c r="DW9" t="s">
        <v>3230</v>
      </c>
      <c r="DX9" s="6">
        <v>45734</v>
      </c>
      <c r="DY9">
        <v>5</v>
      </c>
      <c r="DZ9">
        <v>579046.76</v>
      </c>
      <c r="EA9">
        <v>32162827</v>
      </c>
      <c r="EB9" t="s">
        <v>3231</v>
      </c>
      <c r="EE9" t="s">
        <v>1885</v>
      </c>
      <c r="EF9">
        <v>1.991708</v>
      </c>
      <c r="EG9" t="s">
        <v>1820</v>
      </c>
      <c r="EH9">
        <v>3.0294000000000001E-2</v>
      </c>
      <c r="EI9" t="s">
        <v>1809</v>
      </c>
      <c r="EJ9">
        <v>2026</v>
      </c>
      <c r="EK9" t="s">
        <v>3442</v>
      </c>
      <c r="EL9" s="6">
        <v>45967</v>
      </c>
      <c r="EM9">
        <v>5</v>
      </c>
      <c r="EN9">
        <v>10631737</v>
      </c>
      <c r="EO9">
        <v>216952</v>
      </c>
      <c r="EP9" t="s">
        <v>1886</v>
      </c>
      <c r="EU9" t="s">
        <v>117</v>
      </c>
      <c r="EV9" t="s">
        <v>1820</v>
      </c>
      <c r="EW9">
        <v>2.5439250000000002</v>
      </c>
      <c r="EX9">
        <v>5.2326030000000001</v>
      </c>
      <c r="EY9" t="s">
        <v>1742</v>
      </c>
      <c r="EZ9">
        <v>2025</v>
      </c>
      <c r="FA9" t="s">
        <v>3008</v>
      </c>
      <c r="FB9" s="6">
        <v>45931</v>
      </c>
      <c r="FC9">
        <v>5</v>
      </c>
      <c r="FD9">
        <v>185757408</v>
      </c>
      <c r="FE9">
        <v>102032</v>
      </c>
      <c r="FF9" t="s">
        <v>3009</v>
      </c>
      <c r="FI9" t="s">
        <v>3510</v>
      </c>
      <c r="FJ9">
        <v>3.0830000000000002</v>
      </c>
      <c r="FK9" t="s">
        <v>1786</v>
      </c>
      <c r="FL9">
        <v>9.6257199999999994</v>
      </c>
      <c r="FM9" t="s">
        <v>1762</v>
      </c>
      <c r="FN9">
        <v>2025</v>
      </c>
      <c r="FO9" t="s">
        <v>3511</v>
      </c>
      <c r="FP9" s="6">
        <v>45958</v>
      </c>
      <c r="FQ9">
        <v>5</v>
      </c>
      <c r="FR9">
        <v>416758099.12</v>
      </c>
      <c r="FS9">
        <v>1456094</v>
      </c>
      <c r="FT9" t="s">
        <v>3512</v>
      </c>
      <c r="FY9" t="s">
        <v>2969</v>
      </c>
      <c r="GA9">
        <v>-2.4245362661989844E-14</v>
      </c>
      <c r="GB9">
        <v>-2.4245362661989844E-14</v>
      </c>
      <c r="GC9" t="s">
        <v>1745</v>
      </c>
      <c r="GD9">
        <v>2022</v>
      </c>
      <c r="GE9" t="s">
        <v>2970</v>
      </c>
      <c r="GF9" s="6">
        <v>44986</v>
      </c>
      <c r="GG9">
        <v>5</v>
      </c>
      <c r="GH9">
        <v>-2.4245362661989844E-14</v>
      </c>
      <c r="GI9">
        <v>9917432</v>
      </c>
      <c r="GJ9" t="s">
        <v>2971</v>
      </c>
      <c r="HC9" t="s">
        <v>3291</v>
      </c>
      <c r="HE9">
        <v>-2.4245362661989844E-14</v>
      </c>
      <c r="HF9">
        <v>-2.4245362661989844E-14</v>
      </c>
      <c r="HG9" t="s">
        <v>1745</v>
      </c>
      <c r="HH9">
        <v>2022</v>
      </c>
      <c r="HI9" t="s">
        <v>3292</v>
      </c>
      <c r="HJ9" s="6">
        <v>45008</v>
      </c>
      <c r="HK9">
        <v>5</v>
      </c>
      <c r="HL9">
        <v>-2.4245362661989844E-14</v>
      </c>
      <c r="HM9">
        <v>1459297</v>
      </c>
      <c r="HN9" t="s">
        <v>3293</v>
      </c>
      <c r="HQ9" t="s">
        <v>1914</v>
      </c>
      <c r="HR9">
        <v>-2.4245362661989844E-14</v>
      </c>
      <c r="HT9">
        <v>-2.4245362661989844E-14</v>
      </c>
      <c r="HU9" t="s">
        <v>1745</v>
      </c>
      <c r="HV9">
        <v>2023</v>
      </c>
      <c r="HW9" t="s">
        <v>1915</v>
      </c>
      <c r="HX9" s="6">
        <v>45420</v>
      </c>
      <c r="HY9">
        <v>5</v>
      </c>
      <c r="HZ9">
        <v>-2.4245362661989844E-14</v>
      </c>
      <c r="IA9">
        <v>52333389</v>
      </c>
      <c r="IB9" t="s">
        <v>1916</v>
      </c>
      <c r="LS9" t="s">
        <v>4802</v>
      </c>
      <c r="LT9" t="s">
        <v>1786</v>
      </c>
      <c r="LU9">
        <v>1.2467000000000001E-2</v>
      </c>
      <c r="LV9">
        <v>4.5800000000000002E-4</v>
      </c>
      <c r="LW9" t="s">
        <v>1762</v>
      </c>
      <c r="LX9">
        <v>2025</v>
      </c>
      <c r="LY9" t="s">
        <v>4803</v>
      </c>
      <c r="LZ9" s="6">
        <v>45744</v>
      </c>
      <c r="MA9">
        <v>5</v>
      </c>
      <c r="MB9">
        <v>6232.4</v>
      </c>
      <c r="MC9">
        <v>28653435</v>
      </c>
      <c r="MD9" t="s">
        <v>4804</v>
      </c>
      <c r="MG9" t="s">
        <v>3715</v>
      </c>
      <c r="MH9">
        <v>-2.4245362661989844E-14</v>
      </c>
      <c r="MJ9">
        <v>-2.4245362661989844E-14</v>
      </c>
      <c r="MK9" t="s">
        <v>1745</v>
      </c>
      <c r="ML9">
        <v>2022</v>
      </c>
      <c r="MM9" t="s">
        <v>3716</v>
      </c>
      <c r="MN9" s="6">
        <v>45083</v>
      </c>
      <c r="MO9">
        <v>5</v>
      </c>
      <c r="MP9">
        <v>-2.4245362661989844E-14</v>
      </c>
      <c r="MQ9">
        <v>34532225</v>
      </c>
      <c r="MR9" t="s">
        <v>3717</v>
      </c>
      <c r="OA9" t="s">
        <v>3477</v>
      </c>
      <c r="OB9" t="s">
        <v>1786</v>
      </c>
      <c r="OC9">
        <v>1.749268</v>
      </c>
      <c r="OD9">
        <v>0.29281299999999999</v>
      </c>
      <c r="OE9" t="s">
        <v>1762</v>
      </c>
      <c r="OF9">
        <v>2025</v>
      </c>
      <c r="OG9" t="s">
        <v>3478</v>
      </c>
      <c r="OH9" s="6">
        <v>45867</v>
      </c>
      <c r="OI9">
        <v>5</v>
      </c>
      <c r="OJ9">
        <v>9701879.8399999999</v>
      </c>
      <c r="OK9">
        <v>157487</v>
      </c>
      <c r="OL9" t="s">
        <v>3479</v>
      </c>
      <c r="OO9" t="s">
        <v>3557</v>
      </c>
      <c r="OP9">
        <v>-2.4245362661989844E-14</v>
      </c>
      <c r="OR9">
        <v>-2.4245362661989844E-14</v>
      </c>
      <c r="OS9" t="s">
        <v>1745</v>
      </c>
      <c r="OT9">
        <v>2025</v>
      </c>
      <c r="OU9" t="s">
        <v>3558</v>
      </c>
      <c r="OV9" s="6">
        <v>45834</v>
      </c>
      <c r="OW9">
        <v>5</v>
      </c>
      <c r="OX9">
        <v>-2.4245362661989844E-14</v>
      </c>
      <c r="OY9">
        <v>11745327</v>
      </c>
      <c r="OZ9" t="s">
        <v>3559</v>
      </c>
      <c r="PS9" t="s">
        <v>5664</v>
      </c>
      <c r="PT9">
        <v>2.6906409999999998</v>
      </c>
      <c r="PU9" t="s">
        <v>1786</v>
      </c>
      <c r="PV9">
        <v>0.59391099999999997</v>
      </c>
      <c r="PW9" t="s">
        <v>1762</v>
      </c>
      <c r="PX9">
        <v>2025</v>
      </c>
      <c r="PY9" t="s">
        <v>5663</v>
      </c>
      <c r="PZ9" s="6">
        <v>45923</v>
      </c>
      <c r="QA9">
        <v>5</v>
      </c>
      <c r="QB9">
        <v>101867664</v>
      </c>
      <c r="QC9">
        <v>101433</v>
      </c>
      <c r="QD9" t="s">
        <v>5665</v>
      </c>
      <c r="TU9" t="s">
        <v>4759</v>
      </c>
      <c r="TV9" t="s">
        <v>1786</v>
      </c>
      <c r="TW9">
        <v>2.1295009999999999</v>
      </c>
      <c r="TX9">
        <v>0.19090599999999999</v>
      </c>
      <c r="TY9" t="s">
        <v>1762</v>
      </c>
      <c r="TZ9">
        <v>2025</v>
      </c>
      <c r="UA9" t="s">
        <v>4760</v>
      </c>
      <c r="UB9" s="6">
        <v>45912</v>
      </c>
      <c r="UC9">
        <v>5</v>
      </c>
      <c r="UD9">
        <v>13085102</v>
      </c>
      <c r="UE9">
        <v>104534</v>
      </c>
      <c r="UF9" t="s">
        <v>4761</v>
      </c>
      <c r="UY9" t="s">
        <v>5286</v>
      </c>
      <c r="UZ9" t="s">
        <v>1786</v>
      </c>
      <c r="VA9">
        <v>2.775217</v>
      </c>
      <c r="VB9">
        <v>1.415462</v>
      </c>
      <c r="VC9" t="s">
        <v>1742</v>
      </c>
      <c r="VD9">
        <v>2025</v>
      </c>
      <c r="VE9" t="s">
        <v>5287</v>
      </c>
      <c r="VF9" s="6">
        <v>45946</v>
      </c>
      <c r="VG9">
        <v>5</v>
      </c>
      <c r="VH9">
        <v>369860096</v>
      </c>
      <c r="VI9">
        <v>101779</v>
      </c>
      <c r="VJ9" t="s">
        <v>5288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987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988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989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990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991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992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993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994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995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996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997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998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999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1000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1001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1002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1003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1004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1005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1006</v>
      </c>
      <c r="AE2" s="3" t="s">
        <v>571</v>
      </c>
      <c r="BI2" s="3" t="s">
        <v>1007</v>
      </c>
      <c r="CM2" s="3" t="s">
        <v>1008</v>
      </c>
      <c r="DQ2" s="3" t="s">
        <v>1009</v>
      </c>
      <c r="EU2" s="3" t="s">
        <v>1010</v>
      </c>
      <c r="FY2" s="3" t="s">
        <v>1011</v>
      </c>
      <c r="HC2" s="3" t="s">
        <v>1012</v>
      </c>
      <c r="IG2" s="3" t="s">
        <v>1013</v>
      </c>
      <c r="JK2" s="3" t="s">
        <v>168</v>
      </c>
      <c r="KO2" s="3" t="s">
        <v>1014</v>
      </c>
      <c r="LS2" s="3" t="s">
        <v>275</v>
      </c>
      <c r="MW2" s="3" t="s">
        <v>204</v>
      </c>
      <c r="OA2" s="3" t="s">
        <v>1015</v>
      </c>
      <c r="PE2" s="3" t="s">
        <v>1016</v>
      </c>
      <c r="QI2" s="3" t="s">
        <v>1017</v>
      </c>
      <c r="RM2" s="3" t="s">
        <v>1018</v>
      </c>
      <c r="SQ2" s="3" t="s">
        <v>1019</v>
      </c>
      <c r="TU2" s="3" t="s">
        <v>1020</v>
      </c>
      <c r="UY2" s="3" t="s">
        <v>121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_xll.BDS("SNCR US Equity","SUPPLY_CHAIN_SUPPLIERS_ALL_DATA","cols=12;rows=1")</f>
        <v>PPL US Equity</v>
      </c>
      <c r="C5">
        <v>-2.4245362661989844E-14</v>
      </c>
      <c r="D5">
        <v>-2.4245362661989844E-14</v>
      </c>
      <c r="E5" t="s">
        <v>1745</v>
      </c>
      <c r="F5">
        <v>2021</v>
      </c>
      <c r="G5" t="s">
        <v>3899</v>
      </c>
      <c r="H5" s="6">
        <v>44693</v>
      </c>
      <c r="I5">
        <v>1</v>
      </c>
      <c r="J5">
        <v>-2.4245362661989844E-14</v>
      </c>
      <c r="K5">
        <v>101153</v>
      </c>
      <c r="L5" t="s">
        <v>3900</v>
      </c>
      <c r="O5" t="str">
        <f>_xll.BDS("SNCR US Equity","SUPPLY_CHAIN_CUSTOMERS_ALL_DATA","cols=12;rows=5")</f>
        <v>VZ US Equity</v>
      </c>
      <c r="P5">
        <v>29.511099000000002</v>
      </c>
      <c r="Q5" t="s">
        <v>1786</v>
      </c>
      <c r="R5">
        <v>9.5416000000000001E-2</v>
      </c>
      <c r="S5" t="s">
        <v>1809</v>
      </c>
      <c r="T5">
        <v>2025</v>
      </c>
      <c r="U5" t="s">
        <v>3904</v>
      </c>
      <c r="V5" s="6">
        <v>45849</v>
      </c>
      <c r="W5">
        <v>5</v>
      </c>
      <c r="X5">
        <v>12457520</v>
      </c>
      <c r="Y5">
        <v>100185</v>
      </c>
      <c r="Z5" t="s">
        <v>1894</v>
      </c>
      <c r="AE5" t="str">
        <f>_xll.BDS("2596516D US Equity","SUPPLY_CHAIN_SUPPLIERS_ALL_DATA")</f>
        <v>#N/A N/A</v>
      </c>
      <c r="AS5" t="str">
        <f>_xll.BDS("2596516D US Equity","SUPPLY_CHAIN_CUSTOMERS_ALL_DATA")</f>
        <v>#N/A N/A</v>
      </c>
      <c r="BI5" t="str">
        <f>_xll.BDS("STEL US Equity","SUPPLY_CHAIN_SUPPLIERS_ALL_DATA")</f>
        <v>#N/A N/A</v>
      </c>
      <c r="BW5" t="str">
        <f>_xll.BDS("STEL US Equity","SUPPLY_CHAIN_CUSTOMERS_ALL_DATA")</f>
        <v>#N/A N/A</v>
      </c>
      <c r="CM5" t="str">
        <f>_xll.BDS("RRD US Equity","SUPPLY_CHAIN_SUPPLIERS_ALL_DATA","cols=12;rows=5")</f>
        <v>FNOVA17 MM Equity</v>
      </c>
      <c r="CO5">
        <v>1.2</v>
      </c>
      <c r="CP5">
        <v>-2.4245362661989844E-14</v>
      </c>
      <c r="CQ5" t="s">
        <v>1745</v>
      </c>
      <c r="CR5">
        <v>2024</v>
      </c>
      <c r="CS5" t="s">
        <v>3430</v>
      </c>
      <c r="CT5" s="6">
        <v>45698</v>
      </c>
      <c r="CU5">
        <v>5</v>
      </c>
      <c r="CV5">
        <v>218270.92</v>
      </c>
      <c r="CW5">
        <v>13706960</v>
      </c>
      <c r="CX5" t="s">
        <v>3431</v>
      </c>
      <c r="DA5" t="str">
        <f>_xll.BDS("RRD US Equity","SUPPLY_CHAIN_CUSTOMERS_ALL_DATA","cols=12;rows=5")</f>
        <v>1646058D US Equity</v>
      </c>
      <c r="DB5">
        <v>-2.4245362661989844E-14</v>
      </c>
      <c r="DD5">
        <v>-2.4245362661989844E-14</v>
      </c>
      <c r="DE5" t="s">
        <v>1745</v>
      </c>
      <c r="DF5">
        <v>2024</v>
      </c>
      <c r="DG5" t="s">
        <v>2015</v>
      </c>
      <c r="DH5" s="6">
        <v>45348</v>
      </c>
      <c r="DI5">
        <v>5</v>
      </c>
      <c r="DJ5">
        <v>-2.4245362661989844E-14</v>
      </c>
      <c r="DK5">
        <v>47365286</v>
      </c>
      <c r="DL5" t="s">
        <v>2016</v>
      </c>
      <c r="DQ5" t="str">
        <f>_xll.BDS("KMB US Equity","SUPPLY_CHAIN_SUPPLIERS_ALL_DATA","cols=12;rows=5")</f>
        <v>GPK US Equity</v>
      </c>
      <c r="DR5" t="s">
        <v>1786</v>
      </c>
      <c r="DS5">
        <v>1.0643819999999999</v>
      </c>
      <c r="DT5">
        <v>0.85077700000000001</v>
      </c>
      <c r="DU5" t="s">
        <v>1845</v>
      </c>
      <c r="DV5">
        <v>2025</v>
      </c>
      <c r="DW5" t="s">
        <v>3875</v>
      </c>
      <c r="DX5" s="6">
        <v>46076</v>
      </c>
      <c r="DY5">
        <v>5</v>
      </c>
      <c r="DZ5">
        <v>22383952</v>
      </c>
      <c r="EA5">
        <v>187274</v>
      </c>
      <c r="EB5" t="s">
        <v>3876</v>
      </c>
      <c r="EE5" t="str">
        <f>_xll.BDS("KMB US Equity","SUPPLY_CHAIN_CUSTOMERS_ALL_DATA","cols=12;rows=5")</f>
        <v>WMT US Equity</v>
      </c>
      <c r="EF5">
        <v>16</v>
      </c>
      <c r="EG5" t="s">
        <v>1786</v>
      </c>
      <c r="EH5">
        <v>0.49151</v>
      </c>
      <c r="EI5" t="s">
        <v>1745</v>
      </c>
      <c r="EJ5">
        <v>2025</v>
      </c>
      <c r="EK5" t="s">
        <v>4794</v>
      </c>
      <c r="EL5" s="6">
        <v>46065</v>
      </c>
      <c r="EM5">
        <v>5</v>
      </c>
      <c r="EN5">
        <v>657880000</v>
      </c>
      <c r="EO5">
        <v>101616</v>
      </c>
      <c r="EP5" t="s">
        <v>2098</v>
      </c>
      <c r="EU5" t="str">
        <f>_xll.BDS("MS US Equity","SUPPLY_CHAIN_SUPPLIERS_ALL_DATA","cols=12;rows=5")</f>
        <v>DLR US Equity</v>
      </c>
      <c r="EV5" t="s">
        <v>1769</v>
      </c>
      <c r="EW5">
        <v>0.65346000000000004</v>
      </c>
      <c r="EX5">
        <v>9.1481999999999994E-2</v>
      </c>
      <c r="EY5" t="s">
        <v>1745</v>
      </c>
      <c r="EZ5">
        <v>2025</v>
      </c>
      <c r="FA5" t="s">
        <v>5002</v>
      </c>
      <c r="FB5" s="6">
        <v>46066</v>
      </c>
      <c r="FC5">
        <v>5</v>
      </c>
      <c r="FD5">
        <v>9986000</v>
      </c>
      <c r="FE5">
        <v>9084002</v>
      </c>
      <c r="FF5" t="s">
        <v>5003</v>
      </c>
      <c r="FI5" t="str">
        <f>_xll.BDS("MS US Equity","SUPPLY_CHAIN_CUSTOMERS_ALL_DATA","cols=12;rows=5")</f>
        <v>012690 KS Equity</v>
      </c>
      <c r="FJ5">
        <v>-2.4245362661989844E-14</v>
      </c>
      <c r="FL5">
        <v>-2.4245362661989844E-14</v>
      </c>
      <c r="FM5" t="s">
        <v>2435</v>
      </c>
      <c r="FN5">
        <v>2023</v>
      </c>
      <c r="FO5" t="s">
        <v>4708</v>
      </c>
      <c r="FP5" s="6">
        <v>45061</v>
      </c>
      <c r="FQ5">
        <v>5</v>
      </c>
      <c r="FR5">
        <v>-2.4245362661989844E-14</v>
      </c>
      <c r="FS5">
        <v>129275</v>
      </c>
      <c r="FT5" t="s">
        <v>4709</v>
      </c>
      <c r="FY5" t="str">
        <f>_xll.BDS("LKQ US Equity","SUPPLY_CHAIN_SUPPLIERS_ALL_DATA","cols=12;rows=5")</f>
        <v>INFO IN Equity</v>
      </c>
      <c r="FZ5" t="s">
        <v>1769</v>
      </c>
      <c r="GA5">
        <v>0.38285400000000003</v>
      </c>
      <c r="GB5">
        <v>1.872989</v>
      </c>
      <c r="GC5" t="s">
        <v>1762</v>
      </c>
      <c r="GD5">
        <v>2026</v>
      </c>
      <c r="GE5" t="s">
        <v>4110</v>
      </c>
      <c r="GF5" s="6">
        <v>46022</v>
      </c>
      <c r="GG5">
        <v>5</v>
      </c>
      <c r="GH5">
        <v>17950504.309999999</v>
      </c>
      <c r="GI5">
        <v>174545</v>
      </c>
      <c r="GJ5" t="s">
        <v>4111</v>
      </c>
      <c r="GM5" t="str">
        <f>_xll.BDS("LKQ US Equity","SUPPLY_CHAIN_CUSTOMERS_ALL_DATA","cols=12;rows=5")</f>
        <v>CEC GR Equity</v>
      </c>
      <c r="GN5">
        <v>1.7556780000000001</v>
      </c>
      <c r="GO5" t="s">
        <v>1786</v>
      </c>
      <c r="GP5">
        <v>1.4288920000000001</v>
      </c>
      <c r="GQ5" t="s">
        <v>1742</v>
      </c>
      <c r="GR5">
        <v>2025</v>
      </c>
      <c r="GS5" t="s">
        <v>2089</v>
      </c>
      <c r="GT5" s="6">
        <v>45926</v>
      </c>
      <c r="GU5">
        <v>5</v>
      </c>
      <c r="GV5">
        <v>63916270.450000003</v>
      </c>
      <c r="GW5">
        <v>191315</v>
      </c>
      <c r="GX5" t="s">
        <v>2090</v>
      </c>
      <c r="HC5" t="str">
        <f>_xll.BDS("TMHC US Equity","SUPPLY_CHAIN_SUPPLIERS_ALL_DATA","cols=12;rows=4")</f>
        <v>WMS US Equity</v>
      </c>
      <c r="HD5" t="s">
        <v>1786</v>
      </c>
      <c r="HE5">
        <v>0.32830100000000001</v>
      </c>
      <c r="HF5">
        <v>0.17435899999999999</v>
      </c>
      <c r="HG5" t="s">
        <v>1809</v>
      </c>
      <c r="HH5">
        <v>2026</v>
      </c>
      <c r="HI5" t="s">
        <v>4411</v>
      </c>
      <c r="HJ5" s="6">
        <v>45891</v>
      </c>
      <c r="HK5">
        <v>4</v>
      </c>
      <c r="HL5">
        <v>2724504</v>
      </c>
      <c r="HM5">
        <v>7799313</v>
      </c>
      <c r="HN5" t="s">
        <v>4412</v>
      </c>
      <c r="HQ5" t="str">
        <f>_xll.BDS("TMHC US Equity","SUPPLY_CHAIN_CUSTOMERS_ALL_DATA")</f>
        <v>#N/A N/A</v>
      </c>
      <c r="IG5" t="str">
        <f>_xll.BDS("0876902D US Equity","SUPPLY_CHAIN_SUPPLIERS_ALL_DATA","cols=12;rows=5")</f>
        <v>067010 KS Equity</v>
      </c>
      <c r="II5">
        <v>-2.4245362661989844E-14</v>
      </c>
      <c r="IJ5">
        <v>-2.4245362661989844E-14</v>
      </c>
      <c r="IK5" t="s">
        <v>1993</v>
      </c>
      <c r="IL5">
        <v>2026</v>
      </c>
      <c r="IM5" t="s">
        <v>4015</v>
      </c>
      <c r="IN5" s="6">
        <v>45975</v>
      </c>
      <c r="IO5">
        <v>5</v>
      </c>
      <c r="IP5">
        <v>-2.4245362661989844E-14</v>
      </c>
      <c r="IQ5">
        <v>13148622</v>
      </c>
      <c r="IR5" t="s">
        <v>4016</v>
      </c>
      <c r="IU5" t="str">
        <f>_xll.BDS("0876902D US Equity","SUPPLY_CHAIN_CUSTOMERS_ALL_DATA","cols=12;rows=1")</f>
        <v>SNX US Equity</v>
      </c>
      <c r="IV5">
        <v>-2.4245362661989844E-14</v>
      </c>
      <c r="IX5">
        <v>-2.4245362661989844E-14</v>
      </c>
      <c r="IY5" t="s">
        <v>1745</v>
      </c>
      <c r="IZ5">
        <v>2021</v>
      </c>
      <c r="JA5" t="s">
        <v>3645</v>
      </c>
      <c r="JB5" s="6">
        <v>44656</v>
      </c>
      <c r="JC5">
        <v>1</v>
      </c>
      <c r="JD5">
        <v>-2.4245362661989844E-14</v>
      </c>
      <c r="JE5">
        <v>1499717</v>
      </c>
      <c r="JF5" t="s">
        <v>1864</v>
      </c>
      <c r="JK5" t="str">
        <f>_xll.BDS("INTC US Equity","SUPPLY_CHAIN_SUPPLIERS_ALL_DATA","cols=12;rows=5")</f>
        <v>ASML NA Equity</v>
      </c>
      <c r="JL5" t="s">
        <v>1820</v>
      </c>
      <c r="JM5">
        <v>9.5417889999999996</v>
      </c>
      <c r="JN5">
        <v>34.554512000000003</v>
      </c>
      <c r="JO5" t="s">
        <v>1762</v>
      </c>
      <c r="JP5">
        <v>2025</v>
      </c>
      <c r="JQ5" t="s">
        <v>3003</v>
      </c>
      <c r="JR5" s="6">
        <v>45979</v>
      </c>
      <c r="JS5">
        <v>5</v>
      </c>
      <c r="JT5">
        <v>812256358.32000005</v>
      </c>
      <c r="JU5">
        <v>163205</v>
      </c>
      <c r="JV5" t="s">
        <v>3004</v>
      </c>
      <c r="JY5" t="str">
        <f>_xll.BDS("INTC US Equity","SUPPLY_CHAIN_CUSTOMERS_ALL_DATA","cols=12;rows=5")</f>
        <v>DELL US Equity</v>
      </c>
      <c r="JZ5">
        <v>19.035398000000001</v>
      </c>
      <c r="KA5" t="s">
        <v>1786</v>
      </c>
      <c r="KB5">
        <v>12.156269</v>
      </c>
      <c r="KC5" t="s">
        <v>1845</v>
      </c>
      <c r="KD5">
        <v>2025</v>
      </c>
      <c r="KE5" t="s">
        <v>2245</v>
      </c>
      <c r="KF5" s="6">
        <v>46048</v>
      </c>
      <c r="KG5">
        <v>5</v>
      </c>
      <c r="KH5">
        <v>2602900224</v>
      </c>
      <c r="KI5">
        <v>50985605</v>
      </c>
      <c r="KJ5" t="s">
        <v>3506</v>
      </c>
      <c r="KO5" t="str">
        <f>_xll.BDS("355488Q US Equity","SUPPLY_CHAIN_SUPPLIERS_ALL_DATA")</f>
        <v>#N/A N/A</v>
      </c>
      <c r="LC5" t="str">
        <f>_xll.BDS("355488Q US Equity","SUPPLY_CHAIN_CUSTOMERS_ALL_DATA")</f>
        <v>#N/A N/A</v>
      </c>
      <c r="LS5" t="str">
        <f>_xll.BDS("AA US Equity","SUPPLY_CHAIN_SUPPLIERS_ALL_DATA","cols=12;rows=5")</f>
        <v>MAADEN AB Equity</v>
      </c>
      <c r="LT5" t="s">
        <v>1786</v>
      </c>
      <c r="LU5">
        <v>4.2572039999999998</v>
      </c>
      <c r="LV5">
        <v>3.644434</v>
      </c>
      <c r="LW5" t="s">
        <v>1745</v>
      </c>
      <c r="LX5">
        <v>2024</v>
      </c>
      <c r="LY5" t="s">
        <v>2045</v>
      </c>
      <c r="LZ5" s="6">
        <v>45729</v>
      </c>
      <c r="MA5">
        <v>5</v>
      </c>
      <c r="MB5">
        <v>91511433.980000004</v>
      </c>
      <c r="MC5">
        <v>948635</v>
      </c>
      <c r="MD5" t="s">
        <v>2046</v>
      </c>
      <c r="MG5" t="str">
        <f>_xll.BDS("AA US Equity","SUPPLY_CHAIN_CUSTOMERS_ALL_DATA","cols=12;rows=5")</f>
        <v>MAADEN AB Equity</v>
      </c>
      <c r="MH5">
        <v>1.3594E-2</v>
      </c>
      <c r="MI5" t="s">
        <v>1786</v>
      </c>
      <c r="MJ5">
        <v>2.6039E-2</v>
      </c>
      <c r="MK5" t="s">
        <v>1745</v>
      </c>
      <c r="ML5">
        <v>2024</v>
      </c>
      <c r="MM5" t="s">
        <v>2045</v>
      </c>
      <c r="MN5" s="6">
        <v>45729</v>
      </c>
      <c r="MO5">
        <v>5</v>
      </c>
      <c r="MP5">
        <v>404250.67</v>
      </c>
      <c r="MQ5">
        <v>948635</v>
      </c>
      <c r="MR5" t="s">
        <v>2046</v>
      </c>
      <c r="MW5" t="str">
        <f>_xll.BDS("HPQ US Equity","SUPPLY_CHAIN_SUPPLIERS_ALL_DATA","cols=12;rows=5")</f>
        <v>2356 TT Equity</v>
      </c>
      <c r="MX5" t="s">
        <v>1786</v>
      </c>
      <c r="MY5">
        <v>36.343342</v>
      </c>
      <c r="MZ5">
        <v>18.051394999999999</v>
      </c>
      <c r="NA5" t="s">
        <v>1742</v>
      </c>
      <c r="NB5">
        <v>2025</v>
      </c>
      <c r="NC5" t="s">
        <v>2243</v>
      </c>
      <c r="ND5" s="6">
        <v>46035</v>
      </c>
      <c r="NE5">
        <v>5</v>
      </c>
      <c r="NF5">
        <v>2141270971.6500001</v>
      </c>
      <c r="NG5">
        <v>193712</v>
      </c>
      <c r="NH5" t="s">
        <v>2244</v>
      </c>
      <c r="NK5" t="str">
        <f>_xll.BDS("HPQ US Equity","SUPPLY_CHAIN_CUSTOMERS_ALL_DATA","cols=12;rows=5")</f>
        <v>SNX US Equity</v>
      </c>
      <c r="NL5">
        <v>12</v>
      </c>
      <c r="NM5" t="s">
        <v>1786</v>
      </c>
      <c r="NN5">
        <v>11.690618000000001</v>
      </c>
      <c r="NO5" t="s">
        <v>1745</v>
      </c>
      <c r="NP5">
        <v>2025</v>
      </c>
      <c r="NQ5" t="s">
        <v>1863</v>
      </c>
      <c r="NR5" s="6">
        <v>46001</v>
      </c>
      <c r="NS5">
        <v>5</v>
      </c>
      <c r="NT5">
        <v>1658850048</v>
      </c>
      <c r="NU5">
        <v>1499717</v>
      </c>
      <c r="NV5" t="s">
        <v>1864</v>
      </c>
      <c r="OA5" t="str">
        <f>_xll.BDS("ECOL US Equity","SUPPLY_CHAIN_SUPPLIERS_ALL_DATA","cols=12;rows=1")</f>
        <v>FE US Equity</v>
      </c>
      <c r="OC5">
        <v>-2.4245362661989844E-14</v>
      </c>
      <c r="OD5">
        <v>-2.4245362661989844E-14</v>
      </c>
      <c r="OE5" t="s">
        <v>1745</v>
      </c>
      <c r="OF5">
        <v>2021</v>
      </c>
      <c r="OG5" t="s">
        <v>2288</v>
      </c>
      <c r="OH5" s="6">
        <v>44693</v>
      </c>
      <c r="OI5">
        <v>1</v>
      </c>
      <c r="OJ5">
        <v>-2.4245362661989844E-14</v>
      </c>
      <c r="OK5">
        <v>302916</v>
      </c>
      <c r="OL5" t="s">
        <v>2289</v>
      </c>
      <c r="OO5" t="str">
        <f>_xll.BDS("ECOL US Equity","SUPPLY_CHAIN_CUSTOMERS_ALL_DATA")</f>
        <v>#N/A N/A</v>
      </c>
      <c r="PE5" t="str">
        <f>_xll.BDS("CIEN US Equity","SUPPLY_CHAIN_SUPPLIERS_ALL_DATA","cols=12;rows=5")</f>
        <v>LITE US Equity</v>
      </c>
      <c r="PF5" t="s">
        <v>1786</v>
      </c>
      <c r="PG5">
        <v>22.006122999999999</v>
      </c>
      <c r="PH5">
        <v>16.399232999999999</v>
      </c>
      <c r="PI5" t="s">
        <v>1809</v>
      </c>
      <c r="PJ5">
        <v>2026</v>
      </c>
      <c r="PK5" t="s">
        <v>3442</v>
      </c>
      <c r="PL5" s="6">
        <v>45967</v>
      </c>
      <c r="PM5">
        <v>5</v>
      </c>
      <c r="PN5">
        <v>117468680</v>
      </c>
      <c r="PO5">
        <v>42186257</v>
      </c>
      <c r="PP5" t="s">
        <v>2666</v>
      </c>
      <c r="PS5" t="str">
        <f>_xll.BDS("CIEN US Equity","SUPPLY_CHAIN_CUSTOMERS_ALL_DATA","cols=12;rows=5")</f>
        <v>T US Equity</v>
      </c>
      <c r="PT5">
        <v>10.5</v>
      </c>
      <c r="PU5" t="s">
        <v>1820</v>
      </c>
      <c r="PV5">
        <v>2.395235</v>
      </c>
      <c r="PW5" t="s">
        <v>1745</v>
      </c>
      <c r="PX5">
        <v>2025</v>
      </c>
      <c r="PY5" t="s">
        <v>4178</v>
      </c>
      <c r="PZ5" s="6">
        <v>46003</v>
      </c>
      <c r="QA5">
        <v>5</v>
      </c>
      <c r="QB5">
        <v>125175000</v>
      </c>
      <c r="QC5">
        <v>101376</v>
      </c>
      <c r="QD5" t="s">
        <v>1895</v>
      </c>
      <c r="QI5" t="str">
        <f>_xll.BDS("CVIAQ US Equity","SUPPLY_CHAIN_SUPPLIERS_ALL_DATA")</f>
        <v>#N/A N/A</v>
      </c>
      <c r="QW5" t="str">
        <f>_xll.BDS("CVIAQ US Equity","SUPPLY_CHAIN_CUSTOMERS_ALL_DATA")</f>
        <v>#N/A N/A</v>
      </c>
      <c r="RM5" t="str">
        <f>_xll.BDS("1284849D US Equity","SUPPLY_CHAIN_SUPPLIERS_ALL_DATA","cols=12;rows=5")</f>
        <v>AEE US Equity</v>
      </c>
      <c r="RO5">
        <v>-2.4245362661989844E-14</v>
      </c>
      <c r="RP5">
        <v>-2.4245362661989844E-14</v>
      </c>
      <c r="RQ5" t="s">
        <v>1745</v>
      </c>
      <c r="RR5">
        <v>2021</v>
      </c>
      <c r="RS5" t="s">
        <v>2281</v>
      </c>
      <c r="RT5" s="6">
        <v>44693</v>
      </c>
      <c r="RU5">
        <v>5</v>
      </c>
      <c r="RV5">
        <v>-2.4245362661989844E-14</v>
      </c>
      <c r="RW5">
        <v>313098</v>
      </c>
      <c r="RX5" t="s">
        <v>2282</v>
      </c>
      <c r="SA5" t="str">
        <f>_xll.BDS("1284849D US Equity","SUPPLY_CHAIN_CUSTOMERS_ALL_DATA","cols=12;rows=1")</f>
        <v>4569 JP Equity</v>
      </c>
      <c r="SB5">
        <v>-2.4245362661989844E-14</v>
      </c>
      <c r="SD5">
        <v>-2.4245362661989844E-14</v>
      </c>
      <c r="SE5" t="s">
        <v>1745</v>
      </c>
      <c r="SF5">
        <v>2022</v>
      </c>
      <c r="SG5" t="s">
        <v>3152</v>
      </c>
      <c r="SH5" s="6">
        <v>44736</v>
      </c>
      <c r="SI5">
        <v>1</v>
      </c>
      <c r="SJ5">
        <v>-2.4245362661989844E-14</v>
      </c>
      <c r="SK5">
        <v>10499395</v>
      </c>
      <c r="SL5" t="s">
        <v>3153</v>
      </c>
      <c r="SQ5" t="str">
        <f>_xll.BDS("DLX US Equity","SUPPLY_CHAIN_SUPPLIERS_ALL_DATA","cols=12;rows=5")</f>
        <v>FSP US Equity</v>
      </c>
      <c r="SR5" t="s">
        <v>1769</v>
      </c>
      <c r="SS5">
        <v>2.5172490000000001</v>
      </c>
      <c r="ST5">
        <v>0.33255600000000002</v>
      </c>
      <c r="SU5" t="s">
        <v>1745</v>
      </c>
      <c r="SV5">
        <v>2024</v>
      </c>
      <c r="SW5" t="s">
        <v>3367</v>
      </c>
      <c r="SX5" s="6">
        <v>45699</v>
      </c>
      <c r="SY5">
        <v>5</v>
      </c>
      <c r="SZ5">
        <v>755879.5</v>
      </c>
      <c r="TA5">
        <v>1749265</v>
      </c>
      <c r="TB5" t="s">
        <v>3368</v>
      </c>
      <c r="TE5" t="str">
        <f>_xll.BDS("DLX US Equity","SUPPLY_CHAIN_CUSTOMERS_ALL_DATA","cols=12;rows=5")</f>
        <v>3554968Z US Equity</v>
      </c>
      <c r="TF5">
        <v>-2.4245362661989844E-14</v>
      </c>
      <c r="TH5">
        <v>-2.4245362661989844E-14</v>
      </c>
      <c r="TI5" t="s">
        <v>1745</v>
      </c>
      <c r="TJ5">
        <v>2022</v>
      </c>
      <c r="TK5" t="s">
        <v>5201</v>
      </c>
      <c r="TL5" s="6">
        <v>44748</v>
      </c>
      <c r="TM5">
        <v>5</v>
      </c>
      <c r="TN5">
        <v>-2.4245362661989844E-14</v>
      </c>
      <c r="TO5">
        <v>18238696</v>
      </c>
      <c r="TP5" t="s">
        <v>5202</v>
      </c>
      <c r="TU5" t="str">
        <f>_xll.BDS("WBA US Equity","SUPPLY_CHAIN_SUPPLIERS_ALL_DATA","cols=12;rows=5")</f>
        <v>COR US Equity</v>
      </c>
      <c r="TV5" t="s">
        <v>1786</v>
      </c>
      <c r="TW5">
        <v>26.14452</v>
      </c>
      <c r="TX5">
        <v>60.735835999999999</v>
      </c>
      <c r="TY5" t="s">
        <v>1742</v>
      </c>
      <c r="TZ5">
        <v>2025</v>
      </c>
      <c r="UA5" t="s">
        <v>3013</v>
      </c>
      <c r="UB5" s="6">
        <v>45834</v>
      </c>
      <c r="UC5">
        <v>5</v>
      </c>
      <c r="UD5">
        <v>19727000000</v>
      </c>
      <c r="UE5">
        <v>156969</v>
      </c>
      <c r="UF5" t="s">
        <v>2148</v>
      </c>
      <c r="UI5" t="str">
        <f>_xll.BDS("WBA US Equity","SUPPLY_CHAIN_CUSTOMERS_ALL_DATA","cols=12;rows=5")</f>
        <v>1920799D US Equity</v>
      </c>
      <c r="UJ5">
        <v>-2.4245362661989844E-14</v>
      </c>
      <c r="UL5">
        <v>-2.4245362661989844E-14</v>
      </c>
      <c r="UM5" t="s">
        <v>1745</v>
      </c>
      <c r="UN5">
        <v>2023</v>
      </c>
      <c r="UO5" t="s">
        <v>3963</v>
      </c>
      <c r="UP5" s="6">
        <v>45181</v>
      </c>
      <c r="UQ5">
        <v>5</v>
      </c>
      <c r="UR5">
        <v>-2.4245362661989844E-14</v>
      </c>
      <c r="US5">
        <v>69747064</v>
      </c>
      <c r="UT5" t="s">
        <v>3964</v>
      </c>
      <c r="UY5" t="str">
        <f>_xll.BDS("IBM US Equity","SUPPLY_CHAIN_SUPPLIERS_ALL_DATA","cols=12;rows=5")</f>
        <v>005930 KS Equity</v>
      </c>
      <c r="UZ5" t="s">
        <v>1786</v>
      </c>
      <c r="VA5">
        <v>0.49490499999999998</v>
      </c>
      <c r="VB5">
        <v>4.1423690000000004</v>
      </c>
      <c r="VC5" t="s">
        <v>1809</v>
      </c>
      <c r="VD5">
        <v>2025</v>
      </c>
      <c r="VE5" t="s">
        <v>2035</v>
      </c>
      <c r="VF5" s="6">
        <v>45797</v>
      </c>
      <c r="VG5">
        <v>5</v>
      </c>
      <c r="VH5">
        <v>269668224</v>
      </c>
      <c r="VI5">
        <v>117929</v>
      </c>
      <c r="VJ5" t="s">
        <v>1791</v>
      </c>
      <c r="VM5" t="str">
        <f>_xll.BDS("IBM US Equity","SUPPLY_CHAIN_CUSTOMERS_ALL_DATA","cols=12;rows=5")</f>
        <v>AMZN US Equity</v>
      </c>
      <c r="VN5">
        <v>4.454224</v>
      </c>
      <c r="VO5" t="s">
        <v>1786</v>
      </c>
      <c r="VP5">
        <v>0.84141600000000005</v>
      </c>
      <c r="VQ5" t="s">
        <v>1809</v>
      </c>
      <c r="VR5">
        <v>2025</v>
      </c>
      <c r="VS5" t="s">
        <v>2035</v>
      </c>
      <c r="VT5" s="6">
        <v>45797</v>
      </c>
      <c r="VU5">
        <v>5</v>
      </c>
      <c r="VV5">
        <v>647688704</v>
      </c>
      <c r="VW5">
        <v>216952</v>
      </c>
      <c r="VX5" t="s">
        <v>1886</v>
      </c>
    </row>
    <row r="6" spans="1:600" x14ac:dyDescent="0.25">
      <c r="O6" t="s">
        <v>1287</v>
      </c>
      <c r="P6">
        <v>24.799097</v>
      </c>
      <c r="Q6" t="s">
        <v>1786</v>
      </c>
      <c r="R6">
        <v>8.5072999999999996E-2</v>
      </c>
      <c r="S6" t="s">
        <v>1809</v>
      </c>
      <c r="T6">
        <v>2025</v>
      </c>
      <c r="U6" t="s">
        <v>3904</v>
      </c>
      <c r="V6" s="6">
        <v>45849</v>
      </c>
      <c r="W6">
        <v>5</v>
      </c>
      <c r="X6">
        <v>10468443</v>
      </c>
      <c r="Y6">
        <v>101376</v>
      </c>
      <c r="Z6" t="s">
        <v>1895</v>
      </c>
      <c r="CM6" t="s">
        <v>4210</v>
      </c>
      <c r="CO6">
        <v>-2.4245362661989844E-14</v>
      </c>
      <c r="CP6">
        <v>-2.4245362661989844E-14</v>
      </c>
      <c r="CQ6" t="s">
        <v>1745</v>
      </c>
      <c r="CR6">
        <v>2022</v>
      </c>
      <c r="CS6" t="s">
        <v>4211</v>
      </c>
      <c r="CT6" s="6">
        <v>44693</v>
      </c>
      <c r="CU6">
        <v>5</v>
      </c>
      <c r="CV6">
        <v>-2.4245362661989844E-14</v>
      </c>
      <c r="CW6">
        <v>113413</v>
      </c>
      <c r="CX6" t="s">
        <v>4212</v>
      </c>
      <c r="DA6" t="s">
        <v>2017</v>
      </c>
      <c r="DB6">
        <v>-2.4245362661989844E-14</v>
      </c>
      <c r="DD6">
        <v>-2.4245362661989844E-14</v>
      </c>
      <c r="DE6" t="s">
        <v>1745</v>
      </c>
      <c r="DF6">
        <v>2025</v>
      </c>
      <c r="DG6" t="s">
        <v>2018</v>
      </c>
      <c r="DH6" s="6">
        <v>45777</v>
      </c>
      <c r="DI6">
        <v>5</v>
      </c>
      <c r="DJ6">
        <v>-2.4245362661989844E-14</v>
      </c>
      <c r="DK6">
        <v>957754</v>
      </c>
      <c r="DL6" t="s">
        <v>2019</v>
      </c>
      <c r="DQ6" t="s">
        <v>5093</v>
      </c>
      <c r="DR6" t="s">
        <v>1786</v>
      </c>
      <c r="DS6">
        <v>1.6809879999999999</v>
      </c>
      <c r="DT6">
        <v>0.388326</v>
      </c>
      <c r="DU6" t="s">
        <v>1742</v>
      </c>
      <c r="DV6">
        <v>2025</v>
      </c>
      <c r="DW6" t="s">
        <v>5094</v>
      </c>
      <c r="DX6" s="6">
        <v>45985</v>
      </c>
      <c r="DY6">
        <v>5</v>
      </c>
      <c r="DZ6">
        <v>13510351.98</v>
      </c>
      <c r="EA6">
        <v>125320</v>
      </c>
      <c r="EB6" t="s">
        <v>5095</v>
      </c>
      <c r="EE6" t="s">
        <v>1854</v>
      </c>
      <c r="EF6">
        <v>7.6823969999999999</v>
      </c>
      <c r="EG6" t="s">
        <v>1786</v>
      </c>
      <c r="EH6">
        <v>0.65840699999999996</v>
      </c>
      <c r="EI6" t="s">
        <v>1742</v>
      </c>
      <c r="EJ6">
        <v>2025</v>
      </c>
      <c r="EK6" t="s">
        <v>4795</v>
      </c>
      <c r="EL6" s="6">
        <v>46003</v>
      </c>
      <c r="EM6">
        <v>5</v>
      </c>
      <c r="EN6">
        <v>385233792</v>
      </c>
      <c r="EO6">
        <v>101758</v>
      </c>
      <c r="EP6" t="s">
        <v>1856</v>
      </c>
      <c r="EU6" t="s">
        <v>5004</v>
      </c>
      <c r="EV6" t="s">
        <v>1769</v>
      </c>
      <c r="EW6">
        <v>2.7101419999999998</v>
      </c>
      <c r="EX6">
        <v>5.1628E-2</v>
      </c>
      <c r="EY6" t="s">
        <v>1745</v>
      </c>
      <c r="EZ6">
        <v>2024</v>
      </c>
      <c r="FA6" t="s">
        <v>5005</v>
      </c>
      <c r="FB6" s="6">
        <v>45715</v>
      </c>
      <c r="FC6">
        <v>5</v>
      </c>
      <c r="FD6">
        <v>5132000</v>
      </c>
      <c r="FE6">
        <v>979463</v>
      </c>
      <c r="FF6" t="s">
        <v>5006</v>
      </c>
      <c r="FI6" t="s">
        <v>4710</v>
      </c>
      <c r="FJ6">
        <v>-2.4245362661989844E-14</v>
      </c>
      <c r="FL6">
        <v>-2.4245362661989844E-14</v>
      </c>
      <c r="FM6" t="s">
        <v>1798</v>
      </c>
      <c r="FN6">
        <v>2023</v>
      </c>
      <c r="FO6" t="s">
        <v>4711</v>
      </c>
      <c r="FP6" s="6">
        <v>45244</v>
      </c>
      <c r="FQ6">
        <v>5</v>
      </c>
      <c r="FR6">
        <v>-2.4245362661989844E-14</v>
      </c>
      <c r="FS6">
        <v>866472</v>
      </c>
      <c r="FT6" t="s">
        <v>4712</v>
      </c>
      <c r="FY6" t="s">
        <v>4322</v>
      </c>
      <c r="FZ6" t="s">
        <v>1786</v>
      </c>
      <c r="GA6">
        <v>7.3687000000000002E-2</v>
      </c>
      <c r="GB6">
        <v>0.20865300000000001</v>
      </c>
      <c r="GC6" t="s">
        <v>1762</v>
      </c>
      <c r="GD6">
        <v>2025</v>
      </c>
      <c r="GE6" t="s">
        <v>4323</v>
      </c>
      <c r="GF6" s="6">
        <v>45869</v>
      </c>
      <c r="GG6">
        <v>5</v>
      </c>
      <c r="GH6">
        <v>4652966</v>
      </c>
      <c r="GI6">
        <v>101341</v>
      </c>
      <c r="GJ6" t="s">
        <v>4324</v>
      </c>
      <c r="GM6" t="s">
        <v>4260</v>
      </c>
      <c r="GN6">
        <v>1.5629999999999999E-3</v>
      </c>
      <c r="GO6" t="s">
        <v>1786</v>
      </c>
      <c r="GP6">
        <v>2.862E-2</v>
      </c>
      <c r="GQ6" t="s">
        <v>1745</v>
      </c>
      <c r="GR6">
        <v>2024</v>
      </c>
      <c r="GS6" t="s">
        <v>4261</v>
      </c>
      <c r="GT6" s="6">
        <v>45765</v>
      </c>
      <c r="GU6">
        <v>5</v>
      </c>
      <c r="GV6">
        <v>55309.75</v>
      </c>
      <c r="GW6">
        <v>7818572</v>
      </c>
      <c r="GX6" t="s">
        <v>4262</v>
      </c>
      <c r="HC6" t="s">
        <v>5699</v>
      </c>
      <c r="HD6" t="s">
        <v>1786</v>
      </c>
      <c r="HE6">
        <v>6</v>
      </c>
      <c r="HF6">
        <v>3.3852E-2</v>
      </c>
      <c r="HG6" t="s">
        <v>2435</v>
      </c>
      <c r="HH6">
        <v>2025</v>
      </c>
      <c r="HI6" t="s">
        <v>5700</v>
      </c>
      <c r="HJ6" s="6">
        <v>46029</v>
      </c>
      <c r="HK6">
        <v>4</v>
      </c>
      <c r="HL6">
        <v>548100</v>
      </c>
      <c r="HM6">
        <v>136177</v>
      </c>
      <c r="HN6" t="s">
        <v>5701</v>
      </c>
      <c r="IG6" t="s">
        <v>4017</v>
      </c>
      <c r="II6">
        <v>-2.4245362661989844E-14</v>
      </c>
      <c r="IJ6">
        <v>-2.4245362661989844E-14</v>
      </c>
      <c r="IK6" t="s">
        <v>1745</v>
      </c>
      <c r="IL6">
        <v>2025</v>
      </c>
      <c r="IM6" t="s">
        <v>4018</v>
      </c>
      <c r="IN6" s="6">
        <v>45999</v>
      </c>
      <c r="IO6">
        <v>5</v>
      </c>
      <c r="IP6">
        <v>-2.4245362661989844E-14</v>
      </c>
      <c r="IQ6">
        <v>45614931</v>
      </c>
      <c r="IR6" t="s">
        <v>4019</v>
      </c>
      <c r="JK6" t="s">
        <v>2170</v>
      </c>
      <c r="JL6" t="s">
        <v>1786</v>
      </c>
      <c r="JM6">
        <v>2.9053209999999998</v>
      </c>
      <c r="JN6">
        <v>8.9932630000000007</v>
      </c>
      <c r="JO6" t="s">
        <v>1845</v>
      </c>
      <c r="JP6">
        <v>2024</v>
      </c>
      <c r="JQ6" t="s">
        <v>3435</v>
      </c>
      <c r="JR6" s="6">
        <v>45741</v>
      </c>
      <c r="JS6">
        <v>5</v>
      </c>
      <c r="JT6">
        <v>779959532.52999997</v>
      </c>
      <c r="JU6">
        <v>153737</v>
      </c>
      <c r="JV6" t="s">
        <v>2171</v>
      </c>
      <c r="JY6" t="s">
        <v>204</v>
      </c>
      <c r="JZ6">
        <v>12.003353000000001</v>
      </c>
      <c r="KA6" t="s">
        <v>1786</v>
      </c>
      <c r="KB6">
        <v>14.056165999999999</v>
      </c>
      <c r="KC6" t="s">
        <v>1845</v>
      </c>
      <c r="KD6">
        <v>2025</v>
      </c>
      <c r="KE6" t="s">
        <v>2245</v>
      </c>
      <c r="KF6" s="6">
        <v>46048</v>
      </c>
      <c r="KG6">
        <v>5</v>
      </c>
      <c r="KH6">
        <v>1641338496</v>
      </c>
      <c r="KI6">
        <v>100732</v>
      </c>
      <c r="KJ6" t="s">
        <v>2825</v>
      </c>
      <c r="LS6" t="s">
        <v>5683</v>
      </c>
      <c r="LT6" t="s">
        <v>1786</v>
      </c>
      <c r="LU6">
        <v>2.854762</v>
      </c>
      <c r="LV6">
        <v>0.41643999999999998</v>
      </c>
      <c r="LW6" t="s">
        <v>1762</v>
      </c>
      <c r="LX6">
        <v>2025</v>
      </c>
      <c r="LY6" t="s">
        <v>5684</v>
      </c>
      <c r="LZ6" s="6">
        <v>45902</v>
      </c>
      <c r="MA6">
        <v>5</v>
      </c>
      <c r="MB6">
        <v>11043989</v>
      </c>
      <c r="MC6">
        <v>47762945</v>
      </c>
      <c r="MD6" t="s">
        <v>5685</v>
      </c>
      <c r="MG6" t="s">
        <v>2047</v>
      </c>
      <c r="MH6">
        <v>-2.4245362661989844E-14</v>
      </c>
      <c r="MJ6">
        <v>-2.4245362661989844E-14</v>
      </c>
      <c r="MK6" t="s">
        <v>1745</v>
      </c>
      <c r="ML6">
        <v>2022</v>
      </c>
      <c r="MM6" t="s">
        <v>2048</v>
      </c>
      <c r="MN6" s="6">
        <v>44665</v>
      </c>
      <c r="MO6">
        <v>5</v>
      </c>
      <c r="MP6">
        <v>-2.4245362661989844E-14</v>
      </c>
      <c r="MQ6">
        <v>32508551</v>
      </c>
      <c r="MR6" t="s">
        <v>2049</v>
      </c>
      <c r="MW6" t="s">
        <v>168</v>
      </c>
      <c r="MX6" t="s">
        <v>1786</v>
      </c>
      <c r="MY6">
        <v>12.003353000000001</v>
      </c>
      <c r="MZ6">
        <v>14.056165999999999</v>
      </c>
      <c r="NA6" t="s">
        <v>1845</v>
      </c>
      <c r="NB6">
        <v>2025</v>
      </c>
      <c r="NC6" t="s">
        <v>2245</v>
      </c>
      <c r="ND6" s="6">
        <v>46048</v>
      </c>
      <c r="NE6">
        <v>5</v>
      </c>
      <c r="NF6">
        <v>1641338496</v>
      </c>
      <c r="NG6">
        <v>101729</v>
      </c>
      <c r="NH6" t="s">
        <v>2246</v>
      </c>
      <c r="NK6" t="s">
        <v>1350</v>
      </c>
      <c r="NL6">
        <v>1.5894710000000001</v>
      </c>
      <c r="NM6" t="s">
        <v>1786</v>
      </c>
      <c r="NN6">
        <v>2.6168589999999998</v>
      </c>
      <c r="NO6" t="s">
        <v>1762</v>
      </c>
      <c r="NP6">
        <v>2026</v>
      </c>
      <c r="NQ6" t="s">
        <v>1865</v>
      </c>
      <c r="NR6" s="6">
        <v>45932</v>
      </c>
      <c r="NS6">
        <v>5</v>
      </c>
      <c r="NT6">
        <v>221445152</v>
      </c>
      <c r="NU6">
        <v>100197</v>
      </c>
      <c r="NV6" t="s">
        <v>1866</v>
      </c>
      <c r="PE6" t="s">
        <v>3919</v>
      </c>
      <c r="PF6" t="s">
        <v>1786</v>
      </c>
      <c r="PG6">
        <v>8.74587</v>
      </c>
      <c r="PH6">
        <v>12.787851</v>
      </c>
      <c r="PI6" t="s">
        <v>1762</v>
      </c>
      <c r="PJ6">
        <v>2026</v>
      </c>
      <c r="PK6" t="s">
        <v>3920</v>
      </c>
      <c r="PL6" s="6">
        <v>46080</v>
      </c>
      <c r="PM6">
        <v>5</v>
      </c>
      <c r="PN6">
        <v>99080912</v>
      </c>
      <c r="PO6">
        <v>9858567</v>
      </c>
      <c r="PP6" t="s">
        <v>3921</v>
      </c>
      <c r="PS6" t="s">
        <v>75</v>
      </c>
      <c r="PT6">
        <v>9.5874269999999999</v>
      </c>
      <c r="PU6" t="s">
        <v>1820</v>
      </c>
      <c r="PV6">
        <v>2.4801479999999998</v>
      </c>
      <c r="PW6" t="s">
        <v>1809</v>
      </c>
      <c r="PX6">
        <v>2025</v>
      </c>
      <c r="PY6" t="s">
        <v>2675</v>
      </c>
      <c r="PZ6" s="6">
        <v>45812</v>
      </c>
      <c r="QA6">
        <v>5</v>
      </c>
      <c r="QB6">
        <v>102802144</v>
      </c>
      <c r="QC6">
        <v>100185</v>
      </c>
      <c r="QD6" t="s">
        <v>1894</v>
      </c>
      <c r="RM6" t="s">
        <v>2283</v>
      </c>
      <c r="RO6">
        <v>-2.4245362661989844E-14</v>
      </c>
      <c r="RP6">
        <v>-2.4245362661989844E-14</v>
      </c>
      <c r="RQ6" t="s">
        <v>1745</v>
      </c>
      <c r="RR6">
        <v>2021</v>
      </c>
      <c r="RS6" t="s">
        <v>2284</v>
      </c>
      <c r="RT6" s="6">
        <v>44693</v>
      </c>
      <c r="RU6">
        <v>5</v>
      </c>
      <c r="RV6">
        <v>-2.4245362661989844E-14</v>
      </c>
      <c r="RW6">
        <v>100060</v>
      </c>
      <c r="RX6" t="s">
        <v>2285</v>
      </c>
      <c r="SQ6" t="s">
        <v>86</v>
      </c>
      <c r="SS6">
        <v>-2.4245362661989844E-14</v>
      </c>
      <c r="ST6">
        <v>-2.4245362661989844E-14</v>
      </c>
      <c r="SU6" t="s">
        <v>1745</v>
      </c>
      <c r="SV6">
        <v>2021</v>
      </c>
      <c r="SW6" t="s">
        <v>2299</v>
      </c>
      <c r="SX6" s="6">
        <v>44693</v>
      </c>
      <c r="SY6">
        <v>5</v>
      </c>
      <c r="SZ6">
        <v>-2.4245362661989844E-14</v>
      </c>
      <c r="TA6">
        <v>100193</v>
      </c>
      <c r="TB6" t="s">
        <v>1849</v>
      </c>
      <c r="TE6" t="s">
        <v>5203</v>
      </c>
      <c r="TF6">
        <v>-2.4245362661989844E-14</v>
      </c>
      <c r="TH6">
        <v>-2.4245362661989844E-14</v>
      </c>
      <c r="TI6" t="s">
        <v>1742</v>
      </c>
      <c r="TJ6">
        <v>2023</v>
      </c>
      <c r="TK6" t="s">
        <v>5204</v>
      </c>
      <c r="TL6" s="6">
        <v>45265</v>
      </c>
      <c r="TM6">
        <v>5</v>
      </c>
      <c r="TN6">
        <v>-2.4245362661989844E-14</v>
      </c>
      <c r="TO6">
        <v>9135059</v>
      </c>
      <c r="TP6" t="s">
        <v>5205</v>
      </c>
      <c r="TU6" t="s">
        <v>3014</v>
      </c>
      <c r="TV6" t="s">
        <v>1786</v>
      </c>
      <c r="TW6">
        <v>3.3874590000000002</v>
      </c>
      <c r="TX6">
        <v>1.301194</v>
      </c>
      <c r="TY6" t="s">
        <v>1742</v>
      </c>
      <c r="TZ6">
        <v>2025</v>
      </c>
      <c r="UA6" t="s">
        <v>3015</v>
      </c>
      <c r="UB6" s="6">
        <v>45981</v>
      </c>
      <c r="UC6">
        <v>5</v>
      </c>
      <c r="UD6">
        <v>444852322.47000003</v>
      </c>
      <c r="UE6">
        <v>115414</v>
      </c>
      <c r="UF6" t="s">
        <v>3016</v>
      </c>
      <c r="UI6" t="s">
        <v>3965</v>
      </c>
      <c r="UJ6">
        <v>-2.4245362661989844E-14</v>
      </c>
      <c r="UL6">
        <v>-2.4245362661989844E-14</v>
      </c>
      <c r="UM6" t="s">
        <v>1745</v>
      </c>
      <c r="UN6">
        <v>2021</v>
      </c>
      <c r="UO6" t="s">
        <v>3966</v>
      </c>
      <c r="UP6" s="6">
        <v>44679</v>
      </c>
      <c r="UQ6">
        <v>5</v>
      </c>
      <c r="UR6">
        <v>-2.4245362661989844E-14</v>
      </c>
      <c r="US6">
        <v>7267989</v>
      </c>
      <c r="UT6" t="s">
        <v>3967</v>
      </c>
      <c r="UY6" t="s">
        <v>1287</v>
      </c>
      <c r="UZ6" t="s">
        <v>1786</v>
      </c>
      <c r="VA6">
        <v>0.86485599999999996</v>
      </c>
      <c r="VB6">
        <v>4.0630959999999998</v>
      </c>
      <c r="VC6" t="s">
        <v>1809</v>
      </c>
      <c r="VD6">
        <v>2025</v>
      </c>
      <c r="VE6" t="s">
        <v>2035</v>
      </c>
      <c r="VF6" s="6">
        <v>45797</v>
      </c>
      <c r="VG6">
        <v>5</v>
      </c>
      <c r="VH6">
        <v>264507552</v>
      </c>
      <c r="VI6">
        <v>101376</v>
      </c>
      <c r="VJ6" t="s">
        <v>1895</v>
      </c>
      <c r="VM6" t="s">
        <v>424</v>
      </c>
      <c r="VN6">
        <v>3.8131789999999999</v>
      </c>
      <c r="VO6" t="s">
        <v>1786</v>
      </c>
      <c r="VP6">
        <v>2.529652</v>
      </c>
      <c r="VQ6" t="s">
        <v>1809</v>
      </c>
      <c r="VR6">
        <v>2025</v>
      </c>
      <c r="VS6" t="s">
        <v>2035</v>
      </c>
      <c r="VT6" s="6">
        <v>45797</v>
      </c>
      <c r="VU6">
        <v>5</v>
      </c>
      <c r="VV6">
        <v>554474368</v>
      </c>
      <c r="VW6">
        <v>101743</v>
      </c>
      <c r="VX6" t="s">
        <v>1891</v>
      </c>
    </row>
    <row r="7" spans="1:600" x14ac:dyDescent="0.25">
      <c r="O7" t="s">
        <v>3905</v>
      </c>
      <c r="P7">
        <v>9.7828730000000004</v>
      </c>
      <c r="Q7" t="s">
        <v>1786</v>
      </c>
      <c r="R7">
        <v>6.7277000000000003E-2</v>
      </c>
      <c r="S7" t="s">
        <v>1809</v>
      </c>
      <c r="T7">
        <v>2025</v>
      </c>
      <c r="U7" t="s">
        <v>3904</v>
      </c>
      <c r="V7" s="6">
        <v>45849</v>
      </c>
      <c r="W7">
        <v>5</v>
      </c>
      <c r="X7">
        <v>4129644</v>
      </c>
      <c r="Y7">
        <v>151842</v>
      </c>
      <c r="Z7" t="s">
        <v>3906</v>
      </c>
      <c r="CM7" t="s">
        <v>195</v>
      </c>
      <c r="CO7">
        <v>-2.4245362661989844E-14</v>
      </c>
      <c r="CP7">
        <v>-2.4245362661989844E-14</v>
      </c>
      <c r="CQ7" t="s">
        <v>1809</v>
      </c>
      <c r="CR7">
        <v>2024</v>
      </c>
      <c r="CS7" t="s">
        <v>4213</v>
      </c>
      <c r="CT7" s="6">
        <v>45365</v>
      </c>
      <c r="CU7">
        <v>5</v>
      </c>
      <c r="CV7">
        <v>-2.4245362661989844E-14</v>
      </c>
      <c r="CW7">
        <v>101689</v>
      </c>
      <c r="CX7" t="s">
        <v>2269</v>
      </c>
      <c r="DA7" t="s">
        <v>2020</v>
      </c>
      <c r="DB7">
        <v>-2.4245362661989844E-14</v>
      </c>
      <c r="DD7">
        <v>-2.4245362661989844E-14</v>
      </c>
      <c r="DE7" t="s">
        <v>1745</v>
      </c>
      <c r="DF7">
        <v>2025</v>
      </c>
      <c r="DG7" t="s">
        <v>2021</v>
      </c>
      <c r="DH7" s="6">
        <v>45833</v>
      </c>
      <c r="DI7">
        <v>5</v>
      </c>
      <c r="DJ7">
        <v>-2.4245362661989844E-14</v>
      </c>
      <c r="DK7">
        <v>48550004</v>
      </c>
      <c r="DL7" t="s">
        <v>2022</v>
      </c>
      <c r="DQ7" t="s">
        <v>4156</v>
      </c>
      <c r="DR7" t="s">
        <v>1786</v>
      </c>
      <c r="DS7">
        <v>0.184448</v>
      </c>
      <c r="DT7">
        <v>0.38200600000000001</v>
      </c>
      <c r="DU7" t="s">
        <v>1762</v>
      </c>
      <c r="DV7">
        <v>2026</v>
      </c>
      <c r="DW7" t="s">
        <v>4157</v>
      </c>
      <c r="DX7" s="6">
        <v>46071</v>
      </c>
      <c r="DY7">
        <v>5</v>
      </c>
      <c r="DZ7">
        <v>10050572</v>
      </c>
      <c r="EA7">
        <v>61417091</v>
      </c>
      <c r="EB7" t="s">
        <v>4158</v>
      </c>
      <c r="EE7" t="s">
        <v>1885</v>
      </c>
      <c r="EF7">
        <v>5.4442880000000002</v>
      </c>
      <c r="EG7" t="s">
        <v>1786</v>
      </c>
      <c r="EH7">
        <v>0.30788700000000002</v>
      </c>
      <c r="EI7" t="s">
        <v>1742</v>
      </c>
      <c r="EJ7">
        <v>2025</v>
      </c>
      <c r="EK7" t="s">
        <v>4795</v>
      </c>
      <c r="EL7" s="6">
        <v>46003</v>
      </c>
      <c r="EM7">
        <v>5</v>
      </c>
      <c r="EN7">
        <v>273003808</v>
      </c>
      <c r="EO7">
        <v>216952</v>
      </c>
      <c r="EP7" t="s">
        <v>1886</v>
      </c>
      <c r="EU7" t="s">
        <v>5007</v>
      </c>
      <c r="EV7" t="s">
        <v>1769</v>
      </c>
      <c r="EW7">
        <v>1.1211519999999999</v>
      </c>
      <c r="EX7">
        <v>2.7816E-2</v>
      </c>
      <c r="EY7" t="s">
        <v>1745</v>
      </c>
      <c r="EZ7">
        <v>2024</v>
      </c>
      <c r="FA7" t="s">
        <v>5008</v>
      </c>
      <c r="FB7" s="6">
        <v>45702</v>
      </c>
      <c r="FC7">
        <v>5</v>
      </c>
      <c r="FD7">
        <v>2764979.25</v>
      </c>
      <c r="FE7">
        <v>10858737</v>
      </c>
      <c r="FF7" t="s">
        <v>5009</v>
      </c>
      <c r="FI7" t="s">
        <v>4713</v>
      </c>
      <c r="FJ7">
        <v>-2.4245362661989844E-14</v>
      </c>
      <c r="FL7">
        <v>-2.4245362661989844E-14</v>
      </c>
      <c r="FM7" t="s">
        <v>1745</v>
      </c>
      <c r="FN7">
        <v>2025</v>
      </c>
      <c r="FO7" t="s">
        <v>4714</v>
      </c>
      <c r="FP7" s="6">
        <v>45828</v>
      </c>
      <c r="FQ7">
        <v>5</v>
      </c>
      <c r="FR7">
        <v>-2.4245362661989844E-14</v>
      </c>
      <c r="FS7">
        <v>154065</v>
      </c>
      <c r="FT7" t="s">
        <v>4715</v>
      </c>
      <c r="FY7" t="s">
        <v>4325</v>
      </c>
      <c r="FZ7" t="s">
        <v>1786</v>
      </c>
      <c r="GA7">
        <v>0.66653099999999998</v>
      </c>
      <c r="GB7">
        <v>0.14760899999999999</v>
      </c>
      <c r="GC7" t="s">
        <v>1762</v>
      </c>
      <c r="GD7">
        <v>2025</v>
      </c>
      <c r="GE7" t="s">
        <v>4326</v>
      </c>
      <c r="GF7" s="6">
        <v>45908</v>
      </c>
      <c r="GG7">
        <v>5</v>
      </c>
      <c r="GH7">
        <v>3291683</v>
      </c>
      <c r="GI7">
        <v>101392</v>
      </c>
      <c r="GJ7" t="s">
        <v>4327</v>
      </c>
      <c r="GM7" t="s">
        <v>4263</v>
      </c>
      <c r="GN7">
        <v>-2.4245362661989844E-14</v>
      </c>
      <c r="GP7">
        <v>-2.4245362661989844E-14</v>
      </c>
      <c r="GQ7" t="s">
        <v>1742</v>
      </c>
      <c r="GR7">
        <v>2022</v>
      </c>
      <c r="GS7" t="s">
        <v>4264</v>
      </c>
      <c r="GT7" s="6">
        <v>44881</v>
      </c>
      <c r="GU7">
        <v>5</v>
      </c>
      <c r="GV7">
        <v>-2.4245362661989844E-14</v>
      </c>
      <c r="GW7">
        <v>25020910</v>
      </c>
      <c r="GX7" t="s">
        <v>4265</v>
      </c>
      <c r="HC7" t="s">
        <v>2616</v>
      </c>
      <c r="HE7">
        <v>-2.4245362661989844E-14</v>
      </c>
      <c r="HF7">
        <v>-2.4245362661989844E-14</v>
      </c>
      <c r="HG7" t="s">
        <v>1745</v>
      </c>
      <c r="HH7">
        <v>2024</v>
      </c>
      <c r="HI7" t="s">
        <v>6048</v>
      </c>
      <c r="HJ7" s="6">
        <v>45708</v>
      </c>
      <c r="HK7">
        <v>4</v>
      </c>
      <c r="HL7">
        <v>-2.4245362661989844E-14</v>
      </c>
      <c r="HM7">
        <v>952888</v>
      </c>
      <c r="HN7" t="s">
        <v>2618</v>
      </c>
      <c r="IG7" t="s">
        <v>4020</v>
      </c>
      <c r="II7">
        <v>-2.4245362661989844E-14</v>
      </c>
      <c r="IJ7">
        <v>-2.4245362661989844E-14</v>
      </c>
      <c r="IK7" t="s">
        <v>1745</v>
      </c>
      <c r="IL7">
        <v>2025</v>
      </c>
      <c r="IM7" t="s">
        <v>4021</v>
      </c>
      <c r="IN7" s="6">
        <v>46000</v>
      </c>
      <c r="IO7">
        <v>5</v>
      </c>
      <c r="IP7">
        <v>-2.4245362661989844E-14</v>
      </c>
      <c r="IQ7">
        <v>62636419</v>
      </c>
      <c r="IR7" t="s">
        <v>4022</v>
      </c>
      <c r="JK7" t="s">
        <v>2944</v>
      </c>
      <c r="JL7" t="s">
        <v>1786</v>
      </c>
      <c r="JM7">
        <v>1.4676359999999999</v>
      </c>
      <c r="JN7">
        <v>2.8381699999999999</v>
      </c>
      <c r="JO7" t="s">
        <v>1742</v>
      </c>
      <c r="JP7">
        <v>2025</v>
      </c>
      <c r="JQ7" t="s">
        <v>2945</v>
      </c>
      <c r="JR7" s="6">
        <v>46080</v>
      </c>
      <c r="JS7">
        <v>5</v>
      </c>
      <c r="JT7">
        <v>258849259.34</v>
      </c>
      <c r="JU7">
        <v>193974</v>
      </c>
      <c r="JV7" t="s">
        <v>2946</v>
      </c>
      <c r="JY7" t="s">
        <v>2512</v>
      </c>
      <c r="JZ7">
        <v>12.001497000000001</v>
      </c>
      <c r="KA7" t="s">
        <v>1786</v>
      </c>
      <c r="KB7">
        <v>9.4830839999999998</v>
      </c>
      <c r="KC7" t="s">
        <v>1845</v>
      </c>
      <c r="KD7">
        <v>2025</v>
      </c>
      <c r="KE7" t="s">
        <v>2245</v>
      </c>
      <c r="KF7" s="6">
        <v>46048</v>
      </c>
      <c r="KG7">
        <v>5</v>
      </c>
      <c r="KH7">
        <v>1641084672</v>
      </c>
      <c r="KI7">
        <v>130929</v>
      </c>
      <c r="KJ7" t="s">
        <v>2513</v>
      </c>
      <c r="LS7" t="s">
        <v>2290</v>
      </c>
      <c r="LT7" t="s">
        <v>1786</v>
      </c>
      <c r="LU7">
        <v>1.885923</v>
      </c>
      <c r="LV7">
        <v>0.25189800000000001</v>
      </c>
      <c r="LW7" t="s">
        <v>1742</v>
      </c>
      <c r="LX7">
        <v>2025</v>
      </c>
      <c r="LY7" t="s">
        <v>2291</v>
      </c>
      <c r="LZ7" s="6">
        <v>46010</v>
      </c>
      <c r="MA7">
        <v>5</v>
      </c>
      <c r="MB7">
        <v>6788644</v>
      </c>
      <c r="MC7">
        <v>12189467</v>
      </c>
      <c r="MD7" t="s">
        <v>2292</v>
      </c>
      <c r="MG7" t="s">
        <v>2050</v>
      </c>
      <c r="MH7">
        <v>-2.4245362661989844E-14</v>
      </c>
      <c r="MJ7">
        <v>-2.4245362661989844E-14</v>
      </c>
      <c r="MK7" t="s">
        <v>1745</v>
      </c>
      <c r="ML7">
        <v>2023</v>
      </c>
      <c r="MM7" t="s">
        <v>2048</v>
      </c>
      <c r="MN7" s="6">
        <v>45061</v>
      </c>
      <c r="MO7">
        <v>5</v>
      </c>
      <c r="MP7">
        <v>-2.4245362661989844E-14</v>
      </c>
      <c r="MQ7">
        <v>35869103</v>
      </c>
      <c r="MR7" t="s">
        <v>2051</v>
      </c>
      <c r="MW7" t="s">
        <v>2247</v>
      </c>
      <c r="MX7" t="s">
        <v>1786</v>
      </c>
      <c r="MY7">
        <v>6.8536460000000003</v>
      </c>
      <c r="MZ7">
        <v>9.6768190000000001</v>
      </c>
      <c r="NA7" t="s">
        <v>1809</v>
      </c>
      <c r="NB7">
        <v>2025</v>
      </c>
      <c r="NC7" t="s">
        <v>2248</v>
      </c>
      <c r="ND7" s="6">
        <v>45812</v>
      </c>
      <c r="NE7">
        <v>5</v>
      </c>
      <c r="NF7">
        <v>1011895282.72</v>
      </c>
      <c r="NG7">
        <v>330541</v>
      </c>
      <c r="NH7" t="s">
        <v>2249</v>
      </c>
      <c r="NK7" t="s">
        <v>1867</v>
      </c>
      <c r="NL7">
        <v>1.3641749999999999</v>
      </c>
      <c r="NM7" t="s">
        <v>1786</v>
      </c>
      <c r="NN7">
        <v>0.69426200000000005</v>
      </c>
      <c r="NO7" t="s">
        <v>1809</v>
      </c>
      <c r="NP7">
        <v>2025</v>
      </c>
      <c r="NQ7" t="s">
        <v>1868</v>
      </c>
      <c r="NR7" s="6">
        <v>45797</v>
      </c>
      <c r="NS7">
        <v>5</v>
      </c>
      <c r="NT7">
        <v>183924678.06999999</v>
      </c>
      <c r="NU7">
        <v>223340</v>
      </c>
      <c r="NV7" t="s">
        <v>1869</v>
      </c>
      <c r="PE7" t="s">
        <v>2369</v>
      </c>
      <c r="PF7" t="s">
        <v>1786</v>
      </c>
      <c r="PG7">
        <v>0.58701300000000001</v>
      </c>
      <c r="PH7">
        <v>2.4198599999999999</v>
      </c>
      <c r="PI7" t="s">
        <v>1742</v>
      </c>
      <c r="PJ7">
        <v>2025</v>
      </c>
      <c r="PK7" t="s">
        <v>2370</v>
      </c>
      <c r="PL7" s="6">
        <v>46013</v>
      </c>
      <c r="PM7">
        <v>5</v>
      </c>
      <c r="PN7">
        <v>18749196</v>
      </c>
      <c r="PO7">
        <v>349266</v>
      </c>
      <c r="PP7" t="s">
        <v>2371</v>
      </c>
      <c r="PS7" t="s">
        <v>4179</v>
      </c>
      <c r="PT7">
        <v>5.4123739999999998</v>
      </c>
      <c r="PU7" t="s">
        <v>1820</v>
      </c>
      <c r="PV7">
        <v>2.3677980000000001</v>
      </c>
      <c r="PW7" t="s">
        <v>1809</v>
      </c>
      <c r="PX7">
        <v>2025</v>
      </c>
      <c r="PY7" t="s">
        <v>2675</v>
      </c>
      <c r="PZ7" s="6">
        <v>45812</v>
      </c>
      <c r="QA7">
        <v>5</v>
      </c>
      <c r="QB7">
        <v>58034720</v>
      </c>
      <c r="QC7">
        <v>8779219</v>
      </c>
      <c r="QD7" t="s">
        <v>4180</v>
      </c>
      <c r="RM7" t="s">
        <v>428</v>
      </c>
      <c r="RO7">
        <v>-2.4245362661989844E-14</v>
      </c>
      <c r="RP7">
        <v>-2.4245362661989844E-14</v>
      </c>
      <c r="RQ7" t="s">
        <v>1745</v>
      </c>
      <c r="RR7">
        <v>2021</v>
      </c>
      <c r="RS7" t="s">
        <v>3264</v>
      </c>
      <c r="RT7" s="6">
        <v>44693</v>
      </c>
      <c r="RU7">
        <v>5</v>
      </c>
      <c r="RV7">
        <v>-2.4245362661989844E-14</v>
      </c>
      <c r="RW7">
        <v>101690</v>
      </c>
      <c r="RX7" t="s">
        <v>3265</v>
      </c>
      <c r="SQ7" t="s">
        <v>2300</v>
      </c>
      <c r="SS7">
        <v>-2.4245362661989844E-14</v>
      </c>
      <c r="ST7">
        <v>-2.4245362661989844E-14</v>
      </c>
      <c r="SU7" t="s">
        <v>1745</v>
      </c>
      <c r="SV7">
        <v>2021</v>
      </c>
      <c r="SW7" t="s">
        <v>2301</v>
      </c>
      <c r="SX7" s="6">
        <v>44693</v>
      </c>
      <c r="SY7">
        <v>5</v>
      </c>
      <c r="SZ7">
        <v>-2.4245362661989844E-14</v>
      </c>
      <c r="TA7">
        <v>100760</v>
      </c>
      <c r="TB7" t="s">
        <v>2302</v>
      </c>
      <c r="TE7" t="s">
        <v>5206</v>
      </c>
      <c r="TF7">
        <v>-2.4245362661989844E-14</v>
      </c>
      <c r="TH7">
        <v>-2.4245362661989844E-14</v>
      </c>
      <c r="TI7" t="s">
        <v>1745</v>
      </c>
      <c r="TJ7">
        <v>2025</v>
      </c>
      <c r="TK7" t="s">
        <v>5201</v>
      </c>
      <c r="TL7" s="6">
        <v>45932</v>
      </c>
      <c r="TM7">
        <v>5</v>
      </c>
      <c r="TN7">
        <v>-2.4245362661989844E-14</v>
      </c>
      <c r="TO7">
        <v>9084806</v>
      </c>
      <c r="TP7" t="s">
        <v>5207</v>
      </c>
      <c r="TU7" t="s">
        <v>3017</v>
      </c>
      <c r="TV7" t="s">
        <v>1786</v>
      </c>
      <c r="TW7">
        <v>1.269806</v>
      </c>
      <c r="TX7">
        <v>0.82377100000000003</v>
      </c>
      <c r="TY7" t="s">
        <v>1845</v>
      </c>
      <c r="TZ7">
        <v>2025</v>
      </c>
      <c r="UA7" t="s">
        <v>3018</v>
      </c>
      <c r="UB7" s="6">
        <v>45883</v>
      </c>
      <c r="UC7">
        <v>5</v>
      </c>
      <c r="UD7">
        <v>267560816</v>
      </c>
      <c r="UE7">
        <v>101215</v>
      </c>
      <c r="UF7" t="s">
        <v>3019</v>
      </c>
      <c r="UI7" t="s">
        <v>2147</v>
      </c>
      <c r="UJ7">
        <v>-2.4245362661989844E-14</v>
      </c>
      <c r="UL7">
        <v>-2.4245362661989844E-14</v>
      </c>
      <c r="UM7" t="s">
        <v>1742</v>
      </c>
      <c r="UN7">
        <v>2025</v>
      </c>
      <c r="UO7" t="s">
        <v>3013</v>
      </c>
      <c r="UP7" s="6">
        <v>45834</v>
      </c>
      <c r="UQ7">
        <v>5</v>
      </c>
      <c r="UR7">
        <v>-2.4245362661989844E-14</v>
      </c>
      <c r="US7">
        <v>156969</v>
      </c>
      <c r="UT7" t="s">
        <v>2148</v>
      </c>
      <c r="UY7" t="s">
        <v>1885</v>
      </c>
      <c r="UZ7" t="s">
        <v>1786</v>
      </c>
      <c r="VA7">
        <v>0.167933</v>
      </c>
      <c r="VB7">
        <v>4.0156150000000004</v>
      </c>
      <c r="VC7" t="s">
        <v>1809</v>
      </c>
      <c r="VD7">
        <v>2025</v>
      </c>
      <c r="VE7" t="s">
        <v>2035</v>
      </c>
      <c r="VF7" s="6">
        <v>45797</v>
      </c>
      <c r="VG7">
        <v>5</v>
      </c>
      <c r="VH7">
        <v>261416544</v>
      </c>
      <c r="VI7">
        <v>216952</v>
      </c>
      <c r="VJ7" t="s">
        <v>1886</v>
      </c>
      <c r="VM7" t="s">
        <v>1789</v>
      </c>
      <c r="VN7">
        <v>3.1054590000000002</v>
      </c>
      <c r="VO7" t="s">
        <v>1786</v>
      </c>
      <c r="VP7">
        <v>1.2857479999999999</v>
      </c>
      <c r="VQ7" t="s">
        <v>1809</v>
      </c>
      <c r="VR7">
        <v>2025</v>
      </c>
      <c r="VS7" t="s">
        <v>2035</v>
      </c>
      <c r="VT7" s="6">
        <v>45797</v>
      </c>
      <c r="VU7">
        <v>5</v>
      </c>
      <c r="VV7">
        <v>451564800</v>
      </c>
      <c r="VW7">
        <v>117929</v>
      </c>
      <c r="VX7" t="s">
        <v>1791</v>
      </c>
    </row>
    <row r="8" spans="1:600" x14ac:dyDescent="0.25">
      <c r="O8" t="s">
        <v>3907</v>
      </c>
      <c r="P8">
        <v>9.1902659999999994</v>
      </c>
      <c r="Q8" t="s">
        <v>1786</v>
      </c>
      <c r="R8">
        <v>6.5889000000000003E-2</v>
      </c>
      <c r="S8" t="s">
        <v>1809</v>
      </c>
      <c r="T8">
        <v>2025</v>
      </c>
      <c r="U8" t="s">
        <v>3904</v>
      </c>
      <c r="V8" s="6">
        <v>45849</v>
      </c>
      <c r="W8">
        <v>5</v>
      </c>
      <c r="X8">
        <v>3879487</v>
      </c>
      <c r="Y8">
        <v>100230</v>
      </c>
      <c r="Z8" t="s">
        <v>3908</v>
      </c>
      <c r="CM8" t="s">
        <v>2280</v>
      </c>
      <c r="CO8">
        <v>-2.4245362661989844E-14</v>
      </c>
      <c r="CP8">
        <v>-2.4245362661989844E-14</v>
      </c>
      <c r="CQ8" t="s">
        <v>1745</v>
      </c>
      <c r="CR8">
        <v>2021</v>
      </c>
      <c r="CS8" t="s">
        <v>2281</v>
      </c>
      <c r="CT8" s="6">
        <v>44693</v>
      </c>
      <c r="CU8">
        <v>5</v>
      </c>
      <c r="CV8">
        <v>-2.4245362661989844E-14</v>
      </c>
      <c r="CW8">
        <v>313098</v>
      </c>
      <c r="CX8" t="s">
        <v>2282</v>
      </c>
      <c r="DA8" t="s">
        <v>1761</v>
      </c>
      <c r="DB8">
        <v>-2.4245362661989844E-14</v>
      </c>
      <c r="DD8">
        <v>-2.4245362661989844E-14</v>
      </c>
      <c r="DE8" t="s">
        <v>1745</v>
      </c>
      <c r="DF8">
        <v>2023</v>
      </c>
      <c r="DG8" t="s">
        <v>2023</v>
      </c>
      <c r="DH8" s="6">
        <v>45404</v>
      </c>
      <c r="DI8">
        <v>5</v>
      </c>
      <c r="DJ8">
        <v>-2.4245362661989844E-14</v>
      </c>
      <c r="DK8">
        <v>101695</v>
      </c>
      <c r="DL8" t="s">
        <v>1764</v>
      </c>
      <c r="DQ8" t="s">
        <v>3883</v>
      </c>
      <c r="DR8" t="s">
        <v>1786</v>
      </c>
      <c r="DS8">
        <v>0.60759700000000005</v>
      </c>
      <c r="DT8">
        <v>0.198102</v>
      </c>
      <c r="DU8" t="s">
        <v>1742</v>
      </c>
      <c r="DV8">
        <v>2025</v>
      </c>
      <c r="DW8" t="s">
        <v>3884</v>
      </c>
      <c r="DX8" s="6">
        <v>46064</v>
      </c>
      <c r="DY8">
        <v>5</v>
      </c>
      <c r="DZ8">
        <v>6892216.5800000001</v>
      </c>
      <c r="EA8">
        <v>115787</v>
      </c>
      <c r="EB8" t="s">
        <v>3885</v>
      </c>
      <c r="EE8" t="s">
        <v>985</v>
      </c>
      <c r="EF8">
        <v>3.0315669999999999</v>
      </c>
      <c r="EG8" t="s">
        <v>1786</v>
      </c>
      <c r="EH8">
        <v>0.58565299999999998</v>
      </c>
      <c r="EI8" t="s">
        <v>1742</v>
      </c>
      <c r="EJ8">
        <v>2025</v>
      </c>
      <c r="EK8" t="s">
        <v>4795</v>
      </c>
      <c r="EL8" s="6">
        <v>46003</v>
      </c>
      <c r="EM8">
        <v>5</v>
      </c>
      <c r="EN8">
        <v>152017920</v>
      </c>
      <c r="EO8">
        <v>100864</v>
      </c>
      <c r="EP8" t="s">
        <v>1971</v>
      </c>
      <c r="EU8" t="s">
        <v>2756</v>
      </c>
      <c r="EV8" t="s">
        <v>1786</v>
      </c>
      <c r="EW8">
        <v>0.22164600000000001</v>
      </c>
      <c r="EX8">
        <v>2.4277E-2</v>
      </c>
      <c r="EY8" t="s">
        <v>1762</v>
      </c>
      <c r="EZ8">
        <v>2025</v>
      </c>
      <c r="FA8" t="s">
        <v>2757</v>
      </c>
      <c r="FB8" s="6">
        <v>45957</v>
      </c>
      <c r="FC8">
        <v>5</v>
      </c>
      <c r="FD8">
        <v>2617518.41</v>
      </c>
      <c r="FE8">
        <v>815087</v>
      </c>
      <c r="FF8" t="s">
        <v>2758</v>
      </c>
      <c r="FI8" t="s">
        <v>909</v>
      </c>
      <c r="FJ8">
        <v>-2.4245362661989844E-14</v>
      </c>
      <c r="FL8">
        <v>-2.4245362661989844E-14</v>
      </c>
      <c r="FM8" t="s">
        <v>1745</v>
      </c>
      <c r="FN8">
        <v>2025</v>
      </c>
      <c r="FO8" t="s">
        <v>3663</v>
      </c>
      <c r="FP8" s="6">
        <v>45875</v>
      </c>
      <c r="FQ8">
        <v>5</v>
      </c>
      <c r="FR8">
        <v>-2.4245362661989844E-14</v>
      </c>
      <c r="FS8">
        <v>154339</v>
      </c>
      <c r="FT8" t="s">
        <v>4716</v>
      </c>
      <c r="FY8" t="s">
        <v>4328</v>
      </c>
      <c r="FZ8" t="s">
        <v>1820</v>
      </c>
      <c r="GA8">
        <v>2.42</v>
      </c>
      <c r="GB8">
        <v>1.303024</v>
      </c>
      <c r="GC8" t="s">
        <v>1745</v>
      </c>
      <c r="GD8">
        <v>2024</v>
      </c>
      <c r="GE8" t="s">
        <v>4329</v>
      </c>
      <c r="GF8" s="6">
        <v>45884</v>
      </c>
      <c r="GG8">
        <v>5</v>
      </c>
      <c r="GH8">
        <v>888323.88</v>
      </c>
      <c r="GI8">
        <v>24565921</v>
      </c>
      <c r="GJ8" t="s">
        <v>4330</v>
      </c>
      <c r="GM8" t="s">
        <v>4266</v>
      </c>
      <c r="GN8">
        <v>-2.4245362661989844E-14</v>
      </c>
      <c r="GP8">
        <v>-2.4245362661989844E-14</v>
      </c>
      <c r="GQ8" t="s">
        <v>1742</v>
      </c>
      <c r="GR8">
        <v>2022</v>
      </c>
      <c r="GS8" t="s">
        <v>4264</v>
      </c>
      <c r="GT8" s="6">
        <v>44881</v>
      </c>
      <c r="GU8">
        <v>5</v>
      </c>
      <c r="GV8">
        <v>-2.4245362661989844E-14</v>
      </c>
      <c r="GW8">
        <v>24968913</v>
      </c>
      <c r="GX8" t="s">
        <v>4267</v>
      </c>
      <c r="HC8" t="s">
        <v>4416</v>
      </c>
      <c r="HE8">
        <v>-2.4245362661989844E-14</v>
      </c>
      <c r="HF8">
        <v>-2.4245362661989844E-14</v>
      </c>
      <c r="HG8" t="s">
        <v>1745</v>
      </c>
      <c r="HH8">
        <v>2023</v>
      </c>
      <c r="HI8" t="s">
        <v>4417</v>
      </c>
      <c r="HJ8" s="6">
        <v>45359</v>
      </c>
      <c r="HK8">
        <v>4</v>
      </c>
      <c r="HL8">
        <v>-2.4245362661989844E-14</v>
      </c>
      <c r="HM8">
        <v>101587</v>
      </c>
      <c r="HN8" t="s">
        <v>4418</v>
      </c>
      <c r="IG8" t="s">
        <v>3221</v>
      </c>
      <c r="II8">
        <v>-2.4245362661989844E-14</v>
      </c>
      <c r="IJ8">
        <v>-2.4245362661989844E-14</v>
      </c>
      <c r="IK8" t="s">
        <v>1809</v>
      </c>
      <c r="IL8">
        <v>2023</v>
      </c>
      <c r="IM8" t="s">
        <v>3222</v>
      </c>
      <c r="IN8" s="6">
        <v>45020</v>
      </c>
      <c r="IO8">
        <v>5</v>
      </c>
      <c r="IP8">
        <v>-2.4245362661989844E-14</v>
      </c>
      <c r="IQ8">
        <v>106252</v>
      </c>
      <c r="IR8" t="s">
        <v>3223</v>
      </c>
      <c r="JK8" t="s">
        <v>1789</v>
      </c>
      <c r="JL8" t="s">
        <v>1786</v>
      </c>
      <c r="JM8">
        <v>0.36901099999999998</v>
      </c>
      <c r="JN8">
        <v>2.1074079999999999</v>
      </c>
      <c r="JO8" t="s">
        <v>1762</v>
      </c>
      <c r="JP8">
        <v>2025</v>
      </c>
      <c r="JQ8" t="s">
        <v>3436</v>
      </c>
      <c r="JR8" s="6">
        <v>45952</v>
      </c>
      <c r="JS8">
        <v>5</v>
      </c>
      <c r="JT8">
        <v>196578595.78</v>
      </c>
      <c r="JU8">
        <v>117929</v>
      </c>
      <c r="JV8" t="s">
        <v>1791</v>
      </c>
      <c r="JY8" t="s">
        <v>3507</v>
      </c>
      <c r="JZ8">
        <v>6.9003030000000001</v>
      </c>
      <c r="KA8" t="s">
        <v>1786</v>
      </c>
      <c r="KB8">
        <v>13.993990999999999</v>
      </c>
      <c r="KC8" t="s">
        <v>1745</v>
      </c>
      <c r="KD8">
        <v>2024</v>
      </c>
      <c r="KE8" t="s">
        <v>3508</v>
      </c>
      <c r="KF8" s="6">
        <v>45786</v>
      </c>
      <c r="KG8">
        <v>5</v>
      </c>
      <c r="KH8">
        <v>924964005.08000004</v>
      </c>
      <c r="KI8">
        <v>9568853</v>
      </c>
      <c r="KJ8" t="s">
        <v>3509</v>
      </c>
      <c r="LS8" t="s">
        <v>4486</v>
      </c>
      <c r="LT8" t="s">
        <v>1786</v>
      </c>
      <c r="LU8">
        <v>0.14258699999999999</v>
      </c>
      <c r="LV8">
        <v>0.19661200000000001</v>
      </c>
      <c r="LW8" t="s">
        <v>1845</v>
      </c>
      <c r="LX8">
        <v>2025</v>
      </c>
      <c r="LY8" t="s">
        <v>4487</v>
      </c>
      <c r="LZ8" s="6">
        <v>46071</v>
      </c>
      <c r="MA8">
        <v>5</v>
      </c>
      <c r="MB8">
        <v>5611298</v>
      </c>
      <c r="MC8">
        <v>100499</v>
      </c>
      <c r="MD8" t="s">
        <v>4488</v>
      </c>
      <c r="MG8" t="s">
        <v>2052</v>
      </c>
      <c r="MH8">
        <v>-2.4245362661989844E-14</v>
      </c>
      <c r="MJ8">
        <v>-2.4245362661989844E-14</v>
      </c>
      <c r="MK8" t="s">
        <v>1798</v>
      </c>
      <c r="ML8">
        <v>2025</v>
      </c>
      <c r="MM8" t="s">
        <v>2053</v>
      </c>
      <c r="MN8" s="6">
        <v>45975</v>
      </c>
      <c r="MO8">
        <v>5</v>
      </c>
      <c r="MP8">
        <v>-2.4245362661989844E-14</v>
      </c>
      <c r="MQ8">
        <v>33634105</v>
      </c>
      <c r="MR8" t="s">
        <v>2054</v>
      </c>
      <c r="MW8" t="s">
        <v>2250</v>
      </c>
      <c r="MX8" t="s">
        <v>1786</v>
      </c>
      <c r="MY8">
        <v>4.2738360000000002</v>
      </c>
      <c r="MZ8">
        <v>6.6693020000000001</v>
      </c>
      <c r="NA8" t="s">
        <v>1742</v>
      </c>
      <c r="NB8">
        <v>2025</v>
      </c>
      <c r="NC8" t="s">
        <v>2251</v>
      </c>
      <c r="ND8" s="6">
        <v>46087</v>
      </c>
      <c r="NE8">
        <v>5</v>
      </c>
      <c r="NF8">
        <v>811049598.16999996</v>
      </c>
      <c r="NG8">
        <v>7975354</v>
      </c>
      <c r="NH8" t="s">
        <v>2252</v>
      </c>
      <c r="NK8" t="s">
        <v>1870</v>
      </c>
      <c r="NL8">
        <v>0.59423499999999996</v>
      </c>
      <c r="NM8" t="s">
        <v>1786</v>
      </c>
      <c r="NN8">
        <v>1.9269499999999999</v>
      </c>
      <c r="NO8" t="s">
        <v>1809</v>
      </c>
      <c r="NP8">
        <v>2025</v>
      </c>
      <c r="NQ8" t="s">
        <v>1871</v>
      </c>
      <c r="NR8" s="6">
        <v>45820</v>
      </c>
      <c r="NS8">
        <v>5</v>
      </c>
      <c r="NT8">
        <v>78557896</v>
      </c>
      <c r="NU8">
        <v>12129192</v>
      </c>
      <c r="NV8" t="s">
        <v>1872</v>
      </c>
      <c r="PE8" t="s">
        <v>2386</v>
      </c>
      <c r="PF8" t="s">
        <v>1786</v>
      </c>
      <c r="PG8">
        <v>0.22723299999999999</v>
      </c>
      <c r="PH8">
        <v>2.4810840000000001</v>
      </c>
      <c r="PI8" t="s">
        <v>1742</v>
      </c>
      <c r="PJ8">
        <v>2025</v>
      </c>
      <c r="PK8" t="s">
        <v>2387</v>
      </c>
      <c r="PL8" s="6">
        <v>45763</v>
      </c>
      <c r="PM8">
        <v>5</v>
      </c>
      <c r="PN8">
        <v>14897395</v>
      </c>
      <c r="PO8">
        <v>136547</v>
      </c>
      <c r="PP8" t="s">
        <v>2388</v>
      </c>
      <c r="PS8" t="s">
        <v>1885</v>
      </c>
      <c r="PT8">
        <v>5.2677480000000001</v>
      </c>
      <c r="PU8" t="s">
        <v>1820</v>
      </c>
      <c r="PV8">
        <v>0.22576399999999999</v>
      </c>
      <c r="PW8" t="s">
        <v>1809</v>
      </c>
      <c r="PX8">
        <v>2025</v>
      </c>
      <c r="PY8" t="s">
        <v>2675</v>
      </c>
      <c r="PZ8" s="6">
        <v>45812</v>
      </c>
      <c r="QA8">
        <v>5</v>
      </c>
      <c r="QB8">
        <v>56483956</v>
      </c>
      <c r="QC8">
        <v>216952</v>
      </c>
      <c r="QD8" t="s">
        <v>1886</v>
      </c>
      <c r="RM8" t="s">
        <v>86</v>
      </c>
      <c r="RO8">
        <v>-2.4245362661989844E-14</v>
      </c>
      <c r="RP8">
        <v>-2.4245362661989844E-14</v>
      </c>
      <c r="RQ8" t="s">
        <v>1745</v>
      </c>
      <c r="RR8">
        <v>2021</v>
      </c>
      <c r="RS8" t="s">
        <v>2299</v>
      </c>
      <c r="RT8" s="6">
        <v>44693</v>
      </c>
      <c r="RU8">
        <v>5</v>
      </c>
      <c r="RV8">
        <v>-2.4245362661989844E-14</v>
      </c>
      <c r="RW8">
        <v>100193</v>
      </c>
      <c r="RX8" t="s">
        <v>1849</v>
      </c>
      <c r="SQ8" t="s">
        <v>2694</v>
      </c>
      <c r="SS8">
        <v>-2.4245362661989844E-14</v>
      </c>
      <c r="ST8">
        <v>-2.4245362661989844E-14</v>
      </c>
      <c r="SU8" t="s">
        <v>1745</v>
      </c>
      <c r="SV8">
        <v>2021</v>
      </c>
      <c r="SW8" t="s">
        <v>2695</v>
      </c>
      <c r="SX8" s="6">
        <v>44693</v>
      </c>
      <c r="SY8">
        <v>5</v>
      </c>
      <c r="SZ8">
        <v>-2.4245362661989844E-14</v>
      </c>
      <c r="TA8">
        <v>101315</v>
      </c>
      <c r="TB8" t="s">
        <v>2696</v>
      </c>
      <c r="TE8" t="s">
        <v>5208</v>
      </c>
      <c r="TF8">
        <v>-2.4245362661989844E-14</v>
      </c>
      <c r="TH8">
        <v>-2.4245362661989844E-14</v>
      </c>
      <c r="TI8" t="s">
        <v>1742</v>
      </c>
      <c r="TJ8">
        <v>2023</v>
      </c>
      <c r="TK8" t="s">
        <v>5204</v>
      </c>
      <c r="TL8" s="6">
        <v>45265</v>
      </c>
      <c r="TM8">
        <v>5</v>
      </c>
      <c r="TN8">
        <v>-2.4245362661989844E-14</v>
      </c>
      <c r="TO8">
        <v>104046</v>
      </c>
      <c r="TP8" t="s">
        <v>5209</v>
      </c>
      <c r="TU8" t="s">
        <v>3020</v>
      </c>
      <c r="TV8" t="s">
        <v>1786</v>
      </c>
      <c r="TW8">
        <v>8.0896969999999992</v>
      </c>
      <c r="TX8">
        <v>0.79452400000000001</v>
      </c>
      <c r="TY8" t="s">
        <v>1845</v>
      </c>
      <c r="TZ8">
        <v>2025</v>
      </c>
      <c r="UA8" t="s">
        <v>3021</v>
      </c>
      <c r="UB8" s="6">
        <v>46077</v>
      </c>
      <c r="UC8">
        <v>5</v>
      </c>
      <c r="UD8">
        <v>258061328</v>
      </c>
      <c r="UE8">
        <v>107741</v>
      </c>
      <c r="UF8" t="s">
        <v>3022</v>
      </c>
      <c r="UI8" t="s">
        <v>3968</v>
      </c>
      <c r="UJ8">
        <v>-2.4245362661989844E-14</v>
      </c>
      <c r="UL8">
        <v>-2.4245362661989844E-14</v>
      </c>
      <c r="UM8" t="s">
        <v>1762</v>
      </c>
      <c r="UN8">
        <v>2023</v>
      </c>
      <c r="UO8" t="s">
        <v>3969</v>
      </c>
      <c r="UP8" s="6">
        <v>45078</v>
      </c>
      <c r="UQ8">
        <v>5</v>
      </c>
      <c r="UR8">
        <v>-2.4245362661989844E-14</v>
      </c>
      <c r="US8">
        <v>25285671</v>
      </c>
      <c r="UT8" t="s">
        <v>3970</v>
      </c>
      <c r="UY8" t="s">
        <v>357</v>
      </c>
      <c r="UZ8" t="s">
        <v>1786</v>
      </c>
      <c r="VA8">
        <v>0.893262</v>
      </c>
      <c r="VB8">
        <v>1.9939499999999999</v>
      </c>
      <c r="VC8" t="s">
        <v>1809</v>
      </c>
      <c r="VD8">
        <v>2025</v>
      </c>
      <c r="VE8" t="s">
        <v>2035</v>
      </c>
      <c r="VF8" s="6">
        <v>45797</v>
      </c>
      <c r="VG8">
        <v>5</v>
      </c>
      <c r="VH8">
        <v>129806144</v>
      </c>
      <c r="VI8">
        <v>1499717</v>
      </c>
      <c r="VJ8" t="s">
        <v>1864</v>
      </c>
      <c r="VM8" t="s">
        <v>1814</v>
      </c>
      <c r="VN8">
        <v>0.94301500000000005</v>
      </c>
      <c r="VO8" t="s">
        <v>1786</v>
      </c>
      <c r="VP8">
        <v>2.2702520000000002</v>
      </c>
      <c r="VQ8" t="s">
        <v>1809</v>
      </c>
      <c r="VR8">
        <v>2025</v>
      </c>
      <c r="VS8" t="s">
        <v>1815</v>
      </c>
      <c r="VT8" s="6">
        <v>45784</v>
      </c>
      <c r="VU8">
        <v>5</v>
      </c>
      <c r="VV8">
        <v>137123792</v>
      </c>
      <c r="VW8">
        <v>100115</v>
      </c>
      <c r="VX8" t="s">
        <v>1816</v>
      </c>
    </row>
    <row r="9" spans="1:600" x14ac:dyDescent="0.25">
      <c r="O9" t="s">
        <v>3909</v>
      </c>
      <c r="P9">
        <v>4.5455860000000001</v>
      </c>
      <c r="Q9" t="s">
        <v>1786</v>
      </c>
      <c r="R9">
        <v>2.828E-2</v>
      </c>
      <c r="S9" t="s">
        <v>1809</v>
      </c>
      <c r="T9">
        <v>2025</v>
      </c>
      <c r="U9" t="s">
        <v>3904</v>
      </c>
      <c r="V9" s="6">
        <v>45849</v>
      </c>
      <c r="W9">
        <v>5</v>
      </c>
      <c r="X9">
        <v>1918828</v>
      </c>
      <c r="Y9">
        <v>101605</v>
      </c>
      <c r="Z9" t="s">
        <v>3910</v>
      </c>
      <c r="CM9" t="s">
        <v>2283</v>
      </c>
      <c r="CO9">
        <v>-2.4245362661989844E-14</v>
      </c>
      <c r="CP9">
        <v>-2.4245362661989844E-14</v>
      </c>
      <c r="CQ9" t="s">
        <v>1745</v>
      </c>
      <c r="CR9">
        <v>2021</v>
      </c>
      <c r="CS9" t="s">
        <v>2284</v>
      </c>
      <c r="CT9" s="6">
        <v>44693</v>
      </c>
      <c r="CU9">
        <v>5</v>
      </c>
      <c r="CV9">
        <v>-2.4245362661989844E-14</v>
      </c>
      <c r="CW9">
        <v>100060</v>
      </c>
      <c r="CX9" t="s">
        <v>2285</v>
      </c>
      <c r="DA9" t="s">
        <v>2024</v>
      </c>
      <c r="DB9">
        <v>-2.4245362661989844E-14</v>
      </c>
      <c r="DD9">
        <v>-2.4245362661989844E-14</v>
      </c>
      <c r="DE9" t="s">
        <v>1745</v>
      </c>
      <c r="DF9">
        <v>2024</v>
      </c>
      <c r="DG9" t="s">
        <v>2018</v>
      </c>
      <c r="DH9" s="6">
        <v>45348</v>
      </c>
      <c r="DI9">
        <v>5</v>
      </c>
      <c r="DJ9">
        <v>-2.4245362661989844E-14</v>
      </c>
      <c r="DK9">
        <v>46386935</v>
      </c>
      <c r="DL9" t="s">
        <v>2025</v>
      </c>
      <c r="DQ9" t="s">
        <v>4850</v>
      </c>
      <c r="DR9" t="s">
        <v>1786</v>
      </c>
      <c r="DS9">
        <v>0.550265</v>
      </c>
      <c r="DT9">
        <v>0.112704</v>
      </c>
      <c r="DU9" t="s">
        <v>1762</v>
      </c>
      <c r="DV9">
        <v>2025</v>
      </c>
      <c r="DW9" t="s">
        <v>4851</v>
      </c>
      <c r="DX9" s="6">
        <v>45833</v>
      </c>
      <c r="DY9">
        <v>5</v>
      </c>
      <c r="DZ9">
        <v>3501699</v>
      </c>
      <c r="EA9">
        <v>106173</v>
      </c>
      <c r="EB9" t="s">
        <v>4852</v>
      </c>
      <c r="EE9" t="s">
        <v>2504</v>
      </c>
      <c r="EF9">
        <v>2.3337400000000001</v>
      </c>
      <c r="EG9" t="s">
        <v>1786</v>
      </c>
      <c r="EH9">
        <v>0.61890199999999995</v>
      </c>
      <c r="EI9" t="s">
        <v>1742</v>
      </c>
      <c r="EJ9">
        <v>2025</v>
      </c>
      <c r="EK9" t="s">
        <v>4795</v>
      </c>
      <c r="EL9" s="6">
        <v>46003</v>
      </c>
      <c r="EM9">
        <v>5</v>
      </c>
      <c r="EN9">
        <v>117025392</v>
      </c>
      <c r="EO9">
        <v>115268</v>
      </c>
      <c r="EP9" t="s">
        <v>2506</v>
      </c>
      <c r="EU9" t="s">
        <v>4206</v>
      </c>
      <c r="EW9">
        <v>2.4574069999999999</v>
      </c>
      <c r="EX9">
        <v>-2.4245362661989844E-14</v>
      </c>
      <c r="EY9" t="s">
        <v>1742</v>
      </c>
      <c r="EZ9">
        <v>2025</v>
      </c>
      <c r="FA9" t="s">
        <v>4207</v>
      </c>
      <c r="FB9" s="6">
        <v>45966</v>
      </c>
      <c r="FC9">
        <v>5</v>
      </c>
      <c r="FD9">
        <v>2258750</v>
      </c>
      <c r="FE9">
        <v>34865158</v>
      </c>
      <c r="FF9" t="s">
        <v>4208</v>
      </c>
      <c r="FI9" t="s">
        <v>1814</v>
      </c>
      <c r="FJ9">
        <v>-2.4245362661989844E-14</v>
      </c>
      <c r="FL9">
        <v>-2.4245362661989844E-14</v>
      </c>
      <c r="FM9" t="s">
        <v>1745</v>
      </c>
      <c r="FN9">
        <v>2021</v>
      </c>
      <c r="FO9" t="s">
        <v>4717</v>
      </c>
      <c r="FP9" s="6">
        <v>44630</v>
      </c>
      <c r="FQ9">
        <v>5</v>
      </c>
      <c r="FR9">
        <v>-2.4245362661989844E-14</v>
      </c>
      <c r="FS9">
        <v>100115</v>
      </c>
      <c r="FT9" t="s">
        <v>1816</v>
      </c>
      <c r="FY9" t="s">
        <v>382</v>
      </c>
      <c r="FZ9" t="s">
        <v>1786</v>
      </c>
      <c r="GA9">
        <v>1.4506E-2</v>
      </c>
      <c r="GB9">
        <v>4.2903999999999998E-2</v>
      </c>
      <c r="GC9" t="s">
        <v>1845</v>
      </c>
      <c r="GD9">
        <v>2024</v>
      </c>
      <c r="GE9" t="s">
        <v>2168</v>
      </c>
      <c r="GF9" s="6">
        <v>45712</v>
      </c>
      <c r="GG9">
        <v>5</v>
      </c>
      <c r="GH9">
        <v>871811</v>
      </c>
      <c r="GI9">
        <v>101001</v>
      </c>
      <c r="GJ9" t="s">
        <v>4331</v>
      </c>
      <c r="GM9" t="s">
        <v>4268</v>
      </c>
      <c r="GN9">
        <v>-2.4245362661989844E-14</v>
      </c>
      <c r="GP9">
        <v>-2.4245362661989844E-14</v>
      </c>
      <c r="GQ9" t="s">
        <v>1745</v>
      </c>
      <c r="GR9">
        <v>2023</v>
      </c>
      <c r="GS9" t="s">
        <v>4269</v>
      </c>
      <c r="GT9" s="6">
        <v>45180</v>
      </c>
      <c r="GU9">
        <v>5</v>
      </c>
      <c r="GV9">
        <v>-2.4245362661989844E-14</v>
      </c>
      <c r="GW9">
        <v>17075175</v>
      </c>
      <c r="GX9" t="s">
        <v>4270</v>
      </c>
      <c r="IG9" t="s">
        <v>4023</v>
      </c>
      <c r="II9">
        <v>-2.4245362661989844E-14</v>
      </c>
      <c r="IJ9">
        <v>-2.4245362661989844E-14</v>
      </c>
      <c r="IK9" t="s">
        <v>1745</v>
      </c>
      <c r="IL9">
        <v>2022</v>
      </c>
      <c r="IM9" t="s">
        <v>4024</v>
      </c>
      <c r="IN9" s="6">
        <v>44988</v>
      </c>
      <c r="IO9">
        <v>5</v>
      </c>
      <c r="IP9">
        <v>-2.4245362661989844E-14</v>
      </c>
      <c r="IQ9">
        <v>171858</v>
      </c>
      <c r="IR9" t="s">
        <v>4025</v>
      </c>
      <c r="JK9" t="s">
        <v>117</v>
      </c>
      <c r="JL9" t="s">
        <v>1820</v>
      </c>
      <c r="JM9">
        <v>2.5439250000000002</v>
      </c>
      <c r="JN9">
        <v>5.2326030000000001</v>
      </c>
      <c r="JO9" t="s">
        <v>1742</v>
      </c>
      <c r="JP9">
        <v>2025</v>
      </c>
      <c r="JQ9" t="s">
        <v>3008</v>
      </c>
      <c r="JR9" s="6">
        <v>45931</v>
      </c>
      <c r="JS9">
        <v>5</v>
      </c>
      <c r="JT9">
        <v>185757408</v>
      </c>
      <c r="JU9">
        <v>102032</v>
      </c>
      <c r="JV9" t="s">
        <v>3009</v>
      </c>
      <c r="JY9" t="s">
        <v>3510</v>
      </c>
      <c r="JZ9">
        <v>3.0830000000000002</v>
      </c>
      <c r="KA9" t="s">
        <v>1786</v>
      </c>
      <c r="KB9">
        <v>9.6257199999999994</v>
      </c>
      <c r="KC9" t="s">
        <v>1762</v>
      </c>
      <c r="KD9">
        <v>2025</v>
      </c>
      <c r="KE9" t="s">
        <v>3511</v>
      </c>
      <c r="KF9" s="6">
        <v>45958</v>
      </c>
      <c r="KG9">
        <v>5</v>
      </c>
      <c r="KH9">
        <v>416758099.12</v>
      </c>
      <c r="KI9">
        <v>1456094</v>
      </c>
      <c r="KJ9" t="s">
        <v>3512</v>
      </c>
      <c r="LS9" t="s">
        <v>2826</v>
      </c>
      <c r="LT9" t="s">
        <v>1786</v>
      </c>
      <c r="LU9">
        <v>0.14130899999999999</v>
      </c>
      <c r="LV9">
        <v>0.17785999999999999</v>
      </c>
      <c r="LW9" t="s">
        <v>1809</v>
      </c>
      <c r="LX9">
        <v>2025</v>
      </c>
      <c r="LY9" t="s">
        <v>2827</v>
      </c>
      <c r="LZ9" s="6">
        <v>45849</v>
      </c>
      <c r="MA9">
        <v>5</v>
      </c>
      <c r="MB9">
        <v>4336195.59</v>
      </c>
      <c r="MC9">
        <v>179551</v>
      </c>
      <c r="MD9" t="s">
        <v>2828</v>
      </c>
      <c r="MG9" t="s">
        <v>2055</v>
      </c>
      <c r="MH9">
        <v>-2.4245362661989844E-14</v>
      </c>
      <c r="MJ9">
        <v>-2.4245362661989844E-14</v>
      </c>
      <c r="MK9" t="s">
        <v>1745</v>
      </c>
      <c r="ML9">
        <v>2021</v>
      </c>
      <c r="MM9" t="s">
        <v>2056</v>
      </c>
      <c r="MN9" s="6">
        <v>44701</v>
      </c>
      <c r="MO9">
        <v>5</v>
      </c>
      <c r="MP9">
        <v>-2.4245362661989844E-14</v>
      </c>
      <c r="MQ9">
        <v>384698</v>
      </c>
      <c r="MR9" t="s">
        <v>2057</v>
      </c>
      <c r="MW9" t="s">
        <v>2253</v>
      </c>
      <c r="MX9" t="s">
        <v>1786</v>
      </c>
      <c r="MY9">
        <v>10.5</v>
      </c>
      <c r="MZ9">
        <v>7.349405</v>
      </c>
      <c r="NA9" t="s">
        <v>1745</v>
      </c>
      <c r="NB9">
        <v>2024</v>
      </c>
      <c r="NC9" t="s">
        <v>2254</v>
      </c>
      <c r="ND9" s="6">
        <v>45744</v>
      </c>
      <c r="NE9">
        <v>5</v>
      </c>
      <c r="NF9">
        <v>778954139.5</v>
      </c>
      <c r="NG9">
        <v>113389</v>
      </c>
      <c r="NH9" t="s">
        <v>2255</v>
      </c>
      <c r="NK9" t="s">
        <v>1873</v>
      </c>
      <c r="NL9">
        <v>0.56558799999999998</v>
      </c>
      <c r="NM9" t="s">
        <v>1786</v>
      </c>
      <c r="NN9">
        <v>3.5370110000000001</v>
      </c>
      <c r="NO9" t="s">
        <v>1762</v>
      </c>
      <c r="NP9">
        <v>2025</v>
      </c>
      <c r="NQ9" t="s">
        <v>1874</v>
      </c>
      <c r="NR9" s="6">
        <v>46008</v>
      </c>
      <c r="NS9">
        <v>5</v>
      </c>
      <c r="NT9">
        <v>82257509.170000002</v>
      </c>
      <c r="NU9">
        <v>349049</v>
      </c>
      <c r="NV9" t="s">
        <v>1875</v>
      </c>
      <c r="PE9" t="s">
        <v>4359</v>
      </c>
      <c r="PF9" t="s">
        <v>1786</v>
      </c>
      <c r="PG9">
        <v>0.88744999999999996</v>
      </c>
      <c r="PH9">
        <v>1.9592369999999999</v>
      </c>
      <c r="PI9" t="s">
        <v>1809</v>
      </c>
      <c r="PJ9">
        <v>2026</v>
      </c>
      <c r="PK9" t="s">
        <v>4360</v>
      </c>
      <c r="PL9" s="6">
        <v>45967</v>
      </c>
      <c r="PM9">
        <v>5</v>
      </c>
      <c r="PN9">
        <v>14034134</v>
      </c>
      <c r="PO9">
        <v>104637</v>
      </c>
      <c r="PP9" t="s">
        <v>4361</v>
      </c>
      <c r="PS9" t="s">
        <v>424</v>
      </c>
      <c r="PT9">
        <v>5.1498600000000003</v>
      </c>
      <c r="PU9" t="s">
        <v>1820</v>
      </c>
      <c r="PV9">
        <v>0.32976899999999998</v>
      </c>
      <c r="PW9" t="s">
        <v>1809</v>
      </c>
      <c r="PX9">
        <v>2025</v>
      </c>
      <c r="PY9" t="s">
        <v>2675</v>
      </c>
      <c r="PZ9" s="6">
        <v>45812</v>
      </c>
      <c r="QA9">
        <v>5</v>
      </c>
      <c r="QB9">
        <v>55219888</v>
      </c>
      <c r="QC9">
        <v>101743</v>
      </c>
      <c r="QD9" t="s">
        <v>1891</v>
      </c>
      <c r="RM9" t="s">
        <v>2346</v>
      </c>
      <c r="RO9">
        <v>-2.4245362661989844E-14</v>
      </c>
      <c r="RP9">
        <v>-2.4245362661989844E-14</v>
      </c>
      <c r="RQ9" t="s">
        <v>1745</v>
      </c>
      <c r="RR9">
        <v>2021</v>
      </c>
      <c r="RS9" t="s">
        <v>2347</v>
      </c>
      <c r="RT9" s="6">
        <v>44693</v>
      </c>
      <c r="RU9">
        <v>5</v>
      </c>
      <c r="RV9">
        <v>-2.4245362661989844E-14</v>
      </c>
      <c r="RW9">
        <v>100481</v>
      </c>
      <c r="RX9" t="s">
        <v>2348</v>
      </c>
      <c r="SQ9" t="s">
        <v>3369</v>
      </c>
      <c r="SS9">
        <v>-2.4245362661989844E-14</v>
      </c>
      <c r="ST9">
        <v>-2.4245362661989844E-14</v>
      </c>
      <c r="SU9" t="s">
        <v>1745</v>
      </c>
      <c r="SV9">
        <v>2021</v>
      </c>
      <c r="SW9" t="s">
        <v>3370</v>
      </c>
      <c r="SX9" s="6">
        <v>44693</v>
      </c>
      <c r="SY9">
        <v>5</v>
      </c>
      <c r="SZ9">
        <v>-2.4245362661989844E-14</v>
      </c>
      <c r="TA9">
        <v>100532</v>
      </c>
      <c r="TB9" t="s">
        <v>3371</v>
      </c>
      <c r="TE9" t="s">
        <v>1186</v>
      </c>
      <c r="TF9">
        <v>-2.4245362661989844E-14</v>
      </c>
      <c r="TH9">
        <v>-2.4245362661989844E-14</v>
      </c>
      <c r="TI9" t="s">
        <v>1742</v>
      </c>
      <c r="TJ9">
        <v>2023</v>
      </c>
      <c r="TK9" t="s">
        <v>5204</v>
      </c>
      <c r="TL9" s="6">
        <v>45265</v>
      </c>
      <c r="TM9">
        <v>5</v>
      </c>
      <c r="TN9">
        <v>-2.4245362661989844E-14</v>
      </c>
      <c r="TO9">
        <v>101193</v>
      </c>
      <c r="TP9" t="s">
        <v>5210</v>
      </c>
      <c r="TU9" t="s">
        <v>3023</v>
      </c>
      <c r="TV9" t="s">
        <v>1786</v>
      </c>
      <c r="TW9">
        <v>0.94841799999999998</v>
      </c>
      <c r="TX9">
        <v>0.49248599999999998</v>
      </c>
      <c r="TY9" t="s">
        <v>1742</v>
      </c>
      <c r="TZ9">
        <v>2025</v>
      </c>
      <c r="UA9" t="s">
        <v>3024</v>
      </c>
      <c r="UB9" s="6">
        <v>46007</v>
      </c>
      <c r="UC9">
        <v>5</v>
      </c>
      <c r="UD9">
        <v>168371187.05000001</v>
      </c>
      <c r="UE9">
        <v>101534</v>
      </c>
      <c r="UF9" t="s">
        <v>3025</v>
      </c>
      <c r="UI9" t="s">
        <v>3971</v>
      </c>
      <c r="UJ9">
        <v>-2.4245362661989844E-14</v>
      </c>
      <c r="UL9">
        <v>-2.4245362661989844E-14</v>
      </c>
      <c r="UM9" t="s">
        <v>1745</v>
      </c>
      <c r="UN9">
        <v>2024</v>
      </c>
      <c r="UO9" t="s">
        <v>3972</v>
      </c>
      <c r="UP9" s="6">
        <v>45763</v>
      </c>
      <c r="UQ9">
        <v>5</v>
      </c>
      <c r="UR9">
        <v>-2.4245362661989844E-14</v>
      </c>
      <c r="US9">
        <v>169806</v>
      </c>
      <c r="UT9" t="s">
        <v>3973</v>
      </c>
      <c r="UY9" t="s">
        <v>2512</v>
      </c>
      <c r="UZ9" t="s">
        <v>1786</v>
      </c>
      <c r="VA9">
        <v>0.59890299999999996</v>
      </c>
      <c r="VB9">
        <v>1.729209</v>
      </c>
      <c r="VC9" t="s">
        <v>1809</v>
      </c>
      <c r="VD9">
        <v>2025</v>
      </c>
      <c r="VE9" t="s">
        <v>2035</v>
      </c>
      <c r="VF9" s="6">
        <v>45797</v>
      </c>
      <c r="VG9">
        <v>5</v>
      </c>
      <c r="VH9">
        <v>112571504</v>
      </c>
      <c r="VI9">
        <v>130929</v>
      </c>
      <c r="VJ9" t="s">
        <v>2513</v>
      </c>
      <c r="VM9" t="s">
        <v>167</v>
      </c>
      <c r="VN9">
        <v>0.76780499999999996</v>
      </c>
      <c r="VO9" t="s">
        <v>1786</v>
      </c>
      <c r="VP9">
        <v>2.2920660000000002</v>
      </c>
      <c r="VQ9" t="s">
        <v>1809</v>
      </c>
      <c r="VR9">
        <v>2025</v>
      </c>
      <c r="VS9" t="s">
        <v>2035</v>
      </c>
      <c r="VT9" s="6">
        <v>45797</v>
      </c>
      <c r="VU9">
        <v>5</v>
      </c>
      <c r="VV9">
        <v>111646528</v>
      </c>
      <c r="VW9">
        <v>69423747</v>
      </c>
      <c r="VX9" t="s">
        <v>2036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1022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1023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1024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1025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1026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1027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1028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1029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1030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1031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1032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1033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1034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1035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1036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1037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1038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1039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1040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1041</v>
      </c>
      <c r="AE2" s="3" t="s">
        <v>1042</v>
      </c>
      <c r="BI2" s="3" t="s">
        <v>169</v>
      </c>
      <c r="CM2" s="3" t="s">
        <v>840</v>
      </c>
      <c r="DQ2" s="3" t="s">
        <v>342</v>
      </c>
      <c r="EU2" s="3" t="s">
        <v>870</v>
      </c>
      <c r="FY2" s="3" t="s">
        <v>1043</v>
      </c>
      <c r="HC2" s="3" t="s">
        <v>1044</v>
      </c>
      <c r="IG2" s="3" t="s">
        <v>1045</v>
      </c>
      <c r="JK2" s="3" t="s">
        <v>1046</v>
      </c>
      <c r="KO2" s="3" t="s">
        <v>454</v>
      </c>
      <c r="LS2" s="3" t="s">
        <v>1047</v>
      </c>
      <c r="MW2" s="3" t="s">
        <v>1048</v>
      </c>
      <c r="OA2" s="3" t="s">
        <v>1049</v>
      </c>
      <c r="PE2" s="3" t="s">
        <v>1050</v>
      </c>
      <c r="QI2" s="3" t="s">
        <v>1051</v>
      </c>
      <c r="RM2" s="3" t="s">
        <v>941</v>
      </c>
      <c r="SQ2" s="3" t="s">
        <v>1052</v>
      </c>
      <c r="TU2" s="3" t="s">
        <v>1053</v>
      </c>
      <c r="UY2" s="3" t="s">
        <v>1054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_xll.BDS("ROVI US Equity","SUPPLY_CHAIN_SUPPLIERS_ALL_DATA")</f>
        <v>#N/A N/A</v>
      </c>
      <c r="O5" t="str">
        <f>_xll.BDS("ROVI US Equity","SUPPLY_CHAIN_CUSTOMERS_ALL_DATA")</f>
        <v>#N/A N/A</v>
      </c>
      <c r="AE5" t="str">
        <f>_xll.BDS("CTB US Equity","SUPPLY_CHAIN_SUPPLIERS_ALL_DATA","cols=12;rows=1")</f>
        <v>FE US Equity</v>
      </c>
      <c r="AG5">
        <v>-2.4245362661989844E-14</v>
      </c>
      <c r="AH5">
        <v>-2.4245362661989844E-14</v>
      </c>
      <c r="AI5" t="s">
        <v>1745</v>
      </c>
      <c r="AJ5">
        <v>2021</v>
      </c>
      <c r="AK5" t="s">
        <v>2288</v>
      </c>
      <c r="AL5" s="6">
        <v>44693</v>
      </c>
      <c r="AM5">
        <v>1</v>
      </c>
      <c r="AN5">
        <v>-2.4245362661989844E-14</v>
      </c>
      <c r="AO5">
        <v>302916</v>
      </c>
      <c r="AP5" t="s">
        <v>2289</v>
      </c>
      <c r="AS5" t="str">
        <f>_xll.BDS("CTB US Equity","SUPPLY_CHAIN_CUSTOMERS_ALL_DATA")</f>
        <v>#N/A N/A</v>
      </c>
      <c r="BI5" t="str">
        <f>_xll.BDS("BX US Equity","SUPPLY_CHAIN_SUPPLIERS_ALL_DATA","cols=12;rows=5")</f>
        <v>ORCL US Equity</v>
      </c>
      <c r="BJ5" t="s">
        <v>1786</v>
      </c>
      <c r="BK5">
        <v>3.7003000000000001E-2</v>
      </c>
      <c r="BL5">
        <v>0.33128000000000002</v>
      </c>
      <c r="BM5" t="s">
        <v>1845</v>
      </c>
      <c r="BN5">
        <v>2025</v>
      </c>
      <c r="BO5" t="s">
        <v>1883</v>
      </c>
      <c r="BP5" s="6">
        <v>45848</v>
      </c>
      <c r="BQ5">
        <v>5</v>
      </c>
      <c r="BR5">
        <v>5884587</v>
      </c>
      <c r="BS5">
        <v>101752</v>
      </c>
      <c r="BT5" t="s">
        <v>2723</v>
      </c>
      <c r="BW5" t="str">
        <f>_xll.BDS("BX US Equity","SUPPLY_CHAIN_CUSTOMERS_ALL_DATA","cols=12;rows=5")</f>
        <v>002284 CH Equity</v>
      </c>
      <c r="BX5">
        <v>-2.4245362661989844E-14</v>
      </c>
      <c r="BZ5">
        <v>-2.4245362661989844E-14</v>
      </c>
      <c r="CA5" t="s">
        <v>1745</v>
      </c>
      <c r="CB5">
        <v>2024</v>
      </c>
      <c r="CC5" t="s">
        <v>3705</v>
      </c>
      <c r="CD5" s="6">
        <v>45744</v>
      </c>
      <c r="CE5">
        <v>5</v>
      </c>
      <c r="CF5">
        <v>-2.4245362661989844E-14</v>
      </c>
      <c r="CG5">
        <v>15069854</v>
      </c>
      <c r="CH5" t="s">
        <v>3192</v>
      </c>
      <c r="CM5" t="str">
        <f>_xll.BDS("AVT US Equity","SUPPLY_CHAIN_SUPPLIERS_ALL_DATA","cols=12;rows=5")</f>
        <v>NXPI US Equity</v>
      </c>
      <c r="CN5" t="s">
        <v>1786</v>
      </c>
      <c r="CO5">
        <v>23</v>
      </c>
      <c r="CP5">
        <v>13.637885000000001</v>
      </c>
      <c r="CQ5" t="s">
        <v>1745</v>
      </c>
      <c r="CR5">
        <v>2025</v>
      </c>
      <c r="CS5" t="s">
        <v>3586</v>
      </c>
      <c r="CT5" s="6">
        <v>46072</v>
      </c>
      <c r="CU5">
        <v>5</v>
      </c>
      <c r="CV5">
        <v>705467520</v>
      </c>
      <c r="CW5">
        <v>11109358</v>
      </c>
      <c r="CX5" t="s">
        <v>3587</v>
      </c>
      <c r="DA5" t="str">
        <f>_xll.BDS("AVT US Equity","SUPPLY_CHAIN_CUSTOMERS_ALL_DATA","cols=12;rows=5")</f>
        <v>005930 KS Equity</v>
      </c>
      <c r="DB5">
        <v>0.32775599999999999</v>
      </c>
      <c r="DC5" t="s">
        <v>1786</v>
      </c>
      <c r="DD5">
        <v>5.2585E-2</v>
      </c>
      <c r="DE5" t="s">
        <v>1762</v>
      </c>
      <c r="DF5">
        <v>2025</v>
      </c>
      <c r="DG5" t="s">
        <v>3436</v>
      </c>
      <c r="DH5" s="6">
        <v>45952</v>
      </c>
      <c r="DI5">
        <v>5</v>
      </c>
      <c r="DJ5">
        <v>18434370.91</v>
      </c>
      <c r="DK5">
        <v>117929</v>
      </c>
      <c r="DL5" t="s">
        <v>1791</v>
      </c>
      <c r="DQ5" t="str">
        <f>_xll.BDS("SCI US Equity","SUPPLY_CHAIN_SUPPLIERS_ALL_DATA")</f>
        <v>#N/A N/A</v>
      </c>
      <c r="EE5" t="str">
        <f>_xll.BDS("SCI US Equity","SUPPLY_CHAIN_CUSTOMERS_ALL_DATA")</f>
        <v>#N/A N/A</v>
      </c>
      <c r="EU5" t="str">
        <f>_xll.BDS("HZNP US Equity","SUPPLY_CHAIN_SUPPLIERS_ALL_DATA","cols=12;rows=5")</f>
        <v>0217032D US Equity</v>
      </c>
      <c r="EW5">
        <v>-2.4245362661989844E-14</v>
      </c>
      <c r="EX5">
        <v>-2.4245362661989844E-14</v>
      </c>
      <c r="EY5" t="s">
        <v>1762</v>
      </c>
      <c r="EZ5">
        <v>2023</v>
      </c>
      <c r="FA5" t="s">
        <v>3373</v>
      </c>
      <c r="FB5" s="6">
        <v>45146</v>
      </c>
      <c r="FC5">
        <v>5</v>
      </c>
      <c r="FD5">
        <v>-2.4245362661989844E-14</v>
      </c>
      <c r="FE5">
        <v>8538176</v>
      </c>
      <c r="FF5" t="s">
        <v>3374</v>
      </c>
      <c r="FI5" t="str">
        <f>_xll.BDS("HZNP US Equity","SUPPLY_CHAIN_CUSTOMERS_ALL_DATA","cols=12;rows=5")</f>
        <v>1789 TT Equity</v>
      </c>
      <c r="FJ5">
        <v>-2.4245362661989844E-14</v>
      </c>
      <c r="FL5">
        <v>-2.4245362661989844E-14</v>
      </c>
      <c r="FM5" t="s">
        <v>1745</v>
      </c>
      <c r="FN5">
        <v>2021</v>
      </c>
      <c r="FO5" t="s">
        <v>5042</v>
      </c>
      <c r="FP5" s="6">
        <v>44637</v>
      </c>
      <c r="FQ5">
        <v>5</v>
      </c>
      <c r="FR5">
        <v>-2.4245362661989844E-14</v>
      </c>
      <c r="FS5">
        <v>10498790</v>
      </c>
      <c r="FT5" t="s">
        <v>5043</v>
      </c>
      <c r="FY5" t="str">
        <f>_xll.BDS("6222B US Equity","SUPPLY_CHAIN_SUPPLIERS_ALL_DATA","cols=12;rows=5")</f>
        <v>STAG US Equity</v>
      </c>
      <c r="GA5">
        <v>0.5968</v>
      </c>
      <c r="GB5">
        <v>-2.4245362661989844E-14</v>
      </c>
      <c r="GC5" t="s">
        <v>1742</v>
      </c>
      <c r="GD5">
        <v>2025</v>
      </c>
      <c r="GE5" t="s">
        <v>2934</v>
      </c>
      <c r="GF5" s="6">
        <v>45959</v>
      </c>
      <c r="GG5">
        <v>5</v>
      </c>
      <c r="GH5">
        <v>1259970</v>
      </c>
      <c r="GI5">
        <v>20264138</v>
      </c>
      <c r="GJ5" t="s">
        <v>2935</v>
      </c>
      <c r="GM5" t="str">
        <f>_xll.BDS("6222B US Equity","SUPPLY_CHAIN_CUSTOMERS_ALL_DATA","cols=12;rows=1")</f>
        <v>735365Z US Equity</v>
      </c>
      <c r="GN5">
        <v>-2.4245362661989844E-14</v>
      </c>
      <c r="GP5">
        <v>-2.4245362661989844E-14</v>
      </c>
      <c r="GQ5" t="s">
        <v>1742</v>
      </c>
      <c r="GR5">
        <v>2025</v>
      </c>
      <c r="GS5" t="s">
        <v>2115</v>
      </c>
      <c r="GT5" s="6">
        <v>46020</v>
      </c>
      <c r="GU5">
        <v>1</v>
      </c>
      <c r="GV5">
        <v>-2.4245362661989844E-14</v>
      </c>
      <c r="GW5">
        <v>10803397</v>
      </c>
      <c r="GX5" t="s">
        <v>2116</v>
      </c>
      <c r="HC5" t="str">
        <f>_xll.BDS("USB US Equity","SUPPLY_CHAIN_SUPPLIERS_ALL_DATA","cols=12;rows=5")</f>
        <v>INFO IN Equity</v>
      </c>
      <c r="HD5" t="s">
        <v>1769</v>
      </c>
      <c r="HE5">
        <v>1.3519060000000001</v>
      </c>
      <c r="HF5">
        <v>1.509646</v>
      </c>
      <c r="HG5" t="s">
        <v>1762</v>
      </c>
      <c r="HH5">
        <v>2026</v>
      </c>
      <c r="HI5" t="s">
        <v>4110</v>
      </c>
      <c r="HJ5" s="6">
        <v>46022</v>
      </c>
      <c r="HK5">
        <v>5</v>
      </c>
      <c r="HL5">
        <v>63385504.969999999</v>
      </c>
      <c r="HM5">
        <v>174545</v>
      </c>
      <c r="HN5" t="s">
        <v>4111</v>
      </c>
      <c r="HQ5" t="str">
        <f>_xll.BDS("USB US Equity","SUPPLY_CHAIN_CUSTOMERS_ALL_DATA","cols=12;rows=2")</f>
        <v>FISV US Equity</v>
      </c>
      <c r="HR5">
        <v>-2.4245362661989844E-14</v>
      </c>
      <c r="HT5">
        <v>-2.4245362661989844E-14</v>
      </c>
      <c r="HU5" t="s">
        <v>1745</v>
      </c>
      <c r="HV5">
        <v>2023</v>
      </c>
      <c r="HW5" t="s">
        <v>1897</v>
      </c>
      <c r="HX5" s="6">
        <v>45344</v>
      </c>
      <c r="HY5">
        <v>2</v>
      </c>
      <c r="HZ5">
        <v>-2.4245362661989844E-14</v>
      </c>
      <c r="IA5">
        <v>103882</v>
      </c>
      <c r="IB5" t="s">
        <v>1898</v>
      </c>
      <c r="IG5" t="str">
        <f>_xll.BDS("PENN US Equity","SUPPLY_CHAIN_SUPPLIERS_ALL_DATA","cols=12;rows=5")</f>
        <v>GLPI US Equity</v>
      </c>
      <c r="IH5" t="s">
        <v>1769</v>
      </c>
      <c r="II5">
        <v>52.997311000000003</v>
      </c>
      <c r="IJ5">
        <v>52.234904999999998</v>
      </c>
      <c r="IK5" t="s">
        <v>1745</v>
      </c>
      <c r="IL5">
        <v>2024</v>
      </c>
      <c r="IM5" t="s">
        <v>2846</v>
      </c>
      <c r="IN5" s="6">
        <v>45708</v>
      </c>
      <c r="IO5">
        <v>5</v>
      </c>
      <c r="IP5">
        <v>202919550</v>
      </c>
      <c r="IQ5">
        <v>33372374</v>
      </c>
      <c r="IR5" t="s">
        <v>2847</v>
      </c>
      <c r="IU5" t="str">
        <f>_xll.BDS("PENN US Equity","SUPPLY_CHAIN_CUSTOMERS_ALL_DATA","cols=12;rows=4")</f>
        <v>0127957D US Equity</v>
      </c>
      <c r="IV5">
        <v>-2.4245362661989844E-14</v>
      </c>
      <c r="IX5">
        <v>-2.4245362661989844E-14</v>
      </c>
      <c r="IY5" t="s">
        <v>1745</v>
      </c>
      <c r="IZ5">
        <v>2024</v>
      </c>
      <c r="JA5" t="s">
        <v>2608</v>
      </c>
      <c r="JB5" s="6">
        <v>45747</v>
      </c>
      <c r="JC5">
        <v>4</v>
      </c>
      <c r="JD5">
        <v>-2.4245362661989844E-14</v>
      </c>
      <c r="JE5">
        <v>19488118</v>
      </c>
      <c r="JF5" t="s">
        <v>2609</v>
      </c>
      <c r="JK5" t="str">
        <f>_xll.BDS("BIIB US Equity","SUPPLY_CHAIN_SUPPLIERS_ALL_DATA","cols=12;rows=5")</f>
        <v>IONS US Equity</v>
      </c>
      <c r="JL5" t="s">
        <v>1786</v>
      </c>
      <c r="JM5">
        <v>21.945872999999999</v>
      </c>
      <c r="JN5">
        <v>8.8303799999999999</v>
      </c>
      <c r="JO5" t="s">
        <v>1745</v>
      </c>
      <c r="JP5">
        <v>2025</v>
      </c>
      <c r="JQ5" t="s">
        <v>2410</v>
      </c>
      <c r="JR5" s="6">
        <v>46059</v>
      </c>
      <c r="JS5">
        <v>5</v>
      </c>
      <c r="JT5">
        <v>53075000</v>
      </c>
      <c r="JU5">
        <v>104764</v>
      </c>
      <c r="JV5" t="s">
        <v>5779</v>
      </c>
      <c r="JY5" t="str">
        <f>_xll.BDS("BIIB US Equity","SUPPLY_CHAIN_CUSTOMERS_ALL_DATA","cols=12;rows=5")</f>
        <v>COR US Equity</v>
      </c>
      <c r="JZ5">
        <v>27.546534000000001</v>
      </c>
      <c r="KA5" t="s">
        <v>1786</v>
      </c>
      <c r="KB5">
        <v>0.93721299999999996</v>
      </c>
      <c r="KC5" t="s">
        <v>1762</v>
      </c>
      <c r="KD5">
        <v>2025</v>
      </c>
      <c r="KE5" t="s">
        <v>5598</v>
      </c>
      <c r="KF5" s="6">
        <v>45891</v>
      </c>
      <c r="KG5">
        <v>5</v>
      </c>
      <c r="KH5">
        <v>728743552</v>
      </c>
      <c r="KI5">
        <v>156969</v>
      </c>
      <c r="KJ5" t="s">
        <v>2148</v>
      </c>
      <c r="KO5" t="str">
        <f>_xll.BDS("GE US Equity","SUPPLY_CHAIN_SUPPLIERS_ALL_DATA","cols=12;rows=5")</f>
        <v>SAF FP Equity</v>
      </c>
      <c r="KP5" t="s">
        <v>1786</v>
      </c>
      <c r="KQ5">
        <v>7.9101749999999997</v>
      </c>
      <c r="KR5">
        <v>9.7364909999999991</v>
      </c>
      <c r="KS5" t="s">
        <v>1762</v>
      </c>
      <c r="KT5">
        <v>2025</v>
      </c>
      <c r="KU5" t="s">
        <v>2423</v>
      </c>
      <c r="KV5" s="6">
        <v>45874</v>
      </c>
      <c r="KW5">
        <v>5</v>
      </c>
      <c r="KX5">
        <v>666294015.34000003</v>
      </c>
      <c r="KY5">
        <v>115519</v>
      </c>
      <c r="KZ5" t="s">
        <v>2424</v>
      </c>
      <c r="LC5" t="str">
        <f>_xll.BDS("GE US Equity","SUPPLY_CHAIN_CUSTOMERS_ALL_DATA","cols=12;rows=5")</f>
        <v>3352Z US Equity</v>
      </c>
      <c r="LD5">
        <v>10</v>
      </c>
      <c r="LF5">
        <v>-2.4245362661989844E-14</v>
      </c>
      <c r="LG5" t="s">
        <v>1745</v>
      </c>
      <c r="LH5">
        <v>2025</v>
      </c>
      <c r="LI5" t="s">
        <v>1876</v>
      </c>
      <c r="LJ5" s="6">
        <v>46051</v>
      </c>
      <c r="LK5">
        <v>5</v>
      </c>
      <c r="LL5">
        <v>1146375040</v>
      </c>
      <c r="LM5">
        <v>218252</v>
      </c>
      <c r="LN5" t="s">
        <v>1803</v>
      </c>
      <c r="LS5" t="str">
        <f>_xll.BDS("ITRI US Equity","SUPPLY_CHAIN_SUPPLIERS_ALL_DATA","cols=12;rows=5")</f>
        <v>JBL US Equity</v>
      </c>
      <c r="LT5" t="s">
        <v>1786</v>
      </c>
      <c r="LU5">
        <v>7.4124999999999996E-2</v>
      </c>
      <c r="LV5">
        <v>1.4576849999999999</v>
      </c>
      <c r="LW5" t="s">
        <v>1742</v>
      </c>
      <c r="LX5">
        <v>2025</v>
      </c>
      <c r="LY5" t="s">
        <v>2796</v>
      </c>
      <c r="LZ5" s="6">
        <v>45867</v>
      </c>
      <c r="MA5">
        <v>5</v>
      </c>
      <c r="MB5">
        <v>5802505</v>
      </c>
      <c r="MC5">
        <v>117092</v>
      </c>
      <c r="MD5" t="s">
        <v>2797</v>
      </c>
      <c r="MG5" t="str">
        <f>_xll.BDS("ITRI US Equity","SUPPLY_CHAIN_CUSTOMERS_ALL_DATA","cols=12;rows=5")</f>
        <v>PPC GA Equity</v>
      </c>
      <c r="MH5">
        <v>-2.4245362661989844E-14</v>
      </c>
      <c r="MJ5">
        <v>-2.4245362661989844E-14</v>
      </c>
      <c r="MK5" t="s">
        <v>1745</v>
      </c>
      <c r="ML5">
        <v>2025</v>
      </c>
      <c r="MM5" t="s">
        <v>5798</v>
      </c>
      <c r="MN5" s="6">
        <v>45832</v>
      </c>
      <c r="MO5">
        <v>5</v>
      </c>
      <c r="MP5">
        <v>-2.4245362661989844E-14</v>
      </c>
      <c r="MQ5">
        <v>186825</v>
      </c>
      <c r="MR5" t="s">
        <v>5799</v>
      </c>
      <c r="MW5" t="str">
        <f>_xll.BDS("PRMW CN Equity","SUPPLY_CHAIN_SUPPLIERS_ALL_DATA","cols=12;rows=5")</f>
        <v>AEE US Equity</v>
      </c>
      <c r="MY5">
        <v>-2.4245362661989844E-14</v>
      </c>
      <c r="MZ5">
        <v>-2.4245362661989844E-14</v>
      </c>
      <c r="NA5" t="s">
        <v>1745</v>
      </c>
      <c r="NB5">
        <v>2021</v>
      </c>
      <c r="NC5" t="s">
        <v>2281</v>
      </c>
      <c r="ND5" s="6">
        <v>44693</v>
      </c>
      <c r="NE5">
        <v>5</v>
      </c>
      <c r="NF5">
        <v>-2.4245362661989844E-14</v>
      </c>
      <c r="NG5">
        <v>313098</v>
      </c>
      <c r="NH5" t="s">
        <v>2282</v>
      </c>
      <c r="NK5" t="str">
        <f>_xll.BDS("PRMW CN Equity","SUPPLY_CHAIN_CUSTOMERS_ALL_DATA","cols=12;rows=1")</f>
        <v>COST US Equity</v>
      </c>
      <c r="NL5">
        <v>-2.4245362661989844E-14</v>
      </c>
      <c r="NN5">
        <v>-2.4245362661989844E-14</v>
      </c>
      <c r="NO5" t="s">
        <v>1745</v>
      </c>
      <c r="NP5">
        <v>2022</v>
      </c>
      <c r="NQ5" t="s">
        <v>3648</v>
      </c>
      <c r="NR5" s="6">
        <v>44935</v>
      </c>
      <c r="NS5">
        <v>1</v>
      </c>
      <c r="NT5">
        <v>-2.4245362661989844E-14</v>
      </c>
      <c r="NU5">
        <v>101758</v>
      </c>
      <c r="NV5" t="s">
        <v>1856</v>
      </c>
      <c r="OA5" t="str">
        <f>_xll.BDS("NXTL US Equity","SUPPLY_CHAIN_SUPPLIERS_ALL_DATA")</f>
        <v>#N/A N/A</v>
      </c>
      <c r="OO5" t="str">
        <f>_xll.BDS("NXTL US Equity","SUPPLY_CHAIN_CUSTOMERS_ALL_DATA")</f>
        <v>#N/A N/A</v>
      </c>
      <c r="PE5" t="str">
        <f>_xll.BDS("SHP LN Equity","SUPPLY_CHAIN_SUPPLIERS_ALL_DATA","cols=12;rows=2")</f>
        <v>INFA US Equity</v>
      </c>
      <c r="PG5">
        <v>-2.4245362661989844E-14</v>
      </c>
      <c r="PH5">
        <v>-2.4245362661989844E-14</v>
      </c>
      <c r="PI5" t="s">
        <v>1762</v>
      </c>
      <c r="PJ5">
        <v>2024</v>
      </c>
      <c r="PK5" t="s">
        <v>2990</v>
      </c>
      <c r="PL5" s="6">
        <v>45531</v>
      </c>
      <c r="PM5">
        <v>2</v>
      </c>
      <c r="PN5">
        <v>-2.4245362661989844E-14</v>
      </c>
      <c r="PO5">
        <v>69762655</v>
      </c>
      <c r="PP5" t="s">
        <v>2991</v>
      </c>
      <c r="PS5" t="str">
        <f>_xll.BDS("SHP LN Equity","SUPPLY_CHAIN_CUSTOMERS_ALL_DATA")</f>
        <v>#N/A N/A</v>
      </c>
      <c r="QI5" t="str">
        <f>_xll.BDS("ENS US Equity","SUPPLY_CHAIN_SUPPLIERS_ALL_DATA","cols=12;rows=5")</f>
        <v>002851 CH Equity</v>
      </c>
      <c r="QK5">
        <v>-2.4245362661989844E-14</v>
      </c>
      <c r="QL5">
        <v>-2.4245362661989844E-14</v>
      </c>
      <c r="QM5" t="s">
        <v>1805</v>
      </c>
      <c r="QN5">
        <v>2025</v>
      </c>
      <c r="QO5" t="s">
        <v>5262</v>
      </c>
      <c r="QP5" s="6">
        <v>45898</v>
      </c>
      <c r="QQ5">
        <v>5</v>
      </c>
      <c r="QR5">
        <v>-2.4245362661989844E-14</v>
      </c>
      <c r="QS5">
        <v>21770801</v>
      </c>
      <c r="QT5" t="s">
        <v>5263</v>
      </c>
      <c r="QW5" t="str">
        <f>_xll.BDS("ENS US Equity","SUPPLY_CHAIN_CUSTOMERS_ALL_DATA","cols=12;rows=5")</f>
        <v>0219682Z US Equity</v>
      </c>
      <c r="QX5">
        <v>-2.4245362661989844E-14</v>
      </c>
      <c r="QZ5">
        <v>-2.4245362661989844E-14</v>
      </c>
      <c r="RA5" t="s">
        <v>1845</v>
      </c>
      <c r="RB5">
        <v>2024</v>
      </c>
      <c r="RC5" t="s">
        <v>1929</v>
      </c>
      <c r="RD5" s="6">
        <v>45455</v>
      </c>
      <c r="RE5">
        <v>5</v>
      </c>
      <c r="RF5">
        <v>-2.4245362661989844E-14</v>
      </c>
      <c r="RG5">
        <v>962205</v>
      </c>
      <c r="RH5" t="s">
        <v>1796</v>
      </c>
      <c r="RM5" t="str">
        <f>_xll.BDS("VLY US Equity","SUPPLY_CHAIN_SUPPLIERS_ALL_DATA","cols=12;rows=2")</f>
        <v>VNO US Equity</v>
      </c>
      <c r="RO5">
        <v>-2.4245362661989844E-14</v>
      </c>
      <c r="RP5">
        <v>-2.4245362661989844E-14</v>
      </c>
      <c r="RQ5" t="s">
        <v>1745</v>
      </c>
      <c r="RR5">
        <v>2022</v>
      </c>
      <c r="RS5" t="s">
        <v>5038</v>
      </c>
      <c r="RT5" s="6">
        <v>44970</v>
      </c>
      <c r="RU5">
        <v>2</v>
      </c>
      <c r="RV5">
        <v>-2.4245362661989844E-14</v>
      </c>
      <c r="RW5">
        <v>101608</v>
      </c>
      <c r="RX5" t="s">
        <v>4674</v>
      </c>
      <c r="SA5" t="str">
        <f>_xll.BDS("VLY US Equity","SUPPLY_CHAIN_CUSTOMERS_ALL_DATA")</f>
        <v>#N/A N/A</v>
      </c>
      <c r="SQ5" t="str">
        <f>_xll.BDS("1918938D US Equity","SUPPLY_CHAIN_SUPPLIERS_ALL_DATA")</f>
        <v>#N/A N/A</v>
      </c>
      <c r="TE5" t="str">
        <f>_xll.BDS("1918938D US Equity","SUPPLY_CHAIN_CUSTOMERS_ALL_DATA")</f>
        <v>#N/A N/A</v>
      </c>
      <c r="TU5" t="str">
        <f>_xll.BDS("BERY US Equity","SUPPLY_CHAIN_SUPPLIERS_ALL_DATA","cols=12;rows=5")</f>
        <v>OERL SW Equity</v>
      </c>
      <c r="TV5" t="s">
        <v>1820</v>
      </c>
      <c r="TW5">
        <v>0.37603300000000001</v>
      </c>
      <c r="TX5">
        <v>1.9308540000000001</v>
      </c>
      <c r="TY5" t="s">
        <v>1845</v>
      </c>
      <c r="TZ5">
        <v>2024</v>
      </c>
      <c r="UA5" t="s">
        <v>2488</v>
      </c>
      <c r="UB5" s="6">
        <v>45719</v>
      </c>
      <c r="UC5">
        <v>5</v>
      </c>
      <c r="UD5">
        <v>2585478.9</v>
      </c>
      <c r="UE5">
        <v>117826</v>
      </c>
      <c r="UF5" t="s">
        <v>2489</v>
      </c>
      <c r="UI5" t="str">
        <f>_xll.BDS("BERY US Equity","SUPPLY_CHAIN_CUSTOMERS_ALL_DATA","cols=12;rows=5")</f>
        <v>WMT US Equity</v>
      </c>
      <c r="UJ5">
        <v>4.8026299999999997</v>
      </c>
      <c r="UK5" t="s">
        <v>1786</v>
      </c>
      <c r="UL5">
        <v>8.4115999999999996E-2</v>
      </c>
      <c r="UM5" t="s">
        <v>1809</v>
      </c>
      <c r="UN5">
        <v>2025</v>
      </c>
      <c r="UO5" t="s">
        <v>4177</v>
      </c>
      <c r="UP5" s="6">
        <v>45736</v>
      </c>
      <c r="UQ5">
        <v>5</v>
      </c>
      <c r="UR5">
        <v>114542728</v>
      </c>
      <c r="US5">
        <v>101616</v>
      </c>
      <c r="UT5" t="s">
        <v>2098</v>
      </c>
      <c r="UY5" t="str">
        <f>_xll.BDS("RTX US Equity","SUPPLY_CHAIN_SUPPLIERS_ALL_DATA","cols=12;rows=5")</f>
        <v>MTX GR Equity</v>
      </c>
      <c r="UZ5" t="s">
        <v>1786</v>
      </c>
      <c r="VA5">
        <v>24.749371</v>
      </c>
      <c r="VB5">
        <v>3.4020609999999998</v>
      </c>
      <c r="VC5" t="s">
        <v>1762</v>
      </c>
      <c r="VD5">
        <v>2025</v>
      </c>
      <c r="VE5" t="s">
        <v>2426</v>
      </c>
      <c r="VF5" s="6">
        <v>45937</v>
      </c>
      <c r="VG5">
        <v>5</v>
      </c>
      <c r="VH5">
        <v>585090912.53999996</v>
      </c>
      <c r="VI5">
        <v>8445936</v>
      </c>
      <c r="VJ5" t="s">
        <v>2427</v>
      </c>
      <c r="VM5" t="str">
        <f>_xll.BDS("RTX US Equity","SUPPLY_CHAIN_CUSTOMERS_ALL_DATA","cols=12;rows=5")</f>
        <v>3352Z US Equity</v>
      </c>
      <c r="VN5">
        <v>37.559677000000001</v>
      </c>
      <c r="VP5">
        <v>-2.4245362661989844E-14</v>
      </c>
      <c r="VQ5" t="s">
        <v>1745</v>
      </c>
      <c r="VR5">
        <v>2025</v>
      </c>
      <c r="VS5" t="s">
        <v>6454</v>
      </c>
      <c r="VT5" s="6">
        <v>46059</v>
      </c>
      <c r="VU5">
        <v>5</v>
      </c>
      <c r="VV5">
        <v>8319750000</v>
      </c>
      <c r="VW5">
        <v>218252</v>
      </c>
      <c r="VX5" t="s">
        <v>1803</v>
      </c>
    </row>
    <row r="6" spans="1:600" x14ac:dyDescent="0.25">
      <c r="BI6" t="s">
        <v>4796</v>
      </c>
      <c r="BJ6" t="s">
        <v>1769</v>
      </c>
      <c r="BK6">
        <v>0.597939</v>
      </c>
      <c r="BL6">
        <v>5.9714000000000003E-2</v>
      </c>
      <c r="BM6" t="s">
        <v>1745</v>
      </c>
      <c r="BN6">
        <v>2024</v>
      </c>
      <c r="BO6" t="s">
        <v>4797</v>
      </c>
      <c r="BP6" s="6">
        <v>45694</v>
      </c>
      <c r="BQ6">
        <v>5</v>
      </c>
      <c r="BR6">
        <v>957052.25</v>
      </c>
      <c r="BS6">
        <v>103579</v>
      </c>
      <c r="BT6" t="s">
        <v>4798</v>
      </c>
      <c r="BW6" t="s">
        <v>3706</v>
      </c>
      <c r="BX6">
        <v>-2.4245362661989844E-14</v>
      </c>
      <c r="BZ6">
        <v>-2.4245362661989844E-14</v>
      </c>
      <c r="CA6" t="s">
        <v>1805</v>
      </c>
      <c r="CB6">
        <v>2025</v>
      </c>
      <c r="CC6" t="s">
        <v>3707</v>
      </c>
      <c r="CD6" s="6">
        <v>45894</v>
      </c>
      <c r="CE6">
        <v>5</v>
      </c>
      <c r="CF6">
        <v>-2.4245362661989844E-14</v>
      </c>
      <c r="CG6">
        <v>15149577</v>
      </c>
      <c r="CH6" t="s">
        <v>3708</v>
      </c>
      <c r="CM6" t="s">
        <v>2512</v>
      </c>
      <c r="CN6" t="s">
        <v>1786</v>
      </c>
      <c r="CO6">
        <v>2.7653910000000002</v>
      </c>
      <c r="CP6">
        <v>10.856536</v>
      </c>
      <c r="CQ6" t="s">
        <v>1762</v>
      </c>
      <c r="CR6">
        <v>2025</v>
      </c>
      <c r="CS6" t="s">
        <v>2824</v>
      </c>
      <c r="CT6" s="6">
        <v>46065</v>
      </c>
      <c r="CU6">
        <v>5</v>
      </c>
      <c r="CV6">
        <v>614036672</v>
      </c>
      <c r="CW6">
        <v>130929</v>
      </c>
      <c r="CX6" t="s">
        <v>2513</v>
      </c>
      <c r="DA6" t="s">
        <v>3639</v>
      </c>
      <c r="DB6">
        <v>2.2931E-2</v>
      </c>
      <c r="DC6" t="s">
        <v>1786</v>
      </c>
      <c r="DD6">
        <v>3.4938999999999998E-2</v>
      </c>
      <c r="DE6" t="s">
        <v>1762</v>
      </c>
      <c r="DF6">
        <v>2025</v>
      </c>
      <c r="DG6" t="s">
        <v>3640</v>
      </c>
      <c r="DH6" s="6">
        <v>45908</v>
      </c>
      <c r="DI6">
        <v>5</v>
      </c>
      <c r="DJ6">
        <v>1288502.0900000001</v>
      </c>
      <c r="DK6">
        <v>304299</v>
      </c>
      <c r="DL6" t="s">
        <v>3641</v>
      </c>
      <c r="EU6" t="s">
        <v>3375</v>
      </c>
      <c r="EW6">
        <v>-2.4245362661989844E-14</v>
      </c>
      <c r="EX6">
        <v>-2.4245362661989844E-14</v>
      </c>
      <c r="EY6" t="s">
        <v>1762</v>
      </c>
      <c r="EZ6">
        <v>2023</v>
      </c>
      <c r="FA6" t="s">
        <v>3373</v>
      </c>
      <c r="FB6" s="6">
        <v>45146</v>
      </c>
      <c r="FC6">
        <v>5</v>
      </c>
      <c r="FD6">
        <v>-2.4245362661989844E-14</v>
      </c>
      <c r="FE6">
        <v>946185</v>
      </c>
      <c r="FF6" t="s">
        <v>3376</v>
      </c>
      <c r="FI6" t="s">
        <v>5044</v>
      </c>
      <c r="FJ6">
        <v>-2.4245362661989844E-14</v>
      </c>
      <c r="FL6">
        <v>-2.4245362661989844E-14</v>
      </c>
      <c r="FM6" t="s">
        <v>1762</v>
      </c>
      <c r="FN6">
        <v>2023</v>
      </c>
      <c r="FO6" t="s">
        <v>3373</v>
      </c>
      <c r="FP6" s="6">
        <v>45146</v>
      </c>
      <c r="FQ6">
        <v>5</v>
      </c>
      <c r="FR6">
        <v>-2.4245362661989844E-14</v>
      </c>
      <c r="FS6">
        <v>64778847</v>
      </c>
      <c r="FT6" t="s">
        <v>5045</v>
      </c>
      <c r="FY6" t="s">
        <v>2936</v>
      </c>
      <c r="GA6">
        <v>-2.4245362661989844E-14</v>
      </c>
      <c r="GB6">
        <v>-2.4245362661989844E-14</v>
      </c>
      <c r="GC6" t="s">
        <v>1809</v>
      </c>
      <c r="GD6">
        <v>2024</v>
      </c>
      <c r="GE6" t="s">
        <v>2937</v>
      </c>
      <c r="GF6" s="6">
        <v>45419</v>
      </c>
      <c r="GG6">
        <v>5</v>
      </c>
      <c r="GH6">
        <v>-2.4245362661989844E-14</v>
      </c>
      <c r="GI6">
        <v>43152573</v>
      </c>
      <c r="GJ6" t="s">
        <v>2938</v>
      </c>
      <c r="HC6" t="s">
        <v>424</v>
      </c>
      <c r="HD6" t="s">
        <v>1786</v>
      </c>
      <c r="HE6">
        <v>1.2899000000000001E-2</v>
      </c>
      <c r="HF6">
        <v>0.213559</v>
      </c>
      <c r="HG6" t="s">
        <v>1742</v>
      </c>
      <c r="HH6">
        <v>2025</v>
      </c>
      <c r="HI6" t="s">
        <v>2528</v>
      </c>
      <c r="HJ6" s="6">
        <v>45843</v>
      </c>
      <c r="HK6">
        <v>5</v>
      </c>
      <c r="HL6">
        <v>9037813</v>
      </c>
      <c r="HM6">
        <v>101743</v>
      </c>
      <c r="HN6" t="s">
        <v>1891</v>
      </c>
      <c r="HQ6" t="s">
        <v>1899</v>
      </c>
      <c r="HR6">
        <v>-2.4245362661989844E-14</v>
      </c>
      <c r="HT6">
        <v>-2.4245362661989844E-14</v>
      </c>
      <c r="HU6" t="s">
        <v>1742</v>
      </c>
      <c r="HV6">
        <v>2025</v>
      </c>
      <c r="HW6" t="s">
        <v>1900</v>
      </c>
      <c r="HX6" s="6">
        <v>45966</v>
      </c>
      <c r="HY6">
        <v>2</v>
      </c>
      <c r="HZ6">
        <v>-2.4245362661989844E-14</v>
      </c>
      <c r="IA6">
        <v>38748702</v>
      </c>
      <c r="IB6" t="s">
        <v>1901</v>
      </c>
      <c r="IG6" t="s">
        <v>5072</v>
      </c>
      <c r="II6">
        <v>-2.4245362661989844E-14</v>
      </c>
      <c r="IJ6">
        <v>-2.4245362661989844E-14</v>
      </c>
      <c r="IK6" t="s">
        <v>1745</v>
      </c>
      <c r="IL6">
        <v>2025</v>
      </c>
      <c r="IM6" t="s">
        <v>5073</v>
      </c>
      <c r="IN6" s="6">
        <v>45903</v>
      </c>
      <c r="IO6">
        <v>5</v>
      </c>
      <c r="IP6">
        <v>-2.4245362661989844E-14</v>
      </c>
      <c r="IQ6">
        <v>29450553</v>
      </c>
      <c r="IR6" t="s">
        <v>5074</v>
      </c>
      <c r="IU6" t="s">
        <v>4805</v>
      </c>
      <c r="IV6">
        <v>-2.4245362661989844E-14</v>
      </c>
      <c r="IX6">
        <v>-2.4245362661989844E-14</v>
      </c>
      <c r="IY6" t="s">
        <v>1745</v>
      </c>
      <c r="IZ6">
        <v>2025</v>
      </c>
      <c r="JA6" t="s">
        <v>4806</v>
      </c>
      <c r="JB6" s="6">
        <v>45749</v>
      </c>
      <c r="JC6">
        <v>4</v>
      </c>
      <c r="JD6">
        <v>-2.4245362661989844E-14</v>
      </c>
      <c r="JE6">
        <v>102456</v>
      </c>
      <c r="JF6" t="s">
        <v>4807</v>
      </c>
      <c r="JK6" t="s">
        <v>5780</v>
      </c>
      <c r="JL6" t="s">
        <v>1786</v>
      </c>
      <c r="JM6">
        <v>11</v>
      </c>
      <c r="JN6">
        <v>7.4160110000000001</v>
      </c>
      <c r="JO6" t="s">
        <v>1745</v>
      </c>
      <c r="JP6">
        <v>2024</v>
      </c>
      <c r="JQ6" t="s">
        <v>5781</v>
      </c>
      <c r="JR6" s="6">
        <v>45700</v>
      </c>
      <c r="JS6">
        <v>5</v>
      </c>
      <c r="JT6">
        <v>42834880</v>
      </c>
      <c r="JU6">
        <v>102006</v>
      </c>
      <c r="JV6" t="s">
        <v>5782</v>
      </c>
      <c r="JY6" t="s">
        <v>2418</v>
      </c>
      <c r="JZ6">
        <v>13.84</v>
      </c>
      <c r="KA6" t="s">
        <v>1786</v>
      </c>
      <c r="KB6">
        <v>7.8694610000000003</v>
      </c>
      <c r="KC6" t="s">
        <v>1762</v>
      </c>
      <c r="KD6">
        <v>2025</v>
      </c>
      <c r="KE6" t="s">
        <v>5598</v>
      </c>
      <c r="KF6" s="6">
        <v>45891</v>
      </c>
      <c r="KG6">
        <v>5</v>
      </c>
      <c r="KH6">
        <v>366137216</v>
      </c>
      <c r="KI6">
        <v>115785</v>
      </c>
      <c r="KJ6" t="s">
        <v>2419</v>
      </c>
      <c r="KO6" t="s">
        <v>2425</v>
      </c>
      <c r="KP6" t="s">
        <v>1786</v>
      </c>
      <c r="KQ6">
        <v>13.760432</v>
      </c>
      <c r="KR6">
        <v>4.7536569999999996</v>
      </c>
      <c r="KS6" t="s">
        <v>1762</v>
      </c>
      <c r="KT6">
        <v>2025</v>
      </c>
      <c r="KU6" t="s">
        <v>2426</v>
      </c>
      <c r="KV6" s="6">
        <v>45937</v>
      </c>
      <c r="KW6">
        <v>5</v>
      </c>
      <c r="KX6">
        <v>325305405.77999997</v>
      </c>
      <c r="KY6">
        <v>8445936</v>
      </c>
      <c r="KZ6" t="s">
        <v>2427</v>
      </c>
      <c r="LC6" t="s">
        <v>1088</v>
      </c>
      <c r="LD6">
        <v>9.2636719999999997</v>
      </c>
      <c r="LE6" t="s">
        <v>1786</v>
      </c>
      <c r="LF6">
        <v>5.0267530000000002</v>
      </c>
      <c r="LG6" t="s">
        <v>1762</v>
      </c>
      <c r="LH6">
        <v>2025</v>
      </c>
      <c r="LI6" t="s">
        <v>1877</v>
      </c>
      <c r="LJ6" s="6">
        <v>45888</v>
      </c>
      <c r="LK6">
        <v>5</v>
      </c>
      <c r="LL6">
        <v>1021134592</v>
      </c>
      <c r="LM6">
        <v>100211</v>
      </c>
      <c r="LN6" t="s">
        <v>1851</v>
      </c>
      <c r="LS6" t="s">
        <v>5543</v>
      </c>
      <c r="LT6" t="s">
        <v>1786</v>
      </c>
      <c r="LU6">
        <v>5.9265999999999999E-2</v>
      </c>
      <c r="LV6">
        <v>0.143675</v>
      </c>
      <c r="LW6" t="s">
        <v>1742</v>
      </c>
      <c r="LX6">
        <v>2025</v>
      </c>
      <c r="LY6" t="s">
        <v>5544</v>
      </c>
      <c r="LZ6" s="6">
        <v>45929</v>
      </c>
      <c r="MA6">
        <v>5</v>
      </c>
      <c r="MB6">
        <v>571917</v>
      </c>
      <c r="MC6">
        <v>101946</v>
      </c>
      <c r="MD6" t="s">
        <v>5545</v>
      </c>
      <c r="MG6" t="s">
        <v>75</v>
      </c>
      <c r="MH6">
        <v>-2.4245362661989844E-14</v>
      </c>
      <c r="MJ6">
        <v>-2.4245362661989844E-14</v>
      </c>
      <c r="MK6" t="s">
        <v>1745</v>
      </c>
      <c r="ML6">
        <v>2023</v>
      </c>
      <c r="MM6" t="s">
        <v>5800</v>
      </c>
      <c r="MN6" s="6">
        <v>45126</v>
      </c>
      <c r="MO6">
        <v>5</v>
      </c>
      <c r="MP6">
        <v>-2.4245362661989844E-14</v>
      </c>
      <c r="MQ6">
        <v>100185</v>
      </c>
      <c r="MR6" t="s">
        <v>1894</v>
      </c>
      <c r="MW6" t="s">
        <v>86</v>
      </c>
      <c r="MY6">
        <v>-2.4245362661989844E-14</v>
      </c>
      <c r="MZ6">
        <v>-2.4245362661989844E-14</v>
      </c>
      <c r="NA6" t="s">
        <v>1745</v>
      </c>
      <c r="NB6">
        <v>2021</v>
      </c>
      <c r="NC6" t="s">
        <v>2299</v>
      </c>
      <c r="ND6" s="6">
        <v>44693</v>
      </c>
      <c r="NE6">
        <v>5</v>
      </c>
      <c r="NF6">
        <v>-2.4245362661989844E-14</v>
      </c>
      <c r="NG6">
        <v>100193</v>
      </c>
      <c r="NH6" t="s">
        <v>1849</v>
      </c>
      <c r="PE6" t="s">
        <v>1376</v>
      </c>
      <c r="PG6">
        <v>-2.4245362661989844E-14</v>
      </c>
      <c r="PH6">
        <v>-2.4245362661989844E-14</v>
      </c>
      <c r="PI6" t="s">
        <v>1745</v>
      </c>
      <c r="PJ6">
        <v>2023</v>
      </c>
      <c r="PK6" t="s">
        <v>1836</v>
      </c>
      <c r="PL6" s="6">
        <v>45329</v>
      </c>
      <c r="PM6">
        <v>2</v>
      </c>
      <c r="PN6">
        <v>-2.4245362661989844E-14</v>
      </c>
      <c r="PO6">
        <v>148253</v>
      </c>
      <c r="PP6" t="s">
        <v>2992</v>
      </c>
      <c r="QI6" t="s">
        <v>5264</v>
      </c>
      <c r="QK6">
        <v>-2.4245362661989844E-14</v>
      </c>
      <c r="QL6">
        <v>-2.4245362661989844E-14</v>
      </c>
      <c r="QM6" t="s">
        <v>1745</v>
      </c>
      <c r="QN6">
        <v>2025</v>
      </c>
      <c r="QO6" t="s">
        <v>1937</v>
      </c>
      <c r="QP6" s="6">
        <v>45798</v>
      </c>
      <c r="QQ6">
        <v>5</v>
      </c>
      <c r="QR6">
        <v>-2.4245362661989844E-14</v>
      </c>
      <c r="QS6">
        <v>68861555</v>
      </c>
      <c r="QT6" t="s">
        <v>5265</v>
      </c>
      <c r="QW6" t="s">
        <v>1930</v>
      </c>
      <c r="QX6">
        <v>-2.4245362661989844E-14</v>
      </c>
      <c r="QZ6">
        <v>-2.4245362661989844E-14</v>
      </c>
      <c r="RA6" t="s">
        <v>1845</v>
      </c>
      <c r="RB6">
        <v>2024</v>
      </c>
      <c r="RC6" t="s">
        <v>1929</v>
      </c>
      <c r="RD6" s="6">
        <v>45455</v>
      </c>
      <c r="RE6">
        <v>5</v>
      </c>
      <c r="RF6">
        <v>-2.4245362661989844E-14</v>
      </c>
      <c r="RG6">
        <v>962190</v>
      </c>
      <c r="RH6" t="s">
        <v>1931</v>
      </c>
      <c r="RM6" t="s">
        <v>607</v>
      </c>
      <c r="RO6">
        <v>-2.4245362661989844E-14</v>
      </c>
      <c r="RP6">
        <v>-2.4245362661989844E-14</v>
      </c>
      <c r="RQ6" t="s">
        <v>1762</v>
      </c>
      <c r="RR6">
        <v>2023</v>
      </c>
      <c r="RS6" t="s">
        <v>2670</v>
      </c>
      <c r="RT6" s="6">
        <v>45174</v>
      </c>
      <c r="RU6">
        <v>2</v>
      </c>
      <c r="RV6">
        <v>-2.4245362661989844E-14</v>
      </c>
      <c r="RW6">
        <v>202476</v>
      </c>
      <c r="RX6" t="s">
        <v>2355</v>
      </c>
      <c r="TU6" t="s">
        <v>4332</v>
      </c>
      <c r="TW6">
        <v>-2.4245362661989844E-14</v>
      </c>
      <c r="TX6">
        <v>-2.4245362661989844E-14</v>
      </c>
      <c r="TY6" t="s">
        <v>1745</v>
      </c>
      <c r="TZ6">
        <v>2024</v>
      </c>
      <c r="UA6" t="s">
        <v>4333</v>
      </c>
      <c r="UB6" s="6">
        <v>45749</v>
      </c>
      <c r="UC6">
        <v>5</v>
      </c>
      <c r="UD6">
        <v>-2.4245362661989844E-14</v>
      </c>
      <c r="UE6">
        <v>384590</v>
      </c>
      <c r="UF6" t="s">
        <v>4334</v>
      </c>
      <c r="UI6" t="s">
        <v>3017</v>
      </c>
      <c r="UJ6">
        <v>1.6785140000000001</v>
      </c>
      <c r="UK6" t="s">
        <v>1786</v>
      </c>
      <c r="UL6">
        <v>0.392015</v>
      </c>
      <c r="UM6" t="s">
        <v>1809</v>
      </c>
      <c r="UN6">
        <v>2025</v>
      </c>
      <c r="UO6" t="s">
        <v>4177</v>
      </c>
      <c r="UP6" s="6">
        <v>45736</v>
      </c>
      <c r="UQ6">
        <v>5</v>
      </c>
      <c r="UR6">
        <v>40032560</v>
      </c>
      <c r="US6">
        <v>101215</v>
      </c>
      <c r="UT6" t="s">
        <v>3019</v>
      </c>
      <c r="UY6" t="s">
        <v>2377</v>
      </c>
      <c r="UZ6" t="s">
        <v>1786</v>
      </c>
      <c r="VA6">
        <v>24.639126000000001</v>
      </c>
      <c r="VB6">
        <v>1.5545880000000001</v>
      </c>
      <c r="VC6" t="s">
        <v>1762</v>
      </c>
      <c r="VD6">
        <v>2025</v>
      </c>
      <c r="VE6" t="s">
        <v>2378</v>
      </c>
      <c r="VF6" s="6">
        <v>45961</v>
      </c>
      <c r="VG6">
        <v>5</v>
      </c>
      <c r="VH6">
        <v>275439546.58999997</v>
      </c>
      <c r="VI6">
        <v>47700205</v>
      </c>
      <c r="VJ6" t="s">
        <v>2379</v>
      </c>
      <c r="VM6" t="s">
        <v>1878</v>
      </c>
      <c r="VN6">
        <v>14</v>
      </c>
      <c r="VO6" t="s">
        <v>1786</v>
      </c>
      <c r="VP6">
        <v>18.408752</v>
      </c>
      <c r="VQ6" t="s">
        <v>1745</v>
      </c>
      <c r="VR6">
        <v>2025</v>
      </c>
      <c r="VS6" t="s">
        <v>6454</v>
      </c>
      <c r="VT6" s="6">
        <v>46059</v>
      </c>
      <c r="VU6">
        <v>5</v>
      </c>
      <c r="VV6">
        <v>3101104896</v>
      </c>
      <c r="VW6">
        <v>876285</v>
      </c>
      <c r="VX6" t="s">
        <v>1879</v>
      </c>
    </row>
    <row r="7" spans="1:600" x14ac:dyDescent="0.25">
      <c r="BI7" t="s">
        <v>4799</v>
      </c>
      <c r="BJ7" t="s">
        <v>1786</v>
      </c>
      <c r="BK7">
        <v>7.4065000000000006E-2</v>
      </c>
      <c r="BL7">
        <v>2.879E-3</v>
      </c>
      <c r="BM7" t="s">
        <v>1745</v>
      </c>
      <c r="BN7">
        <v>2024</v>
      </c>
      <c r="BO7" t="s">
        <v>4800</v>
      </c>
      <c r="BP7" s="6">
        <v>45758</v>
      </c>
      <c r="BQ7">
        <v>5</v>
      </c>
      <c r="BR7">
        <v>46697.46</v>
      </c>
      <c r="BS7">
        <v>130878</v>
      </c>
      <c r="BT7" t="s">
        <v>4801</v>
      </c>
      <c r="BW7" t="s">
        <v>3709</v>
      </c>
      <c r="BX7">
        <v>-2.4245362661989844E-14</v>
      </c>
      <c r="BZ7">
        <v>-2.4245362661989844E-14</v>
      </c>
      <c r="CA7" t="s">
        <v>1762</v>
      </c>
      <c r="CB7">
        <v>2024</v>
      </c>
      <c r="CC7" t="s">
        <v>3710</v>
      </c>
      <c r="CD7" s="6">
        <v>45433</v>
      </c>
      <c r="CE7">
        <v>5</v>
      </c>
      <c r="CF7">
        <v>-2.4245362661989844E-14</v>
      </c>
      <c r="CG7">
        <v>27196144</v>
      </c>
      <c r="CH7" t="s">
        <v>3711</v>
      </c>
      <c r="CM7" t="s">
        <v>2313</v>
      </c>
      <c r="CN7" t="s">
        <v>1786</v>
      </c>
      <c r="CO7">
        <v>4.4623819999999998</v>
      </c>
      <c r="CP7">
        <v>8.1027819999999995</v>
      </c>
      <c r="CQ7" t="s">
        <v>1762</v>
      </c>
      <c r="CR7">
        <v>2026</v>
      </c>
      <c r="CS7" t="s">
        <v>2640</v>
      </c>
      <c r="CT7" s="6">
        <v>46063</v>
      </c>
      <c r="CU7">
        <v>5</v>
      </c>
      <c r="CV7">
        <v>458286624</v>
      </c>
      <c r="CW7">
        <v>100010</v>
      </c>
      <c r="CX7" t="s">
        <v>2315</v>
      </c>
      <c r="DA7" t="s">
        <v>4546</v>
      </c>
      <c r="DB7">
        <v>9.7490000000000007E-3</v>
      </c>
      <c r="DC7" t="s">
        <v>1786</v>
      </c>
      <c r="DD7">
        <v>2.8011149999999998</v>
      </c>
      <c r="DE7" t="s">
        <v>1745</v>
      </c>
      <c r="DF7">
        <v>2024</v>
      </c>
      <c r="DG7" t="s">
        <v>4547</v>
      </c>
      <c r="DH7" s="6">
        <v>45769</v>
      </c>
      <c r="DI7">
        <v>5</v>
      </c>
      <c r="DJ7">
        <v>541353.6</v>
      </c>
      <c r="DK7">
        <v>49153272</v>
      </c>
      <c r="DL7" t="s">
        <v>4548</v>
      </c>
      <c r="EU7" t="s">
        <v>3377</v>
      </c>
      <c r="EW7">
        <v>-2.4245362661989844E-14</v>
      </c>
      <c r="EX7">
        <v>-2.4245362661989844E-14</v>
      </c>
      <c r="EY7" t="s">
        <v>1745</v>
      </c>
      <c r="EZ7">
        <v>2022</v>
      </c>
      <c r="FA7" t="s">
        <v>3378</v>
      </c>
      <c r="FB7" s="6">
        <v>44986</v>
      </c>
      <c r="FC7">
        <v>5</v>
      </c>
      <c r="FD7">
        <v>-2.4245362661989844E-14</v>
      </c>
      <c r="FE7">
        <v>11778012</v>
      </c>
      <c r="FF7" t="s">
        <v>3379</v>
      </c>
      <c r="FI7" t="s">
        <v>5046</v>
      </c>
      <c r="FJ7">
        <v>-2.4245362661989844E-14</v>
      </c>
      <c r="FL7">
        <v>-2.4245362661989844E-14</v>
      </c>
      <c r="FM7" t="s">
        <v>1745</v>
      </c>
      <c r="FN7">
        <v>2022</v>
      </c>
      <c r="FO7" t="s">
        <v>3378</v>
      </c>
      <c r="FP7" s="6">
        <v>44986</v>
      </c>
      <c r="FQ7">
        <v>5</v>
      </c>
      <c r="FR7">
        <v>-2.4245362661989844E-14</v>
      </c>
      <c r="FS7">
        <v>62317360</v>
      </c>
      <c r="FT7" t="s">
        <v>5047</v>
      </c>
      <c r="FY7" t="s">
        <v>2939</v>
      </c>
      <c r="GA7">
        <v>-2.4245362661989844E-14</v>
      </c>
      <c r="GB7">
        <v>-2.4245362661989844E-14</v>
      </c>
      <c r="GC7" t="s">
        <v>1809</v>
      </c>
      <c r="GD7">
        <v>2025</v>
      </c>
      <c r="GE7" t="s">
        <v>2940</v>
      </c>
      <c r="GF7" s="6">
        <v>45848</v>
      </c>
      <c r="GG7">
        <v>5</v>
      </c>
      <c r="GH7">
        <v>-2.4245362661989844E-14</v>
      </c>
      <c r="GI7">
        <v>69716006</v>
      </c>
      <c r="GJ7" t="s">
        <v>2941</v>
      </c>
      <c r="HC7" t="s">
        <v>195</v>
      </c>
      <c r="HD7" t="s">
        <v>1769</v>
      </c>
      <c r="HE7">
        <v>0.108861</v>
      </c>
      <c r="HF7">
        <v>0.15107300000000001</v>
      </c>
      <c r="HG7" t="s">
        <v>1762</v>
      </c>
      <c r="HH7">
        <v>2025</v>
      </c>
      <c r="HI7" t="s">
        <v>2268</v>
      </c>
      <c r="HJ7" s="6">
        <v>45838</v>
      </c>
      <c r="HK7">
        <v>5</v>
      </c>
      <c r="HL7">
        <v>6393407</v>
      </c>
      <c r="HM7">
        <v>101689</v>
      </c>
      <c r="HN7" t="s">
        <v>2269</v>
      </c>
      <c r="IG7" t="s">
        <v>1761</v>
      </c>
      <c r="II7">
        <v>-2.4245362661989844E-14</v>
      </c>
      <c r="IJ7">
        <v>-2.4245362661989844E-14</v>
      </c>
      <c r="IK7" t="s">
        <v>1745</v>
      </c>
      <c r="IL7">
        <v>2025</v>
      </c>
      <c r="IM7" t="s">
        <v>5075</v>
      </c>
      <c r="IN7" s="6">
        <v>46079</v>
      </c>
      <c r="IO7">
        <v>5</v>
      </c>
      <c r="IP7">
        <v>-2.4245362661989844E-14</v>
      </c>
      <c r="IQ7">
        <v>101695</v>
      </c>
      <c r="IR7" t="s">
        <v>1764</v>
      </c>
      <c r="IU7" t="s">
        <v>1783</v>
      </c>
      <c r="IV7">
        <v>-2.4245362661989844E-14</v>
      </c>
      <c r="IX7">
        <v>-2.4245362661989844E-14</v>
      </c>
      <c r="IY7" t="s">
        <v>1745</v>
      </c>
      <c r="IZ7">
        <v>2023</v>
      </c>
      <c r="JA7" t="s">
        <v>4808</v>
      </c>
      <c r="JB7" s="6">
        <v>45146</v>
      </c>
      <c r="JC7">
        <v>4</v>
      </c>
      <c r="JD7">
        <v>-2.4245362661989844E-14</v>
      </c>
      <c r="JE7">
        <v>60854400</v>
      </c>
      <c r="JF7" t="s">
        <v>1784</v>
      </c>
      <c r="JK7" t="s">
        <v>5783</v>
      </c>
      <c r="JL7" t="s">
        <v>1786</v>
      </c>
      <c r="JM7">
        <v>6.5267229999999996</v>
      </c>
      <c r="JN7">
        <v>8.1929800000000004</v>
      </c>
      <c r="JO7" t="s">
        <v>1845</v>
      </c>
      <c r="JP7">
        <v>2025</v>
      </c>
      <c r="JQ7" t="s">
        <v>5784</v>
      </c>
      <c r="JR7" s="6">
        <v>46072</v>
      </c>
      <c r="JS7">
        <v>5</v>
      </c>
      <c r="JT7">
        <v>40596216</v>
      </c>
      <c r="JU7">
        <v>68003261</v>
      </c>
      <c r="JV7" t="s">
        <v>5785</v>
      </c>
      <c r="JY7" t="s">
        <v>115</v>
      </c>
      <c r="JZ7">
        <v>11.777291999999999</v>
      </c>
      <c r="KA7" t="s">
        <v>1786</v>
      </c>
      <c r="KB7">
        <v>0.42086299999999999</v>
      </c>
      <c r="KC7" t="s">
        <v>1762</v>
      </c>
      <c r="KD7">
        <v>2025</v>
      </c>
      <c r="KE7" t="s">
        <v>5598</v>
      </c>
      <c r="KF7" s="6">
        <v>45891</v>
      </c>
      <c r="KG7">
        <v>5</v>
      </c>
      <c r="KH7">
        <v>311568256</v>
      </c>
      <c r="KI7">
        <v>154936</v>
      </c>
      <c r="KJ7" t="s">
        <v>2146</v>
      </c>
      <c r="KO7" t="s">
        <v>1844</v>
      </c>
      <c r="KP7" t="s">
        <v>1786</v>
      </c>
      <c r="KQ7">
        <v>11</v>
      </c>
      <c r="KR7">
        <v>3.1337429999999999</v>
      </c>
      <c r="KS7" t="s">
        <v>1745</v>
      </c>
      <c r="KT7">
        <v>2025</v>
      </c>
      <c r="KU7" t="s">
        <v>2428</v>
      </c>
      <c r="KV7" s="6">
        <v>46065</v>
      </c>
      <c r="KW7">
        <v>5</v>
      </c>
      <c r="KX7">
        <v>226930000</v>
      </c>
      <c r="KY7">
        <v>59099358</v>
      </c>
      <c r="KZ7" t="s">
        <v>1847</v>
      </c>
      <c r="LC7" t="s">
        <v>1878</v>
      </c>
      <c r="LD7">
        <v>4.5319979999999997</v>
      </c>
      <c r="LE7" t="s">
        <v>1786</v>
      </c>
      <c r="LF7">
        <v>3.2162160000000002</v>
      </c>
      <c r="LG7" t="s">
        <v>1762</v>
      </c>
      <c r="LH7">
        <v>2025</v>
      </c>
      <c r="LI7" t="s">
        <v>1877</v>
      </c>
      <c r="LJ7" s="6">
        <v>45888</v>
      </c>
      <c r="LK7">
        <v>5</v>
      </c>
      <c r="LL7">
        <v>499562144</v>
      </c>
      <c r="LM7">
        <v>876285</v>
      </c>
      <c r="LN7" t="s">
        <v>1879</v>
      </c>
      <c r="LS7" t="s">
        <v>5546</v>
      </c>
      <c r="LT7" t="s">
        <v>1786</v>
      </c>
      <c r="LU7">
        <v>9.1364000000000001E-2</v>
      </c>
      <c r="LV7">
        <v>6.1275999999999997E-2</v>
      </c>
      <c r="LW7" t="s">
        <v>1742</v>
      </c>
      <c r="LX7">
        <v>2026</v>
      </c>
      <c r="LY7" t="s">
        <v>5547</v>
      </c>
      <c r="LZ7" s="6">
        <v>45987</v>
      </c>
      <c r="MA7">
        <v>5</v>
      </c>
      <c r="MB7">
        <v>243915</v>
      </c>
      <c r="MC7">
        <v>106891</v>
      </c>
      <c r="MD7" t="s">
        <v>5548</v>
      </c>
      <c r="MG7" t="s">
        <v>565</v>
      </c>
      <c r="MH7">
        <v>-2.4245362661989844E-14</v>
      </c>
      <c r="MJ7">
        <v>-2.4245362661989844E-14</v>
      </c>
      <c r="MK7" t="s">
        <v>1745</v>
      </c>
      <c r="ML7">
        <v>2023</v>
      </c>
      <c r="MM7" t="s">
        <v>5801</v>
      </c>
      <c r="MN7" s="6">
        <v>45363</v>
      </c>
      <c r="MO7">
        <v>5</v>
      </c>
      <c r="MP7">
        <v>-2.4245362661989844E-14</v>
      </c>
      <c r="MQ7">
        <v>100382</v>
      </c>
      <c r="MR7" t="s">
        <v>4055</v>
      </c>
      <c r="MW7" t="s">
        <v>2300</v>
      </c>
      <c r="MY7">
        <v>-2.4245362661989844E-14</v>
      </c>
      <c r="MZ7">
        <v>-2.4245362661989844E-14</v>
      </c>
      <c r="NA7" t="s">
        <v>1745</v>
      </c>
      <c r="NB7">
        <v>2021</v>
      </c>
      <c r="NC7" t="s">
        <v>2301</v>
      </c>
      <c r="ND7" s="6">
        <v>44693</v>
      </c>
      <c r="NE7">
        <v>5</v>
      </c>
      <c r="NF7">
        <v>-2.4245362661989844E-14</v>
      </c>
      <c r="NG7">
        <v>100760</v>
      </c>
      <c r="NH7" t="s">
        <v>2302</v>
      </c>
      <c r="QI7" t="s">
        <v>2691</v>
      </c>
      <c r="QK7">
        <v>-2.4245362661989844E-14</v>
      </c>
      <c r="QL7">
        <v>-2.4245362661989844E-14</v>
      </c>
      <c r="QM7" t="s">
        <v>1745</v>
      </c>
      <c r="QN7">
        <v>2021</v>
      </c>
      <c r="QO7" t="s">
        <v>2692</v>
      </c>
      <c r="QP7" s="6">
        <v>44693</v>
      </c>
      <c r="QQ7">
        <v>5</v>
      </c>
      <c r="QR7">
        <v>-2.4245362661989844E-14</v>
      </c>
      <c r="QS7">
        <v>101625</v>
      </c>
      <c r="QT7" t="s">
        <v>2693</v>
      </c>
      <c r="QW7" t="s">
        <v>1932</v>
      </c>
      <c r="QX7">
        <v>-2.4245362661989844E-14</v>
      </c>
      <c r="QZ7">
        <v>-2.4245362661989844E-14</v>
      </c>
      <c r="RA7" t="s">
        <v>1745</v>
      </c>
      <c r="RB7">
        <v>2023</v>
      </c>
      <c r="RC7" t="s">
        <v>1933</v>
      </c>
      <c r="RD7" s="6">
        <v>45187</v>
      </c>
      <c r="RE7">
        <v>5</v>
      </c>
      <c r="RF7">
        <v>-2.4245362661989844E-14</v>
      </c>
      <c r="RG7">
        <v>227296</v>
      </c>
      <c r="RH7" t="s">
        <v>1934</v>
      </c>
      <c r="TU7" t="s">
        <v>4335</v>
      </c>
      <c r="TW7">
        <v>-2.4245362661989844E-14</v>
      </c>
      <c r="TX7">
        <v>-2.4245362661989844E-14</v>
      </c>
      <c r="TY7" t="s">
        <v>1745</v>
      </c>
      <c r="TZ7">
        <v>2021</v>
      </c>
      <c r="UA7" t="s">
        <v>4336</v>
      </c>
      <c r="UB7" s="6">
        <v>44647</v>
      </c>
      <c r="UC7">
        <v>5</v>
      </c>
      <c r="UD7">
        <v>-2.4245362661989844E-14</v>
      </c>
      <c r="UE7">
        <v>38290749</v>
      </c>
      <c r="UF7" t="s">
        <v>4337</v>
      </c>
      <c r="UI7" t="s">
        <v>496</v>
      </c>
      <c r="UJ7">
        <v>1.674226</v>
      </c>
      <c r="UK7" t="s">
        <v>1786</v>
      </c>
      <c r="UL7">
        <v>4.7080999999999998E-2</v>
      </c>
      <c r="UM7" t="s">
        <v>1809</v>
      </c>
      <c r="UN7">
        <v>2025</v>
      </c>
      <c r="UO7" t="s">
        <v>4177</v>
      </c>
      <c r="UP7" s="6">
        <v>45736</v>
      </c>
      <c r="UQ7">
        <v>5</v>
      </c>
      <c r="UR7">
        <v>39930288</v>
      </c>
      <c r="US7">
        <v>100976</v>
      </c>
      <c r="UT7" t="s">
        <v>1888</v>
      </c>
      <c r="UY7" t="s">
        <v>1844</v>
      </c>
      <c r="UZ7" t="s">
        <v>1786</v>
      </c>
      <c r="VA7">
        <v>11</v>
      </c>
      <c r="VB7">
        <v>1.2818369999999999</v>
      </c>
      <c r="VC7" t="s">
        <v>1745</v>
      </c>
      <c r="VD7">
        <v>2025</v>
      </c>
      <c r="VE7" t="s">
        <v>2428</v>
      </c>
      <c r="VF7" s="6">
        <v>46065</v>
      </c>
      <c r="VG7">
        <v>5</v>
      </c>
      <c r="VH7">
        <v>226930000</v>
      </c>
      <c r="VI7">
        <v>59099358</v>
      </c>
      <c r="VJ7" t="s">
        <v>1847</v>
      </c>
      <c r="VM7" t="s">
        <v>1088</v>
      </c>
      <c r="VN7">
        <v>5.3565009999999997</v>
      </c>
      <c r="VO7" t="s">
        <v>1786</v>
      </c>
      <c r="VP7">
        <v>5.6905900000000003</v>
      </c>
      <c r="VQ7" t="s">
        <v>1762</v>
      </c>
      <c r="VR7">
        <v>2025</v>
      </c>
      <c r="VS7" t="s">
        <v>3638</v>
      </c>
      <c r="VT7" s="6">
        <v>45895</v>
      </c>
      <c r="VU7">
        <v>5</v>
      </c>
      <c r="VV7">
        <v>1155986432</v>
      </c>
      <c r="VW7">
        <v>100211</v>
      </c>
      <c r="VX7" t="s">
        <v>1851</v>
      </c>
    </row>
    <row r="8" spans="1:600" x14ac:dyDescent="0.25">
      <c r="BI8" t="s">
        <v>3928</v>
      </c>
      <c r="BJ8" t="s">
        <v>1820</v>
      </c>
      <c r="BK8">
        <v>2.0240000000000002E-3</v>
      </c>
      <c r="BL8">
        <v>2.6168E-2</v>
      </c>
      <c r="BM8" t="s">
        <v>1742</v>
      </c>
      <c r="BN8">
        <v>2025</v>
      </c>
      <c r="BO8" t="s">
        <v>3929</v>
      </c>
      <c r="BP8" s="6">
        <v>45964</v>
      </c>
      <c r="BQ8">
        <v>5</v>
      </c>
      <c r="BR8">
        <v>10506</v>
      </c>
      <c r="BS8">
        <v>16546862</v>
      </c>
      <c r="BT8" t="s">
        <v>3930</v>
      </c>
      <c r="BW8" t="s">
        <v>3712</v>
      </c>
      <c r="BX8">
        <v>-2.4245362661989844E-14</v>
      </c>
      <c r="BZ8">
        <v>-2.4245362661989844E-14</v>
      </c>
      <c r="CA8" t="s">
        <v>1745</v>
      </c>
      <c r="CB8">
        <v>2024</v>
      </c>
      <c r="CC8" t="s">
        <v>3713</v>
      </c>
      <c r="CD8" s="6">
        <v>45771</v>
      </c>
      <c r="CE8">
        <v>5</v>
      </c>
      <c r="CF8">
        <v>-2.4245362661989844E-14</v>
      </c>
      <c r="CG8">
        <v>135686</v>
      </c>
      <c r="CH8" t="s">
        <v>3714</v>
      </c>
      <c r="CM8" t="s">
        <v>2310</v>
      </c>
      <c r="CN8" t="s">
        <v>1786</v>
      </c>
      <c r="CO8">
        <v>0.69696199999999997</v>
      </c>
      <c r="CP8">
        <v>7.0246810000000002</v>
      </c>
      <c r="CQ8" t="s">
        <v>1762</v>
      </c>
      <c r="CR8">
        <v>2026</v>
      </c>
      <c r="CS8" t="s">
        <v>2640</v>
      </c>
      <c r="CT8" s="6">
        <v>46063</v>
      </c>
      <c r="CU8">
        <v>5</v>
      </c>
      <c r="CV8">
        <v>397310112</v>
      </c>
      <c r="CW8">
        <v>313657</v>
      </c>
      <c r="CX8" t="s">
        <v>2312</v>
      </c>
      <c r="DA8" t="s">
        <v>4549</v>
      </c>
      <c r="DB8">
        <v>3.3630000000000001E-3</v>
      </c>
      <c r="DC8" t="s">
        <v>1786</v>
      </c>
      <c r="DD8">
        <v>2.5916320000000002</v>
      </c>
      <c r="DE8" t="s">
        <v>1798</v>
      </c>
      <c r="DF8">
        <v>2025</v>
      </c>
      <c r="DG8" t="s">
        <v>4550</v>
      </c>
      <c r="DH8" s="6">
        <v>45974</v>
      </c>
      <c r="DI8">
        <v>5</v>
      </c>
      <c r="DJ8">
        <v>188733.74</v>
      </c>
      <c r="DK8">
        <v>38417413</v>
      </c>
      <c r="DL8" t="s">
        <v>4551</v>
      </c>
      <c r="EU8" t="s">
        <v>3380</v>
      </c>
      <c r="EW8">
        <v>-2.4245362661989844E-14</v>
      </c>
      <c r="EX8">
        <v>-2.4245362661989844E-14</v>
      </c>
      <c r="EY8" t="s">
        <v>1762</v>
      </c>
      <c r="EZ8">
        <v>2022</v>
      </c>
      <c r="FA8" t="s">
        <v>3381</v>
      </c>
      <c r="FB8" s="6">
        <v>44817</v>
      </c>
      <c r="FC8">
        <v>5</v>
      </c>
      <c r="FD8">
        <v>-2.4245362661989844E-14</v>
      </c>
      <c r="FE8">
        <v>29596182</v>
      </c>
      <c r="FF8" t="s">
        <v>3382</v>
      </c>
      <c r="FI8" t="s">
        <v>5048</v>
      </c>
      <c r="FJ8">
        <v>-2.4245362661989844E-14</v>
      </c>
      <c r="FL8">
        <v>-2.4245362661989844E-14</v>
      </c>
      <c r="FM8" t="s">
        <v>1762</v>
      </c>
      <c r="FN8">
        <v>2023</v>
      </c>
      <c r="FO8" t="s">
        <v>3373</v>
      </c>
      <c r="FP8" s="6">
        <v>45146</v>
      </c>
      <c r="FQ8">
        <v>5</v>
      </c>
      <c r="FR8">
        <v>-2.4245362661989844E-14</v>
      </c>
      <c r="FS8">
        <v>7749970</v>
      </c>
      <c r="FT8" t="s">
        <v>5049</v>
      </c>
      <c r="FY8" t="s">
        <v>1144</v>
      </c>
      <c r="GA8">
        <v>-2.4245362661989844E-14</v>
      </c>
      <c r="GB8">
        <v>-2.4245362661989844E-14</v>
      </c>
      <c r="GC8" t="s">
        <v>1762</v>
      </c>
      <c r="GD8">
        <v>2022</v>
      </c>
      <c r="GE8" t="s">
        <v>2942</v>
      </c>
      <c r="GF8" s="6">
        <v>44669</v>
      </c>
      <c r="GG8">
        <v>5</v>
      </c>
      <c r="GH8">
        <v>-2.4245362661989844E-14</v>
      </c>
      <c r="GI8">
        <v>100602</v>
      </c>
      <c r="GJ8" t="s">
        <v>2943</v>
      </c>
      <c r="HC8" t="s">
        <v>4486</v>
      </c>
      <c r="HD8" t="s">
        <v>1786</v>
      </c>
      <c r="HE8">
        <v>0.124473</v>
      </c>
      <c r="HF8">
        <v>0.116713</v>
      </c>
      <c r="HG8" t="s">
        <v>1845</v>
      </c>
      <c r="HH8">
        <v>2025</v>
      </c>
      <c r="HI8" t="s">
        <v>4487</v>
      </c>
      <c r="HJ8" s="6">
        <v>46071</v>
      </c>
      <c r="HK8">
        <v>5</v>
      </c>
      <c r="HL8">
        <v>4898448</v>
      </c>
      <c r="HM8">
        <v>100499</v>
      </c>
      <c r="HN8" t="s">
        <v>4488</v>
      </c>
      <c r="IG8" t="s">
        <v>5076</v>
      </c>
      <c r="II8">
        <v>-2.4245362661989844E-14</v>
      </c>
      <c r="IJ8">
        <v>-2.4245362661989844E-14</v>
      </c>
      <c r="IK8" t="s">
        <v>1805</v>
      </c>
      <c r="IL8">
        <v>2023</v>
      </c>
      <c r="IM8" t="s">
        <v>5077</v>
      </c>
      <c r="IN8" s="6">
        <v>45064</v>
      </c>
      <c r="IO8">
        <v>5</v>
      </c>
      <c r="IP8">
        <v>-2.4245362661989844E-14</v>
      </c>
      <c r="IQ8">
        <v>193196</v>
      </c>
      <c r="IR8" t="s">
        <v>5078</v>
      </c>
      <c r="IU8" t="s">
        <v>4809</v>
      </c>
      <c r="IV8">
        <v>-2.4245362661989844E-14</v>
      </c>
      <c r="IX8">
        <v>-2.4245362661989844E-14</v>
      </c>
      <c r="IY8" t="s">
        <v>1745</v>
      </c>
      <c r="IZ8">
        <v>2025</v>
      </c>
      <c r="JA8" t="s">
        <v>4810</v>
      </c>
      <c r="JB8" s="6">
        <v>45798</v>
      </c>
      <c r="JC8">
        <v>4</v>
      </c>
      <c r="JD8">
        <v>-2.4245362661989844E-14</v>
      </c>
      <c r="JE8">
        <v>39410923</v>
      </c>
      <c r="JF8" t="s">
        <v>4811</v>
      </c>
      <c r="JK8" t="s">
        <v>5786</v>
      </c>
      <c r="JL8" t="s">
        <v>1786</v>
      </c>
      <c r="JM8">
        <v>10.5</v>
      </c>
      <c r="JN8">
        <v>2.9909270000000001</v>
      </c>
      <c r="JO8" t="s">
        <v>1742</v>
      </c>
      <c r="JP8">
        <v>2025</v>
      </c>
      <c r="JQ8" t="s">
        <v>5787</v>
      </c>
      <c r="JR8" s="6">
        <v>46015</v>
      </c>
      <c r="JS8">
        <v>5</v>
      </c>
      <c r="JT8">
        <v>20170816</v>
      </c>
      <c r="JU8">
        <v>10433769</v>
      </c>
      <c r="JV8" t="s">
        <v>5788</v>
      </c>
      <c r="JY8" t="s">
        <v>2502</v>
      </c>
      <c r="JZ8">
        <v>8.4715830000000008</v>
      </c>
      <c r="KA8" t="s">
        <v>1786</v>
      </c>
      <c r="KB8">
        <v>0.36730000000000002</v>
      </c>
      <c r="KC8" t="s">
        <v>1762</v>
      </c>
      <c r="KD8">
        <v>2025</v>
      </c>
      <c r="KE8" t="s">
        <v>5598</v>
      </c>
      <c r="KF8" s="6">
        <v>45891</v>
      </c>
      <c r="KG8">
        <v>5</v>
      </c>
      <c r="KH8">
        <v>224115728</v>
      </c>
      <c r="KI8">
        <v>60401289</v>
      </c>
      <c r="KJ8" t="s">
        <v>2503</v>
      </c>
      <c r="KO8" t="s">
        <v>2374</v>
      </c>
      <c r="KP8" t="s">
        <v>1786</v>
      </c>
      <c r="KQ8">
        <v>8.8672269999999997</v>
      </c>
      <c r="KR8">
        <v>1.980351</v>
      </c>
      <c r="KS8" t="s">
        <v>1762</v>
      </c>
      <c r="KT8">
        <v>2025</v>
      </c>
      <c r="KU8" t="s">
        <v>2375</v>
      </c>
      <c r="KV8" s="6">
        <v>45922</v>
      </c>
      <c r="KW8">
        <v>5</v>
      </c>
      <c r="KX8">
        <v>135574848</v>
      </c>
      <c r="KY8">
        <v>11937231</v>
      </c>
      <c r="KZ8" t="s">
        <v>2376</v>
      </c>
      <c r="LC8" t="s">
        <v>1880</v>
      </c>
      <c r="LD8">
        <v>3.2472560000000001</v>
      </c>
      <c r="LE8" t="s">
        <v>1786</v>
      </c>
      <c r="LF8">
        <v>2.573108</v>
      </c>
      <c r="LG8" t="s">
        <v>1762</v>
      </c>
      <c r="LH8">
        <v>2025</v>
      </c>
      <c r="LI8" t="s">
        <v>1877</v>
      </c>
      <c r="LJ8" s="6">
        <v>45888</v>
      </c>
      <c r="LK8">
        <v>5</v>
      </c>
      <c r="LL8">
        <v>357945024</v>
      </c>
      <c r="LM8">
        <v>10451815</v>
      </c>
      <c r="LN8" t="s">
        <v>1881</v>
      </c>
      <c r="LS8" t="s">
        <v>3895</v>
      </c>
      <c r="LT8" t="s">
        <v>1786</v>
      </c>
      <c r="LU8">
        <v>0.22007699999999999</v>
      </c>
      <c r="LV8">
        <v>5.8431999999999998E-2</v>
      </c>
      <c r="LW8" t="s">
        <v>1809</v>
      </c>
      <c r="LX8">
        <v>2025</v>
      </c>
      <c r="LY8" t="s">
        <v>3896</v>
      </c>
      <c r="LZ8" s="6">
        <v>45814</v>
      </c>
      <c r="MA8">
        <v>5</v>
      </c>
      <c r="MB8">
        <v>232595</v>
      </c>
      <c r="MC8">
        <v>136312</v>
      </c>
      <c r="MD8" t="s">
        <v>3897</v>
      </c>
      <c r="MG8" t="s">
        <v>5727</v>
      </c>
      <c r="MH8">
        <v>-2.4245362661989844E-14</v>
      </c>
      <c r="MJ8">
        <v>-2.4245362661989844E-14</v>
      </c>
      <c r="MK8" t="s">
        <v>1745</v>
      </c>
      <c r="ML8">
        <v>2023</v>
      </c>
      <c r="MM8" t="s">
        <v>5801</v>
      </c>
      <c r="MN8" s="6">
        <v>45363</v>
      </c>
      <c r="MO8">
        <v>5</v>
      </c>
      <c r="MP8">
        <v>-2.4245362661989844E-14</v>
      </c>
      <c r="MQ8">
        <v>100607</v>
      </c>
      <c r="MR8" t="s">
        <v>5728</v>
      </c>
      <c r="MW8" t="s">
        <v>2346</v>
      </c>
      <c r="MY8">
        <v>-2.4245362661989844E-14</v>
      </c>
      <c r="MZ8">
        <v>-2.4245362661989844E-14</v>
      </c>
      <c r="NA8" t="s">
        <v>1745</v>
      </c>
      <c r="NB8">
        <v>2021</v>
      </c>
      <c r="NC8" t="s">
        <v>2347</v>
      </c>
      <c r="ND8" s="6">
        <v>44693</v>
      </c>
      <c r="NE8">
        <v>5</v>
      </c>
      <c r="NF8">
        <v>-2.4245362661989844E-14</v>
      </c>
      <c r="NG8">
        <v>100481</v>
      </c>
      <c r="NH8" t="s">
        <v>2348</v>
      </c>
      <c r="QI8" t="s">
        <v>5266</v>
      </c>
      <c r="QK8">
        <v>-2.4245362661989844E-14</v>
      </c>
      <c r="QL8">
        <v>-2.4245362661989844E-14</v>
      </c>
      <c r="QM8" t="s">
        <v>1745</v>
      </c>
      <c r="QN8">
        <v>2022</v>
      </c>
      <c r="QO8" t="s">
        <v>5267</v>
      </c>
      <c r="QP8" s="6">
        <v>44895</v>
      </c>
      <c r="QQ8">
        <v>5</v>
      </c>
      <c r="QR8">
        <v>-2.4245362661989844E-14</v>
      </c>
      <c r="QS8">
        <v>1178783</v>
      </c>
      <c r="QT8" t="s">
        <v>5268</v>
      </c>
      <c r="QW8" t="s">
        <v>1935</v>
      </c>
      <c r="QX8">
        <v>-2.4245362661989844E-14</v>
      </c>
      <c r="QZ8">
        <v>-2.4245362661989844E-14</v>
      </c>
      <c r="RA8" t="s">
        <v>1745</v>
      </c>
      <c r="RB8">
        <v>2022</v>
      </c>
      <c r="RC8" t="s">
        <v>1933</v>
      </c>
      <c r="RD8" s="6">
        <v>44671</v>
      </c>
      <c r="RE8">
        <v>5</v>
      </c>
      <c r="RF8">
        <v>-2.4245362661989844E-14</v>
      </c>
      <c r="RG8">
        <v>19016948</v>
      </c>
      <c r="RH8" t="s">
        <v>1936</v>
      </c>
      <c r="TU8" t="s">
        <v>2283</v>
      </c>
      <c r="TW8">
        <v>-2.4245362661989844E-14</v>
      </c>
      <c r="TX8">
        <v>-2.4245362661989844E-14</v>
      </c>
      <c r="TY8" t="s">
        <v>1745</v>
      </c>
      <c r="TZ8">
        <v>2021</v>
      </c>
      <c r="UA8" t="s">
        <v>2284</v>
      </c>
      <c r="UB8" s="6">
        <v>44693</v>
      </c>
      <c r="UC8">
        <v>5</v>
      </c>
      <c r="UD8">
        <v>-2.4245362661989844E-14</v>
      </c>
      <c r="UE8">
        <v>100060</v>
      </c>
      <c r="UF8" t="s">
        <v>2285</v>
      </c>
      <c r="UI8" t="s">
        <v>1878</v>
      </c>
      <c r="UJ8">
        <v>1.160126</v>
      </c>
      <c r="UK8" t="s">
        <v>1786</v>
      </c>
      <c r="UL8">
        <v>0.125441</v>
      </c>
      <c r="UM8" t="s">
        <v>1809</v>
      </c>
      <c r="UN8">
        <v>2025</v>
      </c>
      <c r="UO8" t="s">
        <v>4177</v>
      </c>
      <c r="UP8" s="6">
        <v>45736</v>
      </c>
      <c r="UQ8">
        <v>5</v>
      </c>
      <c r="UR8">
        <v>27669004</v>
      </c>
      <c r="US8">
        <v>876285</v>
      </c>
      <c r="UT8" t="s">
        <v>1879</v>
      </c>
      <c r="UY8" t="s">
        <v>86</v>
      </c>
      <c r="UZ8" t="s">
        <v>1786</v>
      </c>
      <c r="VA8">
        <v>0.19926099999999999</v>
      </c>
      <c r="VB8">
        <v>1.1451750000000001</v>
      </c>
      <c r="VC8" t="s">
        <v>1762</v>
      </c>
      <c r="VD8">
        <v>2025</v>
      </c>
      <c r="VE8" t="s">
        <v>3638</v>
      </c>
      <c r="VF8" s="6">
        <v>45895</v>
      </c>
      <c r="VG8">
        <v>5</v>
      </c>
      <c r="VH8">
        <v>197027360</v>
      </c>
      <c r="VI8">
        <v>100193</v>
      </c>
      <c r="VJ8" t="s">
        <v>1849</v>
      </c>
      <c r="VM8" t="s">
        <v>2073</v>
      </c>
      <c r="VN8">
        <v>2.7185320000000002</v>
      </c>
      <c r="VO8" t="s">
        <v>1786</v>
      </c>
      <c r="VP8">
        <v>3.3805040000000002</v>
      </c>
      <c r="VQ8" t="s">
        <v>1762</v>
      </c>
      <c r="VR8">
        <v>2025</v>
      </c>
      <c r="VS8" t="s">
        <v>3638</v>
      </c>
      <c r="VT8" s="6">
        <v>45895</v>
      </c>
      <c r="VU8">
        <v>5</v>
      </c>
      <c r="VV8">
        <v>586686400</v>
      </c>
      <c r="VW8">
        <v>156923</v>
      </c>
      <c r="VX8" t="s">
        <v>2074</v>
      </c>
    </row>
    <row r="9" spans="1:600" x14ac:dyDescent="0.25">
      <c r="BI9" t="s">
        <v>4802</v>
      </c>
      <c r="BJ9" t="s">
        <v>1786</v>
      </c>
      <c r="BK9">
        <v>1.2467000000000001E-2</v>
      </c>
      <c r="BL9">
        <v>4.5800000000000002E-4</v>
      </c>
      <c r="BM9" t="s">
        <v>1762</v>
      </c>
      <c r="BN9">
        <v>2025</v>
      </c>
      <c r="BO9" t="s">
        <v>4803</v>
      </c>
      <c r="BP9" s="6">
        <v>45744</v>
      </c>
      <c r="BQ9">
        <v>5</v>
      </c>
      <c r="BR9">
        <v>6232.4</v>
      </c>
      <c r="BS9">
        <v>28653435</v>
      </c>
      <c r="BT9" t="s">
        <v>4804</v>
      </c>
      <c r="BW9" t="s">
        <v>3715</v>
      </c>
      <c r="BX9">
        <v>-2.4245362661989844E-14</v>
      </c>
      <c r="BZ9">
        <v>-2.4245362661989844E-14</v>
      </c>
      <c r="CA9" t="s">
        <v>1745</v>
      </c>
      <c r="CB9">
        <v>2022</v>
      </c>
      <c r="CC9" t="s">
        <v>3716</v>
      </c>
      <c r="CD9" s="6">
        <v>45083</v>
      </c>
      <c r="CE9">
        <v>5</v>
      </c>
      <c r="CF9">
        <v>-2.4245362661989844E-14</v>
      </c>
      <c r="CG9">
        <v>34532225</v>
      </c>
      <c r="CH9" t="s">
        <v>3717</v>
      </c>
      <c r="CM9" t="s">
        <v>163</v>
      </c>
      <c r="CN9" t="s">
        <v>1786</v>
      </c>
      <c r="CO9">
        <v>2.9171480000000001</v>
      </c>
      <c r="CP9">
        <v>3.8580190000000001</v>
      </c>
      <c r="CQ9" t="s">
        <v>1742</v>
      </c>
      <c r="CR9">
        <v>2025</v>
      </c>
      <c r="CS9" t="s">
        <v>2198</v>
      </c>
      <c r="CT9" s="6">
        <v>46003</v>
      </c>
      <c r="CU9">
        <v>5</v>
      </c>
      <c r="CV9">
        <v>203850304</v>
      </c>
      <c r="CW9">
        <v>100496</v>
      </c>
      <c r="CX9" t="s">
        <v>3588</v>
      </c>
      <c r="DA9" t="s">
        <v>4552</v>
      </c>
      <c r="DB9">
        <v>2.7060000000000001E-3</v>
      </c>
      <c r="DC9" t="s">
        <v>1786</v>
      </c>
      <c r="DD9">
        <v>9.5002829999999996</v>
      </c>
      <c r="DE9" t="s">
        <v>1745</v>
      </c>
      <c r="DF9">
        <v>2024</v>
      </c>
      <c r="DG9" t="s">
        <v>4553</v>
      </c>
      <c r="DH9" s="6">
        <v>45826</v>
      </c>
      <c r="DI9">
        <v>5</v>
      </c>
      <c r="DJ9">
        <v>151457.47</v>
      </c>
      <c r="DK9">
        <v>7121552</v>
      </c>
      <c r="DL9" t="s">
        <v>4554</v>
      </c>
      <c r="EU9" t="s">
        <v>3383</v>
      </c>
      <c r="EW9">
        <v>-2.4245362661989844E-14</v>
      </c>
      <c r="EX9">
        <v>-2.4245362661989844E-14</v>
      </c>
      <c r="EY9" t="s">
        <v>1745</v>
      </c>
      <c r="EZ9">
        <v>2022</v>
      </c>
      <c r="FA9" t="s">
        <v>3378</v>
      </c>
      <c r="FB9" s="6">
        <v>44986</v>
      </c>
      <c r="FC9">
        <v>5</v>
      </c>
      <c r="FD9">
        <v>-2.4245362661989844E-14</v>
      </c>
      <c r="FE9">
        <v>14703138</v>
      </c>
      <c r="FF9" t="s">
        <v>3384</v>
      </c>
      <c r="FI9" t="s">
        <v>5050</v>
      </c>
      <c r="FJ9">
        <v>-2.4245362661989844E-14</v>
      </c>
      <c r="FL9">
        <v>-2.4245362661989844E-14</v>
      </c>
      <c r="FM9" t="s">
        <v>1762</v>
      </c>
      <c r="FN9">
        <v>2023</v>
      </c>
      <c r="FO9" t="s">
        <v>3373</v>
      </c>
      <c r="FP9" s="6">
        <v>45146</v>
      </c>
      <c r="FQ9">
        <v>5</v>
      </c>
      <c r="FR9">
        <v>-2.4245362661989844E-14</v>
      </c>
      <c r="FS9">
        <v>26132526</v>
      </c>
      <c r="FT9" t="s">
        <v>5051</v>
      </c>
      <c r="FY9" t="s">
        <v>2270</v>
      </c>
      <c r="GA9">
        <v>-2.4245362661989844E-14</v>
      </c>
      <c r="GB9">
        <v>-2.4245362661989844E-14</v>
      </c>
      <c r="GC9" t="s">
        <v>1745</v>
      </c>
      <c r="GD9">
        <v>2023</v>
      </c>
      <c r="GE9" t="s">
        <v>2500</v>
      </c>
      <c r="GF9" s="6">
        <v>45350</v>
      </c>
      <c r="GG9">
        <v>5</v>
      </c>
      <c r="GH9">
        <v>-2.4245362661989844E-14</v>
      </c>
      <c r="GI9">
        <v>35300053</v>
      </c>
      <c r="GJ9" t="s">
        <v>2272</v>
      </c>
      <c r="HC9" t="s">
        <v>5802</v>
      </c>
      <c r="HD9" t="s">
        <v>1769</v>
      </c>
      <c r="HE9">
        <v>2.7852589999999999</v>
      </c>
      <c r="HF9">
        <v>9.2419000000000001E-2</v>
      </c>
      <c r="HG9" t="s">
        <v>1745</v>
      </c>
      <c r="HH9">
        <v>2024</v>
      </c>
      <c r="HI9" t="s">
        <v>5803</v>
      </c>
      <c r="HJ9" s="6">
        <v>45702</v>
      </c>
      <c r="HK9">
        <v>5</v>
      </c>
      <c r="HL9">
        <v>3971250</v>
      </c>
      <c r="HM9">
        <v>225922</v>
      </c>
      <c r="HN9" t="s">
        <v>5804</v>
      </c>
      <c r="IG9" t="s">
        <v>5079</v>
      </c>
      <c r="II9">
        <v>-2.4245362661989844E-14</v>
      </c>
      <c r="IJ9">
        <v>-2.4245362661989844E-14</v>
      </c>
      <c r="IK9" t="s">
        <v>1745</v>
      </c>
      <c r="IL9">
        <v>2024</v>
      </c>
      <c r="IM9" t="s">
        <v>5080</v>
      </c>
      <c r="IN9" s="6">
        <v>45747</v>
      </c>
      <c r="IO9">
        <v>5</v>
      </c>
      <c r="IP9">
        <v>-2.4245362661989844E-14</v>
      </c>
      <c r="IQ9">
        <v>9549727</v>
      </c>
      <c r="IR9" t="s">
        <v>5081</v>
      </c>
      <c r="JK9" t="s">
        <v>5789</v>
      </c>
      <c r="JL9" t="s">
        <v>1769</v>
      </c>
      <c r="JM9">
        <v>1.7262839999999999</v>
      </c>
      <c r="JN9">
        <v>2.5293779999999999</v>
      </c>
      <c r="JO9" t="s">
        <v>1742</v>
      </c>
      <c r="JP9">
        <v>2025</v>
      </c>
      <c r="JQ9" t="s">
        <v>5790</v>
      </c>
      <c r="JR9" s="6">
        <v>45996</v>
      </c>
      <c r="JS9">
        <v>5</v>
      </c>
      <c r="JT9">
        <v>15044738</v>
      </c>
      <c r="JU9">
        <v>225275</v>
      </c>
      <c r="JV9" t="s">
        <v>5791</v>
      </c>
      <c r="JY9" t="s">
        <v>496</v>
      </c>
      <c r="JZ9">
        <v>5.1776350000000004</v>
      </c>
      <c r="KA9" t="s">
        <v>1786</v>
      </c>
      <c r="KB9">
        <v>0.16053799999999999</v>
      </c>
      <c r="KC9" t="s">
        <v>1762</v>
      </c>
      <c r="KD9">
        <v>2025</v>
      </c>
      <c r="KE9" t="s">
        <v>5598</v>
      </c>
      <c r="KF9" s="6">
        <v>45891</v>
      </c>
      <c r="KG9">
        <v>5</v>
      </c>
      <c r="KH9">
        <v>136974336</v>
      </c>
      <c r="KI9">
        <v>100976</v>
      </c>
      <c r="KJ9" t="s">
        <v>1888</v>
      </c>
      <c r="KO9" t="s">
        <v>949</v>
      </c>
      <c r="KP9" t="s">
        <v>1786</v>
      </c>
      <c r="KQ9">
        <v>9.9027270000000005</v>
      </c>
      <c r="KR9">
        <v>1.5774429999999999</v>
      </c>
      <c r="KS9" t="s">
        <v>1762</v>
      </c>
      <c r="KT9">
        <v>2025</v>
      </c>
      <c r="KU9" t="s">
        <v>2429</v>
      </c>
      <c r="KV9" s="6">
        <v>45904</v>
      </c>
      <c r="KW9">
        <v>5</v>
      </c>
      <c r="KX9">
        <v>107991712</v>
      </c>
      <c r="KY9">
        <v>187877</v>
      </c>
      <c r="KZ9" t="s">
        <v>2430</v>
      </c>
      <c r="LC9" t="s">
        <v>1079</v>
      </c>
      <c r="LD9">
        <v>3.0622020000000001</v>
      </c>
      <c r="LE9" t="s">
        <v>1786</v>
      </c>
      <c r="LF9">
        <v>2.546176</v>
      </c>
      <c r="LG9" t="s">
        <v>1762</v>
      </c>
      <c r="LH9">
        <v>2025</v>
      </c>
      <c r="LI9" t="s">
        <v>1877</v>
      </c>
      <c r="LJ9" s="6">
        <v>45888</v>
      </c>
      <c r="LK9">
        <v>5</v>
      </c>
      <c r="LL9">
        <v>337546528</v>
      </c>
      <c r="LM9">
        <v>100090</v>
      </c>
      <c r="LN9" t="s">
        <v>1882</v>
      </c>
      <c r="LS9" t="s">
        <v>3105</v>
      </c>
      <c r="LT9" t="s">
        <v>1769</v>
      </c>
      <c r="LU9">
        <v>3.4880000000000002E-3</v>
      </c>
      <c r="LV9">
        <v>0.24454200000000001</v>
      </c>
      <c r="LW9" t="s">
        <v>1762</v>
      </c>
      <c r="LX9">
        <v>2025</v>
      </c>
      <c r="LY9" t="s">
        <v>3106</v>
      </c>
      <c r="LZ9" s="6">
        <v>45902</v>
      </c>
      <c r="MA9">
        <v>5</v>
      </c>
      <c r="MB9">
        <v>219527.01</v>
      </c>
      <c r="MC9">
        <v>115265</v>
      </c>
      <c r="MD9" t="s">
        <v>3107</v>
      </c>
      <c r="MG9" t="s">
        <v>2300</v>
      </c>
      <c r="MH9">
        <v>-2.4245362661989844E-14</v>
      </c>
      <c r="MJ9">
        <v>-2.4245362661989844E-14</v>
      </c>
      <c r="MK9" t="s">
        <v>1745</v>
      </c>
      <c r="ML9">
        <v>2022</v>
      </c>
      <c r="MM9" t="s">
        <v>5798</v>
      </c>
      <c r="MN9" s="6">
        <v>44656</v>
      </c>
      <c r="MO9">
        <v>5</v>
      </c>
      <c r="MP9">
        <v>-2.4245362661989844E-14</v>
      </c>
      <c r="MQ9">
        <v>100760</v>
      </c>
      <c r="MR9" t="s">
        <v>2302</v>
      </c>
      <c r="MW9" t="s">
        <v>565</v>
      </c>
      <c r="MY9">
        <v>-2.4245362661989844E-14</v>
      </c>
      <c r="MZ9">
        <v>-2.4245362661989844E-14</v>
      </c>
      <c r="NA9" t="s">
        <v>1745</v>
      </c>
      <c r="NB9">
        <v>2021</v>
      </c>
      <c r="NC9" t="s">
        <v>4054</v>
      </c>
      <c r="ND9" s="6">
        <v>44693</v>
      </c>
      <c r="NE9">
        <v>5</v>
      </c>
      <c r="NF9">
        <v>-2.4245362661989844E-14</v>
      </c>
      <c r="NG9">
        <v>100382</v>
      </c>
      <c r="NH9" t="s">
        <v>4055</v>
      </c>
      <c r="QI9" t="s">
        <v>5269</v>
      </c>
      <c r="QK9">
        <v>-2.4245362661989844E-14</v>
      </c>
      <c r="QL9">
        <v>-2.4245362661989844E-14</v>
      </c>
      <c r="QM9" t="s">
        <v>1805</v>
      </c>
      <c r="QN9">
        <v>2023</v>
      </c>
      <c r="QO9" t="s">
        <v>5270</v>
      </c>
      <c r="QP9" s="6">
        <v>44956</v>
      </c>
      <c r="QQ9">
        <v>5</v>
      </c>
      <c r="QR9">
        <v>-2.4245362661989844E-14</v>
      </c>
      <c r="QS9">
        <v>43146477</v>
      </c>
      <c r="QT9" t="s">
        <v>5271</v>
      </c>
      <c r="QW9" t="s">
        <v>1801</v>
      </c>
      <c r="QX9">
        <v>-2.4245362661989844E-14</v>
      </c>
      <c r="QZ9">
        <v>-2.4245362661989844E-14</v>
      </c>
      <c r="RA9" t="s">
        <v>1745</v>
      </c>
      <c r="RB9">
        <v>2025</v>
      </c>
      <c r="RC9" t="s">
        <v>1937</v>
      </c>
      <c r="RD9" s="6">
        <v>45798</v>
      </c>
      <c r="RE9">
        <v>5</v>
      </c>
      <c r="RF9">
        <v>-2.4245362661989844E-14</v>
      </c>
      <c r="RG9">
        <v>218252</v>
      </c>
      <c r="RH9" t="s">
        <v>1803</v>
      </c>
      <c r="TU9" t="s">
        <v>4338</v>
      </c>
      <c r="TW9">
        <v>-2.4245362661989844E-14</v>
      </c>
      <c r="TX9">
        <v>-2.4245362661989844E-14</v>
      </c>
      <c r="TY9" t="s">
        <v>1745</v>
      </c>
      <c r="TZ9">
        <v>2023</v>
      </c>
      <c r="UA9" t="s">
        <v>4339</v>
      </c>
      <c r="UB9" s="6">
        <v>45132</v>
      </c>
      <c r="UC9">
        <v>5</v>
      </c>
      <c r="UD9">
        <v>-2.4245362661989844E-14</v>
      </c>
      <c r="UE9">
        <v>117406</v>
      </c>
      <c r="UF9" t="s">
        <v>4340</v>
      </c>
      <c r="UI9" t="s">
        <v>3103</v>
      </c>
      <c r="UJ9">
        <v>1.1590039999999999</v>
      </c>
      <c r="UK9" t="s">
        <v>1786</v>
      </c>
      <c r="UL9">
        <v>0.19369800000000001</v>
      </c>
      <c r="UM9" t="s">
        <v>1809</v>
      </c>
      <c r="UN9">
        <v>2025</v>
      </c>
      <c r="UO9" t="s">
        <v>4177</v>
      </c>
      <c r="UP9" s="6">
        <v>45736</v>
      </c>
      <c r="UQ9">
        <v>5</v>
      </c>
      <c r="UR9">
        <v>27642244</v>
      </c>
      <c r="US9">
        <v>112571</v>
      </c>
      <c r="UT9" t="s">
        <v>3104</v>
      </c>
      <c r="UY9" t="s">
        <v>1571</v>
      </c>
      <c r="UZ9" t="s">
        <v>1786</v>
      </c>
      <c r="VA9">
        <v>3.715757</v>
      </c>
      <c r="VB9">
        <v>1.143508</v>
      </c>
      <c r="VC9" t="s">
        <v>1742</v>
      </c>
      <c r="VD9">
        <v>2025</v>
      </c>
      <c r="VE9" t="s">
        <v>4106</v>
      </c>
      <c r="VF9" s="6">
        <v>45782</v>
      </c>
      <c r="VG9">
        <v>5</v>
      </c>
      <c r="VH9">
        <v>185133936</v>
      </c>
      <c r="VI9">
        <v>101149</v>
      </c>
      <c r="VJ9" t="s">
        <v>4107</v>
      </c>
      <c r="VM9" t="s">
        <v>1079</v>
      </c>
      <c r="VN9">
        <v>1.2661089999999999</v>
      </c>
      <c r="VO9" t="s">
        <v>1786</v>
      </c>
      <c r="VP9">
        <v>2.0610919999999999</v>
      </c>
      <c r="VQ9" t="s">
        <v>1762</v>
      </c>
      <c r="VR9">
        <v>2025</v>
      </c>
      <c r="VS9" t="s">
        <v>3638</v>
      </c>
      <c r="VT9" s="6">
        <v>45895</v>
      </c>
      <c r="VU9">
        <v>5</v>
      </c>
      <c r="VV9">
        <v>273238976</v>
      </c>
      <c r="VW9">
        <v>100090</v>
      </c>
      <c r="VX9" t="s">
        <v>1882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1056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1057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1058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1059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1060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1061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1062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1063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1064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1065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1066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1067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1068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1069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1070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1071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1072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1073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1074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1075</v>
      </c>
      <c r="AE2" s="3" t="s">
        <v>432</v>
      </c>
      <c r="BI2" s="3" t="s">
        <v>1076</v>
      </c>
      <c r="CM2" s="3" t="s">
        <v>1077</v>
      </c>
      <c r="DQ2" s="3" t="s">
        <v>1078</v>
      </c>
      <c r="EU2" s="3" t="s">
        <v>1079</v>
      </c>
      <c r="FY2" s="3" t="s">
        <v>972</v>
      </c>
      <c r="HC2" s="3" t="s">
        <v>1080</v>
      </c>
      <c r="IG2" s="3" t="s">
        <v>1081</v>
      </c>
      <c r="JK2" s="3" t="s">
        <v>1082</v>
      </c>
      <c r="KO2" s="3" t="s">
        <v>28</v>
      </c>
      <c r="LS2" s="3" t="s">
        <v>1083</v>
      </c>
      <c r="MW2" s="3" t="s">
        <v>1084</v>
      </c>
      <c r="OA2" s="3" t="s">
        <v>1085</v>
      </c>
      <c r="PE2" s="3" t="s">
        <v>1086</v>
      </c>
      <c r="QI2" s="3" t="s">
        <v>1087</v>
      </c>
      <c r="RM2" s="3" t="s">
        <v>1088</v>
      </c>
      <c r="SQ2" s="3" t="s">
        <v>1089</v>
      </c>
      <c r="TU2" s="3" t="s">
        <v>638</v>
      </c>
      <c r="UY2" s="3" t="s">
        <v>1090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_xll.BDS("EPB US Equity","SUPPLY_CHAIN_SUPPLIERS_ALL_DATA")</f>
        <v>#N/A N/A</v>
      </c>
      <c r="O5" t="str">
        <f>_xll.BDS("EPB US Equity","SUPPLY_CHAIN_CUSTOMERS_ALL_DATA")</f>
        <v>#N/A N/A</v>
      </c>
      <c r="AE5" t="str">
        <f>_xll.BDS("9990822D US Equity","SUPPLY_CHAIN_SUPPLIERS_ALL_DATA","cols=12;rows=1")</f>
        <v>AMZN US Equity</v>
      </c>
      <c r="AG5">
        <v>-2.4245362661989844E-14</v>
      </c>
      <c r="AH5">
        <v>-2.4245362661989844E-14</v>
      </c>
      <c r="AI5" t="s">
        <v>1745</v>
      </c>
      <c r="AJ5">
        <v>2025</v>
      </c>
      <c r="AK5" t="s">
        <v>3186</v>
      </c>
      <c r="AL5" s="6">
        <v>45993</v>
      </c>
      <c r="AM5">
        <v>1</v>
      </c>
      <c r="AN5">
        <v>-2.4245362661989844E-14</v>
      </c>
      <c r="AO5">
        <v>216952</v>
      </c>
      <c r="AP5" t="s">
        <v>1886</v>
      </c>
      <c r="AS5" t="str">
        <f>_xll.BDS("9990822D US Equity","SUPPLY_CHAIN_CUSTOMERS_ALL_DATA","cols=12;rows=3")</f>
        <v>0759608D US Equity</v>
      </c>
      <c r="AT5">
        <v>-2.4245362661989844E-14</v>
      </c>
      <c r="AV5">
        <v>-2.4245362661989844E-14</v>
      </c>
      <c r="AW5" t="s">
        <v>1745</v>
      </c>
      <c r="AX5">
        <v>2023</v>
      </c>
      <c r="AY5" t="s">
        <v>3154</v>
      </c>
      <c r="AZ5" s="6">
        <v>44972</v>
      </c>
      <c r="BA5">
        <v>3</v>
      </c>
      <c r="BB5">
        <v>-2.4245362661989844E-14</v>
      </c>
      <c r="BC5">
        <v>22120244</v>
      </c>
      <c r="BD5" t="s">
        <v>3155</v>
      </c>
      <c r="BI5" t="str">
        <f>_xll.BDS("VIAV US Equity","SUPPLY_CHAIN_SUPPLIERS_ALL_DATA","cols=12;rows=5")</f>
        <v>TCS IN Equity</v>
      </c>
      <c r="BJ5" t="s">
        <v>1769</v>
      </c>
      <c r="BK5">
        <v>5.8825000000000002E-2</v>
      </c>
      <c r="BL5">
        <v>3.4862989999999998</v>
      </c>
      <c r="BM5" t="s">
        <v>1742</v>
      </c>
      <c r="BN5">
        <v>2026</v>
      </c>
      <c r="BO5" t="s">
        <v>2851</v>
      </c>
      <c r="BP5" s="6">
        <v>46058</v>
      </c>
      <c r="BQ5">
        <v>5</v>
      </c>
      <c r="BR5">
        <v>4429338.2300000004</v>
      </c>
      <c r="BS5">
        <v>7259059</v>
      </c>
      <c r="BT5" t="s">
        <v>2852</v>
      </c>
      <c r="BW5" t="str">
        <f>_xll.BDS("VIAV US Equity","SUPPLY_CHAIN_CUSTOMERS_ALL_DATA","cols=12;rows=5")</f>
        <v>582647Z SW Equity</v>
      </c>
      <c r="BX5">
        <v>14.345955</v>
      </c>
      <c r="BZ5">
        <v>-2.4245362661989844E-14</v>
      </c>
      <c r="CA5" t="s">
        <v>1845</v>
      </c>
      <c r="CB5">
        <v>2025</v>
      </c>
      <c r="CC5" t="s">
        <v>6194</v>
      </c>
      <c r="CD5" s="6">
        <v>45894</v>
      </c>
      <c r="CE5">
        <v>5</v>
      </c>
      <c r="CF5">
        <v>41675000</v>
      </c>
      <c r="CG5">
        <v>9020850</v>
      </c>
      <c r="CH5" t="s">
        <v>6195</v>
      </c>
      <c r="CM5" t="str">
        <f>_xll.BDS("HET US Equity","SUPPLY_CHAIN_SUPPLIERS_ALL_DATA")</f>
        <v>#N/A N/A</v>
      </c>
      <c r="DA5" t="str">
        <f>_xll.BDS("HET US Equity","SUPPLY_CHAIN_CUSTOMERS_ALL_DATA")</f>
        <v>#N/A N/A</v>
      </c>
      <c r="DQ5" t="str">
        <f>_xll.BDS("1436225D US Equity","SUPPLY_CHAIN_SUPPLIERS_ALL_DATA")</f>
        <v>#N/A N/A</v>
      </c>
      <c r="EE5" t="str">
        <f>_xll.BDS("1436225D US Equity","SUPPLY_CHAIN_CUSTOMERS_ALL_DATA")</f>
        <v>#N/A N/A</v>
      </c>
      <c r="EU5" t="str">
        <f>_xll.BDS("AAL US Equity","SUPPLY_CHAIN_SUPPLIERS_ALL_DATA","cols=12;rows=5")</f>
        <v>BA US Equity</v>
      </c>
      <c r="EV5" t="s">
        <v>1820</v>
      </c>
      <c r="EW5">
        <v>1.979095</v>
      </c>
      <c r="EX5">
        <v>90.225311000000005</v>
      </c>
      <c r="EY5" t="s">
        <v>1762</v>
      </c>
      <c r="EZ5">
        <v>2025</v>
      </c>
      <c r="FA5" t="s">
        <v>3484</v>
      </c>
      <c r="FB5" s="6">
        <v>45873</v>
      </c>
      <c r="FC5">
        <v>5</v>
      </c>
      <c r="FD5">
        <v>450224320</v>
      </c>
      <c r="FE5">
        <v>100211</v>
      </c>
      <c r="FF5" t="s">
        <v>1851</v>
      </c>
      <c r="FI5" t="str">
        <f>_xll.BDS("AAL US Equity","SUPPLY_CHAIN_CUSTOMERS_ALL_DATA","cols=12;rows=5")</f>
        <v>293 HK Equity</v>
      </c>
      <c r="FJ5">
        <v>9.9788000000000002E-2</v>
      </c>
      <c r="FK5" t="s">
        <v>1769</v>
      </c>
      <c r="FL5">
        <v>0.46331600000000001</v>
      </c>
      <c r="FM5" t="s">
        <v>1762</v>
      </c>
      <c r="FN5">
        <v>2025</v>
      </c>
      <c r="FO5" t="s">
        <v>4560</v>
      </c>
      <c r="FP5" s="6">
        <v>45882</v>
      </c>
      <c r="FQ5">
        <v>5</v>
      </c>
      <c r="FR5">
        <v>14362498.66</v>
      </c>
      <c r="FS5">
        <v>115777</v>
      </c>
      <c r="FT5" t="s">
        <v>4561</v>
      </c>
      <c r="FY5" t="str">
        <f>_xll.BDS("CG US Equity","SUPPLY_CHAIN_SUPPLIERS_ALL_DATA","cols=12;rows=5")</f>
        <v>SLG US Equity</v>
      </c>
      <c r="FZ5" t="s">
        <v>1769</v>
      </c>
      <c r="GA5">
        <v>2.3414929999999998</v>
      </c>
      <c r="GB5">
        <v>0.61569499999999999</v>
      </c>
      <c r="GC5" t="s">
        <v>1745</v>
      </c>
      <c r="GD5">
        <v>2024</v>
      </c>
      <c r="GE5" t="s">
        <v>4353</v>
      </c>
      <c r="GF5" s="6">
        <v>45706</v>
      </c>
      <c r="GG5">
        <v>5</v>
      </c>
      <c r="GH5">
        <v>5187999</v>
      </c>
      <c r="GI5">
        <v>231753</v>
      </c>
      <c r="GJ5" t="s">
        <v>4354</v>
      </c>
      <c r="GM5" t="str">
        <f>_xll.BDS("CG US Equity","SUPPLY_CHAIN_CUSTOMERS_ALL_DATA","cols=12;rows=5")</f>
        <v>POOL US Equity</v>
      </c>
      <c r="GN5">
        <v>8.2254889999999996</v>
      </c>
      <c r="GO5" t="s">
        <v>1786</v>
      </c>
      <c r="GP5">
        <v>12</v>
      </c>
      <c r="GQ5" t="s">
        <v>1745</v>
      </c>
      <c r="GR5">
        <v>2024</v>
      </c>
      <c r="GS5" t="s">
        <v>4238</v>
      </c>
      <c r="GT5" s="6">
        <v>45715</v>
      </c>
      <c r="GU5">
        <v>5</v>
      </c>
      <c r="GV5">
        <v>112068176</v>
      </c>
      <c r="GW5">
        <v>171077</v>
      </c>
      <c r="GX5" t="s">
        <v>4239</v>
      </c>
      <c r="HC5" t="str">
        <f>_xll.BDS("3423152Q US Equity","SUPPLY_CHAIN_SUPPLIERS_ALL_DATA")</f>
        <v>#N/A N/A</v>
      </c>
      <c r="HQ5" t="str">
        <f>_xll.BDS("3423152Q US Equity","SUPPLY_CHAIN_CUSTOMERS_ALL_DATA")</f>
        <v>#N/A N/A</v>
      </c>
      <c r="IG5" t="str">
        <f>_xll.BDS("VRC US Equity","SUPPLY_CHAIN_SUPPLIERS_ALL_DATA")</f>
        <v>#N/A N/A</v>
      </c>
      <c r="IU5" t="str">
        <f>_xll.BDS("VRC US Equity","SUPPLY_CHAIN_CUSTOMERS_ALL_DATA")</f>
        <v>#N/A N/A</v>
      </c>
      <c r="JK5" t="str">
        <f>_xll.BDS("2860436Q US Equity","SUPPLY_CHAIN_SUPPLIERS_ALL_DATA")</f>
        <v>#N/A N/A</v>
      </c>
      <c r="JY5" t="str">
        <f>_xll.BDS("2860436Q US Equity","SUPPLY_CHAIN_CUSTOMERS_ALL_DATA")</f>
        <v>#N/A N/A</v>
      </c>
      <c r="KO5" t="str">
        <f>_xll.BDS("VMW US Equity","SUPPLY_CHAIN_SUPPLIERS_ALL_DATA","cols=12;rows=5")</f>
        <v>0956625D US Equity</v>
      </c>
      <c r="KQ5">
        <v>-2.4245362661989844E-14</v>
      </c>
      <c r="KR5">
        <v>-2.4245362661989844E-14</v>
      </c>
      <c r="KS5" t="s">
        <v>1745</v>
      </c>
      <c r="KT5">
        <v>2023</v>
      </c>
      <c r="KU5" t="s">
        <v>2895</v>
      </c>
      <c r="KV5" s="6">
        <v>45196</v>
      </c>
      <c r="KW5">
        <v>5</v>
      </c>
      <c r="KX5">
        <v>-2.4245362661989844E-14</v>
      </c>
      <c r="KY5">
        <v>39235779</v>
      </c>
      <c r="KZ5" t="s">
        <v>2896</v>
      </c>
      <c r="LC5" t="str">
        <f>_xll.BDS("VMW US Equity","SUPPLY_CHAIN_CUSTOMERS_ALL_DATA","cols=12;rows=5")</f>
        <v>002642 CH Equity</v>
      </c>
      <c r="LD5">
        <v>-2.4245362661989844E-14</v>
      </c>
      <c r="LF5">
        <v>-2.4245362661989844E-14</v>
      </c>
      <c r="LG5" t="s">
        <v>1805</v>
      </c>
      <c r="LH5">
        <v>2023</v>
      </c>
      <c r="LI5" t="s">
        <v>5436</v>
      </c>
      <c r="LJ5" s="6">
        <v>45163</v>
      </c>
      <c r="LK5">
        <v>5</v>
      </c>
      <c r="LL5">
        <v>-2.4245362661989844E-14</v>
      </c>
      <c r="LM5">
        <v>23051544</v>
      </c>
      <c r="LN5" t="s">
        <v>5437</v>
      </c>
      <c r="LS5" t="str">
        <f>_xll.BDS("JJZ US Equity","SUPPLY_CHAIN_SUPPLIERS_ALL_DATA")</f>
        <v>#N/A N/A</v>
      </c>
      <c r="MG5" t="str">
        <f>_xll.BDS("JJZ US Equity","SUPPLY_CHAIN_CUSTOMERS_ALL_DATA")</f>
        <v>#N/A N/A</v>
      </c>
      <c r="MW5" t="str">
        <f>_xll.BDS("2968900Q US Equity","SUPPLY_CHAIN_SUPPLIERS_ALL_DATA")</f>
        <v>#N/A N/A</v>
      </c>
      <c r="NK5" t="str">
        <f>_xll.BDS("2968900Q US Equity","SUPPLY_CHAIN_CUSTOMERS_ALL_DATA")</f>
        <v>#N/A N/A</v>
      </c>
      <c r="OA5" t="str">
        <f>_xll.BDS("EQR US Equity","SUPPLY_CHAIN_SUPPLIERS_ALL_DATA","cols=12;rows=2")</f>
        <v>BLNK US Equity</v>
      </c>
      <c r="OC5">
        <v>-2.4245362661989844E-14</v>
      </c>
      <c r="OD5">
        <v>-2.4245362661989844E-14</v>
      </c>
      <c r="OE5" t="s">
        <v>1745</v>
      </c>
      <c r="OF5">
        <v>2024</v>
      </c>
      <c r="OG5" t="s">
        <v>5254</v>
      </c>
      <c r="OH5" s="6">
        <v>45756</v>
      </c>
      <c r="OI5">
        <v>2</v>
      </c>
      <c r="OJ5">
        <v>-2.4245362661989844E-14</v>
      </c>
      <c r="OK5">
        <v>14520400</v>
      </c>
      <c r="OL5" t="s">
        <v>5255</v>
      </c>
      <c r="OO5" t="str">
        <f>_xll.BDS("EQR US Equity","SUPPLY_CHAIN_CUSTOMERS_ALL_DATA")</f>
        <v>#N/A N/A</v>
      </c>
      <c r="PE5" t="str">
        <f>_xll.BDS("1789494D US Equity","SUPPLY_CHAIN_SUPPLIERS_ALL_DATA")</f>
        <v>#N/A N/A</v>
      </c>
      <c r="PS5" t="str">
        <f>_xll.BDS("1789494D US Equity","SUPPLY_CHAIN_CUSTOMERS_ALL_DATA","cols=12;rows=1")</f>
        <v>CMLSQ US Equity</v>
      </c>
      <c r="PT5">
        <v>-2.4245362661989844E-14</v>
      </c>
      <c r="PV5">
        <v>-2.4245362661989844E-14</v>
      </c>
      <c r="PW5" t="s">
        <v>1845</v>
      </c>
      <c r="PX5">
        <v>2025</v>
      </c>
      <c r="PY5" t="s">
        <v>4181</v>
      </c>
      <c r="PZ5" s="6">
        <v>46086</v>
      </c>
      <c r="QA5">
        <v>1</v>
      </c>
      <c r="QB5">
        <v>-2.4245362661989844E-14</v>
      </c>
      <c r="QC5">
        <v>60635224</v>
      </c>
      <c r="QD5" t="s">
        <v>4182</v>
      </c>
      <c r="QI5" t="str">
        <f>_xll.BDS("STRA US Equity","SUPPLY_CHAIN_SUPPLIERS_ALL_DATA","cols=12;rows=2")</f>
        <v>PCT NZ Equity</v>
      </c>
      <c r="QK5">
        <v>-2.4245362661989844E-14</v>
      </c>
      <c r="QL5">
        <v>-2.4245362661989844E-14</v>
      </c>
      <c r="QM5" t="s">
        <v>1745</v>
      </c>
      <c r="QN5">
        <v>2022</v>
      </c>
      <c r="QO5" t="s">
        <v>5118</v>
      </c>
      <c r="QP5" s="6">
        <v>44790</v>
      </c>
      <c r="QQ5">
        <v>2</v>
      </c>
      <c r="QR5">
        <v>-2.4245362661989844E-14</v>
      </c>
      <c r="QS5">
        <v>71149562</v>
      </c>
      <c r="QT5" t="s">
        <v>5119</v>
      </c>
      <c r="QW5" t="str">
        <f>_xll.BDS("STRA US Equity","SUPPLY_CHAIN_CUSTOMERS_ALL_DATA","cols=12;rows=1")</f>
        <v>DG US Equity</v>
      </c>
      <c r="QX5">
        <v>-2.4245362661989844E-14</v>
      </c>
      <c r="QZ5">
        <v>-2.4245362661989844E-14</v>
      </c>
      <c r="RA5" t="s">
        <v>1745</v>
      </c>
      <c r="RB5">
        <v>2022</v>
      </c>
      <c r="RC5" t="s">
        <v>6502</v>
      </c>
      <c r="RD5" s="6">
        <v>44655</v>
      </c>
      <c r="RE5">
        <v>1</v>
      </c>
      <c r="RF5">
        <v>-2.4245362661989844E-14</v>
      </c>
      <c r="RG5">
        <v>16887350</v>
      </c>
      <c r="RH5" t="s">
        <v>6503</v>
      </c>
      <c r="RM5" t="str">
        <f>_xll.BDS("BA US Equity","SUPPLY_CHAIN_SUPPLIERS_ALL_DATA","cols=12;rows=5")</f>
        <v>RTX US Equity</v>
      </c>
      <c r="RN5" t="s">
        <v>1786</v>
      </c>
      <c r="RO5">
        <v>5.3565009999999997</v>
      </c>
      <c r="RP5">
        <v>5.6905900000000003</v>
      </c>
      <c r="RQ5" t="s">
        <v>1762</v>
      </c>
      <c r="RR5">
        <v>2025</v>
      </c>
      <c r="RS5" t="s">
        <v>3638</v>
      </c>
      <c r="RT5" s="6">
        <v>45895</v>
      </c>
      <c r="RU5">
        <v>5</v>
      </c>
      <c r="RV5">
        <v>1155986432</v>
      </c>
      <c r="RW5">
        <v>101555</v>
      </c>
      <c r="RX5" t="s">
        <v>1848</v>
      </c>
      <c r="SA5" t="str">
        <f>_xll.BDS("BA US Equity","SUPPLY_CHAIN_CUSTOMERS_ALL_DATA","cols=12;rows=5")</f>
        <v>3352Z US Equity</v>
      </c>
      <c r="SB5">
        <v>35</v>
      </c>
      <c r="SD5">
        <v>-2.4245362661989844E-14</v>
      </c>
      <c r="SE5" t="s">
        <v>1745</v>
      </c>
      <c r="SF5">
        <v>2025</v>
      </c>
      <c r="SG5" t="s">
        <v>3649</v>
      </c>
      <c r="SH5" s="6">
        <v>46052</v>
      </c>
      <c r="SI5">
        <v>5</v>
      </c>
      <c r="SJ5">
        <v>7828012544</v>
      </c>
      <c r="SK5">
        <v>218252</v>
      </c>
      <c r="SL5" t="s">
        <v>1803</v>
      </c>
      <c r="SQ5" t="str">
        <f>_xll.BDS("AUB US Equity","SUPPLY_CHAIN_SUPPLIERS_ALL_DATA","cols=12;rows=1")</f>
        <v>TEMN SW Equity</v>
      </c>
      <c r="SR5" t="s">
        <v>1786</v>
      </c>
      <c r="SS5">
        <v>1.9966999999999999E-2</v>
      </c>
      <c r="ST5">
        <v>4.0731000000000003E-2</v>
      </c>
      <c r="SU5" t="s">
        <v>1845</v>
      </c>
      <c r="SV5">
        <v>2024</v>
      </c>
      <c r="SW5" t="s">
        <v>3340</v>
      </c>
      <c r="SX5" s="6">
        <v>45709</v>
      </c>
      <c r="SY5">
        <v>1</v>
      </c>
      <c r="SZ5">
        <v>49929</v>
      </c>
      <c r="TA5">
        <v>1713474</v>
      </c>
      <c r="TB5" t="s">
        <v>3341</v>
      </c>
      <c r="TE5" t="str">
        <f>_xll.BDS("AUB US Equity","SUPPLY_CHAIN_CUSTOMERS_ALL_DATA")</f>
        <v>#N/A N/A</v>
      </c>
      <c r="TU5" t="str">
        <f>_xll.BDS("EPD US Equity","SUPPLY_CHAIN_SUPPLIERS_ALL_DATA","cols=12;rows=5")</f>
        <v>MTDR US Equity</v>
      </c>
      <c r="TV5" t="s">
        <v>1786</v>
      </c>
      <c r="TW5">
        <v>11</v>
      </c>
      <c r="TX5">
        <v>0.78312800000000005</v>
      </c>
      <c r="TY5" t="s">
        <v>1745</v>
      </c>
      <c r="TZ5">
        <v>2024</v>
      </c>
      <c r="UA5" t="s">
        <v>2862</v>
      </c>
      <c r="UB5" s="6">
        <v>45713</v>
      </c>
      <c r="UC5">
        <v>5</v>
      </c>
      <c r="UD5">
        <v>96021256</v>
      </c>
      <c r="UE5">
        <v>15224879</v>
      </c>
      <c r="UF5" t="s">
        <v>2863</v>
      </c>
      <c r="UI5" t="str">
        <f>_xll.BDS("EPD US Equity","SUPPLY_CHAIN_CUSTOMERS_ALL_DATA","cols=12;rows=5")</f>
        <v>62647Z LN Equity</v>
      </c>
      <c r="UJ5">
        <v>11.5</v>
      </c>
      <c r="UL5">
        <v>-2.4245362661989844E-14</v>
      </c>
      <c r="UM5" t="s">
        <v>1745</v>
      </c>
      <c r="UN5">
        <v>2024</v>
      </c>
      <c r="UO5" t="s">
        <v>2870</v>
      </c>
      <c r="UP5" s="6">
        <v>45716</v>
      </c>
      <c r="UQ5">
        <v>5</v>
      </c>
      <c r="UR5">
        <v>1612500000</v>
      </c>
      <c r="US5">
        <v>958757</v>
      </c>
      <c r="UT5" t="s">
        <v>5272</v>
      </c>
      <c r="UY5" t="str">
        <f>_xll.BDS("SRE US Equity","SUPPLY_CHAIN_SUPPLIERS_ALL_DATA","cols=12;rows=5")</f>
        <v>PWR US Equity</v>
      </c>
      <c r="UZ5" t="s">
        <v>1820</v>
      </c>
      <c r="VA5">
        <v>2.421548</v>
      </c>
      <c r="VB5">
        <v>7.3187410000000002</v>
      </c>
      <c r="VC5" t="s">
        <v>1742</v>
      </c>
      <c r="VD5">
        <v>2025</v>
      </c>
      <c r="VE5" t="s">
        <v>2779</v>
      </c>
      <c r="VF5" s="6">
        <v>45975</v>
      </c>
      <c r="VG5">
        <v>5</v>
      </c>
      <c r="VH5">
        <v>184798208</v>
      </c>
      <c r="VI5">
        <v>305366</v>
      </c>
      <c r="VJ5" t="s">
        <v>2780</v>
      </c>
      <c r="VM5" t="str">
        <f>_xll.BDS("SRE US Equity","SUPPLY_CHAIN_CUSTOMERS_ALL_DATA","cols=12;rows=5")</f>
        <v>ARW US Equity</v>
      </c>
      <c r="VN5">
        <v>0.31648100000000001</v>
      </c>
      <c r="VO5" t="s">
        <v>1786</v>
      </c>
      <c r="VP5">
        <v>0.196909</v>
      </c>
      <c r="VQ5" t="s">
        <v>1809</v>
      </c>
      <c r="VR5">
        <v>2025</v>
      </c>
      <c r="VS5" t="s">
        <v>1815</v>
      </c>
      <c r="VT5" s="6">
        <v>45784</v>
      </c>
      <c r="VU5">
        <v>5</v>
      </c>
      <c r="VV5">
        <v>11893353</v>
      </c>
      <c r="VW5">
        <v>100115</v>
      </c>
      <c r="VX5" t="s">
        <v>1816</v>
      </c>
    </row>
    <row r="6" spans="1:600" x14ac:dyDescent="0.25">
      <c r="AS6" t="s">
        <v>246</v>
      </c>
      <c r="AT6">
        <v>-2.4245362661989844E-14</v>
      </c>
      <c r="AV6">
        <v>-2.4245362661989844E-14</v>
      </c>
      <c r="AW6" t="s">
        <v>1745</v>
      </c>
      <c r="AX6">
        <v>2023</v>
      </c>
      <c r="AY6" t="s">
        <v>3154</v>
      </c>
      <c r="AZ6" s="6">
        <v>44943</v>
      </c>
      <c r="BA6">
        <v>3</v>
      </c>
      <c r="BB6">
        <v>-2.4245362661989844E-14</v>
      </c>
      <c r="BC6">
        <v>46946968</v>
      </c>
      <c r="BD6" t="s">
        <v>1765</v>
      </c>
      <c r="BI6" t="s">
        <v>2820</v>
      </c>
      <c r="BJ6" t="s">
        <v>1786</v>
      </c>
      <c r="BK6">
        <v>7.7144000000000004E-2</v>
      </c>
      <c r="BL6">
        <v>0.39272200000000002</v>
      </c>
      <c r="BM6" t="s">
        <v>1809</v>
      </c>
      <c r="BN6">
        <v>2025</v>
      </c>
      <c r="BO6" t="s">
        <v>2821</v>
      </c>
      <c r="BP6" s="6">
        <v>45793</v>
      </c>
      <c r="BQ6">
        <v>5</v>
      </c>
      <c r="BR6">
        <v>487368</v>
      </c>
      <c r="BS6">
        <v>102417</v>
      </c>
      <c r="BT6" t="s">
        <v>2822</v>
      </c>
      <c r="BW6" t="s">
        <v>1761</v>
      </c>
      <c r="BX6">
        <v>3.4109419999999999</v>
      </c>
      <c r="BY6" t="s">
        <v>1786</v>
      </c>
      <c r="BZ6">
        <v>1.9692000000000001E-2</v>
      </c>
      <c r="CA6" t="s">
        <v>1845</v>
      </c>
      <c r="CB6">
        <v>2025</v>
      </c>
      <c r="CC6" t="s">
        <v>6194</v>
      </c>
      <c r="CD6" s="6">
        <v>45894</v>
      </c>
      <c r="CE6">
        <v>5</v>
      </c>
      <c r="CF6">
        <v>9908787</v>
      </c>
      <c r="CG6">
        <v>101695</v>
      </c>
      <c r="CH6" t="s">
        <v>1764</v>
      </c>
      <c r="EU6" t="s">
        <v>454</v>
      </c>
      <c r="EV6" t="s">
        <v>1786</v>
      </c>
      <c r="EW6">
        <v>3.0622020000000001</v>
      </c>
      <c r="EX6">
        <v>2.546176</v>
      </c>
      <c r="EY6" t="s">
        <v>1762</v>
      </c>
      <c r="EZ6">
        <v>2025</v>
      </c>
      <c r="FA6" t="s">
        <v>1877</v>
      </c>
      <c r="FB6" s="6">
        <v>45888</v>
      </c>
      <c r="FC6">
        <v>5</v>
      </c>
      <c r="FD6">
        <v>337546528</v>
      </c>
      <c r="FE6">
        <v>100632</v>
      </c>
      <c r="FF6" t="s">
        <v>1850</v>
      </c>
      <c r="FI6" t="s">
        <v>5919</v>
      </c>
      <c r="FJ6">
        <v>-2.4245362661989844E-14</v>
      </c>
      <c r="FL6">
        <v>-2.4245362661989844E-14</v>
      </c>
      <c r="FM6" t="s">
        <v>1745</v>
      </c>
      <c r="FN6">
        <v>2024</v>
      </c>
      <c r="FO6" t="s">
        <v>5920</v>
      </c>
      <c r="FP6" s="6">
        <v>45707</v>
      </c>
      <c r="FQ6">
        <v>5</v>
      </c>
      <c r="FR6">
        <v>-2.4245362661989844E-14</v>
      </c>
      <c r="FS6">
        <v>129220</v>
      </c>
      <c r="FT6" t="s">
        <v>5921</v>
      </c>
      <c r="FY6" t="s">
        <v>2978</v>
      </c>
      <c r="FZ6" t="s">
        <v>1769</v>
      </c>
      <c r="GA6">
        <v>0.89158300000000001</v>
      </c>
      <c r="GB6">
        <v>0.19925799999999999</v>
      </c>
      <c r="GC6" t="s">
        <v>1745</v>
      </c>
      <c r="GD6">
        <v>2024</v>
      </c>
      <c r="GE6" t="s">
        <v>2979</v>
      </c>
      <c r="GF6" s="6">
        <v>45694</v>
      </c>
      <c r="GG6">
        <v>5</v>
      </c>
      <c r="GH6">
        <v>1679000.25</v>
      </c>
      <c r="GI6">
        <v>106543</v>
      </c>
      <c r="GJ6" t="s">
        <v>2980</v>
      </c>
      <c r="GM6" t="s">
        <v>4240</v>
      </c>
      <c r="GN6">
        <v>0.112706</v>
      </c>
      <c r="GO6" t="s">
        <v>1786</v>
      </c>
      <c r="GP6">
        <v>3.4763000000000002E-2</v>
      </c>
      <c r="GQ6" t="s">
        <v>1809</v>
      </c>
      <c r="GR6">
        <v>2025</v>
      </c>
      <c r="GS6" t="s">
        <v>4241</v>
      </c>
      <c r="GT6" s="6">
        <v>45852</v>
      </c>
      <c r="GU6">
        <v>5</v>
      </c>
      <c r="GV6">
        <v>1103394.56</v>
      </c>
      <c r="GW6">
        <v>14866501</v>
      </c>
      <c r="GX6" t="s">
        <v>4242</v>
      </c>
      <c r="KO6" t="s">
        <v>2897</v>
      </c>
      <c r="KQ6">
        <v>-2.4245362661989844E-14</v>
      </c>
      <c r="KR6">
        <v>-2.4245362661989844E-14</v>
      </c>
      <c r="KS6" t="s">
        <v>1798</v>
      </c>
      <c r="KT6">
        <v>2023</v>
      </c>
      <c r="KU6" t="s">
        <v>2898</v>
      </c>
      <c r="KV6" s="6">
        <v>45243</v>
      </c>
      <c r="KW6">
        <v>5</v>
      </c>
      <c r="KX6">
        <v>-2.4245362661989844E-14</v>
      </c>
      <c r="KY6">
        <v>45369408</v>
      </c>
      <c r="KZ6" t="s">
        <v>2899</v>
      </c>
      <c r="LC6" t="s">
        <v>1789</v>
      </c>
      <c r="LD6">
        <v>-2.4245362661989844E-14</v>
      </c>
      <c r="LF6">
        <v>-2.4245362661989844E-14</v>
      </c>
      <c r="LG6" t="s">
        <v>1745</v>
      </c>
      <c r="LH6">
        <v>2023</v>
      </c>
      <c r="LI6" t="s">
        <v>5438</v>
      </c>
      <c r="LJ6" s="6">
        <v>45013</v>
      </c>
      <c r="LK6">
        <v>5</v>
      </c>
      <c r="LL6">
        <v>-2.4245362661989844E-14</v>
      </c>
      <c r="LM6">
        <v>117929</v>
      </c>
      <c r="LN6" t="s">
        <v>1791</v>
      </c>
      <c r="OA6" t="s">
        <v>5256</v>
      </c>
      <c r="OC6">
        <v>-2.4245362661989844E-14</v>
      </c>
      <c r="OD6">
        <v>-2.4245362661989844E-14</v>
      </c>
      <c r="OE6" t="s">
        <v>1809</v>
      </c>
      <c r="OF6">
        <v>2024</v>
      </c>
      <c r="OG6" t="s">
        <v>5257</v>
      </c>
      <c r="OH6" s="6">
        <v>45420</v>
      </c>
      <c r="OI6">
        <v>2</v>
      </c>
      <c r="OJ6">
        <v>-2.4245362661989844E-14</v>
      </c>
      <c r="OK6">
        <v>69417624</v>
      </c>
      <c r="OL6" t="s">
        <v>5258</v>
      </c>
      <c r="QI6" t="s">
        <v>5120</v>
      </c>
      <c r="QK6">
        <v>-2.4245362661989844E-14</v>
      </c>
      <c r="QL6">
        <v>-2.4245362661989844E-14</v>
      </c>
      <c r="QM6" t="s">
        <v>1745</v>
      </c>
      <c r="QN6">
        <v>2021</v>
      </c>
      <c r="QO6" t="s">
        <v>5121</v>
      </c>
      <c r="QP6" s="6">
        <v>44651</v>
      </c>
      <c r="QQ6">
        <v>2</v>
      </c>
      <c r="QR6">
        <v>-2.4245362661989844E-14</v>
      </c>
      <c r="QS6">
        <v>106461</v>
      </c>
      <c r="QT6" t="s">
        <v>5122</v>
      </c>
      <c r="RM6" t="s">
        <v>454</v>
      </c>
      <c r="RN6" t="s">
        <v>1786</v>
      </c>
      <c r="RO6">
        <v>9.2636719999999997</v>
      </c>
      <c r="RP6">
        <v>5.0267530000000002</v>
      </c>
      <c r="RQ6" t="s">
        <v>1762</v>
      </c>
      <c r="RR6">
        <v>2025</v>
      </c>
      <c r="RS6" t="s">
        <v>1877</v>
      </c>
      <c r="RT6" s="6">
        <v>45888</v>
      </c>
      <c r="RU6">
        <v>5</v>
      </c>
      <c r="RV6">
        <v>1021134592</v>
      </c>
      <c r="RW6">
        <v>100632</v>
      </c>
      <c r="RX6" t="s">
        <v>1850</v>
      </c>
      <c r="SA6" t="s">
        <v>1880</v>
      </c>
      <c r="SB6">
        <v>4.6894470000000004</v>
      </c>
      <c r="SC6" t="s">
        <v>1820</v>
      </c>
      <c r="SD6">
        <v>82.890625</v>
      </c>
      <c r="SE6" t="s">
        <v>1762</v>
      </c>
      <c r="SF6">
        <v>2025</v>
      </c>
      <c r="SG6" t="s">
        <v>3484</v>
      </c>
      <c r="SH6" s="6">
        <v>45873</v>
      </c>
      <c r="SI6">
        <v>5</v>
      </c>
      <c r="SJ6">
        <v>1066802304</v>
      </c>
      <c r="SK6">
        <v>10451815</v>
      </c>
      <c r="SL6" t="s">
        <v>1881</v>
      </c>
      <c r="TU6" t="s">
        <v>2864</v>
      </c>
      <c r="TV6" t="s">
        <v>1786</v>
      </c>
      <c r="TW6">
        <v>4.7074870000000004</v>
      </c>
      <c r="TX6">
        <v>0.56672500000000003</v>
      </c>
      <c r="TY6" t="s">
        <v>1809</v>
      </c>
      <c r="TZ6">
        <v>2025</v>
      </c>
      <c r="UA6" t="s">
        <v>2865</v>
      </c>
      <c r="UB6" s="6">
        <v>45863</v>
      </c>
      <c r="UC6">
        <v>5</v>
      </c>
      <c r="UD6">
        <v>77584656</v>
      </c>
      <c r="UE6">
        <v>10832677</v>
      </c>
      <c r="UF6" t="s">
        <v>2866</v>
      </c>
      <c r="UI6" t="s">
        <v>5273</v>
      </c>
      <c r="UJ6">
        <v>0.57596999999999998</v>
      </c>
      <c r="UK6" t="s">
        <v>1786</v>
      </c>
      <c r="UL6">
        <v>1.024999</v>
      </c>
      <c r="UM6" t="s">
        <v>1845</v>
      </c>
      <c r="UN6">
        <v>2025</v>
      </c>
      <c r="UO6" t="s">
        <v>5274</v>
      </c>
      <c r="UP6" s="6">
        <v>46076</v>
      </c>
      <c r="UQ6">
        <v>5</v>
      </c>
      <c r="UR6">
        <v>69248928</v>
      </c>
      <c r="US6">
        <v>9932803</v>
      </c>
      <c r="UT6" t="s">
        <v>5275</v>
      </c>
      <c r="UY6" t="s">
        <v>3830</v>
      </c>
      <c r="UZ6" t="s">
        <v>1820</v>
      </c>
      <c r="VA6">
        <v>0.32771400000000001</v>
      </c>
      <c r="VB6">
        <v>1.0678909999999999</v>
      </c>
      <c r="VC6" t="s">
        <v>1762</v>
      </c>
      <c r="VD6">
        <v>2026</v>
      </c>
      <c r="VE6" t="s">
        <v>4615</v>
      </c>
      <c r="VF6" s="6">
        <v>46080</v>
      </c>
      <c r="VG6">
        <v>5</v>
      </c>
      <c r="VH6">
        <v>26974857.350000001</v>
      </c>
      <c r="VI6">
        <v>114155</v>
      </c>
      <c r="VJ6" t="s">
        <v>3831</v>
      </c>
      <c r="VM6" t="s">
        <v>2026</v>
      </c>
      <c r="VN6">
        <v>-2.4245362661989844E-14</v>
      </c>
      <c r="VP6">
        <v>-2.4245362661989844E-14</v>
      </c>
      <c r="VQ6" t="s">
        <v>1745</v>
      </c>
      <c r="VR6">
        <v>2021</v>
      </c>
      <c r="VS6" t="s">
        <v>2027</v>
      </c>
      <c r="VT6" s="6">
        <v>44693</v>
      </c>
      <c r="VU6">
        <v>5</v>
      </c>
      <c r="VV6">
        <v>-2.4245362661989844E-14</v>
      </c>
      <c r="VW6">
        <v>117832</v>
      </c>
      <c r="VX6" t="s">
        <v>2028</v>
      </c>
    </row>
    <row r="7" spans="1:600" x14ac:dyDescent="0.25">
      <c r="AS7" t="s">
        <v>1044</v>
      </c>
      <c r="AT7">
        <v>-2.4245362661989844E-14</v>
      </c>
      <c r="AV7">
        <v>-2.4245362661989844E-14</v>
      </c>
      <c r="AW7" t="s">
        <v>1745</v>
      </c>
      <c r="AX7">
        <v>2025</v>
      </c>
      <c r="AY7" t="s">
        <v>3154</v>
      </c>
      <c r="AZ7" s="6">
        <v>46007</v>
      </c>
      <c r="BA7">
        <v>3</v>
      </c>
      <c r="BB7">
        <v>-2.4245362661989844E-14</v>
      </c>
      <c r="BC7">
        <v>107071</v>
      </c>
      <c r="BD7" t="s">
        <v>3156</v>
      </c>
      <c r="BI7" t="s">
        <v>2853</v>
      </c>
      <c r="BJ7" t="s">
        <v>1786</v>
      </c>
      <c r="BK7">
        <v>1.5336000000000001E-2</v>
      </c>
      <c r="BL7">
        <v>6.4000000000000005E-4</v>
      </c>
      <c r="BM7" t="s">
        <v>1845</v>
      </c>
      <c r="BN7">
        <v>2025</v>
      </c>
      <c r="BO7" t="s">
        <v>2854</v>
      </c>
      <c r="BP7" s="6">
        <v>45984</v>
      </c>
      <c r="BQ7">
        <v>5</v>
      </c>
      <c r="BR7">
        <v>777.3</v>
      </c>
      <c r="BS7">
        <v>31895721</v>
      </c>
      <c r="BT7" t="s">
        <v>2855</v>
      </c>
      <c r="BW7" t="s">
        <v>1287</v>
      </c>
      <c r="BX7">
        <v>3.3635120000000001</v>
      </c>
      <c r="BY7" t="s">
        <v>1820</v>
      </c>
      <c r="BZ7">
        <v>0.192884</v>
      </c>
      <c r="CA7" t="s">
        <v>1845</v>
      </c>
      <c r="CB7">
        <v>2025</v>
      </c>
      <c r="CC7" t="s">
        <v>6194</v>
      </c>
      <c r="CD7" s="6">
        <v>45894</v>
      </c>
      <c r="CE7">
        <v>5</v>
      </c>
      <c r="CF7">
        <v>9771002</v>
      </c>
      <c r="CG7">
        <v>101376</v>
      </c>
      <c r="CH7" t="s">
        <v>1895</v>
      </c>
      <c r="EU7" t="s">
        <v>1054</v>
      </c>
      <c r="EV7" t="s">
        <v>1786</v>
      </c>
      <c r="EW7">
        <v>1.2661089999999999</v>
      </c>
      <c r="EX7">
        <v>2.0610919999999999</v>
      </c>
      <c r="EY7" t="s">
        <v>1762</v>
      </c>
      <c r="EZ7">
        <v>2025</v>
      </c>
      <c r="FA7" t="s">
        <v>3638</v>
      </c>
      <c r="FB7" s="6">
        <v>45895</v>
      </c>
      <c r="FC7">
        <v>5</v>
      </c>
      <c r="FD7">
        <v>273238976</v>
      </c>
      <c r="FE7">
        <v>101555</v>
      </c>
      <c r="FF7" t="s">
        <v>1848</v>
      </c>
      <c r="FI7" t="s">
        <v>5922</v>
      </c>
      <c r="FJ7">
        <v>-2.4245362661989844E-14</v>
      </c>
      <c r="FL7">
        <v>-2.4245362661989844E-14</v>
      </c>
      <c r="FM7" t="s">
        <v>1745</v>
      </c>
      <c r="FN7">
        <v>2025</v>
      </c>
      <c r="FO7" t="s">
        <v>5923</v>
      </c>
      <c r="FP7" s="6">
        <v>45755</v>
      </c>
      <c r="FQ7">
        <v>5</v>
      </c>
      <c r="FR7">
        <v>-2.4245362661989844E-14</v>
      </c>
      <c r="FS7">
        <v>17681995</v>
      </c>
      <c r="FT7" t="s">
        <v>5924</v>
      </c>
      <c r="FY7" t="s">
        <v>4355</v>
      </c>
      <c r="FZ7" t="s">
        <v>1786</v>
      </c>
      <c r="GA7">
        <v>10.91</v>
      </c>
      <c r="GB7">
        <v>0.11763700000000001</v>
      </c>
      <c r="GC7" t="s">
        <v>1745</v>
      </c>
      <c r="GD7">
        <v>2025</v>
      </c>
      <c r="GE7" t="s">
        <v>4356</v>
      </c>
      <c r="GF7" s="6">
        <v>45895</v>
      </c>
      <c r="GG7">
        <v>5</v>
      </c>
      <c r="GH7">
        <v>1168969.1100000001</v>
      </c>
      <c r="GI7">
        <v>59709175</v>
      </c>
      <c r="GJ7" t="s">
        <v>4357</v>
      </c>
      <c r="GM7" t="s">
        <v>1833</v>
      </c>
      <c r="GN7">
        <v>5.6222000000000001E-2</v>
      </c>
      <c r="GO7" t="s">
        <v>1786</v>
      </c>
      <c r="GP7">
        <v>4.2040000000000003E-3</v>
      </c>
      <c r="GQ7" t="s">
        <v>1809</v>
      </c>
      <c r="GR7">
        <v>2026</v>
      </c>
      <c r="GS7" t="s">
        <v>1834</v>
      </c>
      <c r="GT7" s="6">
        <v>45898</v>
      </c>
      <c r="GU7">
        <v>5</v>
      </c>
      <c r="GV7">
        <v>892021.61</v>
      </c>
      <c r="GW7">
        <v>112370</v>
      </c>
      <c r="GX7" t="s">
        <v>1835</v>
      </c>
      <c r="KO7" t="s">
        <v>2900</v>
      </c>
      <c r="KQ7">
        <v>-2.4245362661989844E-14</v>
      </c>
      <c r="KR7">
        <v>-2.4245362661989844E-14</v>
      </c>
      <c r="KS7" t="s">
        <v>1745</v>
      </c>
      <c r="KT7">
        <v>2022</v>
      </c>
      <c r="KU7" t="s">
        <v>2901</v>
      </c>
      <c r="KV7" s="6">
        <v>45044</v>
      </c>
      <c r="KW7">
        <v>5</v>
      </c>
      <c r="KX7">
        <v>-2.4245362661989844E-14</v>
      </c>
      <c r="KY7">
        <v>64315983</v>
      </c>
      <c r="KZ7" t="s">
        <v>2902</v>
      </c>
      <c r="LC7" t="s">
        <v>5439</v>
      </c>
      <c r="LD7">
        <v>-2.4245362661989844E-14</v>
      </c>
      <c r="LF7">
        <v>-2.4245362661989844E-14</v>
      </c>
      <c r="LG7" t="s">
        <v>1745</v>
      </c>
      <c r="LH7">
        <v>2022</v>
      </c>
      <c r="LI7" t="s">
        <v>2904</v>
      </c>
      <c r="LJ7" s="6">
        <v>44838</v>
      </c>
      <c r="LK7">
        <v>5</v>
      </c>
      <c r="LL7">
        <v>-2.4245362661989844E-14</v>
      </c>
      <c r="LM7">
        <v>938937</v>
      </c>
      <c r="LN7" t="s">
        <v>5440</v>
      </c>
      <c r="RM7" t="s">
        <v>3922</v>
      </c>
      <c r="RN7" t="s">
        <v>1786</v>
      </c>
      <c r="RO7">
        <v>60.029015000000001</v>
      </c>
      <c r="RP7">
        <v>3.711055</v>
      </c>
      <c r="RQ7" t="s">
        <v>1742</v>
      </c>
      <c r="RR7">
        <v>2025</v>
      </c>
      <c r="RS7" t="s">
        <v>3923</v>
      </c>
      <c r="RT7" s="6">
        <v>45961</v>
      </c>
      <c r="RU7">
        <v>5</v>
      </c>
      <c r="RV7">
        <v>951700000</v>
      </c>
      <c r="RW7">
        <v>10889459</v>
      </c>
      <c r="RX7" t="s">
        <v>3924</v>
      </c>
      <c r="SA7" t="s">
        <v>641</v>
      </c>
      <c r="SB7">
        <v>2.7308349999999999</v>
      </c>
      <c r="SC7" t="s">
        <v>1820</v>
      </c>
      <c r="SD7">
        <v>97.832702999999995</v>
      </c>
      <c r="SE7" t="s">
        <v>1762</v>
      </c>
      <c r="SF7">
        <v>2025</v>
      </c>
      <c r="SG7" t="s">
        <v>3484</v>
      </c>
      <c r="SH7" s="6">
        <v>45873</v>
      </c>
      <c r="SI7">
        <v>5</v>
      </c>
      <c r="SJ7">
        <v>621237632</v>
      </c>
      <c r="SK7">
        <v>101374</v>
      </c>
      <c r="SL7" t="s">
        <v>3126</v>
      </c>
      <c r="TU7" t="s">
        <v>526</v>
      </c>
      <c r="TV7" t="s">
        <v>1820</v>
      </c>
      <c r="TW7">
        <v>0.57097699999999996</v>
      </c>
      <c r="TX7">
        <v>2.229968</v>
      </c>
      <c r="TY7" t="s">
        <v>1742</v>
      </c>
      <c r="TZ7">
        <v>2025</v>
      </c>
      <c r="UA7" t="s">
        <v>2779</v>
      </c>
      <c r="UB7" s="6">
        <v>45975</v>
      </c>
      <c r="UC7">
        <v>5</v>
      </c>
      <c r="UD7">
        <v>43573584</v>
      </c>
      <c r="UE7">
        <v>305366</v>
      </c>
      <c r="UF7" t="s">
        <v>2780</v>
      </c>
      <c r="UI7" t="s">
        <v>4996</v>
      </c>
      <c r="UJ7">
        <v>4.0911000000000003E-2</v>
      </c>
      <c r="UK7" t="s">
        <v>1786</v>
      </c>
      <c r="UL7">
        <v>0.108488</v>
      </c>
      <c r="UM7" t="s">
        <v>1745</v>
      </c>
      <c r="UN7">
        <v>2024</v>
      </c>
      <c r="UO7" t="s">
        <v>2870</v>
      </c>
      <c r="UP7" s="6">
        <v>45716</v>
      </c>
      <c r="UQ7">
        <v>5</v>
      </c>
      <c r="UR7">
        <v>5749939</v>
      </c>
      <c r="US7">
        <v>109548</v>
      </c>
      <c r="UT7" t="s">
        <v>4997</v>
      </c>
      <c r="UY7" t="s">
        <v>5712</v>
      </c>
      <c r="UZ7" t="s">
        <v>1820</v>
      </c>
      <c r="VA7">
        <v>1.324646</v>
      </c>
      <c r="VB7">
        <v>0.54658899999999999</v>
      </c>
      <c r="VC7" t="s">
        <v>1845</v>
      </c>
      <c r="VD7">
        <v>2025</v>
      </c>
      <c r="VE7" t="s">
        <v>5775</v>
      </c>
      <c r="VF7" s="6">
        <v>46053</v>
      </c>
      <c r="VG7">
        <v>5</v>
      </c>
      <c r="VH7">
        <v>13801367</v>
      </c>
      <c r="VI7">
        <v>69755265</v>
      </c>
      <c r="VJ7" t="s">
        <v>5714</v>
      </c>
      <c r="VM7" t="s">
        <v>2029</v>
      </c>
      <c r="VN7">
        <v>-2.4245362661989844E-14</v>
      </c>
      <c r="VP7">
        <v>-2.4245362661989844E-14</v>
      </c>
      <c r="VQ7" t="s">
        <v>1745</v>
      </c>
      <c r="VR7">
        <v>2021</v>
      </c>
      <c r="VS7" t="s">
        <v>2027</v>
      </c>
      <c r="VT7" s="6">
        <v>44693</v>
      </c>
      <c r="VU7">
        <v>5</v>
      </c>
      <c r="VV7">
        <v>-2.4245362661989844E-14</v>
      </c>
      <c r="VW7">
        <v>128948</v>
      </c>
      <c r="VX7" t="s">
        <v>2030</v>
      </c>
    </row>
    <row r="8" spans="1:600" x14ac:dyDescent="0.25">
      <c r="BI8" t="s">
        <v>2856</v>
      </c>
      <c r="BK8">
        <v>-2.4245362661989844E-14</v>
      </c>
      <c r="BL8">
        <v>-2.4245362661989844E-14</v>
      </c>
      <c r="BM8" t="s">
        <v>1745</v>
      </c>
      <c r="BN8">
        <v>2026</v>
      </c>
      <c r="BO8" t="s">
        <v>2857</v>
      </c>
      <c r="BP8" s="6">
        <v>46042</v>
      </c>
      <c r="BQ8">
        <v>5</v>
      </c>
      <c r="BR8">
        <v>-2.4245362661989844E-14</v>
      </c>
      <c r="BS8">
        <v>69341782</v>
      </c>
      <c r="BT8" t="s">
        <v>2858</v>
      </c>
      <c r="BW8" t="s">
        <v>167</v>
      </c>
      <c r="BX8">
        <v>2.8136109999999999</v>
      </c>
      <c r="BY8" t="s">
        <v>1786</v>
      </c>
      <c r="BZ8">
        <v>0.16223799999999999</v>
      </c>
      <c r="CA8" t="s">
        <v>1845</v>
      </c>
      <c r="CB8">
        <v>2025</v>
      </c>
      <c r="CC8" t="s">
        <v>6194</v>
      </c>
      <c r="CD8" s="6">
        <v>45894</v>
      </c>
      <c r="CE8">
        <v>5</v>
      </c>
      <c r="CF8">
        <v>8173540</v>
      </c>
      <c r="CG8">
        <v>69423747</v>
      </c>
      <c r="CH8" t="s">
        <v>2036</v>
      </c>
      <c r="EU8" t="s">
        <v>5892</v>
      </c>
      <c r="EV8" t="s">
        <v>1786</v>
      </c>
      <c r="EW8">
        <v>-2.4245362661989844E-14</v>
      </c>
      <c r="EX8">
        <v>1.3072379999999999</v>
      </c>
      <c r="EY8" t="s">
        <v>1742</v>
      </c>
      <c r="EZ8">
        <v>2025</v>
      </c>
      <c r="FA8" t="s">
        <v>5893</v>
      </c>
      <c r="FB8" s="6">
        <v>45953</v>
      </c>
      <c r="FC8">
        <v>5</v>
      </c>
      <c r="FD8">
        <v>177000000</v>
      </c>
      <c r="FE8">
        <v>1757856</v>
      </c>
      <c r="FF8" t="s">
        <v>5894</v>
      </c>
      <c r="FI8" t="s">
        <v>5925</v>
      </c>
      <c r="FJ8">
        <v>-2.4245362661989844E-14</v>
      </c>
      <c r="FL8">
        <v>-2.4245362661989844E-14</v>
      </c>
      <c r="FM8" t="s">
        <v>1745</v>
      </c>
      <c r="FN8">
        <v>2024</v>
      </c>
      <c r="FO8" t="s">
        <v>5920</v>
      </c>
      <c r="FP8" s="6">
        <v>45707</v>
      </c>
      <c r="FQ8">
        <v>5</v>
      </c>
      <c r="FR8">
        <v>-2.4245362661989844E-14</v>
      </c>
      <c r="FS8">
        <v>901570</v>
      </c>
      <c r="FT8" t="s">
        <v>5926</v>
      </c>
      <c r="FY8" t="s">
        <v>3797</v>
      </c>
      <c r="FZ8" t="s">
        <v>1769</v>
      </c>
      <c r="GA8">
        <v>1.061577</v>
      </c>
      <c r="GB8">
        <v>0.111747</v>
      </c>
      <c r="GC8" t="s">
        <v>1745</v>
      </c>
      <c r="GD8">
        <v>2024</v>
      </c>
      <c r="GE8" t="s">
        <v>4358</v>
      </c>
      <c r="GF8" s="6">
        <v>45715</v>
      </c>
      <c r="GG8">
        <v>5</v>
      </c>
      <c r="GH8">
        <v>941885.68</v>
      </c>
      <c r="GI8">
        <v>111471</v>
      </c>
      <c r="GJ8" t="s">
        <v>3799</v>
      </c>
      <c r="GM8" t="s">
        <v>2374</v>
      </c>
      <c r="GN8">
        <v>4.8826000000000001E-2</v>
      </c>
      <c r="GO8" t="s">
        <v>1769</v>
      </c>
      <c r="GP8">
        <v>0.96890200000000004</v>
      </c>
      <c r="GQ8" t="s">
        <v>1745</v>
      </c>
      <c r="GR8">
        <v>2025</v>
      </c>
      <c r="GS8" t="s">
        <v>4243</v>
      </c>
      <c r="GT8" s="6">
        <v>46079</v>
      </c>
      <c r="GU8">
        <v>5</v>
      </c>
      <c r="GV8">
        <v>599999.75</v>
      </c>
      <c r="GW8">
        <v>11937231</v>
      </c>
      <c r="GX8" t="s">
        <v>2376</v>
      </c>
      <c r="KO8" t="s">
        <v>2903</v>
      </c>
      <c r="KQ8">
        <v>-2.4245362661989844E-14</v>
      </c>
      <c r="KR8">
        <v>-2.4245362661989844E-14</v>
      </c>
      <c r="KS8" t="s">
        <v>1745</v>
      </c>
      <c r="KT8">
        <v>2023</v>
      </c>
      <c r="KU8" t="s">
        <v>2904</v>
      </c>
      <c r="KV8" s="6">
        <v>45040</v>
      </c>
      <c r="KW8">
        <v>5</v>
      </c>
      <c r="KX8">
        <v>-2.4245362661989844E-14</v>
      </c>
      <c r="KY8">
        <v>23836246</v>
      </c>
      <c r="KZ8" t="s">
        <v>2905</v>
      </c>
      <c r="LC8" t="s">
        <v>5441</v>
      </c>
      <c r="LD8">
        <v>-2.4245362661989844E-14</v>
      </c>
      <c r="LF8">
        <v>-2.4245362661989844E-14</v>
      </c>
      <c r="LG8" t="s">
        <v>1745</v>
      </c>
      <c r="LH8">
        <v>2022</v>
      </c>
      <c r="LI8" t="s">
        <v>5442</v>
      </c>
      <c r="LJ8" s="6">
        <v>44644</v>
      </c>
      <c r="LK8">
        <v>5</v>
      </c>
      <c r="LL8">
        <v>-2.4245362661989844E-14</v>
      </c>
      <c r="LM8">
        <v>29964655</v>
      </c>
      <c r="LN8" t="s">
        <v>5443</v>
      </c>
      <c r="RM8" t="s">
        <v>2422</v>
      </c>
      <c r="RN8" t="s">
        <v>1786</v>
      </c>
      <c r="RO8">
        <v>8.8706060000000004</v>
      </c>
      <c r="RP8">
        <v>3.6796890000000002</v>
      </c>
      <c r="RQ8" t="s">
        <v>1762</v>
      </c>
      <c r="RR8">
        <v>2025</v>
      </c>
      <c r="RS8" t="s">
        <v>2423</v>
      </c>
      <c r="RT8" s="6">
        <v>45874</v>
      </c>
      <c r="RU8">
        <v>5</v>
      </c>
      <c r="RV8">
        <v>747193502.53999996</v>
      </c>
      <c r="RW8">
        <v>115519</v>
      </c>
      <c r="RX8" t="s">
        <v>2424</v>
      </c>
      <c r="SA8" t="s">
        <v>3650</v>
      </c>
      <c r="SB8">
        <v>2.61008</v>
      </c>
      <c r="SC8" t="s">
        <v>1820</v>
      </c>
      <c r="SD8">
        <v>70.823989999999995</v>
      </c>
      <c r="SE8" t="s">
        <v>1762</v>
      </c>
      <c r="SF8">
        <v>2025</v>
      </c>
      <c r="SG8" t="s">
        <v>3484</v>
      </c>
      <c r="SH8" s="6">
        <v>45873</v>
      </c>
      <c r="SI8">
        <v>5</v>
      </c>
      <c r="SJ8">
        <v>593767104</v>
      </c>
      <c r="SK8">
        <v>19450730</v>
      </c>
      <c r="SL8" t="s">
        <v>3651</v>
      </c>
      <c r="TU8" t="s">
        <v>1379</v>
      </c>
      <c r="TV8" t="s">
        <v>1820</v>
      </c>
      <c r="TW8">
        <v>6.157108</v>
      </c>
      <c r="TX8">
        <v>1.810521</v>
      </c>
      <c r="TY8" t="s">
        <v>1762</v>
      </c>
      <c r="TZ8">
        <v>2025</v>
      </c>
      <c r="UA8" t="s">
        <v>2867</v>
      </c>
      <c r="UB8" s="6">
        <v>45929</v>
      </c>
      <c r="UC8">
        <v>5</v>
      </c>
      <c r="UD8">
        <v>23591082</v>
      </c>
      <c r="UE8">
        <v>13070762</v>
      </c>
      <c r="UF8" t="s">
        <v>2868</v>
      </c>
      <c r="UI8" t="s">
        <v>5146</v>
      </c>
      <c r="UJ8">
        <v>3.5721000000000003E-2</v>
      </c>
      <c r="UK8" t="s">
        <v>1786</v>
      </c>
      <c r="UL8">
        <v>0.41368700000000003</v>
      </c>
      <c r="UM8" t="s">
        <v>1845</v>
      </c>
      <c r="UN8">
        <v>2025</v>
      </c>
      <c r="UO8" t="s">
        <v>5147</v>
      </c>
      <c r="UP8" s="6">
        <v>46086</v>
      </c>
      <c r="UQ8">
        <v>5</v>
      </c>
      <c r="UR8">
        <v>4927012</v>
      </c>
      <c r="US8">
        <v>9188256</v>
      </c>
      <c r="UT8" t="s">
        <v>5148</v>
      </c>
      <c r="UY8" t="s">
        <v>2864</v>
      </c>
      <c r="UZ8" t="s">
        <v>1786</v>
      </c>
      <c r="VA8">
        <v>0.38901999999999998</v>
      </c>
      <c r="VB8">
        <v>0.96558500000000003</v>
      </c>
      <c r="VC8" t="s">
        <v>1809</v>
      </c>
      <c r="VD8">
        <v>2025</v>
      </c>
      <c r="VE8" t="s">
        <v>2865</v>
      </c>
      <c r="VF8" s="6">
        <v>45863</v>
      </c>
      <c r="VG8">
        <v>5</v>
      </c>
      <c r="VH8">
        <v>6411485</v>
      </c>
      <c r="VI8">
        <v>10832677</v>
      </c>
      <c r="VJ8" t="s">
        <v>2866</v>
      </c>
      <c r="VM8" t="s">
        <v>2031</v>
      </c>
      <c r="VN8">
        <v>-2.4245362661989844E-14</v>
      </c>
      <c r="VP8">
        <v>-2.4245362661989844E-14</v>
      </c>
      <c r="VQ8" t="s">
        <v>1745</v>
      </c>
      <c r="VR8">
        <v>2021</v>
      </c>
      <c r="VS8" t="s">
        <v>2027</v>
      </c>
      <c r="VT8" s="6">
        <v>44693</v>
      </c>
      <c r="VU8">
        <v>5</v>
      </c>
      <c r="VV8">
        <v>-2.4245362661989844E-14</v>
      </c>
      <c r="VW8">
        <v>129402</v>
      </c>
      <c r="VX8" t="s">
        <v>2032</v>
      </c>
    </row>
    <row r="9" spans="1:600" x14ac:dyDescent="0.25">
      <c r="BI9" t="s">
        <v>2859</v>
      </c>
      <c r="BK9">
        <v>-2.4245362661989844E-14</v>
      </c>
      <c r="BL9">
        <v>-2.4245362661989844E-14</v>
      </c>
      <c r="BM9" t="s">
        <v>1745</v>
      </c>
      <c r="BN9">
        <v>2021</v>
      </c>
      <c r="BO9" t="s">
        <v>2860</v>
      </c>
      <c r="BP9" s="6">
        <v>44693</v>
      </c>
      <c r="BQ9">
        <v>5</v>
      </c>
      <c r="BR9">
        <v>-2.4245362661989844E-14</v>
      </c>
      <c r="BS9">
        <v>54282724</v>
      </c>
      <c r="BT9" t="s">
        <v>2861</v>
      </c>
      <c r="BW9" t="s">
        <v>2174</v>
      </c>
      <c r="BX9">
        <v>2.2803619999999998</v>
      </c>
      <c r="BY9" t="s">
        <v>1786</v>
      </c>
      <c r="BZ9">
        <v>0.22684099999999999</v>
      </c>
      <c r="CA9" t="s">
        <v>1845</v>
      </c>
      <c r="CB9">
        <v>2025</v>
      </c>
      <c r="CC9" t="s">
        <v>6194</v>
      </c>
      <c r="CD9" s="6">
        <v>45894</v>
      </c>
      <c r="CE9">
        <v>5</v>
      </c>
      <c r="CF9">
        <v>6624452</v>
      </c>
      <c r="CG9">
        <v>115790</v>
      </c>
      <c r="CH9" t="s">
        <v>2175</v>
      </c>
      <c r="EU9" t="s">
        <v>5895</v>
      </c>
      <c r="EV9" t="s">
        <v>1786</v>
      </c>
      <c r="EW9">
        <v>-2.4245362661989844E-14</v>
      </c>
      <c r="EX9">
        <v>1.312514</v>
      </c>
      <c r="EY9" t="s">
        <v>1762</v>
      </c>
      <c r="EZ9">
        <v>2025</v>
      </c>
      <c r="FA9" t="s">
        <v>5896</v>
      </c>
      <c r="FB9" s="6">
        <v>45862</v>
      </c>
      <c r="FC9">
        <v>5</v>
      </c>
      <c r="FD9">
        <v>174000000</v>
      </c>
      <c r="FE9">
        <v>946362</v>
      </c>
      <c r="FF9" t="s">
        <v>5897</v>
      </c>
      <c r="FI9" t="s">
        <v>5927</v>
      </c>
      <c r="FJ9">
        <v>-2.4245362661989844E-14</v>
      </c>
      <c r="FL9">
        <v>-2.4245362661989844E-14</v>
      </c>
      <c r="FM9" t="s">
        <v>1745</v>
      </c>
      <c r="FN9">
        <v>2024</v>
      </c>
      <c r="FO9" t="s">
        <v>5920</v>
      </c>
      <c r="FP9" s="6">
        <v>45707</v>
      </c>
      <c r="FQ9">
        <v>5</v>
      </c>
      <c r="FR9">
        <v>-2.4245362661989844E-14</v>
      </c>
      <c r="FS9">
        <v>27010988</v>
      </c>
      <c r="FT9" t="s">
        <v>5928</v>
      </c>
      <c r="FY9" t="s">
        <v>2677</v>
      </c>
      <c r="FZ9" t="s">
        <v>1786</v>
      </c>
      <c r="GA9">
        <v>2.7688999999999998E-2</v>
      </c>
      <c r="GB9">
        <v>6.7176E-2</v>
      </c>
      <c r="GC9" t="s">
        <v>1742</v>
      </c>
      <c r="GD9">
        <v>2025</v>
      </c>
      <c r="GE9" t="s">
        <v>2678</v>
      </c>
      <c r="GF9" s="6">
        <v>45974</v>
      </c>
      <c r="GG9">
        <v>5</v>
      </c>
      <c r="GH9">
        <v>679247.66</v>
      </c>
      <c r="GI9">
        <v>193571</v>
      </c>
      <c r="GJ9" t="s">
        <v>2679</v>
      </c>
      <c r="GM9" t="s">
        <v>1870</v>
      </c>
      <c r="GN9">
        <v>4.4743999999999999E-2</v>
      </c>
      <c r="GO9" t="s">
        <v>1786</v>
      </c>
      <c r="GP9">
        <v>1.0747E-2</v>
      </c>
      <c r="GQ9" t="s">
        <v>1809</v>
      </c>
      <c r="GR9">
        <v>2025</v>
      </c>
      <c r="GS9" t="s">
        <v>1871</v>
      </c>
      <c r="GT9" s="6">
        <v>45820</v>
      </c>
      <c r="GU9">
        <v>5</v>
      </c>
      <c r="GV9">
        <v>438134</v>
      </c>
      <c r="GW9">
        <v>12129192</v>
      </c>
      <c r="GX9" t="s">
        <v>1872</v>
      </c>
      <c r="KO9" t="s">
        <v>2906</v>
      </c>
      <c r="KQ9">
        <v>-2.4245362661989844E-14</v>
      </c>
      <c r="KR9">
        <v>-2.4245362661989844E-14</v>
      </c>
      <c r="KS9" t="s">
        <v>1745</v>
      </c>
      <c r="KT9">
        <v>2023</v>
      </c>
      <c r="KU9" t="s">
        <v>2907</v>
      </c>
      <c r="KV9" s="6">
        <v>45005</v>
      </c>
      <c r="KW9">
        <v>5</v>
      </c>
      <c r="KX9">
        <v>-2.4245362661989844E-14</v>
      </c>
      <c r="KY9">
        <v>17481581</v>
      </c>
      <c r="KZ9" t="s">
        <v>2908</v>
      </c>
      <c r="LC9" t="s">
        <v>5444</v>
      </c>
      <c r="LD9">
        <v>-2.4245362661989844E-14</v>
      </c>
      <c r="LF9">
        <v>-2.4245362661989844E-14</v>
      </c>
      <c r="LG9" t="s">
        <v>1798</v>
      </c>
      <c r="LH9">
        <v>2023</v>
      </c>
      <c r="LI9" t="s">
        <v>5445</v>
      </c>
      <c r="LJ9" s="6">
        <v>45244</v>
      </c>
      <c r="LK9">
        <v>5</v>
      </c>
      <c r="LL9">
        <v>-2.4245362661989844E-14</v>
      </c>
      <c r="LM9">
        <v>209099</v>
      </c>
      <c r="LN9" t="s">
        <v>5446</v>
      </c>
      <c r="RM9" t="s">
        <v>3925</v>
      </c>
      <c r="RN9" t="s">
        <v>1786</v>
      </c>
      <c r="RO9">
        <v>7.8998670000000004</v>
      </c>
      <c r="RP9">
        <v>2.4635630000000002</v>
      </c>
      <c r="RQ9" t="s">
        <v>1762</v>
      </c>
      <c r="RR9">
        <v>2025</v>
      </c>
      <c r="RS9" t="s">
        <v>3926</v>
      </c>
      <c r="RT9" s="6">
        <v>45873</v>
      </c>
      <c r="RU9">
        <v>5</v>
      </c>
      <c r="RV9">
        <v>500348050.10000002</v>
      </c>
      <c r="RW9">
        <v>112185</v>
      </c>
      <c r="RX9" t="s">
        <v>3927</v>
      </c>
      <c r="SA9" t="s">
        <v>1079</v>
      </c>
      <c r="SB9">
        <v>1.979095</v>
      </c>
      <c r="SC9" t="s">
        <v>1820</v>
      </c>
      <c r="SD9">
        <v>90.225311000000005</v>
      </c>
      <c r="SE9" t="s">
        <v>1762</v>
      </c>
      <c r="SF9">
        <v>2025</v>
      </c>
      <c r="SG9" t="s">
        <v>3484</v>
      </c>
      <c r="SH9" s="6">
        <v>45873</v>
      </c>
      <c r="SI9">
        <v>5</v>
      </c>
      <c r="SJ9">
        <v>450224320</v>
      </c>
      <c r="SK9">
        <v>100090</v>
      </c>
      <c r="SL9" t="s">
        <v>1882</v>
      </c>
      <c r="TU9" t="s">
        <v>2869</v>
      </c>
      <c r="TV9" t="s">
        <v>1786</v>
      </c>
      <c r="TW9">
        <v>0.45783699999999999</v>
      </c>
      <c r="TX9">
        <v>0.152921</v>
      </c>
      <c r="TY9" t="s">
        <v>1745</v>
      </c>
      <c r="TZ9">
        <v>2024</v>
      </c>
      <c r="UA9" t="s">
        <v>2870</v>
      </c>
      <c r="UB9" s="6">
        <v>45716</v>
      </c>
      <c r="UC9">
        <v>5</v>
      </c>
      <c r="UD9">
        <v>18750026</v>
      </c>
      <c r="UE9">
        <v>13041324</v>
      </c>
      <c r="UF9" t="s">
        <v>2871</v>
      </c>
      <c r="UI9" t="s">
        <v>5276</v>
      </c>
      <c r="UJ9">
        <v>1.6008999999999999E-2</v>
      </c>
      <c r="UL9">
        <v>-2.4245362661989844E-14</v>
      </c>
      <c r="UM9" t="s">
        <v>1745</v>
      </c>
      <c r="UN9">
        <v>2024</v>
      </c>
      <c r="UO9" t="s">
        <v>2870</v>
      </c>
      <c r="UP9" s="6">
        <v>45716</v>
      </c>
      <c r="UQ9">
        <v>5</v>
      </c>
      <c r="UR9">
        <v>2250000</v>
      </c>
      <c r="US9">
        <v>14465625</v>
      </c>
      <c r="UT9" t="s">
        <v>5277</v>
      </c>
      <c r="UY9" t="s">
        <v>2745</v>
      </c>
      <c r="UZ9" t="s">
        <v>1820</v>
      </c>
      <c r="VA9">
        <v>0.375971</v>
      </c>
      <c r="VB9">
        <v>0.17061000000000001</v>
      </c>
      <c r="VC9" t="s">
        <v>1742</v>
      </c>
      <c r="VD9">
        <v>2025</v>
      </c>
      <c r="VE9" t="s">
        <v>2746</v>
      </c>
      <c r="VF9" s="6">
        <v>45966</v>
      </c>
      <c r="VG9">
        <v>5</v>
      </c>
      <c r="VH9">
        <v>3910380</v>
      </c>
      <c r="VI9">
        <v>10656931</v>
      </c>
      <c r="VJ9" t="s">
        <v>2747</v>
      </c>
      <c r="VM9" t="s">
        <v>2033</v>
      </c>
      <c r="VN9">
        <v>-2.4245362661989844E-14</v>
      </c>
      <c r="VP9">
        <v>-2.4245362661989844E-14</v>
      </c>
      <c r="VQ9" t="s">
        <v>1745</v>
      </c>
      <c r="VR9">
        <v>2021</v>
      </c>
      <c r="VS9" t="s">
        <v>2027</v>
      </c>
      <c r="VT9" s="6">
        <v>44693</v>
      </c>
      <c r="VU9">
        <v>5</v>
      </c>
      <c r="VV9">
        <v>-2.4245362661989844E-14</v>
      </c>
      <c r="VW9">
        <v>17702840</v>
      </c>
      <c r="VX9" t="s">
        <v>2034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1092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1093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1094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1095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1096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1097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1098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1099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1100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1101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1102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1103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1104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1105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1106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1107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1108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1109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1110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529</v>
      </c>
      <c r="AE2" s="3" t="s">
        <v>1111</v>
      </c>
      <c r="BI2" s="3" t="s">
        <v>1112</v>
      </c>
      <c r="CM2" s="3" t="s">
        <v>125</v>
      </c>
      <c r="DQ2" s="3" t="s">
        <v>1113</v>
      </c>
      <c r="EU2" s="3" t="s">
        <v>1114</v>
      </c>
      <c r="FY2" s="3" t="s">
        <v>34</v>
      </c>
      <c r="HC2" s="3" t="s">
        <v>499</v>
      </c>
      <c r="IG2" s="3" t="s">
        <v>453</v>
      </c>
      <c r="JK2" s="3" t="s">
        <v>1115</v>
      </c>
      <c r="KO2" s="3" t="s">
        <v>1116</v>
      </c>
      <c r="LS2" s="3" t="s">
        <v>1111</v>
      </c>
      <c r="MW2" s="3" t="s">
        <v>1117</v>
      </c>
      <c r="OA2" s="3" t="s">
        <v>944</v>
      </c>
      <c r="PE2" s="3" t="s">
        <v>1118</v>
      </c>
      <c r="QI2" s="3" t="s">
        <v>35</v>
      </c>
      <c r="RM2" s="3" t="s">
        <v>35</v>
      </c>
      <c r="SQ2" s="3" t="s">
        <v>1119</v>
      </c>
      <c r="TU2" s="3" t="s">
        <v>1120</v>
      </c>
      <c r="UY2" s="3" t="s">
        <v>1121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_xll.BDS("WELL US Equity","SUPPLY_CHAIN_SUPPLIERS_ALL_DATA","cols=12;rows=2")</f>
        <v>OHI US Equity</v>
      </c>
      <c r="B5" t="s">
        <v>1769</v>
      </c>
      <c r="C5">
        <v>4.7567510000000004</v>
      </c>
      <c r="D5">
        <v>27.424123999999999</v>
      </c>
      <c r="E5" t="s">
        <v>1745</v>
      </c>
      <c r="F5">
        <v>2024</v>
      </c>
      <c r="G5" t="s">
        <v>3036</v>
      </c>
      <c r="H5" s="6">
        <v>45693</v>
      </c>
      <c r="I5">
        <v>2</v>
      </c>
      <c r="J5">
        <v>12503001</v>
      </c>
      <c r="K5">
        <v>115223</v>
      </c>
      <c r="L5" t="s">
        <v>3037</v>
      </c>
      <c r="O5" t="str">
        <f>_xll.BDS("WELL US Equity","SUPPLY_CHAIN_CUSTOMERS_ALL_DATA","cols=12;rows=5")</f>
        <v>SRZ US Equity</v>
      </c>
      <c r="P5">
        <v>10.062165</v>
      </c>
      <c r="R5">
        <v>-2.4245362661989844E-14</v>
      </c>
      <c r="S5" t="s">
        <v>1745</v>
      </c>
      <c r="T5">
        <v>2024</v>
      </c>
      <c r="U5" t="s">
        <v>5052</v>
      </c>
      <c r="V5" s="6">
        <v>45700</v>
      </c>
      <c r="W5">
        <v>5</v>
      </c>
      <c r="X5">
        <v>201019872</v>
      </c>
      <c r="Y5">
        <v>171733</v>
      </c>
      <c r="Z5" t="s">
        <v>5053</v>
      </c>
      <c r="AE5" t="str">
        <f>_xll.BDS("PBCT US Equity","SUPPLY_CHAIN_SUPPLIERS_ALL_DATA")</f>
        <v>#N/A N/A</v>
      </c>
      <c r="AS5" t="str">
        <f>_xll.BDS("PBCT US Equity","SUPPLY_CHAIN_CUSTOMERS_ALL_DATA")</f>
        <v>#N/A N/A</v>
      </c>
      <c r="BI5" t="str">
        <f>_xll.BDS("NEM US Equity","SUPPLY_CHAIN_SUPPLIERS_ALL_DATA","cols=12;rows=5")</f>
        <v>LUG CN Equity</v>
      </c>
      <c r="BJ5" t="s">
        <v>1786</v>
      </c>
      <c r="BK5">
        <v>33.538722999999997</v>
      </c>
      <c r="BL5">
        <v>7.6862120000000003</v>
      </c>
      <c r="BM5" t="s">
        <v>1742</v>
      </c>
      <c r="BN5">
        <v>2025</v>
      </c>
      <c r="BO5" t="s">
        <v>4766</v>
      </c>
      <c r="BP5" s="6">
        <v>45967</v>
      </c>
      <c r="BQ5">
        <v>5</v>
      </c>
      <c r="BR5">
        <v>149958000</v>
      </c>
      <c r="BS5">
        <v>171851</v>
      </c>
      <c r="BT5" t="s">
        <v>4767</v>
      </c>
      <c r="BW5" t="str">
        <f>_xll.BDS("NEM US Equity","SUPPLY_CHAIN_CUSTOMERS_ALL_DATA","cols=12;rows=5")</f>
        <v>STAN LN Equity</v>
      </c>
      <c r="BX5">
        <v>27</v>
      </c>
      <c r="BY5" t="s">
        <v>1786</v>
      </c>
      <c r="BZ5">
        <v>46.704490999999997</v>
      </c>
      <c r="CA5" t="s">
        <v>1745</v>
      </c>
      <c r="CB5">
        <v>2025</v>
      </c>
      <c r="CC5" t="s">
        <v>3127</v>
      </c>
      <c r="CD5" s="6">
        <v>46072</v>
      </c>
      <c r="CE5">
        <v>5</v>
      </c>
      <c r="CF5">
        <v>1502250000</v>
      </c>
      <c r="CG5">
        <v>112319</v>
      </c>
      <c r="CH5" t="s">
        <v>4183</v>
      </c>
      <c r="CM5" t="str">
        <f>_xll.BDS("FLG US Equity","SUPPLY_CHAIN_SUPPLIERS_ALL_DATA","cols=12;rows=5")</f>
        <v>CXM US Equity</v>
      </c>
      <c r="CO5">
        <v>-2.4245362661989844E-14</v>
      </c>
      <c r="CP5">
        <v>-2.4245362661989844E-14</v>
      </c>
      <c r="CQ5" t="s">
        <v>1762</v>
      </c>
      <c r="CR5">
        <v>2026</v>
      </c>
      <c r="CS5" t="s">
        <v>5164</v>
      </c>
      <c r="CT5" s="6">
        <v>45902</v>
      </c>
      <c r="CU5">
        <v>5</v>
      </c>
      <c r="CV5">
        <v>-2.4245362661989844E-14</v>
      </c>
      <c r="CW5">
        <v>34392121</v>
      </c>
      <c r="CX5" t="s">
        <v>4343</v>
      </c>
      <c r="DA5" t="str">
        <f>_xll.BDS("FLG US Equity","SUPPLY_CHAIN_CUSTOMERS_ALL_DATA")</f>
        <v>#N/A N/A</v>
      </c>
      <c r="DQ5" t="str">
        <f>_xll.BDS("FTV US Equity","SUPPLY_CHAIN_SUPPLIERS_ALL_DATA","cols=12;rows=5")</f>
        <v>FLEX US Equity</v>
      </c>
      <c r="DR5" t="s">
        <v>1786</v>
      </c>
      <c r="DS5">
        <v>0.28314600000000001</v>
      </c>
      <c r="DT5">
        <v>2.886495</v>
      </c>
      <c r="DU5" t="s">
        <v>1742</v>
      </c>
      <c r="DV5">
        <v>2025</v>
      </c>
      <c r="DW5" t="s">
        <v>2387</v>
      </c>
      <c r="DX5" s="6">
        <v>45763</v>
      </c>
      <c r="DY5">
        <v>5</v>
      </c>
      <c r="DZ5">
        <v>18563052</v>
      </c>
      <c r="EA5">
        <v>136547</v>
      </c>
      <c r="EB5" t="s">
        <v>2388</v>
      </c>
      <c r="EE5" t="str">
        <f>_xll.BDS("FTV US Equity","SUPPLY_CHAIN_CUSTOMERS_ALL_DATA","cols=12;rows=5")</f>
        <v>002819 CH Equity</v>
      </c>
      <c r="EF5">
        <v>0.64307899999999996</v>
      </c>
      <c r="EG5" t="s">
        <v>1786</v>
      </c>
      <c r="EH5">
        <v>12.309752</v>
      </c>
      <c r="EI5" t="s">
        <v>1745</v>
      </c>
      <c r="EJ5">
        <v>2024</v>
      </c>
      <c r="EK5" t="s">
        <v>3598</v>
      </c>
      <c r="EL5" s="6">
        <v>45774</v>
      </c>
      <c r="EM5">
        <v>5</v>
      </c>
      <c r="EN5">
        <v>9966992.1099999994</v>
      </c>
      <c r="EO5">
        <v>18956417</v>
      </c>
      <c r="EP5" t="s">
        <v>3599</v>
      </c>
      <c r="EU5" t="str">
        <f>_xll.BDS("BMY US Equity","SUPPLY_CHAIN_SUPPLIERS_ALL_DATA","cols=12;rows=5")</f>
        <v>PFE US Equity</v>
      </c>
      <c r="EV5" t="s">
        <v>1786</v>
      </c>
      <c r="EW5">
        <v>11.153900999999999</v>
      </c>
      <c r="EX5">
        <v>50.086109</v>
      </c>
      <c r="EY5" t="s">
        <v>1745</v>
      </c>
      <c r="EZ5">
        <v>2025</v>
      </c>
      <c r="FA5" t="s">
        <v>2150</v>
      </c>
      <c r="FB5" s="6">
        <v>46064</v>
      </c>
      <c r="FC5">
        <v>5</v>
      </c>
      <c r="FD5">
        <v>1745000000</v>
      </c>
      <c r="FE5">
        <v>101166</v>
      </c>
      <c r="FF5" t="s">
        <v>3255</v>
      </c>
      <c r="FI5" t="str">
        <f>_xll.BDS("BMY US Equity","SUPPLY_CHAIN_CUSTOMERS_ALL_DATA","cols=12;rows=5")</f>
        <v>MCK US Equity</v>
      </c>
      <c r="FJ5">
        <v>36</v>
      </c>
      <c r="FK5" t="s">
        <v>1786</v>
      </c>
      <c r="FL5">
        <v>4.5203889999999998</v>
      </c>
      <c r="FM5" t="s">
        <v>1745</v>
      </c>
      <c r="FN5">
        <v>2025</v>
      </c>
      <c r="FO5" t="s">
        <v>2150</v>
      </c>
      <c r="FP5" s="6">
        <v>46064</v>
      </c>
      <c r="FQ5">
        <v>5</v>
      </c>
      <c r="FR5">
        <v>4337460224</v>
      </c>
      <c r="FS5">
        <v>154936</v>
      </c>
      <c r="FT5" t="s">
        <v>2146</v>
      </c>
      <c r="FY5" t="str">
        <f>_xll.BDS("ORCL US Equity","SUPPLY_CHAIN_SUPPLIERS_ALL_DATA","cols=12;rows=5")</f>
        <v>NVDA US Equity</v>
      </c>
      <c r="FZ5" t="s">
        <v>1820</v>
      </c>
      <c r="GA5">
        <v>1.9751799999999999</v>
      </c>
      <c r="GB5">
        <v>11.182838</v>
      </c>
      <c r="GC5" t="s">
        <v>1845</v>
      </c>
      <c r="GD5">
        <v>2026</v>
      </c>
      <c r="GE5" t="s">
        <v>2311</v>
      </c>
      <c r="GF5" s="6">
        <v>46087</v>
      </c>
      <c r="GG5">
        <v>5</v>
      </c>
      <c r="GH5">
        <v>1345630848</v>
      </c>
      <c r="GI5">
        <v>313657</v>
      </c>
      <c r="GJ5" t="s">
        <v>2312</v>
      </c>
      <c r="GM5" t="str">
        <f>_xll.BDS("ORCL US Equity","SUPPLY_CHAIN_CUSTOMERS_ALL_DATA","cols=12;rows=5")</f>
        <v>ACN US Equity</v>
      </c>
      <c r="GN5">
        <v>1.9061380000000001</v>
      </c>
      <c r="GO5" t="s">
        <v>1786</v>
      </c>
      <c r="GP5">
        <v>2.7725070000000001</v>
      </c>
      <c r="GQ5" t="s">
        <v>1845</v>
      </c>
      <c r="GR5">
        <v>2025</v>
      </c>
      <c r="GS5" t="s">
        <v>1883</v>
      </c>
      <c r="GT5" s="6">
        <v>45848</v>
      </c>
      <c r="GU5">
        <v>5</v>
      </c>
      <c r="GV5">
        <v>303133120</v>
      </c>
      <c r="GW5">
        <v>300787</v>
      </c>
      <c r="GX5" t="s">
        <v>1884</v>
      </c>
      <c r="HC5" t="str">
        <f>_xll.BDS("AIG US Equity","SUPPLY_CHAIN_SUPPLIERS_ALL_DATA","cols=12;rows=5")</f>
        <v>PEGA US Equity</v>
      </c>
      <c r="HD5" t="s">
        <v>1769</v>
      </c>
      <c r="HE5">
        <v>1.12E-4</v>
      </c>
      <c r="HF5">
        <v>1.7756999999999998E-2</v>
      </c>
      <c r="HG5" t="s">
        <v>1809</v>
      </c>
      <c r="HH5">
        <v>2025</v>
      </c>
      <c r="HI5" t="s">
        <v>2210</v>
      </c>
      <c r="HJ5" s="6">
        <v>45855</v>
      </c>
      <c r="HK5">
        <v>5</v>
      </c>
      <c r="HL5">
        <v>533</v>
      </c>
      <c r="HM5">
        <v>171977</v>
      </c>
      <c r="HN5" t="s">
        <v>2211</v>
      </c>
      <c r="HQ5" t="str">
        <f>_xll.BDS("AIG US Equity","SUPPLY_CHAIN_CUSTOMERS_ALL_DATA","cols=12;rows=5")</f>
        <v>002348 CH Equity</v>
      </c>
      <c r="HR5">
        <v>-2.4245362661989844E-14</v>
      </c>
      <c r="HT5">
        <v>-2.4245362661989844E-14</v>
      </c>
      <c r="HU5" t="s">
        <v>1745</v>
      </c>
      <c r="HV5">
        <v>2024</v>
      </c>
      <c r="HW5" t="s">
        <v>1938</v>
      </c>
      <c r="HX5" s="6">
        <v>45775</v>
      </c>
      <c r="HY5">
        <v>5</v>
      </c>
      <c r="HZ5">
        <v>-2.4245362661989844E-14</v>
      </c>
      <c r="IA5">
        <v>17498579</v>
      </c>
      <c r="IB5" t="s">
        <v>1939</v>
      </c>
      <c r="IG5" t="str">
        <f>_xll.BDS("FITB US Equity","SUPPLY_CHAIN_SUPPLIERS_ALL_DATA","cols=12;rows=5")</f>
        <v>004800 KS Equity</v>
      </c>
      <c r="II5">
        <v>-2.4245362661989844E-14</v>
      </c>
      <c r="IJ5">
        <v>-2.4245362661989844E-14</v>
      </c>
      <c r="IK5" t="s">
        <v>1993</v>
      </c>
      <c r="IL5">
        <v>2025</v>
      </c>
      <c r="IM5" t="s">
        <v>5125</v>
      </c>
      <c r="IN5" s="6">
        <v>45883</v>
      </c>
      <c r="IO5">
        <v>5</v>
      </c>
      <c r="IP5">
        <v>-2.4245362661989844E-14</v>
      </c>
      <c r="IQ5">
        <v>118099</v>
      </c>
      <c r="IR5" t="s">
        <v>2044</v>
      </c>
      <c r="IU5" t="str">
        <f>_xll.BDS("FITB US Equity","SUPPLY_CHAIN_CUSTOMERS_ALL_DATA","cols=12;rows=1")</f>
        <v>USIO US Equity</v>
      </c>
      <c r="IV5">
        <v>-2.4245362661989844E-14</v>
      </c>
      <c r="IX5">
        <v>-2.4245362661989844E-14</v>
      </c>
      <c r="IY5" t="s">
        <v>1745</v>
      </c>
      <c r="IZ5">
        <v>2024</v>
      </c>
      <c r="JA5" t="s">
        <v>4820</v>
      </c>
      <c r="JB5" s="6">
        <v>45742</v>
      </c>
      <c r="JC5">
        <v>1</v>
      </c>
      <c r="JD5">
        <v>-2.4245362661989844E-14</v>
      </c>
      <c r="JE5">
        <v>381245</v>
      </c>
      <c r="JF5" t="s">
        <v>4821</v>
      </c>
      <c r="JK5" t="str">
        <f>_xll.BDS("NFB US Equity","SUPPLY_CHAIN_SUPPLIERS_ALL_DATA")</f>
        <v>#N/A N/A</v>
      </c>
      <c r="JY5" t="str">
        <f>_xll.BDS("NFB US Equity","SUPPLY_CHAIN_CUSTOMERS_ALL_DATA")</f>
        <v>#N/A N/A</v>
      </c>
      <c r="KO5" t="str">
        <f>_xll.BDS("ANSS US Equity","SUPPLY_CHAIN_SUPPLIERS_ALL_DATA","cols=12;rows=5")</f>
        <v>NVDA US Equity</v>
      </c>
      <c r="KP5" t="s">
        <v>1786</v>
      </c>
      <c r="KQ5">
        <v>2.1979999999999999E-3</v>
      </c>
      <c r="KR5">
        <v>1.1893229999999999</v>
      </c>
      <c r="KS5" t="s">
        <v>1845</v>
      </c>
      <c r="KT5">
        <v>2025</v>
      </c>
      <c r="KU5" t="s">
        <v>2311</v>
      </c>
      <c r="KV5" s="6">
        <v>45720</v>
      </c>
      <c r="KW5">
        <v>5</v>
      </c>
      <c r="KX5">
        <v>864495</v>
      </c>
      <c r="KY5">
        <v>313657</v>
      </c>
      <c r="KZ5" t="s">
        <v>2312</v>
      </c>
      <c r="LC5" t="str">
        <f>_xll.BDS("ANSS US Equity","SUPPLY_CHAIN_CUSTOMERS_ALL_DATA","cols=12;rows=5")</f>
        <v>CAT US Equity</v>
      </c>
      <c r="LD5">
        <v>1.0061290000000001</v>
      </c>
      <c r="LE5" t="s">
        <v>1786</v>
      </c>
      <c r="LF5">
        <v>5.4675000000000001E-2</v>
      </c>
      <c r="LG5" t="s">
        <v>1809</v>
      </c>
      <c r="LH5">
        <v>2025</v>
      </c>
      <c r="LI5" t="s">
        <v>1812</v>
      </c>
      <c r="LJ5" s="6">
        <v>45852</v>
      </c>
      <c r="LK5">
        <v>5</v>
      </c>
      <c r="LL5">
        <v>5079854</v>
      </c>
      <c r="LM5">
        <v>100285</v>
      </c>
      <c r="LN5" t="s">
        <v>1813</v>
      </c>
      <c r="LS5" t="str">
        <f>_xll.BDS("PBCT US Equity","SUPPLY_CHAIN_SUPPLIERS_ALL_DATA")</f>
        <v>#N/A N/A</v>
      </c>
      <c r="MG5" t="str">
        <f>_xll.BDS("PBCT US Equity","SUPPLY_CHAIN_CUSTOMERS_ALL_DATA")</f>
        <v>#N/A N/A</v>
      </c>
      <c r="MW5" t="str">
        <f>_xll.BDS("LFUS US Equity","SUPPLY_CHAIN_SUPPLIERS_ALL_DATA","cols=12;rows=5")</f>
        <v>6616 JP Equity</v>
      </c>
      <c r="MX5" t="s">
        <v>1786</v>
      </c>
      <c r="MY5">
        <v>14.3</v>
      </c>
      <c r="MZ5">
        <v>1.617208</v>
      </c>
      <c r="NA5" t="s">
        <v>1745</v>
      </c>
      <c r="NB5">
        <v>2025</v>
      </c>
      <c r="NC5" t="s">
        <v>3886</v>
      </c>
      <c r="ND5" s="6">
        <v>45833</v>
      </c>
      <c r="NE5">
        <v>5</v>
      </c>
      <c r="NF5">
        <v>5622704.0899999999</v>
      </c>
      <c r="NG5">
        <v>19991633</v>
      </c>
      <c r="NH5" t="s">
        <v>3887</v>
      </c>
      <c r="NK5" t="str">
        <f>_xll.BDS("LFUS US Equity","SUPPLY_CHAIN_CUSTOMERS_ALL_DATA","cols=12;rows=5")</f>
        <v>ARW US Equity</v>
      </c>
      <c r="NL5">
        <v>9.5</v>
      </c>
      <c r="NM5" t="s">
        <v>1786</v>
      </c>
      <c r="NN5">
        <v>0.82778099999999999</v>
      </c>
      <c r="NO5" t="s">
        <v>1745</v>
      </c>
      <c r="NP5">
        <v>2025</v>
      </c>
      <c r="NQ5" t="s">
        <v>3623</v>
      </c>
      <c r="NR5" s="6">
        <v>46072</v>
      </c>
      <c r="NS5">
        <v>5</v>
      </c>
      <c r="NT5">
        <v>56674484</v>
      </c>
      <c r="NU5">
        <v>100115</v>
      </c>
      <c r="NV5" t="s">
        <v>1816</v>
      </c>
      <c r="OA5" t="str">
        <f>_xll.BDS("PCP US Equity","SUPPLY_CHAIN_SUPPLIERS_ALL_DATA","cols=12;rows=1")</f>
        <v>FE US Equity</v>
      </c>
      <c r="OC5">
        <v>-2.4245362661989844E-14</v>
      </c>
      <c r="OD5">
        <v>-2.4245362661989844E-14</v>
      </c>
      <c r="OE5" t="s">
        <v>1745</v>
      </c>
      <c r="OF5">
        <v>2021</v>
      </c>
      <c r="OG5" t="s">
        <v>2288</v>
      </c>
      <c r="OH5" s="6">
        <v>44693</v>
      </c>
      <c r="OI5">
        <v>1</v>
      </c>
      <c r="OJ5">
        <v>-2.4245362661989844E-14</v>
      </c>
      <c r="OK5">
        <v>302916</v>
      </c>
      <c r="OL5" t="s">
        <v>2289</v>
      </c>
      <c r="OO5" t="str">
        <f>_xll.BDS("PCP US Equity","SUPPLY_CHAIN_CUSTOMERS_ALL_DATA")</f>
        <v>#N/A N/A</v>
      </c>
      <c r="PE5" t="str">
        <f>_xll.BDS("UNTD US Equity","SUPPLY_CHAIN_SUPPLIERS_ALL_DATA")</f>
        <v>#N/A N/A</v>
      </c>
      <c r="PS5" t="str">
        <f>_xll.BDS("UNTD US Equity","SUPPLY_CHAIN_CUSTOMERS_ALL_DATA")</f>
        <v>#N/A N/A</v>
      </c>
      <c r="QI5" t="str">
        <f>_xll.BDS("nan Equity","SUPPLY_CHAIN_SUPPLIERS_ALL_DATA")</f>
        <v>#N/A N/A</v>
      </c>
      <c r="QW5" t="str">
        <f>_xll.BDS("nan Equity","SUPPLY_CHAIN_CUSTOMERS_ALL_DATA")</f>
        <v>#N/A N/A</v>
      </c>
      <c r="RM5" t="str">
        <f>_xll.BDS("nan Equity","SUPPLY_CHAIN_SUPPLIERS_ALL_DATA")</f>
        <v>#N/A N/A</v>
      </c>
      <c r="SA5" t="str">
        <f>_xll.BDS("nan Equity","SUPPLY_CHAIN_CUSTOMERS_ALL_DATA")</f>
        <v>#N/A N/A</v>
      </c>
      <c r="SQ5" t="str">
        <f>_xll.BDS("2307762D US Equity","SUPPLY_CHAIN_SUPPLIERS_ALL_DATA")</f>
        <v>#N/A N/A</v>
      </c>
      <c r="TE5" t="str">
        <f>_xll.BDS("2307762D US Equity","SUPPLY_CHAIN_CUSTOMERS_ALL_DATA")</f>
        <v>#N/A N/A</v>
      </c>
      <c r="TU5" t="str">
        <f>_xll.BDS("EQY US Equity","SUPPLY_CHAIN_SUPPLIERS_ALL_DATA")</f>
        <v>#N/A N/A</v>
      </c>
      <c r="UI5" t="str">
        <f>_xll.BDS("EQY US Equity","SUPPLY_CHAIN_CUSTOMERS_ALL_DATA")</f>
        <v>#N/A N/A</v>
      </c>
      <c r="UY5" t="str">
        <f>_xll.BDS("1847569D US Equity","SUPPLY_CHAIN_SUPPLIERS_ALL_DATA")</f>
        <v>#N/A N/A</v>
      </c>
      <c r="VM5" t="str">
        <f>_xll.BDS("1847569D US Equity","SUPPLY_CHAIN_CUSTOMERS_ALL_DATA")</f>
        <v>#N/A N/A</v>
      </c>
    </row>
    <row r="6" spans="1:600" x14ac:dyDescent="0.25">
      <c r="A6" t="s">
        <v>3038</v>
      </c>
      <c r="C6">
        <v>-2.4245362661989844E-14</v>
      </c>
      <c r="D6">
        <v>-2.4245362661989844E-14</v>
      </c>
      <c r="E6" t="s">
        <v>1745</v>
      </c>
      <c r="F6">
        <v>2023</v>
      </c>
      <c r="G6" t="s">
        <v>3039</v>
      </c>
      <c r="H6" s="6">
        <v>45342</v>
      </c>
      <c r="I6">
        <v>2</v>
      </c>
      <c r="J6">
        <v>-2.4245362661989844E-14</v>
      </c>
      <c r="K6">
        <v>101041</v>
      </c>
      <c r="L6" t="s">
        <v>3040</v>
      </c>
      <c r="O6" t="s">
        <v>5054</v>
      </c>
      <c r="P6">
        <v>8.5141399999999994</v>
      </c>
      <c r="R6">
        <v>-2.4245362661989844E-14</v>
      </c>
      <c r="S6" t="s">
        <v>1745</v>
      </c>
      <c r="T6">
        <v>2024</v>
      </c>
      <c r="U6" t="s">
        <v>5052</v>
      </c>
      <c r="V6" s="6">
        <v>45700</v>
      </c>
      <c r="W6">
        <v>5</v>
      </c>
      <c r="X6">
        <v>170093744</v>
      </c>
      <c r="Y6">
        <v>62774477</v>
      </c>
      <c r="Z6" t="s">
        <v>5055</v>
      </c>
      <c r="BI6" t="s">
        <v>4768</v>
      </c>
      <c r="BJ6" t="s">
        <v>1786</v>
      </c>
      <c r="BK6">
        <v>10</v>
      </c>
      <c r="BL6">
        <v>1.783593</v>
      </c>
      <c r="BM6" t="s">
        <v>1745</v>
      </c>
      <c r="BN6">
        <v>2025</v>
      </c>
      <c r="BO6" t="s">
        <v>4769</v>
      </c>
      <c r="BP6" s="6">
        <v>45888</v>
      </c>
      <c r="BQ6">
        <v>5</v>
      </c>
      <c r="BR6">
        <v>39312681.009999998</v>
      </c>
      <c r="BS6">
        <v>132755</v>
      </c>
      <c r="BT6" t="s">
        <v>4770</v>
      </c>
      <c r="BW6" t="s">
        <v>423</v>
      </c>
      <c r="BX6">
        <v>11</v>
      </c>
      <c r="BY6" t="s">
        <v>1786</v>
      </c>
      <c r="BZ6">
        <v>2.6129229999999999</v>
      </c>
      <c r="CA6" t="s">
        <v>1745</v>
      </c>
      <c r="CB6">
        <v>2025</v>
      </c>
      <c r="CC6" t="s">
        <v>3127</v>
      </c>
      <c r="CD6" s="6">
        <v>46072</v>
      </c>
      <c r="CE6">
        <v>5</v>
      </c>
      <c r="CF6">
        <v>624750000</v>
      </c>
      <c r="CG6">
        <v>100312</v>
      </c>
      <c r="CH6" t="s">
        <v>3933</v>
      </c>
      <c r="CM6" t="s">
        <v>5165</v>
      </c>
      <c r="CO6">
        <v>-2.4245362661989844E-14</v>
      </c>
      <c r="CP6">
        <v>-2.4245362661989844E-14</v>
      </c>
      <c r="CQ6" t="s">
        <v>1745</v>
      </c>
      <c r="CR6">
        <v>2023</v>
      </c>
      <c r="CS6" t="s">
        <v>5166</v>
      </c>
      <c r="CT6" s="6">
        <v>45350</v>
      </c>
      <c r="CU6">
        <v>5</v>
      </c>
      <c r="CV6">
        <v>-2.4245362661989844E-14</v>
      </c>
      <c r="CW6">
        <v>33628170</v>
      </c>
      <c r="CX6" t="s">
        <v>5167</v>
      </c>
      <c r="DQ6" t="s">
        <v>2820</v>
      </c>
      <c r="DR6" t="s">
        <v>1786</v>
      </c>
      <c r="DS6">
        <v>1.4594510000000001</v>
      </c>
      <c r="DT6">
        <v>1.554068</v>
      </c>
      <c r="DU6" t="s">
        <v>1809</v>
      </c>
      <c r="DV6">
        <v>2025</v>
      </c>
      <c r="DW6" t="s">
        <v>2821</v>
      </c>
      <c r="DX6" s="6">
        <v>45793</v>
      </c>
      <c r="DY6">
        <v>5</v>
      </c>
      <c r="DZ6">
        <v>9220286</v>
      </c>
      <c r="EA6">
        <v>102417</v>
      </c>
      <c r="EB6" t="s">
        <v>2822</v>
      </c>
      <c r="EE6" t="s">
        <v>1814</v>
      </c>
      <c r="EF6">
        <v>0.31648100000000001</v>
      </c>
      <c r="EG6" t="s">
        <v>1786</v>
      </c>
      <c r="EH6">
        <v>7.7243999999999993E-2</v>
      </c>
      <c r="EI6" t="s">
        <v>1809</v>
      </c>
      <c r="EJ6">
        <v>2025</v>
      </c>
      <c r="EK6" t="s">
        <v>1815</v>
      </c>
      <c r="EL6" s="6">
        <v>45784</v>
      </c>
      <c r="EM6">
        <v>5</v>
      </c>
      <c r="EN6">
        <v>4665557</v>
      </c>
      <c r="EO6">
        <v>100115</v>
      </c>
      <c r="EP6" t="s">
        <v>1816</v>
      </c>
      <c r="EU6" t="s">
        <v>3308</v>
      </c>
      <c r="EV6" t="s">
        <v>1786</v>
      </c>
      <c r="EW6">
        <v>25.6</v>
      </c>
      <c r="EX6">
        <v>5.8001680000000002</v>
      </c>
      <c r="EY6" t="s">
        <v>1745</v>
      </c>
      <c r="EZ6">
        <v>2025</v>
      </c>
      <c r="FA6" t="s">
        <v>3309</v>
      </c>
      <c r="FB6" s="6">
        <v>45827</v>
      </c>
      <c r="FC6">
        <v>5</v>
      </c>
      <c r="FD6">
        <v>204217368.44999999</v>
      </c>
      <c r="FE6">
        <v>114514</v>
      </c>
      <c r="FF6" t="s">
        <v>3310</v>
      </c>
      <c r="FI6" t="s">
        <v>2147</v>
      </c>
      <c r="FJ6">
        <v>29</v>
      </c>
      <c r="FK6" t="s">
        <v>1786</v>
      </c>
      <c r="FL6">
        <v>4.4540850000000001</v>
      </c>
      <c r="FM6" t="s">
        <v>1745</v>
      </c>
      <c r="FN6">
        <v>2025</v>
      </c>
      <c r="FO6" t="s">
        <v>2150</v>
      </c>
      <c r="FP6" s="6">
        <v>46064</v>
      </c>
      <c r="FQ6">
        <v>5</v>
      </c>
      <c r="FR6">
        <v>3494064896</v>
      </c>
      <c r="FS6">
        <v>156969</v>
      </c>
      <c r="FT6" t="s">
        <v>2148</v>
      </c>
      <c r="FY6" t="s">
        <v>2313</v>
      </c>
      <c r="FZ6" t="s">
        <v>1820</v>
      </c>
      <c r="GA6">
        <v>3.5808580000000001</v>
      </c>
      <c r="GB6">
        <v>3.236755</v>
      </c>
      <c r="GC6" t="s">
        <v>1762</v>
      </c>
      <c r="GD6">
        <v>2025</v>
      </c>
      <c r="GE6" t="s">
        <v>2314</v>
      </c>
      <c r="GF6" s="6">
        <v>45947</v>
      </c>
      <c r="GG6">
        <v>5</v>
      </c>
      <c r="GH6">
        <v>275188928</v>
      </c>
      <c r="GI6">
        <v>100010</v>
      </c>
      <c r="GJ6" t="s">
        <v>2315</v>
      </c>
      <c r="GM6" t="s">
        <v>1885</v>
      </c>
      <c r="GN6">
        <v>1.3419890000000001</v>
      </c>
      <c r="GO6" t="s">
        <v>1786</v>
      </c>
      <c r="GP6">
        <v>0.27725100000000003</v>
      </c>
      <c r="GQ6" t="s">
        <v>1845</v>
      </c>
      <c r="GR6">
        <v>2025</v>
      </c>
      <c r="GS6" t="s">
        <v>1883</v>
      </c>
      <c r="GT6" s="6">
        <v>45848</v>
      </c>
      <c r="GU6">
        <v>5</v>
      </c>
      <c r="GV6">
        <v>213416512</v>
      </c>
      <c r="GW6">
        <v>216952</v>
      </c>
      <c r="GX6" t="s">
        <v>1886</v>
      </c>
      <c r="HC6" t="s">
        <v>2212</v>
      </c>
      <c r="HE6">
        <v>-2.4245362661989844E-14</v>
      </c>
      <c r="HF6">
        <v>-2.4245362661989844E-14</v>
      </c>
      <c r="HG6" t="s">
        <v>1798</v>
      </c>
      <c r="HH6">
        <v>2024</v>
      </c>
      <c r="HI6" t="s">
        <v>2213</v>
      </c>
      <c r="HJ6" s="6">
        <v>45607</v>
      </c>
      <c r="HK6">
        <v>5</v>
      </c>
      <c r="HL6">
        <v>-2.4245362661989844E-14</v>
      </c>
      <c r="HM6">
        <v>7192714</v>
      </c>
      <c r="HN6" t="s">
        <v>2214</v>
      </c>
      <c r="HQ6" t="s">
        <v>1940</v>
      </c>
      <c r="HR6">
        <v>-2.4245362661989844E-14</v>
      </c>
      <c r="HT6">
        <v>-2.4245362661989844E-14</v>
      </c>
      <c r="HU6" t="s">
        <v>1745</v>
      </c>
      <c r="HV6">
        <v>2022</v>
      </c>
      <c r="HW6" t="s">
        <v>1941</v>
      </c>
      <c r="HX6" s="6">
        <v>44986</v>
      </c>
      <c r="HY6">
        <v>5</v>
      </c>
      <c r="HZ6">
        <v>-2.4245362661989844E-14</v>
      </c>
      <c r="IA6">
        <v>17149569</v>
      </c>
      <c r="IB6" t="s">
        <v>1942</v>
      </c>
      <c r="IG6" t="s">
        <v>1517</v>
      </c>
      <c r="II6">
        <v>-2.4245362661989844E-14</v>
      </c>
      <c r="IJ6">
        <v>-2.4245362661989844E-14</v>
      </c>
      <c r="IK6" t="s">
        <v>1742</v>
      </c>
      <c r="IL6">
        <v>2024</v>
      </c>
      <c r="IM6" t="s">
        <v>3951</v>
      </c>
      <c r="IN6" s="6">
        <v>45608</v>
      </c>
      <c r="IO6">
        <v>5</v>
      </c>
      <c r="IP6">
        <v>-2.4245362661989844E-14</v>
      </c>
      <c r="IQ6">
        <v>159743</v>
      </c>
      <c r="IR6" t="s">
        <v>5126</v>
      </c>
      <c r="KO6" t="s">
        <v>424</v>
      </c>
      <c r="KP6" t="s">
        <v>1786</v>
      </c>
      <c r="KQ6">
        <v>2.9500000000000001E-4</v>
      </c>
      <c r="KR6">
        <v>0.28482499999999999</v>
      </c>
      <c r="KS6" t="s">
        <v>1742</v>
      </c>
      <c r="KT6">
        <v>2025</v>
      </c>
      <c r="KU6" t="s">
        <v>2528</v>
      </c>
      <c r="KV6" s="6">
        <v>45843</v>
      </c>
      <c r="KW6">
        <v>5</v>
      </c>
      <c r="KX6">
        <v>206695</v>
      </c>
      <c r="KY6">
        <v>101743</v>
      </c>
      <c r="KZ6" t="s">
        <v>1891</v>
      </c>
      <c r="LC6" t="s">
        <v>1878</v>
      </c>
      <c r="LD6">
        <v>0.29458299999999998</v>
      </c>
      <c r="LE6" t="s">
        <v>1786</v>
      </c>
      <c r="LF6">
        <v>1.1786E-2</v>
      </c>
      <c r="LG6" t="s">
        <v>1845</v>
      </c>
      <c r="LH6">
        <v>2024</v>
      </c>
      <c r="LI6" t="s">
        <v>4313</v>
      </c>
      <c r="LJ6" s="6">
        <v>45727</v>
      </c>
      <c r="LK6">
        <v>5</v>
      </c>
      <c r="LL6">
        <v>2601504.2599999998</v>
      </c>
      <c r="LM6">
        <v>876285</v>
      </c>
      <c r="LN6" t="s">
        <v>1879</v>
      </c>
      <c r="MW6" t="s">
        <v>3888</v>
      </c>
      <c r="MX6" t="s">
        <v>1786</v>
      </c>
      <c r="MY6">
        <v>13.825326</v>
      </c>
      <c r="MZ6">
        <v>0.87620799999999999</v>
      </c>
      <c r="NA6" t="s">
        <v>1798</v>
      </c>
      <c r="NB6">
        <v>2025</v>
      </c>
      <c r="NC6" t="s">
        <v>3889</v>
      </c>
      <c r="ND6" s="6">
        <v>45972</v>
      </c>
      <c r="NE6">
        <v>5</v>
      </c>
      <c r="NF6">
        <v>3216529.37</v>
      </c>
      <c r="NG6">
        <v>7790025</v>
      </c>
      <c r="NH6" t="s">
        <v>3890</v>
      </c>
      <c r="NK6" t="s">
        <v>840</v>
      </c>
      <c r="NL6">
        <v>3.7766039999999998</v>
      </c>
      <c r="NM6" t="s">
        <v>1786</v>
      </c>
      <c r="NN6">
        <v>0.39463199999999998</v>
      </c>
      <c r="NO6" t="s">
        <v>1845</v>
      </c>
      <c r="NP6">
        <v>2024</v>
      </c>
      <c r="NQ6" t="s">
        <v>3624</v>
      </c>
      <c r="NR6" s="6">
        <v>45700</v>
      </c>
      <c r="NS6">
        <v>5</v>
      </c>
      <c r="NT6">
        <v>19997308</v>
      </c>
      <c r="NU6">
        <v>100142</v>
      </c>
      <c r="NV6" t="s">
        <v>2200</v>
      </c>
    </row>
    <row r="7" spans="1:600" x14ac:dyDescent="0.25">
      <c r="O7" t="s">
        <v>5056</v>
      </c>
      <c r="P7">
        <v>8.5141399999999994</v>
      </c>
      <c r="R7">
        <v>-2.4245362661989844E-14</v>
      </c>
      <c r="S7" t="s">
        <v>1745</v>
      </c>
      <c r="T7">
        <v>2024</v>
      </c>
      <c r="U7" t="s">
        <v>5052</v>
      </c>
      <c r="V7" s="6">
        <v>45700</v>
      </c>
      <c r="W7">
        <v>5</v>
      </c>
      <c r="X7">
        <v>170093744</v>
      </c>
      <c r="Y7">
        <v>28214410</v>
      </c>
      <c r="Z7" t="s">
        <v>5057</v>
      </c>
      <c r="BI7" t="s">
        <v>973</v>
      </c>
      <c r="BJ7" t="s">
        <v>1820</v>
      </c>
      <c r="BK7">
        <v>0.16830700000000001</v>
      </c>
      <c r="BL7">
        <v>3.8358669999999999</v>
      </c>
      <c r="BM7" t="s">
        <v>1742</v>
      </c>
      <c r="BN7">
        <v>2025</v>
      </c>
      <c r="BO7" t="s">
        <v>4771</v>
      </c>
      <c r="BP7" s="6">
        <v>45958</v>
      </c>
      <c r="BQ7">
        <v>5</v>
      </c>
      <c r="BR7">
        <v>27886752</v>
      </c>
      <c r="BS7">
        <v>100285</v>
      </c>
      <c r="BT7" t="s">
        <v>1813</v>
      </c>
      <c r="BW7" t="s">
        <v>4184</v>
      </c>
      <c r="BX7">
        <v>10</v>
      </c>
      <c r="BY7" t="s">
        <v>1786</v>
      </c>
      <c r="BZ7">
        <v>7.5377780000000003</v>
      </c>
      <c r="CA7" t="s">
        <v>1745</v>
      </c>
      <c r="CB7">
        <v>2024</v>
      </c>
      <c r="CC7" t="s">
        <v>4185</v>
      </c>
      <c r="CD7" s="6">
        <v>45709</v>
      </c>
      <c r="CE7">
        <v>5</v>
      </c>
      <c r="CF7">
        <v>474250000</v>
      </c>
      <c r="CG7">
        <v>110411</v>
      </c>
      <c r="CH7" t="s">
        <v>4186</v>
      </c>
      <c r="CM7" t="s">
        <v>5168</v>
      </c>
      <c r="CO7">
        <v>-2.4245362661989844E-14</v>
      </c>
      <c r="CP7">
        <v>-2.4245362661989844E-14</v>
      </c>
      <c r="CQ7" t="s">
        <v>1745</v>
      </c>
      <c r="CR7">
        <v>2024</v>
      </c>
      <c r="CS7" t="s">
        <v>5169</v>
      </c>
      <c r="CT7" s="6">
        <v>45716</v>
      </c>
      <c r="CU7">
        <v>5</v>
      </c>
      <c r="CV7">
        <v>-2.4245362661989844E-14</v>
      </c>
      <c r="CW7">
        <v>29175351</v>
      </c>
      <c r="CX7" t="s">
        <v>5170</v>
      </c>
      <c r="DQ7" t="s">
        <v>2795</v>
      </c>
      <c r="DR7" t="s">
        <v>1786</v>
      </c>
      <c r="DS7">
        <v>9.5069999999999998E-3</v>
      </c>
      <c r="DT7">
        <v>0.12543499999999999</v>
      </c>
      <c r="DU7" t="s">
        <v>1742</v>
      </c>
      <c r="DV7">
        <v>2025</v>
      </c>
      <c r="DW7" t="s">
        <v>2796</v>
      </c>
      <c r="DX7" s="6">
        <v>45867</v>
      </c>
      <c r="DY7">
        <v>5</v>
      </c>
      <c r="DZ7">
        <v>744208</v>
      </c>
      <c r="EA7">
        <v>117092</v>
      </c>
      <c r="EB7" t="s">
        <v>2797</v>
      </c>
      <c r="EE7" t="s">
        <v>2139</v>
      </c>
      <c r="EF7">
        <v>8.1419000000000005E-2</v>
      </c>
      <c r="EG7" t="s">
        <v>1786</v>
      </c>
      <c r="EH7">
        <v>0.14660200000000001</v>
      </c>
      <c r="EI7" t="s">
        <v>1742</v>
      </c>
      <c r="EJ7">
        <v>2025</v>
      </c>
      <c r="EK7" t="s">
        <v>2140</v>
      </c>
      <c r="EL7" s="6">
        <v>46034</v>
      </c>
      <c r="EM7">
        <v>5</v>
      </c>
      <c r="EN7">
        <v>836252</v>
      </c>
      <c r="EO7">
        <v>313021</v>
      </c>
      <c r="EP7" t="s">
        <v>2141</v>
      </c>
      <c r="EU7" t="s">
        <v>3311</v>
      </c>
      <c r="EV7" t="s">
        <v>1786</v>
      </c>
      <c r="EW7">
        <v>91.610000999999997</v>
      </c>
      <c r="EX7">
        <v>5.3039319999999996</v>
      </c>
      <c r="EY7" t="s">
        <v>1745</v>
      </c>
      <c r="EZ7">
        <v>2024</v>
      </c>
      <c r="FA7" t="s">
        <v>3312</v>
      </c>
      <c r="FB7" s="6">
        <v>45744</v>
      </c>
      <c r="FC7">
        <v>5</v>
      </c>
      <c r="FD7">
        <v>185227362.65000001</v>
      </c>
      <c r="FE7">
        <v>41186103</v>
      </c>
      <c r="FF7" t="s">
        <v>3313</v>
      </c>
      <c r="FI7" t="s">
        <v>236</v>
      </c>
      <c r="FJ7">
        <v>22</v>
      </c>
      <c r="FK7" t="s">
        <v>1786</v>
      </c>
      <c r="FL7">
        <v>4.4996770000000001</v>
      </c>
      <c r="FM7" t="s">
        <v>1745</v>
      </c>
      <c r="FN7">
        <v>2025</v>
      </c>
      <c r="FO7" t="s">
        <v>2150</v>
      </c>
      <c r="FP7" s="6">
        <v>46064</v>
      </c>
      <c r="FQ7">
        <v>5</v>
      </c>
      <c r="FR7">
        <v>2650670080</v>
      </c>
      <c r="FS7">
        <v>102782</v>
      </c>
      <c r="FT7" t="s">
        <v>2149</v>
      </c>
      <c r="FY7" t="s">
        <v>2076</v>
      </c>
      <c r="FZ7" t="s">
        <v>1820</v>
      </c>
      <c r="GA7">
        <v>0.91127400000000003</v>
      </c>
      <c r="GB7">
        <v>1.364298</v>
      </c>
      <c r="GC7" t="s">
        <v>1845</v>
      </c>
      <c r="GD7">
        <v>2025</v>
      </c>
      <c r="GE7" t="s">
        <v>2316</v>
      </c>
      <c r="GF7" s="6">
        <v>46010</v>
      </c>
      <c r="GG7">
        <v>5</v>
      </c>
      <c r="GH7">
        <v>164166016</v>
      </c>
      <c r="GI7">
        <v>59907412</v>
      </c>
      <c r="GJ7" t="s">
        <v>2077</v>
      </c>
      <c r="GM7" t="s">
        <v>357</v>
      </c>
      <c r="GN7">
        <v>1.0301469999999999</v>
      </c>
      <c r="GO7" t="s">
        <v>1786</v>
      </c>
      <c r="GP7">
        <v>1.0221020000000001</v>
      </c>
      <c r="GQ7" t="s">
        <v>1845</v>
      </c>
      <c r="GR7">
        <v>2025</v>
      </c>
      <c r="GS7" t="s">
        <v>1887</v>
      </c>
      <c r="GT7" s="6">
        <v>46056</v>
      </c>
      <c r="GU7">
        <v>5</v>
      </c>
      <c r="GV7">
        <v>165420976</v>
      </c>
      <c r="GW7">
        <v>1499717</v>
      </c>
      <c r="GX7" t="s">
        <v>1864</v>
      </c>
      <c r="HC7" t="s">
        <v>2215</v>
      </c>
      <c r="HE7">
        <v>-2.4245362661989844E-14</v>
      </c>
      <c r="HF7">
        <v>-2.4245362661989844E-14</v>
      </c>
      <c r="HG7" t="s">
        <v>1805</v>
      </c>
      <c r="HH7">
        <v>2025</v>
      </c>
      <c r="HI7" t="s">
        <v>2216</v>
      </c>
      <c r="HJ7" s="6">
        <v>45890</v>
      </c>
      <c r="HK7">
        <v>5</v>
      </c>
      <c r="HL7">
        <v>-2.4245362661989844E-14</v>
      </c>
      <c r="HM7">
        <v>38007258</v>
      </c>
      <c r="HN7" t="s">
        <v>2217</v>
      </c>
      <c r="HQ7" t="s">
        <v>1943</v>
      </c>
      <c r="HR7">
        <v>-2.4245362661989844E-14</v>
      </c>
      <c r="HT7">
        <v>-2.4245362661989844E-14</v>
      </c>
      <c r="HU7" t="s">
        <v>1798</v>
      </c>
      <c r="HV7">
        <v>2022</v>
      </c>
      <c r="HW7" t="s">
        <v>1944</v>
      </c>
      <c r="HX7" s="6">
        <v>44895</v>
      </c>
      <c r="HY7">
        <v>5</v>
      </c>
      <c r="HZ7">
        <v>-2.4245362661989844E-14</v>
      </c>
      <c r="IA7">
        <v>67286948</v>
      </c>
      <c r="IB7" t="s">
        <v>1945</v>
      </c>
      <c r="IG7" t="s">
        <v>4088</v>
      </c>
      <c r="II7">
        <v>-2.4245362661989844E-14</v>
      </c>
      <c r="IJ7">
        <v>-2.4245362661989844E-14</v>
      </c>
      <c r="IK7" t="s">
        <v>1745</v>
      </c>
      <c r="IL7">
        <v>2023</v>
      </c>
      <c r="IM7" t="s">
        <v>4089</v>
      </c>
      <c r="IN7" s="6">
        <v>45462</v>
      </c>
      <c r="IO7">
        <v>5</v>
      </c>
      <c r="IP7">
        <v>-2.4245362661989844E-14</v>
      </c>
      <c r="IQ7">
        <v>48621208</v>
      </c>
      <c r="IR7" t="s">
        <v>4090</v>
      </c>
      <c r="KO7" t="s">
        <v>4384</v>
      </c>
      <c r="KQ7">
        <v>-2.4245362661989844E-14</v>
      </c>
      <c r="KR7">
        <v>-2.4245362661989844E-14</v>
      </c>
      <c r="KS7" t="s">
        <v>1745</v>
      </c>
      <c r="KT7">
        <v>2023</v>
      </c>
      <c r="KU7" t="s">
        <v>4385</v>
      </c>
      <c r="KV7" s="6">
        <v>45288</v>
      </c>
      <c r="KW7">
        <v>5</v>
      </c>
      <c r="KX7">
        <v>-2.4245362661989844E-14</v>
      </c>
      <c r="KY7">
        <v>24943849</v>
      </c>
      <c r="KZ7" t="s">
        <v>4386</v>
      </c>
      <c r="LC7" t="s">
        <v>418</v>
      </c>
      <c r="LD7">
        <v>7.5909000000000004E-2</v>
      </c>
      <c r="LE7" t="s">
        <v>1820</v>
      </c>
      <c r="LF7">
        <v>4.3750999999999998E-2</v>
      </c>
      <c r="LG7" t="s">
        <v>1809</v>
      </c>
      <c r="LH7">
        <v>2025</v>
      </c>
      <c r="LI7" t="s">
        <v>1821</v>
      </c>
      <c r="LJ7" s="6">
        <v>45818</v>
      </c>
      <c r="LK7">
        <v>5</v>
      </c>
      <c r="LL7">
        <v>383259</v>
      </c>
      <c r="LM7">
        <v>143027</v>
      </c>
      <c r="LN7" t="s">
        <v>1822</v>
      </c>
      <c r="MW7" t="s">
        <v>3891</v>
      </c>
      <c r="MX7" t="s">
        <v>1786</v>
      </c>
      <c r="MY7">
        <v>-2.4245362661989844E-14</v>
      </c>
      <c r="MZ7">
        <v>0.60800500000000002</v>
      </c>
      <c r="NA7" t="s">
        <v>1745</v>
      </c>
      <c r="NB7">
        <v>2025</v>
      </c>
      <c r="NC7" t="s">
        <v>3623</v>
      </c>
      <c r="ND7" s="6">
        <v>46072</v>
      </c>
      <c r="NE7">
        <v>5</v>
      </c>
      <c r="NF7">
        <v>2250000</v>
      </c>
      <c r="NG7">
        <v>8275602</v>
      </c>
      <c r="NH7" t="s">
        <v>3892</v>
      </c>
      <c r="NK7" t="s">
        <v>1878</v>
      </c>
      <c r="NL7">
        <v>2.1876679999999999</v>
      </c>
      <c r="NM7" t="s">
        <v>1786</v>
      </c>
      <c r="NN7">
        <v>8.6395E-2</v>
      </c>
      <c r="NO7" t="s">
        <v>1762</v>
      </c>
      <c r="NP7">
        <v>2025</v>
      </c>
      <c r="NQ7" t="s">
        <v>3624</v>
      </c>
      <c r="NR7" s="6">
        <v>45870</v>
      </c>
      <c r="NS7">
        <v>5</v>
      </c>
      <c r="NT7">
        <v>13419440</v>
      </c>
      <c r="NU7">
        <v>876285</v>
      </c>
      <c r="NV7" t="s">
        <v>1879</v>
      </c>
    </row>
    <row r="8" spans="1:600" x14ac:dyDescent="0.25">
      <c r="O8" t="s">
        <v>5058</v>
      </c>
      <c r="P8">
        <v>-2.4245362661989844E-14</v>
      </c>
      <c r="R8">
        <v>-2.4245362661989844E-14</v>
      </c>
      <c r="S8" t="s">
        <v>1745</v>
      </c>
      <c r="T8">
        <v>2022</v>
      </c>
      <c r="U8" t="s">
        <v>5059</v>
      </c>
      <c r="V8" s="6">
        <v>44979</v>
      </c>
      <c r="W8">
        <v>5</v>
      </c>
      <c r="X8">
        <v>-2.4245362661989844E-14</v>
      </c>
      <c r="Y8">
        <v>14654414</v>
      </c>
      <c r="Z8" t="s">
        <v>5060</v>
      </c>
      <c r="BI8" t="s">
        <v>4772</v>
      </c>
      <c r="BJ8" t="s">
        <v>1786</v>
      </c>
      <c r="BK8">
        <v>11</v>
      </c>
      <c r="BL8">
        <v>0.93660100000000002</v>
      </c>
      <c r="BM8" t="s">
        <v>1745</v>
      </c>
      <c r="BN8">
        <v>2024</v>
      </c>
      <c r="BO8" t="s">
        <v>4773</v>
      </c>
      <c r="BP8" s="6">
        <v>45967</v>
      </c>
      <c r="BQ8">
        <v>5</v>
      </c>
      <c r="BR8">
        <v>19783362</v>
      </c>
      <c r="BS8">
        <v>106508</v>
      </c>
      <c r="BT8" t="s">
        <v>4774</v>
      </c>
      <c r="BW8" t="s">
        <v>4187</v>
      </c>
      <c r="BX8">
        <v>-2.4245362661989844E-14</v>
      </c>
      <c r="BZ8">
        <v>-2.4245362661989844E-14</v>
      </c>
      <c r="CA8" t="s">
        <v>1745</v>
      </c>
      <c r="CB8">
        <v>2024</v>
      </c>
      <c r="CC8" t="s">
        <v>4188</v>
      </c>
      <c r="CD8" s="6">
        <v>45581</v>
      </c>
      <c r="CE8">
        <v>5</v>
      </c>
      <c r="CF8">
        <v>-2.4245362661989844E-14</v>
      </c>
      <c r="CG8">
        <v>395168</v>
      </c>
      <c r="CH8" t="s">
        <v>4189</v>
      </c>
      <c r="CM8" t="s">
        <v>1896</v>
      </c>
      <c r="CO8">
        <v>-2.4245362661989844E-14</v>
      </c>
      <c r="CP8">
        <v>-2.4245362661989844E-14</v>
      </c>
      <c r="CQ8" t="s">
        <v>1798</v>
      </c>
      <c r="CR8">
        <v>2023</v>
      </c>
      <c r="CS8" t="s">
        <v>4921</v>
      </c>
      <c r="CT8" s="6">
        <v>45245</v>
      </c>
      <c r="CU8">
        <v>5</v>
      </c>
      <c r="CV8">
        <v>-2.4245362661989844E-14</v>
      </c>
      <c r="CW8">
        <v>103882</v>
      </c>
      <c r="CX8" t="s">
        <v>1898</v>
      </c>
      <c r="DQ8" t="s">
        <v>3348</v>
      </c>
      <c r="DR8" t="s">
        <v>1786</v>
      </c>
      <c r="DS8">
        <v>1.1762E-2</v>
      </c>
      <c r="DT8">
        <v>9.5560000000000003E-3</v>
      </c>
      <c r="DU8" t="s">
        <v>1845</v>
      </c>
      <c r="DV8">
        <v>2025</v>
      </c>
      <c r="DW8" t="s">
        <v>3349</v>
      </c>
      <c r="DX8" s="6">
        <v>46018</v>
      </c>
      <c r="DY8">
        <v>5</v>
      </c>
      <c r="DZ8">
        <v>36112</v>
      </c>
      <c r="EA8">
        <v>916504</v>
      </c>
      <c r="EB8" t="s">
        <v>3350</v>
      </c>
      <c r="EE8" t="s">
        <v>3600</v>
      </c>
      <c r="EF8">
        <v>-2.4245362661989844E-14</v>
      </c>
      <c r="EH8">
        <v>-2.4245362661989844E-14</v>
      </c>
      <c r="EI8" t="s">
        <v>1745</v>
      </c>
      <c r="EJ8">
        <v>2023</v>
      </c>
      <c r="EK8" t="s">
        <v>3601</v>
      </c>
      <c r="EL8" s="6">
        <v>45380</v>
      </c>
      <c r="EM8">
        <v>5</v>
      </c>
      <c r="EN8">
        <v>-2.4245362661989844E-14</v>
      </c>
      <c r="EO8">
        <v>64827393</v>
      </c>
      <c r="EP8" t="s">
        <v>3602</v>
      </c>
      <c r="EU8" t="s">
        <v>205</v>
      </c>
      <c r="EV8" t="s">
        <v>1786</v>
      </c>
      <c r="EW8">
        <v>0.787219</v>
      </c>
      <c r="EX8">
        <v>3.9592429999999998</v>
      </c>
      <c r="EY8" t="s">
        <v>1742</v>
      </c>
      <c r="EZ8">
        <v>2025</v>
      </c>
      <c r="FA8" t="s">
        <v>2225</v>
      </c>
      <c r="FB8" s="6">
        <v>45966</v>
      </c>
      <c r="FC8">
        <v>5</v>
      </c>
      <c r="FD8">
        <v>136000000</v>
      </c>
      <c r="FE8">
        <v>100978</v>
      </c>
      <c r="FF8" t="s">
        <v>3314</v>
      </c>
      <c r="FI8" t="s">
        <v>2502</v>
      </c>
      <c r="FJ8">
        <v>2.3733979999999999</v>
      </c>
      <c r="FK8" t="s">
        <v>1786</v>
      </c>
      <c r="FL8">
        <v>0.47723100000000002</v>
      </c>
      <c r="FM8" t="s">
        <v>1762</v>
      </c>
      <c r="FN8">
        <v>2025</v>
      </c>
      <c r="FO8" t="s">
        <v>5642</v>
      </c>
      <c r="FP8" s="6">
        <v>45929</v>
      </c>
      <c r="FQ8">
        <v>5</v>
      </c>
      <c r="FR8">
        <v>291192192</v>
      </c>
      <c r="FS8">
        <v>60401289</v>
      </c>
      <c r="FT8" t="s">
        <v>2503</v>
      </c>
      <c r="FY8" t="s">
        <v>2317</v>
      </c>
      <c r="FZ8" t="s">
        <v>1820</v>
      </c>
      <c r="GA8">
        <v>6.234559</v>
      </c>
      <c r="GB8">
        <v>1.5138720000000001</v>
      </c>
      <c r="GC8" t="s">
        <v>1762</v>
      </c>
      <c r="GD8">
        <v>2025</v>
      </c>
      <c r="GE8" t="s">
        <v>2318</v>
      </c>
      <c r="GF8" s="6">
        <v>45897</v>
      </c>
      <c r="GG8">
        <v>5</v>
      </c>
      <c r="GH8">
        <v>137459552</v>
      </c>
      <c r="GI8">
        <v>16532368</v>
      </c>
      <c r="GJ8" t="s">
        <v>2319</v>
      </c>
      <c r="GM8" t="s">
        <v>496</v>
      </c>
      <c r="GN8">
        <v>0.69902799999999998</v>
      </c>
      <c r="GO8" t="s">
        <v>1786</v>
      </c>
      <c r="GP8">
        <v>0.138625</v>
      </c>
      <c r="GQ8" t="s">
        <v>1845</v>
      </c>
      <c r="GR8">
        <v>2025</v>
      </c>
      <c r="GS8" t="s">
        <v>1883</v>
      </c>
      <c r="GT8" s="6">
        <v>45848</v>
      </c>
      <c r="GU8">
        <v>5</v>
      </c>
      <c r="GV8">
        <v>111166424</v>
      </c>
      <c r="GW8">
        <v>100976</v>
      </c>
      <c r="GX8" t="s">
        <v>1888</v>
      </c>
      <c r="HC8" t="s">
        <v>2218</v>
      </c>
      <c r="HE8">
        <v>-2.4245362661989844E-14</v>
      </c>
      <c r="HF8">
        <v>-2.4245362661989844E-14</v>
      </c>
      <c r="HG8" t="s">
        <v>1805</v>
      </c>
      <c r="HH8">
        <v>2026</v>
      </c>
      <c r="HI8" t="s">
        <v>2219</v>
      </c>
      <c r="HJ8" s="6">
        <v>45996</v>
      </c>
      <c r="HK8">
        <v>5</v>
      </c>
      <c r="HL8">
        <v>-2.4245362661989844E-14</v>
      </c>
      <c r="HM8">
        <v>114153</v>
      </c>
      <c r="HN8" t="s">
        <v>2220</v>
      </c>
      <c r="HQ8" t="s">
        <v>1946</v>
      </c>
      <c r="HR8">
        <v>-2.4245362661989844E-14</v>
      </c>
      <c r="HT8">
        <v>-2.4245362661989844E-14</v>
      </c>
      <c r="HU8" t="s">
        <v>1745</v>
      </c>
      <c r="HV8">
        <v>2021</v>
      </c>
      <c r="HW8" t="s">
        <v>1947</v>
      </c>
      <c r="HX8" s="6">
        <v>44683</v>
      </c>
      <c r="HY8">
        <v>5</v>
      </c>
      <c r="HZ8">
        <v>-2.4245362661989844E-14</v>
      </c>
      <c r="IA8">
        <v>10758505</v>
      </c>
      <c r="IB8" t="s">
        <v>1948</v>
      </c>
      <c r="IG8" t="s">
        <v>5127</v>
      </c>
      <c r="II8">
        <v>-2.4245362661989844E-14</v>
      </c>
      <c r="IJ8">
        <v>-2.4245362661989844E-14</v>
      </c>
      <c r="IK8" t="s">
        <v>1745</v>
      </c>
      <c r="IL8">
        <v>2024</v>
      </c>
      <c r="IM8" t="s">
        <v>5128</v>
      </c>
      <c r="IN8" s="6">
        <v>45714</v>
      </c>
      <c r="IO8">
        <v>5</v>
      </c>
      <c r="IP8">
        <v>-2.4245362661989844E-14</v>
      </c>
      <c r="IQ8">
        <v>100457</v>
      </c>
      <c r="IR8" t="s">
        <v>5129</v>
      </c>
      <c r="KO8" t="s">
        <v>4387</v>
      </c>
      <c r="KQ8">
        <v>-2.4245362661989844E-14</v>
      </c>
      <c r="KR8">
        <v>-2.4245362661989844E-14</v>
      </c>
      <c r="KS8" t="s">
        <v>1745</v>
      </c>
      <c r="KT8">
        <v>2025</v>
      </c>
      <c r="KU8" t="s">
        <v>4318</v>
      </c>
      <c r="KV8" s="6">
        <v>45700</v>
      </c>
      <c r="KW8">
        <v>5</v>
      </c>
      <c r="KX8">
        <v>-2.4245362661989844E-14</v>
      </c>
      <c r="KY8">
        <v>49686350</v>
      </c>
      <c r="KZ8" t="s">
        <v>4388</v>
      </c>
      <c r="LC8" t="s">
        <v>4314</v>
      </c>
      <c r="LD8">
        <v>-2.4245362661989844E-14</v>
      </c>
      <c r="LF8">
        <v>-2.4245362661989844E-14</v>
      </c>
      <c r="LG8" t="s">
        <v>1745</v>
      </c>
      <c r="LH8">
        <v>2023</v>
      </c>
      <c r="LI8" t="s">
        <v>4315</v>
      </c>
      <c r="LJ8" s="6">
        <v>45380</v>
      </c>
      <c r="LK8">
        <v>5</v>
      </c>
      <c r="LL8">
        <v>-2.4245362661989844E-14</v>
      </c>
      <c r="LM8">
        <v>17242472</v>
      </c>
      <c r="LN8" t="s">
        <v>4316</v>
      </c>
      <c r="MW8" t="s">
        <v>3893</v>
      </c>
      <c r="MX8" t="s">
        <v>1786</v>
      </c>
      <c r="MY8">
        <v>11.498512</v>
      </c>
      <c r="MZ8">
        <v>6.08E-2</v>
      </c>
      <c r="NA8" t="s">
        <v>1745</v>
      </c>
      <c r="NB8">
        <v>2025</v>
      </c>
      <c r="NC8" t="s">
        <v>3623</v>
      </c>
      <c r="ND8" s="6">
        <v>46072</v>
      </c>
      <c r="NE8">
        <v>5</v>
      </c>
      <c r="NF8">
        <v>225000</v>
      </c>
      <c r="NG8">
        <v>36015039</v>
      </c>
      <c r="NH8" t="s">
        <v>3894</v>
      </c>
      <c r="NK8" t="s">
        <v>3625</v>
      </c>
      <c r="NL8">
        <v>1.5639380000000001</v>
      </c>
      <c r="NM8" t="s">
        <v>1786</v>
      </c>
      <c r="NN8">
        <v>0.13366600000000001</v>
      </c>
      <c r="NO8" t="s">
        <v>1762</v>
      </c>
      <c r="NP8">
        <v>2025</v>
      </c>
      <c r="NQ8" t="s">
        <v>3624</v>
      </c>
      <c r="NR8" s="6">
        <v>45870</v>
      </c>
      <c r="NS8">
        <v>5</v>
      </c>
      <c r="NT8">
        <v>9593399</v>
      </c>
      <c r="NU8">
        <v>1459396</v>
      </c>
      <c r="NV8" t="s">
        <v>3626</v>
      </c>
    </row>
    <row r="9" spans="1:600" x14ac:dyDescent="0.25">
      <c r="O9" t="s">
        <v>5061</v>
      </c>
      <c r="P9">
        <v>-2.4245362661989844E-14</v>
      </c>
      <c r="R9">
        <v>-2.4245362661989844E-14</v>
      </c>
      <c r="S9" t="s">
        <v>1745</v>
      </c>
      <c r="T9">
        <v>2022</v>
      </c>
      <c r="U9" t="s">
        <v>5059</v>
      </c>
      <c r="V9" s="6">
        <v>44979</v>
      </c>
      <c r="W9">
        <v>5</v>
      </c>
      <c r="X9">
        <v>-2.4245362661989844E-14</v>
      </c>
      <c r="Y9">
        <v>7337833</v>
      </c>
      <c r="Z9" t="s">
        <v>5062</v>
      </c>
      <c r="BI9" t="s">
        <v>4775</v>
      </c>
      <c r="BJ9" t="s">
        <v>1820</v>
      </c>
      <c r="BK9">
        <v>0.92833299999999996</v>
      </c>
      <c r="BL9">
        <v>1.998883</v>
      </c>
      <c r="BM9" t="s">
        <v>1742</v>
      </c>
      <c r="BN9">
        <v>2025</v>
      </c>
      <c r="BO9" t="s">
        <v>4771</v>
      </c>
      <c r="BP9" s="6">
        <v>45958</v>
      </c>
      <c r="BQ9">
        <v>5</v>
      </c>
      <c r="BR9">
        <v>14531879</v>
      </c>
      <c r="BS9">
        <v>58890738</v>
      </c>
      <c r="BT9" t="s">
        <v>4776</v>
      </c>
      <c r="BW9" t="s">
        <v>4190</v>
      </c>
      <c r="BX9">
        <v>-2.4245362661989844E-14</v>
      </c>
      <c r="BZ9">
        <v>-2.4245362661989844E-14</v>
      </c>
      <c r="CA9" t="s">
        <v>1745</v>
      </c>
      <c r="CB9">
        <v>2021</v>
      </c>
      <c r="CC9" t="s">
        <v>4191</v>
      </c>
      <c r="CD9" s="6">
        <v>44694</v>
      </c>
      <c r="CE9">
        <v>5</v>
      </c>
      <c r="CF9">
        <v>-2.4245362661989844E-14</v>
      </c>
      <c r="CG9">
        <v>154157</v>
      </c>
      <c r="CH9" t="s">
        <v>4192</v>
      </c>
      <c r="CM9" t="s">
        <v>2989</v>
      </c>
      <c r="CO9">
        <v>-2.4245362661989844E-14</v>
      </c>
      <c r="CP9">
        <v>-2.4245362661989844E-14</v>
      </c>
      <c r="CQ9" t="s">
        <v>1742</v>
      </c>
      <c r="CR9">
        <v>2023</v>
      </c>
      <c r="CS9" t="s">
        <v>3032</v>
      </c>
      <c r="CT9" s="6">
        <v>45231</v>
      </c>
      <c r="CU9">
        <v>5</v>
      </c>
      <c r="CV9">
        <v>-2.4245362661989844E-14</v>
      </c>
      <c r="CW9">
        <v>69762655</v>
      </c>
      <c r="CX9" t="s">
        <v>2991</v>
      </c>
      <c r="DQ9" t="s">
        <v>3928</v>
      </c>
      <c r="DR9" t="s">
        <v>1820</v>
      </c>
      <c r="DS9">
        <v>1.4710000000000001E-3</v>
      </c>
      <c r="DT9">
        <v>6.0596999999999998E-2</v>
      </c>
      <c r="DU9" t="s">
        <v>1742</v>
      </c>
      <c r="DV9">
        <v>2025</v>
      </c>
      <c r="DW9" t="s">
        <v>3929</v>
      </c>
      <c r="DX9" s="6">
        <v>45964</v>
      </c>
      <c r="DY9">
        <v>5</v>
      </c>
      <c r="DZ9">
        <v>7635</v>
      </c>
      <c r="EA9">
        <v>16546862</v>
      </c>
      <c r="EB9" t="s">
        <v>3930</v>
      </c>
      <c r="EE9" t="s">
        <v>3603</v>
      </c>
      <c r="EF9">
        <v>-2.4245362661989844E-14</v>
      </c>
      <c r="EH9">
        <v>-2.4245362661989844E-14</v>
      </c>
      <c r="EI9" t="s">
        <v>1993</v>
      </c>
      <c r="EJ9">
        <v>2025</v>
      </c>
      <c r="EK9" t="s">
        <v>3604</v>
      </c>
      <c r="EL9" s="6">
        <v>45883</v>
      </c>
      <c r="EM9">
        <v>5</v>
      </c>
      <c r="EN9">
        <v>-2.4245362661989844E-14</v>
      </c>
      <c r="EO9">
        <v>19335991</v>
      </c>
      <c r="EP9" t="s">
        <v>3605</v>
      </c>
      <c r="EU9" t="s">
        <v>385</v>
      </c>
      <c r="EV9" t="s">
        <v>2416</v>
      </c>
      <c r="EW9">
        <v>0.29407699999999998</v>
      </c>
      <c r="EX9">
        <v>2.7836400000000001</v>
      </c>
      <c r="EY9" t="s">
        <v>1745</v>
      </c>
      <c r="EZ9">
        <v>2025</v>
      </c>
      <c r="FA9" t="s">
        <v>2150</v>
      </c>
      <c r="FB9" s="6">
        <v>46064</v>
      </c>
      <c r="FC9">
        <v>5</v>
      </c>
      <c r="FD9">
        <v>69250000</v>
      </c>
      <c r="FE9">
        <v>100828</v>
      </c>
      <c r="FF9" t="s">
        <v>2464</v>
      </c>
      <c r="FI9" t="s">
        <v>842</v>
      </c>
      <c r="FJ9">
        <v>1.0236080000000001</v>
      </c>
      <c r="FK9" t="s">
        <v>1786</v>
      </c>
      <c r="FL9">
        <v>0.137097</v>
      </c>
      <c r="FM9" t="s">
        <v>1762</v>
      </c>
      <c r="FN9">
        <v>2025</v>
      </c>
      <c r="FO9" t="s">
        <v>5642</v>
      </c>
      <c r="FP9" s="6">
        <v>45929</v>
      </c>
      <c r="FQ9">
        <v>5</v>
      </c>
      <c r="FR9">
        <v>125586464</v>
      </c>
      <c r="FS9">
        <v>101548</v>
      </c>
      <c r="FT9" t="s">
        <v>1889</v>
      </c>
      <c r="FY9" t="s">
        <v>734</v>
      </c>
      <c r="FZ9" t="s">
        <v>1820</v>
      </c>
      <c r="GA9">
        <v>3.6037650000000001</v>
      </c>
      <c r="GB9">
        <v>0.90356199999999998</v>
      </c>
      <c r="GC9" t="s">
        <v>1762</v>
      </c>
      <c r="GD9">
        <v>2026</v>
      </c>
      <c r="GE9" t="s">
        <v>2320</v>
      </c>
      <c r="GF9" s="6">
        <v>46059</v>
      </c>
      <c r="GG9">
        <v>5</v>
      </c>
      <c r="GH9">
        <v>108725592</v>
      </c>
      <c r="GI9">
        <v>101643</v>
      </c>
      <c r="GJ9" t="s">
        <v>2321</v>
      </c>
      <c r="GM9" t="s">
        <v>842</v>
      </c>
      <c r="GN9">
        <v>0.66108800000000001</v>
      </c>
      <c r="GO9" t="s">
        <v>1786</v>
      </c>
      <c r="GP9">
        <v>0.122531</v>
      </c>
      <c r="GQ9" t="s">
        <v>1845</v>
      </c>
      <c r="GR9">
        <v>2025</v>
      </c>
      <c r="GS9" t="s">
        <v>1883</v>
      </c>
      <c r="GT9" s="6">
        <v>45848</v>
      </c>
      <c r="GU9">
        <v>5</v>
      </c>
      <c r="GV9">
        <v>105132824</v>
      </c>
      <c r="GW9">
        <v>101548</v>
      </c>
      <c r="GX9" t="s">
        <v>1889</v>
      </c>
      <c r="HC9" t="s">
        <v>2221</v>
      </c>
      <c r="HE9">
        <v>-2.4245362661989844E-14</v>
      </c>
      <c r="HF9">
        <v>-2.4245362661989844E-14</v>
      </c>
      <c r="HG9" t="s">
        <v>1742</v>
      </c>
      <c r="HH9">
        <v>2022</v>
      </c>
      <c r="HI9" t="s">
        <v>2222</v>
      </c>
      <c r="HJ9" s="6">
        <v>44896</v>
      </c>
      <c r="HK9">
        <v>5</v>
      </c>
      <c r="HL9">
        <v>-2.4245362661989844E-14</v>
      </c>
      <c r="HM9">
        <v>10418343</v>
      </c>
      <c r="HN9" t="s">
        <v>2223</v>
      </c>
      <c r="HQ9" t="s">
        <v>1949</v>
      </c>
      <c r="HR9">
        <v>-2.4245362661989844E-14</v>
      </c>
      <c r="HT9">
        <v>-2.4245362661989844E-14</v>
      </c>
      <c r="HU9" t="s">
        <v>1798</v>
      </c>
      <c r="HV9">
        <v>2025</v>
      </c>
      <c r="HW9" t="s">
        <v>1950</v>
      </c>
      <c r="HX9" s="6">
        <v>45961</v>
      </c>
      <c r="HY9">
        <v>5</v>
      </c>
      <c r="HZ9">
        <v>-2.4245362661989844E-14</v>
      </c>
      <c r="IA9">
        <v>157171</v>
      </c>
      <c r="IB9" t="s">
        <v>1951</v>
      </c>
      <c r="IG9" t="s">
        <v>5130</v>
      </c>
      <c r="II9">
        <v>-2.4245362661989844E-14</v>
      </c>
      <c r="IJ9">
        <v>-2.4245362661989844E-14</v>
      </c>
      <c r="IK9" t="s">
        <v>1762</v>
      </c>
      <c r="IL9">
        <v>2024</v>
      </c>
      <c r="IM9" t="s">
        <v>5131</v>
      </c>
      <c r="IN9" s="6">
        <v>45433</v>
      </c>
      <c r="IO9">
        <v>5</v>
      </c>
      <c r="IP9">
        <v>-2.4245362661989844E-14</v>
      </c>
      <c r="IQ9">
        <v>103350</v>
      </c>
      <c r="IR9" t="s">
        <v>5132</v>
      </c>
      <c r="KO9" t="s">
        <v>4389</v>
      </c>
      <c r="KQ9">
        <v>-2.4245362661989844E-14</v>
      </c>
      <c r="KR9">
        <v>-2.4245362661989844E-14</v>
      </c>
      <c r="KS9" t="s">
        <v>1745</v>
      </c>
      <c r="KT9">
        <v>2024</v>
      </c>
      <c r="KU9" t="s">
        <v>4390</v>
      </c>
      <c r="KV9" s="6">
        <v>45707</v>
      </c>
      <c r="KW9">
        <v>5</v>
      </c>
      <c r="KX9">
        <v>-2.4245362661989844E-14</v>
      </c>
      <c r="KY9">
        <v>8162887</v>
      </c>
      <c r="KZ9" t="s">
        <v>4391</v>
      </c>
      <c r="LC9" t="s">
        <v>4317</v>
      </c>
      <c r="LD9">
        <v>-2.4245362661989844E-14</v>
      </c>
      <c r="LF9">
        <v>-2.4245362661989844E-14</v>
      </c>
      <c r="LG9" t="s">
        <v>1745</v>
      </c>
      <c r="LH9">
        <v>2022</v>
      </c>
      <c r="LI9" t="s">
        <v>4318</v>
      </c>
      <c r="LJ9" s="6">
        <v>44931</v>
      </c>
      <c r="LK9">
        <v>5</v>
      </c>
      <c r="LL9">
        <v>-2.4245362661989844E-14</v>
      </c>
      <c r="LM9">
        <v>33887145</v>
      </c>
      <c r="LN9" t="s">
        <v>4319</v>
      </c>
      <c r="MW9" t="s">
        <v>3895</v>
      </c>
      <c r="MX9" t="s">
        <v>1786</v>
      </c>
      <c r="MY9">
        <v>0.19641</v>
      </c>
      <c r="MZ9">
        <v>5.9812999999999998E-2</v>
      </c>
      <c r="NA9" t="s">
        <v>1809</v>
      </c>
      <c r="NB9">
        <v>2025</v>
      </c>
      <c r="NC9" t="s">
        <v>3896</v>
      </c>
      <c r="ND9" s="6">
        <v>45814</v>
      </c>
      <c r="NE9">
        <v>5</v>
      </c>
      <c r="NF9">
        <v>207582</v>
      </c>
      <c r="NG9">
        <v>136312</v>
      </c>
      <c r="NH9" t="s">
        <v>3897</v>
      </c>
      <c r="NK9" t="s">
        <v>86</v>
      </c>
      <c r="NL9">
        <v>1.452677</v>
      </c>
      <c r="NM9" t="s">
        <v>1786</v>
      </c>
      <c r="NN9">
        <v>1.3642E-2</v>
      </c>
      <c r="NO9" t="s">
        <v>1762</v>
      </c>
      <c r="NP9">
        <v>2025</v>
      </c>
      <c r="NQ9" t="s">
        <v>3624</v>
      </c>
      <c r="NR9" s="6">
        <v>45870</v>
      </c>
      <c r="NS9">
        <v>5</v>
      </c>
      <c r="NT9">
        <v>8910910</v>
      </c>
      <c r="NU9">
        <v>100193</v>
      </c>
      <c r="NV9" t="s">
        <v>1849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1123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1124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1125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1126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1127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1128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1129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1130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1131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1132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1133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1134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1135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1136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1137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1138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1139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1140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1141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912</v>
      </c>
      <c r="AE2" s="3" t="s">
        <v>432</v>
      </c>
      <c r="BI2" s="3" t="s">
        <v>1142</v>
      </c>
      <c r="CM2" s="3" t="s">
        <v>643</v>
      </c>
      <c r="DQ2" s="3" t="s">
        <v>979</v>
      </c>
      <c r="EU2" s="3" t="s">
        <v>1143</v>
      </c>
      <c r="FY2" s="3" t="s">
        <v>1144</v>
      </c>
      <c r="HC2" s="3" t="s">
        <v>1010</v>
      </c>
      <c r="IG2" s="3" t="s">
        <v>1145</v>
      </c>
      <c r="JK2" s="3" t="s">
        <v>1146</v>
      </c>
      <c r="KO2" s="3" t="s">
        <v>913</v>
      </c>
      <c r="LS2" s="3" t="s">
        <v>1147</v>
      </c>
      <c r="MW2" s="3" t="s">
        <v>522</v>
      </c>
      <c r="OA2" s="3" t="s">
        <v>1148</v>
      </c>
      <c r="PE2" s="3" t="s">
        <v>1149</v>
      </c>
      <c r="QI2" s="3" t="s">
        <v>1009</v>
      </c>
      <c r="RM2" s="3" t="s">
        <v>1150</v>
      </c>
      <c r="SQ2" s="3" t="s">
        <v>563</v>
      </c>
      <c r="TU2" s="3" t="s">
        <v>1151</v>
      </c>
      <c r="UY2" s="3" t="s">
        <v>1152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_xll.BDS("MCHP US Equity","SUPPLY_CHAIN_SUPPLIERS_ALL_DATA","cols=12;rows=5")</f>
        <v>GFS US Equity</v>
      </c>
      <c r="B5" t="s">
        <v>1786</v>
      </c>
      <c r="C5">
        <v>0.92524700000000004</v>
      </c>
      <c r="D5">
        <v>3.1242359999999998</v>
      </c>
      <c r="E5" t="s">
        <v>1809</v>
      </c>
      <c r="F5">
        <v>2025</v>
      </c>
      <c r="G5" t="s">
        <v>3991</v>
      </c>
      <c r="H5" s="6">
        <v>45792</v>
      </c>
      <c r="I5">
        <v>5</v>
      </c>
      <c r="J5">
        <v>14665165</v>
      </c>
      <c r="K5">
        <v>15242973</v>
      </c>
      <c r="L5" t="s">
        <v>3992</v>
      </c>
      <c r="O5" t="str">
        <f>_xll.BDS("MCHP US Equity","SUPPLY_CHAIN_CUSTOMERS_ALL_DATA","cols=12;rows=5")</f>
        <v>ARW US Equity</v>
      </c>
      <c r="P5">
        <v>12</v>
      </c>
      <c r="Q5" t="s">
        <v>1786</v>
      </c>
      <c r="R5">
        <v>1.987511</v>
      </c>
      <c r="S5" t="s">
        <v>1798</v>
      </c>
      <c r="T5">
        <v>2026</v>
      </c>
      <c r="U5" t="s">
        <v>3846</v>
      </c>
      <c r="V5" s="6">
        <v>46058</v>
      </c>
      <c r="W5">
        <v>5</v>
      </c>
      <c r="X5">
        <v>136076000</v>
      </c>
      <c r="Y5">
        <v>100115</v>
      </c>
      <c r="Z5" t="s">
        <v>1816</v>
      </c>
      <c r="AE5" t="str">
        <f>_xll.BDS("9990822D US Equity","SUPPLY_CHAIN_SUPPLIERS_ALL_DATA","cols=12;rows=1")</f>
        <v>AMZN US Equity</v>
      </c>
      <c r="AG5">
        <v>-2.4245362661989844E-14</v>
      </c>
      <c r="AH5">
        <v>-2.4245362661989844E-14</v>
      </c>
      <c r="AI5" t="s">
        <v>1745</v>
      </c>
      <c r="AJ5">
        <v>2025</v>
      </c>
      <c r="AK5" t="s">
        <v>3186</v>
      </c>
      <c r="AL5" s="6">
        <v>45993</v>
      </c>
      <c r="AM5">
        <v>1</v>
      </c>
      <c r="AN5">
        <v>-2.4245362661989844E-14</v>
      </c>
      <c r="AO5">
        <v>216952</v>
      </c>
      <c r="AP5" t="s">
        <v>1886</v>
      </c>
      <c r="AS5" t="str">
        <f>_xll.BDS("9990822D US Equity","SUPPLY_CHAIN_CUSTOMERS_ALL_DATA","cols=12;rows=3")</f>
        <v>0759608D US Equity</v>
      </c>
      <c r="AT5">
        <v>-2.4245362661989844E-14</v>
      </c>
      <c r="AV5">
        <v>-2.4245362661989844E-14</v>
      </c>
      <c r="AW5" t="s">
        <v>1745</v>
      </c>
      <c r="AX5">
        <v>2023</v>
      </c>
      <c r="AY5" t="s">
        <v>3154</v>
      </c>
      <c r="AZ5" s="6">
        <v>44972</v>
      </c>
      <c r="BA5">
        <v>3</v>
      </c>
      <c r="BB5">
        <v>-2.4245362661989844E-14</v>
      </c>
      <c r="BC5">
        <v>22120244</v>
      </c>
      <c r="BD5" t="s">
        <v>3155</v>
      </c>
      <c r="BI5" t="str">
        <f>_xll.BDS("MWV US Equity","SUPPLY_CHAIN_SUPPLIERS_ALL_DATA")</f>
        <v>#N/A N/A</v>
      </c>
      <c r="BW5" t="str">
        <f>_xll.BDS("MWV US Equity","SUPPLY_CHAIN_CUSTOMERS_ALL_DATA")</f>
        <v>#N/A N/A</v>
      </c>
      <c r="CM5" t="str">
        <f>_xll.BDS("CRBC US Equity","SUPPLY_CHAIN_SUPPLIERS_ALL_DATA")</f>
        <v>#N/A N/A</v>
      </c>
      <c r="DA5" t="str">
        <f>_xll.BDS("CRBC US Equity","SUPPLY_CHAIN_CUSTOMERS_ALL_DATA")</f>
        <v>#N/A N/A</v>
      </c>
      <c r="DQ5" t="str">
        <f>_xll.BDS("PACW US Equity","SUPPLY_CHAIN_SUPPLIERS_ALL_DATA")</f>
        <v>#N/A N/A</v>
      </c>
      <c r="EE5" t="str">
        <f>_xll.BDS("PACW US Equity","SUPPLY_CHAIN_CUSTOMERS_ALL_DATA","cols=12;rows=1")</f>
        <v>SNX US Equity</v>
      </c>
      <c r="EF5">
        <v>-2.4245362661989844E-14</v>
      </c>
      <c r="EH5">
        <v>-2.4245362661989844E-14</v>
      </c>
      <c r="EI5" t="s">
        <v>1745</v>
      </c>
      <c r="EJ5">
        <v>2021</v>
      </c>
      <c r="EK5" t="s">
        <v>3645</v>
      </c>
      <c r="EL5" s="6">
        <v>44656</v>
      </c>
      <c r="EM5">
        <v>1</v>
      </c>
      <c r="EN5">
        <v>-2.4245362661989844E-14</v>
      </c>
      <c r="EO5">
        <v>1499717</v>
      </c>
      <c r="EP5" t="s">
        <v>1864</v>
      </c>
      <c r="EU5" t="str">
        <f>_xll.BDS("2213185D US Equity","SUPPLY_CHAIN_SUPPLIERS_ALL_DATA")</f>
        <v>#N/A N/A</v>
      </c>
      <c r="FI5" t="str">
        <f>_xll.BDS("2213185D US Equity","SUPPLY_CHAIN_CUSTOMERS_ALL_DATA")</f>
        <v>#N/A N/A</v>
      </c>
      <c r="FY5" t="str">
        <f>_xll.BDS("F US Equity","SUPPLY_CHAIN_SUPPLIERS_ALL_DATA","cols=12;rows=5")</f>
        <v>FROTO TI Equity</v>
      </c>
      <c r="FZ5" t="s">
        <v>1786</v>
      </c>
      <c r="GA5">
        <v>74.58699</v>
      </c>
      <c r="GB5">
        <v>7.719411</v>
      </c>
      <c r="GC5" t="s">
        <v>1745</v>
      </c>
      <c r="GD5">
        <v>2024</v>
      </c>
      <c r="GE5" t="s">
        <v>2359</v>
      </c>
      <c r="GF5" s="6">
        <v>45854</v>
      </c>
      <c r="GG5">
        <v>5</v>
      </c>
      <c r="GH5">
        <v>3381363955.5100002</v>
      </c>
      <c r="GI5">
        <v>154566</v>
      </c>
      <c r="GJ5" t="s">
        <v>2360</v>
      </c>
      <c r="GM5" t="str">
        <f>_xll.BDS("F US Equity","SUPPLY_CHAIN_CUSTOMERS_ALL_DATA","cols=12;rows=5")</f>
        <v>LAD US Equity</v>
      </c>
      <c r="GN5">
        <v>0.97594800000000004</v>
      </c>
      <c r="GO5" t="s">
        <v>1786</v>
      </c>
      <c r="GP5">
        <v>5.497776</v>
      </c>
      <c r="GQ5" t="s">
        <v>1742</v>
      </c>
      <c r="GR5">
        <v>2025</v>
      </c>
      <c r="GS5" t="s">
        <v>4162</v>
      </c>
      <c r="GT5" s="6">
        <v>45979</v>
      </c>
      <c r="GU5">
        <v>5</v>
      </c>
      <c r="GV5">
        <v>451356416</v>
      </c>
      <c r="GW5">
        <v>194917</v>
      </c>
      <c r="GX5" t="s">
        <v>4163</v>
      </c>
      <c r="HC5" t="str">
        <f>_xll.BDS("MS US Equity","SUPPLY_CHAIN_SUPPLIERS_ALL_DATA","cols=12;rows=5")</f>
        <v>DLR US Equity</v>
      </c>
      <c r="HD5" t="s">
        <v>1769</v>
      </c>
      <c r="HE5">
        <v>0.65346000000000004</v>
      </c>
      <c r="HF5">
        <v>9.1481999999999994E-2</v>
      </c>
      <c r="HG5" t="s">
        <v>1745</v>
      </c>
      <c r="HH5">
        <v>2025</v>
      </c>
      <c r="HI5" t="s">
        <v>5002</v>
      </c>
      <c r="HJ5" s="6">
        <v>46066</v>
      </c>
      <c r="HK5">
        <v>5</v>
      </c>
      <c r="HL5">
        <v>9986000</v>
      </c>
      <c r="HM5">
        <v>9084002</v>
      </c>
      <c r="HN5" t="s">
        <v>5003</v>
      </c>
      <c r="HQ5" t="str">
        <f>_xll.BDS("MS US Equity","SUPPLY_CHAIN_CUSTOMERS_ALL_DATA","cols=12;rows=5")</f>
        <v>012690 KS Equity</v>
      </c>
      <c r="HR5">
        <v>-2.4245362661989844E-14</v>
      </c>
      <c r="HT5">
        <v>-2.4245362661989844E-14</v>
      </c>
      <c r="HU5" t="s">
        <v>2435</v>
      </c>
      <c r="HV5">
        <v>2023</v>
      </c>
      <c r="HW5" t="s">
        <v>4708</v>
      </c>
      <c r="HX5" s="6">
        <v>45061</v>
      </c>
      <c r="HY5">
        <v>5</v>
      </c>
      <c r="HZ5">
        <v>-2.4245362661989844E-14</v>
      </c>
      <c r="IA5">
        <v>129275</v>
      </c>
      <c r="IB5" t="s">
        <v>4709</v>
      </c>
      <c r="IG5" t="str">
        <f>_xll.BDS("BVSN US Equity","SUPPLY_CHAIN_SUPPLIERS_ALL_DATA")</f>
        <v>#N/A N/A</v>
      </c>
      <c r="IU5" t="str">
        <f>_xll.BDS("BVSN US Equity","SUPPLY_CHAIN_CUSTOMERS_ALL_DATA")</f>
        <v>#N/A N/A</v>
      </c>
      <c r="JK5" t="str">
        <f>_xll.BDS("KIM US Equity","SUPPLY_CHAIN_SUPPLIERS_ALL_DATA","cols=12;rows=1")</f>
        <v>WOOD IJ Equity</v>
      </c>
      <c r="JM5">
        <v>-2.4245362661989844E-14</v>
      </c>
      <c r="JN5">
        <v>-2.4245362661989844E-14</v>
      </c>
      <c r="JO5" t="s">
        <v>1745</v>
      </c>
      <c r="JP5">
        <v>2023</v>
      </c>
      <c r="JQ5" t="s">
        <v>3306</v>
      </c>
      <c r="JR5" s="6">
        <v>45412</v>
      </c>
      <c r="JS5">
        <v>1</v>
      </c>
      <c r="JT5">
        <v>-2.4245362661989844E-14</v>
      </c>
      <c r="JU5">
        <v>53777122</v>
      </c>
      <c r="JV5" t="s">
        <v>3307</v>
      </c>
      <c r="JY5" t="str">
        <f>_xll.BDS("KIM US Equity","SUPPLY_CHAIN_CUSTOMERS_ALL_DATA","cols=12;rows=5")</f>
        <v>TJX US Equity</v>
      </c>
      <c r="JZ5">
        <v>3.0607549999999999</v>
      </c>
      <c r="KA5" t="s">
        <v>1769</v>
      </c>
      <c r="KB5">
        <v>0.57157999999999998</v>
      </c>
      <c r="KC5" t="s">
        <v>1745</v>
      </c>
      <c r="KD5">
        <v>2024</v>
      </c>
      <c r="KE5" t="s">
        <v>3652</v>
      </c>
      <c r="KF5" s="6">
        <v>45695</v>
      </c>
      <c r="KG5">
        <v>5</v>
      </c>
      <c r="KH5">
        <v>15587000</v>
      </c>
      <c r="KI5">
        <v>101481</v>
      </c>
      <c r="KJ5" t="s">
        <v>1966</v>
      </c>
      <c r="KO5" t="str">
        <f>_xll.BDS("390297Q US Equity","SUPPLY_CHAIN_SUPPLIERS_ALL_DATA")</f>
        <v>#N/A N/A</v>
      </c>
      <c r="LC5" t="str">
        <f>_xll.BDS("390297Q US Equity","SUPPLY_CHAIN_CUSTOMERS_ALL_DATA")</f>
        <v>#N/A N/A</v>
      </c>
      <c r="LS5" t="str">
        <f>_xll.BDS("GEN US Equity","SUPPLY_CHAIN_SUPPLIERS_ALL_DATA","cols=12;rows=5")</f>
        <v>354 HK Equity</v>
      </c>
      <c r="LT5" t="s">
        <v>1769</v>
      </c>
      <c r="LU5">
        <v>9.7283999999999995E-2</v>
      </c>
      <c r="LV5">
        <v>0.15382699999999999</v>
      </c>
      <c r="LW5" t="s">
        <v>1762</v>
      </c>
      <c r="LX5">
        <v>2025</v>
      </c>
      <c r="LY5" t="s">
        <v>2398</v>
      </c>
      <c r="LZ5" s="6">
        <v>45944</v>
      </c>
      <c r="MA5">
        <v>5</v>
      </c>
      <c r="MB5">
        <v>570196.56999999995</v>
      </c>
      <c r="MC5">
        <v>8157006</v>
      </c>
      <c r="MD5" t="s">
        <v>2399</v>
      </c>
      <c r="MG5" t="str">
        <f>_xll.BDS("GEN US Equity","SUPPLY_CHAIN_CUSTOMERS_ALL_DATA","cols=12;rows=5")</f>
        <v>BABA US Equity</v>
      </c>
      <c r="MH5">
        <v>1.718623</v>
      </c>
      <c r="MI5" t="s">
        <v>1786</v>
      </c>
      <c r="MJ5">
        <v>0.10999200000000001</v>
      </c>
      <c r="MK5" t="s">
        <v>1809</v>
      </c>
      <c r="ML5">
        <v>2026</v>
      </c>
      <c r="MM5" t="s">
        <v>2083</v>
      </c>
      <c r="MN5" s="6">
        <v>45973</v>
      </c>
      <c r="MO5">
        <v>5</v>
      </c>
      <c r="MP5">
        <v>20754987.789999999</v>
      </c>
      <c r="MQ5">
        <v>16857643</v>
      </c>
      <c r="MR5" t="s">
        <v>2084</v>
      </c>
      <c r="MW5" t="str">
        <f>_xll.BDS("INDB US Equity","SUPPLY_CHAIN_SUPPLIERS_ALL_DATA")</f>
        <v>#N/A N/A</v>
      </c>
      <c r="NK5" t="str">
        <f>_xll.BDS("INDB US Equity","SUPPLY_CHAIN_CUSTOMERS_ALL_DATA")</f>
        <v>#N/A N/A</v>
      </c>
      <c r="OA5" t="str">
        <f>_xll.BDS("RSLN US Equity","SUPPLY_CHAIN_SUPPLIERS_ALL_DATA")</f>
        <v>#N/A N/A</v>
      </c>
      <c r="OO5" t="str">
        <f>_xll.BDS("RSLN US Equity","SUPPLY_CHAIN_CUSTOMERS_ALL_DATA")</f>
        <v>#N/A N/A</v>
      </c>
      <c r="PE5" t="str">
        <f>_xll.BDS("DALRQ US Equity","SUPPLY_CHAIN_SUPPLIERS_ALL_DATA")</f>
        <v>#N/A N/A</v>
      </c>
      <c r="PS5" t="str">
        <f>_xll.BDS("DALRQ US Equity","SUPPLY_CHAIN_CUSTOMERS_ALL_DATA")</f>
        <v>#N/A N/A</v>
      </c>
      <c r="QI5" t="str">
        <f>_xll.BDS("KMB US Equity","SUPPLY_CHAIN_SUPPLIERS_ALL_DATA","cols=12;rows=5")</f>
        <v>GPK US Equity</v>
      </c>
      <c r="QJ5" t="s">
        <v>1786</v>
      </c>
      <c r="QK5">
        <v>1.0643819999999999</v>
      </c>
      <c r="QL5">
        <v>0.85077700000000001</v>
      </c>
      <c r="QM5" t="s">
        <v>1845</v>
      </c>
      <c r="QN5">
        <v>2025</v>
      </c>
      <c r="QO5" t="s">
        <v>3875</v>
      </c>
      <c r="QP5" s="6">
        <v>46076</v>
      </c>
      <c r="QQ5">
        <v>5</v>
      </c>
      <c r="QR5">
        <v>22383952</v>
      </c>
      <c r="QS5">
        <v>187274</v>
      </c>
      <c r="QT5" t="s">
        <v>3876</v>
      </c>
      <c r="QW5" t="str">
        <f>_xll.BDS("KMB US Equity","SUPPLY_CHAIN_CUSTOMERS_ALL_DATA","cols=12;rows=5")</f>
        <v>WMT US Equity</v>
      </c>
      <c r="QX5">
        <v>16</v>
      </c>
      <c r="QY5" t="s">
        <v>1786</v>
      </c>
      <c r="QZ5">
        <v>0.49151</v>
      </c>
      <c r="RA5" t="s">
        <v>1745</v>
      </c>
      <c r="RB5">
        <v>2025</v>
      </c>
      <c r="RC5" t="s">
        <v>4794</v>
      </c>
      <c r="RD5" s="6">
        <v>46065</v>
      </c>
      <c r="RE5">
        <v>5</v>
      </c>
      <c r="RF5">
        <v>657880000</v>
      </c>
      <c r="RG5">
        <v>101616</v>
      </c>
      <c r="RH5" t="s">
        <v>2098</v>
      </c>
      <c r="RM5" t="str">
        <f>_xll.BDS("RYN US Equity","SUPPLY_CHAIN_SUPPLIERS_ALL_DATA")</f>
        <v>#N/A N/A</v>
      </c>
      <c r="SA5" t="str">
        <f>_xll.BDS("RYN US Equity","SUPPLY_CHAIN_CUSTOMERS_ALL_DATA","cols=12;rows=4")</f>
        <v>004000 KS Equity</v>
      </c>
      <c r="SB5">
        <v>-2.4245362661989844E-14</v>
      </c>
      <c r="SD5">
        <v>-2.4245362661989844E-14</v>
      </c>
      <c r="SE5" t="s">
        <v>1798</v>
      </c>
      <c r="SF5">
        <v>2025</v>
      </c>
      <c r="SG5" t="s">
        <v>3589</v>
      </c>
      <c r="SH5" s="6">
        <v>45975</v>
      </c>
      <c r="SI5">
        <v>4</v>
      </c>
      <c r="SJ5">
        <v>-2.4245362661989844E-14</v>
      </c>
      <c r="SK5">
        <v>129200</v>
      </c>
      <c r="SL5" t="s">
        <v>3590</v>
      </c>
      <c r="SQ5" t="str">
        <f>_xll.BDS("1541946D US Equity","SUPPLY_CHAIN_SUPPLIERS_ALL_DATA")</f>
        <v>#N/A N/A</v>
      </c>
      <c r="TE5" t="str">
        <f>_xll.BDS("1541946D US Equity","SUPPLY_CHAIN_CUSTOMERS_ALL_DATA")</f>
        <v>#N/A N/A</v>
      </c>
      <c r="TU5" t="str">
        <f>_xll.BDS("FRG US Equity","SUPPLY_CHAIN_SUPPLIERS_ALL_DATA","cols=12;rows=5")</f>
        <v>0054018D US Equity</v>
      </c>
      <c r="TW5">
        <v>-2.4245362661989844E-14</v>
      </c>
      <c r="TX5">
        <v>-2.4245362661989844E-14</v>
      </c>
      <c r="TY5" t="s">
        <v>1742</v>
      </c>
      <c r="TZ5">
        <v>2024</v>
      </c>
      <c r="UA5" t="s">
        <v>2885</v>
      </c>
      <c r="UB5" s="6">
        <v>45599</v>
      </c>
      <c r="UC5">
        <v>5</v>
      </c>
      <c r="UD5">
        <v>-2.4245362661989844E-14</v>
      </c>
      <c r="UE5">
        <v>22226380</v>
      </c>
      <c r="UF5" t="s">
        <v>2886</v>
      </c>
      <c r="UI5" t="str">
        <f>_xll.BDS("FRG US Equity","SUPPLY_CHAIN_CUSTOMERS_ALL_DATA")</f>
        <v>#N/A N/A</v>
      </c>
      <c r="UY5" t="str">
        <f>_xll.BDS("SNPS US Equity","SUPPLY_CHAIN_SUPPLIERS_ALL_DATA","cols=12;rows=5")</f>
        <v>000660 KS Equity</v>
      </c>
      <c r="UZ5" t="s">
        <v>1786</v>
      </c>
      <c r="VA5">
        <v>6.9986999999999994E-2</v>
      </c>
      <c r="VB5">
        <v>3.195624</v>
      </c>
      <c r="VC5" t="s">
        <v>1845</v>
      </c>
      <c r="VD5">
        <v>2024</v>
      </c>
      <c r="VE5" t="s">
        <v>2945</v>
      </c>
      <c r="VF5" s="6">
        <v>45805</v>
      </c>
      <c r="VG5">
        <v>5</v>
      </c>
      <c r="VH5">
        <v>8835872.8200000003</v>
      </c>
      <c r="VI5">
        <v>193974</v>
      </c>
      <c r="VJ5" t="s">
        <v>2946</v>
      </c>
      <c r="VM5" t="str">
        <f>_xll.BDS("SNPS US Equity","SUPPLY_CHAIN_CUSTOMERS_ALL_DATA","cols=12;rows=5")</f>
        <v>2454 TT Equity</v>
      </c>
      <c r="VN5">
        <v>3.6540590000000002</v>
      </c>
      <c r="VO5" t="s">
        <v>1786</v>
      </c>
      <c r="VP5">
        <v>2.4199099999999998</v>
      </c>
      <c r="VQ5" t="s">
        <v>1809</v>
      </c>
      <c r="VR5">
        <v>2025</v>
      </c>
      <c r="VS5" t="s">
        <v>1810</v>
      </c>
      <c r="VT5" s="6">
        <v>45866</v>
      </c>
      <c r="VU5">
        <v>5</v>
      </c>
      <c r="VV5">
        <v>58486037.799999997</v>
      </c>
      <c r="VW5">
        <v>7359591</v>
      </c>
      <c r="VX5" t="s">
        <v>1811</v>
      </c>
    </row>
    <row r="6" spans="1:600" x14ac:dyDescent="0.25">
      <c r="A6" t="s">
        <v>3067</v>
      </c>
      <c r="B6" t="s">
        <v>1786</v>
      </c>
      <c r="C6">
        <v>0.30862800000000001</v>
      </c>
      <c r="D6">
        <v>1.2203660000000001</v>
      </c>
      <c r="E6" t="s">
        <v>1742</v>
      </c>
      <c r="F6">
        <v>2025</v>
      </c>
      <c r="G6" t="s">
        <v>3068</v>
      </c>
      <c r="H6" s="6">
        <v>46035</v>
      </c>
      <c r="I6">
        <v>5</v>
      </c>
      <c r="J6">
        <v>6132340</v>
      </c>
      <c r="K6">
        <v>302680</v>
      </c>
      <c r="L6" t="s">
        <v>3069</v>
      </c>
      <c r="O6" t="s">
        <v>3625</v>
      </c>
      <c r="P6">
        <v>4.9519380000000002</v>
      </c>
      <c r="Q6" t="s">
        <v>1786</v>
      </c>
      <c r="R6">
        <v>0.53381100000000004</v>
      </c>
      <c r="S6" t="s">
        <v>1762</v>
      </c>
      <c r="T6">
        <v>2026</v>
      </c>
      <c r="U6" t="s">
        <v>3847</v>
      </c>
      <c r="V6" s="6">
        <v>46035</v>
      </c>
      <c r="W6">
        <v>5</v>
      </c>
      <c r="X6">
        <v>56471900</v>
      </c>
      <c r="Y6">
        <v>1459396</v>
      </c>
      <c r="Z6" t="s">
        <v>3626</v>
      </c>
      <c r="AS6" t="s">
        <v>246</v>
      </c>
      <c r="AT6">
        <v>-2.4245362661989844E-14</v>
      </c>
      <c r="AV6">
        <v>-2.4245362661989844E-14</v>
      </c>
      <c r="AW6" t="s">
        <v>1745</v>
      </c>
      <c r="AX6">
        <v>2023</v>
      </c>
      <c r="AY6" t="s">
        <v>3154</v>
      </c>
      <c r="AZ6" s="6">
        <v>44943</v>
      </c>
      <c r="BA6">
        <v>3</v>
      </c>
      <c r="BB6">
        <v>-2.4245362661989844E-14</v>
      </c>
      <c r="BC6">
        <v>46946968</v>
      </c>
      <c r="BD6" t="s">
        <v>1765</v>
      </c>
      <c r="FY6" t="s">
        <v>3411</v>
      </c>
      <c r="FZ6" t="s">
        <v>1786</v>
      </c>
      <c r="GA6">
        <v>11.806713</v>
      </c>
      <c r="GB6">
        <v>2.6726009999999998</v>
      </c>
      <c r="GC6" t="s">
        <v>1745</v>
      </c>
      <c r="GD6">
        <v>2025</v>
      </c>
      <c r="GE6" t="s">
        <v>4428</v>
      </c>
      <c r="GF6" s="6">
        <v>46079</v>
      </c>
      <c r="GG6">
        <v>5</v>
      </c>
      <c r="GH6">
        <v>1240000000</v>
      </c>
      <c r="GI6">
        <v>109806</v>
      </c>
      <c r="GJ6" t="s">
        <v>3413</v>
      </c>
      <c r="GM6" t="s">
        <v>4164</v>
      </c>
      <c r="GN6">
        <v>0.96360000000000001</v>
      </c>
      <c r="GO6" t="s">
        <v>1786</v>
      </c>
      <c r="GP6">
        <v>7.894552</v>
      </c>
      <c r="GQ6" t="s">
        <v>1845</v>
      </c>
      <c r="GR6">
        <v>2025</v>
      </c>
      <c r="GS6" t="s">
        <v>4165</v>
      </c>
      <c r="GT6" s="6">
        <v>46070</v>
      </c>
      <c r="GU6">
        <v>5</v>
      </c>
      <c r="GV6">
        <v>451126272</v>
      </c>
      <c r="GW6">
        <v>106633</v>
      </c>
      <c r="GX6" t="s">
        <v>4166</v>
      </c>
      <c r="HC6" t="s">
        <v>5004</v>
      </c>
      <c r="HD6" t="s">
        <v>1769</v>
      </c>
      <c r="HE6">
        <v>2.7101419999999998</v>
      </c>
      <c r="HF6">
        <v>5.1628E-2</v>
      </c>
      <c r="HG6" t="s">
        <v>1745</v>
      </c>
      <c r="HH6">
        <v>2024</v>
      </c>
      <c r="HI6" t="s">
        <v>5005</v>
      </c>
      <c r="HJ6" s="6">
        <v>45715</v>
      </c>
      <c r="HK6">
        <v>5</v>
      </c>
      <c r="HL6">
        <v>5132000</v>
      </c>
      <c r="HM6">
        <v>979463</v>
      </c>
      <c r="HN6" t="s">
        <v>5006</v>
      </c>
      <c r="HQ6" t="s">
        <v>4710</v>
      </c>
      <c r="HR6">
        <v>-2.4245362661989844E-14</v>
      </c>
      <c r="HT6">
        <v>-2.4245362661989844E-14</v>
      </c>
      <c r="HU6" t="s">
        <v>1798</v>
      </c>
      <c r="HV6">
        <v>2023</v>
      </c>
      <c r="HW6" t="s">
        <v>4711</v>
      </c>
      <c r="HX6" s="6">
        <v>45244</v>
      </c>
      <c r="HY6">
        <v>5</v>
      </c>
      <c r="HZ6">
        <v>-2.4245362661989844E-14</v>
      </c>
      <c r="IA6">
        <v>866472</v>
      </c>
      <c r="IB6" t="s">
        <v>4712</v>
      </c>
      <c r="JY6" t="s">
        <v>3653</v>
      </c>
      <c r="JZ6">
        <v>1.4744619999999999</v>
      </c>
      <c r="KA6" t="s">
        <v>1769</v>
      </c>
      <c r="KB6">
        <v>0.89694700000000005</v>
      </c>
      <c r="KC6" t="s">
        <v>1745</v>
      </c>
      <c r="KD6">
        <v>2024</v>
      </c>
      <c r="KE6" t="s">
        <v>3652</v>
      </c>
      <c r="KF6" s="6">
        <v>45695</v>
      </c>
      <c r="KG6">
        <v>5</v>
      </c>
      <c r="KH6">
        <v>7508750</v>
      </c>
      <c r="KI6">
        <v>106586</v>
      </c>
      <c r="KJ6" t="s">
        <v>3654</v>
      </c>
      <c r="LS6" t="s">
        <v>2400</v>
      </c>
      <c r="LT6" t="s">
        <v>1820</v>
      </c>
      <c r="LU6">
        <v>1.6036999999999999E-2</v>
      </c>
      <c r="LV6">
        <v>0.55282200000000004</v>
      </c>
      <c r="LW6" t="s">
        <v>1809</v>
      </c>
      <c r="LX6">
        <v>2026</v>
      </c>
      <c r="LY6" t="s">
        <v>2401</v>
      </c>
      <c r="LZ6" s="6">
        <v>46049</v>
      </c>
      <c r="MA6">
        <v>5</v>
      </c>
      <c r="MB6">
        <v>49754</v>
      </c>
      <c r="MC6">
        <v>386537</v>
      </c>
      <c r="MD6" t="s">
        <v>2402</v>
      </c>
      <c r="MG6" t="s">
        <v>357</v>
      </c>
      <c r="MH6">
        <v>1.134592</v>
      </c>
      <c r="MI6" t="s">
        <v>1786</v>
      </c>
      <c r="MJ6">
        <v>8.5527000000000006E-2</v>
      </c>
      <c r="MK6" t="s">
        <v>1845</v>
      </c>
      <c r="ML6">
        <v>2025</v>
      </c>
      <c r="MM6" t="s">
        <v>1887</v>
      </c>
      <c r="MN6" s="6">
        <v>46056</v>
      </c>
      <c r="MO6">
        <v>5</v>
      </c>
      <c r="MP6">
        <v>13842023</v>
      </c>
      <c r="MQ6">
        <v>1499717</v>
      </c>
      <c r="MR6" t="s">
        <v>1864</v>
      </c>
      <c r="QI6" t="s">
        <v>5093</v>
      </c>
      <c r="QJ6" t="s">
        <v>1786</v>
      </c>
      <c r="QK6">
        <v>1.6809879999999999</v>
      </c>
      <c r="QL6">
        <v>0.388326</v>
      </c>
      <c r="QM6" t="s">
        <v>1742</v>
      </c>
      <c r="QN6">
        <v>2025</v>
      </c>
      <c r="QO6" t="s">
        <v>5094</v>
      </c>
      <c r="QP6" s="6">
        <v>45985</v>
      </c>
      <c r="QQ6">
        <v>5</v>
      </c>
      <c r="QR6">
        <v>13510351.98</v>
      </c>
      <c r="QS6">
        <v>125320</v>
      </c>
      <c r="QT6" t="s">
        <v>5095</v>
      </c>
      <c r="QW6" t="s">
        <v>1854</v>
      </c>
      <c r="QX6">
        <v>7.6823969999999999</v>
      </c>
      <c r="QY6" t="s">
        <v>1786</v>
      </c>
      <c r="QZ6">
        <v>0.65840699999999996</v>
      </c>
      <c r="RA6" t="s">
        <v>1742</v>
      </c>
      <c r="RB6">
        <v>2025</v>
      </c>
      <c r="RC6" t="s">
        <v>4795</v>
      </c>
      <c r="RD6" s="6">
        <v>46003</v>
      </c>
      <c r="RE6">
        <v>5</v>
      </c>
      <c r="RF6">
        <v>385233792</v>
      </c>
      <c r="RG6">
        <v>101758</v>
      </c>
      <c r="RH6" t="s">
        <v>1856</v>
      </c>
      <c r="SA6" t="s">
        <v>3591</v>
      </c>
      <c r="SB6">
        <v>-2.4245362661989844E-14</v>
      </c>
      <c r="SD6">
        <v>-2.4245362661989844E-14</v>
      </c>
      <c r="SE6" t="s">
        <v>2435</v>
      </c>
      <c r="SF6">
        <v>2023</v>
      </c>
      <c r="SG6" t="s">
        <v>3592</v>
      </c>
      <c r="SH6" s="6">
        <v>45061</v>
      </c>
      <c r="SI6">
        <v>4</v>
      </c>
      <c r="SJ6">
        <v>-2.4245362661989844E-14</v>
      </c>
      <c r="SK6">
        <v>129117</v>
      </c>
      <c r="SL6" t="s">
        <v>3593</v>
      </c>
      <c r="TU6" t="s">
        <v>2887</v>
      </c>
      <c r="TW6">
        <v>-2.4245362661989844E-14</v>
      </c>
      <c r="TX6">
        <v>-2.4245362661989844E-14</v>
      </c>
      <c r="TY6" t="s">
        <v>1742</v>
      </c>
      <c r="TZ6">
        <v>2024</v>
      </c>
      <c r="UA6" t="s">
        <v>2885</v>
      </c>
      <c r="UB6" s="6">
        <v>45599</v>
      </c>
      <c r="UC6">
        <v>5</v>
      </c>
      <c r="UD6">
        <v>-2.4245362661989844E-14</v>
      </c>
      <c r="UE6">
        <v>7667296</v>
      </c>
      <c r="UF6" t="s">
        <v>2888</v>
      </c>
      <c r="UY6" t="s">
        <v>2947</v>
      </c>
      <c r="UZ6" t="s">
        <v>1769</v>
      </c>
      <c r="VA6">
        <v>1.3923300000000001</v>
      </c>
      <c r="VB6">
        <v>0.75693999999999995</v>
      </c>
      <c r="VC6" t="s">
        <v>1745</v>
      </c>
      <c r="VD6">
        <v>2025</v>
      </c>
      <c r="VE6" t="s">
        <v>2948</v>
      </c>
      <c r="VF6" s="6">
        <v>46064</v>
      </c>
      <c r="VG6">
        <v>5</v>
      </c>
      <c r="VH6">
        <v>3873000</v>
      </c>
      <c r="VI6">
        <v>202222</v>
      </c>
      <c r="VJ6" t="s">
        <v>2949</v>
      </c>
      <c r="VM6" t="s">
        <v>973</v>
      </c>
      <c r="VN6">
        <v>0.13498599999999999</v>
      </c>
      <c r="VO6" t="s">
        <v>1786</v>
      </c>
      <c r="VP6">
        <v>1.9434E-2</v>
      </c>
      <c r="VQ6" t="s">
        <v>1762</v>
      </c>
      <c r="VR6">
        <v>2025</v>
      </c>
      <c r="VS6" t="s">
        <v>1812</v>
      </c>
      <c r="VT6" s="6">
        <v>45876</v>
      </c>
      <c r="VU6">
        <v>5</v>
      </c>
      <c r="VV6">
        <v>2165531</v>
      </c>
      <c r="VW6">
        <v>100285</v>
      </c>
      <c r="VX6" t="s">
        <v>1813</v>
      </c>
    </row>
    <row r="7" spans="1:600" x14ac:dyDescent="0.25">
      <c r="A7" t="s">
        <v>910</v>
      </c>
      <c r="B7" t="s">
        <v>1786</v>
      </c>
      <c r="C7">
        <v>1.8717000000000001E-2</v>
      </c>
      <c r="D7">
        <v>0.53299099999999999</v>
      </c>
      <c r="E7" t="s">
        <v>1809</v>
      </c>
      <c r="F7">
        <v>2026</v>
      </c>
      <c r="G7" t="s">
        <v>2389</v>
      </c>
      <c r="H7" s="6">
        <v>46079</v>
      </c>
      <c r="I7">
        <v>5</v>
      </c>
      <c r="J7">
        <v>2553560</v>
      </c>
      <c r="K7">
        <v>100995</v>
      </c>
      <c r="L7" t="s">
        <v>2390</v>
      </c>
      <c r="O7" t="s">
        <v>840</v>
      </c>
      <c r="P7">
        <v>4.8382500000000004</v>
      </c>
      <c r="Q7" t="s">
        <v>1786</v>
      </c>
      <c r="R7">
        <v>1.0442359999999999</v>
      </c>
      <c r="S7" t="s">
        <v>1762</v>
      </c>
      <c r="T7">
        <v>2026</v>
      </c>
      <c r="U7" t="s">
        <v>3847</v>
      </c>
      <c r="V7" s="6">
        <v>46035</v>
      </c>
      <c r="W7">
        <v>5</v>
      </c>
      <c r="X7">
        <v>55175404</v>
      </c>
      <c r="Y7">
        <v>100142</v>
      </c>
      <c r="Z7" t="s">
        <v>2200</v>
      </c>
      <c r="AS7" t="s">
        <v>1044</v>
      </c>
      <c r="AT7">
        <v>-2.4245362661989844E-14</v>
      </c>
      <c r="AV7">
        <v>-2.4245362661989844E-14</v>
      </c>
      <c r="AW7" t="s">
        <v>1745</v>
      </c>
      <c r="AX7">
        <v>2025</v>
      </c>
      <c r="AY7" t="s">
        <v>3154</v>
      </c>
      <c r="AZ7" s="6">
        <v>46007</v>
      </c>
      <c r="BA7">
        <v>3</v>
      </c>
      <c r="BB7">
        <v>-2.4245362661989844E-14</v>
      </c>
      <c r="BC7">
        <v>107071</v>
      </c>
      <c r="BD7" t="s">
        <v>3156</v>
      </c>
      <c r="FY7" t="s">
        <v>4429</v>
      </c>
      <c r="FZ7" t="s">
        <v>1786</v>
      </c>
      <c r="GA7">
        <v>6.760351</v>
      </c>
      <c r="GB7">
        <v>1.7418990000000001</v>
      </c>
      <c r="GC7" t="s">
        <v>1845</v>
      </c>
      <c r="GD7">
        <v>2024</v>
      </c>
      <c r="GE7" t="s">
        <v>4430</v>
      </c>
      <c r="GF7" s="6">
        <v>45740</v>
      </c>
      <c r="GG7">
        <v>5</v>
      </c>
      <c r="GH7">
        <v>728386791.55999994</v>
      </c>
      <c r="GI7">
        <v>115688</v>
      </c>
      <c r="GJ7" t="s">
        <v>4431</v>
      </c>
      <c r="GM7" t="s">
        <v>4167</v>
      </c>
      <c r="GN7">
        <v>0.65288999999999997</v>
      </c>
      <c r="GO7" t="s">
        <v>1786</v>
      </c>
      <c r="GP7">
        <v>7.5519280000000002</v>
      </c>
      <c r="GQ7" t="s">
        <v>1742</v>
      </c>
      <c r="GR7">
        <v>2025</v>
      </c>
      <c r="GS7" t="s">
        <v>4168</v>
      </c>
      <c r="GT7" s="6">
        <v>45979</v>
      </c>
      <c r="GU7">
        <v>5</v>
      </c>
      <c r="GV7">
        <v>301948736</v>
      </c>
      <c r="GW7">
        <v>903779</v>
      </c>
      <c r="GX7" t="s">
        <v>4169</v>
      </c>
      <c r="HC7" t="s">
        <v>5007</v>
      </c>
      <c r="HD7" t="s">
        <v>1769</v>
      </c>
      <c r="HE7">
        <v>1.1211519999999999</v>
      </c>
      <c r="HF7">
        <v>2.7816E-2</v>
      </c>
      <c r="HG7" t="s">
        <v>1745</v>
      </c>
      <c r="HH7">
        <v>2024</v>
      </c>
      <c r="HI7" t="s">
        <v>5008</v>
      </c>
      <c r="HJ7" s="6">
        <v>45702</v>
      </c>
      <c r="HK7">
        <v>5</v>
      </c>
      <c r="HL7">
        <v>2764979.25</v>
      </c>
      <c r="HM7">
        <v>10858737</v>
      </c>
      <c r="HN7" t="s">
        <v>5009</v>
      </c>
      <c r="HQ7" t="s">
        <v>4713</v>
      </c>
      <c r="HR7">
        <v>-2.4245362661989844E-14</v>
      </c>
      <c r="HT7">
        <v>-2.4245362661989844E-14</v>
      </c>
      <c r="HU7" t="s">
        <v>1745</v>
      </c>
      <c r="HV7">
        <v>2025</v>
      </c>
      <c r="HW7" t="s">
        <v>4714</v>
      </c>
      <c r="HX7" s="6">
        <v>45828</v>
      </c>
      <c r="HY7">
        <v>5</v>
      </c>
      <c r="HZ7">
        <v>-2.4245362661989844E-14</v>
      </c>
      <c r="IA7">
        <v>154065</v>
      </c>
      <c r="IB7" t="s">
        <v>4715</v>
      </c>
      <c r="JY7" t="s">
        <v>2167</v>
      </c>
      <c r="JZ7">
        <v>1.453058</v>
      </c>
      <c r="KA7" t="s">
        <v>1769</v>
      </c>
      <c r="KB7">
        <v>0.106848</v>
      </c>
      <c r="KC7" t="s">
        <v>1745</v>
      </c>
      <c r="KD7">
        <v>2024</v>
      </c>
      <c r="KE7" t="s">
        <v>3652</v>
      </c>
      <c r="KF7" s="6">
        <v>45695</v>
      </c>
      <c r="KG7">
        <v>5</v>
      </c>
      <c r="KH7">
        <v>7399750</v>
      </c>
      <c r="KI7">
        <v>100743</v>
      </c>
      <c r="KJ7" t="s">
        <v>2169</v>
      </c>
      <c r="LS7" t="s">
        <v>2403</v>
      </c>
      <c r="LU7">
        <v>-2.4245362661989844E-14</v>
      </c>
      <c r="LV7">
        <v>-2.4245362661989844E-14</v>
      </c>
      <c r="LW7" t="s">
        <v>1745</v>
      </c>
      <c r="LX7">
        <v>2024</v>
      </c>
      <c r="LY7" t="s">
        <v>2404</v>
      </c>
      <c r="LZ7" s="6">
        <v>45460</v>
      </c>
      <c r="MA7">
        <v>5</v>
      </c>
      <c r="MB7">
        <v>-2.4245362661989844E-14</v>
      </c>
      <c r="MC7">
        <v>866053</v>
      </c>
      <c r="MD7" t="s">
        <v>2405</v>
      </c>
      <c r="MG7" t="s">
        <v>1350</v>
      </c>
      <c r="MH7">
        <v>0.82555699999999999</v>
      </c>
      <c r="MI7" t="s">
        <v>1786</v>
      </c>
      <c r="MJ7">
        <v>0.12263</v>
      </c>
      <c r="MK7" t="s">
        <v>1762</v>
      </c>
      <c r="ML7">
        <v>2026</v>
      </c>
      <c r="MM7" t="s">
        <v>1865</v>
      </c>
      <c r="MN7" s="6">
        <v>45932</v>
      </c>
      <c r="MO7">
        <v>5</v>
      </c>
      <c r="MP7">
        <v>10377257</v>
      </c>
      <c r="MQ7">
        <v>100197</v>
      </c>
      <c r="MR7" t="s">
        <v>1866</v>
      </c>
      <c r="QI7" t="s">
        <v>4156</v>
      </c>
      <c r="QJ7" t="s">
        <v>1786</v>
      </c>
      <c r="QK7">
        <v>0.184448</v>
      </c>
      <c r="QL7">
        <v>0.38200600000000001</v>
      </c>
      <c r="QM7" t="s">
        <v>1762</v>
      </c>
      <c r="QN7">
        <v>2026</v>
      </c>
      <c r="QO7" t="s">
        <v>4157</v>
      </c>
      <c r="QP7" s="6">
        <v>46071</v>
      </c>
      <c r="QQ7">
        <v>5</v>
      </c>
      <c r="QR7">
        <v>10050572</v>
      </c>
      <c r="QS7">
        <v>61417091</v>
      </c>
      <c r="QT7" t="s">
        <v>4158</v>
      </c>
      <c r="QW7" t="s">
        <v>1885</v>
      </c>
      <c r="QX7">
        <v>5.4442880000000002</v>
      </c>
      <c r="QY7" t="s">
        <v>1786</v>
      </c>
      <c r="QZ7">
        <v>0.30788700000000002</v>
      </c>
      <c r="RA7" t="s">
        <v>1742</v>
      </c>
      <c r="RB7">
        <v>2025</v>
      </c>
      <c r="RC7" t="s">
        <v>4795</v>
      </c>
      <c r="RD7" s="6">
        <v>46003</v>
      </c>
      <c r="RE7">
        <v>5</v>
      </c>
      <c r="RF7">
        <v>273003808</v>
      </c>
      <c r="RG7">
        <v>216952</v>
      </c>
      <c r="RH7" t="s">
        <v>1886</v>
      </c>
      <c r="SA7" t="s">
        <v>3594</v>
      </c>
      <c r="SB7">
        <v>-2.4245362661989844E-14</v>
      </c>
      <c r="SD7">
        <v>-2.4245362661989844E-14</v>
      </c>
      <c r="SE7" t="s">
        <v>1745</v>
      </c>
      <c r="SF7">
        <v>2024</v>
      </c>
      <c r="SG7" t="s">
        <v>3595</v>
      </c>
      <c r="SH7" s="6">
        <v>45777</v>
      </c>
      <c r="SI7">
        <v>4</v>
      </c>
      <c r="SJ7">
        <v>-2.4245362661989844E-14</v>
      </c>
      <c r="SK7">
        <v>31258792</v>
      </c>
      <c r="SL7" t="s">
        <v>3596</v>
      </c>
      <c r="TU7" t="s">
        <v>2889</v>
      </c>
      <c r="TW7">
        <v>-2.4245362661989844E-14</v>
      </c>
      <c r="TX7">
        <v>-2.4245362661989844E-14</v>
      </c>
      <c r="TY7" t="s">
        <v>1742</v>
      </c>
      <c r="TZ7">
        <v>2024</v>
      </c>
      <c r="UA7" t="s">
        <v>2885</v>
      </c>
      <c r="UB7" s="6">
        <v>45599</v>
      </c>
      <c r="UC7">
        <v>5</v>
      </c>
      <c r="UD7">
        <v>-2.4245362661989844E-14</v>
      </c>
      <c r="UE7">
        <v>28130979</v>
      </c>
      <c r="UF7" t="s">
        <v>2890</v>
      </c>
      <c r="UY7" t="s">
        <v>2310</v>
      </c>
      <c r="UZ7" t="s">
        <v>1786</v>
      </c>
      <c r="VA7">
        <v>3.5019999999999999E-3</v>
      </c>
      <c r="VB7">
        <v>0.37431399999999998</v>
      </c>
      <c r="VC7" t="s">
        <v>1845</v>
      </c>
      <c r="VD7">
        <v>2026</v>
      </c>
      <c r="VE7" t="s">
        <v>2311</v>
      </c>
      <c r="VF7" s="6">
        <v>46087</v>
      </c>
      <c r="VG7">
        <v>5</v>
      </c>
      <c r="VH7">
        <v>2385808</v>
      </c>
      <c r="VI7">
        <v>313657</v>
      </c>
      <c r="VJ7" t="s">
        <v>2312</v>
      </c>
      <c r="VM7" t="s">
        <v>1814</v>
      </c>
      <c r="VN7">
        <v>0.11786099999999999</v>
      </c>
      <c r="VO7" t="s">
        <v>1786</v>
      </c>
      <c r="VP7">
        <v>2.8398E-2</v>
      </c>
      <c r="VQ7" t="s">
        <v>1809</v>
      </c>
      <c r="VR7">
        <v>2025</v>
      </c>
      <c r="VS7" t="s">
        <v>1815</v>
      </c>
      <c r="VT7" s="6">
        <v>45784</v>
      </c>
      <c r="VU7">
        <v>5</v>
      </c>
      <c r="VV7">
        <v>1715246</v>
      </c>
      <c r="VW7">
        <v>100115</v>
      </c>
      <c r="VX7" t="s">
        <v>1816</v>
      </c>
    </row>
    <row r="8" spans="1:600" x14ac:dyDescent="0.25">
      <c r="A8" t="s">
        <v>3199</v>
      </c>
      <c r="B8" t="s">
        <v>1786</v>
      </c>
      <c r="C8">
        <v>2.9225000000000001E-2</v>
      </c>
      <c r="D8">
        <v>0.24604699999999999</v>
      </c>
      <c r="E8" t="s">
        <v>1742</v>
      </c>
      <c r="F8">
        <v>2025</v>
      </c>
      <c r="G8" t="s">
        <v>3993</v>
      </c>
      <c r="H8" s="6">
        <v>45936</v>
      </c>
      <c r="I8">
        <v>5</v>
      </c>
      <c r="J8">
        <v>1226790.45</v>
      </c>
      <c r="K8">
        <v>835530</v>
      </c>
      <c r="L8" t="s">
        <v>3201</v>
      </c>
      <c r="O8" t="s">
        <v>2161</v>
      </c>
      <c r="P8">
        <v>3.9990190000000001</v>
      </c>
      <c r="Q8" t="s">
        <v>1786</v>
      </c>
      <c r="R8">
        <v>0.37565900000000002</v>
      </c>
      <c r="S8" t="s">
        <v>1742</v>
      </c>
      <c r="T8">
        <v>2024</v>
      </c>
      <c r="U8" t="s">
        <v>2162</v>
      </c>
      <c r="V8" s="6">
        <v>45727</v>
      </c>
      <c r="W8">
        <v>5</v>
      </c>
      <c r="X8">
        <v>46555768.390000001</v>
      </c>
      <c r="Y8">
        <v>7583418</v>
      </c>
      <c r="Z8" t="s">
        <v>2163</v>
      </c>
      <c r="FY8" t="s">
        <v>4432</v>
      </c>
      <c r="FZ8" t="s">
        <v>1786</v>
      </c>
      <c r="GA8">
        <v>11.5</v>
      </c>
      <c r="GB8">
        <v>1.441263</v>
      </c>
      <c r="GC8" t="s">
        <v>1745</v>
      </c>
      <c r="GD8">
        <v>2025</v>
      </c>
      <c r="GE8" t="s">
        <v>4433</v>
      </c>
      <c r="GF8" s="6">
        <v>46066</v>
      </c>
      <c r="GG8">
        <v>5</v>
      </c>
      <c r="GH8">
        <v>668699136</v>
      </c>
      <c r="GI8">
        <v>17453985</v>
      </c>
      <c r="GJ8" t="s">
        <v>4434</v>
      </c>
      <c r="GM8" t="s">
        <v>4170</v>
      </c>
      <c r="GN8">
        <v>0.43898999999999999</v>
      </c>
      <c r="GO8" t="s">
        <v>1820</v>
      </c>
      <c r="GP8">
        <v>6.6110119999999997</v>
      </c>
      <c r="GQ8" t="s">
        <v>1762</v>
      </c>
      <c r="GR8">
        <v>2025</v>
      </c>
      <c r="GS8" t="s">
        <v>4171</v>
      </c>
      <c r="GT8" s="6">
        <v>45890</v>
      </c>
      <c r="GU8">
        <v>5</v>
      </c>
      <c r="GV8">
        <v>203024176</v>
      </c>
      <c r="GW8">
        <v>48467156</v>
      </c>
      <c r="GX8" t="s">
        <v>4172</v>
      </c>
      <c r="HC8" t="s">
        <v>2756</v>
      </c>
      <c r="HD8" t="s">
        <v>1786</v>
      </c>
      <c r="HE8">
        <v>0.22164600000000001</v>
      </c>
      <c r="HF8">
        <v>2.4277E-2</v>
      </c>
      <c r="HG8" t="s">
        <v>1762</v>
      </c>
      <c r="HH8">
        <v>2025</v>
      </c>
      <c r="HI8" t="s">
        <v>2757</v>
      </c>
      <c r="HJ8" s="6">
        <v>45957</v>
      </c>
      <c r="HK8">
        <v>5</v>
      </c>
      <c r="HL8">
        <v>2617518.41</v>
      </c>
      <c r="HM8">
        <v>815087</v>
      </c>
      <c r="HN8" t="s">
        <v>2758</v>
      </c>
      <c r="HQ8" t="s">
        <v>909</v>
      </c>
      <c r="HR8">
        <v>-2.4245362661989844E-14</v>
      </c>
      <c r="HT8">
        <v>-2.4245362661989844E-14</v>
      </c>
      <c r="HU8" t="s">
        <v>1745</v>
      </c>
      <c r="HV8">
        <v>2025</v>
      </c>
      <c r="HW8" t="s">
        <v>3663</v>
      </c>
      <c r="HX8" s="6">
        <v>45875</v>
      </c>
      <c r="HY8">
        <v>5</v>
      </c>
      <c r="HZ8">
        <v>-2.4245362661989844E-14</v>
      </c>
      <c r="IA8">
        <v>154339</v>
      </c>
      <c r="IB8" t="s">
        <v>4716</v>
      </c>
      <c r="JY8" t="s">
        <v>1885</v>
      </c>
      <c r="JZ8">
        <v>1.4319980000000001</v>
      </c>
      <c r="KA8" t="s">
        <v>1769</v>
      </c>
      <c r="KB8">
        <v>5.2781000000000002E-2</v>
      </c>
      <c r="KC8" t="s">
        <v>1745</v>
      </c>
      <c r="KD8">
        <v>2024</v>
      </c>
      <c r="KE8" t="s">
        <v>3652</v>
      </c>
      <c r="KF8" s="6">
        <v>45695</v>
      </c>
      <c r="KG8">
        <v>5</v>
      </c>
      <c r="KH8">
        <v>7292500</v>
      </c>
      <c r="KI8">
        <v>216952</v>
      </c>
      <c r="KJ8" t="s">
        <v>1886</v>
      </c>
      <c r="LS8" t="s">
        <v>2406</v>
      </c>
      <c r="LU8">
        <v>-2.4245362661989844E-14</v>
      </c>
      <c r="LV8">
        <v>-2.4245362661989844E-14</v>
      </c>
      <c r="LW8" t="s">
        <v>1742</v>
      </c>
      <c r="LX8">
        <v>2022</v>
      </c>
      <c r="LY8" t="s">
        <v>2407</v>
      </c>
      <c r="LZ8" s="6">
        <v>44880</v>
      </c>
      <c r="MA8">
        <v>5</v>
      </c>
      <c r="MB8">
        <v>-2.4245362661989844E-14</v>
      </c>
      <c r="MC8">
        <v>1425288</v>
      </c>
      <c r="MD8" t="s">
        <v>2408</v>
      </c>
      <c r="MG8" t="s">
        <v>2085</v>
      </c>
      <c r="MH8">
        <v>0.46699600000000002</v>
      </c>
      <c r="MI8" t="s">
        <v>1786</v>
      </c>
      <c r="MJ8">
        <v>0.41184700000000002</v>
      </c>
      <c r="MK8" t="s">
        <v>1742</v>
      </c>
      <c r="ML8">
        <v>2025</v>
      </c>
      <c r="MM8" t="s">
        <v>2086</v>
      </c>
      <c r="MN8" s="6">
        <v>46014</v>
      </c>
      <c r="MO8">
        <v>5</v>
      </c>
      <c r="MP8">
        <v>5696961.8099999996</v>
      </c>
      <c r="MQ8">
        <v>9034717</v>
      </c>
      <c r="MR8" t="s">
        <v>2087</v>
      </c>
      <c r="QI8" t="s">
        <v>3883</v>
      </c>
      <c r="QJ8" t="s">
        <v>1786</v>
      </c>
      <c r="QK8">
        <v>0.60759700000000005</v>
      </c>
      <c r="QL8">
        <v>0.198102</v>
      </c>
      <c r="QM8" t="s">
        <v>1742</v>
      </c>
      <c r="QN8">
        <v>2025</v>
      </c>
      <c r="QO8" t="s">
        <v>3884</v>
      </c>
      <c r="QP8" s="6">
        <v>46064</v>
      </c>
      <c r="QQ8">
        <v>5</v>
      </c>
      <c r="QR8">
        <v>6892216.5800000001</v>
      </c>
      <c r="QS8">
        <v>115787</v>
      </c>
      <c r="QT8" t="s">
        <v>3885</v>
      </c>
      <c r="QW8" t="s">
        <v>985</v>
      </c>
      <c r="QX8">
        <v>3.0315669999999999</v>
      </c>
      <c r="QY8" t="s">
        <v>1786</v>
      </c>
      <c r="QZ8">
        <v>0.58565299999999998</v>
      </c>
      <c r="RA8" t="s">
        <v>1742</v>
      </c>
      <c r="RB8">
        <v>2025</v>
      </c>
      <c r="RC8" t="s">
        <v>4795</v>
      </c>
      <c r="RD8" s="6">
        <v>46003</v>
      </c>
      <c r="RE8">
        <v>5</v>
      </c>
      <c r="RF8">
        <v>152017920</v>
      </c>
      <c r="RG8">
        <v>100864</v>
      </c>
      <c r="RH8" t="s">
        <v>1971</v>
      </c>
      <c r="SA8" t="s">
        <v>2123</v>
      </c>
      <c r="SB8">
        <v>-2.4245362661989844E-14</v>
      </c>
      <c r="SD8">
        <v>-2.4245362661989844E-14</v>
      </c>
      <c r="SE8" t="s">
        <v>1745</v>
      </c>
      <c r="SF8">
        <v>2024</v>
      </c>
      <c r="SG8" t="s">
        <v>3597</v>
      </c>
      <c r="SH8" s="6">
        <v>45344</v>
      </c>
      <c r="SI8">
        <v>4</v>
      </c>
      <c r="SJ8">
        <v>-2.4245362661989844E-14</v>
      </c>
      <c r="SK8">
        <v>100546</v>
      </c>
      <c r="SL8" t="s">
        <v>2125</v>
      </c>
      <c r="TU8" t="s">
        <v>2891</v>
      </c>
      <c r="TW8">
        <v>-2.4245362661989844E-14</v>
      </c>
      <c r="TX8">
        <v>-2.4245362661989844E-14</v>
      </c>
      <c r="TY8" t="s">
        <v>1742</v>
      </c>
      <c r="TZ8">
        <v>2024</v>
      </c>
      <c r="UA8" t="s">
        <v>2885</v>
      </c>
      <c r="UB8" s="6">
        <v>45599</v>
      </c>
      <c r="UC8">
        <v>5</v>
      </c>
      <c r="UD8">
        <v>-2.4245362661989844E-14</v>
      </c>
      <c r="UE8">
        <v>21464280</v>
      </c>
      <c r="UF8" t="s">
        <v>2892</v>
      </c>
      <c r="UY8" t="s">
        <v>424</v>
      </c>
      <c r="UZ8" t="s">
        <v>1786</v>
      </c>
      <c r="VA8">
        <v>1.08E-3</v>
      </c>
      <c r="VB8">
        <v>0.237701</v>
      </c>
      <c r="VC8" t="s">
        <v>1742</v>
      </c>
      <c r="VD8">
        <v>2025</v>
      </c>
      <c r="VE8" t="s">
        <v>2528</v>
      </c>
      <c r="VF8" s="6">
        <v>45843</v>
      </c>
      <c r="VG8">
        <v>5</v>
      </c>
      <c r="VH8">
        <v>756713</v>
      </c>
      <c r="VI8">
        <v>101743</v>
      </c>
      <c r="VJ8" t="s">
        <v>1891</v>
      </c>
      <c r="VM8" t="s">
        <v>1817</v>
      </c>
      <c r="VN8">
        <v>4.9280999999999998E-2</v>
      </c>
      <c r="VO8" t="s">
        <v>1786</v>
      </c>
      <c r="VP8">
        <v>0.59355500000000005</v>
      </c>
      <c r="VQ8" t="s">
        <v>1809</v>
      </c>
      <c r="VR8">
        <v>2025</v>
      </c>
      <c r="VS8" t="s">
        <v>1818</v>
      </c>
      <c r="VT8" s="6">
        <v>45820</v>
      </c>
      <c r="VU8">
        <v>5</v>
      </c>
      <c r="VV8">
        <v>788021.54</v>
      </c>
      <c r="VW8">
        <v>117587</v>
      </c>
      <c r="VX8" t="s">
        <v>1819</v>
      </c>
    </row>
    <row r="9" spans="1:600" x14ac:dyDescent="0.25">
      <c r="A9" t="s">
        <v>3010</v>
      </c>
      <c r="B9" t="s">
        <v>1820</v>
      </c>
      <c r="C9">
        <v>3.3274999999999999E-2</v>
      </c>
      <c r="D9">
        <v>4.8761130000000001</v>
      </c>
      <c r="E9" t="s">
        <v>1762</v>
      </c>
      <c r="F9">
        <v>2026</v>
      </c>
      <c r="G9" t="s">
        <v>3011</v>
      </c>
      <c r="H9" s="6">
        <v>46063</v>
      </c>
      <c r="I9">
        <v>5</v>
      </c>
      <c r="J9">
        <v>1097125</v>
      </c>
      <c r="K9">
        <v>101732</v>
      </c>
      <c r="L9" t="s">
        <v>3012</v>
      </c>
      <c r="O9" t="s">
        <v>3848</v>
      </c>
      <c r="P9">
        <v>2.5742210000000001</v>
      </c>
      <c r="Q9" t="s">
        <v>1786</v>
      </c>
      <c r="R9">
        <v>18.557379000000001</v>
      </c>
      <c r="S9" t="s">
        <v>1745</v>
      </c>
      <c r="T9">
        <v>2024</v>
      </c>
      <c r="U9" t="s">
        <v>3849</v>
      </c>
      <c r="V9" s="6">
        <v>45784</v>
      </c>
      <c r="W9">
        <v>5</v>
      </c>
      <c r="X9">
        <v>28636240.420000002</v>
      </c>
      <c r="Y9">
        <v>17392177</v>
      </c>
      <c r="Z9" t="s">
        <v>3850</v>
      </c>
      <c r="FY9" t="s">
        <v>4435</v>
      </c>
      <c r="FZ9" t="s">
        <v>1786</v>
      </c>
      <c r="GA9">
        <v>10.237132000000001</v>
      </c>
      <c r="GB9">
        <v>1.3284590000000001</v>
      </c>
      <c r="GC9" t="s">
        <v>1745</v>
      </c>
      <c r="GD9">
        <v>2025</v>
      </c>
      <c r="GE9" t="s">
        <v>4436</v>
      </c>
      <c r="GF9" s="6">
        <v>46077</v>
      </c>
      <c r="GG9">
        <v>5</v>
      </c>
      <c r="GH9">
        <v>617347250</v>
      </c>
      <c r="GI9">
        <v>115349</v>
      </c>
      <c r="GJ9" t="s">
        <v>4437</v>
      </c>
      <c r="GM9" t="s">
        <v>4173</v>
      </c>
      <c r="GN9">
        <v>0.42709399999999997</v>
      </c>
      <c r="GO9" t="s">
        <v>1786</v>
      </c>
      <c r="GP9">
        <v>4.0617450000000002</v>
      </c>
      <c r="GQ9" t="s">
        <v>1845</v>
      </c>
      <c r="GR9">
        <v>2025</v>
      </c>
      <c r="GS9" t="s">
        <v>4174</v>
      </c>
      <c r="GT9" s="6">
        <v>46055</v>
      </c>
      <c r="GU9">
        <v>5</v>
      </c>
      <c r="GV9">
        <v>197522656</v>
      </c>
      <c r="GW9">
        <v>300809</v>
      </c>
      <c r="GX9" t="s">
        <v>4175</v>
      </c>
      <c r="HC9" t="s">
        <v>4206</v>
      </c>
      <c r="HE9">
        <v>2.4574069999999999</v>
      </c>
      <c r="HF9">
        <v>-2.4245362661989844E-14</v>
      </c>
      <c r="HG9" t="s">
        <v>1742</v>
      </c>
      <c r="HH9">
        <v>2025</v>
      </c>
      <c r="HI9" t="s">
        <v>4207</v>
      </c>
      <c r="HJ9" s="6">
        <v>45966</v>
      </c>
      <c r="HK9">
        <v>5</v>
      </c>
      <c r="HL9">
        <v>2258750</v>
      </c>
      <c r="HM9">
        <v>34865158</v>
      </c>
      <c r="HN9" t="s">
        <v>4208</v>
      </c>
      <c r="HQ9" t="s">
        <v>1814</v>
      </c>
      <c r="HR9">
        <v>-2.4245362661989844E-14</v>
      </c>
      <c r="HT9">
        <v>-2.4245362661989844E-14</v>
      </c>
      <c r="HU9" t="s">
        <v>1745</v>
      </c>
      <c r="HV9">
        <v>2021</v>
      </c>
      <c r="HW9" t="s">
        <v>4717</v>
      </c>
      <c r="HX9" s="6">
        <v>44630</v>
      </c>
      <c r="HY9">
        <v>5</v>
      </c>
      <c r="HZ9">
        <v>-2.4245362661989844E-14</v>
      </c>
      <c r="IA9">
        <v>100115</v>
      </c>
      <c r="IB9" t="s">
        <v>1816</v>
      </c>
      <c r="JY9" t="s">
        <v>1969</v>
      </c>
      <c r="JZ9">
        <v>1.4258120000000001</v>
      </c>
      <c r="KA9" t="s">
        <v>1769</v>
      </c>
      <c r="KB9">
        <v>0.82678600000000002</v>
      </c>
      <c r="KC9" t="s">
        <v>1745</v>
      </c>
      <c r="KD9">
        <v>2024</v>
      </c>
      <c r="KE9" t="s">
        <v>3652</v>
      </c>
      <c r="KF9" s="6">
        <v>45695</v>
      </c>
      <c r="KG9">
        <v>5</v>
      </c>
      <c r="KH9">
        <v>7261000</v>
      </c>
      <c r="KI9">
        <v>34501311</v>
      </c>
      <c r="KJ9" t="s">
        <v>1970</v>
      </c>
      <c r="LS9" t="s">
        <v>2076</v>
      </c>
      <c r="LU9">
        <v>-2.4245362661989844E-14</v>
      </c>
      <c r="LV9">
        <v>-2.4245362661989844E-14</v>
      </c>
      <c r="LW9" t="s">
        <v>1745</v>
      </c>
      <c r="LX9">
        <v>2022</v>
      </c>
      <c r="LY9" t="s">
        <v>2409</v>
      </c>
      <c r="LZ9" s="6">
        <v>44701</v>
      </c>
      <c r="MA9">
        <v>5</v>
      </c>
      <c r="MB9">
        <v>-2.4245362661989844E-14</v>
      </c>
      <c r="MC9">
        <v>59907412</v>
      </c>
      <c r="MD9" t="s">
        <v>2077</v>
      </c>
      <c r="MG9" t="s">
        <v>2088</v>
      </c>
      <c r="MH9">
        <v>0.45974599999999999</v>
      </c>
      <c r="MI9" t="s">
        <v>1786</v>
      </c>
      <c r="MJ9">
        <v>0.12854199999999999</v>
      </c>
      <c r="MK9" t="s">
        <v>1742</v>
      </c>
      <c r="ML9">
        <v>2025</v>
      </c>
      <c r="MM9" t="s">
        <v>2089</v>
      </c>
      <c r="MN9" s="6">
        <v>45926</v>
      </c>
      <c r="MO9">
        <v>5</v>
      </c>
      <c r="MP9">
        <v>5749857.6100000003</v>
      </c>
      <c r="MQ9">
        <v>191315</v>
      </c>
      <c r="MR9" t="s">
        <v>2090</v>
      </c>
      <c r="QI9" t="s">
        <v>4850</v>
      </c>
      <c r="QJ9" t="s">
        <v>1786</v>
      </c>
      <c r="QK9">
        <v>0.550265</v>
      </c>
      <c r="QL9">
        <v>0.112704</v>
      </c>
      <c r="QM9" t="s">
        <v>1762</v>
      </c>
      <c r="QN9">
        <v>2025</v>
      </c>
      <c r="QO9" t="s">
        <v>4851</v>
      </c>
      <c r="QP9" s="6">
        <v>45833</v>
      </c>
      <c r="QQ9">
        <v>5</v>
      </c>
      <c r="QR9">
        <v>3501699</v>
      </c>
      <c r="QS9">
        <v>106173</v>
      </c>
      <c r="QT9" t="s">
        <v>4852</v>
      </c>
      <c r="QW9" t="s">
        <v>2504</v>
      </c>
      <c r="QX9">
        <v>2.3337400000000001</v>
      </c>
      <c r="QY9" t="s">
        <v>1786</v>
      </c>
      <c r="QZ9">
        <v>0.61890199999999995</v>
      </c>
      <c r="RA9" t="s">
        <v>1742</v>
      </c>
      <c r="RB9">
        <v>2025</v>
      </c>
      <c r="RC9" t="s">
        <v>4795</v>
      </c>
      <c r="RD9" s="6">
        <v>46003</v>
      </c>
      <c r="RE9">
        <v>5</v>
      </c>
      <c r="RF9">
        <v>117025392</v>
      </c>
      <c r="RG9">
        <v>115268</v>
      </c>
      <c r="RH9" t="s">
        <v>2506</v>
      </c>
      <c r="TU9" t="s">
        <v>2893</v>
      </c>
      <c r="TW9">
        <v>-2.4245362661989844E-14</v>
      </c>
      <c r="TX9">
        <v>-2.4245362661989844E-14</v>
      </c>
      <c r="TY9" t="s">
        <v>1742</v>
      </c>
      <c r="TZ9">
        <v>2024</v>
      </c>
      <c r="UA9" t="s">
        <v>2885</v>
      </c>
      <c r="UB9" s="6">
        <v>45599</v>
      </c>
      <c r="UC9">
        <v>5</v>
      </c>
      <c r="UD9">
        <v>-2.4245362661989844E-14</v>
      </c>
      <c r="UE9">
        <v>25578158</v>
      </c>
      <c r="UF9" t="s">
        <v>2894</v>
      </c>
      <c r="UY9" t="s">
        <v>2950</v>
      </c>
      <c r="UZ9" t="s">
        <v>1786</v>
      </c>
      <c r="VA9">
        <v>6.5779999999999996E-3</v>
      </c>
      <c r="VB9">
        <v>4.0340000000000003E-3</v>
      </c>
      <c r="VC9" t="s">
        <v>1845</v>
      </c>
      <c r="VD9">
        <v>2024</v>
      </c>
      <c r="VE9" t="s">
        <v>2951</v>
      </c>
      <c r="VF9" s="6">
        <v>45750</v>
      </c>
      <c r="VG9">
        <v>5</v>
      </c>
      <c r="VH9">
        <v>10984.26</v>
      </c>
      <c r="VI9">
        <v>27395152</v>
      </c>
      <c r="VJ9" t="s">
        <v>2952</v>
      </c>
      <c r="VM9" t="s">
        <v>418</v>
      </c>
      <c r="VN9">
        <v>1.7725000000000001E-2</v>
      </c>
      <c r="VO9" t="s">
        <v>1820</v>
      </c>
      <c r="VP9">
        <v>4.1203999999999998E-2</v>
      </c>
      <c r="VQ9" t="s">
        <v>1742</v>
      </c>
      <c r="VR9">
        <v>2025</v>
      </c>
      <c r="VS9" t="s">
        <v>1821</v>
      </c>
      <c r="VT9" s="6">
        <v>46007</v>
      </c>
      <c r="VU9">
        <v>5</v>
      </c>
      <c r="VV9">
        <v>399679</v>
      </c>
      <c r="VW9">
        <v>143027</v>
      </c>
      <c r="VX9" t="s">
        <v>1822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1154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1155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1156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1157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1158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1159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1160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1161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1162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1163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1164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1165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1166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1167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1168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1169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1170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1171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1172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1173</v>
      </c>
      <c r="AE2" s="3" t="s">
        <v>938</v>
      </c>
      <c r="BI2" s="3" t="s">
        <v>121</v>
      </c>
      <c r="CM2" s="3" t="s">
        <v>1008</v>
      </c>
      <c r="DQ2" s="3" t="s">
        <v>1174</v>
      </c>
      <c r="EU2" s="3" t="s">
        <v>1175</v>
      </c>
      <c r="FY2" s="3" t="s">
        <v>273</v>
      </c>
      <c r="HC2" s="3" t="s">
        <v>121</v>
      </c>
      <c r="IG2" s="3" t="s">
        <v>1176</v>
      </c>
      <c r="JK2" s="3" t="s">
        <v>1177</v>
      </c>
      <c r="KO2" s="3" t="s">
        <v>1178</v>
      </c>
      <c r="LS2" s="3" t="s">
        <v>1179</v>
      </c>
      <c r="MW2" s="3" t="s">
        <v>1180</v>
      </c>
      <c r="OA2" s="3" t="s">
        <v>1181</v>
      </c>
      <c r="PE2" s="3" t="s">
        <v>1182</v>
      </c>
      <c r="QI2" s="3" t="s">
        <v>1183</v>
      </c>
      <c r="RM2" s="3" t="s">
        <v>1184</v>
      </c>
      <c r="SQ2" s="3" t="s">
        <v>1185</v>
      </c>
      <c r="TU2" s="3" t="s">
        <v>191</v>
      </c>
      <c r="UY2" s="3" t="s">
        <v>1186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_xll.BDS("OSIP US Equity","SUPPLY_CHAIN_SUPPLIERS_ALL_DATA")</f>
        <v>#N/A N/A</v>
      </c>
      <c r="O5" t="str">
        <f>_xll.BDS("OSIP US Equity","SUPPLY_CHAIN_CUSTOMERS_ALL_DATA")</f>
        <v>#N/A N/A</v>
      </c>
      <c r="AE5" t="str">
        <f>_xll.BDS("540513Q US Equity","SUPPLY_CHAIN_SUPPLIERS_ALL_DATA")</f>
        <v>#N/A N/A</v>
      </c>
      <c r="AS5" t="str">
        <f>_xll.BDS("540513Q US Equity","SUPPLY_CHAIN_CUSTOMERS_ALL_DATA")</f>
        <v>#N/A N/A</v>
      </c>
      <c r="BI5" t="str">
        <f>_xll.BDS("IBM US Equity","SUPPLY_CHAIN_SUPPLIERS_ALL_DATA","cols=12;rows=5")</f>
        <v>005930 KS Equity</v>
      </c>
      <c r="BJ5" t="s">
        <v>1786</v>
      </c>
      <c r="BK5">
        <v>0.49490499999999998</v>
      </c>
      <c r="BL5">
        <v>4.1423690000000004</v>
      </c>
      <c r="BM5" t="s">
        <v>1809</v>
      </c>
      <c r="BN5">
        <v>2025</v>
      </c>
      <c r="BO5" t="s">
        <v>2035</v>
      </c>
      <c r="BP5" s="6">
        <v>45797</v>
      </c>
      <c r="BQ5">
        <v>5</v>
      </c>
      <c r="BR5">
        <v>269668224</v>
      </c>
      <c r="BS5">
        <v>117929</v>
      </c>
      <c r="BT5" t="s">
        <v>1791</v>
      </c>
      <c r="BW5" t="str">
        <f>_xll.BDS("IBM US Equity","SUPPLY_CHAIN_CUSTOMERS_ALL_DATA","cols=12;rows=5")</f>
        <v>AMZN US Equity</v>
      </c>
      <c r="BX5">
        <v>4.454224</v>
      </c>
      <c r="BY5" t="s">
        <v>1786</v>
      </c>
      <c r="BZ5">
        <v>0.84141600000000005</v>
      </c>
      <c r="CA5" t="s">
        <v>1809</v>
      </c>
      <c r="CB5">
        <v>2025</v>
      </c>
      <c r="CC5" t="s">
        <v>2035</v>
      </c>
      <c r="CD5" s="6">
        <v>45797</v>
      </c>
      <c r="CE5">
        <v>5</v>
      </c>
      <c r="CF5">
        <v>647688704</v>
      </c>
      <c r="CG5">
        <v>216952</v>
      </c>
      <c r="CH5" t="s">
        <v>1886</v>
      </c>
      <c r="CM5" t="str">
        <f>_xll.BDS("RRD US Equity","SUPPLY_CHAIN_SUPPLIERS_ALL_DATA","cols=12;rows=5")</f>
        <v>FNOVA17 MM Equity</v>
      </c>
      <c r="CO5">
        <v>1.2</v>
      </c>
      <c r="CP5">
        <v>-2.4245362661989844E-14</v>
      </c>
      <c r="CQ5" t="s">
        <v>1745</v>
      </c>
      <c r="CR5">
        <v>2024</v>
      </c>
      <c r="CS5" t="s">
        <v>3430</v>
      </c>
      <c r="CT5" s="6">
        <v>45698</v>
      </c>
      <c r="CU5">
        <v>5</v>
      </c>
      <c r="CV5">
        <v>218270.92</v>
      </c>
      <c r="CW5">
        <v>13706960</v>
      </c>
      <c r="CX5" t="s">
        <v>3431</v>
      </c>
      <c r="DA5" t="str">
        <f>_xll.BDS("RRD US Equity","SUPPLY_CHAIN_CUSTOMERS_ALL_DATA","cols=12;rows=5")</f>
        <v>1646058D US Equity</v>
      </c>
      <c r="DB5">
        <v>-2.4245362661989844E-14</v>
      </c>
      <c r="DD5">
        <v>-2.4245362661989844E-14</v>
      </c>
      <c r="DE5" t="s">
        <v>1745</v>
      </c>
      <c r="DF5">
        <v>2024</v>
      </c>
      <c r="DG5" t="s">
        <v>2015</v>
      </c>
      <c r="DH5" s="6">
        <v>45348</v>
      </c>
      <c r="DI5">
        <v>5</v>
      </c>
      <c r="DJ5">
        <v>-2.4245362661989844E-14</v>
      </c>
      <c r="DK5">
        <v>47365286</v>
      </c>
      <c r="DL5" t="s">
        <v>2016</v>
      </c>
      <c r="DQ5" t="str">
        <f>_xll.BDS("3353984Q US Equity","SUPPLY_CHAIN_SUPPLIERS_ALL_DATA")</f>
        <v>#N/A N/A</v>
      </c>
      <c r="EE5" t="str">
        <f>_xll.BDS("3353984Q US Equity","SUPPLY_CHAIN_CUSTOMERS_ALL_DATA")</f>
        <v>#N/A N/A</v>
      </c>
      <c r="EU5" t="str">
        <f>_xll.BDS("TYG US Equity","SUPPLY_CHAIN_SUPPLIERS_ALL_DATA")</f>
        <v>#N/A N/A</v>
      </c>
      <c r="FI5" t="str">
        <f>_xll.BDS("TYG US Equity","SUPPLY_CHAIN_CUSTOMERS_ALL_DATA")</f>
        <v>#N/A N/A</v>
      </c>
      <c r="FY5" t="str">
        <f>_xll.BDS("LLY US Equity","SUPPLY_CHAIN_SUPPLIERS_ALL_DATA","cols=12;rows=5")</f>
        <v>RIGL US Equity</v>
      </c>
      <c r="FZ5" t="s">
        <v>1786</v>
      </c>
      <c r="GA5">
        <v>39</v>
      </c>
      <c r="GB5">
        <v>1.782985</v>
      </c>
      <c r="GC5" t="s">
        <v>1762</v>
      </c>
      <c r="GD5">
        <v>2025</v>
      </c>
      <c r="GE5" t="s">
        <v>2872</v>
      </c>
      <c r="GF5" s="6">
        <v>45874</v>
      </c>
      <c r="GG5">
        <v>5</v>
      </c>
      <c r="GH5">
        <v>39657152</v>
      </c>
      <c r="GI5">
        <v>1176875</v>
      </c>
      <c r="GJ5" t="s">
        <v>2873</v>
      </c>
      <c r="GM5" t="str">
        <f>_xll.BDS("LLY US Equity","SUPPLY_CHAIN_CUSTOMERS_ALL_DATA","cols=12;rows=5")</f>
        <v>MCK US Equity</v>
      </c>
      <c r="GN5">
        <v>23.281113000000001</v>
      </c>
      <c r="GO5" t="s">
        <v>1786</v>
      </c>
      <c r="GP5">
        <v>5.5350809999999999</v>
      </c>
      <c r="GQ5" t="s">
        <v>1742</v>
      </c>
      <c r="GR5">
        <v>2025</v>
      </c>
      <c r="GS5" t="s">
        <v>3253</v>
      </c>
      <c r="GT5" s="6">
        <v>46041</v>
      </c>
      <c r="GU5">
        <v>5</v>
      </c>
      <c r="GV5">
        <v>4097661952</v>
      </c>
      <c r="GW5">
        <v>154936</v>
      </c>
      <c r="GX5" t="s">
        <v>2146</v>
      </c>
      <c r="HC5" t="str">
        <f>_xll.BDS("IBM US Equity","SUPPLY_CHAIN_SUPPLIERS_ALL_DATA","cols=12;rows=5")</f>
        <v>005930 KS Equity</v>
      </c>
      <c r="HD5" t="s">
        <v>1786</v>
      </c>
      <c r="HE5">
        <v>0.49490499999999998</v>
      </c>
      <c r="HF5">
        <v>4.1423690000000004</v>
      </c>
      <c r="HG5" t="s">
        <v>1809</v>
      </c>
      <c r="HH5">
        <v>2025</v>
      </c>
      <c r="HI5" t="s">
        <v>2035</v>
      </c>
      <c r="HJ5" s="6">
        <v>45797</v>
      </c>
      <c r="HK5">
        <v>5</v>
      </c>
      <c r="HL5">
        <v>269668224</v>
      </c>
      <c r="HM5">
        <v>117929</v>
      </c>
      <c r="HN5" t="s">
        <v>1791</v>
      </c>
      <c r="HQ5" t="str">
        <f>_xll.BDS("IBM US Equity","SUPPLY_CHAIN_CUSTOMERS_ALL_DATA","cols=12;rows=5")</f>
        <v>AMZN US Equity</v>
      </c>
      <c r="HR5">
        <v>4.454224</v>
      </c>
      <c r="HS5" t="s">
        <v>1786</v>
      </c>
      <c r="HT5">
        <v>0.84141600000000005</v>
      </c>
      <c r="HU5" t="s">
        <v>1809</v>
      </c>
      <c r="HV5">
        <v>2025</v>
      </c>
      <c r="HW5" t="s">
        <v>2035</v>
      </c>
      <c r="HX5" s="6">
        <v>45797</v>
      </c>
      <c r="HY5">
        <v>5</v>
      </c>
      <c r="HZ5">
        <v>647688704</v>
      </c>
      <c r="IA5">
        <v>216952</v>
      </c>
      <c r="IB5" t="s">
        <v>1886</v>
      </c>
      <c r="IG5" t="str">
        <f>_xll.BDS("SPTN US Equity","SUPPLY_CHAIN_SUPPLIERS_ALL_DATA","cols=12;rows=5")</f>
        <v>HRL US Equity</v>
      </c>
      <c r="IH5" t="s">
        <v>1786</v>
      </c>
      <c r="II5">
        <v>0.44891799999999998</v>
      </c>
      <c r="IJ5">
        <v>0.70841900000000002</v>
      </c>
      <c r="IK5" t="s">
        <v>1845</v>
      </c>
      <c r="IL5">
        <v>2025</v>
      </c>
      <c r="IM5" t="s">
        <v>5104</v>
      </c>
      <c r="IN5" s="6">
        <v>45996</v>
      </c>
      <c r="IO5">
        <v>5</v>
      </c>
      <c r="IP5">
        <v>13378651</v>
      </c>
      <c r="IQ5">
        <v>100753</v>
      </c>
      <c r="IR5" t="s">
        <v>5105</v>
      </c>
      <c r="IU5" t="str">
        <f>_xll.BDS("SPTN US Equity","SUPPLY_CHAIN_CUSTOMERS_ALL_DATA","cols=12;rows=5")</f>
        <v>0219682Z US Equity</v>
      </c>
      <c r="IV5">
        <v>-2.4245362661989844E-14</v>
      </c>
      <c r="IX5">
        <v>-2.4245362661989844E-14</v>
      </c>
      <c r="IY5" t="s">
        <v>1745</v>
      </c>
      <c r="IZ5">
        <v>2023</v>
      </c>
      <c r="JA5" t="s">
        <v>4777</v>
      </c>
      <c r="JB5" s="6">
        <v>45030</v>
      </c>
      <c r="JC5">
        <v>5</v>
      </c>
      <c r="JD5">
        <v>-2.4245362661989844E-14</v>
      </c>
      <c r="JE5">
        <v>962205</v>
      </c>
      <c r="JF5" t="s">
        <v>1796</v>
      </c>
      <c r="JK5" t="str">
        <f>_xll.BDS("1431816D US Equity","SUPPLY_CHAIN_SUPPLIERS_ALL_DATA")</f>
        <v>#N/A N/A</v>
      </c>
      <c r="JY5" t="str">
        <f>_xll.BDS("1431816D US Equity","SUPPLY_CHAIN_CUSTOMERS_ALL_DATA")</f>
        <v>#N/A N/A</v>
      </c>
      <c r="KO5" t="str">
        <f>_xll.BDS("GAS US Equity","SUPPLY_CHAIN_SUPPLIERS_ALL_DATA")</f>
        <v>#N/A N/A</v>
      </c>
      <c r="LC5" t="str">
        <f>_xll.BDS("GAS US Equity","SUPPLY_CHAIN_CUSTOMERS_ALL_DATA")</f>
        <v>#N/A N/A</v>
      </c>
      <c r="LS5" t="str">
        <f>_xll.BDS("1367809D US Equity","SUPPLY_CHAIN_SUPPLIERS_ALL_DATA")</f>
        <v>#N/A N/A</v>
      </c>
      <c r="MG5" t="str">
        <f>_xll.BDS("1367809D US Equity","SUPPLY_CHAIN_CUSTOMERS_ALL_DATA")</f>
        <v>#N/A N/A</v>
      </c>
      <c r="MW5" t="str">
        <f>_xll.BDS("EA US Equity","SUPPLY_CHAIN_SUPPLIERS_ALL_DATA","cols=12;rows=5")</f>
        <v>HPP US Equity</v>
      </c>
      <c r="MX5" t="s">
        <v>1769</v>
      </c>
      <c r="MY5">
        <v>0.64998</v>
      </c>
      <c r="MZ5">
        <v>0.321963</v>
      </c>
      <c r="NA5" t="s">
        <v>1745</v>
      </c>
      <c r="NB5">
        <v>2024</v>
      </c>
      <c r="NC5" t="s">
        <v>3495</v>
      </c>
      <c r="ND5" s="6">
        <v>45713</v>
      </c>
      <c r="NE5">
        <v>5</v>
      </c>
      <c r="NF5">
        <v>1368341.25</v>
      </c>
      <c r="NG5">
        <v>18077551</v>
      </c>
      <c r="NH5" t="s">
        <v>3496</v>
      </c>
      <c r="NK5" t="str">
        <f>_xll.BDS("EA US Equity","SUPPLY_CHAIN_CUSTOMERS_ALL_DATA","cols=12;rows=5")</f>
        <v>6758 JP Equity</v>
      </c>
      <c r="NL5">
        <v>39</v>
      </c>
      <c r="NM5" t="s">
        <v>1786</v>
      </c>
      <c r="NN5">
        <v>4.7700909999999999</v>
      </c>
      <c r="NO5" t="s">
        <v>1745</v>
      </c>
      <c r="NP5">
        <v>2025</v>
      </c>
      <c r="NQ5" t="s">
        <v>3686</v>
      </c>
      <c r="NR5" s="6">
        <v>45790</v>
      </c>
      <c r="NS5">
        <v>5</v>
      </c>
      <c r="NT5">
        <v>727642496</v>
      </c>
      <c r="NU5">
        <v>101365</v>
      </c>
      <c r="NV5" t="s">
        <v>3687</v>
      </c>
      <c r="OA5" t="str">
        <f>_xll.BDS("GEO US Equity","SUPPLY_CHAIN_SUPPLIERS_ALL_DATA","cols=12;rows=1")</f>
        <v>VSEE US Equity</v>
      </c>
      <c r="OC5">
        <v>-2.4245362661989844E-14</v>
      </c>
      <c r="OD5">
        <v>-2.4245362661989844E-14</v>
      </c>
      <c r="OE5" t="s">
        <v>1745</v>
      </c>
      <c r="OF5">
        <v>2025</v>
      </c>
      <c r="OG5" t="s">
        <v>3606</v>
      </c>
      <c r="OH5" s="6">
        <v>45749</v>
      </c>
      <c r="OI5">
        <v>1</v>
      </c>
      <c r="OJ5">
        <v>-2.4245362661989844E-14</v>
      </c>
      <c r="OK5">
        <v>69780054</v>
      </c>
      <c r="OL5" t="s">
        <v>3607</v>
      </c>
      <c r="OO5" t="str">
        <f>_xll.BDS("GEO US Equity","SUPPLY_CHAIN_CUSTOMERS_ALL_DATA","cols=12;rows=5")</f>
        <v>3352Z US Equity</v>
      </c>
      <c r="OP5">
        <v>62</v>
      </c>
      <c r="OR5">
        <v>-2.4245362661989844E-14</v>
      </c>
      <c r="OS5" t="s">
        <v>1745</v>
      </c>
      <c r="OT5">
        <v>2024</v>
      </c>
      <c r="OU5" t="s">
        <v>3243</v>
      </c>
      <c r="OV5" s="6">
        <v>45716</v>
      </c>
      <c r="OW5">
        <v>5</v>
      </c>
      <c r="OX5">
        <v>375673824</v>
      </c>
      <c r="OY5">
        <v>218252</v>
      </c>
      <c r="OZ5" t="s">
        <v>1803</v>
      </c>
      <c r="PE5" t="str">
        <f>_xll.BDS("ES US Equity","SUPPLY_CHAIN_SUPPLIERS_ALL_DATA","cols=12;rows=5")</f>
        <v>PWR US Equity</v>
      </c>
      <c r="PF5" t="s">
        <v>1820</v>
      </c>
      <c r="PG5">
        <v>1.143059</v>
      </c>
      <c r="PH5">
        <v>7.7473200000000002</v>
      </c>
      <c r="PI5" t="s">
        <v>1742</v>
      </c>
      <c r="PJ5">
        <v>2025</v>
      </c>
      <c r="PK5" t="s">
        <v>2779</v>
      </c>
      <c r="PL5" s="6">
        <v>45975</v>
      </c>
      <c r="PM5">
        <v>5</v>
      </c>
      <c r="PN5">
        <v>87231496</v>
      </c>
      <c r="PO5">
        <v>305366</v>
      </c>
      <c r="PP5" t="s">
        <v>2780</v>
      </c>
      <c r="PS5" t="str">
        <f>_xll.BDS("ES US Equity","SUPPLY_CHAIN_CUSTOMERS_ALL_DATA","cols=12;rows=5")</f>
        <v>ARW US Equity</v>
      </c>
      <c r="PT5">
        <v>0.12659200000000001</v>
      </c>
      <c r="PU5" t="s">
        <v>1786</v>
      </c>
      <c r="PV5">
        <v>8.6316000000000004E-2</v>
      </c>
      <c r="PW5" t="s">
        <v>1809</v>
      </c>
      <c r="PX5">
        <v>2025</v>
      </c>
      <c r="PY5" t="s">
        <v>1815</v>
      </c>
      <c r="PZ5" s="6">
        <v>45784</v>
      </c>
      <c r="QA5">
        <v>5</v>
      </c>
      <c r="QB5">
        <v>5213508</v>
      </c>
      <c r="QC5">
        <v>100115</v>
      </c>
      <c r="QD5" t="s">
        <v>1816</v>
      </c>
      <c r="QI5" t="str">
        <f>_xll.BDS("496160Q US Equity","SUPPLY_CHAIN_SUPPLIERS_ALL_DATA")</f>
        <v>#N/A N/A</v>
      </c>
      <c r="QW5" t="str">
        <f>_xll.BDS("496160Q US Equity","SUPPLY_CHAIN_CUSTOMERS_ALL_DATA")</f>
        <v>#N/A N/A</v>
      </c>
      <c r="RM5" t="str">
        <f>_xll.BDS("AMMD US Equity","SUPPLY_CHAIN_SUPPLIERS_ALL_DATA")</f>
        <v>#N/A N/A</v>
      </c>
      <c r="SA5" t="str">
        <f>_xll.BDS("AMMD US Equity","SUPPLY_CHAIN_CUSTOMERS_ALL_DATA")</f>
        <v>#N/A N/A</v>
      </c>
      <c r="SQ5" t="str">
        <f>_xll.BDS("2674129Q US Equity","SUPPLY_CHAIN_SUPPLIERS_ALL_DATA")</f>
        <v>#N/A N/A</v>
      </c>
      <c r="TE5" t="str">
        <f>_xll.BDS("2674129Q US Equity","SUPPLY_CHAIN_CUSTOMERS_ALL_DATA")</f>
        <v>#N/A N/A</v>
      </c>
      <c r="TU5" t="str">
        <f>_xll.BDS("BRCD US Equity","SUPPLY_CHAIN_SUPPLIERS_ALL_DATA")</f>
        <v>#N/A N/A</v>
      </c>
      <c r="UI5" t="str">
        <f>_xll.BDS("BRCD US Equity","SUPPLY_CHAIN_CUSTOMERS_ALL_DATA")</f>
        <v>#N/A N/A</v>
      </c>
      <c r="UY5" t="str">
        <f>_xll.BDS("PNC US Equity","SUPPLY_CHAIN_SUPPLIERS_ALL_DATA","cols=12;rows=5")</f>
        <v>ORCL US Equity</v>
      </c>
      <c r="UZ5" t="s">
        <v>1786</v>
      </c>
      <c r="VA5">
        <v>7.3811000000000002E-2</v>
      </c>
      <c r="VB5">
        <v>0.34656500000000001</v>
      </c>
      <c r="VC5" t="s">
        <v>1845</v>
      </c>
      <c r="VD5">
        <v>2025</v>
      </c>
      <c r="VE5" t="s">
        <v>1883</v>
      </c>
      <c r="VF5" s="6">
        <v>45848</v>
      </c>
      <c r="VG5">
        <v>5</v>
      </c>
      <c r="VH5">
        <v>11738163</v>
      </c>
      <c r="VI5">
        <v>101752</v>
      </c>
      <c r="VJ5" t="s">
        <v>2723</v>
      </c>
      <c r="VM5" t="str">
        <f>_xll.BDS("PNC US Equity","SUPPLY_CHAIN_CUSTOMERS_ALL_DATA","cols=12;rows=1")</f>
        <v>4502 JP Equity</v>
      </c>
      <c r="VN5">
        <v>-2.4245362661989844E-14</v>
      </c>
      <c r="VP5">
        <v>-2.4245362661989844E-14</v>
      </c>
      <c r="VQ5" t="s">
        <v>1745</v>
      </c>
      <c r="VR5">
        <v>2025</v>
      </c>
      <c r="VS5" t="s">
        <v>3980</v>
      </c>
      <c r="VT5" s="6">
        <v>45834</v>
      </c>
      <c r="VU5">
        <v>1</v>
      </c>
      <c r="VV5">
        <v>-2.4245362661989844E-14</v>
      </c>
      <c r="VW5">
        <v>114881</v>
      </c>
      <c r="VX5" t="s">
        <v>3981</v>
      </c>
    </row>
    <row r="6" spans="1:600" x14ac:dyDescent="0.25">
      <c r="BI6" t="s">
        <v>1287</v>
      </c>
      <c r="BJ6" t="s">
        <v>1786</v>
      </c>
      <c r="BK6">
        <v>0.86485599999999996</v>
      </c>
      <c r="BL6">
        <v>4.0630959999999998</v>
      </c>
      <c r="BM6" t="s">
        <v>1809</v>
      </c>
      <c r="BN6">
        <v>2025</v>
      </c>
      <c r="BO6" t="s">
        <v>2035</v>
      </c>
      <c r="BP6" s="6">
        <v>45797</v>
      </c>
      <c r="BQ6">
        <v>5</v>
      </c>
      <c r="BR6">
        <v>264507552</v>
      </c>
      <c r="BS6">
        <v>101376</v>
      </c>
      <c r="BT6" t="s">
        <v>1895</v>
      </c>
      <c r="BW6" t="s">
        <v>424</v>
      </c>
      <c r="BX6">
        <v>3.8131789999999999</v>
      </c>
      <c r="BY6" t="s">
        <v>1786</v>
      </c>
      <c r="BZ6">
        <v>2.529652</v>
      </c>
      <c r="CA6" t="s">
        <v>1809</v>
      </c>
      <c r="CB6">
        <v>2025</v>
      </c>
      <c r="CC6" t="s">
        <v>2035</v>
      </c>
      <c r="CD6" s="6">
        <v>45797</v>
      </c>
      <c r="CE6">
        <v>5</v>
      </c>
      <c r="CF6">
        <v>554474368</v>
      </c>
      <c r="CG6">
        <v>101743</v>
      </c>
      <c r="CH6" t="s">
        <v>1891</v>
      </c>
      <c r="CM6" t="s">
        <v>4210</v>
      </c>
      <c r="CO6">
        <v>-2.4245362661989844E-14</v>
      </c>
      <c r="CP6">
        <v>-2.4245362661989844E-14</v>
      </c>
      <c r="CQ6" t="s">
        <v>1745</v>
      </c>
      <c r="CR6">
        <v>2022</v>
      </c>
      <c r="CS6" t="s">
        <v>4211</v>
      </c>
      <c r="CT6" s="6">
        <v>44693</v>
      </c>
      <c r="CU6">
        <v>5</v>
      </c>
      <c r="CV6">
        <v>-2.4245362661989844E-14</v>
      </c>
      <c r="CW6">
        <v>113413</v>
      </c>
      <c r="CX6" t="s">
        <v>4212</v>
      </c>
      <c r="DA6" t="s">
        <v>2017</v>
      </c>
      <c r="DB6">
        <v>-2.4245362661989844E-14</v>
      </c>
      <c r="DD6">
        <v>-2.4245362661989844E-14</v>
      </c>
      <c r="DE6" t="s">
        <v>1745</v>
      </c>
      <c r="DF6">
        <v>2025</v>
      </c>
      <c r="DG6" t="s">
        <v>2018</v>
      </c>
      <c r="DH6" s="6">
        <v>45777</v>
      </c>
      <c r="DI6">
        <v>5</v>
      </c>
      <c r="DJ6">
        <v>-2.4245362661989844E-14</v>
      </c>
      <c r="DK6">
        <v>957754</v>
      </c>
      <c r="DL6" t="s">
        <v>2019</v>
      </c>
      <c r="FY6" t="s">
        <v>2874</v>
      </c>
      <c r="FZ6" t="s">
        <v>1786</v>
      </c>
      <c r="GA6">
        <v>2.8125499999999999</v>
      </c>
      <c r="GB6">
        <v>1.308325</v>
      </c>
      <c r="GC6" t="s">
        <v>1745</v>
      </c>
      <c r="GD6">
        <v>2025</v>
      </c>
      <c r="GE6" t="s">
        <v>2875</v>
      </c>
      <c r="GF6" s="6">
        <v>46063</v>
      </c>
      <c r="GG6">
        <v>5</v>
      </c>
      <c r="GH6">
        <v>36150000</v>
      </c>
      <c r="GI6">
        <v>126255</v>
      </c>
      <c r="GJ6" t="s">
        <v>2876</v>
      </c>
      <c r="GM6" t="s">
        <v>2147</v>
      </c>
      <c r="GN6">
        <v>22.163627999999999</v>
      </c>
      <c r="GO6" t="s">
        <v>1786</v>
      </c>
      <c r="GP6">
        <v>4.8294360000000003</v>
      </c>
      <c r="GQ6" t="s">
        <v>1742</v>
      </c>
      <c r="GR6">
        <v>2025</v>
      </c>
      <c r="GS6" t="s">
        <v>3253</v>
      </c>
      <c r="GT6" s="6">
        <v>46041</v>
      </c>
      <c r="GU6">
        <v>5</v>
      </c>
      <c r="GV6">
        <v>3900975616</v>
      </c>
      <c r="GW6">
        <v>156969</v>
      </c>
      <c r="GX6" t="s">
        <v>2148</v>
      </c>
      <c r="HC6" t="s">
        <v>1287</v>
      </c>
      <c r="HD6" t="s">
        <v>1786</v>
      </c>
      <c r="HE6">
        <v>0.86485599999999996</v>
      </c>
      <c r="HF6">
        <v>4.0630959999999998</v>
      </c>
      <c r="HG6" t="s">
        <v>1809</v>
      </c>
      <c r="HH6">
        <v>2025</v>
      </c>
      <c r="HI6" t="s">
        <v>2035</v>
      </c>
      <c r="HJ6" s="6">
        <v>45797</v>
      </c>
      <c r="HK6">
        <v>5</v>
      </c>
      <c r="HL6">
        <v>264507552</v>
      </c>
      <c r="HM6">
        <v>101376</v>
      </c>
      <c r="HN6" t="s">
        <v>1895</v>
      </c>
      <c r="HQ6" t="s">
        <v>424</v>
      </c>
      <c r="HR6">
        <v>3.8131789999999999</v>
      </c>
      <c r="HS6" t="s">
        <v>1786</v>
      </c>
      <c r="HT6">
        <v>2.529652</v>
      </c>
      <c r="HU6" t="s">
        <v>1809</v>
      </c>
      <c r="HV6">
        <v>2025</v>
      </c>
      <c r="HW6" t="s">
        <v>2035</v>
      </c>
      <c r="HX6" s="6">
        <v>45797</v>
      </c>
      <c r="HY6">
        <v>5</v>
      </c>
      <c r="HZ6">
        <v>554474368</v>
      </c>
      <c r="IA6">
        <v>101743</v>
      </c>
      <c r="IB6" t="s">
        <v>1891</v>
      </c>
      <c r="IG6" t="s">
        <v>5106</v>
      </c>
      <c r="IH6" t="s">
        <v>1786</v>
      </c>
      <c r="II6">
        <v>0.41076800000000002</v>
      </c>
      <c r="IJ6">
        <v>0.63146800000000003</v>
      </c>
      <c r="IK6" t="s">
        <v>1762</v>
      </c>
      <c r="IL6">
        <v>2026</v>
      </c>
      <c r="IM6" t="s">
        <v>5107</v>
      </c>
      <c r="IN6" s="6">
        <v>46020</v>
      </c>
      <c r="IO6">
        <v>5</v>
      </c>
      <c r="IP6">
        <v>11925417</v>
      </c>
      <c r="IQ6">
        <v>100377</v>
      </c>
      <c r="IR6" t="s">
        <v>5108</v>
      </c>
      <c r="IU6" t="s">
        <v>1930</v>
      </c>
      <c r="IV6">
        <v>-2.4245362661989844E-14</v>
      </c>
      <c r="IX6">
        <v>-2.4245362661989844E-14</v>
      </c>
      <c r="IY6" t="s">
        <v>1745</v>
      </c>
      <c r="IZ6">
        <v>2023</v>
      </c>
      <c r="JA6" t="s">
        <v>4778</v>
      </c>
      <c r="JB6" s="6">
        <v>45350</v>
      </c>
      <c r="JC6">
        <v>5</v>
      </c>
      <c r="JD6">
        <v>-2.4245362661989844E-14</v>
      </c>
      <c r="JE6">
        <v>962190</v>
      </c>
      <c r="JF6" t="s">
        <v>1931</v>
      </c>
      <c r="MW6" t="s">
        <v>3085</v>
      </c>
      <c r="MX6" t="s">
        <v>1786</v>
      </c>
      <c r="MY6">
        <v>2.1791000000000001E-2</v>
      </c>
      <c r="MZ6">
        <v>6.0110999999999998E-2</v>
      </c>
      <c r="NA6" t="s">
        <v>1809</v>
      </c>
      <c r="NB6">
        <v>2025</v>
      </c>
      <c r="NC6" t="s">
        <v>3086</v>
      </c>
      <c r="ND6" s="6">
        <v>45834</v>
      </c>
      <c r="NE6">
        <v>5</v>
      </c>
      <c r="NF6">
        <v>221209</v>
      </c>
      <c r="NG6">
        <v>393374</v>
      </c>
      <c r="NH6" t="s">
        <v>3087</v>
      </c>
      <c r="NK6" t="s">
        <v>424</v>
      </c>
      <c r="NL6">
        <v>17</v>
      </c>
      <c r="NM6" t="s">
        <v>1786</v>
      </c>
      <c r="NN6">
        <v>1.5193950000000001</v>
      </c>
      <c r="NO6" t="s">
        <v>1745</v>
      </c>
      <c r="NP6">
        <v>2025</v>
      </c>
      <c r="NQ6" t="s">
        <v>3686</v>
      </c>
      <c r="NR6" s="6">
        <v>45790</v>
      </c>
      <c r="NS6">
        <v>5</v>
      </c>
      <c r="NT6">
        <v>317177504</v>
      </c>
      <c r="NU6">
        <v>101743</v>
      </c>
      <c r="NV6" t="s">
        <v>1891</v>
      </c>
      <c r="OO6" t="s">
        <v>3244</v>
      </c>
      <c r="OP6">
        <v>-2.4245362661989844E-14</v>
      </c>
      <c r="OR6">
        <v>-2.4245362661989844E-14</v>
      </c>
      <c r="OS6" t="s">
        <v>1745</v>
      </c>
      <c r="OT6">
        <v>2025</v>
      </c>
      <c r="OU6" t="s">
        <v>3245</v>
      </c>
      <c r="OV6" s="6">
        <v>45736</v>
      </c>
      <c r="OW6">
        <v>5</v>
      </c>
      <c r="OX6">
        <v>-2.4245362661989844E-14</v>
      </c>
      <c r="OY6">
        <v>18782064</v>
      </c>
      <c r="OZ6" t="s">
        <v>3246</v>
      </c>
      <c r="PE6" t="s">
        <v>2781</v>
      </c>
      <c r="PF6" t="s">
        <v>1820</v>
      </c>
      <c r="PG6">
        <v>0.56222700000000003</v>
      </c>
      <c r="PH6">
        <v>0.645401</v>
      </c>
      <c r="PI6" t="s">
        <v>1742</v>
      </c>
      <c r="PJ6">
        <v>2025</v>
      </c>
      <c r="PK6" t="s">
        <v>2782</v>
      </c>
      <c r="PL6" s="6">
        <v>46013</v>
      </c>
      <c r="PM6">
        <v>5</v>
      </c>
      <c r="PN6">
        <v>7268211.2400000002</v>
      </c>
      <c r="PO6">
        <v>40179625</v>
      </c>
      <c r="PP6" t="s">
        <v>2783</v>
      </c>
      <c r="PS6" t="s">
        <v>2581</v>
      </c>
      <c r="PT6">
        <v>-2.4245362661989844E-14</v>
      </c>
      <c r="PV6">
        <v>-2.4245362661989844E-14</v>
      </c>
      <c r="PW6" t="s">
        <v>1745</v>
      </c>
      <c r="PX6">
        <v>2021</v>
      </c>
      <c r="PY6" t="s">
        <v>2582</v>
      </c>
      <c r="PZ6" s="6">
        <v>44693</v>
      </c>
      <c r="QA6">
        <v>5</v>
      </c>
      <c r="QB6">
        <v>-2.4245362661989844E-14</v>
      </c>
      <c r="QC6">
        <v>24999838</v>
      </c>
      <c r="QD6" t="s">
        <v>2583</v>
      </c>
      <c r="UY6" t="s">
        <v>4081</v>
      </c>
      <c r="UZ6" t="s">
        <v>1769</v>
      </c>
      <c r="VA6">
        <v>0.58391400000000004</v>
      </c>
      <c r="VB6">
        <v>3.4025E-2</v>
      </c>
      <c r="VC6" t="s">
        <v>1745</v>
      </c>
      <c r="VD6">
        <v>2025</v>
      </c>
      <c r="VE6" t="s">
        <v>4082</v>
      </c>
      <c r="VF6" s="6">
        <v>46063</v>
      </c>
      <c r="VG6">
        <v>5</v>
      </c>
      <c r="VH6">
        <v>1176750</v>
      </c>
      <c r="VI6">
        <v>143096</v>
      </c>
      <c r="VJ6" t="s">
        <v>4083</v>
      </c>
    </row>
    <row r="7" spans="1:600" x14ac:dyDescent="0.25">
      <c r="BI7" t="s">
        <v>1885</v>
      </c>
      <c r="BJ7" t="s">
        <v>1786</v>
      </c>
      <c r="BK7">
        <v>0.167933</v>
      </c>
      <c r="BL7">
        <v>4.0156150000000004</v>
      </c>
      <c r="BM7" t="s">
        <v>1809</v>
      </c>
      <c r="BN7">
        <v>2025</v>
      </c>
      <c r="BO7" t="s">
        <v>2035</v>
      </c>
      <c r="BP7" s="6">
        <v>45797</v>
      </c>
      <c r="BQ7">
        <v>5</v>
      </c>
      <c r="BR7">
        <v>261416544</v>
      </c>
      <c r="BS7">
        <v>216952</v>
      </c>
      <c r="BT7" t="s">
        <v>1886</v>
      </c>
      <c r="BW7" t="s">
        <v>1789</v>
      </c>
      <c r="BX7">
        <v>3.1054590000000002</v>
      </c>
      <c r="BY7" t="s">
        <v>1786</v>
      </c>
      <c r="BZ7">
        <v>1.2857479999999999</v>
      </c>
      <c r="CA7" t="s">
        <v>1809</v>
      </c>
      <c r="CB7">
        <v>2025</v>
      </c>
      <c r="CC7" t="s">
        <v>2035</v>
      </c>
      <c r="CD7" s="6">
        <v>45797</v>
      </c>
      <c r="CE7">
        <v>5</v>
      </c>
      <c r="CF7">
        <v>451564800</v>
      </c>
      <c r="CG7">
        <v>117929</v>
      </c>
      <c r="CH7" t="s">
        <v>1791</v>
      </c>
      <c r="CM7" t="s">
        <v>195</v>
      </c>
      <c r="CO7">
        <v>-2.4245362661989844E-14</v>
      </c>
      <c r="CP7">
        <v>-2.4245362661989844E-14</v>
      </c>
      <c r="CQ7" t="s">
        <v>1809</v>
      </c>
      <c r="CR7">
        <v>2024</v>
      </c>
      <c r="CS7" t="s">
        <v>4213</v>
      </c>
      <c r="CT7" s="6">
        <v>45365</v>
      </c>
      <c r="CU7">
        <v>5</v>
      </c>
      <c r="CV7">
        <v>-2.4245362661989844E-14</v>
      </c>
      <c r="CW7">
        <v>101689</v>
      </c>
      <c r="CX7" t="s">
        <v>2269</v>
      </c>
      <c r="DA7" t="s">
        <v>2020</v>
      </c>
      <c r="DB7">
        <v>-2.4245362661989844E-14</v>
      </c>
      <c r="DD7">
        <v>-2.4245362661989844E-14</v>
      </c>
      <c r="DE7" t="s">
        <v>1745</v>
      </c>
      <c r="DF7">
        <v>2025</v>
      </c>
      <c r="DG7" t="s">
        <v>2021</v>
      </c>
      <c r="DH7" s="6">
        <v>45833</v>
      </c>
      <c r="DI7">
        <v>5</v>
      </c>
      <c r="DJ7">
        <v>-2.4245362661989844E-14</v>
      </c>
      <c r="DK7">
        <v>48550004</v>
      </c>
      <c r="DL7" t="s">
        <v>2022</v>
      </c>
      <c r="FY7" t="s">
        <v>2877</v>
      </c>
      <c r="FZ7" t="s">
        <v>1786</v>
      </c>
      <c r="GA7">
        <v>13.694044</v>
      </c>
      <c r="GB7">
        <v>1.0251479999999999</v>
      </c>
      <c r="GC7" t="s">
        <v>1745</v>
      </c>
      <c r="GD7">
        <v>2024</v>
      </c>
      <c r="GE7" t="s">
        <v>2878</v>
      </c>
      <c r="GF7" s="6">
        <v>45735</v>
      </c>
      <c r="GG7">
        <v>5</v>
      </c>
      <c r="GH7">
        <v>21575000</v>
      </c>
      <c r="GI7">
        <v>10664510</v>
      </c>
      <c r="GJ7" t="s">
        <v>2879</v>
      </c>
      <c r="GM7" t="s">
        <v>236</v>
      </c>
      <c r="GN7">
        <v>19.020800000000001</v>
      </c>
      <c r="GO7" t="s">
        <v>1786</v>
      </c>
      <c r="GP7">
        <v>5.4268320000000001</v>
      </c>
      <c r="GQ7" t="s">
        <v>1742</v>
      </c>
      <c r="GR7">
        <v>2025</v>
      </c>
      <c r="GS7" t="s">
        <v>3253</v>
      </c>
      <c r="GT7" s="6">
        <v>46041</v>
      </c>
      <c r="GU7">
        <v>5</v>
      </c>
      <c r="GV7">
        <v>3347812864</v>
      </c>
      <c r="GW7">
        <v>102782</v>
      </c>
      <c r="GX7" t="s">
        <v>2149</v>
      </c>
      <c r="HC7" t="s">
        <v>1885</v>
      </c>
      <c r="HD7" t="s">
        <v>1786</v>
      </c>
      <c r="HE7">
        <v>0.167933</v>
      </c>
      <c r="HF7">
        <v>4.0156150000000004</v>
      </c>
      <c r="HG7" t="s">
        <v>1809</v>
      </c>
      <c r="HH7">
        <v>2025</v>
      </c>
      <c r="HI7" t="s">
        <v>2035</v>
      </c>
      <c r="HJ7" s="6">
        <v>45797</v>
      </c>
      <c r="HK7">
        <v>5</v>
      </c>
      <c r="HL7">
        <v>261416544</v>
      </c>
      <c r="HM7">
        <v>216952</v>
      </c>
      <c r="HN7" t="s">
        <v>1886</v>
      </c>
      <c r="HQ7" t="s">
        <v>1789</v>
      </c>
      <c r="HR7">
        <v>3.1054590000000002</v>
      </c>
      <c r="HS7" t="s">
        <v>1786</v>
      </c>
      <c r="HT7">
        <v>1.2857479999999999</v>
      </c>
      <c r="HU7" t="s">
        <v>1809</v>
      </c>
      <c r="HV7">
        <v>2025</v>
      </c>
      <c r="HW7" t="s">
        <v>2035</v>
      </c>
      <c r="HX7" s="6">
        <v>45797</v>
      </c>
      <c r="HY7">
        <v>5</v>
      </c>
      <c r="HZ7">
        <v>451564800</v>
      </c>
      <c r="IA7">
        <v>117929</v>
      </c>
      <c r="IB7" t="s">
        <v>1791</v>
      </c>
      <c r="IG7" t="s">
        <v>5109</v>
      </c>
      <c r="IH7" t="s">
        <v>1786</v>
      </c>
      <c r="II7">
        <v>0.14783499999999999</v>
      </c>
      <c r="IJ7">
        <v>0.50581100000000001</v>
      </c>
      <c r="IK7" t="s">
        <v>1742</v>
      </c>
      <c r="IL7">
        <v>2025</v>
      </c>
      <c r="IM7" t="s">
        <v>5110</v>
      </c>
      <c r="IN7" s="6">
        <v>45960</v>
      </c>
      <c r="IO7">
        <v>5</v>
      </c>
      <c r="IP7">
        <v>9552359</v>
      </c>
      <c r="IQ7">
        <v>35299353</v>
      </c>
      <c r="IR7" t="s">
        <v>5111</v>
      </c>
      <c r="IU7" t="s">
        <v>4779</v>
      </c>
      <c r="IV7">
        <v>-2.4245362661989844E-14</v>
      </c>
      <c r="IX7">
        <v>-2.4245362661989844E-14</v>
      </c>
      <c r="IY7" t="s">
        <v>1745</v>
      </c>
      <c r="IZ7">
        <v>2024</v>
      </c>
      <c r="JA7" t="s">
        <v>4780</v>
      </c>
      <c r="JB7" s="6">
        <v>45714</v>
      </c>
      <c r="JC7">
        <v>5</v>
      </c>
      <c r="JD7">
        <v>-2.4245362661989844E-14</v>
      </c>
      <c r="JE7">
        <v>25314626</v>
      </c>
      <c r="JF7" t="s">
        <v>4781</v>
      </c>
      <c r="MW7" t="s">
        <v>1962</v>
      </c>
      <c r="MX7" t="s">
        <v>1786</v>
      </c>
      <c r="MY7">
        <v>9.7280000000000005E-3</v>
      </c>
      <c r="MZ7">
        <v>1.3369000000000001E-2</v>
      </c>
      <c r="NA7" t="s">
        <v>1762</v>
      </c>
      <c r="NB7">
        <v>2026</v>
      </c>
      <c r="NC7" t="s">
        <v>2011</v>
      </c>
      <c r="ND7" s="6">
        <v>46036</v>
      </c>
      <c r="NE7">
        <v>5</v>
      </c>
      <c r="NF7">
        <v>59227</v>
      </c>
      <c r="NG7">
        <v>194585</v>
      </c>
      <c r="NH7" t="s">
        <v>1964</v>
      </c>
      <c r="NK7" t="s">
        <v>1761</v>
      </c>
      <c r="NL7">
        <v>2.8790420000000001</v>
      </c>
      <c r="NM7" t="s">
        <v>1786</v>
      </c>
      <c r="NN7">
        <v>9.5610000000000001E-2</v>
      </c>
      <c r="NO7" t="s">
        <v>1809</v>
      </c>
      <c r="NP7">
        <v>2026</v>
      </c>
      <c r="NQ7" t="s">
        <v>3688</v>
      </c>
      <c r="NR7" s="6">
        <v>45884</v>
      </c>
      <c r="NS7">
        <v>5</v>
      </c>
      <c r="NT7">
        <v>48108792</v>
      </c>
      <c r="NU7">
        <v>101695</v>
      </c>
      <c r="NV7" t="s">
        <v>1764</v>
      </c>
      <c r="OO7" t="s">
        <v>3247</v>
      </c>
      <c r="OP7">
        <v>-2.4245362661989844E-14</v>
      </c>
      <c r="OR7">
        <v>-2.4245362661989844E-14</v>
      </c>
      <c r="OS7" t="s">
        <v>1745</v>
      </c>
      <c r="OT7">
        <v>2024</v>
      </c>
      <c r="OU7" t="s">
        <v>3243</v>
      </c>
      <c r="OV7" s="6">
        <v>45716</v>
      </c>
      <c r="OW7">
        <v>5</v>
      </c>
      <c r="OX7">
        <v>-2.4245362661989844E-14</v>
      </c>
      <c r="OY7">
        <v>18621631</v>
      </c>
      <c r="OZ7" t="s">
        <v>3248</v>
      </c>
      <c r="PE7" t="s">
        <v>2784</v>
      </c>
      <c r="PF7" t="s">
        <v>1786</v>
      </c>
      <c r="PG7">
        <v>15</v>
      </c>
      <c r="PH7">
        <v>0.60074099999999997</v>
      </c>
      <c r="PI7" t="s">
        <v>1745</v>
      </c>
      <c r="PJ7">
        <v>2025</v>
      </c>
      <c r="PK7" t="s">
        <v>2785</v>
      </c>
      <c r="PL7" s="6">
        <v>46009</v>
      </c>
      <c r="PM7">
        <v>5</v>
      </c>
      <c r="PN7">
        <v>5931075</v>
      </c>
      <c r="PO7">
        <v>103672</v>
      </c>
      <c r="PP7" t="s">
        <v>2786</v>
      </c>
      <c r="PS7" t="s">
        <v>2026</v>
      </c>
      <c r="PT7">
        <v>-2.4245362661989844E-14</v>
      </c>
      <c r="PV7">
        <v>-2.4245362661989844E-14</v>
      </c>
      <c r="PW7" t="s">
        <v>1745</v>
      </c>
      <c r="PX7">
        <v>2021</v>
      </c>
      <c r="PY7" t="s">
        <v>2582</v>
      </c>
      <c r="PZ7" s="6">
        <v>44693</v>
      </c>
      <c r="QA7">
        <v>5</v>
      </c>
      <c r="QB7">
        <v>-2.4245362661989844E-14</v>
      </c>
      <c r="QC7">
        <v>117832</v>
      </c>
      <c r="QD7" t="s">
        <v>2028</v>
      </c>
      <c r="UY7" t="s">
        <v>2043</v>
      </c>
      <c r="VA7">
        <v>-2.4245362661989844E-14</v>
      </c>
      <c r="VB7">
        <v>-2.4245362661989844E-14</v>
      </c>
      <c r="VC7" t="s">
        <v>1798</v>
      </c>
      <c r="VD7">
        <v>2023</v>
      </c>
      <c r="VE7" t="s">
        <v>4084</v>
      </c>
      <c r="VF7" s="6">
        <v>45244</v>
      </c>
      <c r="VG7">
        <v>5</v>
      </c>
      <c r="VH7">
        <v>-2.4245362661989844E-14</v>
      </c>
      <c r="VI7">
        <v>118099</v>
      </c>
      <c r="VJ7" t="s">
        <v>2044</v>
      </c>
    </row>
    <row r="8" spans="1:600" x14ac:dyDescent="0.25">
      <c r="BI8" t="s">
        <v>357</v>
      </c>
      <c r="BJ8" t="s">
        <v>1786</v>
      </c>
      <c r="BK8">
        <v>0.893262</v>
      </c>
      <c r="BL8">
        <v>1.9939499999999999</v>
      </c>
      <c r="BM8" t="s">
        <v>1809</v>
      </c>
      <c r="BN8">
        <v>2025</v>
      </c>
      <c r="BO8" t="s">
        <v>2035</v>
      </c>
      <c r="BP8" s="6">
        <v>45797</v>
      </c>
      <c r="BQ8">
        <v>5</v>
      </c>
      <c r="BR8">
        <v>129806144</v>
      </c>
      <c r="BS8">
        <v>1499717</v>
      </c>
      <c r="BT8" t="s">
        <v>1864</v>
      </c>
      <c r="BW8" t="s">
        <v>1814</v>
      </c>
      <c r="BX8">
        <v>0.94301500000000005</v>
      </c>
      <c r="BY8" t="s">
        <v>1786</v>
      </c>
      <c r="BZ8">
        <v>2.2702520000000002</v>
      </c>
      <c r="CA8" t="s">
        <v>1809</v>
      </c>
      <c r="CB8">
        <v>2025</v>
      </c>
      <c r="CC8" t="s">
        <v>1815</v>
      </c>
      <c r="CD8" s="6">
        <v>45784</v>
      </c>
      <c r="CE8">
        <v>5</v>
      </c>
      <c r="CF8">
        <v>137123792</v>
      </c>
      <c r="CG8">
        <v>100115</v>
      </c>
      <c r="CH8" t="s">
        <v>1816</v>
      </c>
      <c r="CM8" t="s">
        <v>2280</v>
      </c>
      <c r="CO8">
        <v>-2.4245362661989844E-14</v>
      </c>
      <c r="CP8">
        <v>-2.4245362661989844E-14</v>
      </c>
      <c r="CQ8" t="s">
        <v>1745</v>
      </c>
      <c r="CR8">
        <v>2021</v>
      </c>
      <c r="CS8" t="s">
        <v>2281</v>
      </c>
      <c r="CT8" s="6">
        <v>44693</v>
      </c>
      <c r="CU8">
        <v>5</v>
      </c>
      <c r="CV8">
        <v>-2.4245362661989844E-14</v>
      </c>
      <c r="CW8">
        <v>313098</v>
      </c>
      <c r="CX8" t="s">
        <v>2282</v>
      </c>
      <c r="DA8" t="s">
        <v>1761</v>
      </c>
      <c r="DB8">
        <v>-2.4245362661989844E-14</v>
      </c>
      <c r="DD8">
        <v>-2.4245362661989844E-14</v>
      </c>
      <c r="DE8" t="s">
        <v>1745</v>
      </c>
      <c r="DF8">
        <v>2023</v>
      </c>
      <c r="DG8" t="s">
        <v>2023</v>
      </c>
      <c r="DH8" s="6">
        <v>45404</v>
      </c>
      <c r="DI8">
        <v>5</v>
      </c>
      <c r="DJ8">
        <v>-2.4245362661989844E-14</v>
      </c>
      <c r="DK8">
        <v>101695</v>
      </c>
      <c r="DL8" t="s">
        <v>1764</v>
      </c>
      <c r="FY8" t="s">
        <v>306</v>
      </c>
      <c r="FZ8" t="s">
        <v>2416</v>
      </c>
      <c r="GA8">
        <v>2.0662310000000002</v>
      </c>
      <c r="GB8">
        <v>0.63925799999999999</v>
      </c>
      <c r="GC8" t="s">
        <v>1762</v>
      </c>
      <c r="GD8">
        <v>2025</v>
      </c>
      <c r="GE8" t="s">
        <v>2880</v>
      </c>
      <c r="GF8" s="6">
        <v>45921</v>
      </c>
      <c r="GG8">
        <v>5</v>
      </c>
      <c r="GH8">
        <v>21326292</v>
      </c>
      <c r="GI8">
        <v>963610</v>
      </c>
      <c r="GJ8" t="s">
        <v>2881</v>
      </c>
      <c r="GM8" t="s">
        <v>3746</v>
      </c>
      <c r="GN8">
        <v>5.4489999999999998</v>
      </c>
      <c r="GP8">
        <v>-2.4245362661989844E-14</v>
      </c>
      <c r="GQ8" t="s">
        <v>1742</v>
      </c>
      <c r="GR8">
        <v>2025</v>
      </c>
      <c r="GS8" t="s">
        <v>3253</v>
      </c>
      <c r="GT8" s="6">
        <v>46041</v>
      </c>
      <c r="GU8">
        <v>5</v>
      </c>
      <c r="GV8">
        <v>959067584</v>
      </c>
      <c r="GW8">
        <v>199844</v>
      </c>
      <c r="GX8" t="s">
        <v>3747</v>
      </c>
      <c r="HC8" t="s">
        <v>357</v>
      </c>
      <c r="HD8" t="s">
        <v>1786</v>
      </c>
      <c r="HE8">
        <v>0.893262</v>
      </c>
      <c r="HF8">
        <v>1.9939499999999999</v>
      </c>
      <c r="HG8" t="s">
        <v>1809</v>
      </c>
      <c r="HH8">
        <v>2025</v>
      </c>
      <c r="HI8" t="s">
        <v>2035</v>
      </c>
      <c r="HJ8" s="6">
        <v>45797</v>
      </c>
      <c r="HK8">
        <v>5</v>
      </c>
      <c r="HL8">
        <v>129806144</v>
      </c>
      <c r="HM8">
        <v>1499717</v>
      </c>
      <c r="HN8" t="s">
        <v>1864</v>
      </c>
      <c r="HQ8" t="s">
        <v>1814</v>
      </c>
      <c r="HR8">
        <v>0.94301500000000005</v>
      </c>
      <c r="HS8" t="s">
        <v>1786</v>
      </c>
      <c r="HT8">
        <v>2.2702520000000002</v>
      </c>
      <c r="HU8" t="s">
        <v>1809</v>
      </c>
      <c r="HV8">
        <v>2025</v>
      </c>
      <c r="HW8" t="s">
        <v>1815</v>
      </c>
      <c r="HX8" s="6">
        <v>45784</v>
      </c>
      <c r="HY8">
        <v>5</v>
      </c>
      <c r="HZ8">
        <v>137123792</v>
      </c>
      <c r="IA8">
        <v>100115</v>
      </c>
      <c r="IB8" t="s">
        <v>1816</v>
      </c>
      <c r="IG8" t="s">
        <v>5112</v>
      </c>
      <c r="IH8" t="s">
        <v>1786</v>
      </c>
      <c r="II8">
        <v>0.59750199999999998</v>
      </c>
      <c r="IJ8">
        <v>0.31396000000000002</v>
      </c>
      <c r="IK8" t="s">
        <v>1809</v>
      </c>
      <c r="IL8">
        <v>2025</v>
      </c>
      <c r="IM8" t="s">
        <v>5113</v>
      </c>
      <c r="IN8" s="6">
        <v>45835</v>
      </c>
      <c r="IO8">
        <v>5</v>
      </c>
      <c r="IP8">
        <v>7623359</v>
      </c>
      <c r="IQ8">
        <v>1745630</v>
      </c>
      <c r="IR8" t="s">
        <v>5114</v>
      </c>
      <c r="IU8" t="s">
        <v>1801</v>
      </c>
      <c r="IV8">
        <v>-2.4245362661989844E-14</v>
      </c>
      <c r="IX8">
        <v>-2.4245362661989844E-14</v>
      </c>
      <c r="IY8" t="s">
        <v>1745</v>
      </c>
      <c r="IZ8">
        <v>2023</v>
      </c>
      <c r="JA8" t="s">
        <v>4778</v>
      </c>
      <c r="JB8" s="6">
        <v>45350</v>
      </c>
      <c r="JC8">
        <v>5</v>
      </c>
      <c r="JD8">
        <v>-2.4245362661989844E-14</v>
      </c>
      <c r="JE8">
        <v>218252</v>
      </c>
      <c r="JF8" t="s">
        <v>1803</v>
      </c>
      <c r="MW8" t="s">
        <v>3862</v>
      </c>
      <c r="MY8">
        <v>-2.4245362661989844E-14</v>
      </c>
      <c r="MZ8">
        <v>-2.4245362661989844E-14</v>
      </c>
      <c r="NA8" t="s">
        <v>1742</v>
      </c>
      <c r="NB8">
        <v>2025</v>
      </c>
      <c r="NC8" t="s">
        <v>3863</v>
      </c>
      <c r="ND8" s="6">
        <v>45693</v>
      </c>
      <c r="NE8">
        <v>5</v>
      </c>
      <c r="NF8">
        <v>-2.4245362661989844E-14</v>
      </c>
      <c r="NG8">
        <v>938151</v>
      </c>
      <c r="NH8" t="s">
        <v>3864</v>
      </c>
      <c r="NK8" t="s">
        <v>246</v>
      </c>
      <c r="NL8">
        <v>2.2214360000000002</v>
      </c>
      <c r="NM8" t="s">
        <v>1786</v>
      </c>
      <c r="NN8">
        <v>9.5085000000000003E-2</v>
      </c>
      <c r="NO8" t="s">
        <v>1809</v>
      </c>
      <c r="NP8">
        <v>2026</v>
      </c>
      <c r="NQ8" t="s">
        <v>3688</v>
      </c>
      <c r="NR8" s="6">
        <v>45884</v>
      </c>
      <c r="NS8">
        <v>5</v>
      </c>
      <c r="NT8">
        <v>37120196</v>
      </c>
      <c r="NU8">
        <v>46946968</v>
      </c>
      <c r="NV8" t="s">
        <v>1765</v>
      </c>
      <c r="OO8" t="s">
        <v>3249</v>
      </c>
      <c r="OP8">
        <v>-2.4245362661989844E-14</v>
      </c>
      <c r="OR8">
        <v>-2.4245362661989844E-14</v>
      </c>
      <c r="OS8" t="s">
        <v>1745</v>
      </c>
      <c r="OT8">
        <v>2024</v>
      </c>
      <c r="OU8" t="s">
        <v>3243</v>
      </c>
      <c r="OV8" s="6">
        <v>45716</v>
      </c>
      <c r="OW8">
        <v>5</v>
      </c>
      <c r="OX8">
        <v>-2.4245362661989844E-14</v>
      </c>
      <c r="OY8">
        <v>17712908</v>
      </c>
      <c r="OZ8" t="s">
        <v>3250</v>
      </c>
      <c r="PE8" t="s">
        <v>2787</v>
      </c>
      <c r="PF8" t="s">
        <v>1820</v>
      </c>
      <c r="PG8">
        <v>3.6712000000000002E-2</v>
      </c>
      <c r="PH8">
        <v>0.291099</v>
      </c>
      <c r="PI8" t="s">
        <v>1742</v>
      </c>
      <c r="PJ8">
        <v>2025</v>
      </c>
      <c r="PK8" t="s">
        <v>2788</v>
      </c>
      <c r="PL8" s="6">
        <v>45985</v>
      </c>
      <c r="PM8">
        <v>5</v>
      </c>
      <c r="PN8">
        <v>3277647</v>
      </c>
      <c r="PO8">
        <v>101318</v>
      </c>
      <c r="PP8" t="s">
        <v>2789</v>
      </c>
      <c r="PS8" t="s">
        <v>2584</v>
      </c>
      <c r="PT8">
        <v>-2.4245362661989844E-14</v>
      </c>
      <c r="PV8">
        <v>-2.4245362661989844E-14</v>
      </c>
      <c r="PW8" t="s">
        <v>1745</v>
      </c>
      <c r="PX8">
        <v>2021</v>
      </c>
      <c r="PY8" t="s">
        <v>2582</v>
      </c>
      <c r="PZ8" s="6">
        <v>44693</v>
      </c>
      <c r="QA8">
        <v>5</v>
      </c>
      <c r="QB8">
        <v>-2.4245362661989844E-14</v>
      </c>
      <c r="QC8">
        <v>117924</v>
      </c>
      <c r="QD8" t="s">
        <v>2585</v>
      </c>
      <c r="UY8" t="s">
        <v>4085</v>
      </c>
      <c r="VA8">
        <v>-2.4245362661989844E-14</v>
      </c>
      <c r="VB8">
        <v>-2.4245362661989844E-14</v>
      </c>
      <c r="VC8" t="s">
        <v>1745</v>
      </c>
      <c r="VD8">
        <v>2023</v>
      </c>
      <c r="VE8" t="s">
        <v>4086</v>
      </c>
      <c r="VF8" s="6">
        <v>45188</v>
      </c>
      <c r="VG8">
        <v>5</v>
      </c>
      <c r="VH8">
        <v>-2.4245362661989844E-14</v>
      </c>
      <c r="VI8">
        <v>38550351</v>
      </c>
      <c r="VJ8" t="s">
        <v>4087</v>
      </c>
    </row>
    <row r="9" spans="1:600" x14ac:dyDescent="0.25">
      <c r="BI9" t="s">
        <v>2512</v>
      </c>
      <c r="BJ9" t="s">
        <v>1786</v>
      </c>
      <c r="BK9">
        <v>0.59890299999999996</v>
      </c>
      <c r="BL9">
        <v>1.729209</v>
      </c>
      <c r="BM9" t="s">
        <v>1809</v>
      </c>
      <c r="BN9">
        <v>2025</v>
      </c>
      <c r="BO9" t="s">
        <v>2035</v>
      </c>
      <c r="BP9" s="6">
        <v>45797</v>
      </c>
      <c r="BQ9">
        <v>5</v>
      </c>
      <c r="BR9">
        <v>112571504</v>
      </c>
      <c r="BS9">
        <v>130929</v>
      </c>
      <c r="BT9" t="s">
        <v>2513</v>
      </c>
      <c r="BW9" t="s">
        <v>167</v>
      </c>
      <c r="BX9">
        <v>0.76780499999999996</v>
      </c>
      <c r="BY9" t="s">
        <v>1786</v>
      </c>
      <c r="BZ9">
        <v>2.2920660000000002</v>
      </c>
      <c r="CA9" t="s">
        <v>1809</v>
      </c>
      <c r="CB9">
        <v>2025</v>
      </c>
      <c r="CC9" t="s">
        <v>2035</v>
      </c>
      <c r="CD9" s="6">
        <v>45797</v>
      </c>
      <c r="CE9">
        <v>5</v>
      </c>
      <c r="CF9">
        <v>111646528</v>
      </c>
      <c r="CG9">
        <v>69423747</v>
      </c>
      <c r="CH9" t="s">
        <v>2036</v>
      </c>
      <c r="CM9" t="s">
        <v>2283</v>
      </c>
      <c r="CO9">
        <v>-2.4245362661989844E-14</v>
      </c>
      <c r="CP9">
        <v>-2.4245362661989844E-14</v>
      </c>
      <c r="CQ9" t="s">
        <v>1745</v>
      </c>
      <c r="CR9">
        <v>2021</v>
      </c>
      <c r="CS9" t="s">
        <v>2284</v>
      </c>
      <c r="CT9" s="6">
        <v>44693</v>
      </c>
      <c r="CU9">
        <v>5</v>
      </c>
      <c r="CV9">
        <v>-2.4245362661989844E-14</v>
      </c>
      <c r="CW9">
        <v>100060</v>
      </c>
      <c r="CX9" t="s">
        <v>2285</v>
      </c>
      <c r="DA9" t="s">
        <v>2024</v>
      </c>
      <c r="DB9">
        <v>-2.4245362661989844E-14</v>
      </c>
      <c r="DD9">
        <v>-2.4245362661989844E-14</v>
      </c>
      <c r="DE9" t="s">
        <v>1745</v>
      </c>
      <c r="DF9">
        <v>2024</v>
      </c>
      <c r="DG9" t="s">
        <v>2018</v>
      </c>
      <c r="DH9" s="6">
        <v>45348</v>
      </c>
      <c r="DI9">
        <v>5</v>
      </c>
      <c r="DJ9">
        <v>-2.4245362661989844E-14</v>
      </c>
      <c r="DK9">
        <v>46386935</v>
      </c>
      <c r="DL9" t="s">
        <v>2025</v>
      </c>
      <c r="FY9" t="s">
        <v>2882</v>
      </c>
      <c r="FZ9" t="s">
        <v>1769</v>
      </c>
      <c r="GA9">
        <v>2.8060939999999999</v>
      </c>
      <c r="GB9">
        <v>0.76549599999999995</v>
      </c>
      <c r="GC9" t="s">
        <v>1745</v>
      </c>
      <c r="GD9">
        <v>2025</v>
      </c>
      <c r="GE9" t="s">
        <v>2883</v>
      </c>
      <c r="GF9" s="6">
        <v>46048</v>
      </c>
      <c r="GG9">
        <v>5</v>
      </c>
      <c r="GH9">
        <v>21232000</v>
      </c>
      <c r="GI9">
        <v>216867</v>
      </c>
      <c r="GJ9" t="s">
        <v>2884</v>
      </c>
      <c r="GM9" t="s">
        <v>3748</v>
      </c>
      <c r="GN9">
        <v>0.28446199999999999</v>
      </c>
      <c r="GO9" t="s">
        <v>1786</v>
      </c>
      <c r="GP9">
        <v>0.82704999999999995</v>
      </c>
      <c r="GQ9" t="s">
        <v>1742</v>
      </c>
      <c r="GR9">
        <v>2025</v>
      </c>
      <c r="GS9" t="s">
        <v>3253</v>
      </c>
      <c r="GT9" s="6">
        <v>46041</v>
      </c>
      <c r="GU9">
        <v>5</v>
      </c>
      <c r="GV9">
        <v>50067588</v>
      </c>
      <c r="GW9">
        <v>169936</v>
      </c>
      <c r="GX9" t="s">
        <v>3749</v>
      </c>
      <c r="HC9" t="s">
        <v>2512</v>
      </c>
      <c r="HD9" t="s">
        <v>1786</v>
      </c>
      <c r="HE9">
        <v>0.59890299999999996</v>
      </c>
      <c r="HF9">
        <v>1.729209</v>
      </c>
      <c r="HG9" t="s">
        <v>1809</v>
      </c>
      <c r="HH9">
        <v>2025</v>
      </c>
      <c r="HI9" t="s">
        <v>2035</v>
      </c>
      <c r="HJ9" s="6">
        <v>45797</v>
      </c>
      <c r="HK9">
        <v>5</v>
      </c>
      <c r="HL9">
        <v>112571504</v>
      </c>
      <c r="HM9">
        <v>130929</v>
      </c>
      <c r="HN9" t="s">
        <v>2513</v>
      </c>
      <c r="HQ9" t="s">
        <v>167</v>
      </c>
      <c r="HR9">
        <v>0.76780499999999996</v>
      </c>
      <c r="HS9" t="s">
        <v>1786</v>
      </c>
      <c r="HT9">
        <v>2.2920660000000002</v>
      </c>
      <c r="HU9" t="s">
        <v>1809</v>
      </c>
      <c r="HV9">
        <v>2025</v>
      </c>
      <c r="HW9" t="s">
        <v>2035</v>
      </c>
      <c r="HX9" s="6">
        <v>45797</v>
      </c>
      <c r="HY9">
        <v>5</v>
      </c>
      <c r="HZ9">
        <v>111646528</v>
      </c>
      <c r="IA9">
        <v>69423747</v>
      </c>
      <c r="IB9" t="s">
        <v>2036</v>
      </c>
      <c r="IG9" t="s">
        <v>5115</v>
      </c>
      <c r="IH9" t="s">
        <v>1786</v>
      </c>
      <c r="II9">
        <v>0.20374700000000001</v>
      </c>
      <c r="IJ9">
        <v>0.34386299999999997</v>
      </c>
      <c r="IK9" t="s">
        <v>1742</v>
      </c>
      <c r="IL9">
        <v>2025</v>
      </c>
      <c r="IM9" t="s">
        <v>5116</v>
      </c>
      <c r="IN9" s="6">
        <v>45961</v>
      </c>
      <c r="IO9">
        <v>5</v>
      </c>
      <c r="IP9">
        <v>6493926</v>
      </c>
      <c r="IQ9">
        <v>100843</v>
      </c>
      <c r="IR9" t="s">
        <v>5117</v>
      </c>
      <c r="IU9" t="s">
        <v>4782</v>
      </c>
      <c r="IV9">
        <v>-2.4245362661989844E-14</v>
      </c>
      <c r="IX9">
        <v>-2.4245362661989844E-14</v>
      </c>
      <c r="IY9" t="s">
        <v>1745</v>
      </c>
      <c r="IZ9">
        <v>2024</v>
      </c>
      <c r="JA9" t="s">
        <v>4780</v>
      </c>
      <c r="JB9" s="6">
        <v>45714</v>
      </c>
      <c r="JC9">
        <v>5</v>
      </c>
      <c r="JD9">
        <v>-2.4245362661989844E-14</v>
      </c>
      <c r="JE9">
        <v>17740539</v>
      </c>
      <c r="JF9" t="s">
        <v>4783</v>
      </c>
      <c r="MW9" t="s">
        <v>3865</v>
      </c>
      <c r="MY9">
        <v>-2.4245362661989844E-14</v>
      </c>
      <c r="MZ9">
        <v>-2.4245362661989844E-14</v>
      </c>
      <c r="NA9" t="s">
        <v>1745</v>
      </c>
      <c r="NB9">
        <v>2022</v>
      </c>
      <c r="NC9" t="s">
        <v>3866</v>
      </c>
      <c r="ND9" s="6">
        <v>44671</v>
      </c>
      <c r="NE9">
        <v>5</v>
      </c>
      <c r="NF9">
        <v>-2.4245362661989844E-14</v>
      </c>
      <c r="NG9">
        <v>28251974</v>
      </c>
      <c r="NH9" t="s">
        <v>3867</v>
      </c>
      <c r="NK9" t="s">
        <v>2096</v>
      </c>
      <c r="NL9">
        <v>0.89465300000000003</v>
      </c>
      <c r="NM9" t="s">
        <v>1786</v>
      </c>
      <c r="NN9">
        <v>1.2026999999999999E-2</v>
      </c>
      <c r="NO9" t="s">
        <v>1809</v>
      </c>
      <c r="NP9">
        <v>2026</v>
      </c>
      <c r="NQ9" t="s">
        <v>3688</v>
      </c>
      <c r="NR9" s="6">
        <v>45884</v>
      </c>
      <c r="NS9">
        <v>5</v>
      </c>
      <c r="NT9">
        <v>14949652</v>
      </c>
      <c r="NU9">
        <v>101616</v>
      </c>
      <c r="NV9" t="s">
        <v>2098</v>
      </c>
      <c r="OO9" t="s">
        <v>3251</v>
      </c>
      <c r="OP9">
        <v>-2.4245362661989844E-14</v>
      </c>
      <c r="OR9">
        <v>-2.4245362661989844E-14</v>
      </c>
      <c r="OS9" t="s">
        <v>1745</v>
      </c>
      <c r="OT9">
        <v>2024</v>
      </c>
      <c r="OU9" t="s">
        <v>3243</v>
      </c>
      <c r="OV9" s="6">
        <v>45716</v>
      </c>
      <c r="OW9">
        <v>5</v>
      </c>
      <c r="OX9">
        <v>-2.4245362661989844E-14</v>
      </c>
      <c r="OY9">
        <v>17712880</v>
      </c>
      <c r="OZ9" t="s">
        <v>3252</v>
      </c>
      <c r="PE9" t="s">
        <v>2790</v>
      </c>
      <c r="PF9" t="s">
        <v>1786</v>
      </c>
      <c r="PG9">
        <v>2.3585999999999999E-2</v>
      </c>
      <c r="PH9">
        <v>2.5048999999999998E-2</v>
      </c>
      <c r="PI9" t="s">
        <v>1742</v>
      </c>
      <c r="PJ9">
        <v>2025</v>
      </c>
      <c r="PK9" t="s">
        <v>2791</v>
      </c>
      <c r="PL9" s="6">
        <v>46022</v>
      </c>
      <c r="PM9">
        <v>5</v>
      </c>
      <c r="PN9">
        <v>262831</v>
      </c>
      <c r="PO9">
        <v>17300196</v>
      </c>
      <c r="PP9" t="s">
        <v>2792</v>
      </c>
      <c r="PS9" t="s">
        <v>2586</v>
      </c>
      <c r="PT9">
        <v>-2.4245362661989844E-14</v>
      </c>
      <c r="PV9">
        <v>-2.4245362661989844E-14</v>
      </c>
      <c r="PW9" t="s">
        <v>1745</v>
      </c>
      <c r="PX9">
        <v>2021</v>
      </c>
      <c r="PY9" t="s">
        <v>2582</v>
      </c>
      <c r="PZ9" s="6">
        <v>44693</v>
      </c>
      <c r="QA9">
        <v>5</v>
      </c>
      <c r="QB9">
        <v>-2.4245362661989844E-14</v>
      </c>
      <c r="QC9">
        <v>15564314</v>
      </c>
      <c r="QD9" t="s">
        <v>2587</v>
      </c>
      <c r="UY9" t="s">
        <v>4088</v>
      </c>
      <c r="VA9">
        <v>-2.4245362661989844E-14</v>
      </c>
      <c r="VB9">
        <v>-2.4245362661989844E-14</v>
      </c>
      <c r="VC9" t="s">
        <v>1745</v>
      </c>
      <c r="VD9">
        <v>2023</v>
      </c>
      <c r="VE9" t="s">
        <v>4089</v>
      </c>
      <c r="VF9" s="6">
        <v>45462</v>
      </c>
      <c r="VG9">
        <v>5</v>
      </c>
      <c r="VH9">
        <v>-2.4245362661989844E-14</v>
      </c>
      <c r="VI9">
        <v>48621208</v>
      </c>
      <c r="VJ9" t="s">
        <v>4090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1188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1189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1190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1191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1192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1193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1194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1195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1196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1197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1198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1199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1200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1201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1202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1203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1204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1205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1206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382</v>
      </c>
      <c r="AE2" s="3" t="s">
        <v>525</v>
      </c>
      <c r="BI2" s="3" t="s">
        <v>1207</v>
      </c>
      <c r="CM2" s="3" t="s">
        <v>1208</v>
      </c>
      <c r="DQ2" s="3" t="s">
        <v>1209</v>
      </c>
      <c r="EU2" s="3" t="s">
        <v>1210</v>
      </c>
      <c r="FY2" s="3" t="s">
        <v>1211</v>
      </c>
      <c r="HC2" s="3" t="s">
        <v>1212</v>
      </c>
      <c r="IG2" s="3" t="s">
        <v>1213</v>
      </c>
      <c r="JK2" s="3" t="s">
        <v>1214</v>
      </c>
      <c r="KO2" s="3" t="s">
        <v>1215</v>
      </c>
      <c r="LS2" s="3" t="s">
        <v>1216</v>
      </c>
      <c r="MW2" s="3" t="s">
        <v>382</v>
      </c>
      <c r="OA2" s="3" t="s">
        <v>1217</v>
      </c>
      <c r="PE2" s="3" t="s">
        <v>1186</v>
      </c>
      <c r="QI2" s="3" t="s">
        <v>1218</v>
      </c>
      <c r="RM2" s="3" t="s">
        <v>1219</v>
      </c>
      <c r="SQ2" s="3" t="s">
        <v>1220</v>
      </c>
      <c r="TU2" s="3" t="s">
        <v>1221</v>
      </c>
      <c r="UY2" s="3" t="s">
        <v>1222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_xll.BDS("MMM US Equity","SUPPLY_CHAIN_SUPPLIERS_ALL_DATA","cols=12;rows=5")</f>
        <v>BAS GR Equity</v>
      </c>
      <c r="B5" t="s">
        <v>1786</v>
      </c>
      <c r="C5">
        <v>0.33530700000000002</v>
      </c>
      <c r="D5">
        <v>1.4804090000000001</v>
      </c>
      <c r="E5" t="s">
        <v>1742</v>
      </c>
      <c r="F5">
        <v>2025</v>
      </c>
      <c r="G5" t="s">
        <v>3869</v>
      </c>
      <c r="H5" s="6">
        <v>46003</v>
      </c>
      <c r="I5">
        <v>5</v>
      </c>
      <c r="J5">
        <v>56147606.340000004</v>
      </c>
      <c r="K5">
        <v>115694</v>
      </c>
      <c r="L5" t="s">
        <v>3870</v>
      </c>
      <c r="O5" t="str">
        <f>_xll.BDS("MMM US Equity","SUPPLY_CHAIN_CUSTOMERS_ALL_DATA","cols=12;rows=5")</f>
        <v>SOLV US Equity</v>
      </c>
      <c r="P5">
        <v>2.5625290000000001</v>
      </c>
      <c r="Q5" t="s">
        <v>1786</v>
      </c>
      <c r="R5">
        <v>17.377731000000001</v>
      </c>
      <c r="S5" t="s">
        <v>1742</v>
      </c>
      <c r="T5">
        <v>2025</v>
      </c>
      <c r="U5" t="s">
        <v>2159</v>
      </c>
      <c r="V5" s="6">
        <v>45967</v>
      </c>
      <c r="W5">
        <v>5</v>
      </c>
      <c r="X5">
        <v>167000000</v>
      </c>
      <c r="Y5">
        <v>70456033</v>
      </c>
      <c r="Z5" t="s">
        <v>2160</v>
      </c>
      <c r="AE5" t="str">
        <f>_xll.BDS("BWA US Equity","SUPPLY_CHAIN_SUPPLIERS_ALL_DATA","cols=12;rows=5")</f>
        <v>CMI US Equity</v>
      </c>
      <c r="AF5" t="s">
        <v>1786</v>
      </c>
      <c r="AG5">
        <v>0.21012600000000001</v>
      </c>
      <c r="AH5">
        <v>0.60577700000000001</v>
      </c>
      <c r="AI5" t="s">
        <v>1762</v>
      </c>
      <c r="AJ5">
        <v>2025</v>
      </c>
      <c r="AK5" t="s">
        <v>3406</v>
      </c>
      <c r="AL5" s="6">
        <v>45880</v>
      </c>
      <c r="AM5">
        <v>5</v>
      </c>
      <c r="AN5">
        <v>18161190</v>
      </c>
      <c r="AO5">
        <v>100419</v>
      </c>
      <c r="AP5" t="s">
        <v>3407</v>
      </c>
      <c r="AS5" t="str">
        <f>_xll.BDS("BWA US Equity","SUPPLY_CHAIN_CUSTOMERS_ALL_DATA","cols=12;rows=5")</f>
        <v>VOW GR Equity</v>
      </c>
      <c r="AT5">
        <v>13</v>
      </c>
      <c r="AU5" t="s">
        <v>1786</v>
      </c>
      <c r="AV5">
        <v>0.61808799999999997</v>
      </c>
      <c r="AW5" t="s">
        <v>1745</v>
      </c>
      <c r="AX5">
        <v>2025</v>
      </c>
      <c r="AY5" t="s">
        <v>3235</v>
      </c>
      <c r="AZ5" s="6">
        <v>46064</v>
      </c>
      <c r="BA5">
        <v>5</v>
      </c>
      <c r="BB5">
        <v>465270016</v>
      </c>
      <c r="BC5">
        <v>115757</v>
      </c>
      <c r="BD5" t="s">
        <v>2202</v>
      </c>
      <c r="BI5" t="str">
        <f>_xll.BDS("CZR US Equity","SUPPLY_CHAIN_SUPPLIERS_ALL_DATA","cols=12;rows=5")</f>
        <v>VICI US Equity</v>
      </c>
      <c r="BJ5" t="s">
        <v>1769</v>
      </c>
      <c r="BK5">
        <v>39</v>
      </c>
      <c r="BL5">
        <v>78.186974000000006</v>
      </c>
      <c r="BM5" t="s">
        <v>1745</v>
      </c>
      <c r="BN5">
        <v>2024</v>
      </c>
      <c r="BO5" t="s">
        <v>2843</v>
      </c>
      <c r="BP5" s="6">
        <v>45708</v>
      </c>
      <c r="BQ5">
        <v>5</v>
      </c>
      <c r="BR5">
        <v>375297472</v>
      </c>
      <c r="BS5">
        <v>55267607</v>
      </c>
      <c r="BT5" t="s">
        <v>2844</v>
      </c>
      <c r="BW5" t="str">
        <f>_xll.BDS("CZR US Equity","SUPPLY_CHAIN_CUSTOMERS_ALL_DATA","cols=12;rows=4")</f>
        <v>0127957D US Equity</v>
      </c>
      <c r="BX5">
        <v>-2.4245362661989844E-14</v>
      </c>
      <c r="BZ5">
        <v>-2.4245362661989844E-14</v>
      </c>
      <c r="CA5" t="s">
        <v>1745</v>
      </c>
      <c r="CB5">
        <v>2024</v>
      </c>
      <c r="CC5" t="s">
        <v>2608</v>
      </c>
      <c r="CD5" s="6">
        <v>45747</v>
      </c>
      <c r="CE5">
        <v>4</v>
      </c>
      <c r="CF5">
        <v>-2.4245362661989844E-14</v>
      </c>
      <c r="CG5">
        <v>19488118</v>
      </c>
      <c r="CH5" t="s">
        <v>2609</v>
      </c>
      <c r="CM5" t="str">
        <f>_xll.BDS("JNPR US Equity","SUPPLY_CHAIN_SUPPLIERS_ALL_DATA","cols=12;rows=5")</f>
        <v>NVDA US Equity</v>
      </c>
      <c r="CN5" t="s">
        <v>1786</v>
      </c>
      <c r="CO5">
        <v>0.25538699999999998</v>
      </c>
      <c r="CP5">
        <v>21.41366</v>
      </c>
      <c r="CQ5" t="s">
        <v>1809</v>
      </c>
      <c r="CR5">
        <v>2025</v>
      </c>
      <c r="CS5" t="s">
        <v>1890</v>
      </c>
      <c r="CT5" s="6">
        <v>45847</v>
      </c>
      <c r="CU5">
        <v>5</v>
      </c>
      <c r="CV5">
        <v>112528792</v>
      </c>
      <c r="CW5">
        <v>313657</v>
      </c>
      <c r="CX5" t="s">
        <v>2312</v>
      </c>
      <c r="DA5" t="str">
        <f>_xll.BDS("JNPR US Equity","SUPPLY_CHAIN_CUSTOMERS_ALL_DATA","cols=12;rows=5")</f>
        <v>GOOGL US Equity</v>
      </c>
      <c r="DB5">
        <v>2.9925540000000002</v>
      </c>
      <c r="DC5" t="s">
        <v>1820</v>
      </c>
      <c r="DD5">
        <v>0.222775</v>
      </c>
      <c r="DE5" t="s">
        <v>1809</v>
      </c>
      <c r="DF5">
        <v>2025</v>
      </c>
      <c r="DG5" t="s">
        <v>1890</v>
      </c>
      <c r="DH5" s="6">
        <v>45847</v>
      </c>
      <c r="DI5">
        <v>5</v>
      </c>
      <c r="DJ5">
        <v>38310676</v>
      </c>
      <c r="DK5">
        <v>46946968</v>
      </c>
      <c r="DL5" t="s">
        <v>1765</v>
      </c>
      <c r="DQ5" t="str">
        <f>_xll.BDS("CAM US Equity","SUPPLY_CHAIN_SUPPLIERS_ALL_DATA")</f>
        <v>#N/A N/A</v>
      </c>
      <c r="EE5" t="str">
        <f>_xll.BDS("CAM US Equity","SUPPLY_CHAIN_CUSTOMERS_ALL_DATA")</f>
        <v>#N/A N/A</v>
      </c>
      <c r="EU5" t="str">
        <f>_xll.BDS("841273Q US Equity","SUPPLY_CHAIN_SUPPLIERS_ALL_DATA")</f>
        <v>#N/A N/A</v>
      </c>
      <c r="FI5" t="str">
        <f>_xll.BDS("841273Q US Equity","SUPPLY_CHAIN_CUSTOMERS_ALL_DATA")</f>
        <v>#N/A N/A</v>
      </c>
      <c r="FY5" t="str">
        <f>_xll.BDS("LYV US Equity","SUPPLY_CHAIN_SUPPLIERS_ALL_DATA","cols=12;rows=5")</f>
        <v>ABI BB Equity</v>
      </c>
      <c r="FZ5" t="s">
        <v>1786</v>
      </c>
      <c r="GA5">
        <v>0.131579</v>
      </c>
      <c r="GB5">
        <v>0.41542499999999999</v>
      </c>
      <c r="GC5" t="s">
        <v>1845</v>
      </c>
      <c r="GD5">
        <v>2025</v>
      </c>
      <c r="GE5" t="s">
        <v>3404</v>
      </c>
      <c r="GF5" s="6">
        <v>46080</v>
      </c>
      <c r="GG5">
        <v>5</v>
      </c>
      <c r="GH5">
        <v>20189482</v>
      </c>
      <c r="GI5">
        <v>50856480</v>
      </c>
      <c r="GJ5" t="s">
        <v>3405</v>
      </c>
      <c r="GM5" t="str">
        <f>_xll.BDS("LYV US Equity","SUPPLY_CHAIN_CUSTOMERS_ALL_DATA","cols=12;rows=5")</f>
        <v>0065590D US Equity</v>
      </c>
      <c r="GN5">
        <v>-2.4245362661989844E-14</v>
      </c>
      <c r="GP5">
        <v>-2.4245362661989844E-14</v>
      </c>
      <c r="GQ5" t="s">
        <v>1742</v>
      </c>
      <c r="GR5">
        <v>2022</v>
      </c>
      <c r="GS5" t="s">
        <v>4285</v>
      </c>
      <c r="GT5" s="6">
        <v>44882</v>
      </c>
      <c r="GU5">
        <v>5</v>
      </c>
      <c r="GV5">
        <v>-2.4245362661989844E-14</v>
      </c>
      <c r="GW5">
        <v>19998493</v>
      </c>
      <c r="GX5" t="s">
        <v>4286</v>
      </c>
      <c r="HC5" t="str">
        <f>_xll.BDS("WFM US Equity","SUPPLY_CHAIN_SUPPLIERS_ALL_DATA")</f>
        <v>#N/A N/A</v>
      </c>
      <c r="HQ5" t="str">
        <f>_xll.BDS("WFM US Equity","SUPPLY_CHAIN_CUSTOMERS_ALL_DATA")</f>
        <v>#N/A N/A</v>
      </c>
      <c r="IG5" t="str">
        <f>_xll.BDS("1013207D US Equity","SUPPLY_CHAIN_SUPPLIERS_ALL_DATA")</f>
        <v>#N/A N/A</v>
      </c>
      <c r="IU5" t="str">
        <f>_xll.BDS("1013207D US Equity","SUPPLY_CHAIN_CUSTOMERS_ALL_DATA")</f>
        <v>#N/A N/A</v>
      </c>
      <c r="JK5" t="str">
        <f>_xll.BDS("ACCO US Equity","SUPPLY_CHAIN_SUPPLIERS_ALL_DATA","cols=12;rows=5")</f>
        <v>7974 JP Equity</v>
      </c>
      <c r="JL5" t="s">
        <v>1786</v>
      </c>
      <c r="JM5">
        <v>9.6022999999999997E-2</v>
      </c>
      <c r="JN5">
        <v>1.392528</v>
      </c>
      <c r="JO5" t="s">
        <v>1762</v>
      </c>
      <c r="JP5">
        <v>2026</v>
      </c>
      <c r="JQ5" t="s">
        <v>3343</v>
      </c>
      <c r="JR5" s="6">
        <v>46048</v>
      </c>
      <c r="JS5">
        <v>5</v>
      </c>
      <c r="JT5">
        <v>3581597.86</v>
      </c>
      <c r="JU5">
        <v>114322</v>
      </c>
      <c r="JV5" t="s">
        <v>3344</v>
      </c>
      <c r="JY5" t="str">
        <f>_xll.BDS("ACCO US Equity","SUPPLY_CHAIN_CUSTOMERS_ALL_DATA","cols=12;rows=5")</f>
        <v>WMT US Equity</v>
      </c>
      <c r="JZ5">
        <v>9.5822299999999991</v>
      </c>
      <c r="KA5" t="s">
        <v>1786</v>
      </c>
      <c r="KB5">
        <v>2.4468E-2</v>
      </c>
      <c r="KC5" t="s">
        <v>1809</v>
      </c>
      <c r="KD5">
        <v>2025</v>
      </c>
      <c r="KE5" t="s">
        <v>3217</v>
      </c>
      <c r="KF5" s="6">
        <v>45868</v>
      </c>
      <c r="KG5">
        <v>5</v>
      </c>
      <c r="KH5">
        <v>30413998</v>
      </c>
      <c r="KI5">
        <v>101616</v>
      </c>
      <c r="KJ5" t="s">
        <v>2098</v>
      </c>
      <c r="KO5" t="str">
        <f>_xll.BDS("WY US Equity","SUPPLY_CHAIN_SUPPLIERS_ALL_DATA","cols=12;rows=5")</f>
        <v>CNR CN Equity</v>
      </c>
      <c r="KP5" t="s">
        <v>1786</v>
      </c>
      <c r="KQ5">
        <v>2.7681999999999998E-2</v>
      </c>
      <c r="KR5">
        <v>5.9485999999999997E-2</v>
      </c>
      <c r="KS5" t="s">
        <v>1809</v>
      </c>
      <c r="KT5">
        <v>2025</v>
      </c>
      <c r="KU5" t="s">
        <v>2827</v>
      </c>
      <c r="KV5" s="6">
        <v>45849</v>
      </c>
      <c r="KW5">
        <v>5</v>
      </c>
      <c r="KX5">
        <v>849447.14</v>
      </c>
      <c r="KY5">
        <v>179551</v>
      </c>
      <c r="KZ5" t="s">
        <v>2828</v>
      </c>
      <c r="LC5" t="str">
        <f>_xll.BDS("WY US Equity","SUPPLY_CHAIN_CUSTOMERS_ALL_DATA","cols=12;rows=5")</f>
        <v>BLDR US Equity</v>
      </c>
      <c r="LD5">
        <v>-2.4245362661989844E-14</v>
      </c>
      <c r="LF5">
        <v>-2.4245362661989844E-14</v>
      </c>
      <c r="LG5" t="s">
        <v>1745</v>
      </c>
      <c r="LH5">
        <v>2025</v>
      </c>
      <c r="LI5" t="s">
        <v>2617</v>
      </c>
      <c r="LJ5" s="6">
        <v>46070</v>
      </c>
      <c r="LK5">
        <v>5</v>
      </c>
      <c r="LL5">
        <v>-2.4245362661989844E-14</v>
      </c>
      <c r="LM5">
        <v>952888</v>
      </c>
      <c r="LN5" t="s">
        <v>2618</v>
      </c>
      <c r="LS5" t="str">
        <f>_xll.BDS("GVNTQ US Equity","SUPPLY_CHAIN_SUPPLIERS_ALL_DATA")</f>
        <v>#N/A N/A</v>
      </c>
      <c r="MG5" t="str">
        <f>_xll.BDS("GVNTQ US Equity","SUPPLY_CHAIN_CUSTOMERS_ALL_DATA")</f>
        <v>#N/A N/A</v>
      </c>
      <c r="MW5" t="str">
        <f>_xll.BDS("MMM US Equity","SUPPLY_CHAIN_SUPPLIERS_ALL_DATA","cols=12;rows=5")</f>
        <v>BAS GR Equity</v>
      </c>
      <c r="MX5" t="s">
        <v>1786</v>
      </c>
      <c r="MY5">
        <v>0.33530700000000002</v>
      </c>
      <c r="MZ5">
        <v>1.4804090000000001</v>
      </c>
      <c r="NA5" t="s">
        <v>1742</v>
      </c>
      <c r="NB5">
        <v>2025</v>
      </c>
      <c r="NC5" t="s">
        <v>3869</v>
      </c>
      <c r="ND5" s="6">
        <v>46003</v>
      </c>
      <c r="NE5">
        <v>5</v>
      </c>
      <c r="NF5">
        <v>56147606.340000004</v>
      </c>
      <c r="NG5">
        <v>115694</v>
      </c>
      <c r="NH5" t="s">
        <v>3870</v>
      </c>
      <c r="NK5" t="str">
        <f>_xll.BDS("MMM US Equity","SUPPLY_CHAIN_CUSTOMERS_ALL_DATA","cols=12;rows=5")</f>
        <v>SOLV US Equity</v>
      </c>
      <c r="NL5">
        <v>2.5625290000000001</v>
      </c>
      <c r="NM5" t="s">
        <v>1786</v>
      </c>
      <c r="NN5">
        <v>17.377731000000001</v>
      </c>
      <c r="NO5" t="s">
        <v>1742</v>
      </c>
      <c r="NP5">
        <v>2025</v>
      </c>
      <c r="NQ5" t="s">
        <v>2159</v>
      </c>
      <c r="NR5" s="6">
        <v>45967</v>
      </c>
      <c r="NS5">
        <v>5</v>
      </c>
      <c r="NT5">
        <v>167000000</v>
      </c>
      <c r="NU5">
        <v>70456033</v>
      </c>
      <c r="NV5" t="s">
        <v>2160</v>
      </c>
      <c r="OA5" t="str">
        <f>_xll.BDS("XEL US Equity","SUPPLY_CHAIN_SUPPLIERS_ALL_DATA","cols=12;rows=5")</f>
        <v>PWR US Equity</v>
      </c>
      <c r="OB5" t="s">
        <v>1820</v>
      </c>
      <c r="OC5">
        <v>2.5798559999999999</v>
      </c>
      <c r="OD5">
        <v>6.4402790000000003</v>
      </c>
      <c r="OE5" t="s">
        <v>1742</v>
      </c>
      <c r="OF5">
        <v>2025</v>
      </c>
      <c r="OG5" t="s">
        <v>2779</v>
      </c>
      <c r="OH5" s="6">
        <v>45975</v>
      </c>
      <c r="OI5">
        <v>5</v>
      </c>
      <c r="OJ5">
        <v>196879344</v>
      </c>
      <c r="OK5">
        <v>305366</v>
      </c>
      <c r="OL5" t="s">
        <v>2780</v>
      </c>
      <c r="OO5" t="str">
        <f>_xll.BDS("XEL US Equity","SUPPLY_CHAIN_CUSTOMERS_ALL_DATA","cols=12;rows=5")</f>
        <v>000150 KS Equity</v>
      </c>
      <c r="OP5">
        <v>-2.4245362661989844E-14</v>
      </c>
      <c r="OR5">
        <v>-2.4245362661989844E-14</v>
      </c>
      <c r="OS5" t="s">
        <v>1745</v>
      </c>
      <c r="OT5">
        <v>2021</v>
      </c>
      <c r="OU5" t="s">
        <v>4658</v>
      </c>
      <c r="OV5" s="6">
        <v>44693</v>
      </c>
      <c r="OW5">
        <v>5</v>
      </c>
      <c r="OX5">
        <v>-2.4245362661989844E-14</v>
      </c>
      <c r="OY5">
        <v>117832</v>
      </c>
      <c r="OZ5" t="s">
        <v>2028</v>
      </c>
      <c r="PE5" t="str">
        <f>_xll.BDS("PNC US Equity","SUPPLY_CHAIN_SUPPLIERS_ALL_DATA","cols=12;rows=5")</f>
        <v>ORCL US Equity</v>
      </c>
      <c r="PF5" t="s">
        <v>1786</v>
      </c>
      <c r="PG5">
        <v>7.3811000000000002E-2</v>
      </c>
      <c r="PH5">
        <v>0.34656500000000001</v>
      </c>
      <c r="PI5" t="s">
        <v>1845</v>
      </c>
      <c r="PJ5">
        <v>2025</v>
      </c>
      <c r="PK5" t="s">
        <v>1883</v>
      </c>
      <c r="PL5" s="6">
        <v>45848</v>
      </c>
      <c r="PM5">
        <v>5</v>
      </c>
      <c r="PN5">
        <v>11738163</v>
      </c>
      <c r="PO5">
        <v>101752</v>
      </c>
      <c r="PP5" t="s">
        <v>2723</v>
      </c>
      <c r="PS5" t="str">
        <f>_xll.BDS("PNC US Equity","SUPPLY_CHAIN_CUSTOMERS_ALL_DATA","cols=12;rows=1")</f>
        <v>4502 JP Equity</v>
      </c>
      <c r="PT5">
        <v>-2.4245362661989844E-14</v>
      </c>
      <c r="PV5">
        <v>-2.4245362661989844E-14</v>
      </c>
      <c r="PW5" t="s">
        <v>1745</v>
      </c>
      <c r="PX5">
        <v>2025</v>
      </c>
      <c r="PY5" t="s">
        <v>3980</v>
      </c>
      <c r="PZ5" s="6">
        <v>45834</v>
      </c>
      <c r="QA5">
        <v>1</v>
      </c>
      <c r="QB5">
        <v>-2.4245362661989844E-14</v>
      </c>
      <c r="QC5">
        <v>114881</v>
      </c>
      <c r="QD5" t="s">
        <v>3981</v>
      </c>
      <c r="QI5" t="str">
        <f>_xll.BDS("ISCA US Equity","SUPPLY_CHAIN_SUPPLIERS_ALL_DATA")</f>
        <v>#N/A N/A</v>
      </c>
      <c r="QW5" t="str">
        <f>_xll.BDS("ISCA US Equity","SUPPLY_CHAIN_CUSTOMERS_ALL_DATA")</f>
        <v>#N/A N/A</v>
      </c>
      <c r="RM5" t="str">
        <f>_xll.BDS("SSP US Equity","SUPPLY_CHAIN_SUPPLIERS_ALL_DATA","cols=12;rows=5")</f>
        <v>HLIT US Equity</v>
      </c>
      <c r="RN5" t="s">
        <v>1820</v>
      </c>
      <c r="RO5">
        <v>2.31E-3</v>
      </c>
      <c r="RP5">
        <v>6.3075000000000006E-2</v>
      </c>
      <c r="RQ5" t="s">
        <v>1762</v>
      </c>
      <c r="RR5">
        <v>2025</v>
      </c>
      <c r="RS5" t="s">
        <v>3800</v>
      </c>
      <c r="RT5" s="6">
        <v>45875</v>
      </c>
      <c r="RU5">
        <v>5</v>
      </c>
      <c r="RV5">
        <v>3188</v>
      </c>
      <c r="RW5">
        <v>171007</v>
      </c>
      <c r="RX5" t="s">
        <v>3801</v>
      </c>
      <c r="SA5" t="str">
        <f>_xll.BDS("SSP US Equity","SUPPLY_CHAIN_CUSTOMERS_ALL_DATA","cols=12;rows=2")</f>
        <v>FUBO US Equity</v>
      </c>
      <c r="SB5">
        <v>-2.4245362661989844E-14</v>
      </c>
      <c r="SD5">
        <v>-2.4245362661989844E-14</v>
      </c>
      <c r="SE5" t="s">
        <v>1745</v>
      </c>
      <c r="SF5">
        <v>2023</v>
      </c>
      <c r="SG5" t="s">
        <v>3608</v>
      </c>
      <c r="SH5" s="6">
        <v>45139</v>
      </c>
      <c r="SI5">
        <v>2</v>
      </c>
      <c r="SJ5">
        <v>-2.4245362661989844E-14</v>
      </c>
      <c r="SK5">
        <v>28707504</v>
      </c>
      <c r="SL5" t="s">
        <v>3609</v>
      </c>
      <c r="SQ5" t="str">
        <f>_xll.BDS("1676829D US Equity","SUPPLY_CHAIN_SUPPLIERS_ALL_DATA")</f>
        <v>#N/A N/A</v>
      </c>
      <c r="TE5" t="str">
        <f>_xll.BDS("1676829D US Equity","SUPPLY_CHAIN_CUSTOMERS_ALL_DATA")</f>
        <v>#N/A N/A</v>
      </c>
      <c r="TU5" t="str">
        <f>_xll.BDS("SSB US Equity","SUPPLY_CHAIN_SUPPLIERS_ALL_DATA","cols=12;rows=4")</f>
        <v>BLND US Equity</v>
      </c>
      <c r="TW5">
        <v>-2.4245362661989844E-14</v>
      </c>
      <c r="TX5">
        <v>-2.4245362661989844E-14</v>
      </c>
      <c r="TY5" t="s">
        <v>1809</v>
      </c>
      <c r="TZ5">
        <v>2025</v>
      </c>
      <c r="UA5" t="s">
        <v>2837</v>
      </c>
      <c r="UB5" s="6">
        <v>45785</v>
      </c>
      <c r="UC5">
        <v>4</v>
      </c>
      <c r="UD5">
        <v>-2.4245362661989844E-14</v>
      </c>
      <c r="UE5">
        <v>42447088</v>
      </c>
      <c r="UF5" t="s">
        <v>2838</v>
      </c>
      <c r="UI5" t="str">
        <f>_xll.BDS("SSB US Equity","SUPPLY_CHAIN_CUSTOMERS_ALL_DATA")</f>
        <v>#N/A N/A</v>
      </c>
      <c r="UY5" t="str">
        <f>_xll.BDS("4621824Q US Equity","SUPPLY_CHAIN_SUPPLIERS_ALL_DATA")</f>
        <v>#N/A N/A</v>
      </c>
      <c r="VM5" t="str">
        <f>_xll.BDS("4621824Q US Equity","SUPPLY_CHAIN_CUSTOMERS_ALL_DATA")</f>
        <v>#N/A N/A</v>
      </c>
    </row>
    <row r="6" spans="1:600" x14ac:dyDescent="0.25">
      <c r="A6" t="s">
        <v>3871</v>
      </c>
      <c r="B6" t="s">
        <v>1769</v>
      </c>
      <c r="C6">
        <v>1.0797129999999999</v>
      </c>
      <c r="D6">
        <v>4.7981389999999999</v>
      </c>
      <c r="E6" t="s">
        <v>1762</v>
      </c>
      <c r="F6">
        <v>2026</v>
      </c>
      <c r="G6" t="s">
        <v>3872</v>
      </c>
      <c r="H6" s="6">
        <v>45986</v>
      </c>
      <c r="I6">
        <v>5</v>
      </c>
      <c r="J6">
        <v>39360690.32</v>
      </c>
      <c r="K6">
        <v>995671</v>
      </c>
      <c r="L6" t="s">
        <v>3873</v>
      </c>
      <c r="O6" t="s">
        <v>2161</v>
      </c>
      <c r="P6">
        <v>1.126824</v>
      </c>
      <c r="Q6" t="s">
        <v>1786</v>
      </c>
      <c r="R6">
        <v>0.57245599999999996</v>
      </c>
      <c r="S6" t="s">
        <v>1742</v>
      </c>
      <c r="T6">
        <v>2024</v>
      </c>
      <c r="U6" t="s">
        <v>2162</v>
      </c>
      <c r="V6" s="6">
        <v>45727</v>
      </c>
      <c r="W6">
        <v>5</v>
      </c>
      <c r="X6">
        <v>70945001.510000005</v>
      </c>
      <c r="Y6">
        <v>7583418</v>
      </c>
      <c r="Z6" t="s">
        <v>2163</v>
      </c>
      <c r="AE6" t="s">
        <v>3408</v>
      </c>
      <c r="AF6" t="s">
        <v>1786</v>
      </c>
      <c r="AG6">
        <v>1.6930989999999999</v>
      </c>
      <c r="AH6">
        <v>0.53028200000000003</v>
      </c>
      <c r="AI6" t="s">
        <v>1762</v>
      </c>
      <c r="AJ6">
        <v>2026</v>
      </c>
      <c r="AK6" t="s">
        <v>3409</v>
      </c>
      <c r="AL6" s="6">
        <v>46044</v>
      </c>
      <c r="AM6">
        <v>5</v>
      </c>
      <c r="AN6">
        <v>15521341</v>
      </c>
      <c r="AO6">
        <v>116426</v>
      </c>
      <c r="AP6" t="s">
        <v>3410</v>
      </c>
      <c r="AS6" t="s">
        <v>1144</v>
      </c>
      <c r="AT6">
        <v>12</v>
      </c>
      <c r="AU6" t="s">
        <v>1786</v>
      </c>
      <c r="AV6">
        <v>0.92566800000000005</v>
      </c>
      <c r="AW6" t="s">
        <v>1745</v>
      </c>
      <c r="AX6">
        <v>2025</v>
      </c>
      <c r="AY6" t="s">
        <v>3235</v>
      </c>
      <c r="AZ6" s="6">
        <v>46064</v>
      </c>
      <c r="BA6">
        <v>5</v>
      </c>
      <c r="BB6">
        <v>429480000</v>
      </c>
      <c r="BC6">
        <v>100602</v>
      </c>
      <c r="BD6" t="s">
        <v>2943</v>
      </c>
      <c r="BI6" t="s">
        <v>2845</v>
      </c>
      <c r="BJ6" t="s">
        <v>1769</v>
      </c>
      <c r="BK6">
        <v>6.9504669999999997</v>
      </c>
      <c r="BL6">
        <v>5.5442499999999999</v>
      </c>
      <c r="BM6" t="s">
        <v>1745</v>
      </c>
      <c r="BN6">
        <v>2024</v>
      </c>
      <c r="BO6" t="s">
        <v>2846</v>
      </c>
      <c r="BP6" s="6">
        <v>45708</v>
      </c>
      <c r="BQ6">
        <v>5</v>
      </c>
      <c r="BR6">
        <v>26612400</v>
      </c>
      <c r="BS6">
        <v>33372374</v>
      </c>
      <c r="BT6" t="s">
        <v>2847</v>
      </c>
      <c r="BW6" t="s">
        <v>2610</v>
      </c>
      <c r="BX6">
        <v>-2.4245362661989844E-14</v>
      </c>
      <c r="BZ6">
        <v>-2.4245362661989844E-14</v>
      </c>
      <c r="CA6" t="s">
        <v>1745</v>
      </c>
      <c r="CB6">
        <v>2025</v>
      </c>
      <c r="CC6" t="s">
        <v>2611</v>
      </c>
      <c r="CD6" s="6">
        <v>45786</v>
      </c>
      <c r="CE6">
        <v>4</v>
      </c>
      <c r="CF6">
        <v>-2.4245362661989844E-14</v>
      </c>
      <c r="CG6">
        <v>9351493</v>
      </c>
      <c r="CH6" t="s">
        <v>2612</v>
      </c>
      <c r="CM6" t="s">
        <v>2383</v>
      </c>
      <c r="CN6" t="s">
        <v>1786</v>
      </c>
      <c r="CO6">
        <v>5.0209999999999998E-2</v>
      </c>
      <c r="CP6">
        <v>4.7757839999999998</v>
      </c>
      <c r="CQ6" t="s">
        <v>1809</v>
      </c>
      <c r="CR6">
        <v>2025</v>
      </c>
      <c r="CS6" t="s">
        <v>2384</v>
      </c>
      <c r="CT6" s="6">
        <v>45811</v>
      </c>
      <c r="CU6">
        <v>5</v>
      </c>
      <c r="CV6">
        <v>25103681.93</v>
      </c>
      <c r="CW6">
        <v>119133</v>
      </c>
      <c r="CX6" t="s">
        <v>2385</v>
      </c>
      <c r="DA6" t="s">
        <v>424</v>
      </c>
      <c r="DB6">
        <v>2.753622</v>
      </c>
      <c r="DC6" t="s">
        <v>1820</v>
      </c>
      <c r="DD6">
        <v>0.21052199999999999</v>
      </c>
      <c r="DE6" t="s">
        <v>1809</v>
      </c>
      <c r="DF6">
        <v>2025</v>
      </c>
      <c r="DG6" t="s">
        <v>1890</v>
      </c>
      <c r="DH6" s="6">
        <v>45847</v>
      </c>
      <c r="DI6">
        <v>5</v>
      </c>
      <c r="DJ6">
        <v>35251868</v>
      </c>
      <c r="DK6">
        <v>101743</v>
      </c>
      <c r="DL6" t="s">
        <v>1891</v>
      </c>
      <c r="FY6" t="s">
        <v>4652</v>
      </c>
      <c r="FZ6" t="s">
        <v>1786</v>
      </c>
      <c r="GA6">
        <v>3.8795999999999997E-2</v>
      </c>
      <c r="GB6">
        <v>1.4801E-2</v>
      </c>
      <c r="GC6" t="s">
        <v>1845</v>
      </c>
      <c r="GD6">
        <v>2025</v>
      </c>
      <c r="GE6" t="s">
        <v>4653</v>
      </c>
      <c r="GF6" s="6">
        <v>45946</v>
      </c>
      <c r="GG6">
        <v>5</v>
      </c>
      <c r="GH6">
        <v>771264</v>
      </c>
      <c r="GI6">
        <v>100345</v>
      </c>
      <c r="GJ6" t="s">
        <v>4654</v>
      </c>
      <c r="GM6" t="s">
        <v>3955</v>
      </c>
      <c r="GN6">
        <v>-2.4245362661989844E-14</v>
      </c>
      <c r="GP6">
        <v>-2.4245362661989844E-14</v>
      </c>
      <c r="GQ6" t="s">
        <v>1742</v>
      </c>
      <c r="GR6">
        <v>2023</v>
      </c>
      <c r="GS6" t="s">
        <v>4287</v>
      </c>
      <c r="GT6" s="6">
        <v>45240</v>
      </c>
      <c r="GU6">
        <v>5</v>
      </c>
      <c r="GV6">
        <v>-2.4245362661989844E-14</v>
      </c>
      <c r="GW6">
        <v>44569911</v>
      </c>
      <c r="GX6" t="s">
        <v>3956</v>
      </c>
      <c r="JK6" t="s">
        <v>3345</v>
      </c>
      <c r="JL6" t="s">
        <v>1786</v>
      </c>
      <c r="JM6">
        <v>3.7053999999999997E-2</v>
      </c>
      <c r="JN6">
        <v>0.45524300000000001</v>
      </c>
      <c r="JO6" t="s">
        <v>1762</v>
      </c>
      <c r="JP6">
        <v>2025</v>
      </c>
      <c r="JQ6" t="s">
        <v>3346</v>
      </c>
      <c r="JR6" s="6">
        <v>45947</v>
      </c>
      <c r="JS6">
        <v>5</v>
      </c>
      <c r="JT6">
        <v>1206849</v>
      </c>
      <c r="JU6">
        <v>48364393</v>
      </c>
      <c r="JV6" t="s">
        <v>3347</v>
      </c>
      <c r="JY6" t="s">
        <v>1885</v>
      </c>
      <c r="JZ6">
        <v>9.0337010000000006</v>
      </c>
      <c r="KA6" t="s">
        <v>1786</v>
      </c>
      <c r="KB6">
        <v>3.7248999999999997E-2</v>
      </c>
      <c r="KC6" t="s">
        <v>1809</v>
      </c>
      <c r="KD6">
        <v>2025</v>
      </c>
      <c r="KE6" t="s">
        <v>3217</v>
      </c>
      <c r="KF6" s="6">
        <v>45868</v>
      </c>
      <c r="KG6">
        <v>5</v>
      </c>
      <c r="KH6">
        <v>28672968</v>
      </c>
      <c r="KI6">
        <v>216952</v>
      </c>
      <c r="KJ6" t="s">
        <v>1886</v>
      </c>
      <c r="KO6" t="s">
        <v>2829</v>
      </c>
      <c r="KQ6">
        <v>-2.4245362661989844E-14</v>
      </c>
      <c r="KR6">
        <v>-2.4245362661989844E-14</v>
      </c>
      <c r="KS6" t="s">
        <v>1745</v>
      </c>
      <c r="KT6">
        <v>2024</v>
      </c>
      <c r="KU6" t="s">
        <v>2626</v>
      </c>
      <c r="KV6" s="6">
        <v>45349</v>
      </c>
      <c r="KW6">
        <v>5</v>
      </c>
      <c r="KX6">
        <v>-2.4245362661989844E-14</v>
      </c>
      <c r="KY6">
        <v>71057165</v>
      </c>
      <c r="KZ6" t="s">
        <v>2830</v>
      </c>
      <c r="LC6" t="s">
        <v>2619</v>
      </c>
      <c r="LD6">
        <v>-2.4245362661989844E-14</v>
      </c>
      <c r="LF6">
        <v>-2.4245362661989844E-14</v>
      </c>
      <c r="LG6" t="s">
        <v>1745</v>
      </c>
      <c r="LH6">
        <v>2024</v>
      </c>
      <c r="LI6" t="s">
        <v>2620</v>
      </c>
      <c r="LJ6" s="6">
        <v>45706</v>
      </c>
      <c r="LK6">
        <v>5</v>
      </c>
      <c r="LL6">
        <v>-2.4245362661989844E-14</v>
      </c>
      <c r="LM6">
        <v>9152706</v>
      </c>
      <c r="LN6" t="s">
        <v>2621</v>
      </c>
      <c r="MW6" t="s">
        <v>3871</v>
      </c>
      <c r="MX6" t="s">
        <v>1769</v>
      </c>
      <c r="MY6">
        <v>1.0797129999999999</v>
      </c>
      <c r="MZ6">
        <v>4.7981389999999999</v>
      </c>
      <c r="NA6" t="s">
        <v>1762</v>
      </c>
      <c r="NB6">
        <v>2026</v>
      </c>
      <c r="NC6" t="s">
        <v>3872</v>
      </c>
      <c r="ND6" s="6">
        <v>45986</v>
      </c>
      <c r="NE6">
        <v>5</v>
      </c>
      <c r="NF6">
        <v>39360690.32</v>
      </c>
      <c r="NG6">
        <v>995671</v>
      </c>
      <c r="NH6" t="s">
        <v>3873</v>
      </c>
      <c r="NK6" t="s">
        <v>2161</v>
      </c>
      <c r="NL6">
        <v>1.126824</v>
      </c>
      <c r="NM6" t="s">
        <v>1786</v>
      </c>
      <c r="NN6">
        <v>0.57245599999999996</v>
      </c>
      <c r="NO6" t="s">
        <v>1742</v>
      </c>
      <c r="NP6">
        <v>2024</v>
      </c>
      <c r="NQ6" t="s">
        <v>2162</v>
      </c>
      <c r="NR6" s="6">
        <v>45727</v>
      </c>
      <c r="NS6">
        <v>5</v>
      </c>
      <c r="NT6">
        <v>70945001.510000005</v>
      </c>
      <c r="NU6">
        <v>7583418</v>
      </c>
      <c r="NV6" t="s">
        <v>2163</v>
      </c>
      <c r="OA6" t="s">
        <v>5769</v>
      </c>
      <c r="OB6" t="s">
        <v>1786</v>
      </c>
      <c r="OC6">
        <v>0.43843300000000002</v>
      </c>
      <c r="OD6">
        <v>4.3871310000000001</v>
      </c>
      <c r="OE6" t="s">
        <v>1798</v>
      </c>
      <c r="OF6">
        <v>2025</v>
      </c>
      <c r="OG6" t="s">
        <v>5770</v>
      </c>
      <c r="OH6" s="6">
        <v>45975</v>
      </c>
      <c r="OI6">
        <v>5</v>
      </c>
      <c r="OJ6">
        <v>54360762.329999998</v>
      </c>
      <c r="OK6">
        <v>51678326</v>
      </c>
      <c r="OL6" t="s">
        <v>5771</v>
      </c>
      <c r="OO6" t="s">
        <v>4659</v>
      </c>
      <c r="OP6">
        <v>-2.4245362661989844E-14</v>
      </c>
      <c r="OR6">
        <v>-2.4245362661989844E-14</v>
      </c>
      <c r="OS6" t="s">
        <v>1745</v>
      </c>
      <c r="OT6">
        <v>2021</v>
      </c>
      <c r="OU6" t="s">
        <v>4658</v>
      </c>
      <c r="OV6" s="6">
        <v>44693</v>
      </c>
      <c r="OW6">
        <v>5</v>
      </c>
      <c r="OX6">
        <v>-2.4245362661989844E-14</v>
      </c>
      <c r="OY6">
        <v>178779</v>
      </c>
      <c r="OZ6" t="s">
        <v>4660</v>
      </c>
      <c r="PE6" t="s">
        <v>4081</v>
      </c>
      <c r="PF6" t="s">
        <v>1769</v>
      </c>
      <c r="PG6">
        <v>0.58391400000000004</v>
      </c>
      <c r="PH6">
        <v>3.4025E-2</v>
      </c>
      <c r="PI6" t="s">
        <v>1745</v>
      </c>
      <c r="PJ6">
        <v>2025</v>
      </c>
      <c r="PK6" t="s">
        <v>4082</v>
      </c>
      <c r="PL6" s="6">
        <v>46063</v>
      </c>
      <c r="PM6">
        <v>5</v>
      </c>
      <c r="PN6">
        <v>1176750</v>
      </c>
      <c r="PO6">
        <v>143096</v>
      </c>
      <c r="PP6" t="s">
        <v>4083</v>
      </c>
      <c r="RM6" t="s">
        <v>3802</v>
      </c>
      <c r="RO6">
        <v>-2.4245362661989844E-14</v>
      </c>
      <c r="RP6">
        <v>-2.4245362661989844E-14</v>
      </c>
      <c r="RQ6" t="s">
        <v>1745</v>
      </c>
      <c r="RR6">
        <v>2023</v>
      </c>
      <c r="RS6" t="s">
        <v>3803</v>
      </c>
      <c r="RT6" s="6">
        <v>45210</v>
      </c>
      <c r="RU6">
        <v>5</v>
      </c>
      <c r="RV6">
        <v>-2.4245362661989844E-14</v>
      </c>
      <c r="RW6">
        <v>26989431</v>
      </c>
      <c r="RX6" t="s">
        <v>3804</v>
      </c>
      <c r="SA6" t="s">
        <v>3610</v>
      </c>
      <c r="SB6">
        <v>-2.4245362661989844E-14</v>
      </c>
      <c r="SD6">
        <v>-2.4245362661989844E-14</v>
      </c>
      <c r="SE6" t="s">
        <v>1742</v>
      </c>
      <c r="SF6">
        <v>2025</v>
      </c>
      <c r="SG6" t="s">
        <v>3611</v>
      </c>
      <c r="SH6" s="6">
        <v>45971</v>
      </c>
      <c r="SI6">
        <v>2</v>
      </c>
      <c r="SJ6">
        <v>-2.4245362661989844E-14</v>
      </c>
      <c r="SK6">
        <v>39234675</v>
      </c>
      <c r="SL6" t="s">
        <v>3612</v>
      </c>
      <c r="TU6" t="s">
        <v>2731</v>
      </c>
      <c r="TW6">
        <v>-2.4245362661989844E-14</v>
      </c>
      <c r="TX6">
        <v>-2.4245362661989844E-14</v>
      </c>
      <c r="TY6" t="s">
        <v>1745</v>
      </c>
      <c r="TZ6">
        <v>2024</v>
      </c>
      <c r="UA6" t="s">
        <v>2839</v>
      </c>
      <c r="UB6" s="6">
        <v>45762</v>
      </c>
      <c r="UC6">
        <v>4</v>
      </c>
      <c r="UD6">
        <v>-2.4245362661989844E-14</v>
      </c>
      <c r="UE6">
        <v>46286147</v>
      </c>
      <c r="UF6" t="s">
        <v>2733</v>
      </c>
    </row>
    <row r="7" spans="1:600" x14ac:dyDescent="0.25">
      <c r="A7" t="s">
        <v>3874</v>
      </c>
      <c r="B7" t="s">
        <v>1786</v>
      </c>
      <c r="C7">
        <v>1.506183</v>
      </c>
      <c r="D7">
        <v>0.77730100000000002</v>
      </c>
      <c r="E7" t="s">
        <v>1845</v>
      </c>
      <c r="F7">
        <v>2025</v>
      </c>
      <c r="G7" t="s">
        <v>3875</v>
      </c>
      <c r="H7" s="6">
        <v>46076</v>
      </c>
      <c r="I7">
        <v>5</v>
      </c>
      <c r="J7">
        <v>31675028</v>
      </c>
      <c r="K7">
        <v>187274</v>
      </c>
      <c r="L7" t="s">
        <v>3876</v>
      </c>
      <c r="O7" t="s">
        <v>2164</v>
      </c>
      <c r="P7">
        <v>0.63659900000000003</v>
      </c>
      <c r="Q7" t="s">
        <v>1786</v>
      </c>
      <c r="R7">
        <v>35.711070999999997</v>
      </c>
      <c r="S7" t="s">
        <v>1745</v>
      </c>
      <c r="T7">
        <v>2025</v>
      </c>
      <c r="U7" t="s">
        <v>2165</v>
      </c>
      <c r="V7" s="6">
        <v>45873</v>
      </c>
      <c r="W7">
        <v>5</v>
      </c>
      <c r="X7">
        <v>39409704.109999999</v>
      </c>
      <c r="Y7">
        <v>183000</v>
      </c>
      <c r="Z7" t="s">
        <v>2166</v>
      </c>
      <c r="AE7" t="s">
        <v>3411</v>
      </c>
      <c r="AF7" t="s">
        <v>1786</v>
      </c>
      <c r="AG7">
        <v>0.119572</v>
      </c>
      <c r="AH7">
        <v>0.42400599999999999</v>
      </c>
      <c r="AI7" t="s">
        <v>1762</v>
      </c>
      <c r="AJ7">
        <v>2025</v>
      </c>
      <c r="AK7" t="s">
        <v>3412</v>
      </c>
      <c r="AL7" s="6">
        <v>45943</v>
      </c>
      <c r="AM7">
        <v>5</v>
      </c>
      <c r="AN7">
        <v>12711699</v>
      </c>
      <c r="AO7">
        <v>109806</v>
      </c>
      <c r="AP7" t="s">
        <v>3413</v>
      </c>
      <c r="AS7" t="s">
        <v>3236</v>
      </c>
      <c r="AT7">
        <v>8.3136449999999993</v>
      </c>
      <c r="AU7" t="s">
        <v>1786</v>
      </c>
      <c r="AV7">
        <v>0.74647699999999995</v>
      </c>
      <c r="AW7" t="s">
        <v>1845</v>
      </c>
      <c r="AX7">
        <v>2025</v>
      </c>
      <c r="AY7" t="s">
        <v>3237</v>
      </c>
      <c r="AZ7" s="6">
        <v>46070</v>
      </c>
      <c r="BA7">
        <v>5</v>
      </c>
      <c r="BB7">
        <v>296963392</v>
      </c>
      <c r="BC7">
        <v>16632863</v>
      </c>
      <c r="BD7" t="s">
        <v>3238</v>
      </c>
      <c r="BI7" t="s">
        <v>34</v>
      </c>
      <c r="BJ7" t="s">
        <v>1786</v>
      </c>
      <c r="BK7">
        <v>2.0341999999999999E-2</v>
      </c>
      <c r="BL7">
        <v>0.23408000000000001</v>
      </c>
      <c r="BM7" t="s">
        <v>1845</v>
      </c>
      <c r="BN7">
        <v>2025</v>
      </c>
      <c r="BO7" t="s">
        <v>1883</v>
      </c>
      <c r="BP7" s="6">
        <v>45848</v>
      </c>
      <c r="BQ7">
        <v>5</v>
      </c>
      <c r="BR7">
        <v>3234988</v>
      </c>
      <c r="BS7">
        <v>101752</v>
      </c>
      <c r="BT7" t="s">
        <v>2723</v>
      </c>
      <c r="BW7" t="s">
        <v>2455</v>
      </c>
      <c r="BX7">
        <v>-2.4245362661989844E-14</v>
      </c>
      <c r="BZ7">
        <v>-2.4245362661989844E-14</v>
      </c>
      <c r="CA7" t="s">
        <v>1745</v>
      </c>
      <c r="CB7">
        <v>2024</v>
      </c>
      <c r="CC7" t="s">
        <v>2456</v>
      </c>
      <c r="CD7" s="6">
        <v>45786</v>
      </c>
      <c r="CE7">
        <v>4</v>
      </c>
      <c r="CF7">
        <v>-2.4245362661989844E-14</v>
      </c>
      <c r="CG7">
        <v>7321067</v>
      </c>
      <c r="CH7" t="s">
        <v>2457</v>
      </c>
      <c r="CM7" t="s">
        <v>2369</v>
      </c>
      <c r="CN7" t="s">
        <v>1786</v>
      </c>
      <c r="CO7">
        <v>0.71617399999999998</v>
      </c>
      <c r="CP7">
        <v>3.2245560000000002</v>
      </c>
      <c r="CQ7" t="s">
        <v>1845</v>
      </c>
      <c r="CR7">
        <v>2024</v>
      </c>
      <c r="CS7" t="s">
        <v>2370</v>
      </c>
      <c r="CT7" s="6">
        <v>45694</v>
      </c>
      <c r="CU7">
        <v>5</v>
      </c>
      <c r="CV7">
        <v>18231642</v>
      </c>
      <c r="CW7">
        <v>349266</v>
      </c>
      <c r="CX7" t="s">
        <v>2371</v>
      </c>
      <c r="DA7" t="s">
        <v>1892</v>
      </c>
      <c r="DB7">
        <v>2.6043419999999999</v>
      </c>
      <c r="DC7" t="s">
        <v>1820</v>
      </c>
      <c r="DD7">
        <v>0.257637</v>
      </c>
      <c r="DE7" t="s">
        <v>1809</v>
      </c>
      <c r="DF7">
        <v>2025</v>
      </c>
      <c r="DG7" t="s">
        <v>1890</v>
      </c>
      <c r="DH7" s="6">
        <v>45847</v>
      </c>
      <c r="DI7">
        <v>5</v>
      </c>
      <c r="DJ7">
        <v>33340786</v>
      </c>
      <c r="DK7">
        <v>11092218</v>
      </c>
      <c r="DL7" t="s">
        <v>1893</v>
      </c>
      <c r="FY7" t="s">
        <v>4740</v>
      </c>
      <c r="FZ7" t="s">
        <v>1769</v>
      </c>
      <c r="GA7">
        <v>8.8258000000000003E-2</v>
      </c>
      <c r="GB7">
        <v>3.3623E-2</v>
      </c>
      <c r="GC7" t="s">
        <v>1809</v>
      </c>
      <c r="GD7">
        <v>2026</v>
      </c>
      <c r="GE7" t="s">
        <v>4741</v>
      </c>
      <c r="GF7" s="6">
        <v>45944</v>
      </c>
      <c r="GG7">
        <v>5</v>
      </c>
      <c r="GH7">
        <v>337365.56</v>
      </c>
      <c r="GI7">
        <v>14882485</v>
      </c>
      <c r="GJ7" t="s">
        <v>4742</v>
      </c>
      <c r="GM7" t="s">
        <v>4288</v>
      </c>
      <c r="GN7">
        <v>-2.4245362661989844E-14</v>
      </c>
      <c r="GP7">
        <v>-2.4245362661989844E-14</v>
      </c>
      <c r="GQ7" t="s">
        <v>1742</v>
      </c>
      <c r="GR7">
        <v>2025</v>
      </c>
      <c r="GS7" t="s">
        <v>4289</v>
      </c>
      <c r="GT7" s="6">
        <v>45966</v>
      </c>
      <c r="GU7">
        <v>5</v>
      </c>
      <c r="GV7">
        <v>-2.4245362661989844E-14</v>
      </c>
      <c r="GW7">
        <v>7762225</v>
      </c>
      <c r="GX7" t="s">
        <v>4290</v>
      </c>
      <c r="JK7" t="s">
        <v>3348</v>
      </c>
      <c r="JL7" t="s">
        <v>1786</v>
      </c>
      <c r="JM7">
        <v>2.0278000000000001E-2</v>
      </c>
      <c r="JN7">
        <v>2.4216000000000001E-2</v>
      </c>
      <c r="JO7" t="s">
        <v>1845</v>
      </c>
      <c r="JP7">
        <v>2025</v>
      </c>
      <c r="JQ7" t="s">
        <v>3349</v>
      </c>
      <c r="JR7" s="6">
        <v>46018</v>
      </c>
      <c r="JS7">
        <v>5</v>
      </c>
      <c r="JT7">
        <v>62258</v>
      </c>
      <c r="JU7">
        <v>916504</v>
      </c>
      <c r="JV7" t="s">
        <v>3350</v>
      </c>
      <c r="JY7" t="s">
        <v>3139</v>
      </c>
      <c r="JZ7">
        <v>2.669848</v>
      </c>
      <c r="KA7" t="s">
        <v>1786</v>
      </c>
      <c r="KB7">
        <v>4.9474999999999998E-2</v>
      </c>
      <c r="KC7" t="s">
        <v>1809</v>
      </c>
      <c r="KD7">
        <v>2025</v>
      </c>
      <c r="KE7" t="s">
        <v>3217</v>
      </c>
      <c r="KF7" s="6">
        <v>45868</v>
      </c>
      <c r="KG7">
        <v>5</v>
      </c>
      <c r="KH7">
        <v>8474098</v>
      </c>
      <c r="KI7">
        <v>100436</v>
      </c>
      <c r="KJ7" t="s">
        <v>3140</v>
      </c>
      <c r="KO7" t="s">
        <v>2831</v>
      </c>
      <c r="KQ7">
        <v>-2.4245362661989844E-14</v>
      </c>
      <c r="KR7">
        <v>-2.4245362661989844E-14</v>
      </c>
      <c r="KS7" t="s">
        <v>1745</v>
      </c>
      <c r="KT7">
        <v>2022</v>
      </c>
      <c r="KU7" t="s">
        <v>2832</v>
      </c>
      <c r="KV7" s="6">
        <v>44736</v>
      </c>
      <c r="KW7">
        <v>5</v>
      </c>
      <c r="KX7">
        <v>-2.4245362661989844E-14</v>
      </c>
      <c r="KY7">
        <v>114846</v>
      </c>
      <c r="KZ7" t="s">
        <v>2833</v>
      </c>
      <c r="LC7" t="s">
        <v>2622</v>
      </c>
      <c r="LD7">
        <v>-2.4245362661989844E-14</v>
      </c>
      <c r="LF7">
        <v>-2.4245362661989844E-14</v>
      </c>
      <c r="LG7" t="s">
        <v>1745</v>
      </c>
      <c r="LH7">
        <v>2024</v>
      </c>
      <c r="LI7" t="s">
        <v>2623</v>
      </c>
      <c r="LJ7" s="6">
        <v>45715</v>
      </c>
      <c r="LK7">
        <v>5</v>
      </c>
      <c r="LL7">
        <v>-2.4245362661989844E-14</v>
      </c>
      <c r="LM7">
        <v>8898179</v>
      </c>
      <c r="LN7" t="s">
        <v>2624</v>
      </c>
      <c r="MW7" t="s">
        <v>3874</v>
      </c>
      <c r="MX7" t="s">
        <v>1786</v>
      </c>
      <c r="MY7">
        <v>1.506183</v>
      </c>
      <c r="MZ7">
        <v>0.77730100000000002</v>
      </c>
      <c r="NA7" t="s">
        <v>1845</v>
      </c>
      <c r="NB7">
        <v>2025</v>
      </c>
      <c r="NC7" t="s">
        <v>3875</v>
      </c>
      <c r="ND7" s="6">
        <v>46076</v>
      </c>
      <c r="NE7">
        <v>5</v>
      </c>
      <c r="NF7">
        <v>31675028</v>
      </c>
      <c r="NG7">
        <v>187274</v>
      </c>
      <c r="NH7" t="s">
        <v>3876</v>
      </c>
      <c r="NK7" t="s">
        <v>2164</v>
      </c>
      <c r="NL7">
        <v>0.63659900000000003</v>
      </c>
      <c r="NM7" t="s">
        <v>1786</v>
      </c>
      <c r="NN7">
        <v>35.711070999999997</v>
      </c>
      <c r="NO7" t="s">
        <v>1745</v>
      </c>
      <c r="NP7">
        <v>2025</v>
      </c>
      <c r="NQ7" t="s">
        <v>2165</v>
      </c>
      <c r="NR7" s="6">
        <v>45873</v>
      </c>
      <c r="NS7">
        <v>5</v>
      </c>
      <c r="NT7">
        <v>39409704.109999999</v>
      </c>
      <c r="NU7">
        <v>183000</v>
      </c>
      <c r="NV7" t="s">
        <v>2166</v>
      </c>
      <c r="OA7" t="s">
        <v>5772</v>
      </c>
      <c r="OB7" t="s">
        <v>1820</v>
      </c>
      <c r="OC7">
        <v>7.8960840000000001</v>
      </c>
      <c r="OD7">
        <v>2.246038</v>
      </c>
      <c r="OE7" t="s">
        <v>1798</v>
      </c>
      <c r="OF7">
        <v>2025</v>
      </c>
      <c r="OG7" t="s">
        <v>5773</v>
      </c>
      <c r="OH7" s="6">
        <v>45975</v>
      </c>
      <c r="OI7">
        <v>5</v>
      </c>
      <c r="OJ7">
        <v>54360762.329999998</v>
      </c>
      <c r="OK7">
        <v>51678308</v>
      </c>
      <c r="OL7" t="s">
        <v>5774</v>
      </c>
      <c r="OO7" t="s">
        <v>4661</v>
      </c>
      <c r="OP7">
        <v>-2.4245362661989844E-14</v>
      </c>
      <c r="OR7">
        <v>-2.4245362661989844E-14</v>
      </c>
      <c r="OS7" t="s">
        <v>1745</v>
      </c>
      <c r="OT7">
        <v>2021</v>
      </c>
      <c r="OU7" t="s">
        <v>4658</v>
      </c>
      <c r="OV7" s="6">
        <v>44693</v>
      </c>
      <c r="OW7">
        <v>5</v>
      </c>
      <c r="OX7">
        <v>-2.4245362661989844E-14</v>
      </c>
      <c r="OY7">
        <v>28785114</v>
      </c>
      <c r="OZ7" t="s">
        <v>4662</v>
      </c>
      <c r="PE7" t="s">
        <v>2043</v>
      </c>
      <c r="PG7">
        <v>-2.4245362661989844E-14</v>
      </c>
      <c r="PH7">
        <v>-2.4245362661989844E-14</v>
      </c>
      <c r="PI7" t="s">
        <v>1798</v>
      </c>
      <c r="PJ7">
        <v>2023</v>
      </c>
      <c r="PK7" t="s">
        <v>4084</v>
      </c>
      <c r="PL7" s="6">
        <v>45244</v>
      </c>
      <c r="PM7">
        <v>5</v>
      </c>
      <c r="PN7">
        <v>-2.4245362661989844E-14</v>
      </c>
      <c r="PO7">
        <v>118099</v>
      </c>
      <c r="PP7" t="s">
        <v>2044</v>
      </c>
      <c r="RM7" t="s">
        <v>3805</v>
      </c>
      <c r="RO7">
        <v>-2.4245362661989844E-14</v>
      </c>
      <c r="RP7">
        <v>-2.4245362661989844E-14</v>
      </c>
      <c r="RQ7" t="s">
        <v>1745</v>
      </c>
      <c r="RR7">
        <v>2023</v>
      </c>
      <c r="RS7" t="s">
        <v>3803</v>
      </c>
      <c r="RT7" s="6">
        <v>45210</v>
      </c>
      <c r="RU7">
        <v>5</v>
      </c>
      <c r="RV7">
        <v>-2.4245362661989844E-14</v>
      </c>
      <c r="RW7">
        <v>9071951</v>
      </c>
      <c r="RX7" t="s">
        <v>3806</v>
      </c>
      <c r="TU7" t="s">
        <v>2840</v>
      </c>
      <c r="TW7">
        <v>-2.4245362661989844E-14</v>
      </c>
      <c r="TX7">
        <v>-2.4245362661989844E-14</v>
      </c>
      <c r="TY7" t="s">
        <v>1745</v>
      </c>
      <c r="TZ7">
        <v>2024</v>
      </c>
      <c r="UA7" t="s">
        <v>2841</v>
      </c>
      <c r="UB7" s="6">
        <v>45743</v>
      </c>
      <c r="UC7">
        <v>4</v>
      </c>
      <c r="UD7">
        <v>-2.4245362661989844E-14</v>
      </c>
      <c r="UE7">
        <v>33322594</v>
      </c>
      <c r="UF7" t="s">
        <v>2842</v>
      </c>
    </row>
    <row r="8" spans="1:600" x14ac:dyDescent="0.25">
      <c r="A8" t="s">
        <v>2158</v>
      </c>
      <c r="B8" t="s">
        <v>1786</v>
      </c>
      <c r="C8">
        <v>1.0496179999999999</v>
      </c>
      <c r="D8">
        <v>0.58016900000000005</v>
      </c>
      <c r="E8" t="s">
        <v>1742</v>
      </c>
      <c r="F8">
        <v>2025</v>
      </c>
      <c r="G8" t="s">
        <v>2159</v>
      </c>
      <c r="H8" s="6">
        <v>45967</v>
      </c>
      <c r="I8">
        <v>5</v>
      </c>
      <c r="J8">
        <v>22000000</v>
      </c>
      <c r="K8">
        <v>70456033</v>
      </c>
      <c r="L8" t="s">
        <v>2160</v>
      </c>
      <c r="O8" t="s">
        <v>2167</v>
      </c>
      <c r="P8">
        <v>0.62480800000000003</v>
      </c>
      <c r="Q8" t="s">
        <v>1786</v>
      </c>
      <c r="R8">
        <v>0.15015999999999999</v>
      </c>
      <c r="S8" t="s">
        <v>1762</v>
      </c>
      <c r="T8">
        <v>2025</v>
      </c>
      <c r="U8" t="s">
        <v>2168</v>
      </c>
      <c r="V8" s="6">
        <v>45857</v>
      </c>
      <c r="W8">
        <v>5</v>
      </c>
      <c r="X8">
        <v>39637820</v>
      </c>
      <c r="Y8">
        <v>100743</v>
      </c>
      <c r="Z8" t="s">
        <v>2169</v>
      </c>
      <c r="AE8" t="s">
        <v>3414</v>
      </c>
      <c r="AF8" t="s">
        <v>1786</v>
      </c>
      <c r="AG8">
        <v>0.21518399999999999</v>
      </c>
      <c r="AH8">
        <v>0.32997900000000002</v>
      </c>
      <c r="AI8" t="s">
        <v>1845</v>
      </c>
      <c r="AJ8">
        <v>2025</v>
      </c>
      <c r="AK8" t="s">
        <v>3415</v>
      </c>
      <c r="AL8" s="6">
        <v>45975</v>
      </c>
      <c r="AM8">
        <v>5</v>
      </c>
      <c r="AN8">
        <v>9340117.3900000006</v>
      </c>
      <c r="AO8">
        <v>114345</v>
      </c>
      <c r="AP8" t="s">
        <v>3416</v>
      </c>
      <c r="AS8" t="s">
        <v>3239</v>
      </c>
      <c r="AT8">
        <v>7.7337600000000002</v>
      </c>
      <c r="AU8" t="s">
        <v>1786</v>
      </c>
      <c r="AV8">
        <v>0.74002400000000002</v>
      </c>
      <c r="AW8" t="s">
        <v>1845</v>
      </c>
      <c r="AX8">
        <v>2025</v>
      </c>
      <c r="AY8" t="s">
        <v>3237</v>
      </c>
      <c r="AZ8" s="6">
        <v>46070</v>
      </c>
      <c r="BA8">
        <v>5</v>
      </c>
      <c r="BB8">
        <v>276249920</v>
      </c>
      <c r="BC8">
        <v>41633927</v>
      </c>
      <c r="BD8" t="s">
        <v>3240</v>
      </c>
      <c r="BI8" t="s">
        <v>195</v>
      </c>
      <c r="BJ8" t="s">
        <v>1769</v>
      </c>
      <c r="BK8">
        <v>1.1539000000000001E-2</v>
      </c>
      <c r="BL8">
        <v>0.14030799999999999</v>
      </c>
      <c r="BM8" t="s">
        <v>1762</v>
      </c>
      <c r="BN8">
        <v>2025</v>
      </c>
      <c r="BO8" t="s">
        <v>2268</v>
      </c>
      <c r="BP8" s="6">
        <v>45838</v>
      </c>
      <c r="BQ8">
        <v>5</v>
      </c>
      <c r="BR8">
        <v>677685</v>
      </c>
      <c r="BS8">
        <v>101689</v>
      </c>
      <c r="BT8" t="s">
        <v>2269</v>
      </c>
      <c r="BW8" t="s">
        <v>2613</v>
      </c>
      <c r="BX8">
        <v>-2.4245362661989844E-14</v>
      </c>
      <c r="BZ8">
        <v>-2.4245362661989844E-14</v>
      </c>
      <c r="CA8" t="s">
        <v>1745</v>
      </c>
      <c r="CB8">
        <v>2025</v>
      </c>
      <c r="CC8" t="s">
        <v>2614</v>
      </c>
      <c r="CD8" s="6">
        <v>46079</v>
      </c>
      <c r="CE8">
        <v>4</v>
      </c>
      <c r="CF8">
        <v>-2.4245362661989844E-14</v>
      </c>
      <c r="CG8">
        <v>66329315</v>
      </c>
      <c r="CH8" t="s">
        <v>2615</v>
      </c>
      <c r="CM8" t="s">
        <v>2386</v>
      </c>
      <c r="CN8" t="s">
        <v>1786</v>
      </c>
      <c r="CO8">
        <v>0.17485500000000001</v>
      </c>
      <c r="CP8">
        <v>2.0275020000000001</v>
      </c>
      <c r="CQ8" t="s">
        <v>1742</v>
      </c>
      <c r="CR8">
        <v>2025</v>
      </c>
      <c r="CS8" t="s">
        <v>2387</v>
      </c>
      <c r="CT8" s="6">
        <v>45763</v>
      </c>
      <c r="CU8">
        <v>5</v>
      </c>
      <c r="CV8">
        <v>11463494</v>
      </c>
      <c r="CW8">
        <v>136547</v>
      </c>
      <c r="CX8" t="s">
        <v>2388</v>
      </c>
      <c r="DA8" t="s">
        <v>75</v>
      </c>
      <c r="DB8">
        <v>2.3077079999999999</v>
      </c>
      <c r="DC8" t="s">
        <v>1820</v>
      </c>
      <c r="DD8">
        <v>0.71274499999999996</v>
      </c>
      <c r="DE8" t="s">
        <v>1809</v>
      </c>
      <c r="DF8">
        <v>2025</v>
      </c>
      <c r="DG8" t="s">
        <v>1890</v>
      </c>
      <c r="DH8" s="6">
        <v>45847</v>
      </c>
      <c r="DI8">
        <v>5</v>
      </c>
      <c r="DJ8">
        <v>29543278</v>
      </c>
      <c r="DK8">
        <v>100185</v>
      </c>
      <c r="DL8" t="s">
        <v>1894</v>
      </c>
      <c r="FY8" t="s">
        <v>4743</v>
      </c>
      <c r="GA8">
        <v>-2.4245362661989844E-14</v>
      </c>
      <c r="GB8">
        <v>-2.4245362661989844E-14</v>
      </c>
      <c r="GC8" t="s">
        <v>1798</v>
      </c>
      <c r="GD8">
        <v>2025</v>
      </c>
      <c r="GE8" t="s">
        <v>4744</v>
      </c>
      <c r="GF8" s="6">
        <v>45975</v>
      </c>
      <c r="GG8">
        <v>5</v>
      </c>
      <c r="GH8">
        <v>-2.4245362661989844E-14</v>
      </c>
      <c r="GI8">
        <v>7395078</v>
      </c>
      <c r="GJ8" t="s">
        <v>4745</v>
      </c>
      <c r="GM8" t="s">
        <v>4291</v>
      </c>
      <c r="GN8">
        <v>-2.4245362661989844E-14</v>
      </c>
      <c r="GP8">
        <v>-2.4245362661989844E-14</v>
      </c>
      <c r="GQ8" t="s">
        <v>1742</v>
      </c>
      <c r="GR8">
        <v>2023</v>
      </c>
      <c r="GS8" t="s">
        <v>4287</v>
      </c>
      <c r="GT8" s="6">
        <v>45240</v>
      </c>
      <c r="GU8">
        <v>5</v>
      </c>
      <c r="GV8">
        <v>-2.4245362661989844E-14</v>
      </c>
      <c r="GW8">
        <v>50088511</v>
      </c>
      <c r="GX8" t="s">
        <v>4292</v>
      </c>
      <c r="JK8" t="s">
        <v>3351</v>
      </c>
      <c r="JM8">
        <v>-2.4245362661989844E-14</v>
      </c>
      <c r="JN8">
        <v>-2.4245362661989844E-14</v>
      </c>
      <c r="JO8" t="s">
        <v>1745</v>
      </c>
      <c r="JP8">
        <v>2022</v>
      </c>
      <c r="JQ8" t="s">
        <v>3352</v>
      </c>
      <c r="JR8" s="6">
        <v>45037</v>
      </c>
      <c r="JS8">
        <v>5</v>
      </c>
      <c r="JT8">
        <v>-2.4245362661989844E-14</v>
      </c>
      <c r="JU8">
        <v>11382843</v>
      </c>
      <c r="JV8" t="s">
        <v>3353</v>
      </c>
      <c r="JY8" t="s">
        <v>496</v>
      </c>
      <c r="JZ8">
        <v>2.1261269999999999</v>
      </c>
      <c r="KA8" t="s">
        <v>1786</v>
      </c>
      <c r="KB8">
        <v>8.4150000000000006E-3</v>
      </c>
      <c r="KC8" t="s">
        <v>1809</v>
      </c>
      <c r="KD8">
        <v>2025</v>
      </c>
      <c r="KE8" t="s">
        <v>3217</v>
      </c>
      <c r="KF8" s="6">
        <v>45868</v>
      </c>
      <c r="KG8">
        <v>5</v>
      </c>
      <c r="KH8">
        <v>6748327</v>
      </c>
      <c r="KI8">
        <v>100976</v>
      </c>
      <c r="KJ8" t="s">
        <v>1888</v>
      </c>
      <c r="KO8" t="s">
        <v>2283</v>
      </c>
      <c r="KQ8">
        <v>-2.4245362661989844E-14</v>
      </c>
      <c r="KR8">
        <v>-2.4245362661989844E-14</v>
      </c>
      <c r="KS8" t="s">
        <v>1745</v>
      </c>
      <c r="KT8">
        <v>2021</v>
      </c>
      <c r="KU8" t="s">
        <v>2284</v>
      </c>
      <c r="KV8" s="6">
        <v>44693</v>
      </c>
      <c r="KW8">
        <v>5</v>
      </c>
      <c r="KX8">
        <v>-2.4245362661989844E-14</v>
      </c>
      <c r="KY8">
        <v>100060</v>
      </c>
      <c r="KZ8" t="s">
        <v>2285</v>
      </c>
      <c r="LC8" t="s">
        <v>2625</v>
      </c>
      <c r="LD8">
        <v>-2.4245362661989844E-14</v>
      </c>
      <c r="LF8">
        <v>-2.4245362661989844E-14</v>
      </c>
      <c r="LG8" t="s">
        <v>1745</v>
      </c>
      <c r="LH8">
        <v>2022</v>
      </c>
      <c r="LI8" t="s">
        <v>2626</v>
      </c>
      <c r="LJ8" s="6">
        <v>44907</v>
      </c>
      <c r="LK8">
        <v>5</v>
      </c>
      <c r="LL8">
        <v>-2.4245362661989844E-14</v>
      </c>
      <c r="LM8">
        <v>108653</v>
      </c>
      <c r="LN8" t="s">
        <v>2627</v>
      </c>
      <c r="MW8" t="s">
        <v>2158</v>
      </c>
      <c r="MX8" t="s">
        <v>1786</v>
      </c>
      <c r="MY8">
        <v>1.0496179999999999</v>
      </c>
      <c r="MZ8">
        <v>0.58016900000000005</v>
      </c>
      <c r="NA8" t="s">
        <v>1742</v>
      </c>
      <c r="NB8">
        <v>2025</v>
      </c>
      <c r="NC8" t="s">
        <v>2159</v>
      </c>
      <c r="ND8" s="6">
        <v>45967</v>
      </c>
      <c r="NE8">
        <v>5</v>
      </c>
      <c r="NF8">
        <v>22000000</v>
      </c>
      <c r="NG8">
        <v>70456033</v>
      </c>
      <c r="NH8" t="s">
        <v>2160</v>
      </c>
      <c r="NK8" t="s">
        <v>2167</v>
      </c>
      <c r="NL8">
        <v>0.62480800000000003</v>
      </c>
      <c r="NM8" t="s">
        <v>1786</v>
      </c>
      <c r="NN8">
        <v>0.15015999999999999</v>
      </c>
      <c r="NO8" t="s">
        <v>1762</v>
      </c>
      <c r="NP8">
        <v>2025</v>
      </c>
      <c r="NQ8" t="s">
        <v>2168</v>
      </c>
      <c r="NR8" s="6">
        <v>45857</v>
      </c>
      <c r="NS8">
        <v>5</v>
      </c>
      <c r="NT8">
        <v>39637820</v>
      </c>
      <c r="NU8">
        <v>100743</v>
      </c>
      <c r="NV8" t="s">
        <v>2169</v>
      </c>
      <c r="OA8" t="s">
        <v>2864</v>
      </c>
      <c r="OB8" t="s">
        <v>1786</v>
      </c>
      <c r="OC8">
        <v>3.0822280000000002</v>
      </c>
      <c r="OD8">
        <v>3.3093530000000002</v>
      </c>
      <c r="OE8" t="s">
        <v>1809</v>
      </c>
      <c r="OF8">
        <v>2025</v>
      </c>
      <c r="OG8" t="s">
        <v>2865</v>
      </c>
      <c r="OH8" s="6">
        <v>45863</v>
      </c>
      <c r="OI8">
        <v>5</v>
      </c>
      <c r="OJ8">
        <v>50798568</v>
      </c>
      <c r="OK8">
        <v>10832677</v>
      </c>
      <c r="OL8" t="s">
        <v>2866</v>
      </c>
      <c r="OO8" t="s">
        <v>4663</v>
      </c>
      <c r="OP8">
        <v>-2.4245362661989844E-14</v>
      </c>
      <c r="OR8">
        <v>-2.4245362661989844E-14</v>
      </c>
      <c r="OS8" t="s">
        <v>1745</v>
      </c>
      <c r="OT8">
        <v>2021</v>
      </c>
      <c r="OU8" t="s">
        <v>4658</v>
      </c>
      <c r="OV8" s="6">
        <v>44693</v>
      </c>
      <c r="OW8">
        <v>5</v>
      </c>
      <c r="OX8">
        <v>-2.4245362661989844E-14</v>
      </c>
      <c r="OY8">
        <v>26773453</v>
      </c>
      <c r="OZ8" t="s">
        <v>4664</v>
      </c>
      <c r="PE8" t="s">
        <v>4085</v>
      </c>
      <c r="PG8">
        <v>-2.4245362661989844E-14</v>
      </c>
      <c r="PH8">
        <v>-2.4245362661989844E-14</v>
      </c>
      <c r="PI8" t="s">
        <v>1745</v>
      </c>
      <c r="PJ8">
        <v>2023</v>
      </c>
      <c r="PK8" t="s">
        <v>4086</v>
      </c>
      <c r="PL8" s="6">
        <v>45188</v>
      </c>
      <c r="PM8">
        <v>5</v>
      </c>
      <c r="PN8">
        <v>-2.4245362661989844E-14</v>
      </c>
      <c r="PO8">
        <v>38550351</v>
      </c>
      <c r="PP8" t="s">
        <v>4087</v>
      </c>
      <c r="RM8" t="s">
        <v>3807</v>
      </c>
      <c r="RO8">
        <v>-2.4245362661989844E-14</v>
      </c>
      <c r="RP8">
        <v>-2.4245362661989844E-14</v>
      </c>
      <c r="RQ8" t="s">
        <v>1745</v>
      </c>
      <c r="RR8">
        <v>2024</v>
      </c>
      <c r="RS8" t="s">
        <v>3803</v>
      </c>
      <c r="RT8" s="6">
        <v>45475</v>
      </c>
      <c r="RU8">
        <v>5</v>
      </c>
      <c r="RV8">
        <v>-2.4245362661989844E-14</v>
      </c>
      <c r="RW8">
        <v>1170098</v>
      </c>
      <c r="RX8" t="s">
        <v>3808</v>
      </c>
      <c r="TU8" t="s">
        <v>607</v>
      </c>
      <c r="TW8">
        <v>-2.4245362661989844E-14</v>
      </c>
      <c r="TX8">
        <v>-2.4245362661989844E-14</v>
      </c>
      <c r="TY8" t="s">
        <v>1762</v>
      </c>
      <c r="TZ8">
        <v>2023</v>
      </c>
      <c r="UA8" t="s">
        <v>2670</v>
      </c>
      <c r="UB8" s="6">
        <v>45174</v>
      </c>
      <c r="UC8">
        <v>4</v>
      </c>
      <c r="UD8">
        <v>-2.4245362661989844E-14</v>
      </c>
      <c r="UE8">
        <v>202476</v>
      </c>
      <c r="UF8" t="s">
        <v>2355</v>
      </c>
    </row>
    <row r="9" spans="1:600" x14ac:dyDescent="0.25">
      <c r="A9" t="s">
        <v>3070</v>
      </c>
      <c r="B9" t="s">
        <v>1786</v>
      </c>
      <c r="C9">
        <v>0.25306400000000001</v>
      </c>
      <c r="D9">
        <v>0.29688500000000001</v>
      </c>
      <c r="E9" t="s">
        <v>1762</v>
      </c>
      <c r="F9">
        <v>2026</v>
      </c>
      <c r="G9" t="s">
        <v>3071</v>
      </c>
      <c r="H9" s="6">
        <v>45999</v>
      </c>
      <c r="I9">
        <v>5</v>
      </c>
      <c r="J9">
        <v>11262296.42</v>
      </c>
      <c r="K9">
        <v>114713</v>
      </c>
      <c r="L9" t="s">
        <v>3072</v>
      </c>
      <c r="O9" t="s">
        <v>2170</v>
      </c>
      <c r="P9">
        <v>0.47400900000000001</v>
      </c>
      <c r="Q9" t="s">
        <v>1786</v>
      </c>
      <c r="R9">
        <v>0.23968300000000001</v>
      </c>
      <c r="S9" t="s">
        <v>1762</v>
      </c>
      <c r="T9">
        <v>2025</v>
      </c>
      <c r="U9" t="s">
        <v>2168</v>
      </c>
      <c r="V9" s="6">
        <v>45857</v>
      </c>
      <c r="W9">
        <v>5</v>
      </c>
      <c r="X9">
        <v>30071132</v>
      </c>
      <c r="Y9">
        <v>153737</v>
      </c>
      <c r="Z9" t="s">
        <v>2171</v>
      </c>
      <c r="AE9" t="s">
        <v>3417</v>
      </c>
      <c r="AF9" t="s">
        <v>1786</v>
      </c>
      <c r="AG9">
        <v>0.52654900000000004</v>
      </c>
      <c r="AH9">
        <v>0.28446300000000002</v>
      </c>
      <c r="AI9" t="s">
        <v>1742</v>
      </c>
      <c r="AJ9">
        <v>2025</v>
      </c>
      <c r="AK9" t="s">
        <v>3418</v>
      </c>
      <c r="AL9" s="6">
        <v>45968</v>
      </c>
      <c r="AM9">
        <v>5</v>
      </c>
      <c r="AN9">
        <v>8327797.4100000001</v>
      </c>
      <c r="AO9">
        <v>127005</v>
      </c>
      <c r="AP9" t="s">
        <v>3419</v>
      </c>
      <c r="AS9" t="s">
        <v>3241</v>
      </c>
      <c r="AT9">
        <v>5.9479470000000001</v>
      </c>
      <c r="AU9" t="s">
        <v>1786</v>
      </c>
      <c r="AV9">
        <v>0.76650399999999996</v>
      </c>
      <c r="AW9" t="s">
        <v>1845</v>
      </c>
      <c r="AX9">
        <v>2025</v>
      </c>
      <c r="AY9" t="s">
        <v>3237</v>
      </c>
      <c r="AZ9" s="6">
        <v>46070</v>
      </c>
      <c r="BA9">
        <v>5</v>
      </c>
      <c r="BB9">
        <v>212460672</v>
      </c>
      <c r="BC9">
        <v>117621</v>
      </c>
      <c r="BD9" t="s">
        <v>3242</v>
      </c>
      <c r="BI9" t="s">
        <v>2848</v>
      </c>
      <c r="BK9">
        <v>-2.4245362661989844E-14</v>
      </c>
      <c r="BL9">
        <v>-2.4245362661989844E-14</v>
      </c>
      <c r="BM9" t="s">
        <v>1745</v>
      </c>
      <c r="BN9">
        <v>2022</v>
      </c>
      <c r="BO9" t="s">
        <v>2611</v>
      </c>
      <c r="BP9" s="6">
        <v>44776</v>
      </c>
      <c r="BQ9">
        <v>5</v>
      </c>
      <c r="BR9">
        <v>-2.4245362661989844E-14</v>
      </c>
      <c r="BS9">
        <v>968833</v>
      </c>
      <c r="BT9" t="s">
        <v>2849</v>
      </c>
      <c r="CM9" t="s">
        <v>910</v>
      </c>
      <c r="CN9" t="s">
        <v>1786</v>
      </c>
      <c r="CO9">
        <v>0.124691</v>
      </c>
      <c r="CP9">
        <v>1.775976</v>
      </c>
      <c r="CQ9" t="s">
        <v>1762</v>
      </c>
      <c r="CR9">
        <v>2025</v>
      </c>
      <c r="CS9" t="s">
        <v>2389</v>
      </c>
      <c r="CT9" s="6">
        <v>45749</v>
      </c>
      <c r="CU9">
        <v>5</v>
      </c>
      <c r="CV9">
        <v>10041366</v>
      </c>
      <c r="CW9">
        <v>100995</v>
      </c>
      <c r="CX9" t="s">
        <v>2390</v>
      </c>
      <c r="DA9" t="s">
        <v>1287</v>
      </c>
      <c r="DB9">
        <v>2.0043150000000001</v>
      </c>
      <c r="DC9" t="s">
        <v>1820</v>
      </c>
      <c r="DD9">
        <v>0.50652399999999997</v>
      </c>
      <c r="DE9" t="s">
        <v>1809</v>
      </c>
      <c r="DF9">
        <v>2025</v>
      </c>
      <c r="DG9" t="s">
        <v>1890</v>
      </c>
      <c r="DH9" s="6">
        <v>45847</v>
      </c>
      <c r="DI9">
        <v>5</v>
      </c>
      <c r="DJ9">
        <v>25659240</v>
      </c>
      <c r="DK9">
        <v>101376</v>
      </c>
      <c r="DL9" t="s">
        <v>1895</v>
      </c>
      <c r="FY9" t="s">
        <v>4746</v>
      </c>
      <c r="GA9">
        <v>-2.4245362661989844E-14</v>
      </c>
      <c r="GB9">
        <v>-2.4245362661989844E-14</v>
      </c>
      <c r="GC9" t="s">
        <v>1745</v>
      </c>
      <c r="GD9">
        <v>2023</v>
      </c>
      <c r="GE9" t="s">
        <v>4747</v>
      </c>
      <c r="GF9" s="6">
        <v>45181</v>
      </c>
      <c r="GG9">
        <v>5</v>
      </c>
      <c r="GH9">
        <v>-2.4245362661989844E-14</v>
      </c>
      <c r="GI9">
        <v>62835266</v>
      </c>
      <c r="GJ9" t="s">
        <v>4748</v>
      </c>
      <c r="GM9" t="s">
        <v>4293</v>
      </c>
      <c r="GN9">
        <v>-2.4245362661989844E-14</v>
      </c>
      <c r="GP9">
        <v>-2.4245362661989844E-14</v>
      </c>
      <c r="GQ9" t="s">
        <v>1742</v>
      </c>
      <c r="GR9">
        <v>2025</v>
      </c>
      <c r="GS9" t="s">
        <v>4289</v>
      </c>
      <c r="GT9" s="6">
        <v>45966</v>
      </c>
      <c r="GU9">
        <v>5</v>
      </c>
      <c r="GV9">
        <v>-2.4245362661989844E-14</v>
      </c>
      <c r="GW9">
        <v>12583750</v>
      </c>
      <c r="GX9" t="s">
        <v>4294</v>
      </c>
      <c r="JK9" t="s">
        <v>3354</v>
      </c>
      <c r="JM9">
        <v>-2.4245362661989844E-14</v>
      </c>
      <c r="JN9">
        <v>-2.4245362661989844E-14</v>
      </c>
      <c r="JO9" t="s">
        <v>1745</v>
      </c>
      <c r="JP9">
        <v>2025</v>
      </c>
      <c r="JQ9" t="s">
        <v>3355</v>
      </c>
      <c r="JR9" s="6">
        <v>46090</v>
      </c>
      <c r="JS9">
        <v>5</v>
      </c>
      <c r="JT9">
        <v>-2.4245362661989844E-14</v>
      </c>
      <c r="JU9">
        <v>20196065</v>
      </c>
      <c r="JV9" t="s">
        <v>3356</v>
      </c>
      <c r="JY9" t="s">
        <v>985</v>
      </c>
      <c r="JZ9">
        <v>1.7283949999999999</v>
      </c>
      <c r="KA9" t="s">
        <v>1786</v>
      </c>
      <c r="KB9">
        <v>1.5878E-2</v>
      </c>
      <c r="KC9" t="s">
        <v>1809</v>
      </c>
      <c r="KD9">
        <v>2025</v>
      </c>
      <c r="KE9" t="s">
        <v>3217</v>
      </c>
      <c r="KF9" s="6">
        <v>45868</v>
      </c>
      <c r="KG9">
        <v>5</v>
      </c>
      <c r="KH9">
        <v>5485926</v>
      </c>
      <c r="KI9">
        <v>100864</v>
      </c>
      <c r="KJ9" t="s">
        <v>1971</v>
      </c>
      <c r="KO9" t="s">
        <v>2834</v>
      </c>
      <c r="KQ9">
        <v>-2.4245362661989844E-14</v>
      </c>
      <c r="KR9">
        <v>-2.4245362661989844E-14</v>
      </c>
      <c r="KS9" t="s">
        <v>1745</v>
      </c>
      <c r="KT9">
        <v>2025</v>
      </c>
      <c r="KU9" t="s">
        <v>2835</v>
      </c>
      <c r="KV9" s="6">
        <v>45743</v>
      </c>
      <c r="KW9">
        <v>5</v>
      </c>
      <c r="KX9">
        <v>-2.4245362661989844E-14</v>
      </c>
      <c r="KY9">
        <v>106343</v>
      </c>
      <c r="KZ9" t="s">
        <v>2836</v>
      </c>
      <c r="LC9" t="s">
        <v>2628</v>
      </c>
      <c r="LD9">
        <v>-2.4245362661989844E-14</v>
      </c>
      <c r="LF9">
        <v>-2.4245362661989844E-14</v>
      </c>
      <c r="LG9" t="s">
        <v>1745</v>
      </c>
      <c r="LH9">
        <v>2023</v>
      </c>
      <c r="LI9" t="s">
        <v>2629</v>
      </c>
      <c r="LJ9" s="6">
        <v>45401</v>
      </c>
      <c r="LK9">
        <v>5</v>
      </c>
      <c r="LL9">
        <v>-2.4245362661989844E-14</v>
      </c>
      <c r="LM9">
        <v>100842</v>
      </c>
      <c r="LN9" t="s">
        <v>2630</v>
      </c>
      <c r="MW9" t="s">
        <v>3070</v>
      </c>
      <c r="MX9" t="s">
        <v>1786</v>
      </c>
      <c r="MY9">
        <v>0.25306400000000001</v>
      </c>
      <c r="MZ9">
        <v>0.29688500000000001</v>
      </c>
      <c r="NA9" t="s">
        <v>1762</v>
      </c>
      <c r="NB9">
        <v>2026</v>
      </c>
      <c r="NC9" t="s">
        <v>3071</v>
      </c>
      <c r="ND9" s="6">
        <v>45999</v>
      </c>
      <c r="NE9">
        <v>5</v>
      </c>
      <c r="NF9">
        <v>11262296.42</v>
      </c>
      <c r="NG9">
        <v>114713</v>
      </c>
      <c r="NH9" t="s">
        <v>3072</v>
      </c>
      <c r="NK9" t="s">
        <v>2170</v>
      </c>
      <c r="NL9">
        <v>0.47400900000000001</v>
      </c>
      <c r="NM9" t="s">
        <v>1786</v>
      </c>
      <c r="NN9">
        <v>0.23968300000000001</v>
      </c>
      <c r="NO9" t="s">
        <v>1762</v>
      </c>
      <c r="NP9">
        <v>2025</v>
      </c>
      <c r="NQ9" t="s">
        <v>2168</v>
      </c>
      <c r="NR9" s="6">
        <v>45857</v>
      </c>
      <c r="NS9">
        <v>5</v>
      </c>
      <c r="NT9">
        <v>30071132</v>
      </c>
      <c r="NU9">
        <v>153737</v>
      </c>
      <c r="NV9" t="s">
        <v>2171</v>
      </c>
      <c r="OA9" t="s">
        <v>5712</v>
      </c>
      <c r="OB9" t="s">
        <v>1820</v>
      </c>
      <c r="OC9">
        <v>1.658663</v>
      </c>
      <c r="OD9">
        <v>0.56530800000000003</v>
      </c>
      <c r="OE9" t="s">
        <v>1845</v>
      </c>
      <c r="OF9">
        <v>2025</v>
      </c>
      <c r="OG9" t="s">
        <v>5775</v>
      </c>
      <c r="OH9" s="6">
        <v>46053</v>
      </c>
      <c r="OI9">
        <v>5</v>
      </c>
      <c r="OJ9">
        <v>17281460</v>
      </c>
      <c r="OK9">
        <v>69755265</v>
      </c>
      <c r="OL9" t="s">
        <v>5714</v>
      </c>
      <c r="OO9" t="s">
        <v>2586</v>
      </c>
      <c r="OP9">
        <v>-2.4245362661989844E-14</v>
      </c>
      <c r="OR9">
        <v>-2.4245362661989844E-14</v>
      </c>
      <c r="OS9" t="s">
        <v>1745</v>
      </c>
      <c r="OT9">
        <v>2021</v>
      </c>
      <c r="OU9" t="s">
        <v>4658</v>
      </c>
      <c r="OV9" s="6">
        <v>44693</v>
      </c>
      <c r="OW9">
        <v>5</v>
      </c>
      <c r="OX9">
        <v>-2.4245362661989844E-14</v>
      </c>
      <c r="OY9">
        <v>15564314</v>
      </c>
      <c r="OZ9" t="s">
        <v>2587</v>
      </c>
      <c r="PE9" t="s">
        <v>4088</v>
      </c>
      <c r="PG9">
        <v>-2.4245362661989844E-14</v>
      </c>
      <c r="PH9">
        <v>-2.4245362661989844E-14</v>
      </c>
      <c r="PI9" t="s">
        <v>1745</v>
      </c>
      <c r="PJ9">
        <v>2023</v>
      </c>
      <c r="PK9" t="s">
        <v>4089</v>
      </c>
      <c r="PL9" s="6">
        <v>45462</v>
      </c>
      <c r="PM9">
        <v>5</v>
      </c>
      <c r="PN9">
        <v>-2.4245362661989844E-14</v>
      </c>
      <c r="PO9">
        <v>48621208</v>
      </c>
      <c r="PP9" t="s">
        <v>4090</v>
      </c>
      <c r="RM9" t="s">
        <v>3809</v>
      </c>
      <c r="RO9">
        <v>-2.4245362661989844E-14</v>
      </c>
      <c r="RP9">
        <v>-2.4245362661989844E-14</v>
      </c>
      <c r="RQ9" t="s">
        <v>1745</v>
      </c>
      <c r="RR9">
        <v>2024</v>
      </c>
      <c r="RS9" t="s">
        <v>3810</v>
      </c>
      <c r="RT9" s="6">
        <v>45728</v>
      </c>
      <c r="RU9">
        <v>5</v>
      </c>
      <c r="RV9">
        <v>-2.4245362661989844E-14</v>
      </c>
      <c r="RW9">
        <v>900636</v>
      </c>
      <c r="RX9" t="s">
        <v>3811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1224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1225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1226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1227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1228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1229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1230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1231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1232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1233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1234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1235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1236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1237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1238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1239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1240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1241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1242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1243</v>
      </c>
      <c r="AE2" s="3" t="s">
        <v>1244</v>
      </c>
      <c r="BI2" s="3" t="s">
        <v>1245</v>
      </c>
      <c r="CM2" s="3" t="s">
        <v>34</v>
      </c>
      <c r="DQ2" s="3" t="s">
        <v>423</v>
      </c>
      <c r="EU2" s="3" t="s">
        <v>1246</v>
      </c>
      <c r="FY2" s="3" t="s">
        <v>1247</v>
      </c>
      <c r="HC2" s="3" t="s">
        <v>1248</v>
      </c>
      <c r="IG2" s="3" t="s">
        <v>1207</v>
      </c>
      <c r="JK2" s="3" t="s">
        <v>1249</v>
      </c>
      <c r="KO2" s="3" t="s">
        <v>561</v>
      </c>
      <c r="LS2" s="3" t="s">
        <v>1250</v>
      </c>
      <c r="MW2" s="3" t="s">
        <v>1251</v>
      </c>
      <c r="OA2" s="3" t="s">
        <v>676</v>
      </c>
      <c r="PE2" s="3" t="s">
        <v>380</v>
      </c>
      <c r="QI2" s="3" t="s">
        <v>277</v>
      </c>
      <c r="RM2" s="3" t="s">
        <v>1252</v>
      </c>
      <c r="SQ2" s="3" t="s">
        <v>1253</v>
      </c>
      <c r="TU2" s="3" t="s">
        <v>1254</v>
      </c>
      <c r="UY2" s="3" t="s">
        <v>1255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_xll.BDS("0554877D US Equity","SUPPLY_CHAIN_SUPPLIERS_ALL_DATA")</f>
        <v>#N/A N/A</v>
      </c>
      <c r="O5" t="str">
        <f>_xll.BDS("0554877D US Equity","SUPPLY_CHAIN_CUSTOMERS_ALL_DATA")</f>
        <v>#N/A N/A</v>
      </c>
      <c r="AE5" t="str">
        <f>_xll.BDS("TFCFA US Equity","SUPPLY_CHAIN_SUPPLIERS_ALL_DATA")</f>
        <v>#N/A N/A</v>
      </c>
      <c r="AS5" t="str">
        <f>_xll.BDS("TFCFA US Equity","SUPPLY_CHAIN_CUSTOMERS_ALL_DATA")</f>
        <v>#N/A N/A</v>
      </c>
      <c r="BI5" t="str">
        <f>_xll.BDS("COLB US Equity","SUPPLY_CHAIN_SUPPLIERS_ALL_DATA","cols=12;rows=1")</f>
        <v>INVE US Equity</v>
      </c>
      <c r="BK5">
        <v>-2.4245362661989844E-14</v>
      </c>
      <c r="BL5">
        <v>-2.4245362661989844E-14</v>
      </c>
      <c r="BM5" t="s">
        <v>1742</v>
      </c>
      <c r="BN5">
        <v>2022</v>
      </c>
      <c r="BO5" t="s">
        <v>4420</v>
      </c>
      <c r="BP5" s="6">
        <v>44882</v>
      </c>
      <c r="BQ5">
        <v>1</v>
      </c>
      <c r="BR5">
        <v>-2.4245362661989844E-14</v>
      </c>
      <c r="BS5">
        <v>225752</v>
      </c>
      <c r="BT5" t="s">
        <v>4421</v>
      </c>
      <c r="BW5" t="str">
        <f>_xll.BDS("COLB US Equity","SUPPLY_CHAIN_CUSTOMERS_ALL_DATA")</f>
        <v>#N/A N/A</v>
      </c>
      <c r="CM5" t="str">
        <f>_xll.BDS("ORCL US Equity","SUPPLY_CHAIN_SUPPLIERS_ALL_DATA","cols=12;rows=5")</f>
        <v>NVDA US Equity</v>
      </c>
      <c r="CN5" t="s">
        <v>1820</v>
      </c>
      <c r="CO5">
        <v>1.9751799999999999</v>
      </c>
      <c r="CP5">
        <v>11.182838</v>
      </c>
      <c r="CQ5" t="s">
        <v>1845</v>
      </c>
      <c r="CR5">
        <v>2026</v>
      </c>
      <c r="CS5" t="s">
        <v>2311</v>
      </c>
      <c r="CT5" s="6">
        <v>46087</v>
      </c>
      <c r="CU5">
        <v>5</v>
      </c>
      <c r="CV5">
        <v>1345630848</v>
      </c>
      <c r="CW5">
        <v>313657</v>
      </c>
      <c r="CX5" t="s">
        <v>2312</v>
      </c>
      <c r="DA5" t="str">
        <f>_xll.BDS("ORCL US Equity","SUPPLY_CHAIN_CUSTOMERS_ALL_DATA","cols=12;rows=5")</f>
        <v>ACN US Equity</v>
      </c>
      <c r="DB5">
        <v>1.9061380000000001</v>
      </c>
      <c r="DC5" t="s">
        <v>1786</v>
      </c>
      <c r="DD5">
        <v>2.7725070000000001</v>
      </c>
      <c r="DE5" t="s">
        <v>1845</v>
      </c>
      <c r="DF5">
        <v>2025</v>
      </c>
      <c r="DG5" t="s">
        <v>1883</v>
      </c>
      <c r="DH5" s="6">
        <v>45848</v>
      </c>
      <c r="DI5">
        <v>5</v>
      </c>
      <c r="DJ5">
        <v>303133120</v>
      </c>
      <c r="DK5">
        <v>300787</v>
      </c>
      <c r="DL5" t="s">
        <v>1884</v>
      </c>
      <c r="DQ5" t="str">
        <f>_xll.BDS("JPM US Equity","SUPPLY_CHAIN_SUPPLIERS_ALL_DATA","cols=12;rows=5")</f>
        <v>LUV US Equity</v>
      </c>
      <c r="DS5">
        <v>10.404375</v>
      </c>
      <c r="DT5">
        <v>-2.4245362661989844E-14</v>
      </c>
      <c r="DU5" t="s">
        <v>1742</v>
      </c>
      <c r="DV5">
        <v>2025</v>
      </c>
      <c r="DW5" t="s">
        <v>3125</v>
      </c>
      <c r="DX5" s="6">
        <v>45953</v>
      </c>
      <c r="DY5">
        <v>5</v>
      </c>
      <c r="DZ5">
        <v>723000000</v>
      </c>
      <c r="EA5">
        <v>101374</v>
      </c>
      <c r="EB5" t="s">
        <v>3126</v>
      </c>
      <c r="EE5" t="str">
        <f>_xll.BDS("JPM US Equity","SUPPLY_CHAIN_CUSTOMERS_ALL_DATA","cols=12;rows=5")</f>
        <v>000737 CH Equity</v>
      </c>
      <c r="EF5">
        <v>-2.4245362661989844E-14</v>
      </c>
      <c r="EH5">
        <v>-2.4245362661989844E-14</v>
      </c>
      <c r="EI5" t="s">
        <v>1745</v>
      </c>
      <c r="EJ5">
        <v>2022</v>
      </c>
      <c r="EK5" t="s">
        <v>3665</v>
      </c>
      <c r="EL5" s="6">
        <v>45027</v>
      </c>
      <c r="EM5">
        <v>5</v>
      </c>
      <c r="EN5">
        <v>-2.4245362661989844E-14</v>
      </c>
      <c r="EO5">
        <v>223099</v>
      </c>
      <c r="EP5" t="s">
        <v>3666</v>
      </c>
      <c r="EU5" t="str">
        <f>_xll.BDS("WHXCQ US Equity","SUPPLY_CHAIN_SUPPLIERS_ALL_DATA")</f>
        <v>#N/A N/A</v>
      </c>
      <c r="FI5" t="str">
        <f>_xll.BDS("WHXCQ US Equity","SUPPLY_CHAIN_CUSTOMERS_ALL_DATA")</f>
        <v>#N/A N/A</v>
      </c>
      <c r="FY5" t="str">
        <f>_xll.BDS("HOT US Equity","SUPPLY_CHAIN_SUPPLIERS_ALL_DATA")</f>
        <v>#N/A N/A</v>
      </c>
      <c r="GM5" t="str">
        <f>_xll.BDS("HOT US Equity","SUPPLY_CHAIN_CUSTOMERS_ALL_DATA")</f>
        <v>#N/A N/A</v>
      </c>
      <c r="HC5" t="str">
        <f>_xll.BDS("CMOS US Equity","SUPPLY_CHAIN_SUPPLIERS_ALL_DATA")</f>
        <v>#N/A N/A</v>
      </c>
      <c r="HQ5" t="str">
        <f>_xll.BDS("CMOS US Equity","SUPPLY_CHAIN_CUSTOMERS_ALL_DATA")</f>
        <v>#N/A N/A</v>
      </c>
      <c r="IG5" t="str">
        <f>_xll.BDS("CZR US Equity","SUPPLY_CHAIN_SUPPLIERS_ALL_DATA","cols=12;rows=5")</f>
        <v>VICI US Equity</v>
      </c>
      <c r="IH5" t="s">
        <v>1769</v>
      </c>
      <c r="II5">
        <v>39</v>
      </c>
      <c r="IJ5">
        <v>78.186974000000006</v>
      </c>
      <c r="IK5" t="s">
        <v>1745</v>
      </c>
      <c r="IL5">
        <v>2024</v>
      </c>
      <c r="IM5" t="s">
        <v>2843</v>
      </c>
      <c r="IN5" s="6">
        <v>45708</v>
      </c>
      <c r="IO5">
        <v>5</v>
      </c>
      <c r="IP5">
        <v>375297472</v>
      </c>
      <c r="IQ5">
        <v>55267607</v>
      </c>
      <c r="IR5" t="s">
        <v>2844</v>
      </c>
      <c r="IU5" t="str">
        <f>_xll.BDS("CZR US Equity","SUPPLY_CHAIN_CUSTOMERS_ALL_DATA","cols=12;rows=4")</f>
        <v>0127957D US Equity</v>
      </c>
      <c r="IV5">
        <v>-2.4245362661989844E-14</v>
      </c>
      <c r="IX5">
        <v>-2.4245362661989844E-14</v>
      </c>
      <c r="IY5" t="s">
        <v>1745</v>
      </c>
      <c r="IZ5">
        <v>2024</v>
      </c>
      <c r="JA5" t="s">
        <v>2608</v>
      </c>
      <c r="JB5" s="6">
        <v>45747</v>
      </c>
      <c r="JC5">
        <v>4</v>
      </c>
      <c r="JD5">
        <v>-2.4245362661989844E-14</v>
      </c>
      <c r="JE5">
        <v>19488118</v>
      </c>
      <c r="JF5" t="s">
        <v>2609</v>
      </c>
      <c r="JK5" t="str">
        <f>_xll.BDS("PAS US Equity","SUPPLY_CHAIN_SUPPLIERS_ALL_DATA")</f>
        <v>#N/A N/A</v>
      </c>
      <c r="JY5" t="str">
        <f>_xll.BDS("PAS US Equity","SUPPLY_CHAIN_CUSTOMERS_ALL_DATA")</f>
        <v>#N/A N/A</v>
      </c>
      <c r="KO5" t="str">
        <f>_xll.BDS("MTCH US Equity","SUPPLY_CHAIN_SUPPLIERS_ALL_DATA","cols=12;rows=5")</f>
        <v>053300 KS Equity</v>
      </c>
      <c r="KQ5">
        <v>-2.4245362661989844E-14</v>
      </c>
      <c r="KR5">
        <v>-2.4245362661989844E-14</v>
      </c>
      <c r="KS5" t="s">
        <v>1798</v>
      </c>
      <c r="KT5">
        <v>2025</v>
      </c>
      <c r="KU5" t="s">
        <v>2323</v>
      </c>
      <c r="KV5" s="6">
        <v>45974</v>
      </c>
      <c r="KW5">
        <v>5</v>
      </c>
      <c r="KX5">
        <v>-2.4245362661989844E-14</v>
      </c>
      <c r="KY5">
        <v>23189849</v>
      </c>
      <c r="KZ5" t="s">
        <v>2324</v>
      </c>
      <c r="LC5" t="str">
        <f>_xll.BDS("MTCH US Equity","SUPPLY_CHAIN_CUSTOMERS_ALL_DATA","cols=12;rows=3")</f>
        <v>AAPL US Equity</v>
      </c>
      <c r="LD5">
        <v>-2.4245362661989844E-14</v>
      </c>
      <c r="LF5">
        <v>-2.4245362661989844E-14</v>
      </c>
      <c r="LG5" t="s">
        <v>1762</v>
      </c>
      <c r="LH5">
        <v>2024</v>
      </c>
      <c r="LI5" t="s">
        <v>1763</v>
      </c>
      <c r="LJ5" s="6">
        <v>45505</v>
      </c>
      <c r="LK5">
        <v>3</v>
      </c>
      <c r="LL5">
        <v>-2.4245362661989844E-14</v>
      </c>
      <c r="LM5">
        <v>101695</v>
      </c>
      <c r="LN5" t="s">
        <v>1764</v>
      </c>
      <c r="LS5" t="str">
        <f>_xll.BDS("PXD US Equity","SUPPLY_CHAIN_SUPPLIERS_ALL_DATA","cols=12;rows=5")</f>
        <v>CUZ US Equity</v>
      </c>
      <c r="LU5">
        <v>-2.4245362661989844E-14</v>
      </c>
      <c r="LV5">
        <v>-2.4245362661989844E-14</v>
      </c>
      <c r="LW5" t="s">
        <v>1745</v>
      </c>
      <c r="LX5">
        <v>2023</v>
      </c>
      <c r="LY5" t="s">
        <v>4095</v>
      </c>
      <c r="LZ5" s="6">
        <v>45330</v>
      </c>
      <c r="MA5">
        <v>5</v>
      </c>
      <c r="MB5">
        <v>-2.4245362661989844E-14</v>
      </c>
      <c r="MC5">
        <v>106045</v>
      </c>
      <c r="MD5" t="s">
        <v>2977</v>
      </c>
      <c r="MG5" t="str">
        <f>_xll.BDS("PXD US Equity","SUPPLY_CHAIN_CUSTOMERS_ALL_DATA","cols=12;rows=5")</f>
        <v>0834107D US Equity</v>
      </c>
      <c r="MH5">
        <v>-2.4245362661989844E-14</v>
      </c>
      <c r="MJ5">
        <v>-2.4245362661989844E-14</v>
      </c>
      <c r="MK5" t="s">
        <v>1745</v>
      </c>
      <c r="ML5">
        <v>2023</v>
      </c>
      <c r="MM5" t="s">
        <v>4276</v>
      </c>
      <c r="MN5" s="6">
        <v>45344</v>
      </c>
      <c r="MO5">
        <v>5</v>
      </c>
      <c r="MP5">
        <v>-2.4245362661989844E-14</v>
      </c>
      <c r="MQ5">
        <v>952546</v>
      </c>
      <c r="MR5" t="s">
        <v>4277</v>
      </c>
      <c r="MW5" t="str">
        <f>_xll.BDS("9980328D US Equity","SUPPLY_CHAIN_SUPPLIERS_ALL_DATA","cols=12;rows=5")</f>
        <v>1052024D US Equity</v>
      </c>
      <c r="MY5">
        <v>-2.4245362661989844E-14</v>
      </c>
      <c r="MZ5">
        <v>-2.4245362661989844E-14</v>
      </c>
      <c r="NA5" t="s">
        <v>1745</v>
      </c>
      <c r="NB5">
        <v>2024</v>
      </c>
      <c r="NC5" t="s">
        <v>3521</v>
      </c>
      <c r="ND5" s="6">
        <v>45358</v>
      </c>
      <c r="NE5">
        <v>5</v>
      </c>
      <c r="NF5">
        <v>-2.4245362661989844E-14</v>
      </c>
      <c r="NG5">
        <v>41866638</v>
      </c>
      <c r="NH5" t="s">
        <v>3813</v>
      </c>
      <c r="NK5" t="str">
        <f>_xll.BDS("9980328D US Equity","SUPPLY_CHAIN_CUSTOMERS_ALL_DATA","cols=12;rows=5")</f>
        <v>002630 KS Equity</v>
      </c>
      <c r="NL5">
        <v>-2.4245362661989844E-14</v>
      </c>
      <c r="NN5">
        <v>-2.4245362661989844E-14</v>
      </c>
      <c r="NO5" t="s">
        <v>1798</v>
      </c>
      <c r="NP5">
        <v>2023</v>
      </c>
      <c r="NQ5" t="s">
        <v>3518</v>
      </c>
      <c r="NR5" s="6">
        <v>44971</v>
      </c>
      <c r="NS5">
        <v>5</v>
      </c>
      <c r="NT5">
        <v>-2.4245362661989844E-14</v>
      </c>
      <c r="NU5">
        <v>129294</v>
      </c>
      <c r="NV5" t="s">
        <v>3519</v>
      </c>
      <c r="OA5" t="str">
        <f>_xll.BDS("PPBI US Equity","SUPPLY_CHAIN_SUPPLIERS_ALL_DATA","cols=12;rows=1")</f>
        <v>MUST SP Equity</v>
      </c>
      <c r="OC5">
        <v>-2.4245362661989844E-14</v>
      </c>
      <c r="OD5">
        <v>-2.4245362661989844E-14</v>
      </c>
      <c r="OE5" t="s">
        <v>1745</v>
      </c>
      <c r="OF5">
        <v>2024</v>
      </c>
      <c r="OG5" t="s">
        <v>2839</v>
      </c>
      <c r="OH5" s="6">
        <v>45762</v>
      </c>
      <c r="OI5">
        <v>1</v>
      </c>
      <c r="OJ5">
        <v>-2.4245362661989844E-14</v>
      </c>
      <c r="OK5">
        <v>46286147</v>
      </c>
      <c r="OL5" t="s">
        <v>2733</v>
      </c>
      <c r="OO5" t="str">
        <f>_xll.BDS("PPBI US Equity","SUPPLY_CHAIN_CUSTOMERS_ALL_DATA")</f>
        <v>#N/A N/A</v>
      </c>
      <c r="PE5" t="str">
        <f>_xll.BDS("ALXN US Equity","SUPPLY_CHAIN_SUPPLIERS_ALL_DATA")</f>
        <v>#N/A N/A</v>
      </c>
      <c r="PS5" t="str">
        <f>_xll.BDS("ALXN US Equity","SUPPLY_CHAIN_CUSTOMERS_ALL_DATA")</f>
        <v>#N/A N/A</v>
      </c>
      <c r="QI5" t="str">
        <f>_xll.BDS("9876456D US Equity","SUPPLY_CHAIN_SUPPLIERS_ALL_DATA")</f>
        <v>#N/A N/A</v>
      </c>
      <c r="QW5" t="str">
        <f>_xll.BDS("9876456D US Equity","SUPPLY_CHAIN_CUSTOMERS_ALL_DATA")</f>
        <v>#N/A N/A</v>
      </c>
      <c r="RM5" t="str">
        <f>_xll.BDS("PFS US Equity","SUPPLY_CHAIN_SUPPLIERS_ALL_DATA","cols=12;rows=2")</f>
        <v>1747628D US Equity</v>
      </c>
      <c r="RO5">
        <v>-2.4245362661989844E-14</v>
      </c>
      <c r="RP5">
        <v>-2.4245362661989844E-14</v>
      </c>
      <c r="RQ5" t="s">
        <v>1745</v>
      </c>
      <c r="RR5">
        <v>2023</v>
      </c>
      <c r="RS5" t="s">
        <v>5039</v>
      </c>
      <c r="RT5" s="6">
        <v>45181</v>
      </c>
      <c r="RU5">
        <v>2</v>
      </c>
      <c r="RV5">
        <v>-2.4245362661989844E-14</v>
      </c>
      <c r="RW5">
        <v>65868490</v>
      </c>
      <c r="RX5" t="s">
        <v>5040</v>
      </c>
      <c r="SA5" t="str">
        <f>_xll.BDS("PFS US Equity","SUPPLY_CHAIN_CUSTOMERS_ALL_DATA")</f>
        <v>#N/A N/A</v>
      </c>
      <c r="SQ5" t="str">
        <f>_xll.BDS("CDVIQ US Equity","SUPPLY_CHAIN_SUPPLIERS_ALL_DATA")</f>
        <v>#N/A N/A</v>
      </c>
      <c r="TE5" t="str">
        <f>_xll.BDS("CDVIQ US Equity","SUPPLY_CHAIN_CUSTOMERS_ALL_DATA")</f>
        <v>#N/A N/A</v>
      </c>
      <c r="TU5" t="str">
        <f>_xll.BDS("CBB US Equity","SUPPLY_CHAIN_SUPPLIERS_ALL_DATA","cols=12;rows=5")</f>
        <v>CSCO US Equity</v>
      </c>
      <c r="TW5">
        <v>-2.4245362661989844E-14</v>
      </c>
      <c r="TX5">
        <v>-2.4245362661989844E-14</v>
      </c>
      <c r="TY5" t="s">
        <v>1745</v>
      </c>
      <c r="TZ5">
        <v>2023</v>
      </c>
      <c r="UA5" t="s">
        <v>4205</v>
      </c>
      <c r="UB5" s="6">
        <v>45376</v>
      </c>
      <c r="UC5">
        <v>5</v>
      </c>
      <c r="UD5">
        <v>-2.4245362661989844E-14</v>
      </c>
      <c r="UE5">
        <v>69423747</v>
      </c>
      <c r="UF5" t="s">
        <v>2036</v>
      </c>
      <c r="UI5" t="str">
        <f>_xll.BDS("CBB US Equity","SUPPLY_CHAIN_CUSTOMERS_ALL_DATA","cols=12;rows=1")</f>
        <v>VZ US Equity</v>
      </c>
      <c r="UJ5">
        <v>-2.4245362661989844E-14</v>
      </c>
      <c r="UL5">
        <v>-2.4245362661989844E-14</v>
      </c>
      <c r="UM5" t="s">
        <v>1745</v>
      </c>
      <c r="UN5">
        <v>2023</v>
      </c>
      <c r="UO5" t="s">
        <v>4205</v>
      </c>
      <c r="UP5" s="6">
        <v>45376</v>
      </c>
      <c r="UQ5">
        <v>1</v>
      </c>
      <c r="UR5">
        <v>-2.4245362661989844E-14</v>
      </c>
      <c r="US5">
        <v>100185</v>
      </c>
      <c r="UT5" t="s">
        <v>1894</v>
      </c>
      <c r="UY5" t="str">
        <f>_xll.BDS("HEW US Equity","SUPPLY_CHAIN_SUPPLIERS_ALL_DATA")</f>
        <v>#N/A N/A</v>
      </c>
      <c r="VM5" t="str">
        <f>_xll.BDS("HEW US Equity","SUPPLY_CHAIN_CUSTOMERS_ALL_DATA")</f>
        <v>#N/A N/A</v>
      </c>
    </row>
    <row r="6" spans="1:600" x14ac:dyDescent="0.25">
      <c r="CM6" t="s">
        <v>2313</v>
      </c>
      <c r="CN6" t="s">
        <v>1820</v>
      </c>
      <c r="CO6">
        <v>3.5808580000000001</v>
      </c>
      <c r="CP6">
        <v>3.236755</v>
      </c>
      <c r="CQ6" t="s">
        <v>1762</v>
      </c>
      <c r="CR6">
        <v>2025</v>
      </c>
      <c r="CS6" t="s">
        <v>2314</v>
      </c>
      <c r="CT6" s="6">
        <v>45947</v>
      </c>
      <c r="CU6">
        <v>5</v>
      </c>
      <c r="CV6">
        <v>275188928</v>
      </c>
      <c r="CW6">
        <v>100010</v>
      </c>
      <c r="CX6" t="s">
        <v>2315</v>
      </c>
      <c r="DA6" t="s">
        <v>1885</v>
      </c>
      <c r="DB6">
        <v>1.3419890000000001</v>
      </c>
      <c r="DC6" t="s">
        <v>1786</v>
      </c>
      <c r="DD6">
        <v>0.27725100000000003</v>
      </c>
      <c r="DE6" t="s">
        <v>1845</v>
      </c>
      <c r="DF6">
        <v>2025</v>
      </c>
      <c r="DG6" t="s">
        <v>1883</v>
      </c>
      <c r="DH6" s="6">
        <v>45848</v>
      </c>
      <c r="DI6">
        <v>5</v>
      </c>
      <c r="DJ6">
        <v>213416512</v>
      </c>
      <c r="DK6">
        <v>216952</v>
      </c>
      <c r="DL6" t="s">
        <v>1886</v>
      </c>
      <c r="DQ6" t="s">
        <v>1112</v>
      </c>
      <c r="DR6" t="s">
        <v>1786</v>
      </c>
      <c r="DS6">
        <v>11</v>
      </c>
      <c r="DT6">
        <v>2.6129229999999999</v>
      </c>
      <c r="DU6" t="s">
        <v>1745</v>
      </c>
      <c r="DV6">
        <v>2025</v>
      </c>
      <c r="DW6" t="s">
        <v>3127</v>
      </c>
      <c r="DX6" s="6">
        <v>46072</v>
      </c>
      <c r="DY6">
        <v>5</v>
      </c>
      <c r="DZ6">
        <v>624750000</v>
      </c>
      <c r="EA6">
        <v>101068</v>
      </c>
      <c r="EB6" t="s">
        <v>3128</v>
      </c>
      <c r="EE6" t="s">
        <v>3667</v>
      </c>
      <c r="EF6">
        <v>-2.4245362661989844E-14</v>
      </c>
      <c r="EH6">
        <v>-2.4245362661989844E-14</v>
      </c>
      <c r="EI6" t="s">
        <v>1745</v>
      </c>
      <c r="EJ6">
        <v>2026</v>
      </c>
      <c r="EK6" t="s">
        <v>3668</v>
      </c>
      <c r="EL6" s="6">
        <v>46076</v>
      </c>
      <c r="EM6">
        <v>5</v>
      </c>
      <c r="EN6">
        <v>-2.4245362661989844E-14</v>
      </c>
      <c r="EO6">
        <v>70451011</v>
      </c>
      <c r="EP6" t="s">
        <v>3669</v>
      </c>
      <c r="IG6" t="s">
        <v>2845</v>
      </c>
      <c r="IH6" t="s">
        <v>1769</v>
      </c>
      <c r="II6">
        <v>6.9504669999999997</v>
      </c>
      <c r="IJ6">
        <v>5.5442499999999999</v>
      </c>
      <c r="IK6" t="s">
        <v>1745</v>
      </c>
      <c r="IL6">
        <v>2024</v>
      </c>
      <c r="IM6" t="s">
        <v>2846</v>
      </c>
      <c r="IN6" s="6">
        <v>45708</v>
      </c>
      <c r="IO6">
        <v>5</v>
      </c>
      <c r="IP6">
        <v>26612400</v>
      </c>
      <c r="IQ6">
        <v>33372374</v>
      </c>
      <c r="IR6" t="s">
        <v>2847</v>
      </c>
      <c r="IU6" t="s">
        <v>2610</v>
      </c>
      <c r="IV6">
        <v>-2.4245362661989844E-14</v>
      </c>
      <c r="IX6">
        <v>-2.4245362661989844E-14</v>
      </c>
      <c r="IY6" t="s">
        <v>1745</v>
      </c>
      <c r="IZ6">
        <v>2025</v>
      </c>
      <c r="JA6" t="s">
        <v>2611</v>
      </c>
      <c r="JB6" s="6">
        <v>45786</v>
      </c>
      <c r="JC6">
        <v>4</v>
      </c>
      <c r="JD6">
        <v>-2.4245362661989844E-14</v>
      </c>
      <c r="JE6">
        <v>9351493</v>
      </c>
      <c r="JF6" t="s">
        <v>2612</v>
      </c>
      <c r="KO6" t="s">
        <v>2325</v>
      </c>
      <c r="KQ6">
        <v>-2.4245362661989844E-14</v>
      </c>
      <c r="KR6">
        <v>-2.4245362661989844E-14</v>
      </c>
      <c r="KS6" t="s">
        <v>1745</v>
      </c>
      <c r="KT6">
        <v>2023</v>
      </c>
      <c r="KU6" t="s">
        <v>2326</v>
      </c>
      <c r="KV6" s="6">
        <v>45373</v>
      </c>
      <c r="KW6">
        <v>5</v>
      </c>
      <c r="KX6">
        <v>-2.4245362661989844E-14</v>
      </c>
      <c r="KY6">
        <v>1459277</v>
      </c>
      <c r="KZ6" t="s">
        <v>2327</v>
      </c>
      <c r="LC6" t="s">
        <v>246</v>
      </c>
      <c r="LD6">
        <v>-2.4245362661989844E-14</v>
      </c>
      <c r="LF6">
        <v>-2.4245362661989844E-14</v>
      </c>
      <c r="LG6" t="s">
        <v>1762</v>
      </c>
      <c r="LH6">
        <v>2024</v>
      </c>
      <c r="LI6" t="s">
        <v>1763</v>
      </c>
      <c r="LJ6" s="6">
        <v>45505</v>
      </c>
      <c r="LK6">
        <v>3</v>
      </c>
      <c r="LL6">
        <v>-2.4245362661989844E-14</v>
      </c>
      <c r="LM6">
        <v>46946968</v>
      </c>
      <c r="LN6" t="s">
        <v>1765</v>
      </c>
      <c r="LS6" t="s">
        <v>4096</v>
      </c>
      <c r="LU6">
        <v>-2.4245362661989844E-14</v>
      </c>
      <c r="LV6">
        <v>-2.4245362661989844E-14</v>
      </c>
      <c r="LW6" t="s">
        <v>1745</v>
      </c>
      <c r="LX6">
        <v>2023</v>
      </c>
      <c r="LY6" t="s">
        <v>4097</v>
      </c>
      <c r="LZ6" s="6">
        <v>45344</v>
      </c>
      <c r="MA6">
        <v>5</v>
      </c>
      <c r="MB6">
        <v>-2.4245362661989844E-14</v>
      </c>
      <c r="MC6">
        <v>8016379</v>
      </c>
      <c r="MD6" t="s">
        <v>4098</v>
      </c>
      <c r="MG6" t="s">
        <v>3468</v>
      </c>
      <c r="MH6">
        <v>-2.4245362661989844E-14</v>
      </c>
      <c r="MJ6">
        <v>-2.4245362661989844E-14</v>
      </c>
      <c r="MK6" t="s">
        <v>1745</v>
      </c>
      <c r="ML6">
        <v>2023</v>
      </c>
      <c r="MM6" t="s">
        <v>4276</v>
      </c>
      <c r="MN6" s="6">
        <v>45344</v>
      </c>
      <c r="MO6">
        <v>5</v>
      </c>
      <c r="MP6">
        <v>-2.4245362661989844E-14</v>
      </c>
      <c r="MQ6">
        <v>10005604</v>
      </c>
      <c r="MR6" t="s">
        <v>3469</v>
      </c>
      <c r="MW6" t="s">
        <v>3814</v>
      </c>
      <c r="MY6">
        <v>-2.4245362661989844E-14</v>
      </c>
      <c r="MZ6">
        <v>-2.4245362661989844E-14</v>
      </c>
      <c r="NA6" t="s">
        <v>1745</v>
      </c>
      <c r="NB6">
        <v>2023</v>
      </c>
      <c r="NC6" t="s">
        <v>3521</v>
      </c>
      <c r="ND6" s="6">
        <v>45068</v>
      </c>
      <c r="NE6">
        <v>5</v>
      </c>
      <c r="NF6">
        <v>-2.4245362661989844E-14</v>
      </c>
      <c r="NG6">
        <v>37260707</v>
      </c>
      <c r="NH6" t="s">
        <v>3815</v>
      </c>
      <c r="NK6" t="s">
        <v>3520</v>
      </c>
      <c r="NL6">
        <v>-2.4245362661989844E-14</v>
      </c>
      <c r="NN6">
        <v>-2.4245362661989844E-14</v>
      </c>
      <c r="NO6" t="s">
        <v>1745</v>
      </c>
      <c r="NP6">
        <v>2022</v>
      </c>
      <c r="NQ6" t="s">
        <v>3521</v>
      </c>
      <c r="NR6" s="6">
        <v>44732</v>
      </c>
      <c r="NS6">
        <v>5</v>
      </c>
      <c r="NT6">
        <v>-2.4245362661989844E-14</v>
      </c>
      <c r="NU6">
        <v>69656039</v>
      </c>
      <c r="NV6" t="s">
        <v>3522</v>
      </c>
      <c r="RM6" t="s">
        <v>2270</v>
      </c>
      <c r="RO6">
        <v>-2.4245362661989844E-14</v>
      </c>
      <c r="RP6">
        <v>-2.4245362661989844E-14</v>
      </c>
      <c r="RQ6" t="s">
        <v>1745</v>
      </c>
      <c r="RR6">
        <v>2023</v>
      </c>
      <c r="RS6" t="s">
        <v>2500</v>
      </c>
      <c r="RT6" s="6">
        <v>45350</v>
      </c>
      <c r="RU6">
        <v>2</v>
      </c>
      <c r="RV6">
        <v>-2.4245362661989844E-14</v>
      </c>
      <c r="RW6">
        <v>35300053</v>
      </c>
      <c r="RX6" t="s">
        <v>2272</v>
      </c>
      <c r="TU6" t="s">
        <v>3505</v>
      </c>
      <c r="TW6">
        <v>-2.4245362661989844E-14</v>
      </c>
      <c r="TX6">
        <v>-2.4245362661989844E-14</v>
      </c>
      <c r="TY6" t="s">
        <v>1745</v>
      </c>
      <c r="TZ6">
        <v>2023</v>
      </c>
      <c r="UA6" t="s">
        <v>4205</v>
      </c>
      <c r="UB6" s="6">
        <v>45376</v>
      </c>
      <c r="UC6">
        <v>5</v>
      </c>
      <c r="UD6">
        <v>-2.4245362661989844E-14</v>
      </c>
      <c r="UE6">
        <v>50985605</v>
      </c>
      <c r="UF6" t="s">
        <v>3506</v>
      </c>
    </row>
    <row r="7" spans="1:600" x14ac:dyDescent="0.25">
      <c r="CM7" t="s">
        <v>2076</v>
      </c>
      <c r="CN7" t="s">
        <v>1820</v>
      </c>
      <c r="CO7">
        <v>0.91127400000000003</v>
      </c>
      <c r="CP7">
        <v>1.364298</v>
      </c>
      <c r="CQ7" t="s">
        <v>1845</v>
      </c>
      <c r="CR7">
        <v>2025</v>
      </c>
      <c r="CS7" t="s">
        <v>2316</v>
      </c>
      <c r="CT7" s="6">
        <v>46010</v>
      </c>
      <c r="CU7">
        <v>5</v>
      </c>
      <c r="CV7">
        <v>164166016</v>
      </c>
      <c r="CW7">
        <v>59907412</v>
      </c>
      <c r="CX7" t="s">
        <v>2077</v>
      </c>
      <c r="DA7" t="s">
        <v>357</v>
      </c>
      <c r="DB7">
        <v>1.0301469999999999</v>
      </c>
      <c r="DC7" t="s">
        <v>1786</v>
      </c>
      <c r="DD7">
        <v>1.0221020000000001</v>
      </c>
      <c r="DE7" t="s">
        <v>1845</v>
      </c>
      <c r="DF7">
        <v>2025</v>
      </c>
      <c r="DG7" t="s">
        <v>1887</v>
      </c>
      <c r="DH7" s="6">
        <v>46056</v>
      </c>
      <c r="DI7">
        <v>5</v>
      </c>
      <c r="DJ7">
        <v>165420976</v>
      </c>
      <c r="DK7">
        <v>1499717</v>
      </c>
      <c r="DL7" t="s">
        <v>1864</v>
      </c>
      <c r="DQ7" t="s">
        <v>3129</v>
      </c>
      <c r="DR7" t="s">
        <v>1786</v>
      </c>
      <c r="DS7">
        <v>20</v>
      </c>
      <c r="DT7">
        <v>1.2621329999999999</v>
      </c>
      <c r="DU7" t="s">
        <v>1745</v>
      </c>
      <c r="DV7">
        <v>2024</v>
      </c>
      <c r="DW7" t="s">
        <v>3130</v>
      </c>
      <c r="DX7" s="6">
        <v>45742</v>
      </c>
      <c r="DY7">
        <v>5</v>
      </c>
      <c r="DZ7">
        <v>289649984</v>
      </c>
      <c r="EA7">
        <v>71080909</v>
      </c>
      <c r="EB7" t="s">
        <v>3131</v>
      </c>
      <c r="EE7" t="s">
        <v>3670</v>
      </c>
      <c r="EF7">
        <v>-2.4245362661989844E-14</v>
      </c>
      <c r="EH7">
        <v>-2.4245362661989844E-14</v>
      </c>
      <c r="EI7" t="s">
        <v>1745</v>
      </c>
      <c r="EJ7">
        <v>2023</v>
      </c>
      <c r="EK7" t="s">
        <v>3671</v>
      </c>
      <c r="EL7" s="6">
        <v>45196</v>
      </c>
      <c r="EM7">
        <v>5</v>
      </c>
      <c r="EN7">
        <v>-2.4245362661989844E-14</v>
      </c>
      <c r="EO7">
        <v>7362545</v>
      </c>
      <c r="EP7" t="s">
        <v>3672</v>
      </c>
      <c r="IG7" t="s">
        <v>34</v>
      </c>
      <c r="IH7" t="s">
        <v>1786</v>
      </c>
      <c r="II7">
        <v>2.0341999999999999E-2</v>
      </c>
      <c r="IJ7">
        <v>0.23408000000000001</v>
      </c>
      <c r="IK7" t="s">
        <v>1845</v>
      </c>
      <c r="IL7">
        <v>2025</v>
      </c>
      <c r="IM7" t="s">
        <v>1883</v>
      </c>
      <c r="IN7" s="6">
        <v>45848</v>
      </c>
      <c r="IO7">
        <v>5</v>
      </c>
      <c r="IP7">
        <v>3234988</v>
      </c>
      <c r="IQ7">
        <v>101752</v>
      </c>
      <c r="IR7" t="s">
        <v>2723</v>
      </c>
      <c r="IU7" t="s">
        <v>2455</v>
      </c>
      <c r="IV7">
        <v>-2.4245362661989844E-14</v>
      </c>
      <c r="IX7">
        <v>-2.4245362661989844E-14</v>
      </c>
      <c r="IY7" t="s">
        <v>1745</v>
      </c>
      <c r="IZ7">
        <v>2024</v>
      </c>
      <c r="JA7" t="s">
        <v>2456</v>
      </c>
      <c r="JB7" s="6">
        <v>45786</v>
      </c>
      <c r="JC7">
        <v>4</v>
      </c>
      <c r="JD7">
        <v>-2.4245362661989844E-14</v>
      </c>
      <c r="JE7">
        <v>7321067</v>
      </c>
      <c r="JF7" t="s">
        <v>2457</v>
      </c>
      <c r="KO7" t="s">
        <v>2328</v>
      </c>
      <c r="KQ7">
        <v>-2.4245362661989844E-14</v>
      </c>
      <c r="KR7">
        <v>-2.4245362661989844E-14</v>
      </c>
      <c r="KS7" t="s">
        <v>1745</v>
      </c>
      <c r="KT7">
        <v>2022</v>
      </c>
      <c r="KU7" t="s">
        <v>2329</v>
      </c>
      <c r="KV7" s="6">
        <v>44736</v>
      </c>
      <c r="KW7">
        <v>5</v>
      </c>
      <c r="KX7">
        <v>-2.4245362661989844E-14</v>
      </c>
      <c r="KY7">
        <v>114629</v>
      </c>
      <c r="KZ7" t="s">
        <v>2330</v>
      </c>
      <c r="LC7" t="s">
        <v>1766</v>
      </c>
      <c r="LD7">
        <v>-2.4245362661989844E-14</v>
      </c>
      <c r="LF7">
        <v>-2.4245362661989844E-14</v>
      </c>
      <c r="LG7" t="s">
        <v>1742</v>
      </c>
      <c r="LH7">
        <v>2022</v>
      </c>
      <c r="LI7" t="s">
        <v>1767</v>
      </c>
      <c r="LJ7" s="6">
        <v>44870</v>
      </c>
      <c r="LK7">
        <v>3</v>
      </c>
      <c r="LL7">
        <v>-2.4245362661989844E-14</v>
      </c>
      <c r="LM7">
        <v>67335162</v>
      </c>
      <c r="LN7" t="s">
        <v>1768</v>
      </c>
      <c r="LS7" t="s">
        <v>1985</v>
      </c>
      <c r="LU7">
        <v>-2.4245362661989844E-14</v>
      </c>
      <c r="LV7">
        <v>-2.4245362661989844E-14</v>
      </c>
      <c r="LW7" t="s">
        <v>1745</v>
      </c>
      <c r="LX7">
        <v>2023</v>
      </c>
      <c r="LY7" t="s">
        <v>4099</v>
      </c>
      <c r="LZ7" s="6">
        <v>45352</v>
      </c>
      <c r="MA7">
        <v>5</v>
      </c>
      <c r="MB7">
        <v>-2.4245362661989844E-14</v>
      </c>
      <c r="MC7">
        <v>36965288</v>
      </c>
      <c r="MD7" t="s">
        <v>1987</v>
      </c>
      <c r="MG7" t="s">
        <v>4278</v>
      </c>
      <c r="MH7">
        <v>-2.4245362661989844E-14</v>
      </c>
      <c r="MJ7">
        <v>-2.4245362661989844E-14</v>
      </c>
      <c r="MK7" t="s">
        <v>1745</v>
      </c>
      <c r="ML7">
        <v>2023</v>
      </c>
      <c r="MM7" t="s">
        <v>4276</v>
      </c>
      <c r="MN7" s="6">
        <v>45344</v>
      </c>
      <c r="MO7">
        <v>5</v>
      </c>
      <c r="MP7">
        <v>-2.4245362661989844E-14</v>
      </c>
      <c r="MQ7">
        <v>101106</v>
      </c>
      <c r="MR7" t="s">
        <v>4279</v>
      </c>
      <c r="MW7" t="s">
        <v>3816</v>
      </c>
      <c r="MY7">
        <v>-2.4245362661989844E-14</v>
      </c>
      <c r="MZ7">
        <v>-2.4245362661989844E-14</v>
      </c>
      <c r="NA7" t="s">
        <v>1745</v>
      </c>
      <c r="NB7">
        <v>2021</v>
      </c>
      <c r="NC7" t="s">
        <v>3817</v>
      </c>
      <c r="ND7" s="6">
        <v>44677</v>
      </c>
      <c r="NE7">
        <v>5</v>
      </c>
      <c r="NF7">
        <v>-2.4245362661989844E-14</v>
      </c>
      <c r="NG7">
        <v>10142668</v>
      </c>
      <c r="NH7" t="s">
        <v>3818</v>
      </c>
      <c r="NK7" t="s">
        <v>3523</v>
      </c>
      <c r="NL7">
        <v>-2.4245362661989844E-14</v>
      </c>
      <c r="NN7">
        <v>-2.4245362661989844E-14</v>
      </c>
      <c r="NO7" t="s">
        <v>1745</v>
      </c>
      <c r="NP7">
        <v>2024</v>
      </c>
      <c r="NQ7" t="s">
        <v>3521</v>
      </c>
      <c r="NR7" s="6">
        <v>45356</v>
      </c>
      <c r="NS7">
        <v>5</v>
      </c>
      <c r="NT7">
        <v>-2.4245362661989844E-14</v>
      </c>
      <c r="NU7">
        <v>70384894</v>
      </c>
      <c r="NV7" t="s">
        <v>3524</v>
      </c>
      <c r="TU7" t="s">
        <v>420</v>
      </c>
      <c r="TW7">
        <v>-2.4245362661989844E-14</v>
      </c>
      <c r="TX7">
        <v>-2.4245362661989844E-14</v>
      </c>
      <c r="TY7" t="s">
        <v>1745</v>
      </c>
      <c r="TZ7">
        <v>2023</v>
      </c>
      <c r="UA7" t="s">
        <v>4205</v>
      </c>
      <c r="UB7" s="6">
        <v>45376</v>
      </c>
      <c r="UC7">
        <v>5</v>
      </c>
      <c r="UD7">
        <v>-2.4245362661989844E-14</v>
      </c>
      <c r="UE7">
        <v>42602315</v>
      </c>
      <c r="UF7" t="s">
        <v>2176</v>
      </c>
    </row>
    <row r="8" spans="1:600" x14ac:dyDescent="0.25">
      <c r="CM8" t="s">
        <v>2317</v>
      </c>
      <c r="CN8" t="s">
        <v>1820</v>
      </c>
      <c r="CO8">
        <v>6.234559</v>
      </c>
      <c r="CP8">
        <v>1.5138720000000001</v>
      </c>
      <c r="CQ8" t="s">
        <v>1762</v>
      </c>
      <c r="CR8">
        <v>2025</v>
      </c>
      <c r="CS8" t="s">
        <v>2318</v>
      </c>
      <c r="CT8" s="6">
        <v>45897</v>
      </c>
      <c r="CU8">
        <v>5</v>
      </c>
      <c r="CV8">
        <v>137459552</v>
      </c>
      <c r="CW8">
        <v>16532368</v>
      </c>
      <c r="CX8" t="s">
        <v>2319</v>
      </c>
      <c r="DA8" t="s">
        <v>496</v>
      </c>
      <c r="DB8">
        <v>0.69902799999999998</v>
      </c>
      <c r="DC8" t="s">
        <v>1786</v>
      </c>
      <c r="DD8">
        <v>0.138625</v>
      </c>
      <c r="DE8" t="s">
        <v>1845</v>
      </c>
      <c r="DF8">
        <v>2025</v>
      </c>
      <c r="DG8" t="s">
        <v>1883</v>
      </c>
      <c r="DH8" s="6">
        <v>45848</v>
      </c>
      <c r="DI8">
        <v>5</v>
      </c>
      <c r="DJ8">
        <v>111166424</v>
      </c>
      <c r="DK8">
        <v>100976</v>
      </c>
      <c r="DL8" t="s">
        <v>1888</v>
      </c>
      <c r="DQ8" t="s">
        <v>34</v>
      </c>
      <c r="DR8" t="s">
        <v>1786</v>
      </c>
      <c r="DS8">
        <v>0.35996400000000001</v>
      </c>
      <c r="DT8">
        <v>0.24259500000000001</v>
      </c>
      <c r="DU8" t="s">
        <v>1845</v>
      </c>
      <c r="DV8">
        <v>2025</v>
      </c>
      <c r="DW8" t="s">
        <v>1883</v>
      </c>
      <c r="DX8" s="6">
        <v>45848</v>
      </c>
      <c r="DY8">
        <v>5</v>
      </c>
      <c r="DZ8">
        <v>57245076</v>
      </c>
      <c r="EA8">
        <v>101752</v>
      </c>
      <c r="EB8" t="s">
        <v>2723</v>
      </c>
      <c r="EE8" t="s">
        <v>1801</v>
      </c>
      <c r="EF8">
        <v>-2.4245362661989844E-14</v>
      </c>
      <c r="EH8">
        <v>-2.4245362661989844E-14</v>
      </c>
      <c r="EI8" t="s">
        <v>1745</v>
      </c>
      <c r="EJ8">
        <v>2023</v>
      </c>
      <c r="EK8" t="s">
        <v>3671</v>
      </c>
      <c r="EL8" s="6">
        <v>45196</v>
      </c>
      <c r="EM8">
        <v>5</v>
      </c>
      <c r="EN8">
        <v>-2.4245362661989844E-14</v>
      </c>
      <c r="EO8">
        <v>218252</v>
      </c>
      <c r="EP8" t="s">
        <v>1803</v>
      </c>
      <c r="IG8" t="s">
        <v>195</v>
      </c>
      <c r="IH8" t="s">
        <v>1769</v>
      </c>
      <c r="II8">
        <v>1.1539000000000001E-2</v>
      </c>
      <c r="IJ8">
        <v>0.14030799999999999</v>
      </c>
      <c r="IK8" t="s">
        <v>1762</v>
      </c>
      <c r="IL8">
        <v>2025</v>
      </c>
      <c r="IM8" t="s">
        <v>2268</v>
      </c>
      <c r="IN8" s="6">
        <v>45838</v>
      </c>
      <c r="IO8">
        <v>5</v>
      </c>
      <c r="IP8">
        <v>677685</v>
      </c>
      <c r="IQ8">
        <v>101689</v>
      </c>
      <c r="IR8" t="s">
        <v>2269</v>
      </c>
      <c r="IU8" t="s">
        <v>2613</v>
      </c>
      <c r="IV8">
        <v>-2.4245362661989844E-14</v>
      </c>
      <c r="IX8">
        <v>-2.4245362661989844E-14</v>
      </c>
      <c r="IY8" t="s">
        <v>1745</v>
      </c>
      <c r="IZ8">
        <v>2025</v>
      </c>
      <c r="JA8" t="s">
        <v>2614</v>
      </c>
      <c r="JB8" s="6">
        <v>46079</v>
      </c>
      <c r="JC8">
        <v>4</v>
      </c>
      <c r="JD8">
        <v>-2.4245362661989844E-14</v>
      </c>
      <c r="JE8">
        <v>66329315</v>
      </c>
      <c r="JF8" t="s">
        <v>2615</v>
      </c>
      <c r="KO8" t="s">
        <v>1761</v>
      </c>
      <c r="KQ8">
        <v>-2.4245362661989844E-14</v>
      </c>
      <c r="KR8">
        <v>-2.4245362661989844E-14</v>
      </c>
      <c r="KS8" t="s">
        <v>1742</v>
      </c>
      <c r="KT8">
        <v>2025</v>
      </c>
      <c r="KU8" t="s">
        <v>2331</v>
      </c>
      <c r="KV8" s="6">
        <v>45966</v>
      </c>
      <c r="KW8">
        <v>5</v>
      </c>
      <c r="KX8">
        <v>-2.4245362661989844E-14</v>
      </c>
      <c r="KY8">
        <v>101695</v>
      </c>
      <c r="KZ8" t="s">
        <v>1764</v>
      </c>
      <c r="LS8" t="s">
        <v>4100</v>
      </c>
      <c r="LU8">
        <v>-2.4245362661989844E-14</v>
      </c>
      <c r="LV8">
        <v>-2.4245362661989844E-14</v>
      </c>
      <c r="LW8" t="s">
        <v>1742</v>
      </c>
      <c r="LX8">
        <v>2023</v>
      </c>
      <c r="LY8" t="s">
        <v>4101</v>
      </c>
      <c r="LZ8" s="6">
        <v>45152</v>
      </c>
      <c r="MA8">
        <v>5</v>
      </c>
      <c r="MB8">
        <v>-2.4245362661989844E-14</v>
      </c>
      <c r="MC8">
        <v>69818423</v>
      </c>
      <c r="MD8" t="s">
        <v>4102</v>
      </c>
      <c r="MG8" t="s">
        <v>4280</v>
      </c>
      <c r="MH8">
        <v>-2.4245362661989844E-14</v>
      </c>
      <c r="MJ8">
        <v>-2.4245362661989844E-14</v>
      </c>
      <c r="MK8" t="s">
        <v>1745</v>
      </c>
      <c r="ML8">
        <v>2023</v>
      </c>
      <c r="MM8" t="s">
        <v>4276</v>
      </c>
      <c r="MN8" s="6">
        <v>45344</v>
      </c>
      <c r="MO8">
        <v>5</v>
      </c>
      <c r="MP8">
        <v>-2.4245362661989844E-14</v>
      </c>
      <c r="MQ8">
        <v>13161367</v>
      </c>
      <c r="MR8" t="s">
        <v>4281</v>
      </c>
      <c r="MW8" t="s">
        <v>2480</v>
      </c>
      <c r="MY8">
        <v>-2.4245362661989844E-14</v>
      </c>
      <c r="MZ8">
        <v>-2.4245362661989844E-14</v>
      </c>
      <c r="NA8" t="s">
        <v>1809</v>
      </c>
      <c r="NB8">
        <v>2024</v>
      </c>
      <c r="NC8" t="s">
        <v>3819</v>
      </c>
      <c r="ND8" s="6">
        <v>45175</v>
      </c>
      <c r="NE8">
        <v>5</v>
      </c>
      <c r="NF8">
        <v>-2.4245362661989844E-14</v>
      </c>
      <c r="NG8">
        <v>126987</v>
      </c>
      <c r="NH8" t="s">
        <v>2482</v>
      </c>
      <c r="NK8" t="s">
        <v>1908</v>
      </c>
      <c r="NL8">
        <v>-2.4245362661989844E-14</v>
      </c>
      <c r="NN8">
        <v>-2.4245362661989844E-14</v>
      </c>
      <c r="NO8" t="s">
        <v>1745</v>
      </c>
      <c r="NP8">
        <v>2022</v>
      </c>
      <c r="NQ8" t="s">
        <v>3525</v>
      </c>
      <c r="NR8" s="6">
        <v>45055</v>
      </c>
      <c r="NS8">
        <v>5</v>
      </c>
      <c r="NT8">
        <v>-2.4245362661989844E-14</v>
      </c>
      <c r="NU8">
        <v>9152714</v>
      </c>
      <c r="NV8" t="s">
        <v>1910</v>
      </c>
      <c r="TU8" t="s">
        <v>4834</v>
      </c>
      <c r="TW8">
        <v>-2.4245362661989844E-14</v>
      </c>
      <c r="TX8">
        <v>-2.4245362661989844E-14</v>
      </c>
      <c r="TY8" t="s">
        <v>1745</v>
      </c>
      <c r="TZ8">
        <v>2021</v>
      </c>
      <c r="UA8" t="s">
        <v>4835</v>
      </c>
      <c r="UB8" s="6">
        <v>44742</v>
      </c>
      <c r="UC8">
        <v>5</v>
      </c>
      <c r="UD8">
        <v>-2.4245362661989844E-14</v>
      </c>
      <c r="UE8">
        <v>26088894</v>
      </c>
      <c r="UF8" t="s">
        <v>4836</v>
      </c>
    </row>
    <row r="9" spans="1:600" x14ac:dyDescent="0.25">
      <c r="CM9" t="s">
        <v>734</v>
      </c>
      <c r="CN9" t="s">
        <v>1820</v>
      </c>
      <c r="CO9">
        <v>3.6037650000000001</v>
      </c>
      <c r="CP9">
        <v>0.90356199999999998</v>
      </c>
      <c r="CQ9" t="s">
        <v>1762</v>
      </c>
      <c r="CR9">
        <v>2026</v>
      </c>
      <c r="CS9" t="s">
        <v>2320</v>
      </c>
      <c r="CT9" s="6">
        <v>46059</v>
      </c>
      <c r="CU9">
        <v>5</v>
      </c>
      <c r="CV9">
        <v>108725592</v>
      </c>
      <c r="CW9">
        <v>101643</v>
      </c>
      <c r="CX9" t="s">
        <v>2321</v>
      </c>
      <c r="DA9" t="s">
        <v>842</v>
      </c>
      <c r="DB9">
        <v>0.66108800000000001</v>
      </c>
      <c r="DC9" t="s">
        <v>1786</v>
      </c>
      <c r="DD9">
        <v>0.122531</v>
      </c>
      <c r="DE9" t="s">
        <v>1845</v>
      </c>
      <c r="DF9">
        <v>2025</v>
      </c>
      <c r="DG9" t="s">
        <v>1883</v>
      </c>
      <c r="DH9" s="6">
        <v>45848</v>
      </c>
      <c r="DI9">
        <v>5</v>
      </c>
      <c r="DJ9">
        <v>105132824</v>
      </c>
      <c r="DK9">
        <v>101548</v>
      </c>
      <c r="DL9" t="s">
        <v>1889</v>
      </c>
      <c r="DQ9" t="s">
        <v>195</v>
      </c>
      <c r="DR9" t="s">
        <v>1769</v>
      </c>
      <c r="DS9">
        <v>0.60699000000000003</v>
      </c>
      <c r="DT9">
        <v>0.15107200000000001</v>
      </c>
      <c r="DU9" t="s">
        <v>1762</v>
      </c>
      <c r="DV9">
        <v>2025</v>
      </c>
      <c r="DW9" t="s">
        <v>2268</v>
      </c>
      <c r="DX9" s="6">
        <v>45838</v>
      </c>
      <c r="DY9">
        <v>5</v>
      </c>
      <c r="DZ9">
        <v>35648524</v>
      </c>
      <c r="EA9">
        <v>101689</v>
      </c>
      <c r="EB9" t="s">
        <v>2269</v>
      </c>
      <c r="EE9" t="s">
        <v>3673</v>
      </c>
      <c r="EF9">
        <v>-2.4245362661989844E-14</v>
      </c>
      <c r="EH9">
        <v>-2.4245362661989844E-14</v>
      </c>
      <c r="EI9" t="s">
        <v>1745</v>
      </c>
      <c r="EJ9">
        <v>2023</v>
      </c>
      <c r="EK9" t="s">
        <v>3674</v>
      </c>
      <c r="EL9" s="6">
        <v>45189</v>
      </c>
      <c r="EM9">
        <v>5</v>
      </c>
      <c r="EN9">
        <v>-2.4245362661989844E-14</v>
      </c>
      <c r="EO9">
        <v>118666</v>
      </c>
      <c r="EP9" t="s">
        <v>3675</v>
      </c>
      <c r="IG9" t="s">
        <v>2848</v>
      </c>
      <c r="II9">
        <v>-2.4245362661989844E-14</v>
      </c>
      <c r="IJ9">
        <v>-2.4245362661989844E-14</v>
      </c>
      <c r="IK9" t="s">
        <v>1745</v>
      </c>
      <c r="IL9">
        <v>2022</v>
      </c>
      <c r="IM9" t="s">
        <v>2611</v>
      </c>
      <c r="IN9" s="6">
        <v>44776</v>
      </c>
      <c r="IO9">
        <v>5</v>
      </c>
      <c r="IP9">
        <v>-2.4245362661989844E-14</v>
      </c>
      <c r="IQ9">
        <v>968833</v>
      </c>
      <c r="IR9" t="s">
        <v>2849</v>
      </c>
      <c r="KO9" t="s">
        <v>2332</v>
      </c>
      <c r="KQ9">
        <v>-2.4245362661989844E-14</v>
      </c>
      <c r="KR9">
        <v>-2.4245362661989844E-14</v>
      </c>
      <c r="KS9" t="s">
        <v>1745</v>
      </c>
      <c r="KT9">
        <v>2022</v>
      </c>
      <c r="KU9" t="s">
        <v>2333</v>
      </c>
      <c r="KV9" s="6">
        <v>45016</v>
      </c>
      <c r="KW9">
        <v>5</v>
      </c>
      <c r="KX9">
        <v>-2.4245362661989844E-14</v>
      </c>
      <c r="KY9">
        <v>9840510</v>
      </c>
      <c r="KZ9" t="s">
        <v>2334</v>
      </c>
      <c r="LS9" t="s">
        <v>4103</v>
      </c>
      <c r="LU9">
        <v>-2.4245362661989844E-14</v>
      </c>
      <c r="LV9">
        <v>-2.4245362661989844E-14</v>
      </c>
      <c r="LW9" t="s">
        <v>1745</v>
      </c>
      <c r="LX9">
        <v>2023</v>
      </c>
      <c r="LY9" t="s">
        <v>4104</v>
      </c>
      <c r="LZ9" s="6">
        <v>45351</v>
      </c>
      <c r="MA9">
        <v>5</v>
      </c>
      <c r="MB9">
        <v>-2.4245362661989844E-14</v>
      </c>
      <c r="MC9">
        <v>202396</v>
      </c>
      <c r="MD9" t="s">
        <v>4105</v>
      </c>
      <c r="MG9" t="s">
        <v>4282</v>
      </c>
      <c r="MH9">
        <v>-2.4245362661989844E-14</v>
      </c>
      <c r="MJ9">
        <v>-2.4245362661989844E-14</v>
      </c>
      <c r="MK9" t="s">
        <v>1745</v>
      </c>
      <c r="ML9">
        <v>2023</v>
      </c>
      <c r="MM9" t="s">
        <v>4283</v>
      </c>
      <c r="MN9" s="6">
        <v>45349</v>
      </c>
      <c r="MO9">
        <v>5</v>
      </c>
      <c r="MP9">
        <v>-2.4245362661989844E-14</v>
      </c>
      <c r="MQ9">
        <v>70642886</v>
      </c>
      <c r="MR9" t="s">
        <v>4284</v>
      </c>
      <c r="MW9" t="s">
        <v>3820</v>
      </c>
      <c r="MY9">
        <v>-2.4245362661989844E-14</v>
      </c>
      <c r="MZ9">
        <v>-2.4245362661989844E-14</v>
      </c>
      <c r="NA9" t="s">
        <v>1745</v>
      </c>
      <c r="NB9">
        <v>2022</v>
      </c>
      <c r="NC9" t="s">
        <v>3821</v>
      </c>
      <c r="ND9" s="6">
        <v>45033</v>
      </c>
      <c r="NE9">
        <v>5</v>
      </c>
      <c r="NF9">
        <v>-2.4245362661989844E-14</v>
      </c>
      <c r="NG9">
        <v>7360919</v>
      </c>
      <c r="NH9" t="s">
        <v>3822</v>
      </c>
      <c r="NK9" t="s">
        <v>3526</v>
      </c>
      <c r="NL9">
        <v>-2.4245362661989844E-14</v>
      </c>
      <c r="NN9">
        <v>-2.4245362661989844E-14</v>
      </c>
      <c r="NO9" t="s">
        <v>1745</v>
      </c>
      <c r="NP9">
        <v>2022</v>
      </c>
      <c r="NQ9" t="s">
        <v>3527</v>
      </c>
      <c r="NR9" s="6">
        <v>45075</v>
      </c>
      <c r="NS9">
        <v>5</v>
      </c>
      <c r="NT9">
        <v>-2.4245362661989844E-14</v>
      </c>
      <c r="NU9">
        <v>17157811</v>
      </c>
      <c r="NV9" t="s">
        <v>3528</v>
      </c>
      <c r="TU9" t="s">
        <v>121</v>
      </c>
      <c r="TW9">
        <v>-2.4245362661989844E-14</v>
      </c>
      <c r="TX9">
        <v>-2.4245362661989844E-14</v>
      </c>
      <c r="TY9" t="s">
        <v>1745</v>
      </c>
      <c r="TZ9">
        <v>2023</v>
      </c>
      <c r="UA9" t="s">
        <v>4205</v>
      </c>
      <c r="UB9" s="6">
        <v>45376</v>
      </c>
      <c r="UC9">
        <v>5</v>
      </c>
      <c r="UD9">
        <v>-2.4245362661989844E-14</v>
      </c>
      <c r="UE9">
        <v>100801</v>
      </c>
      <c r="UF9" t="s">
        <v>2095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1257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1258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1259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1260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1261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1262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1263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1264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1265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1266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1267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1268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1269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1270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1271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1272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1273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1274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1275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1276</v>
      </c>
      <c r="AE2" s="3" t="s">
        <v>1277</v>
      </c>
      <c r="BI2" s="3" t="s">
        <v>320</v>
      </c>
      <c r="CM2" s="3" t="s">
        <v>1278</v>
      </c>
      <c r="DQ2" s="3" t="s">
        <v>76</v>
      </c>
      <c r="EU2" s="3" t="s">
        <v>1279</v>
      </c>
      <c r="FY2" s="3" t="s">
        <v>1280</v>
      </c>
      <c r="HC2" s="3" t="s">
        <v>167</v>
      </c>
      <c r="IG2" s="3" t="s">
        <v>1281</v>
      </c>
      <c r="JK2" s="3" t="s">
        <v>307</v>
      </c>
      <c r="KO2" s="3" t="s">
        <v>1282</v>
      </c>
      <c r="LS2" s="3" t="s">
        <v>35</v>
      </c>
      <c r="MW2" s="3" t="s">
        <v>1089</v>
      </c>
      <c r="OA2" s="3" t="s">
        <v>1283</v>
      </c>
      <c r="PE2" s="3" t="s">
        <v>1284</v>
      </c>
      <c r="QI2" s="3" t="s">
        <v>1285</v>
      </c>
      <c r="RM2" s="3" t="s">
        <v>1286</v>
      </c>
      <c r="SQ2" s="3" t="s">
        <v>838</v>
      </c>
      <c r="TU2" s="3" t="s">
        <v>1287</v>
      </c>
      <c r="UY2" s="3" t="s">
        <v>35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_xll.BDS("VSH US Equity","SUPPLY_CHAIN_SUPPLIERS_ALL_DATA","cols=12;rows=5")</f>
        <v>TSEM IT Equity</v>
      </c>
      <c r="B5" t="s">
        <v>1786</v>
      </c>
      <c r="C5">
        <v>1.5046489999999999</v>
      </c>
      <c r="D5">
        <v>1.030314</v>
      </c>
      <c r="E5" t="s">
        <v>1762</v>
      </c>
      <c r="F5">
        <v>2025</v>
      </c>
      <c r="G5" t="s">
        <v>3759</v>
      </c>
      <c r="H5" s="6">
        <v>46014</v>
      </c>
      <c r="I5">
        <v>5</v>
      </c>
      <c r="J5">
        <v>5953400</v>
      </c>
      <c r="K5">
        <v>159009</v>
      </c>
      <c r="L5" t="s">
        <v>3760</v>
      </c>
      <c r="O5" t="str">
        <f>_xll.BDS("VSH US Equity","SUPPLY_CHAIN_CUSTOMERS_ALL_DATA","cols=12;rows=5")</f>
        <v>BRK/A US Equity</v>
      </c>
      <c r="P5">
        <v>6.3165870000000002</v>
      </c>
      <c r="Q5" t="s">
        <v>1786</v>
      </c>
      <c r="R5">
        <v>6.9639999999999994E-2</v>
      </c>
      <c r="S5" t="s">
        <v>1742</v>
      </c>
      <c r="T5">
        <v>2025</v>
      </c>
      <c r="U5" t="s">
        <v>3655</v>
      </c>
      <c r="V5" s="6">
        <v>46009</v>
      </c>
      <c r="W5">
        <v>5</v>
      </c>
      <c r="X5">
        <v>46388808</v>
      </c>
      <c r="Y5">
        <v>100193</v>
      </c>
      <c r="Z5" t="s">
        <v>1849</v>
      </c>
      <c r="AE5" t="str">
        <f>_xll.BDS("EVVV US Equity","SUPPLY_CHAIN_SUPPLIERS_ALL_DATA")</f>
        <v>#N/A N/A</v>
      </c>
      <c r="AS5" t="str">
        <f>_xll.BDS("EVVV US Equity","SUPPLY_CHAIN_CUSTOMERS_ALL_DATA")</f>
        <v>#N/A N/A</v>
      </c>
      <c r="BI5" t="str">
        <f>_xll.BDS("A US Equity","SUPPLY_CHAIN_SUPPLIERS_ALL_DATA","cols=12;rows=5")</f>
        <v>FLEX US Equity</v>
      </c>
      <c r="BJ5" t="s">
        <v>1786</v>
      </c>
      <c r="BK5">
        <v>0.34430100000000002</v>
      </c>
      <c r="BL5">
        <v>2.8864930000000002</v>
      </c>
      <c r="BM5" t="s">
        <v>1742</v>
      </c>
      <c r="BN5">
        <v>2025</v>
      </c>
      <c r="BO5" t="s">
        <v>2387</v>
      </c>
      <c r="BP5" s="6">
        <v>45763</v>
      </c>
      <c r="BQ5">
        <v>5</v>
      </c>
      <c r="BR5">
        <v>22572374</v>
      </c>
      <c r="BS5">
        <v>136547</v>
      </c>
      <c r="BT5" t="s">
        <v>2388</v>
      </c>
      <c r="BW5" t="str">
        <f>_xll.BDS("A US Equity","SUPPLY_CHAIN_CUSTOMERS_ALL_DATA","cols=12;rows=5")</f>
        <v>6661 TT Equity</v>
      </c>
      <c r="BX5">
        <v>2.7417E-2</v>
      </c>
      <c r="BY5" t="s">
        <v>1786</v>
      </c>
      <c r="BZ5">
        <v>31.630337000000001</v>
      </c>
      <c r="CA5" t="s">
        <v>1745</v>
      </c>
      <c r="CB5">
        <v>2024</v>
      </c>
      <c r="CC5" t="s">
        <v>2597</v>
      </c>
      <c r="CD5" s="6">
        <v>45783</v>
      </c>
      <c r="CE5">
        <v>5</v>
      </c>
      <c r="CF5">
        <v>459641.5</v>
      </c>
      <c r="CG5">
        <v>55506031</v>
      </c>
      <c r="CH5" t="s">
        <v>2598</v>
      </c>
      <c r="CM5" t="str">
        <f>_xll.BDS("VTR US Equity","SUPPLY_CHAIN_SUPPLIERS_ALL_DATA")</f>
        <v>#N/A N/A</v>
      </c>
      <c r="DA5" t="str">
        <f>_xll.BDS("VTR US Equity","SUPPLY_CHAIN_CUSTOMERS_ALL_DATA","cols=12;rows=3")</f>
        <v>BKD US Equity</v>
      </c>
      <c r="DB5">
        <v>3.1</v>
      </c>
      <c r="DC5" t="s">
        <v>1769</v>
      </c>
      <c r="DD5">
        <v>82.137343999999999</v>
      </c>
      <c r="DE5" t="s">
        <v>1745</v>
      </c>
      <c r="DF5">
        <v>2024</v>
      </c>
      <c r="DG5" t="s">
        <v>1770</v>
      </c>
      <c r="DH5" s="6">
        <v>45701</v>
      </c>
      <c r="DI5">
        <v>3</v>
      </c>
      <c r="DJ5">
        <v>38163060</v>
      </c>
      <c r="DK5">
        <v>9938236</v>
      </c>
      <c r="DL5" t="s">
        <v>1771</v>
      </c>
      <c r="DQ5" t="str">
        <f>_xll.BDS("PSIXQ US Equity","SUPPLY_CHAIN_SUPPLIERS_ALL_DATA")</f>
        <v>#N/A N/A</v>
      </c>
      <c r="EE5" t="str">
        <f>_xll.BDS("PSIXQ US Equity","SUPPLY_CHAIN_CUSTOMERS_ALL_DATA")</f>
        <v>#N/A N/A</v>
      </c>
      <c r="EU5" t="str">
        <f>_xll.BDS("VALPQ US Equity","SUPPLY_CHAIN_SUPPLIERS_ALL_DATA","cols=12;rows=1")</f>
        <v>042660 KS Equity</v>
      </c>
      <c r="EW5">
        <v>-2.4245362661989844E-14</v>
      </c>
      <c r="EX5">
        <v>-2.4245362661989844E-14</v>
      </c>
      <c r="EY5" t="s">
        <v>1745</v>
      </c>
      <c r="EZ5">
        <v>2021</v>
      </c>
      <c r="FA5" t="s">
        <v>5415</v>
      </c>
      <c r="FB5" s="6">
        <v>44634</v>
      </c>
      <c r="FC5">
        <v>1</v>
      </c>
      <c r="FD5">
        <v>-2.4245362661989844E-14</v>
      </c>
      <c r="FE5">
        <v>815794</v>
      </c>
      <c r="FF5" t="s">
        <v>5416</v>
      </c>
      <c r="FI5" t="str">
        <f>_xll.BDS("VALPQ US Equity","SUPPLY_CHAIN_CUSTOMERS_ALL_DATA")</f>
        <v>#N/A N/A</v>
      </c>
      <c r="FY5" t="str">
        <f>_xll.BDS("ARCC US Equity","SUPPLY_CHAIN_SUPPLIERS_ALL_DATA","cols=12;rows=1")</f>
        <v>NEWT US Equity</v>
      </c>
      <c r="GA5">
        <v>-2.4245362661989844E-14</v>
      </c>
      <c r="GB5">
        <v>-2.4245362661989844E-14</v>
      </c>
      <c r="GC5" t="s">
        <v>1745</v>
      </c>
      <c r="GD5">
        <v>2024</v>
      </c>
      <c r="GE5" t="s">
        <v>3622</v>
      </c>
      <c r="GF5" s="6">
        <v>45733</v>
      </c>
      <c r="GG5">
        <v>1</v>
      </c>
      <c r="GH5">
        <v>-2.4245362661989844E-14</v>
      </c>
      <c r="GI5">
        <v>1183488</v>
      </c>
      <c r="GJ5" t="s">
        <v>2353</v>
      </c>
      <c r="GM5" t="str">
        <f>_xll.BDS("ARCC US Equity","SUPPLY_CHAIN_CUSTOMERS_ALL_DATA","cols=12;rows=1")</f>
        <v>DKS US Equity</v>
      </c>
      <c r="GN5">
        <v>-2.4245362661989844E-14</v>
      </c>
      <c r="GP5">
        <v>-2.4245362661989844E-14</v>
      </c>
      <c r="GQ5" t="s">
        <v>1742</v>
      </c>
      <c r="GR5">
        <v>2026</v>
      </c>
      <c r="GS5" t="s">
        <v>4176</v>
      </c>
      <c r="GT5" s="6">
        <v>45986</v>
      </c>
      <c r="GU5">
        <v>1</v>
      </c>
      <c r="GV5">
        <v>-2.4245362661989844E-14</v>
      </c>
      <c r="GW5">
        <v>1133363</v>
      </c>
      <c r="GX5" t="s">
        <v>1968</v>
      </c>
      <c r="HC5" t="str">
        <f>_xll.BDS("CSCO US Equity","SUPPLY_CHAIN_SUPPLIERS_ALL_DATA","cols=12;rows=5")</f>
        <v>NVDA US Equity</v>
      </c>
      <c r="HD5" t="s">
        <v>1786</v>
      </c>
      <c r="HE5">
        <v>0.44414500000000001</v>
      </c>
      <c r="HF5">
        <v>5.627351</v>
      </c>
      <c r="HG5" t="s">
        <v>1845</v>
      </c>
      <c r="HH5">
        <v>2026</v>
      </c>
      <c r="HI5" t="s">
        <v>2311</v>
      </c>
      <c r="HJ5" s="6">
        <v>46087</v>
      </c>
      <c r="HK5">
        <v>5</v>
      </c>
      <c r="HL5">
        <v>302582656</v>
      </c>
      <c r="HM5">
        <v>313657</v>
      </c>
      <c r="HN5" t="s">
        <v>2312</v>
      </c>
      <c r="HQ5" t="str">
        <f>_xll.BDS("CSCO US Equity","SUPPLY_CHAIN_CUSTOMERS_ALL_DATA","cols=12;rows=5")</f>
        <v>SNX US Equity</v>
      </c>
      <c r="HR5">
        <v>3.3352200000000001</v>
      </c>
      <c r="HS5" t="s">
        <v>1786</v>
      </c>
      <c r="HT5">
        <v>3.067034</v>
      </c>
      <c r="HU5" t="s">
        <v>1845</v>
      </c>
      <c r="HV5">
        <v>2025</v>
      </c>
      <c r="HW5" t="s">
        <v>1887</v>
      </c>
      <c r="HX5" s="6">
        <v>46056</v>
      </c>
      <c r="HY5">
        <v>5</v>
      </c>
      <c r="HZ5">
        <v>496380736</v>
      </c>
      <c r="IA5">
        <v>1499717</v>
      </c>
      <c r="IB5" t="s">
        <v>1864</v>
      </c>
      <c r="IG5" t="str">
        <f>_xll.BDS("BBBYQ US Equity","SUPPLY_CHAIN_SUPPLIERS_ALL_DATA","cols=12;rows=5")</f>
        <v>PG US Equity</v>
      </c>
      <c r="IH5" t="s">
        <v>1786</v>
      </c>
      <c r="II5">
        <v>0.31646400000000002</v>
      </c>
      <c r="IJ5">
        <v>6.4398530000000003</v>
      </c>
      <c r="IK5" t="s">
        <v>1809</v>
      </c>
      <c r="IL5">
        <v>2025</v>
      </c>
      <c r="IM5" t="s">
        <v>3018</v>
      </c>
      <c r="IN5" s="6">
        <v>45679</v>
      </c>
      <c r="IO5">
        <v>5</v>
      </c>
      <c r="IP5">
        <v>66488296</v>
      </c>
      <c r="IQ5">
        <v>101215</v>
      </c>
      <c r="IR5" t="s">
        <v>3019</v>
      </c>
      <c r="IU5" t="str">
        <f>_xll.BDS("BBBYQ US Equity","SUPPLY_CHAIN_CUSTOMERS_ALL_DATA")</f>
        <v>#N/A N/A</v>
      </c>
      <c r="JK5" t="str">
        <f>_xll.BDS("WFC US Equity","SUPPLY_CHAIN_SUPPLIERS_ALL_DATA","cols=12;rows=5")</f>
        <v>ADBE US Equity</v>
      </c>
      <c r="JL5" t="s">
        <v>1769</v>
      </c>
      <c r="JM5">
        <v>0.357321</v>
      </c>
      <c r="JN5">
        <v>0.15107200000000001</v>
      </c>
      <c r="JO5" t="s">
        <v>1762</v>
      </c>
      <c r="JP5">
        <v>2025</v>
      </c>
      <c r="JQ5" t="s">
        <v>2268</v>
      </c>
      <c r="JR5" s="6">
        <v>45838</v>
      </c>
      <c r="JS5">
        <v>5</v>
      </c>
      <c r="JT5">
        <v>20985462</v>
      </c>
      <c r="JU5">
        <v>101689</v>
      </c>
      <c r="JV5" t="s">
        <v>2269</v>
      </c>
      <c r="JY5" t="str">
        <f>_xll.BDS("WFC US Equity","SUPPLY_CHAIN_CUSTOMERS_ALL_DATA","cols=12;rows=5")</f>
        <v>CDW US Equity</v>
      </c>
      <c r="JZ5">
        <v>4.1894000000000001E-2</v>
      </c>
      <c r="KA5" t="s">
        <v>1786</v>
      </c>
      <c r="KB5">
        <v>0.304456</v>
      </c>
      <c r="KC5" t="s">
        <v>1809</v>
      </c>
      <c r="KD5">
        <v>2025</v>
      </c>
      <c r="KE5" t="s">
        <v>1871</v>
      </c>
      <c r="KF5" s="6">
        <v>45820</v>
      </c>
      <c r="KG5">
        <v>5</v>
      </c>
      <c r="KH5">
        <v>12412062</v>
      </c>
      <c r="KI5">
        <v>12129192</v>
      </c>
      <c r="KJ5" t="s">
        <v>1872</v>
      </c>
      <c r="KO5" t="str">
        <f>_xll.BDS("1683351D US Equity","SUPPLY_CHAIN_SUPPLIERS_ALL_DATA")</f>
        <v>#N/A N/A</v>
      </c>
      <c r="LC5" t="str">
        <f>_xll.BDS("1683351D US Equity","SUPPLY_CHAIN_CUSTOMERS_ALL_DATA")</f>
        <v>#N/A N/A</v>
      </c>
      <c r="LS5" t="str">
        <f>_xll.BDS("nan Equity","SUPPLY_CHAIN_SUPPLIERS_ALL_DATA")</f>
        <v>#N/A N/A</v>
      </c>
      <c r="MG5" t="str">
        <f>_xll.BDS("nan Equity","SUPPLY_CHAIN_CUSTOMERS_ALL_DATA")</f>
        <v>#N/A N/A</v>
      </c>
      <c r="MW5" t="str">
        <f>_xll.BDS("AUB US Equity","SUPPLY_CHAIN_SUPPLIERS_ALL_DATA","cols=12;rows=1")</f>
        <v>TEMN SW Equity</v>
      </c>
      <c r="MX5" t="s">
        <v>1786</v>
      </c>
      <c r="MY5">
        <v>1.9966999999999999E-2</v>
      </c>
      <c r="MZ5">
        <v>4.0731000000000003E-2</v>
      </c>
      <c r="NA5" t="s">
        <v>1845</v>
      </c>
      <c r="NB5">
        <v>2024</v>
      </c>
      <c r="NC5" t="s">
        <v>3340</v>
      </c>
      <c r="ND5" s="6">
        <v>45709</v>
      </c>
      <c r="NE5">
        <v>1</v>
      </c>
      <c r="NF5">
        <v>49929</v>
      </c>
      <c r="NG5">
        <v>1713474</v>
      </c>
      <c r="NH5" t="s">
        <v>3341</v>
      </c>
      <c r="NK5" t="str">
        <f>_xll.BDS("AUB US Equity","SUPPLY_CHAIN_CUSTOMERS_ALL_DATA")</f>
        <v>#N/A N/A</v>
      </c>
      <c r="OA5" t="str">
        <f>_xll.BDS("ONTO US Equity","SUPPLY_CHAIN_SUPPLIERS_ALL_DATA","cols=12;rows=5")</f>
        <v>EIX US Equity</v>
      </c>
      <c r="OC5">
        <v>-2.4245362661989844E-14</v>
      </c>
      <c r="OD5">
        <v>-2.4245362661989844E-14</v>
      </c>
      <c r="OE5" t="s">
        <v>1745</v>
      </c>
      <c r="OF5">
        <v>2021</v>
      </c>
      <c r="OG5" t="s">
        <v>2695</v>
      </c>
      <c r="OH5" s="6">
        <v>44693</v>
      </c>
      <c r="OI5">
        <v>5</v>
      </c>
      <c r="OJ5">
        <v>-2.4245362661989844E-14</v>
      </c>
      <c r="OK5">
        <v>101315</v>
      </c>
      <c r="OL5" t="s">
        <v>2696</v>
      </c>
      <c r="OO5" t="str">
        <f>_xll.BDS("ONTO US Equity","SUPPLY_CHAIN_CUSTOMERS_ALL_DATA","cols=12;rows=5")</f>
        <v>2330 TT Equity</v>
      </c>
      <c r="OP5">
        <v>22.059346999999999</v>
      </c>
      <c r="OQ5" t="s">
        <v>1820</v>
      </c>
      <c r="OR5">
        <v>0.57971899999999998</v>
      </c>
      <c r="OS5" t="s">
        <v>1762</v>
      </c>
      <c r="OT5">
        <v>2025</v>
      </c>
      <c r="OU5" t="s">
        <v>4612</v>
      </c>
      <c r="OV5" s="6">
        <v>45933</v>
      </c>
      <c r="OW5">
        <v>5</v>
      </c>
      <c r="OX5">
        <v>55941844</v>
      </c>
      <c r="OY5">
        <v>153737</v>
      </c>
      <c r="OZ5" t="s">
        <v>2171</v>
      </c>
      <c r="PE5" t="str">
        <f>_xll.BDS("DM US Equity","SUPPLY_CHAIN_SUPPLIERS_ALL_DATA","cols=12;rows=5")</f>
        <v>9501 JP Equity</v>
      </c>
      <c r="PG5">
        <v>-2.4245362661989844E-14</v>
      </c>
      <c r="PH5">
        <v>-2.4245362661989844E-14</v>
      </c>
      <c r="PI5" t="s">
        <v>1745</v>
      </c>
      <c r="PJ5">
        <v>2022</v>
      </c>
      <c r="PK5" t="s">
        <v>2485</v>
      </c>
      <c r="PL5" s="6">
        <v>44693</v>
      </c>
      <c r="PM5">
        <v>5</v>
      </c>
      <c r="PN5">
        <v>-2.4245362661989844E-14</v>
      </c>
      <c r="PO5">
        <v>114991</v>
      </c>
      <c r="PP5" t="s">
        <v>2486</v>
      </c>
      <c r="PS5" t="str">
        <f>_xll.BDS("DM US Equity","SUPPLY_CHAIN_CUSTOMERS_ALL_DATA","cols=12;rows=5")</f>
        <v>EMR US Equity</v>
      </c>
      <c r="PT5">
        <v>3.007984</v>
      </c>
      <c r="PU5" t="s">
        <v>1786</v>
      </c>
      <c r="PV5">
        <v>5.4424E-2</v>
      </c>
      <c r="PW5" t="s">
        <v>1809</v>
      </c>
      <c r="PX5">
        <v>2025</v>
      </c>
      <c r="PY5" t="s">
        <v>2994</v>
      </c>
      <c r="PZ5" s="6">
        <v>45740</v>
      </c>
      <c r="QA5">
        <v>5</v>
      </c>
      <c r="QB5">
        <v>1171068</v>
      </c>
      <c r="QC5">
        <v>100515</v>
      </c>
      <c r="QD5" t="s">
        <v>4231</v>
      </c>
      <c r="QI5" t="str">
        <f>_xll.BDS("SBUX US Equity","SUPPLY_CHAIN_SUPPLIERS_ALL_DATA","cols=12;rows=5")</f>
        <v>GPK US Equity</v>
      </c>
      <c r="QJ5" t="s">
        <v>1786</v>
      </c>
      <c r="QK5">
        <v>4.890371</v>
      </c>
      <c r="QL5">
        <v>1.3141560000000001</v>
      </c>
      <c r="QM5" t="s">
        <v>1845</v>
      </c>
      <c r="QN5">
        <v>2025</v>
      </c>
      <c r="QO5" t="s">
        <v>3875</v>
      </c>
      <c r="QP5" s="6">
        <v>46076</v>
      </c>
      <c r="QQ5">
        <v>5</v>
      </c>
      <c r="QR5">
        <v>102844504</v>
      </c>
      <c r="QS5">
        <v>187274</v>
      </c>
      <c r="QT5" t="s">
        <v>3876</v>
      </c>
      <c r="QW5" t="str">
        <f>_xll.BDS("SBUX US Equity","SUPPLY_CHAIN_CUSTOMERS_ALL_DATA","cols=12;rows=5")</f>
        <v>139480 KS Equity</v>
      </c>
      <c r="QX5">
        <v>0.33033699999999999</v>
      </c>
      <c r="QY5" t="s">
        <v>1786</v>
      </c>
      <c r="QZ5">
        <v>0.87209999999999999</v>
      </c>
      <c r="RA5" t="s">
        <v>1798</v>
      </c>
      <c r="RB5">
        <v>2025</v>
      </c>
      <c r="RC5" t="s">
        <v>4305</v>
      </c>
      <c r="RD5" s="6">
        <v>45975</v>
      </c>
      <c r="RE5">
        <v>5</v>
      </c>
      <c r="RF5">
        <v>30642213.32</v>
      </c>
      <c r="RG5">
        <v>278509</v>
      </c>
      <c r="RH5" t="s">
        <v>4306</v>
      </c>
      <c r="RM5" t="str">
        <f>_xll.BDS("DHR US Equity","SUPPLY_CHAIN_SUPPLIERS_ALL_DATA","cols=12;rows=5")</f>
        <v>FLEX US Equity</v>
      </c>
      <c r="RN5" t="s">
        <v>1786</v>
      </c>
      <c r="RO5">
        <v>1.165869</v>
      </c>
      <c r="RP5">
        <v>2.8864939999999999</v>
      </c>
      <c r="RQ5" t="s">
        <v>1742</v>
      </c>
      <c r="RR5">
        <v>2025</v>
      </c>
      <c r="RS5" t="s">
        <v>2387</v>
      </c>
      <c r="RT5" s="6">
        <v>45763</v>
      </c>
      <c r="RU5">
        <v>5</v>
      </c>
      <c r="RV5">
        <v>76434368</v>
      </c>
      <c r="RW5">
        <v>136547</v>
      </c>
      <c r="RX5" t="s">
        <v>2388</v>
      </c>
      <c r="SA5" t="str">
        <f>_xll.BDS("DHR US Equity","SUPPLY_CHAIN_CUSTOMERS_ALL_DATA","cols=12;rows=5")</f>
        <v>CDW US Equity</v>
      </c>
      <c r="SB5">
        <v>0.25350099999999998</v>
      </c>
      <c r="SC5" t="s">
        <v>1786</v>
      </c>
      <c r="SD5">
        <v>0.35698299999999999</v>
      </c>
      <c r="SE5" t="s">
        <v>1809</v>
      </c>
      <c r="SF5">
        <v>2025</v>
      </c>
      <c r="SG5" t="s">
        <v>1871</v>
      </c>
      <c r="SH5" s="6">
        <v>45820</v>
      </c>
      <c r="SI5">
        <v>5</v>
      </c>
      <c r="SJ5">
        <v>14553483</v>
      </c>
      <c r="SK5">
        <v>12129192</v>
      </c>
      <c r="SL5" t="s">
        <v>1872</v>
      </c>
      <c r="SQ5" t="str">
        <f>_xll.BDS("BPYU US Equity","SUPPLY_CHAIN_SUPPLIERS_ALL_DATA")</f>
        <v>#N/A N/A</v>
      </c>
      <c r="TE5" t="str">
        <f>_xll.BDS("BPYU US Equity","SUPPLY_CHAIN_CUSTOMERS_ALL_DATA")</f>
        <v>#N/A N/A</v>
      </c>
      <c r="TU5" t="str">
        <f>_xll.BDS("T US Equity","SUPPLY_CHAIN_SUPPLIERS_ALL_DATA","cols=12;rows=5")</f>
        <v>AAPL US Equity</v>
      </c>
      <c r="TV5" t="s">
        <v>1786</v>
      </c>
      <c r="TW5">
        <v>1.2812509999999999</v>
      </c>
      <c r="TX5">
        <v>9.9289989999999992</v>
      </c>
      <c r="TY5" t="s">
        <v>1762</v>
      </c>
      <c r="TZ5">
        <v>2025</v>
      </c>
      <c r="UA5" t="s">
        <v>2918</v>
      </c>
      <c r="UB5" s="6">
        <v>45863</v>
      </c>
      <c r="UC5">
        <v>5</v>
      </c>
      <c r="UD5">
        <v>1221788160</v>
      </c>
      <c r="UE5">
        <v>101695</v>
      </c>
      <c r="UF5" t="s">
        <v>1764</v>
      </c>
      <c r="UI5" t="str">
        <f>_xll.BDS("T US Equity","SUPPLY_CHAIN_CUSTOMERS_ALL_DATA","cols=12;rows=5")</f>
        <v>IBM US Equity</v>
      </c>
      <c r="UJ5">
        <v>0.86485599999999996</v>
      </c>
      <c r="UK5" t="s">
        <v>1786</v>
      </c>
      <c r="UL5">
        <v>4.0630959999999998</v>
      </c>
      <c r="UM5" t="s">
        <v>1809</v>
      </c>
      <c r="UN5">
        <v>2025</v>
      </c>
      <c r="UO5" t="s">
        <v>2035</v>
      </c>
      <c r="UP5" s="6">
        <v>45797</v>
      </c>
      <c r="UQ5">
        <v>5</v>
      </c>
      <c r="UR5">
        <v>264507552</v>
      </c>
      <c r="US5">
        <v>100801</v>
      </c>
      <c r="UT5" t="s">
        <v>2095</v>
      </c>
      <c r="UY5" t="str">
        <f>_xll.BDS("nan Equity","SUPPLY_CHAIN_SUPPLIERS_ALL_DATA")</f>
        <v>#N/A N/A</v>
      </c>
      <c r="VM5" t="str">
        <f>_xll.BDS("nan Equity","SUPPLY_CHAIN_CUSTOMERS_ALL_DATA")</f>
        <v>#N/A N/A</v>
      </c>
    </row>
    <row r="6" spans="1:600" x14ac:dyDescent="0.25">
      <c r="A6" t="s">
        <v>3761</v>
      </c>
      <c r="B6" t="s">
        <v>1820</v>
      </c>
      <c r="C6">
        <v>1.0810869999999999</v>
      </c>
      <c r="D6">
        <v>2.1342460000000001</v>
      </c>
      <c r="E6" t="s">
        <v>1742</v>
      </c>
      <c r="F6">
        <v>2025</v>
      </c>
      <c r="G6" t="s">
        <v>3762</v>
      </c>
      <c r="H6" s="6">
        <v>46071</v>
      </c>
      <c r="I6">
        <v>5</v>
      </c>
      <c r="J6">
        <v>1510537.74</v>
      </c>
      <c r="K6">
        <v>307335</v>
      </c>
      <c r="L6" t="s">
        <v>3763</v>
      </c>
      <c r="O6" t="s">
        <v>1814</v>
      </c>
      <c r="P6">
        <v>5.0365650000000004</v>
      </c>
      <c r="Q6" t="s">
        <v>1786</v>
      </c>
      <c r="R6">
        <v>0.53783800000000004</v>
      </c>
      <c r="S6" t="s">
        <v>1742</v>
      </c>
      <c r="T6">
        <v>2025</v>
      </c>
      <c r="U6" t="s">
        <v>3655</v>
      </c>
      <c r="V6" s="6">
        <v>46009</v>
      </c>
      <c r="W6">
        <v>5</v>
      </c>
      <c r="X6">
        <v>36988368</v>
      </c>
      <c r="Y6">
        <v>100115</v>
      </c>
      <c r="Z6" t="s">
        <v>1816</v>
      </c>
      <c r="BI6" t="s">
        <v>2909</v>
      </c>
      <c r="BJ6" t="s">
        <v>1786</v>
      </c>
      <c r="BK6">
        <v>0.394424</v>
      </c>
      <c r="BL6">
        <v>0.34537699999999999</v>
      </c>
      <c r="BM6" t="s">
        <v>1809</v>
      </c>
      <c r="BN6">
        <v>2025</v>
      </c>
      <c r="BO6" t="s">
        <v>2910</v>
      </c>
      <c r="BP6" s="6">
        <v>45958</v>
      </c>
      <c r="BQ6">
        <v>5</v>
      </c>
      <c r="BR6">
        <v>2908786.82</v>
      </c>
      <c r="BS6">
        <v>111769</v>
      </c>
      <c r="BT6" t="s">
        <v>2911</v>
      </c>
      <c r="BW6" t="s">
        <v>2599</v>
      </c>
      <c r="BX6">
        <v>-2.4245362661989844E-14</v>
      </c>
      <c r="BZ6">
        <v>-2.4245362661989844E-14</v>
      </c>
      <c r="CA6" t="s">
        <v>1745</v>
      </c>
      <c r="CB6">
        <v>2022</v>
      </c>
      <c r="CC6" t="s">
        <v>2600</v>
      </c>
      <c r="CD6" s="6">
        <v>45044</v>
      </c>
      <c r="CE6">
        <v>5</v>
      </c>
      <c r="CF6">
        <v>-2.4245362661989844E-14</v>
      </c>
      <c r="CG6">
        <v>21756021</v>
      </c>
      <c r="CH6" t="s">
        <v>2601</v>
      </c>
      <c r="DA6" t="s">
        <v>1772</v>
      </c>
      <c r="DB6">
        <v>2.8</v>
      </c>
      <c r="DC6" t="s">
        <v>1769</v>
      </c>
      <c r="DD6">
        <v>0.73512200000000005</v>
      </c>
      <c r="DE6" t="s">
        <v>1745</v>
      </c>
      <c r="DF6">
        <v>2024</v>
      </c>
      <c r="DG6" t="s">
        <v>1770</v>
      </c>
      <c r="DH6" s="6">
        <v>45701</v>
      </c>
      <c r="DI6">
        <v>3</v>
      </c>
      <c r="DJ6">
        <v>34469864</v>
      </c>
      <c r="DK6">
        <v>69491275</v>
      </c>
      <c r="DL6" t="s">
        <v>1773</v>
      </c>
      <c r="HC6" t="s">
        <v>2383</v>
      </c>
      <c r="HD6" t="s">
        <v>1786</v>
      </c>
      <c r="HE6">
        <v>0.347161</v>
      </c>
      <c r="HF6">
        <v>4.1422239999999997</v>
      </c>
      <c r="HG6" t="s">
        <v>1762</v>
      </c>
      <c r="HH6">
        <v>2025</v>
      </c>
      <c r="HI6" t="s">
        <v>2384</v>
      </c>
      <c r="HJ6" s="6">
        <v>45889</v>
      </c>
      <c r="HK6">
        <v>5</v>
      </c>
      <c r="HL6">
        <v>201928052.13999999</v>
      </c>
      <c r="HM6">
        <v>119133</v>
      </c>
      <c r="HN6" t="s">
        <v>2385</v>
      </c>
      <c r="HQ6" t="s">
        <v>424</v>
      </c>
      <c r="HR6">
        <v>2.8732120000000001</v>
      </c>
      <c r="HS6" t="s">
        <v>1820</v>
      </c>
      <c r="HT6">
        <v>2.4006630000000002</v>
      </c>
      <c r="HU6" t="s">
        <v>1762</v>
      </c>
      <c r="HV6">
        <v>2025</v>
      </c>
      <c r="HW6" t="s">
        <v>4062</v>
      </c>
      <c r="HX6" s="6">
        <v>45783</v>
      </c>
      <c r="HY6">
        <v>5</v>
      </c>
      <c r="HZ6">
        <v>401991104</v>
      </c>
      <c r="IA6">
        <v>101743</v>
      </c>
      <c r="IB6" t="s">
        <v>1891</v>
      </c>
      <c r="IG6" t="s">
        <v>3851</v>
      </c>
      <c r="IH6" t="s">
        <v>1786</v>
      </c>
      <c r="II6">
        <v>0.45231199999999999</v>
      </c>
      <c r="IJ6">
        <v>1.7046300000000001</v>
      </c>
      <c r="IK6" t="s">
        <v>1742</v>
      </c>
      <c r="IL6">
        <v>2024</v>
      </c>
      <c r="IM6" t="s">
        <v>3852</v>
      </c>
      <c r="IN6" s="6">
        <v>45686</v>
      </c>
      <c r="IO6">
        <v>5</v>
      </c>
      <c r="IP6">
        <v>17599460</v>
      </c>
      <c r="IQ6">
        <v>12271051</v>
      </c>
      <c r="IR6" t="s">
        <v>3853</v>
      </c>
      <c r="JK6" t="s">
        <v>2273</v>
      </c>
      <c r="JL6" t="s">
        <v>1769</v>
      </c>
      <c r="JM6">
        <v>5.2993949999999996</v>
      </c>
      <c r="JN6">
        <v>7.1481000000000003E-2</v>
      </c>
      <c r="JO6" t="s">
        <v>1809</v>
      </c>
      <c r="JP6">
        <v>2026</v>
      </c>
      <c r="JQ6" t="s">
        <v>2274</v>
      </c>
      <c r="JR6" s="6">
        <v>45898</v>
      </c>
      <c r="JS6">
        <v>5</v>
      </c>
      <c r="JT6">
        <v>9563900.9100000001</v>
      </c>
      <c r="JU6">
        <v>178651</v>
      </c>
      <c r="JV6" t="s">
        <v>2275</v>
      </c>
      <c r="JY6" t="s">
        <v>3143</v>
      </c>
      <c r="JZ6">
        <v>-2.4245362661989844E-14</v>
      </c>
      <c r="KB6">
        <v>-2.4245362661989844E-14</v>
      </c>
      <c r="KC6" t="s">
        <v>1745</v>
      </c>
      <c r="KD6">
        <v>2024</v>
      </c>
      <c r="KE6" t="s">
        <v>3144</v>
      </c>
      <c r="KF6" s="6">
        <v>45756</v>
      </c>
      <c r="KG6">
        <v>5</v>
      </c>
      <c r="KH6">
        <v>-2.4245362661989844E-14</v>
      </c>
      <c r="KI6">
        <v>23063237</v>
      </c>
      <c r="KJ6" t="s">
        <v>3145</v>
      </c>
      <c r="OA6" t="s">
        <v>4257</v>
      </c>
      <c r="OC6">
        <v>-2.4245362661989844E-14</v>
      </c>
      <c r="OD6">
        <v>-2.4245362661989844E-14</v>
      </c>
      <c r="OE6" t="s">
        <v>1745</v>
      </c>
      <c r="OF6">
        <v>2021</v>
      </c>
      <c r="OG6" t="s">
        <v>4258</v>
      </c>
      <c r="OH6" s="6">
        <v>44693</v>
      </c>
      <c r="OI6">
        <v>5</v>
      </c>
      <c r="OJ6">
        <v>-2.4245362661989844E-14</v>
      </c>
      <c r="OK6">
        <v>109221</v>
      </c>
      <c r="OL6" t="s">
        <v>4259</v>
      </c>
      <c r="OO6" t="s">
        <v>1789</v>
      </c>
      <c r="OP6">
        <v>18.107337999999999</v>
      </c>
      <c r="OQ6" t="s">
        <v>1820</v>
      </c>
      <c r="OR6">
        <v>0.49269800000000002</v>
      </c>
      <c r="OS6" t="s">
        <v>1762</v>
      </c>
      <c r="OT6">
        <v>2025</v>
      </c>
      <c r="OU6" t="s">
        <v>4612</v>
      </c>
      <c r="OV6" s="6">
        <v>45933</v>
      </c>
      <c r="OW6">
        <v>5</v>
      </c>
      <c r="OX6">
        <v>45919664</v>
      </c>
      <c r="OY6">
        <v>117929</v>
      </c>
      <c r="OZ6" t="s">
        <v>1791</v>
      </c>
      <c r="PE6" t="s">
        <v>2283</v>
      </c>
      <c r="PG6">
        <v>-2.4245362661989844E-14</v>
      </c>
      <c r="PH6">
        <v>-2.4245362661989844E-14</v>
      </c>
      <c r="PI6" t="s">
        <v>1745</v>
      </c>
      <c r="PJ6">
        <v>2021</v>
      </c>
      <c r="PK6" t="s">
        <v>2284</v>
      </c>
      <c r="PL6" s="6">
        <v>44693</v>
      </c>
      <c r="PM6">
        <v>5</v>
      </c>
      <c r="PN6">
        <v>-2.4245362661989844E-14</v>
      </c>
      <c r="PO6">
        <v>100060</v>
      </c>
      <c r="PP6" t="s">
        <v>2285</v>
      </c>
      <c r="PS6" t="s">
        <v>163</v>
      </c>
      <c r="PT6">
        <v>1.6689830000000001</v>
      </c>
      <c r="PU6" t="s">
        <v>1786</v>
      </c>
      <c r="PV6">
        <v>1.6664999999999999E-2</v>
      </c>
      <c r="PW6" t="s">
        <v>1742</v>
      </c>
      <c r="PX6">
        <v>2024</v>
      </c>
      <c r="PY6" t="s">
        <v>2198</v>
      </c>
      <c r="PZ6" s="6">
        <v>45667</v>
      </c>
      <c r="QA6">
        <v>5</v>
      </c>
      <c r="QB6">
        <v>649768</v>
      </c>
      <c r="QC6">
        <v>100496</v>
      </c>
      <c r="QD6" t="s">
        <v>3588</v>
      </c>
      <c r="QI6" t="s">
        <v>3851</v>
      </c>
      <c r="QJ6" t="s">
        <v>1786</v>
      </c>
      <c r="QK6">
        <v>1.434175</v>
      </c>
      <c r="QL6">
        <v>0.753942</v>
      </c>
      <c r="QM6" t="s">
        <v>1762</v>
      </c>
      <c r="QN6">
        <v>2025</v>
      </c>
      <c r="QO6" t="s">
        <v>3852</v>
      </c>
      <c r="QP6" s="6">
        <v>45908</v>
      </c>
      <c r="QQ6">
        <v>5</v>
      </c>
      <c r="QR6">
        <v>55040052</v>
      </c>
      <c r="QS6">
        <v>12271051</v>
      </c>
      <c r="QT6" t="s">
        <v>3853</v>
      </c>
      <c r="QW6" t="s">
        <v>2504</v>
      </c>
      <c r="QX6">
        <v>0.31114700000000001</v>
      </c>
      <c r="QY6" t="s">
        <v>1786</v>
      </c>
      <c r="QZ6">
        <v>0.15029300000000001</v>
      </c>
      <c r="RA6" t="s">
        <v>1762</v>
      </c>
      <c r="RB6">
        <v>2025</v>
      </c>
      <c r="RC6" t="s">
        <v>2505</v>
      </c>
      <c r="RD6" s="6">
        <v>45919</v>
      </c>
      <c r="RE6">
        <v>5</v>
      </c>
      <c r="RF6">
        <v>29448696.239999998</v>
      </c>
      <c r="RG6">
        <v>115268</v>
      </c>
      <c r="RH6" t="s">
        <v>2506</v>
      </c>
      <c r="RM6" t="s">
        <v>2795</v>
      </c>
      <c r="RN6" t="s">
        <v>1786</v>
      </c>
      <c r="RO6">
        <v>0.147895</v>
      </c>
      <c r="RP6">
        <v>0.47978500000000002</v>
      </c>
      <c r="RQ6" t="s">
        <v>1742</v>
      </c>
      <c r="RR6">
        <v>2025</v>
      </c>
      <c r="RS6" t="s">
        <v>2796</v>
      </c>
      <c r="RT6" s="6">
        <v>45867</v>
      </c>
      <c r="RU6">
        <v>5</v>
      </c>
      <c r="RV6">
        <v>11577221</v>
      </c>
      <c r="RW6">
        <v>117092</v>
      </c>
      <c r="RX6" t="s">
        <v>2797</v>
      </c>
      <c r="SA6" t="s">
        <v>357</v>
      </c>
      <c r="SB6">
        <v>0.22051499999999999</v>
      </c>
      <c r="SC6" t="s">
        <v>1786</v>
      </c>
      <c r="SD6">
        <v>9.3169000000000002E-2</v>
      </c>
      <c r="SE6" t="s">
        <v>1845</v>
      </c>
      <c r="SF6">
        <v>2025</v>
      </c>
      <c r="SG6" t="s">
        <v>1887</v>
      </c>
      <c r="SH6" s="6">
        <v>46056</v>
      </c>
      <c r="SI6">
        <v>5</v>
      </c>
      <c r="SJ6">
        <v>15078834</v>
      </c>
      <c r="SK6">
        <v>1499717</v>
      </c>
      <c r="SL6" t="s">
        <v>1864</v>
      </c>
      <c r="TU6" t="s">
        <v>1789</v>
      </c>
      <c r="TV6" t="s">
        <v>1786</v>
      </c>
      <c r="TW6">
        <v>2.0413640000000002</v>
      </c>
      <c r="TX6">
        <v>9.0393749999999997</v>
      </c>
      <c r="TY6" t="s">
        <v>1762</v>
      </c>
      <c r="TZ6">
        <v>2025</v>
      </c>
      <c r="UA6" t="s">
        <v>2918</v>
      </c>
      <c r="UB6" s="6">
        <v>45863</v>
      </c>
      <c r="UC6">
        <v>5</v>
      </c>
      <c r="UD6">
        <v>1112317696</v>
      </c>
      <c r="UE6">
        <v>117929</v>
      </c>
      <c r="UF6" t="s">
        <v>1791</v>
      </c>
      <c r="UI6" t="s">
        <v>357</v>
      </c>
      <c r="UJ6">
        <v>0.112041</v>
      </c>
      <c r="UK6" t="s">
        <v>1786</v>
      </c>
      <c r="UL6">
        <v>0.211726</v>
      </c>
      <c r="UM6" t="s">
        <v>1845</v>
      </c>
      <c r="UN6">
        <v>2025</v>
      </c>
      <c r="UO6" t="s">
        <v>1887</v>
      </c>
      <c r="UP6" s="6">
        <v>46056</v>
      </c>
      <c r="UQ6">
        <v>5</v>
      </c>
      <c r="UR6">
        <v>34266560</v>
      </c>
      <c r="US6">
        <v>1499717</v>
      </c>
      <c r="UT6" t="s">
        <v>1864</v>
      </c>
    </row>
    <row r="7" spans="1:600" x14ac:dyDescent="0.25">
      <c r="A7" t="s">
        <v>3764</v>
      </c>
      <c r="B7" t="s">
        <v>1820</v>
      </c>
      <c r="C7">
        <v>7.4570999999999998E-2</v>
      </c>
      <c r="D7">
        <v>0.102178</v>
      </c>
      <c r="E7" t="s">
        <v>1845</v>
      </c>
      <c r="F7">
        <v>2024</v>
      </c>
      <c r="G7" t="s">
        <v>3765</v>
      </c>
      <c r="H7" s="6">
        <v>45791</v>
      </c>
      <c r="I7">
        <v>5</v>
      </c>
      <c r="J7">
        <v>79844.52</v>
      </c>
      <c r="K7">
        <v>9834044</v>
      </c>
      <c r="L7" t="s">
        <v>3766</v>
      </c>
      <c r="O7" t="s">
        <v>840</v>
      </c>
      <c r="P7">
        <v>4.5889049999999996</v>
      </c>
      <c r="Q7" t="s">
        <v>1786</v>
      </c>
      <c r="R7">
        <v>0.63781200000000005</v>
      </c>
      <c r="S7" t="s">
        <v>1742</v>
      </c>
      <c r="T7">
        <v>2025</v>
      </c>
      <c r="U7" t="s">
        <v>3655</v>
      </c>
      <c r="V7" s="6">
        <v>46009</v>
      </c>
      <c r="W7">
        <v>5</v>
      </c>
      <c r="X7">
        <v>33700768</v>
      </c>
      <c r="Y7">
        <v>100142</v>
      </c>
      <c r="Z7" t="s">
        <v>2200</v>
      </c>
      <c r="BI7" t="s">
        <v>2805</v>
      </c>
      <c r="BJ7" t="s">
        <v>1786</v>
      </c>
      <c r="BK7">
        <v>5.0733E-2</v>
      </c>
      <c r="BL7">
        <v>0.18220500000000001</v>
      </c>
      <c r="BM7" t="s">
        <v>1742</v>
      </c>
      <c r="BN7">
        <v>2025</v>
      </c>
      <c r="BO7" t="s">
        <v>2806</v>
      </c>
      <c r="BP7" s="6">
        <v>45891</v>
      </c>
      <c r="BQ7">
        <v>5</v>
      </c>
      <c r="BR7">
        <v>1461287</v>
      </c>
      <c r="BS7">
        <v>100097</v>
      </c>
      <c r="BT7" t="s">
        <v>2807</v>
      </c>
      <c r="BW7" t="s">
        <v>1902</v>
      </c>
      <c r="BX7">
        <v>-2.4245362661989844E-14</v>
      </c>
      <c r="BZ7">
        <v>-2.4245362661989844E-14</v>
      </c>
      <c r="CA7" t="s">
        <v>1805</v>
      </c>
      <c r="CB7">
        <v>2025</v>
      </c>
      <c r="CC7" t="s">
        <v>1903</v>
      </c>
      <c r="CD7" s="6">
        <v>45888</v>
      </c>
      <c r="CE7">
        <v>5</v>
      </c>
      <c r="CF7">
        <v>-2.4245362661989844E-14</v>
      </c>
      <c r="CG7">
        <v>61902583</v>
      </c>
      <c r="CH7" t="s">
        <v>1904</v>
      </c>
      <c r="DA7" t="s">
        <v>1774</v>
      </c>
      <c r="DB7">
        <v>2.8</v>
      </c>
      <c r="DC7" t="s">
        <v>1769</v>
      </c>
      <c r="DD7">
        <v>2.6547749999999999</v>
      </c>
      <c r="DE7" t="s">
        <v>1745</v>
      </c>
      <c r="DF7">
        <v>2024</v>
      </c>
      <c r="DG7" t="s">
        <v>1770</v>
      </c>
      <c r="DH7" s="6">
        <v>45701</v>
      </c>
      <c r="DI7">
        <v>3</v>
      </c>
      <c r="DJ7">
        <v>34469864</v>
      </c>
      <c r="DK7">
        <v>50818234</v>
      </c>
      <c r="DL7" t="s">
        <v>1775</v>
      </c>
      <c r="HC7" t="s">
        <v>2170</v>
      </c>
      <c r="HD7" t="s">
        <v>1786</v>
      </c>
      <c r="HE7">
        <v>0.664825</v>
      </c>
      <c r="HF7">
        <v>3.6327410000000002</v>
      </c>
      <c r="HG7" t="s">
        <v>1845</v>
      </c>
      <c r="HH7">
        <v>2024</v>
      </c>
      <c r="HI7" t="s">
        <v>3435</v>
      </c>
      <c r="HJ7" s="6">
        <v>45741</v>
      </c>
      <c r="HK7">
        <v>5</v>
      </c>
      <c r="HL7">
        <v>178478249.27000001</v>
      </c>
      <c r="HM7">
        <v>153737</v>
      </c>
      <c r="HN7" t="s">
        <v>2171</v>
      </c>
      <c r="HQ7" t="s">
        <v>1789</v>
      </c>
      <c r="HR7">
        <v>2.64514</v>
      </c>
      <c r="HS7" t="s">
        <v>1786</v>
      </c>
      <c r="HT7">
        <v>1.094911</v>
      </c>
      <c r="HU7" t="s">
        <v>1762</v>
      </c>
      <c r="HV7">
        <v>2025</v>
      </c>
      <c r="HW7" t="s">
        <v>4062</v>
      </c>
      <c r="HX7" s="6">
        <v>45783</v>
      </c>
      <c r="HY7">
        <v>5</v>
      </c>
      <c r="HZ7">
        <v>370081536</v>
      </c>
      <c r="IA7">
        <v>117929</v>
      </c>
      <c r="IB7" t="s">
        <v>1791</v>
      </c>
      <c r="IG7" t="s">
        <v>3854</v>
      </c>
      <c r="IH7" t="s">
        <v>1786</v>
      </c>
      <c r="II7">
        <v>0.28814499999999998</v>
      </c>
      <c r="IJ7">
        <v>1.357556</v>
      </c>
      <c r="IK7" t="s">
        <v>1742</v>
      </c>
      <c r="IL7">
        <v>2024</v>
      </c>
      <c r="IM7" t="s">
        <v>3855</v>
      </c>
      <c r="IN7" s="6">
        <v>45685</v>
      </c>
      <c r="IO7">
        <v>5</v>
      </c>
      <c r="IP7">
        <v>14016093</v>
      </c>
      <c r="IQ7">
        <v>100359</v>
      </c>
      <c r="IR7" t="s">
        <v>3856</v>
      </c>
      <c r="JK7" t="s">
        <v>2972</v>
      </c>
      <c r="JL7" t="s">
        <v>1769</v>
      </c>
      <c r="JM7">
        <v>0.56072500000000003</v>
      </c>
      <c r="JN7">
        <v>1.5883999999999999E-2</v>
      </c>
      <c r="JO7" t="s">
        <v>1745</v>
      </c>
      <c r="JP7">
        <v>2025</v>
      </c>
      <c r="JQ7" t="s">
        <v>2973</v>
      </c>
      <c r="JR7" s="6">
        <v>46066</v>
      </c>
      <c r="JS7">
        <v>5</v>
      </c>
      <c r="JT7">
        <v>2177750</v>
      </c>
      <c r="JU7">
        <v>126273</v>
      </c>
      <c r="JV7" t="s">
        <v>2974</v>
      </c>
      <c r="JY7" t="s">
        <v>2139</v>
      </c>
      <c r="JZ7">
        <v>-2.4245362661989844E-14</v>
      </c>
      <c r="KB7">
        <v>-2.4245362661989844E-14</v>
      </c>
      <c r="KC7" t="s">
        <v>1809</v>
      </c>
      <c r="KD7">
        <v>2025</v>
      </c>
      <c r="KE7" t="s">
        <v>3146</v>
      </c>
      <c r="KF7" s="6">
        <v>45799</v>
      </c>
      <c r="KG7">
        <v>5</v>
      </c>
      <c r="KH7">
        <v>-2.4245362661989844E-14</v>
      </c>
      <c r="KI7">
        <v>313021</v>
      </c>
      <c r="KJ7" t="s">
        <v>2141</v>
      </c>
      <c r="OA7" t="s">
        <v>3361</v>
      </c>
      <c r="OC7">
        <v>-2.4245362661989844E-14</v>
      </c>
      <c r="OD7">
        <v>-2.4245362661989844E-14</v>
      </c>
      <c r="OE7" t="s">
        <v>1745</v>
      </c>
      <c r="OF7">
        <v>2021</v>
      </c>
      <c r="OG7" t="s">
        <v>3362</v>
      </c>
      <c r="OH7" s="6">
        <v>44693</v>
      </c>
      <c r="OI7">
        <v>5</v>
      </c>
      <c r="OJ7">
        <v>-2.4245362661989844E-14</v>
      </c>
      <c r="OK7">
        <v>179563</v>
      </c>
      <c r="OL7" t="s">
        <v>3363</v>
      </c>
      <c r="OO7" t="s">
        <v>2944</v>
      </c>
      <c r="OP7">
        <v>17.055292000000001</v>
      </c>
      <c r="OQ7" t="s">
        <v>1820</v>
      </c>
      <c r="OR7">
        <v>1.3965970000000001</v>
      </c>
      <c r="OS7" t="s">
        <v>1762</v>
      </c>
      <c r="OT7">
        <v>2025</v>
      </c>
      <c r="OU7" t="s">
        <v>4612</v>
      </c>
      <c r="OV7" s="6">
        <v>45933</v>
      </c>
      <c r="OW7">
        <v>5</v>
      </c>
      <c r="OX7">
        <v>43251708</v>
      </c>
      <c r="OY7">
        <v>193974</v>
      </c>
      <c r="OZ7" t="s">
        <v>2946</v>
      </c>
      <c r="PE7" t="s">
        <v>4320</v>
      </c>
      <c r="PG7">
        <v>-2.4245362661989844E-14</v>
      </c>
      <c r="PH7">
        <v>-2.4245362661989844E-14</v>
      </c>
      <c r="PI7" t="s">
        <v>1745</v>
      </c>
      <c r="PJ7">
        <v>2022</v>
      </c>
      <c r="PK7" t="s">
        <v>4233</v>
      </c>
      <c r="PL7" s="6">
        <v>44988</v>
      </c>
      <c r="PM7">
        <v>5</v>
      </c>
      <c r="PN7">
        <v>-2.4245362661989844E-14</v>
      </c>
      <c r="PO7">
        <v>1745185</v>
      </c>
      <c r="PP7" t="s">
        <v>4321</v>
      </c>
      <c r="PS7" t="s">
        <v>4232</v>
      </c>
      <c r="PT7">
        <v>-2.4245362661989844E-14</v>
      </c>
      <c r="PV7">
        <v>-2.4245362661989844E-14</v>
      </c>
      <c r="PW7" t="s">
        <v>1745</v>
      </c>
      <c r="PX7">
        <v>2022</v>
      </c>
      <c r="PY7" t="s">
        <v>4233</v>
      </c>
      <c r="PZ7" s="6">
        <v>45071</v>
      </c>
      <c r="QA7">
        <v>5</v>
      </c>
      <c r="QB7">
        <v>-2.4245362661989844E-14</v>
      </c>
      <c r="QC7">
        <v>23370588</v>
      </c>
      <c r="QD7" t="s">
        <v>4234</v>
      </c>
      <c r="QI7" t="s">
        <v>4156</v>
      </c>
      <c r="QJ7" t="s">
        <v>1786</v>
      </c>
      <c r="QK7">
        <v>0.57660999999999996</v>
      </c>
      <c r="QL7">
        <v>0.40148099999999998</v>
      </c>
      <c r="QM7" t="s">
        <v>1762</v>
      </c>
      <c r="QN7">
        <v>2026</v>
      </c>
      <c r="QO7" t="s">
        <v>4157</v>
      </c>
      <c r="QP7" s="6">
        <v>46071</v>
      </c>
      <c r="QQ7">
        <v>5</v>
      </c>
      <c r="QR7">
        <v>31419480</v>
      </c>
      <c r="QS7">
        <v>61417091</v>
      </c>
      <c r="QT7" t="s">
        <v>4158</v>
      </c>
      <c r="QW7" t="s">
        <v>4307</v>
      </c>
      <c r="QX7">
        <v>0.10842</v>
      </c>
      <c r="QY7" t="s">
        <v>1786</v>
      </c>
      <c r="QZ7">
        <v>5.3309000000000002E-2</v>
      </c>
      <c r="RA7" t="s">
        <v>1762</v>
      </c>
      <c r="RB7">
        <v>2025</v>
      </c>
      <c r="RC7" t="s">
        <v>4308</v>
      </c>
      <c r="RD7" s="6">
        <v>45887</v>
      </c>
      <c r="RE7">
        <v>5</v>
      </c>
      <c r="RF7">
        <v>10255165.210000001</v>
      </c>
      <c r="RG7">
        <v>115643</v>
      </c>
      <c r="RH7" t="s">
        <v>4309</v>
      </c>
      <c r="RM7" t="s">
        <v>2805</v>
      </c>
      <c r="RN7" t="s">
        <v>1786</v>
      </c>
      <c r="RO7">
        <v>0.32230900000000001</v>
      </c>
      <c r="RP7">
        <v>0.38473400000000002</v>
      </c>
      <c r="RQ7" t="s">
        <v>1742</v>
      </c>
      <c r="RR7">
        <v>2025</v>
      </c>
      <c r="RS7" t="s">
        <v>2806</v>
      </c>
      <c r="RT7" s="6">
        <v>45891</v>
      </c>
      <c r="RU7">
        <v>5</v>
      </c>
      <c r="RV7">
        <v>9283621</v>
      </c>
      <c r="RW7">
        <v>100097</v>
      </c>
      <c r="RX7" t="s">
        <v>2807</v>
      </c>
      <c r="SA7" t="s">
        <v>2588</v>
      </c>
      <c r="SB7">
        <v>8.1423999999999996E-2</v>
      </c>
      <c r="SC7" t="s">
        <v>1786</v>
      </c>
      <c r="SD7">
        <v>0.194387</v>
      </c>
      <c r="SE7" t="s">
        <v>1742</v>
      </c>
      <c r="SF7">
        <v>2025</v>
      </c>
      <c r="SG7" t="s">
        <v>2589</v>
      </c>
      <c r="SH7" s="6">
        <v>45694</v>
      </c>
      <c r="SI7">
        <v>5</v>
      </c>
      <c r="SJ7">
        <v>5430637.3600000003</v>
      </c>
      <c r="SK7">
        <v>111827</v>
      </c>
      <c r="SL7" t="s">
        <v>2590</v>
      </c>
      <c r="TU7" t="s">
        <v>2919</v>
      </c>
      <c r="TV7" t="s">
        <v>1820</v>
      </c>
      <c r="TW7">
        <v>13.01698</v>
      </c>
      <c r="TX7">
        <v>13.663121</v>
      </c>
      <c r="TY7" t="s">
        <v>1742</v>
      </c>
      <c r="TZ7">
        <v>2025</v>
      </c>
      <c r="UA7" t="s">
        <v>2920</v>
      </c>
      <c r="UB7" s="6">
        <v>46029</v>
      </c>
      <c r="UC7">
        <v>5</v>
      </c>
      <c r="UD7">
        <v>769456564.02999997</v>
      </c>
      <c r="UE7">
        <v>115705</v>
      </c>
      <c r="UF7" t="s">
        <v>2921</v>
      </c>
      <c r="UI7" t="s">
        <v>2012</v>
      </c>
      <c r="UJ7">
        <v>3.6669E-2</v>
      </c>
      <c r="UK7" t="s">
        <v>1786</v>
      </c>
      <c r="UL7">
        <v>1.85477</v>
      </c>
      <c r="UM7" t="s">
        <v>1742</v>
      </c>
      <c r="UN7">
        <v>2025</v>
      </c>
      <c r="UO7" t="s">
        <v>2013</v>
      </c>
      <c r="UP7" s="6">
        <v>45840</v>
      </c>
      <c r="UQ7">
        <v>5</v>
      </c>
      <c r="UR7">
        <v>11214774</v>
      </c>
      <c r="US7">
        <v>136424</v>
      </c>
      <c r="UT7" t="s">
        <v>2014</v>
      </c>
    </row>
    <row r="8" spans="1:600" x14ac:dyDescent="0.25">
      <c r="A8" t="s">
        <v>2944</v>
      </c>
      <c r="C8">
        <v>-2.4245362661989844E-14</v>
      </c>
      <c r="D8">
        <v>-2.4245362661989844E-14</v>
      </c>
      <c r="E8" t="s">
        <v>1745</v>
      </c>
      <c r="F8">
        <v>2023</v>
      </c>
      <c r="G8" t="s">
        <v>3767</v>
      </c>
      <c r="H8" s="6">
        <v>45209</v>
      </c>
      <c r="I8">
        <v>5</v>
      </c>
      <c r="J8">
        <v>-2.4245362661989844E-14</v>
      </c>
      <c r="K8">
        <v>193974</v>
      </c>
      <c r="L8" t="s">
        <v>2946</v>
      </c>
      <c r="O8" t="s">
        <v>3241</v>
      </c>
      <c r="P8">
        <v>4.087269</v>
      </c>
      <c r="Q8" t="s">
        <v>1786</v>
      </c>
      <c r="R8">
        <v>0.108293</v>
      </c>
      <c r="S8" t="s">
        <v>1742</v>
      </c>
      <c r="T8">
        <v>2025</v>
      </c>
      <c r="U8" t="s">
        <v>3655</v>
      </c>
      <c r="V8" s="6">
        <v>46009</v>
      </c>
      <c r="W8">
        <v>5</v>
      </c>
      <c r="X8">
        <v>30016772</v>
      </c>
      <c r="Y8">
        <v>117621</v>
      </c>
      <c r="Z8" t="s">
        <v>3242</v>
      </c>
      <c r="BI8" t="s">
        <v>2912</v>
      </c>
      <c r="BJ8" t="s">
        <v>1786</v>
      </c>
      <c r="BK8">
        <v>0.44491900000000001</v>
      </c>
      <c r="BL8">
        <v>7.1555999999999995E-2</v>
      </c>
      <c r="BM8" t="s">
        <v>1809</v>
      </c>
      <c r="BN8">
        <v>2025</v>
      </c>
      <c r="BO8" t="s">
        <v>2913</v>
      </c>
      <c r="BP8" s="6">
        <v>45787</v>
      </c>
      <c r="BQ8">
        <v>5</v>
      </c>
      <c r="BR8">
        <v>559570</v>
      </c>
      <c r="BS8">
        <v>100416</v>
      </c>
      <c r="BT8" t="s">
        <v>2914</v>
      </c>
      <c r="BW8" t="s">
        <v>2602</v>
      </c>
      <c r="BX8">
        <v>-2.4245362661989844E-14</v>
      </c>
      <c r="BZ8">
        <v>-2.4245362661989844E-14</v>
      </c>
      <c r="CA8" t="s">
        <v>1798</v>
      </c>
      <c r="CB8">
        <v>2025</v>
      </c>
      <c r="CC8" t="s">
        <v>2603</v>
      </c>
      <c r="CD8" s="6">
        <v>45975</v>
      </c>
      <c r="CE8">
        <v>5</v>
      </c>
      <c r="CF8">
        <v>-2.4245362661989844E-14</v>
      </c>
      <c r="CG8">
        <v>815829</v>
      </c>
      <c r="CH8" t="s">
        <v>2604</v>
      </c>
      <c r="HC8" t="s">
        <v>2386</v>
      </c>
      <c r="HD8" t="s">
        <v>1786</v>
      </c>
      <c r="HE8">
        <v>2.6461350000000001</v>
      </c>
      <c r="HF8">
        <v>3.5549309999999998</v>
      </c>
      <c r="HG8" t="s">
        <v>1742</v>
      </c>
      <c r="HH8">
        <v>2025</v>
      </c>
      <c r="HI8" t="s">
        <v>2387</v>
      </c>
      <c r="HJ8" s="6">
        <v>45763</v>
      </c>
      <c r="HK8">
        <v>5</v>
      </c>
      <c r="HL8">
        <v>173480608</v>
      </c>
      <c r="HM8">
        <v>136547</v>
      </c>
      <c r="HN8" t="s">
        <v>2388</v>
      </c>
      <c r="HQ8" t="s">
        <v>1885</v>
      </c>
      <c r="HR8">
        <v>2.5842719999999999</v>
      </c>
      <c r="HS8" t="s">
        <v>1820</v>
      </c>
      <c r="HT8">
        <v>1.4451639999999999</v>
      </c>
      <c r="HU8" t="s">
        <v>1762</v>
      </c>
      <c r="HV8">
        <v>2025</v>
      </c>
      <c r="HW8" t="s">
        <v>4062</v>
      </c>
      <c r="HX8" s="6">
        <v>45783</v>
      </c>
      <c r="HY8">
        <v>5</v>
      </c>
      <c r="HZ8">
        <v>361565504</v>
      </c>
      <c r="IA8">
        <v>216952</v>
      </c>
      <c r="IB8" t="s">
        <v>1886</v>
      </c>
      <c r="IG8" t="s">
        <v>3857</v>
      </c>
      <c r="IH8" t="s">
        <v>1786</v>
      </c>
      <c r="II8">
        <v>0.42969299999999999</v>
      </c>
      <c r="IJ8">
        <v>0.30826999999999999</v>
      </c>
      <c r="IK8" t="s">
        <v>1845</v>
      </c>
      <c r="IL8">
        <v>2024</v>
      </c>
      <c r="IM8" t="s">
        <v>3858</v>
      </c>
      <c r="IN8" s="6">
        <v>45681</v>
      </c>
      <c r="IO8">
        <v>5</v>
      </c>
      <c r="IP8">
        <v>3182736</v>
      </c>
      <c r="IQ8">
        <v>101682</v>
      </c>
      <c r="IR8" t="s">
        <v>3859</v>
      </c>
      <c r="JK8" t="s">
        <v>2975</v>
      </c>
      <c r="JL8" t="s">
        <v>1769</v>
      </c>
      <c r="JM8">
        <v>0.78817400000000004</v>
      </c>
      <c r="JN8">
        <v>1.4283000000000001E-2</v>
      </c>
      <c r="JO8" t="s">
        <v>1745</v>
      </c>
      <c r="JP8">
        <v>2025</v>
      </c>
      <c r="JQ8" t="s">
        <v>2976</v>
      </c>
      <c r="JR8" s="6">
        <v>46058</v>
      </c>
      <c r="JS8">
        <v>5</v>
      </c>
      <c r="JT8">
        <v>1958250</v>
      </c>
      <c r="JU8">
        <v>106045</v>
      </c>
      <c r="JV8" t="s">
        <v>2977</v>
      </c>
      <c r="JY8" t="s">
        <v>733</v>
      </c>
      <c r="JZ8">
        <v>-2.4245362661989844E-14</v>
      </c>
      <c r="KB8">
        <v>-2.4245362661989844E-14</v>
      </c>
      <c r="KC8" t="s">
        <v>1745</v>
      </c>
      <c r="KD8">
        <v>2022</v>
      </c>
      <c r="KE8" t="s">
        <v>3147</v>
      </c>
      <c r="KF8" s="6">
        <v>44986</v>
      </c>
      <c r="KG8">
        <v>5</v>
      </c>
      <c r="KH8">
        <v>-2.4245362661989844E-14</v>
      </c>
      <c r="KI8">
        <v>394590</v>
      </c>
      <c r="KJ8" t="s">
        <v>3148</v>
      </c>
      <c r="OA8" t="s">
        <v>2700</v>
      </c>
      <c r="OC8">
        <v>-2.4245362661989844E-14</v>
      </c>
      <c r="OD8">
        <v>-2.4245362661989844E-14</v>
      </c>
      <c r="OE8" t="s">
        <v>1745</v>
      </c>
      <c r="OF8">
        <v>2021</v>
      </c>
      <c r="OG8" t="s">
        <v>2701</v>
      </c>
      <c r="OH8" s="6">
        <v>44693</v>
      </c>
      <c r="OI8">
        <v>5</v>
      </c>
      <c r="OJ8">
        <v>-2.4245362661989844E-14</v>
      </c>
      <c r="OK8">
        <v>101139</v>
      </c>
      <c r="OL8" t="s">
        <v>2702</v>
      </c>
      <c r="OO8" t="s">
        <v>910</v>
      </c>
      <c r="OP8">
        <v>3.9194279999999999</v>
      </c>
      <c r="OQ8" t="s">
        <v>1820</v>
      </c>
      <c r="OR8">
        <v>0.175673</v>
      </c>
      <c r="OS8" t="s">
        <v>1762</v>
      </c>
      <c r="OT8">
        <v>2025</v>
      </c>
      <c r="OU8" t="s">
        <v>4612</v>
      </c>
      <c r="OV8" s="6">
        <v>45933</v>
      </c>
      <c r="OW8">
        <v>5</v>
      </c>
      <c r="OX8">
        <v>9939552</v>
      </c>
      <c r="OY8">
        <v>100995</v>
      </c>
      <c r="OZ8" t="s">
        <v>2390</v>
      </c>
      <c r="PE8" t="s">
        <v>86</v>
      </c>
      <c r="PG8">
        <v>-2.4245362661989844E-14</v>
      </c>
      <c r="PH8">
        <v>-2.4245362661989844E-14</v>
      </c>
      <c r="PI8" t="s">
        <v>1745</v>
      </c>
      <c r="PJ8">
        <v>2021</v>
      </c>
      <c r="PK8" t="s">
        <v>2299</v>
      </c>
      <c r="PL8" s="6">
        <v>44693</v>
      </c>
      <c r="PM8">
        <v>5</v>
      </c>
      <c r="PN8">
        <v>-2.4245362661989844E-14</v>
      </c>
      <c r="PO8">
        <v>100193</v>
      </c>
      <c r="PP8" t="s">
        <v>1849</v>
      </c>
      <c r="PS8" t="s">
        <v>4235</v>
      </c>
      <c r="PT8">
        <v>-2.4245362661989844E-14</v>
      </c>
      <c r="PV8">
        <v>-2.4245362661989844E-14</v>
      </c>
      <c r="PW8" t="s">
        <v>1745</v>
      </c>
      <c r="PX8">
        <v>2022</v>
      </c>
      <c r="PY8" t="s">
        <v>4233</v>
      </c>
      <c r="PZ8" s="6">
        <v>45071</v>
      </c>
      <c r="QA8">
        <v>5</v>
      </c>
      <c r="QB8">
        <v>-2.4245362661989844E-14</v>
      </c>
      <c r="QC8">
        <v>1732131</v>
      </c>
      <c r="QD8" t="s">
        <v>4236</v>
      </c>
      <c r="QI8" t="s">
        <v>34</v>
      </c>
      <c r="QJ8" t="s">
        <v>1786</v>
      </c>
      <c r="QK8">
        <v>0.120531</v>
      </c>
      <c r="QL8">
        <v>0.27725100000000003</v>
      </c>
      <c r="QM8" t="s">
        <v>1845</v>
      </c>
      <c r="QN8">
        <v>2025</v>
      </c>
      <c r="QO8" t="s">
        <v>1883</v>
      </c>
      <c r="QP8" s="6">
        <v>45848</v>
      </c>
      <c r="QQ8">
        <v>5</v>
      </c>
      <c r="QR8">
        <v>19168044</v>
      </c>
      <c r="QS8">
        <v>101752</v>
      </c>
      <c r="QT8" t="s">
        <v>2723</v>
      </c>
      <c r="QW8" t="s">
        <v>1833</v>
      </c>
      <c r="QX8">
        <v>1.3261999999999999E-2</v>
      </c>
      <c r="QY8" t="s">
        <v>1786</v>
      </c>
      <c r="QZ8">
        <v>5.7949999999999998E-3</v>
      </c>
      <c r="RA8" t="s">
        <v>1809</v>
      </c>
      <c r="RB8">
        <v>2026</v>
      </c>
      <c r="RC8" t="s">
        <v>1834</v>
      </c>
      <c r="RD8" s="6">
        <v>45898</v>
      </c>
      <c r="RE8">
        <v>5</v>
      </c>
      <c r="RF8">
        <v>1229606.6399999999</v>
      </c>
      <c r="RG8">
        <v>112370</v>
      </c>
      <c r="RH8" t="s">
        <v>1835</v>
      </c>
      <c r="RM8" t="s">
        <v>2808</v>
      </c>
      <c r="RN8" t="s">
        <v>1786</v>
      </c>
      <c r="RO8">
        <v>1.1725810000000001</v>
      </c>
      <c r="RP8">
        <v>0.15703400000000001</v>
      </c>
      <c r="RQ8" t="s">
        <v>1809</v>
      </c>
      <c r="RR8">
        <v>2026</v>
      </c>
      <c r="RS8" t="s">
        <v>2809</v>
      </c>
      <c r="RT8" s="6">
        <v>46051</v>
      </c>
      <c r="RU8">
        <v>5</v>
      </c>
      <c r="RV8">
        <v>4510016</v>
      </c>
      <c r="RW8">
        <v>225757</v>
      </c>
      <c r="RX8" t="s">
        <v>2810</v>
      </c>
      <c r="SA8" t="s">
        <v>2591</v>
      </c>
      <c r="SB8">
        <v>6.6940000000000003E-3</v>
      </c>
      <c r="SC8" t="s">
        <v>1786</v>
      </c>
      <c r="SD8">
        <v>5.5948409999999997</v>
      </c>
      <c r="SE8" t="s">
        <v>1745</v>
      </c>
      <c r="SF8">
        <v>2024</v>
      </c>
      <c r="SG8" t="s">
        <v>2592</v>
      </c>
      <c r="SH8" s="6">
        <v>45819</v>
      </c>
      <c r="SI8">
        <v>5</v>
      </c>
      <c r="SJ8">
        <v>402911.11</v>
      </c>
      <c r="SK8">
        <v>15291339</v>
      </c>
      <c r="SL8" t="s">
        <v>2593</v>
      </c>
      <c r="TU8" t="s">
        <v>2922</v>
      </c>
      <c r="TV8" t="s">
        <v>1786</v>
      </c>
      <c r="TW8">
        <v>17</v>
      </c>
      <c r="TX8">
        <v>3.5607669999999998</v>
      </c>
      <c r="TY8" t="s">
        <v>1745</v>
      </c>
      <c r="TZ8">
        <v>2025</v>
      </c>
      <c r="UA8" t="s">
        <v>2923</v>
      </c>
      <c r="UB8" s="6">
        <v>46077</v>
      </c>
      <c r="UC8">
        <v>5</v>
      </c>
      <c r="UD8">
        <v>452395488</v>
      </c>
      <c r="UE8">
        <v>210870</v>
      </c>
      <c r="UF8" t="s">
        <v>2924</v>
      </c>
      <c r="UI8" t="s">
        <v>840</v>
      </c>
      <c r="UJ8">
        <v>1.3672E-2</v>
      </c>
      <c r="UK8" t="s">
        <v>1786</v>
      </c>
      <c r="UL8">
        <v>7.3932999999999999E-2</v>
      </c>
      <c r="UM8" t="s">
        <v>1762</v>
      </c>
      <c r="UN8">
        <v>2026</v>
      </c>
      <c r="UO8" t="s">
        <v>2640</v>
      </c>
      <c r="UP8" s="6">
        <v>46063</v>
      </c>
      <c r="UQ8">
        <v>5</v>
      </c>
      <c r="UR8">
        <v>4181589</v>
      </c>
      <c r="US8">
        <v>100142</v>
      </c>
      <c r="UT8" t="s">
        <v>2200</v>
      </c>
    </row>
    <row r="9" spans="1:600" x14ac:dyDescent="0.25">
      <c r="A9" t="s">
        <v>3768</v>
      </c>
      <c r="C9">
        <v>-2.4245362661989844E-14</v>
      </c>
      <c r="D9">
        <v>-2.4245362661989844E-14</v>
      </c>
      <c r="E9" t="s">
        <v>1745</v>
      </c>
      <c r="F9">
        <v>2024</v>
      </c>
      <c r="G9" t="s">
        <v>3769</v>
      </c>
      <c r="H9" s="6">
        <v>45775</v>
      </c>
      <c r="I9">
        <v>5</v>
      </c>
      <c r="J9">
        <v>-2.4245362661989844E-14</v>
      </c>
      <c r="K9">
        <v>49147296</v>
      </c>
      <c r="L9" t="s">
        <v>3770</v>
      </c>
      <c r="O9" t="s">
        <v>3625</v>
      </c>
      <c r="P9">
        <v>3.999234</v>
      </c>
      <c r="Q9" t="s">
        <v>1786</v>
      </c>
      <c r="R9">
        <v>0.27762799999999999</v>
      </c>
      <c r="S9" t="s">
        <v>1742</v>
      </c>
      <c r="T9">
        <v>2025</v>
      </c>
      <c r="U9" t="s">
        <v>3655</v>
      </c>
      <c r="V9" s="6">
        <v>46009</v>
      </c>
      <c r="W9">
        <v>5</v>
      </c>
      <c r="X9">
        <v>29370244</v>
      </c>
      <c r="Y9">
        <v>1459396</v>
      </c>
      <c r="Z9" t="s">
        <v>3626</v>
      </c>
      <c r="BI9" t="s">
        <v>2915</v>
      </c>
      <c r="BJ9" t="s">
        <v>1786</v>
      </c>
      <c r="BK9">
        <v>4.2673999999999997E-2</v>
      </c>
      <c r="BL9">
        <v>5.7613999999999999E-2</v>
      </c>
      <c r="BM9" t="s">
        <v>1742</v>
      </c>
      <c r="BN9">
        <v>2025</v>
      </c>
      <c r="BO9" t="s">
        <v>2916</v>
      </c>
      <c r="BP9" s="6">
        <v>45905</v>
      </c>
      <c r="BQ9">
        <v>5</v>
      </c>
      <c r="BR9">
        <v>489723</v>
      </c>
      <c r="BS9">
        <v>104365</v>
      </c>
      <c r="BT9" t="s">
        <v>2917</v>
      </c>
      <c r="BW9" t="s">
        <v>2605</v>
      </c>
      <c r="BX9">
        <v>-2.4245362661989844E-14</v>
      </c>
      <c r="BZ9">
        <v>-2.4245362661989844E-14</v>
      </c>
      <c r="CA9" t="s">
        <v>1745</v>
      </c>
      <c r="CB9">
        <v>2024</v>
      </c>
      <c r="CC9" t="s">
        <v>2606</v>
      </c>
      <c r="CD9" s="6">
        <v>45512</v>
      </c>
      <c r="CE9">
        <v>5</v>
      </c>
      <c r="CF9">
        <v>-2.4245362661989844E-14</v>
      </c>
      <c r="CG9">
        <v>36817400</v>
      </c>
      <c r="CH9" t="s">
        <v>2607</v>
      </c>
      <c r="HC9" t="s">
        <v>3919</v>
      </c>
      <c r="HD9" t="s">
        <v>1786</v>
      </c>
      <c r="HE9">
        <v>18.200001</v>
      </c>
      <c r="HF9">
        <v>3.1899000000000002</v>
      </c>
      <c r="HG9" t="s">
        <v>1745</v>
      </c>
      <c r="HH9">
        <v>2025</v>
      </c>
      <c r="HI9" t="s">
        <v>4118</v>
      </c>
      <c r="HJ9" s="6">
        <v>45888</v>
      </c>
      <c r="HK9">
        <v>5</v>
      </c>
      <c r="HL9">
        <v>155579376</v>
      </c>
      <c r="HM9">
        <v>9858567</v>
      </c>
      <c r="HN9" t="s">
        <v>3921</v>
      </c>
      <c r="HQ9" t="s">
        <v>1287</v>
      </c>
      <c r="HR9">
        <v>1.966375</v>
      </c>
      <c r="HS9" t="s">
        <v>1820</v>
      </c>
      <c r="HT9">
        <v>5.4308940000000003</v>
      </c>
      <c r="HU9" t="s">
        <v>1762</v>
      </c>
      <c r="HV9">
        <v>2025</v>
      </c>
      <c r="HW9" t="s">
        <v>4062</v>
      </c>
      <c r="HX9" s="6">
        <v>45783</v>
      </c>
      <c r="HY9">
        <v>5</v>
      </c>
      <c r="HZ9">
        <v>275115520</v>
      </c>
      <c r="IA9">
        <v>101376</v>
      </c>
      <c r="IB9" t="s">
        <v>1895</v>
      </c>
      <c r="IG9" t="s">
        <v>240</v>
      </c>
      <c r="IH9" t="s">
        <v>1786</v>
      </c>
      <c r="II9">
        <v>0.11576599999999999</v>
      </c>
      <c r="IJ9">
        <v>0.30487399999999998</v>
      </c>
      <c r="IK9" t="s">
        <v>1742</v>
      </c>
      <c r="IL9">
        <v>2024</v>
      </c>
      <c r="IM9" t="s">
        <v>3860</v>
      </c>
      <c r="IN9" s="6">
        <v>45679</v>
      </c>
      <c r="IO9">
        <v>5</v>
      </c>
      <c r="IP9">
        <v>3147678</v>
      </c>
      <c r="IQ9">
        <v>105429</v>
      </c>
      <c r="IR9" t="s">
        <v>3861</v>
      </c>
      <c r="JK9" t="s">
        <v>2978</v>
      </c>
      <c r="JL9" t="s">
        <v>1769</v>
      </c>
      <c r="JM9">
        <v>0.777281</v>
      </c>
      <c r="JN9">
        <v>1.0723999999999999E-2</v>
      </c>
      <c r="JO9" t="s">
        <v>1745</v>
      </c>
      <c r="JP9">
        <v>2024</v>
      </c>
      <c r="JQ9" t="s">
        <v>2979</v>
      </c>
      <c r="JR9" s="6">
        <v>45694</v>
      </c>
      <c r="JS9">
        <v>5</v>
      </c>
      <c r="JT9">
        <v>1463750</v>
      </c>
      <c r="JU9">
        <v>106543</v>
      </c>
      <c r="JV9" t="s">
        <v>2980</v>
      </c>
      <c r="JY9" t="s">
        <v>3149</v>
      </c>
      <c r="JZ9">
        <v>-2.4245362661989844E-14</v>
      </c>
      <c r="KB9">
        <v>-2.4245362661989844E-14</v>
      </c>
      <c r="KC9" t="s">
        <v>1745</v>
      </c>
      <c r="KD9">
        <v>2023</v>
      </c>
      <c r="KE9" t="s">
        <v>3150</v>
      </c>
      <c r="KF9" s="6">
        <v>45175</v>
      </c>
      <c r="KG9">
        <v>5</v>
      </c>
      <c r="KH9">
        <v>-2.4245362661989844E-14</v>
      </c>
      <c r="KI9">
        <v>100555</v>
      </c>
      <c r="KJ9" t="s">
        <v>3151</v>
      </c>
      <c r="OA9" t="s">
        <v>1090</v>
      </c>
      <c r="OC9">
        <v>-2.4245362661989844E-14</v>
      </c>
      <c r="OD9">
        <v>-2.4245362661989844E-14</v>
      </c>
      <c r="OE9" t="s">
        <v>1745</v>
      </c>
      <c r="OF9">
        <v>2021</v>
      </c>
      <c r="OG9" t="s">
        <v>2027</v>
      </c>
      <c r="OH9" s="6">
        <v>44693</v>
      </c>
      <c r="OI9">
        <v>5</v>
      </c>
      <c r="OJ9">
        <v>-2.4245362661989844E-14</v>
      </c>
      <c r="OK9">
        <v>350245</v>
      </c>
      <c r="OL9" t="s">
        <v>3360</v>
      </c>
      <c r="OO9" t="s">
        <v>168</v>
      </c>
      <c r="OP9">
        <v>1.0252270000000001</v>
      </c>
      <c r="OQ9" t="s">
        <v>1820</v>
      </c>
      <c r="OR9">
        <v>7.3237999999999998E-2</v>
      </c>
      <c r="OS9" t="s">
        <v>1762</v>
      </c>
      <c r="OT9">
        <v>2025</v>
      </c>
      <c r="OU9" t="s">
        <v>4612</v>
      </c>
      <c r="OV9" s="6">
        <v>45933</v>
      </c>
      <c r="OW9">
        <v>5</v>
      </c>
      <c r="OX9">
        <v>2599945</v>
      </c>
      <c r="OY9">
        <v>101729</v>
      </c>
      <c r="OZ9" t="s">
        <v>2246</v>
      </c>
      <c r="PE9" t="s">
        <v>2300</v>
      </c>
      <c r="PG9">
        <v>-2.4245362661989844E-14</v>
      </c>
      <c r="PH9">
        <v>-2.4245362661989844E-14</v>
      </c>
      <c r="PI9" t="s">
        <v>1745</v>
      </c>
      <c r="PJ9">
        <v>2021</v>
      </c>
      <c r="PK9" t="s">
        <v>2301</v>
      </c>
      <c r="PL9" s="6">
        <v>44693</v>
      </c>
      <c r="PM9">
        <v>5</v>
      </c>
      <c r="PN9">
        <v>-2.4245362661989844E-14</v>
      </c>
      <c r="PO9">
        <v>100760</v>
      </c>
      <c r="PP9" t="s">
        <v>2302</v>
      </c>
      <c r="PS9" t="s">
        <v>1792</v>
      </c>
      <c r="PT9">
        <v>-2.4245362661989844E-14</v>
      </c>
      <c r="PV9">
        <v>-2.4245362661989844E-14</v>
      </c>
      <c r="PW9" t="s">
        <v>1745</v>
      </c>
      <c r="PX9">
        <v>2022</v>
      </c>
      <c r="PY9" t="s">
        <v>4237</v>
      </c>
      <c r="PZ9" s="6">
        <v>44879</v>
      </c>
      <c r="QA9">
        <v>5</v>
      </c>
      <c r="QB9">
        <v>-2.4245362661989844E-14</v>
      </c>
      <c r="QC9">
        <v>962217</v>
      </c>
      <c r="QD9" t="s">
        <v>1794</v>
      </c>
      <c r="QI9" t="s">
        <v>4159</v>
      </c>
      <c r="QJ9" t="s">
        <v>1786</v>
      </c>
      <c r="QK9">
        <v>2.7051590000000001</v>
      </c>
      <c r="QL9">
        <v>0.22257099999999999</v>
      </c>
      <c r="QM9" t="s">
        <v>1742</v>
      </c>
      <c r="QN9">
        <v>2025</v>
      </c>
      <c r="QO9" t="s">
        <v>4160</v>
      </c>
      <c r="QP9" s="6">
        <v>45968</v>
      </c>
      <c r="QQ9">
        <v>5</v>
      </c>
      <c r="QR9">
        <v>16290902.26</v>
      </c>
      <c r="QS9">
        <v>111669</v>
      </c>
      <c r="QT9" t="s">
        <v>4161</v>
      </c>
      <c r="QW9" t="s">
        <v>4310</v>
      </c>
      <c r="QX9">
        <v>6.1339999999999997E-3</v>
      </c>
      <c r="QY9" t="s">
        <v>1786</v>
      </c>
      <c r="QZ9">
        <v>2.9446E-2</v>
      </c>
      <c r="RA9" t="s">
        <v>1742</v>
      </c>
      <c r="RB9">
        <v>2025</v>
      </c>
      <c r="RC9" t="s">
        <v>4311</v>
      </c>
      <c r="RD9" s="6">
        <v>46041</v>
      </c>
      <c r="RE9">
        <v>5</v>
      </c>
      <c r="RF9">
        <v>587247.9</v>
      </c>
      <c r="RG9">
        <v>221436</v>
      </c>
      <c r="RH9" t="s">
        <v>4312</v>
      </c>
      <c r="RM9" t="s">
        <v>195</v>
      </c>
      <c r="RN9" t="s">
        <v>1769</v>
      </c>
      <c r="RO9">
        <v>5.9742000000000003E-2</v>
      </c>
      <c r="RP9">
        <v>0.18884000000000001</v>
      </c>
      <c r="RQ9" t="s">
        <v>1762</v>
      </c>
      <c r="RR9">
        <v>2025</v>
      </c>
      <c r="RS9" t="s">
        <v>2268</v>
      </c>
      <c r="RT9" s="6">
        <v>45838</v>
      </c>
      <c r="RU9">
        <v>5</v>
      </c>
      <c r="RV9">
        <v>3508648</v>
      </c>
      <c r="RW9">
        <v>101689</v>
      </c>
      <c r="RX9" t="s">
        <v>2269</v>
      </c>
      <c r="SA9" t="s">
        <v>2594</v>
      </c>
      <c r="SB9">
        <v>5.1640000000000002E-3</v>
      </c>
      <c r="SC9" t="s">
        <v>1786</v>
      </c>
      <c r="SD9">
        <v>5.0558560000000003</v>
      </c>
      <c r="SE9" t="s">
        <v>1745</v>
      </c>
      <c r="SF9">
        <v>2024</v>
      </c>
      <c r="SG9" t="s">
        <v>2595</v>
      </c>
      <c r="SH9" s="6">
        <v>45814</v>
      </c>
      <c r="SI9">
        <v>5</v>
      </c>
      <c r="SJ9">
        <v>310853.61</v>
      </c>
      <c r="SK9">
        <v>36034450</v>
      </c>
      <c r="SL9" t="s">
        <v>2596</v>
      </c>
      <c r="TU9" t="s">
        <v>2671</v>
      </c>
      <c r="TV9" t="s">
        <v>1820</v>
      </c>
      <c r="TW9">
        <v>24.9</v>
      </c>
      <c r="TX9">
        <v>7.4053610000000001</v>
      </c>
      <c r="TY9" t="s">
        <v>1742</v>
      </c>
      <c r="TZ9">
        <v>2026</v>
      </c>
      <c r="UA9" t="s">
        <v>2925</v>
      </c>
      <c r="UB9" s="6">
        <v>45981</v>
      </c>
      <c r="UC9">
        <v>5</v>
      </c>
      <c r="UD9">
        <v>361900000</v>
      </c>
      <c r="UE9">
        <v>100487</v>
      </c>
      <c r="UF9" t="s">
        <v>2673</v>
      </c>
      <c r="UI9" t="s">
        <v>2641</v>
      </c>
      <c r="UJ9">
        <v>7.0479999999999996E-3</v>
      </c>
      <c r="UK9" t="s">
        <v>1786</v>
      </c>
      <c r="UL9">
        <v>0.37631900000000001</v>
      </c>
      <c r="UM9" t="s">
        <v>1845</v>
      </c>
      <c r="UN9">
        <v>2024</v>
      </c>
      <c r="UO9" t="s">
        <v>2642</v>
      </c>
      <c r="UP9" s="6">
        <v>45742</v>
      </c>
      <c r="UQ9">
        <v>5</v>
      </c>
      <c r="UR9">
        <v>2163480.08</v>
      </c>
      <c r="US9">
        <v>153672</v>
      </c>
      <c r="UT9" t="s">
        <v>2643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1289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1290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1291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1292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1293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1294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1295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1296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1297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1298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1299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1300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1301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1302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1303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1304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1305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1306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1307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535</v>
      </c>
      <c r="AE2" s="3" t="s">
        <v>1308</v>
      </c>
      <c r="BI2" s="3" t="s">
        <v>1309</v>
      </c>
      <c r="CM2" s="3" t="s">
        <v>201</v>
      </c>
      <c r="DQ2" s="3" t="s">
        <v>1146</v>
      </c>
      <c r="EU2" s="3" t="s">
        <v>1310</v>
      </c>
      <c r="FY2" s="3" t="s">
        <v>121</v>
      </c>
      <c r="HC2" s="3" t="s">
        <v>1311</v>
      </c>
      <c r="IG2" s="3" t="s">
        <v>535</v>
      </c>
      <c r="JK2" s="3" t="s">
        <v>1312</v>
      </c>
      <c r="KO2" s="3" t="s">
        <v>1313</v>
      </c>
      <c r="LS2" s="3" t="s">
        <v>1314</v>
      </c>
      <c r="MW2" s="3" t="s">
        <v>86</v>
      </c>
      <c r="OA2" s="3" t="s">
        <v>1315</v>
      </c>
      <c r="PE2" s="3" t="s">
        <v>1316</v>
      </c>
      <c r="QI2" s="3" t="s">
        <v>1317</v>
      </c>
      <c r="RM2" s="3" t="s">
        <v>1041</v>
      </c>
      <c r="SQ2" s="3" t="s">
        <v>1318</v>
      </c>
      <c r="TU2" s="3" t="s">
        <v>1319</v>
      </c>
      <c r="UY2" s="3" t="s">
        <v>234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_xll.BDS("TFC US Equity","SUPPLY_CHAIN_SUPPLIERS_ALL_DATA","cols=12;rows=5")</f>
        <v>ADBE US Equity</v>
      </c>
      <c r="B5" t="s">
        <v>1769</v>
      </c>
      <c r="C5">
        <v>9.3438999999999994E-2</v>
      </c>
      <c r="D5">
        <v>0.18883900000000001</v>
      </c>
      <c r="E5" t="s">
        <v>1762</v>
      </c>
      <c r="F5">
        <v>2025</v>
      </c>
      <c r="G5" t="s">
        <v>2268</v>
      </c>
      <c r="H5" s="6">
        <v>45838</v>
      </c>
      <c r="I5">
        <v>5</v>
      </c>
      <c r="J5">
        <v>5487672</v>
      </c>
      <c r="K5">
        <v>101689</v>
      </c>
      <c r="L5" t="s">
        <v>2269</v>
      </c>
      <c r="O5" t="str">
        <f>_xll.BDS("TFC US Equity","SUPPLY_CHAIN_CUSTOMERS_ALL_DATA","cols=12;rows=1")</f>
        <v>RENG IN Equity</v>
      </c>
      <c r="P5">
        <v>-2.4245362661989844E-14</v>
      </c>
      <c r="R5">
        <v>-2.4245362661989844E-14</v>
      </c>
      <c r="S5" t="s">
        <v>1745</v>
      </c>
      <c r="T5">
        <v>2025</v>
      </c>
      <c r="U5" t="s">
        <v>1952</v>
      </c>
      <c r="V5" s="6">
        <v>45901</v>
      </c>
      <c r="W5">
        <v>1</v>
      </c>
      <c r="X5">
        <v>-2.4245362661989844E-14</v>
      </c>
      <c r="Y5">
        <v>182734</v>
      </c>
      <c r="Z5" t="s">
        <v>1953</v>
      </c>
      <c r="AE5" t="str">
        <f>_xll.BDS("78651Q US Equity","SUPPLY_CHAIN_SUPPLIERS_ALL_DATA")</f>
        <v>#N/A N/A</v>
      </c>
      <c r="AS5" t="str">
        <f>_xll.BDS("78651Q US Equity","SUPPLY_CHAIN_CUSTOMERS_ALL_DATA")</f>
        <v>#N/A N/A</v>
      </c>
      <c r="BI5" t="str">
        <f>_xll.BDS("MBFI US Equity","SUPPLY_CHAIN_SUPPLIERS_ALL_DATA")</f>
        <v>#N/A N/A</v>
      </c>
      <c r="BW5" t="str">
        <f>_xll.BDS("MBFI US Equity","SUPPLY_CHAIN_CUSTOMERS_ALL_DATA")</f>
        <v>#N/A N/A</v>
      </c>
      <c r="CM5" t="str">
        <f>_xll.BDS("AGN US Equity","SUPPLY_CHAIN_SUPPLIERS_ALL_DATA","cols=12;rows=5")</f>
        <v>AEE US Equity</v>
      </c>
      <c r="CO5">
        <v>-2.4245362661989844E-14</v>
      </c>
      <c r="CP5">
        <v>-2.4245362661989844E-14</v>
      </c>
      <c r="CQ5" t="s">
        <v>1745</v>
      </c>
      <c r="CR5">
        <v>2021</v>
      </c>
      <c r="CS5" t="s">
        <v>2281</v>
      </c>
      <c r="CT5" s="6">
        <v>44693</v>
      </c>
      <c r="CU5">
        <v>5</v>
      </c>
      <c r="CV5">
        <v>-2.4245362661989844E-14</v>
      </c>
      <c r="CW5">
        <v>313098</v>
      </c>
      <c r="CX5" t="s">
        <v>2282</v>
      </c>
      <c r="DA5" t="str">
        <f>_xll.BDS("AGN US Equity","SUPPLY_CHAIN_CUSTOMERS_ALL_DATA","cols=12;rows=1")</f>
        <v>4569 JP Equity</v>
      </c>
      <c r="DB5">
        <v>-2.4245362661989844E-14</v>
      </c>
      <c r="DD5">
        <v>-2.4245362661989844E-14</v>
      </c>
      <c r="DE5" t="s">
        <v>1745</v>
      </c>
      <c r="DF5">
        <v>2022</v>
      </c>
      <c r="DG5" t="s">
        <v>3152</v>
      </c>
      <c r="DH5" s="6">
        <v>44736</v>
      </c>
      <c r="DI5">
        <v>1</v>
      </c>
      <c r="DJ5">
        <v>-2.4245362661989844E-14</v>
      </c>
      <c r="DK5">
        <v>10499395</v>
      </c>
      <c r="DL5" t="s">
        <v>3153</v>
      </c>
      <c r="DQ5" t="str">
        <f>_xll.BDS("KIM US Equity","SUPPLY_CHAIN_SUPPLIERS_ALL_DATA","cols=12;rows=1")</f>
        <v>WOOD IJ Equity</v>
      </c>
      <c r="DS5">
        <v>-2.4245362661989844E-14</v>
      </c>
      <c r="DT5">
        <v>-2.4245362661989844E-14</v>
      </c>
      <c r="DU5" t="s">
        <v>1745</v>
      </c>
      <c r="DV5">
        <v>2023</v>
      </c>
      <c r="DW5" t="s">
        <v>3306</v>
      </c>
      <c r="DX5" s="6">
        <v>45412</v>
      </c>
      <c r="DY5">
        <v>1</v>
      </c>
      <c r="DZ5">
        <v>-2.4245362661989844E-14</v>
      </c>
      <c r="EA5">
        <v>53777122</v>
      </c>
      <c r="EB5" t="s">
        <v>3307</v>
      </c>
      <c r="EE5" t="str">
        <f>_xll.BDS("KIM US Equity","SUPPLY_CHAIN_CUSTOMERS_ALL_DATA","cols=12;rows=5")</f>
        <v>TJX US Equity</v>
      </c>
      <c r="EF5">
        <v>3.0607549999999999</v>
      </c>
      <c r="EG5" t="s">
        <v>1769</v>
      </c>
      <c r="EH5">
        <v>0.57157999999999998</v>
      </c>
      <c r="EI5" t="s">
        <v>1745</v>
      </c>
      <c r="EJ5">
        <v>2024</v>
      </c>
      <c r="EK5" t="s">
        <v>3652</v>
      </c>
      <c r="EL5" s="6">
        <v>45695</v>
      </c>
      <c r="EM5">
        <v>5</v>
      </c>
      <c r="EN5">
        <v>15587000</v>
      </c>
      <c r="EO5">
        <v>101481</v>
      </c>
      <c r="EP5" t="s">
        <v>1966</v>
      </c>
      <c r="EU5" t="str">
        <f>_xll.BDS("ONEX CN Equity","SUPPLY_CHAIN_SUPPLIERS_ALL_DATA","cols=12;rows=5")</f>
        <v>ASURB MM Equity</v>
      </c>
      <c r="EV5" t="s">
        <v>1786</v>
      </c>
      <c r="EW5">
        <v>1.199136</v>
      </c>
      <c r="EX5">
        <v>7.1921179999999998</v>
      </c>
      <c r="EY5" t="s">
        <v>1745</v>
      </c>
      <c r="EZ5">
        <v>2024</v>
      </c>
      <c r="FA5" t="s">
        <v>3315</v>
      </c>
      <c r="FB5" s="6">
        <v>45757</v>
      </c>
      <c r="FC5">
        <v>5</v>
      </c>
      <c r="FD5">
        <v>5153367.1100000003</v>
      </c>
      <c r="FE5">
        <v>1414628</v>
      </c>
      <c r="FF5" t="s">
        <v>3316</v>
      </c>
      <c r="FI5" t="str">
        <f>_xll.BDS("ONEX CN Equity","SUPPLY_CHAIN_CUSTOMERS_ALL_DATA","cols=12;rows=5")</f>
        <v>603648 CH Equity</v>
      </c>
      <c r="FJ5">
        <v>4.1199999999999999E-4</v>
      </c>
      <c r="FK5" t="s">
        <v>1786</v>
      </c>
      <c r="FL5">
        <v>1.7570000000000001E-3</v>
      </c>
      <c r="FM5" t="s">
        <v>1745</v>
      </c>
      <c r="FN5">
        <v>2024</v>
      </c>
      <c r="FO5" t="s">
        <v>3188</v>
      </c>
      <c r="FP5" s="6">
        <v>45774</v>
      </c>
      <c r="FQ5">
        <v>5</v>
      </c>
      <c r="FR5">
        <v>725.94</v>
      </c>
      <c r="FS5">
        <v>22884053</v>
      </c>
      <c r="FT5" t="s">
        <v>3189</v>
      </c>
      <c r="FY5" t="str">
        <f>_xll.BDS("IBM US Equity","SUPPLY_CHAIN_SUPPLIERS_ALL_DATA","cols=12;rows=5")</f>
        <v>005930 KS Equity</v>
      </c>
      <c r="FZ5" t="s">
        <v>1786</v>
      </c>
      <c r="GA5">
        <v>0.49490499999999998</v>
      </c>
      <c r="GB5">
        <v>4.1423690000000004</v>
      </c>
      <c r="GC5" t="s">
        <v>1809</v>
      </c>
      <c r="GD5">
        <v>2025</v>
      </c>
      <c r="GE5" t="s">
        <v>2035</v>
      </c>
      <c r="GF5" s="6">
        <v>45797</v>
      </c>
      <c r="GG5">
        <v>5</v>
      </c>
      <c r="GH5">
        <v>269668224</v>
      </c>
      <c r="GI5">
        <v>117929</v>
      </c>
      <c r="GJ5" t="s">
        <v>1791</v>
      </c>
      <c r="GM5" t="str">
        <f>_xll.BDS("IBM US Equity","SUPPLY_CHAIN_CUSTOMERS_ALL_DATA","cols=12;rows=5")</f>
        <v>AMZN US Equity</v>
      </c>
      <c r="GN5">
        <v>4.454224</v>
      </c>
      <c r="GO5" t="s">
        <v>1786</v>
      </c>
      <c r="GP5">
        <v>0.84141600000000005</v>
      </c>
      <c r="GQ5" t="s">
        <v>1809</v>
      </c>
      <c r="GR5">
        <v>2025</v>
      </c>
      <c r="GS5" t="s">
        <v>2035</v>
      </c>
      <c r="GT5" s="6">
        <v>45797</v>
      </c>
      <c r="GU5">
        <v>5</v>
      </c>
      <c r="GV5">
        <v>647688704</v>
      </c>
      <c r="GW5">
        <v>216952</v>
      </c>
      <c r="GX5" t="s">
        <v>1886</v>
      </c>
      <c r="HC5" t="str">
        <f>_xll.BDS("NOV US Equity","SUPPLY_CHAIN_SUPPLIERS_ALL_DATA","cols=12;rows=5")</f>
        <v>OERL SW Equity</v>
      </c>
      <c r="HD5" t="s">
        <v>1786</v>
      </c>
      <c r="HE5">
        <v>0.48962800000000001</v>
      </c>
      <c r="HF5">
        <v>0.18532199999999999</v>
      </c>
      <c r="HG5" t="s">
        <v>1845</v>
      </c>
      <c r="HH5">
        <v>2024</v>
      </c>
      <c r="HI5" t="s">
        <v>2488</v>
      </c>
      <c r="HJ5" s="6">
        <v>45719</v>
      </c>
      <c r="HK5">
        <v>5</v>
      </c>
      <c r="HL5">
        <v>3366520.82</v>
      </c>
      <c r="HM5">
        <v>117826</v>
      </c>
      <c r="HN5" t="s">
        <v>2489</v>
      </c>
      <c r="HQ5" t="str">
        <f>_xll.BDS("NOV US Equity","SUPPLY_CHAIN_CUSTOMERS_ALL_DATA","cols=12;rows=5")</f>
        <v>329180 KS Equity</v>
      </c>
      <c r="HR5">
        <v>-2.4245362661989844E-14</v>
      </c>
      <c r="HT5">
        <v>-2.4245362661989844E-14</v>
      </c>
      <c r="HU5" t="s">
        <v>1798</v>
      </c>
      <c r="HV5">
        <v>2022</v>
      </c>
      <c r="HW5" t="s">
        <v>1974</v>
      </c>
      <c r="HX5" s="6">
        <v>44879</v>
      </c>
      <c r="HY5">
        <v>5</v>
      </c>
      <c r="HZ5">
        <v>-2.4245362661989844E-14</v>
      </c>
      <c r="IA5">
        <v>65893902</v>
      </c>
      <c r="IB5" t="s">
        <v>1975</v>
      </c>
      <c r="IG5" t="str">
        <f>_xll.BDS("TFC US Equity","SUPPLY_CHAIN_SUPPLIERS_ALL_DATA","cols=12;rows=5")</f>
        <v>ADBE US Equity</v>
      </c>
      <c r="IH5" t="s">
        <v>1769</v>
      </c>
      <c r="II5">
        <v>9.3438999999999994E-2</v>
      </c>
      <c r="IJ5">
        <v>0.18883900000000001</v>
      </c>
      <c r="IK5" t="s">
        <v>1762</v>
      </c>
      <c r="IL5">
        <v>2025</v>
      </c>
      <c r="IM5" t="s">
        <v>2268</v>
      </c>
      <c r="IN5" s="6">
        <v>45838</v>
      </c>
      <c r="IO5">
        <v>5</v>
      </c>
      <c r="IP5">
        <v>5487672</v>
      </c>
      <c r="IQ5">
        <v>101689</v>
      </c>
      <c r="IR5" t="s">
        <v>2269</v>
      </c>
      <c r="IU5" t="str">
        <f>_xll.BDS("TFC US Equity","SUPPLY_CHAIN_CUSTOMERS_ALL_DATA","cols=12;rows=1")</f>
        <v>RENG IN Equity</v>
      </c>
      <c r="IV5">
        <v>-2.4245362661989844E-14</v>
      </c>
      <c r="IX5">
        <v>-2.4245362661989844E-14</v>
      </c>
      <c r="IY5" t="s">
        <v>1745</v>
      </c>
      <c r="IZ5">
        <v>2025</v>
      </c>
      <c r="JA5" t="s">
        <v>1952</v>
      </c>
      <c r="JB5" s="6">
        <v>45901</v>
      </c>
      <c r="JC5">
        <v>1</v>
      </c>
      <c r="JD5">
        <v>-2.4245362661989844E-14</v>
      </c>
      <c r="JE5">
        <v>182734</v>
      </c>
      <c r="JF5" t="s">
        <v>1953</v>
      </c>
      <c r="JK5" t="str">
        <f>_xll.BDS("FCNCA US Equity","SUPPLY_CHAIN_SUPPLIERS_ALL_DATA","cols=12;rows=5")</f>
        <v>RAIL US Equity</v>
      </c>
      <c r="JL5" t="s">
        <v>1820</v>
      </c>
      <c r="JM5">
        <v>0.17932300000000001</v>
      </c>
      <c r="JN5">
        <v>0.16764100000000001</v>
      </c>
      <c r="JO5" t="s">
        <v>1809</v>
      </c>
      <c r="JP5">
        <v>2025</v>
      </c>
      <c r="JQ5" t="s">
        <v>3914</v>
      </c>
      <c r="JR5" s="6">
        <v>45840</v>
      </c>
      <c r="JS5">
        <v>5</v>
      </c>
      <c r="JT5">
        <v>172670</v>
      </c>
      <c r="JU5">
        <v>9371099</v>
      </c>
      <c r="JV5" t="s">
        <v>3915</v>
      </c>
      <c r="JY5" t="str">
        <f>_xll.BDS("FCNCA US Equity","SUPPLY_CHAIN_CUSTOMERS_ALL_DATA")</f>
        <v>#N/A N/A</v>
      </c>
      <c r="KO5" t="str">
        <f>_xll.BDS("1981718D US Equity","SUPPLY_CHAIN_SUPPLIERS_ALL_DATA")</f>
        <v>#N/A N/A</v>
      </c>
      <c r="LC5" t="str">
        <f>_xll.BDS("1981718D US Equity","SUPPLY_CHAIN_CUSTOMERS_ALL_DATA")</f>
        <v>#N/A N/A</v>
      </c>
      <c r="LS5" t="str">
        <f>_xll.BDS("NUE US Equity","SUPPLY_CHAIN_SUPPLIERS_ALL_DATA","cols=12;rows=5")</f>
        <v>ERA FP Equity</v>
      </c>
      <c r="LT5" t="s">
        <v>1786</v>
      </c>
      <c r="LU5">
        <v>4.0357180000000001</v>
      </c>
      <c r="LV5">
        <v>0.44614900000000002</v>
      </c>
      <c r="LW5" t="s">
        <v>1762</v>
      </c>
      <c r="LX5">
        <v>2025</v>
      </c>
      <c r="LY5" t="s">
        <v>4122</v>
      </c>
      <c r="LZ5" s="6">
        <v>45869</v>
      </c>
      <c r="MA5">
        <v>5</v>
      </c>
      <c r="MB5">
        <v>32107227.640000001</v>
      </c>
      <c r="MC5">
        <v>153771</v>
      </c>
      <c r="MD5" t="s">
        <v>4123</v>
      </c>
      <c r="MG5" t="str">
        <f>_xll.BDS("NUE US Equity","SUPPLY_CHAIN_CUSTOMERS_ALL_DATA","cols=12;rows=5")</f>
        <v>TEN IM Equity</v>
      </c>
      <c r="MH5">
        <v>0.99131800000000003</v>
      </c>
      <c r="MI5" t="s">
        <v>1786</v>
      </c>
      <c r="MJ5">
        <v>4.3404309999999997</v>
      </c>
      <c r="MK5" t="s">
        <v>1742</v>
      </c>
      <c r="ML5">
        <v>2025</v>
      </c>
      <c r="MM5" t="s">
        <v>4027</v>
      </c>
      <c r="MN5" s="6">
        <v>45971</v>
      </c>
      <c r="MO5">
        <v>5</v>
      </c>
      <c r="MP5">
        <v>84470216</v>
      </c>
      <c r="MQ5">
        <v>7912227</v>
      </c>
      <c r="MR5" t="s">
        <v>4028</v>
      </c>
      <c r="MW5" t="str">
        <f>_xll.BDS("BRK/A US Equity","SUPPLY_CHAIN_SUPPLIERS_ALL_DATA","cols=12;rows=5")</f>
        <v>HSY US Equity</v>
      </c>
      <c r="MX5" t="s">
        <v>1786</v>
      </c>
      <c r="MY5">
        <v>27</v>
      </c>
      <c r="MZ5">
        <v>1.2151259999999999</v>
      </c>
      <c r="NA5" t="s">
        <v>1745</v>
      </c>
      <c r="NB5">
        <v>2025</v>
      </c>
      <c r="NC5" t="s">
        <v>3041</v>
      </c>
      <c r="ND5" s="6">
        <v>46070</v>
      </c>
      <c r="NE5">
        <v>5</v>
      </c>
      <c r="NF5">
        <v>789248896</v>
      </c>
      <c r="NG5">
        <v>100731</v>
      </c>
      <c r="NH5" t="s">
        <v>3042</v>
      </c>
      <c r="NK5" t="str">
        <f>_xll.BDS("BRK/A US Equity","SUPPLY_CHAIN_CUSTOMERS_ALL_DATA","cols=12;rows=5")</f>
        <v>WMT US Equity</v>
      </c>
      <c r="NL5">
        <v>2.1167449999999999</v>
      </c>
      <c r="NM5" t="s">
        <v>1786</v>
      </c>
      <c r="NN5">
        <v>1.7547349999999999</v>
      </c>
      <c r="NO5" t="s">
        <v>1745</v>
      </c>
      <c r="NP5">
        <v>2024</v>
      </c>
      <c r="NQ5" t="s">
        <v>3646</v>
      </c>
      <c r="NR5" s="6">
        <v>45712</v>
      </c>
      <c r="NS5">
        <v>5</v>
      </c>
      <c r="NT5">
        <v>2244977664</v>
      </c>
      <c r="NU5">
        <v>101616</v>
      </c>
      <c r="NV5" t="s">
        <v>2098</v>
      </c>
      <c r="OA5" t="str">
        <f>_xll.BDS("IVZ US Equity","SUPPLY_CHAIN_SUPPLIERS_ALL_DATA","cols=12;rows=5")</f>
        <v>600626 CH Equity</v>
      </c>
      <c r="OB5" t="s">
        <v>1786</v>
      </c>
      <c r="OC5">
        <v>0.514683</v>
      </c>
      <c r="OD5">
        <v>0.16527600000000001</v>
      </c>
      <c r="OE5" t="s">
        <v>1745</v>
      </c>
      <c r="OF5">
        <v>2024</v>
      </c>
      <c r="OG5" t="s">
        <v>3181</v>
      </c>
      <c r="OH5" s="6">
        <v>45775</v>
      </c>
      <c r="OI5">
        <v>5</v>
      </c>
      <c r="OJ5">
        <v>2113211.4700000002</v>
      </c>
      <c r="OK5">
        <v>130798</v>
      </c>
      <c r="OL5" t="s">
        <v>3182</v>
      </c>
      <c r="OO5" t="str">
        <f>_xll.BDS("IVZ US Equity","SUPPLY_CHAIN_CUSTOMERS_ALL_DATA","cols=12;rows=2")</f>
        <v>600626 CH Equity</v>
      </c>
      <c r="OP5">
        <v>0.16692100000000001</v>
      </c>
      <c r="OQ5" t="s">
        <v>1786</v>
      </c>
      <c r="OR5">
        <v>0.69181599999999999</v>
      </c>
      <c r="OS5" t="s">
        <v>1745</v>
      </c>
      <c r="OT5">
        <v>2024</v>
      </c>
      <c r="OU5" t="s">
        <v>3181</v>
      </c>
      <c r="OV5" s="6">
        <v>45775</v>
      </c>
      <c r="OW5">
        <v>2</v>
      </c>
      <c r="OX5">
        <v>2561767.5099999998</v>
      </c>
      <c r="OY5">
        <v>130798</v>
      </c>
      <c r="OZ5" t="s">
        <v>3182</v>
      </c>
      <c r="PE5" t="str">
        <f>_xll.BDS("HYMC US Equity","SUPPLY_CHAIN_SUPPLIERS_ALL_DATA","cols=12;rows=1")</f>
        <v>BRK/A US Equity</v>
      </c>
      <c r="PG5">
        <v>-2.4245362661989844E-14</v>
      </c>
      <c r="PH5">
        <v>-2.4245362661989844E-14</v>
      </c>
      <c r="PI5" t="s">
        <v>1745</v>
      </c>
      <c r="PJ5">
        <v>2021</v>
      </c>
      <c r="PK5" t="s">
        <v>2299</v>
      </c>
      <c r="PL5" s="6">
        <v>44693</v>
      </c>
      <c r="PM5">
        <v>1</v>
      </c>
      <c r="PN5">
        <v>-2.4245362661989844E-14</v>
      </c>
      <c r="PO5">
        <v>100193</v>
      </c>
      <c r="PP5" t="s">
        <v>1849</v>
      </c>
      <c r="PS5" t="str">
        <f>_xll.BDS("HYMC US Equity","SUPPLY_CHAIN_CUSTOMERS_ALL_DATA")</f>
        <v>#N/A N/A</v>
      </c>
      <c r="QI5" t="str">
        <f>_xll.BDS("PYXSQ US Equity","SUPPLY_CHAIN_SUPPLIERS_ALL_DATA","cols=12;rows=2")</f>
        <v>AEP US Equity</v>
      </c>
      <c r="QK5">
        <v>-2.4245362661989844E-14</v>
      </c>
      <c r="QL5">
        <v>-2.4245362661989844E-14</v>
      </c>
      <c r="QM5" t="s">
        <v>1745</v>
      </c>
      <c r="QN5">
        <v>2021</v>
      </c>
      <c r="QO5" t="s">
        <v>2284</v>
      </c>
      <c r="QP5" s="6">
        <v>44693</v>
      </c>
      <c r="QQ5">
        <v>2</v>
      </c>
      <c r="QR5">
        <v>-2.4245362661989844E-14</v>
      </c>
      <c r="QS5">
        <v>100060</v>
      </c>
      <c r="QT5" t="s">
        <v>2285</v>
      </c>
      <c r="QW5" t="str">
        <f>_xll.BDS("PYXSQ US Equity","SUPPLY_CHAIN_CUSTOMERS_ALL_DATA")</f>
        <v>#N/A N/A</v>
      </c>
      <c r="RM5" t="str">
        <f>_xll.BDS("ROVI US Equity","SUPPLY_CHAIN_SUPPLIERS_ALL_DATA")</f>
        <v>#N/A N/A</v>
      </c>
      <c r="SA5" t="str">
        <f>_xll.BDS("ROVI US Equity","SUPPLY_CHAIN_CUSTOMERS_ALL_DATA")</f>
        <v>#N/A N/A</v>
      </c>
      <c r="SQ5" t="str">
        <f>_xll.BDS("SOGCQ US Equity","SUPPLY_CHAIN_SUPPLIERS_ALL_DATA")</f>
        <v>#N/A N/A</v>
      </c>
      <c r="TE5" t="str">
        <f>_xll.BDS("SOGCQ US Equity","SUPPLY_CHAIN_CUSTOMERS_ALL_DATA")</f>
        <v>#N/A N/A</v>
      </c>
      <c r="TU5" t="str">
        <f>_xll.BDS("BZH US Equity","SUPPLY_CHAIN_SUPPLIERS_ALL_DATA","cols=12;rows=3")</f>
        <v>WMS US Equity</v>
      </c>
      <c r="TV5" t="s">
        <v>1786</v>
      </c>
      <c r="TW5">
        <v>0.10066700000000001</v>
      </c>
      <c r="TX5">
        <v>0.1767</v>
      </c>
      <c r="TY5" t="s">
        <v>1809</v>
      </c>
      <c r="TZ5">
        <v>2026</v>
      </c>
      <c r="UA5" t="s">
        <v>4411</v>
      </c>
      <c r="UB5" s="6">
        <v>45891</v>
      </c>
      <c r="UC5">
        <v>3</v>
      </c>
      <c r="UD5">
        <v>835415</v>
      </c>
      <c r="UE5">
        <v>7799313</v>
      </c>
      <c r="UF5" t="s">
        <v>4412</v>
      </c>
      <c r="UI5" t="str">
        <f>_xll.BDS("BZH US Equity","SUPPLY_CHAIN_CUSTOMERS_ALL_DATA")</f>
        <v>#N/A N/A</v>
      </c>
      <c r="UY5" t="str">
        <f>_xll.BDS("GD US Equity","SUPPLY_CHAIN_SUPPLIERS_ALL_DATA","cols=12;rows=5")</f>
        <v>RTX US Equity</v>
      </c>
      <c r="UZ5" t="s">
        <v>1786</v>
      </c>
      <c r="VA5">
        <v>0.86519299999999999</v>
      </c>
      <c r="VB5">
        <v>1.683351</v>
      </c>
      <c r="VC5" t="s">
        <v>1762</v>
      </c>
      <c r="VD5">
        <v>2025</v>
      </c>
      <c r="VE5" t="s">
        <v>3638</v>
      </c>
      <c r="VF5" s="6">
        <v>45895</v>
      </c>
      <c r="VG5">
        <v>5</v>
      </c>
      <c r="VH5">
        <v>186717296</v>
      </c>
      <c r="VI5">
        <v>101555</v>
      </c>
      <c r="VJ5" t="s">
        <v>1848</v>
      </c>
      <c r="VM5" t="str">
        <f>_xll.BDS("GD US Equity","SUPPLY_CHAIN_CUSTOMERS_ALL_DATA","cols=12;rows=5")</f>
        <v>3352Z US Equity</v>
      </c>
      <c r="VN5">
        <v>68.043769999999995</v>
      </c>
      <c r="VP5">
        <v>-2.4245362661989844E-14</v>
      </c>
      <c r="VQ5" t="s">
        <v>1745</v>
      </c>
      <c r="VR5">
        <v>2025</v>
      </c>
      <c r="VS5" t="s">
        <v>4039</v>
      </c>
      <c r="VT5" s="6">
        <v>46052</v>
      </c>
      <c r="VU5">
        <v>5</v>
      </c>
      <c r="VV5">
        <v>8939250000</v>
      </c>
      <c r="VW5">
        <v>218252</v>
      </c>
      <c r="VX5" t="s">
        <v>1803</v>
      </c>
    </row>
    <row r="6" spans="1:600" x14ac:dyDescent="0.25">
      <c r="A6" t="s">
        <v>2270</v>
      </c>
      <c r="B6" t="s">
        <v>1769</v>
      </c>
      <c r="C6">
        <v>1.151538</v>
      </c>
      <c r="D6">
        <v>7.7191999999999997E-2</v>
      </c>
      <c r="E6" t="s">
        <v>1745</v>
      </c>
      <c r="F6">
        <v>2024</v>
      </c>
      <c r="G6" t="s">
        <v>2271</v>
      </c>
      <c r="H6" s="6">
        <v>45716</v>
      </c>
      <c r="I6">
        <v>5</v>
      </c>
      <c r="J6">
        <v>2317499</v>
      </c>
      <c r="K6">
        <v>35300053</v>
      </c>
      <c r="L6" t="s">
        <v>2272</v>
      </c>
      <c r="CM6" t="s">
        <v>2283</v>
      </c>
      <c r="CO6">
        <v>-2.4245362661989844E-14</v>
      </c>
      <c r="CP6">
        <v>-2.4245362661989844E-14</v>
      </c>
      <c r="CQ6" t="s">
        <v>1745</v>
      </c>
      <c r="CR6">
        <v>2021</v>
      </c>
      <c r="CS6" t="s">
        <v>2284</v>
      </c>
      <c r="CT6" s="6">
        <v>44693</v>
      </c>
      <c r="CU6">
        <v>5</v>
      </c>
      <c r="CV6">
        <v>-2.4245362661989844E-14</v>
      </c>
      <c r="CW6">
        <v>100060</v>
      </c>
      <c r="CX6" t="s">
        <v>2285</v>
      </c>
      <c r="EE6" t="s">
        <v>3653</v>
      </c>
      <c r="EF6">
        <v>1.4744619999999999</v>
      </c>
      <c r="EG6" t="s">
        <v>1769</v>
      </c>
      <c r="EH6">
        <v>0.89694700000000005</v>
      </c>
      <c r="EI6" t="s">
        <v>1745</v>
      </c>
      <c r="EJ6">
        <v>2024</v>
      </c>
      <c r="EK6" t="s">
        <v>3652</v>
      </c>
      <c r="EL6" s="6">
        <v>45695</v>
      </c>
      <c r="EM6">
        <v>5</v>
      </c>
      <c r="EN6">
        <v>7508750</v>
      </c>
      <c r="EO6">
        <v>106586</v>
      </c>
      <c r="EP6" t="s">
        <v>3654</v>
      </c>
      <c r="EU6" t="s">
        <v>3317</v>
      </c>
      <c r="EV6" t="s">
        <v>1769</v>
      </c>
      <c r="EW6">
        <v>2.1474739999999999</v>
      </c>
      <c r="EX6">
        <v>3.9190360000000002</v>
      </c>
      <c r="EY6" t="s">
        <v>1745</v>
      </c>
      <c r="EZ6">
        <v>2024</v>
      </c>
      <c r="FA6" t="s">
        <v>3318</v>
      </c>
      <c r="FB6" s="6">
        <v>45777</v>
      </c>
      <c r="FC6">
        <v>5</v>
      </c>
      <c r="FD6">
        <v>2483669.33</v>
      </c>
      <c r="FE6">
        <v>37690291</v>
      </c>
      <c r="FF6" t="s">
        <v>3319</v>
      </c>
      <c r="FI6" t="s">
        <v>3190</v>
      </c>
      <c r="FJ6">
        <v>-2.4245362661989844E-14</v>
      </c>
      <c r="FL6">
        <v>-2.4245362661989844E-14</v>
      </c>
      <c r="FM6" t="s">
        <v>1745</v>
      </c>
      <c r="FN6">
        <v>2022</v>
      </c>
      <c r="FO6" t="s">
        <v>3191</v>
      </c>
      <c r="FP6" s="6">
        <v>45033</v>
      </c>
      <c r="FQ6">
        <v>5</v>
      </c>
      <c r="FR6">
        <v>-2.4245362661989844E-14</v>
      </c>
      <c r="FS6">
        <v>15069854</v>
      </c>
      <c r="FT6" t="s">
        <v>3192</v>
      </c>
      <c r="FY6" t="s">
        <v>1287</v>
      </c>
      <c r="FZ6" t="s">
        <v>1786</v>
      </c>
      <c r="GA6">
        <v>0.86485599999999996</v>
      </c>
      <c r="GB6">
        <v>4.0630959999999998</v>
      </c>
      <c r="GC6" t="s">
        <v>1809</v>
      </c>
      <c r="GD6">
        <v>2025</v>
      </c>
      <c r="GE6" t="s">
        <v>2035</v>
      </c>
      <c r="GF6" s="6">
        <v>45797</v>
      </c>
      <c r="GG6">
        <v>5</v>
      </c>
      <c r="GH6">
        <v>264507552</v>
      </c>
      <c r="GI6">
        <v>101376</v>
      </c>
      <c r="GJ6" t="s">
        <v>1895</v>
      </c>
      <c r="GM6" t="s">
        <v>424</v>
      </c>
      <c r="GN6">
        <v>3.8131789999999999</v>
      </c>
      <c r="GO6" t="s">
        <v>1786</v>
      </c>
      <c r="GP6">
        <v>2.529652</v>
      </c>
      <c r="GQ6" t="s">
        <v>1809</v>
      </c>
      <c r="GR6">
        <v>2025</v>
      </c>
      <c r="GS6" t="s">
        <v>2035</v>
      </c>
      <c r="GT6" s="6">
        <v>45797</v>
      </c>
      <c r="GU6">
        <v>5</v>
      </c>
      <c r="GV6">
        <v>554474368</v>
      </c>
      <c r="GW6">
        <v>101743</v>
      </c>
      <c r="GX6" t="s">
        <v>1891</v>
      </c>
      <c r="HC6" t="s">
        <v>1985</v>
      </c>
      <c r="HD6" t="s">
        <v>1786</v>
      </c>
      <c r="HE6">
        <v>0.52293800000000001</v>
      </c>
      <c r="HF6">
        <v>0.187949</v>
      </c>
      <c r="HG6" t="s">
        <v>1742</v>
      </c>
      <c r="HH6">
        <v>2025</v>
      </c>
      <c r="HI6" t="s">
        <v>2490</v>
      </c>
      <c r="HJ6" s="6">
        <v>46027</v>
      </c>
      <c r="HK6">
        <v>5</v>
      </c>
      <c r="HL6">
        <v>3315427</v>
      </c>
      <c r="HM6">
        <v>36965288</v>
      </c>
      <c r="HN6" t="s">
        <v>1987</v>
      </c>
      <c r="HQ6" t="s">
        <v>1976</v>
      </c>
      <c r="HR6">
        <v>-2.4245362661989844E-14</v>
      </c>
      <c r="HT6">
        <v>-2.4245362661989844E-14</v>
      </c>
      <c r="HU6" t="s">
        <v>1745</v>
      </c>
      <c r="HV6">
        <v>2023</v>
      </c>
      <c r="HW6" t="s">
        <v>1977</v>
      </c>
      <c r="HX6" s="6">
        <v>45028</v>
      </c>
      <c r="HY6">
        <v>5</v>
      </c>
      <c r="HZ6">
        <v>-2.4245362661989844E-14</v>
      </c>
      <c r="IA6">
        <v>21481240</v>
      </c>
      <c r="IB6" t="s">
        <v>1978</v>
      </c>
      <c r="IG6" t="s">
        <v>2270</v>
      </c>
      <c r="IH6" t="s">
        <v>1769</v>
      </c>
      <c r="II6">
        <v>1.151538</v>
      </c>
      <c r="IJ6">
        <v>7.7191999999999997E-2</v>
      </c>
      <c r="IK6" t="s">
        <v>1745</v>
      </c>
      <c r="IL6">
        <v>2024</v>
      </c>
      <c r="IM6" t="s">
        <v>2271</v>
      </c>
      <c r="IN6" s="6">
        <v>45716</v>
      </c>
      <c r="IO6">
        <v>5</v>
      </c>
      <c r="IP6">
        <v>2317499</v>
      </c>
      <c r="IQ6">
        <v>35300053</v>
      </c>
      <c r="IR6" t="s">
        <v>2272</v>
      </c>
      <c r="JK6" t="s">
        <v>5096</v>
      </c>
      <c r="JM6">
        <v>-2.4245362661989844E-14</v>
      </c>
      <c r="JN6">
        <v>-2.4245362661989844E-14</v>
      </c>
      <c r="JO6" t="s">
        <v>1745</v>
      </c>
      <c r="JP6">
        <v>2023</v>
      </c>
      <c r="JQ6" t="s">
        <v>5097</v>
      </c>
      <c r="JR6" s="6">
        <v>45408</v>
      </c>
      <c r="JS6">
        <v>5</v>
      </c>
      <c r="JT6">
        <v>-2.4245362661989844E-14</v>
      </c>
      <c r="JU6">
        <v>31730105</v>
      </c>
      <c r="JV6" t="s">
        <v>5098</v>
      </c>
      <c r="LS6" t="s">
        <v>1827</v>
      </c>
      <c r="LT6" t="s">
        <v>1786</v>
      </c>
      <c r="LU6">
        <v>0.31279600000000002</v>
      </c>
      <c r="LV6">
        <v>0.32251000000000002</v>
      </c>
      <c r="LW6" t="s">
        <v>1809</v>
      </c>
      <c r="LX6">
        <v>2026</v>
      </c>
      <c r="LY6" t="s">
        <v>4124</v>
      </c>
      <c r="LZ6" s="6">
        <v>45987</v>
      </c>
      <c r="MA6">
        <v>5</v>
      </c>
      <c r="MB6">
        <v>24152694.91</v>
      </c>
      <c r="MC6">
        <v>7847241</v>
      </c>
      <c r="MD6" t="s">
        <v>1829</v>
      </c>
      <c r="MG6" t="s">
        <v>23</v>
      </c>
      <c r="MH6">
        <v>0.69614900000000002</v>
      </c>
      <c r="MI6" t="s">
        <v>1786</v>
      </c>
      <c r="MJ6">
        <v>1.845674</v>
      </c>
      <c r="MK6" t="s">
        <v>1762</v>
      </c>
      <c r="ML6">
        <v>2025</v>
      </c>
      <c r="MM6" t="s">
        <v>4029</v>
      </c>
      <c r="MN6" s="6">
        <v>45870</v>
      </c>
      <c r="MO6">
        <v>5</v>
      </c>
      <c r="MP6">
        <v>58866388</v>
      </c>
      <c r="MQ6">
        <v>100787</v>
      </c>
      <c r="MR6" t="s">
        <v>4030</v>
      </c>
      <c r="MW6" t="s">
        <v>317</v>
      </c>
      <c r="MX6" t="s">
        <v>1820</v>
      </c>
      <c r="MY6">
        <v>6.6028770000000003</v>
      </c>
      <c r="MZ6">
        <v>5.0506979999999997</v>
      </c>
      <c r="NA6" t="s">
        <v>1762</v>
      </c>
      <c r="NB6">
        <v>2025</v>
      </c>
      <c r="NC6" t="s">
        <v>3043</v>
      </c>
      <c r="ND6" s="6">
        <v>45915</v>
      </c>
      <c r="NE6">
        <v>5</v>
      </c>
      <c r="NF6">
        <v>245362912</v>
      </c>
      <c r="NG6">
        <v>101464</v>
      </c>
      <c r="NH6" t="s">
        <v>3044</v>
      </c>
      <c r="NK6" t="s">
        <v>2969</v>
      </c>
      <c r="NL6">
        <v>1.615089</v>
      </c>
      <c r="NM6" t="s">
        <v>1786</v>
      </c>
      <c r="NN6">
        <v>12.136977999999999</v>
      </c>
      <c r="NO6" t="s">
        <v>1745</v>
      </c>
      <c r="NP6">
        <v>2024</v>
      </c>
      <c r="NQ6" t="s">
        <v>3646</v>
      </c>
      <c r="NR6" s="6">
        <v>45712</v>
      </c>
      <c r="NS6">
        <v>5</v>
      </c>
      <c r="NT6">
        <v>1712931072</v>
      </c>
      <c r="NU6">
        <v>9917432</v>
      </c>
      <c r="NV6" t="s">
        <v>2971</v>
      </c>
      <c r="OA6" t="s">
        <v>3294</v>
      </c>
      <c r="OB6" t="s">
        <v>1769</v>
      </c>
      <c r="OC6">
        <v>2</v>
      </c>
      <c r="OD6">
        <v>7.0611999999999994E-2</v>
      </c>
      <c r="OE6" t="s">
        <v>1745</v>
      </c>
      <c r="OF6">
        <v>2024</v>
      </c>
      <c r="OG6" t="s">
        <v>3295</v>
      </c>
      <c r="OH6" s="6">
        <v>45794</v>
      </c>
      <c r="OI6">
        <v>5</v>
      </c>
      <c r="OJ6">
        <v>946876.76</v>
      </c>
      <c r="OK6">
        <v>42581762</v>
      </c>
      <c r="OL6" t="s">
        <v>3296</v>
      </c>
      <c r="OO6" t="s">
        <v>3183</v>
      </c>
      <c r="OP6">
        <v>-2.4245362661989844E-14</v>
      </c>
      <c r="OR6">
        <v>-2.4245362661989844E-14</v>
      </c>
      <c r="OS6" t="s">
        <v>1745</v>
      </c>
      <c r="OT6">
        <v>2021</v>
      </c>
      <c r="OU6" t="s">
        <v>3184</v>
      </c>
      <c r="OV6" s="6">
        <v>44711</v>
      </c>
      <c r="OW6">
        <v>2</v>
      </c>
      <c r="OX6">
        <v>-2.4245362661989844E-14</v>
      </c>
      <c r="OY6">
        <v>16523618</v>
      </c>
      <c r="OZ6" t="s">
        <v>3185</v>
      </c>
      <c r="QI6" t="s">
        <v>2346</v>
      </c>
      <c r="QK6">
        <v>-2.4245362661989844E-14</v>
      </c>
      <c r="QL6">
        <v>-2.4245362661989844E-14</v>
      </c>
      <c r="QM6" t="s">
        <v>1745</v>
      </c>
      <c r="QN6">
        <v>2021</v>
      </c>
      <c r="QO6" t="s">
        <v>2347</v>
      </c>
      <c r="QP6" s="6">
        <v>44693</v>
      </c>
      <c r="QQ6">
        <v>2</v>
      </c>
      <c r="QR6">
        <v>-2.4245362661989844E-14</v>
      </c>
      <c r="QS6">
        <v>100481</v>
      </c>
      <c r="QT6" t="s">
        <v>2348</v>
      </c>
      <c r="TU6" t="s">
        <v>4413</v>
      </c>
      <c r="TW6">
        <v>-2.4245362661989844E-14</v>
      </c>
      <c r="TX6">
        <v>-2.4245362661989844E-14</v>
      </c>
      <c r="TY6" t="s">
        <v>1745</v>
      </c>
      <c r="TZ6">
        <v>2025</v>
      </c>
      <c r="UA6" t="s">
        <v>4414</v>
      </c>
      <c r="UB6" s="6">
        <v>45867</v>
      </c>
      <c r="UC6">
        <v>3</v>
      </c>
      <c r="UD6">
        <v>-2.4245362661989844E-14</v>
      </c>
      <c r="UE6">
        <v>112857</v>
      </c>
      <c r="UF6" t="s">
        <v>4415</v>
      </c>
      <c r="UY6" t="s">
        <v>2422</v>
      </c>
      <c r="UZ6" t="s">
        <v>1786</v>
      </c>
      <c r="VA6">
        <v>1.8061149999999999</v>
      </c>
      <c r="VB6">
        <v>1.370322</v>
      </c>
      <c r="VC6" t="s">
        <v>1762</v>
      </c>
      <c r="VD6">
        <v>2025</v>
      </c>
      <c r="VE6" t="s">
        <v>2423</v>
      </c>
      <c r="VF6" s="6">
        <v>45874</v>
      </c>
      <c r="VG6">
        <v>5</v>
      </c>
      <c r="VH6">
        <v>152133629.88</v>
      </c>
      <c r="VI6">
        <v>115519</v>
      </c>
      <c r="VJ6" t="s">
        <v>2424</v>
      </c>
      <c r="VM6" t="s">
        <v>3562</v>
      </c>
      <c r="VN6">
        <v>0.77161500000000005</v>
      </c>
      <c r="VO6" t="s">
        <v>1820</v>
      </c>
      <c r="VP6">
        <v>-2.4245362661989844E-14</v>
      </c>
      <c r="VQ6" t="s">
        <v>1745</v>
      </c>
      <c r="VR6">
        <v>2025</v>
      </c>
      <c r="VS6" t="s">
        <v>3563</v>
      </c>
      <c r="VT6" s="6">
        <v>45925</v>
      </c>
      <c r="VU6">
        <v>5</v>
      </c>
      <c r="VV6">
        <v>95700000</v>
      </c>
      <c r="VW6">
        <v>340053</v>
      </c>
      <c r="VX6" t="s">
        <v>3564</v>
      </c>
    </row>
    <row r="7" spans="1:600" x14ac:dyDescent="0.25">
      <c r="A7" t="s">
        <v>2273</v>
      </c>
      <c r="B7" t="s">
        <v>1769</v>
      </c>
      <c r="C7">
        <v>0.492811</v>
      </c>
      <c r="D7">
        <v>2.9784000000000001E-2</v>
      </c>
      <c r="E7" t="s">
        <v>1809</v>
      </c>
      <c r="F7">
        <v>2026</v>
      </c>
      <c r="G7" t="s">
        <v>2274</v>
      </c>
      <c r="H7" s="6">
        <v>45898</v>
      </c>
      <c r="I7">
        <v>5</v>
      </c>
      <c r="J7">
        <v>889383.69</v>
      </c>
      <c r="K7">
        <v>178651</v>
      </c>
      <c r="L7" t="s">
        <v>2275</v>
      </c>
      <c r="CM7" t="s">
        <v>428</v>
      </c>
      <c r="CO7">
        <v>-2.4245362661989844E-14</v>
      </c>
      <c r="CP7">
        <v>-2.4245362661989844E-14</v>
      </c>
      <c r="CQ7" t="s">
        <v>1745</v>
      </c>
      <c r="CR7">
        <v>2021</v>
      </c>
      <c r="CS7" t="s">
        <v>3264</v>
      </c>
      <c r="CT7" s="6">
        <v>44693</v>
      </c>
      <c r="CU7">
        <v>5</v>
      </c>
      <c r="CV7">
        <v>-2.4245362661989844E-14</v>
      </c>
      <c r="CW7">
        <v>101690</v>
      </c>
      <c r="CX7" t="s">
        <v>3265</v>
      </c>
      <c r="EE7" t="s">
        <v>2167</v>
      </c>
      <c r="EF7">
        <v>1.453058</v>
      </c>
      <c r="EG7" t="s">
        <v>1769</v>
      </c>
      <c r="EH7">
        <v>0.106848</v>
      </c>
      <c r="EI7" t="s">
        <v>1745</v>
      </c>
      <c r="EJ7">
        <v>2024</v>
      </c>
      <c r="EK7" t="s">
        <v>3652</v>
      </c>
      <c r="EL7" s="6">
        <v>45695</v>
      </c>
      <c r="EM7">
        <v>5</v>
      </c>
      <c r="EN7">
        <v>7399750</v>
      </c>
      <c r="EO7">
        <v>100743</v>
      </c>
      <c r="EP7" t="s">
        <v>2169</v>
      </c>
      <c r="EU7" t="s">
        <v>3320</v>
      </c>
      <c r="EW7">
        <v>1.8</v>
      </c>
      <c r="EX7">
        <v>-2.4245362661989844E-14</v>
      </c>
      <c r="EY7" t="s">
        <v>1742</v>
      </c>
      <c r="EZ7">
        <v>2025</v>
      </c>
      <c r="FA7" t="s">
        <v>3321</v>
      </c>
      <c r="FB7" s="6">
        <v>45972</v>
      </c>
      <c r="FC7">
        <v>5</v>
      </c>
      <c r="FD7">
        <v>1363284.28</v>
      </c>
      <c r="FE7">
        <v>18014026</v>
      </c>
      <c r="FF7" t="s">
        <v>3322</v>
      </c>
      <c r="FI7" t="s">
        <v>3193</v>
      </c>
      <c r="FJ7">
        <v>-2.4245362661989844E-14</v>
      </c>
      <c r="FL7">
        <v>-2.4245362661989844E-14</v>
      </c>
      <c r="FM7" t="s">
        <v>1745</v>
      </c>
      <c r="FN7">
        <v>2023</v>
      </c>
      <c r="FO7" t="s">
        <v>3194</v>
      </c>
      <c r="FP7" s="6">
        <v>45028</v>
      </c>
      <c r="FQ7">
        <v>5</v>
      </c>
      <c r="FR7">
        <v>-2.4245362661989844E-14</v>
      </c>
      <c r="FS7">
        <v>31485403</v>
      </c>
      <c r="FT7" t="s">
        <v>3195</v>
      </c>
      <c r="FY7" t="s">
        <v>1885</v>
      </c>
      <c r="FZ7" t="s">
        <v>1786</v>
      </c>
      <c r="GA7">
        <v>0.167933</v>
      </c>
      <c r="GB7">
        <v>4.0156150000000004</v>
      </c>
      <c r="GC7" t="s">
        <v>1809</v>
      </c>
      <c r="GD7">
        <v>2025</v>
      </c>
      <c r="GE7" t="s">
        <v>2035</v>
      </c>
      <c r="GF7" s="6">
        <v>45797</v>
      </c>
      <c r="GG7">
        <v>5</v>
      </c>
      <c r="GH7">
        <v>261416544</v>
      </c>
      <c r="GI7">
        <v>216952</v>
      </c>
      <c r="GJ7" t="s">
        <v>1886</v>
      </c>
      <c r="GM7" t="s">
        <v>1789</v>
      </c>
      <c r="GN7">
        <v>3.1054590000000002</v>
      </c>
      <c r="GO7" t="s">
        <v>1786</v>
      </c>
      <c r="GP7">
        <v>1.2857479999999999</v>
      </c>
      <c r="GQ7" t="s">
        <v>1809</v>
      </c>
      <c r="GR7">
        <v>2025</v>
      </c>
      <c r="GS7" t="s">
        <v>2035</v>
      </c>
      <c r="GT7" s="6">
        <v>45797</v>
      </c>
      <c r="GU7">
        <v>5</v>
      </c>
      <c r="GV7">
        <v>451564800</v>
      </c>
      <c r="GW7">
        <v>117929</v>
      </c>
      <c r="GX7" t="s">
        <v>1791</v>
      </c>
      <c r="HC7" t="s">
        <v>2491</v>
      </c>
      <c r="HD7" t="s">
        <v>1786</v>
      </c>
      <c r="HE7">
        <v>0.26110299999999997</v>
      </c>
      <c r="HF7">
        <v>6.7391999999999994E-2</v>
      </c>
      <c r="HG7" t="s">
        <v>1762</v>
      </c>
      <c r="HH7">
        <v>2026</v>
      </c>
      <c r="HI7" t="s">
        <v>2492</v>
      </c>
      <c r="HJ7" s="6">
        <v>45966</v>
      </c>
      <c r="HK7">
        <v>5</v>
      </c>
      <c r="HL7">
        <v>1188802</v>
      </c>
      <c r="HM7">
        <v>9777162</v>
      </c>
      <c r="HN7" t="s">
        <v>2493</v>
      </c>
      <c r="HQ7" t="s">
        <v>1979</v>
      </c>
      <c r="HR7">
        <v>-2.4245362661989844E-14</v>
      </c>
      <c r="HT7">
        <v>-2.4245362661989844E-14</v>
      </c>
      <c r="HU7" t="s">
        <v>1745</v>
      </c>
      <c r="HV7">
        <v>2022</v>
      </c>
      <c r="HW7" t="s">
        <v>1980</v>
      </c>
      <c r="HX7" s="6">
        <v>45174</v>
      </c>
      <c r="HY7">
        <v>5</v>
      </c>
      <c r="HZ7">
        <v>-2.4245362661989844E-14</v>
      </c>
      <c r="IA7">
        <v>70808467</v>
      </c>
      <c r="IB7" t="s">
        <v>1981</v>
      </c>
      <c r="IG7" t="s">
        <v>2273</v>
      </c>
      <c r="IH7" t="s">
        <v>1769</v>
      </c>
      <c r="II7">
        <v>0.492811</v>
      </c>
      <c r="IJ7">
        <v>2.9784000000000001E-2</v>
      </c>
      <c r="IK7" t="s">
        <v>1809</v>
      </c>
      <c r="IL7">
        <v>2026</v>
      </c>
      <c r="IM7" t="s">
        <v>2274</v>
      </c>
      <c r="IN7" s="6">
        <v>45898</v>
      </c>
      <c r="IO7">
        <v>5</v>
      </c>
      <c r="IP7">
        <v>889383.69</v>
      </c>
      <c r="IQ7">
        <v>178651</v>
      </c>
      <c r="IR7" t="s">
        <v>2275</v>
      </c>
      <c r="JK7" t="s">
        <v>1878</v>
      </c>
      <c r="JM7">
        <v>-2.4245362661989844E-14</v>
      </c>
      <c r="JN7">
        <v>-2.4245362661989844E-14</v>
      </c>
      <c r="JO7" t="s">
        <v>1993</v>
      </c>
      <c r="JP7">
        <v>2025</v>
      </c>
      <c r="JQ7" t="s">
        <v>5099</v>
      </c>
      <c r="JR7" s="6">
        <v>45846</v>
      </c>
      <c r="JS7">
        <v>5</v>
      </c>
      <c r="JT7">
        <v>-2.4245362661989844E-14</v>
      </c>
      <c r="JU7">
        <v>876285</v>
      </c>
      <c r="JV7" t="s">
        <v>1879</v>
      </c>
      <c r="LS7" t="s">
        <v>4125</v>
      </c>
      <c r="LT7" t="s">
        <v>1786</v>
      </c>
      <c r="LU7">
        <v>2.2668499999999998</v>
      </c>
      <c r="LV7">
        <v>0.17769299999999999</v>
      </c>
      <c r="LW7" t="s">
        <v>1742</v>
      </c>
      <c r="LX7">
        <v>2025</v>
      </c>
      <c r="LY7" t="s">
        <v>4126</v>
      </c>
      <c r="LZ7" s="6">
        <v>46029</v>
      </c>
      <c r="MA7">
        <v>5</v>
      </c>
      <c r="MB7">
        <v>13030194</v>
      </c>
      <c r="MC7">
        <v>100711</v>
      </c>
      <c r="MD7" t="s">
        <v>4127</v>
      </c>
      <c r="MG7" t="s">
        <v>973</v>
      </c>
      <c r="MH7">
        <v>8.4847000000000006E-2</v>
      </c>
      <c r="MI7" t="s">
        <v>1786</v>
      </c>
      <c r="MJ7">
        <v>6.4387E-2</v>
      </c>
      <c r="MK7" t="s">
        <v>1762</v>
      </c>
      <c r="ML7">
        <v>2025</v>
      </c>
      <c r="MM7" t="s">
        <v>1812</v>
      </c>
      <c r="MN7" s="6">
        <v>45876</v>
      </c>
      <c r="MO7">
        <v>5</v>
      </c>
      <c r="MP7">
        <v>7174643</v>
      </c>
      <c r="MQ7">
        <v>100285</v>
      </c>
      <c r="MR7" t="s">
        <v>1813</v>
      </c>
      <c r="MW7" t="s">
        <v>3045</v>
      </c>
      <c r="MX7" t="s">
        <v>1786</v>
      </c>
      <c r="MY7">
        <v>18</v>
      </c>
      <c r="MZ7">
        <v>0.28558099999999997</v>
      </c>
      <c r="NA7" t="s">
        <v>1745</v>
      </c>
      <c r="NB7">
        <v>2025</v>
      </c>
      <c r="NC7" t="s">
        <v>3046</v>
      </c>
      <c r="ND7" s="6">
        <v>46079</v>
      </c>
      <c r="NE7">
        <v>5</v>
      </c>
      <c r="NF7">
        <v>185490768</v>
      </c>
      <c r="NG7">
        <v>103442</v>
      </c>
      <c r="NH7" t="s">
        <v>3047</v>
      </c>
      <c r="NK7" t="s">
        <v>1706</v>
      </c>
      <c r="NL7">
        <v>1.5294399999999999</v>
      </c>
      <c r="NN7">
        <v>-2.4245362661989844E-14</v>
      </c>
      <c r="NO7" t="s">
        <v>1745</v>
      </c>
      <c r="NP7">
        <v>2024</v>
      </c>
      <c r="NQ7" t="s">
        <v>3646</v>
      </c>
      <c r="NR7" s="6">
        <v>45712</v>
      </c>
      <c r="NS7">
        <v>5</v>
      </c>
      <c r="NT7">
        <v>1622093696</v>
      </c>
      <c r="NU7">
        <v>302359</v>
      </c>
      <c r="NV7" t="s">
        <v>3647</v>
      </c>
      <c r="OA7" t="s">
        <v>3297</v>
      </c>
      <c r="OB7" t="s">
        <v>1786</v>
      </c>
      <c r="OC7">
        <v>0.120325</v>
      </c>
      <c r="OD7">
        <v>9.9299999999999996E-3</v>
      </c>
      <c r="OE7" t="s">
        <v>1745</v>
      </c>
      <c r="OF7">
        <v>2025</v>
      </c>
      <c r="OG7" t="s">
        <v>3298</v>
      </c>
      <c r="OH7" s="6">
        <v>45870</v>
      </c>
      <c r="OI7">
        <v>5</v>
      </c>
      <c r="OJ7">
        <v>129421.62</v>
      </c>
      <c r="OK7">
        <v>11014238</v>
      </c>
      <c r="OL7" t="s">
        <v>3299</v>
      </c>
      <c r="TU7" t="s">
        <v>4416</v>
      </c>
      <c r="TW7">
        <v>-2.4245362661989844E-14</v>
      </c>
      <c r="TX7">
        <v>-2.4245362661989844E-14</v>
      </c>
      <c r="TY7" t="s">
        <v>1745</v>
      </c>
      <c r="TZ7">
        <v>2023</v>
      </c>
      <c r="UA7" t="s">
        <v>4417</v>
      </c>
      <c r="UB7" s="6">
        <v>45359</v>
      </c>
      <c r="UC7">
        <v>3</v>
      </c>
      <c r="UD7">
        <v>-2.4245362661989844E-14</v>
      </c>
      <c r="UE7">
        <v>101587</v>
      </c>
      <c r="UF7" t="s">
        <v>4418</v>
      </c>
      <c r="UY7" t="s">
        <v>3925</v>
      </c>
      <c r="UZ7" t="s">
        <v>1786</v>
      </c>
      <c r="VA7">
        <v>2.19069</v>
      </c>
      <c r="VB7">
        <v>1.2499830000000001</v>
      </c>
      <c r="VC7" t="s">
        <v>1762</v>
      </c>
      <c r="VD7">
        <v>2025</v>
      </c>
      <c r="VE7" t="s">
        <v>3926</v>
      </c>
      <c r="VF7" s="6">
        <v>45873</v>
      </c>
      <c r="VG7">
        <v>5</v>
      </c>
      <c r="VH7">
        <v>138750110.75</v>
      </c>
      <c r="VI7">
        <v>112185</v>
      </c>
      <c r="VJ7" t="s">
        <v>3927</v>
      </c>
      <c r="VM7" t="s">
        <v>4040</v>
      </c>
      <c r="VN7">
        <v>0.3236</v>
      </c>
      <c r="VO7" t="s">
        <v>1786</v>
      </c>
      <c r="VP7">
        <v>1.6738</v>
      </c>
      <c r="VQ7" t="s">
        <v>1762</v>
      </c>
      <c r="VR7">
        <v>2025</v>
      </c>
      <c r="VS7" t="s">
        <v>4041</v>
      </c>
      <c r="VT7" s="6">
        <v>45902</v>
      </c>
      <c r="VU7">
        <v>5</v>
      </c>
      <c r="VV7">
        <v>42200676</v>
      </c>
      <c r="VW7">
        <v>24061601</v>
      </c>
      <c r="VX7" t="s">
        <v>4042</v>
      </c>
    </row>
    <row r="8" spans="1:600" x14ac:dyDescent="0.25">
      <c r="A8" t="s">
        <v>2276</v>
      </c>
      <c r="C8">
        <v>0.44397199999999998</v>
      </c>
      <c r="D8">
        <v>-2.4245362661989844E-14</v>
      </c>
      <c r="E8" t="s">
        <v>1845</v>
      </c>
      <c r="F8">
        <v>2024</v>
      </c>
      <c r="G8" t="s">
        <v>2277</v>
      </c>
      <c r="H8" s="6">
        <v>45699</v>
      </c>
      <c r="I8">
        <v>5</v>
      </c>
      <c r="J8">
        <v>316250</v>
      </c>
      <c r="K8">
        <v>10086577</v>
      </c>
      <c r="L8" t="s">
        <v>2278</v>
      </c>
      <c r="CM8" t="s">
        <v>86</v>
      </c>
      <c r="CO8">
        <v>-2.4245362661989844E-14</v>
      </c>
      <c r="CP8">
        <v>-2.4245362661989844E-14</v>
      </c>
      <c r="CQ8" t="s">
        <v>1745</v>
      </c>
      <c r="CR8">
        <v>2021</v>
      </c>
      <c r="CS8" t="s">
        <v>2299</v>
      </c>
      <c r="CT8" s="6">
        <v>44693</v>
      </c>
      <c r="CU8">
        <v>5</v>
      </c>
      <c r="CV8">
        <v>-2.4245362661989844E-14</v>
      </c>
      <c r="CW8">
        <v>100193</v>
      </c>
      <c r="CX8" t="s">
        <v>1849</v>
      </c>
      <c r="EE8" t="s">
        <v>1885</v>
      </c>
      <c r="EF8">
        <v>1.4319980000000001</v>
      </c>
      <c r="EG8" t="s">
        <v>1769</v>
      </c>
      <c r="EH8">
        <v>5.2781000000000002E-2</v>
      </c>
      <c r="EI8" t="s">
        <v>1745</v>
      </c>
      <c r="EJ8">
        <v>2024</v>
      </c>
      <c r="EK8" t="s">
        <v>3652</v>
      </c>
      <c r="EL8" s="6">
        <v>45695</v>
      </c>
      <c r="EM8">
        <v>5</v>
      </c>
      <c r="EN8">
        <v>7292500</v>
      </c>
      <c r="EO8">
        <v>216952</v>
      </c>
      <c r="EP8" t="s">
        <v>1886</v>
      </c>
      <c r="EU8" t="s">
        <v>3323</v>
      </c>
      <c r="EV8" t="s">
        <v>1786</v>
      </c>
      <c r="EW8">
        <v>0.36370599999999997</v>
      </c>
      <c r="EX8">
        <v>1.1864730000000001</v>
      </c>
      <c r="EY8" t="s">
        <v>1745</v>
      </c>
      <c r="EZ8">
        <v>2024</v>
      </c>
      <c r="FA8" t="s">
        <v>3324</v>
      </c>
      <c r="FB8" s="6">
        <v>45776</v>
      </c>
      <c r="FC8">
        <v>5</v>
      </c>
      <c r="FD8">
        <v>751921.51</v>
      </c>
      <c r="FE8">
        <v>10416625</v>
      </c>
      <c r="FF8" t="s">
        <v>3325</v>
      </c>
      <c r="FI8" t="s">
        <v>3196</v>
      </c>
      <c r="FJ8">
        <v>-2.4245362661989844E-14</v>
      </c>
      <c r="FL8">
        <v>-2.4245362661989844E-14</v>
      </c>
      <c r="FM8" t="s">
        <v>1745</v>
      </c>
      <c r="FN8">
        <v>2022</v>
      </c>
      <c r="FO8" t="s">
        <v>3197</v>
      </c>
      <c r="FP8" s="6">
        <v>45016</v>
      </c>
      <c r="FQ8">
        <v>5</v>
      </c>
      <c r="FR8">
        <v>-2.4245362661989844E-14</v>
      </c>
      <c r="FS8">
        <v>24482057</v>
      </c>
      <c r="FT8" t="s">
        <v>3198</v>
      </c>
      <c r="FY8" t="s">
        <v>357</v>
      </c>
      <c r="FZ8" t="s">
        <v>1786</v>
      </c>
      <c r="GA8">
        <v>0.893262</v>
      </c>
      <c r="GB8">
        <v>1.9939499999999999</v>
      </c>
      <c r="GC8" t="s">
        <v>1809</v>
      </c>
      <c r="GD8">
        <v>2025</v>
      </c>
      <c r="GE8" t="s">
        <v>2035</v>
      </c>
      <c r="GF8" s="6">
        <v>45797</v>
      </c>
      <c r="GG8">
        <v>5</v>
      </c>
      <c r="GH8">
        <v>129806144</v>
      </c>
      <c r="GI8">
        <v>1499717</v>
      </c>
      <c r="GJ8" t="s">
        <v>1864</v>
      </c>
      <c r="GM8" t="s">
        <v>1814</v>
      </c>
      <c r="GN8">
        <v>0.94301500000000005</v>
      </c>
      <c r="GO8" t="s">
        <v>1786</v>
      </c>
      <c r="GP8">
        <v>2.2702520000000002</v>
      </c>
      <c r="GQ8" t="s">
        <v>1809</v>
      </c>
      <c r="GR8">
        <v>2025</v>
      </c>
      <c r="GS8" t="s">
        <v>1815</v>
      </c>
      <c r="GT8" s="6">
        <v>45784</v>
      </c>
      <c r="GU8">
        <v>5</v>
      </c>
      <c r="GV8">
        <v>137123792</v>
      </c>
      <c r="GW8">
        <v>100115</v>
      </c>
      <c r="GX8" t="s">
        <v>1816</v>
      </c>
      <c r="HC8" t="s">
        <v>2494</v>
      </c>
      <c r="HD8" t="s">
        <v>1786</v>
      </c>
      <c r="HE8">
        <v>9.0144000000000002E-2</v>
      </c>
      <c r="HF8">
        <v>1.3390000000000001E-2</v>
      </c>
      <c r="HG8" t="s">
        <v>1762</v>
      </c>
      <c r="HH8">
        <v>2026</v>
      </c>
      <c r="HI8" t="s">
        <v>2495</v>
      </c>
      <c r="HJ8" s="6">
        <v>46035</v>
      </c>
      <c r="HK8">
        <v>5</v>
      </c>
      <c r="HL8">
        <v>236200</v>
      </c>
      <c r="HM8">
        <v>105325</v>
      </c>
      <c r="HN8" t="s">
        <v>2496</v>
      </c>
      <c r="HQ8" t="s">
        <v>1982</v>
      </c>
      <c r="HR8">
        <v>-2.4245362661989844E-14</v>
      </c>
      <c r="HT8">
        <v>-2.4245362661989844E-14</v>
      </c>
      <c r="HU8" t="s">
        <v>1745</v>
      </c>
      <c r="HV8">
        <v>2023</v>
      </c>
      <c r="HW8" t="s">
        <v>1983</v>
      </c>
      <c r="HX8" s="6">
        <v>45377</v>
      </c>
      <c r="HY8">
        <v>5</v>
      </c>
      <c r="HZ8">
        <v>-2.4245362661989844E-14</v>
      </c>
      <c r="IA8">
        <v>24248093</v>
      </c>
      <c r="IB8" t="s">
        <v>1984</v>
      </c>
      <c r="IG8" t="s">
        <v>2276</v>
      </c>
      <c r="II8">
        <v>0.44397199999999998</v>
      </c>
      <c r="IJ8">
        <v>-2.4245362661989844E-14</v>
      </c>
      <c r="IK8" t="s">
        <v>1845</v>
      </c>
      <c r="IL8">
        <v>2024</v>
      </c>
      <c r="IM8" t="s">
        <v>2277</v>
      </c>
      <c r="IN8" s="6">
        <v>45699</v>
      </c>
      <c r="IO8">
        <v>5</v>
      </c>
      <c r="IP8">
        <v>316250</v>
      </c>
      <c r="IQ8">
        <v>10086577</v>
      </c>
      <c r="IR8" t="s">
        <v>2278</v>
      </c>
      <c r="JK8" t="s">
        <v>3987</v>
      </c>
      <c r="JM8">
        <v>-2.4245362661989844E-14</v>
      </c>
      <c r="JN8">
        <v>-2.4245362661989844E-14</v>
      </c>
      <c r="JO8" t="s">
        <v>1745</v>
      </c>
      <c r="JP8">
        <v>2024</v>
      </c>
      <c r="JQ8" t="s">
        <v>5100</v>
      </c>
      <c r="JR8" s="6">
        <v>45748</v>
      </c>
      <c r="JS8">
        <v>5</v>
      </c>
      <c r="JT8">
        <v>-2.4245362661989844E-14</v>
      </c>
      <c r="JU8">
        <v>158756</v>
      </c>
      <c r="JV8" t="s">
        <v>3989</v>
      </c>
      <c r="LS8" t="s">
        <v>4128</v>
      </c>
      <c r="LT8" t="s">
        <v>1786</v>
      </c>
      <c r="LU8">
        <v>2.0115419999999999</v>
      </c>
      <c r="LV8">
        <v>0.17267299999999999</v>
      </c>
      <c r="LW8" t="s">
        <v>1762</v>
      </c>
      <c r="LX8">
        <v>2025</v>
      </c>
      <c r="LY8" t="s">
        <v>4129</v>
      </c>
      <c r="LZ8" s="6">
        <v>45967</v>
      </c>
      <c r="MA8">
        <v>5</v>
      </c>
      <c r="MB8">
        <v>12545691.76</v>
      </c>
      <c r="MC8">
        <v>111410</v>
      </c>
      <c r="MD8" t="s">
        <v>4130</v>
      </c>
      <c r="MG8" t="s">
        <v>4031</v>
      </c>
      <c r="MH8">
        <v>-2.4245362661989844E-14</v>
      </c>
      <c r="MJ8">
        <v>-2.4245362661989844E-14</v>
      </c>
      <c r="MK8" t="s">
        <v>1745</v>
      </c>
      <c r="ML8">
        <v>2024</v>
      </c>
      <c r="MM8" t="s">
        <v>4032</v>
      </c>
      <c r="MN8" s="6">
        <v>45733</v>
      </c>
      <c r="MO8">
        <v>5</v>
      </c>
      <c r="MP8">
        <v>-2.4245362661989844E-14</v>
      </c>
      <c r="MQ8">
        <v>12375031</v>
      </c>
      <c r="MR8" t="s">
        <v>4033</v>
      </c>
      <c r="MW8" t="s">
        <v>1578</v>
      </c>
      <c r="MX8" t="s">
        <v>1786</v>
      </c>
      <c r="MY8">
        <v>4.630776</v>
      </c>
      <c r="MZ8">
        <v>0.19183800000000001</v>
      </c>
      <c r="NA8" t="s">
        <v>1742</v>
      </c>
      <c r="NB8">
        <v>2025</v>
      </c>
      <c r="NC8" t="s">
        <v>3048</v>
      </c>
      <c r="ND8" s="6">
        <v>45952</v>
      </c>
      <c r="NE8">
        <v>5</v>
      </c>
      <c r="NF8">
        <v>125308800</v>
      </c>
      <c r="NG8">
        <v>171010</v>
      </c>
      <c r="NH8" t="s">
        <v>3049</v>
      </c>
      <c r="NK8" t="s">
        <v>1088</v>
      </c>
      <c r="NL8">
        <v>0.34598400000000001</v>
      </c>
      <c r="NM8" t="s">
        <v>1786</v>
      </c>
      <c r="NN8">
        <v>1.684086</v>
      </c>
      <c r="NO8" t="s">
        <v>1762</v>
      </c>
      <c r="NP8">
        <v>2025</v>
      </c>
      <c r="NQ8" t="s">
        <v>3484</v>
      </c>
      <c r="NR8" s="6">
        <v>45873</v>
      </c>
      <c r="NS8">
        <v>5</v>
      </c>
      <c r="NT8">
        <v>342105216</v>
      </c>
      <c r="NU8">
        <v>100211</v>
      </c>
      <c r="NV8" t="s">
        <v>1851</v>
      </c>
      <c r="OA8" t="s">
        <v>3300</v>
      </c>
      <c r="OC8">
        <v>-2.4245362661989844E-14</v>
      </c>
      <c r="OD8">
        <v>-2.4245362661989844E-14</v>
      </c>
      <c r="OE8" t="s">
        <v>1745</v>
      </c>
      <c r="OF8">
        <v>2023</v>
      </c>
      <c r="OG8" t="s">
        <v>3301</v>
      </c>
      <c r="OH8" s="6">
        <v>45184</v>
      </c>
      <c r="OI8">
        <v>5</v>
      </c>
      <c r="OJ8">
        <v>-2.4245362661989844E-14</v>
      </c>
      <c r="OK8">
        <v>63151666</v>
      </c>
      <c r="OL8" t="s">
        <v>3302</v>
      </c>
      <c r="UY8" t="s">
        <v>1571</v>
      </c>
      <c r="UZ8" t="s">
        <v>1786</v>
      </c>
      <c r="VA8">
        <v>1.748761</v>
      </c>
      <c r="VB8">
        <v>0.78238600000000003</v>
      </c>
      <c r="VC8" t="s">
        <v>1845</v>
      </c>
      <c r="VD8">
        <v>2025</v>
      </c>
      <c r="VE8" t="s">
        <v>4106</v>
      </c>
      <c r="VF8" s="6">
        <v>45894</v>
      </c>
      <c r="VG8">
        <v>5</v>
      </c>
      <c r="VH8">
        <v>86782264</v>
      </c>
      <c r="VI8">
        <v>101149</v>
      </c>
      <c r="VJ8" t="s">
        <v>4107</v>
      </c>
      <c r="VM8" t="s">
        <v>1870</v>
      </c>
      <c r="VN8">
        <v>0.16686100000000001</v>
      </c>
      <c r="VO8" t="s">
        <v>1786</v>
      </c>
      <c r="VP8">
        <v>0.50028099999999998</v>
      </c>
      <c r="VQ8" t="s">
        <v>1809</v>
      </c>
      <c r="VR8">
        <v>2025</v>
      </c>
      <c r="VS8" t="s">
        <v>1871</v>
      </c>
      <c r="VT8" s="6">
        <v>45820</v>
      </c>
      <c r="VU8">
        <v>5</v>
      </c>
      <c r="VV8">
        <v>20395456</v>
      </c>
      <c r="VW8">
        <v>12129192</v>
      </c>
      <c r="VX8" t="s">
        <v>1872</v>
      </c>
    </row>
    <row r="9" spans="1:600" x14ac:dyDescent="0.25">
      <c r="A9" t="s">
        <v>2043</v>
      </c>
      <c r="C9">
        <v>-2.4245362661989844E-14</v>
      </c>
      <c r="D9">
        <v>-2.4245362661989844E-14</v>
      </c>
      <c r="E9" t="s">
        <v>1798</v>
      </c>
      <c r="F9">
        <v>2025</v>
      </c>
      <c r="G9" t="s">
        <v>2279</v>
      </c>
      <c r="H9" s="6">
        <v>45974</v>
      </c>
      <c r="I9">
        <v>5</v>
      </c>
      <c r="J9">
        <v>-2.4245362661989844E-14</v>
      </c>
      <c r="K9">
        <v>118099</v>
      </c>
      <c r="L9" t="s">
        <v>2044</v>
      </c>
      <c r="CM9" t="s">
        <v>2346</v>
      </c>
      <c r="CO9">
        <v>-2.4245362661989844E-14</v>
      </c>
      <c r="CP9">
        <v>-2.4245362661989844E-14</v>
      </c>
      <c r="CQ9" t="s">
        <v>1745</v>
      </c>
      <c r="CR9">
        <v>2021</v>
      </c>
      <c r="CS9" t="s">
        <v>2347</v>
      </c>
      <c r="CT9" s="6">
        <v>44693</v>
      </c>
      <c r="CU9">
        <v>5</v>
      </c>
      <c r="CV9">
        <v>-2.4245362661989844E-14</v>
      </c>
      <c r="CW9">
        <v>100481</v>
      </c>
      <c r="CX9" t="s">
        <v>2348</v>
      </c>
      <c r="EE9" t="s">
        <v>1969</v>
      </c>
      <c r="EF9">
        <v>1.4258120000000001</v>
      </c>
      <c r="EG9" t="s">
        <v>1769</v>
      </c>
      <c r="EH9">
        <v>0.82678600000000002</v>
      </c>
      <c r="EI9" t="s">
        <v>1745</v>
      </c>
      <c r="EJ9">
        <v>2024</v>
      </c>
      <c r="EK9" t="s">
        <v>3652</v>
      </c>
      <c r="EL9" s="6">
        <v>45695</v>
      </c>
      <c r="EM9">
        <v>5</v>
      </c>
      <c r="EN9">
        <v>7261000</v>
      </c>
      <c r="EO9">
        <v>34501311</v>
      </c>
      <c r="EP9" t="s">
        <v>1970</v>
      </c>
      <c r="EU9" t="s">
        <v>420</v>
      </c>
      <c r="EV9" t="s">
        <v>1786</v>
      </c>
      <c r="EW9">
        <v>8.7770000000000001E-3</v>
      </c>
      <c r="EX9">
        <v>1.5567949999999999</v>
      </c>
      <c r="EY9" t="s">
        <v>1762</v>
      </c>
      <c r="EZ9">
        <v>2025</v>
      </c>
      <c r="FA9" t="s">
        <v>3326</v>
      </c>
      <c r="FB9" s="6">
        <v>45846</v>
      </c>
      <c r="FC9">
        <v>5</v>
      </c>
      <c r="FD9">
        <v>669422</v>
      </c>
      <c r="FE9">
        <v>42602315</v>
      </c>
      <c r="FF9" t="s">
        <v>2176</v>
      </c>
      <c r="FI9" t="s">
        <v>2114</v>
      </c>
      <c r="FJ9">
        <v>-2.4245362661989844E-14</v>
      </c>
      <c r="FL9">
        <v>-2.4245362661989844E-14</v>
      </c>
      <c r="FM9" t="s">
        <v>1742</v>
      </c>
      <c r="FN9">
        <v>2025</v>
      </c>
      <c r="FO9" t="s">
        <v>2115</v>
      </c>
      <c r="FP9" s="6">
        <v>46020</v>
      </c>
      <c r="FQ9">
        <v>5</v>
      </c>
      <c r="FR9">
        <v>-2.4245362661989844E-14</v>
      </c>
      <c r="FS9">
        <v>10803397</v>
      </c>
      <c r="FT9" t="s">
        <v>2116</v>
      </c>
      <c r="FY9" t="s">
        <v>2512</v>
      </c>
      <c r="FZ9" t="s">
        <v>1786</v>
      </c>
      <c r="GA9">
        <v>0.59890299999999996</v>
      </c>
      <c r="GB9">
        <v>1.729209</v>
      </c>
      <c r="GC9" t="s">
        <v>1809</v>
      </c>
      <c r="GD9">
        <v>2025</v>
      </c>
      <c r="GE9" t="s">
        <v>2035</v>
      </c>
      <c r="GF9" s="6">
        <v>45797</v>
      </c>
      <c r="GG9">
        <v>5</v>
      </c>
      <c r="GH9">
        <v>112571504</v>
      </c>
      <c r="GI9">
        <v>130929</v>
      </c>
      <c r="GJ9" t="s">
        <v>2513</v>
      </c>
      <c r="GM9" t="s">
        <v>167</v>
      </c>
      <c r="GN9">
        <v>0.76780499999999996</v>
      </c>
      <c r="GO9" t="s">
        <v>1786</v>
      </c>
      <c r="GP9">
        <v>2.2920660000000002</v>
      </c>
      <c r="GQ9" t="s">
        <v>1809</v>
      </c>
      <c r="GR9">
        <v>2025</v>
      </c>
      <c r="GS9" t="s">
        <v>2035</v>
      </c>
      <c r="GT9" s="6">
        <v>45797</v>
      </c>
      <c r="GU9">
        <v>5</v>
      </c>
      <c r="GV9">
        <v>111646528</v>
      </c>
      <c r="GW9">
        <v>69423747</v>
      </c>
      <c r="GX9" t="s">
        <v>2036</v>
      </c>
      <c r="HC9" t="s">
        <v>2497</v>
      </c>
      <c r="HD9" t="s">
        <v>1786</v>
      </c>
      <c r="HE9">
        <v>3.5172000000000002E-2</v>
      </c>
      <c r="HF9">
        <v>2.8899999999999998E-4</v>
      </c>
      <c r="HG9" t="s">
        <v>1845</v>
      </c>
      <c r="HH9">
        <v>2024</v>
      </c>
      <c r="HI9" t="s">
        <v>2498</v>
      </c>
      <c r="HJ9" s="6">
        <v>45770</v>
      </c>
      <c r="HK9">
        <v>5</v>
      </c>
      <c r="HL9">
        <v>5248</v>
      </c>
      <c r="HM9">
        <v>1176738</v>
      </c>
      <c r="HN9" t="s">
        <v>2499</v>
      </c>
      <c r="HQ9" t="s">
        <v>1985</v>
      </c>
      <c r="HR9">
        <v>-2.4245362661989844E-14</v>
      </c>
      <c r="HT9">
        <v>-2.4245362661989844E-14</v>
      </c>
      <c r="HU9" t="s">
        <v>1745</v>
      </c>
      <c r="HV9">
        <v>2024</v>
      </c>
      <c r="HW9" t="s">
        <v>1986</v>
      </c>
      <c r="HX9" s="6">
        <v>45726</v>
      </c>
      <c r="HY9">
        <v>5</v>
      </c>
      <c r="HZ9">
        <v>-2.4245362661989844E-14</v>
      </c>
      <c r="IA9">
        <v>36965288</v>
      </c>
      <c r="IB9" t="s">
        <v>1987</v>
      </c>
      <c r="IG9" t="s">
        <v>2043</v>
      </c>
      <c r="II9">
        <v>-2.4245362661989844E-14</v>
      </c>
      <c r="IJ9">
        <v>-2.4245362661989844E-14</v>
      </c>
      <c r="IK9" t="s">
        <v>1798</v>
      </c>
      <c r="IL9">
        <v>2025</v>
      </c>
      <c r="IM9" t="s">
        <v>2279</v>
      </c>
      <c r="IN9" s="6">
        <v>45974</v>
      </c>
      <c r="IO9">
        <v>5</v>
      </c>
      <c r="IP9">
        <v>-2.4245362661989844E-14</v>
      </c>
      <c r="IQ9">
        <v>118099</v>
      </c>
      <c r="IR9" t="s">
        <v>2044</v>
      </c>
      <c r="JK9" t="s">
        <v>5101</v>
      </c>
      <c r="JM9">
        <v>-2.4245362661989844E-14</v>
      </c>
      <c r="JN9">
        <v>-2.4245362661989844E-14</v>
      </c>
      <c r="JO9" t="s">
        <v>1809</v>
      </c>
      <c r="JP9">
        <v>2024</v>
      </c>
      <c r="JQ9" t="s">
        <v>5102</v>
      </c>
      <c r="JR9" s="6">
        <v>45342</v>
      </c>
      <c r="JS9">
        <v>5</v>
      </c>
      <c r="JT9">
        <v>-2.4245362661989844E-14</v>
      </c>
      <c r="JU9">
        <v>148067</v>
      </c>
      <c r="JV9" t="s">
        <v>5103</v>
      </c>
      <c r="LS9" t="s">
        <v>3214</v>
      </c>
      <c r="LT9" t="s">
        <v>1786</v>
      </c>
      <c r="LU9">
        <v>0.296794</v>
      </c>
      <c r="LV9">
        <v>0.145179</v>
      </c>
      <c r="LW9" t="s">
        <v>1742</v>
      </c>
      <c r="LX9">
        <v>2025</v>
      </c>
      <c r="LY9" t="s">
        <v>3215</v>
      </c>
      <c r="LZ9" s="6">
        <v>45993</v>
      </c>
      <c r="MA9">
        <v>5</v>
      </c>
      <c r="MB9">
        <v>10646001</v>
      </c>
      <c r="MC9">
        <v>100415</v>
      </c>
      <c r="MD9" t="s">
        <v>3216</v>
      </c>
      <c r="MG9" t="s">
        <v>4034</v>
      </c>
      <c r="MH9">
        <v>-2.4245362661989844E-14</v>
      </c>
      <c r="MJ9">
        <v>-2.4245362661989844E-14</v>
      </c>
      <c r="MK9" t="s">
        <v>1745</v>
      </c>
      <c r="ML9">
        <v>2025</v>
      </c>
      <c r="MM9" t="s">
        <v>4035</v>
      </c>
      <c r="MN9" s="6">
        <v>45987</v>
      </c>
      <c r="MO9">
        <v>5</v>
      </c>
      <c r="MP9">
        <v>-2.4245362661989844E-14</v>
      </c>
      <c r="MQ9">
        <v>18736743</v>
      </c>
      <c r="MR9" t="s">
        <v>4036</v>
      </c>
      <c r="MW9" t="s">
        <v>2919</v>
      </c>
      <c r="MX9" t="s">
        <v>1820</v>
      </c>
      <c r="MY9">
        <v>1.650523</v>
      </c>
      <c r="MZ9">
        <v>1.7462089999999999</v>
      </c>
      <c r="NA9" t="s">
        <v>1742</v>
      </c>
      <c r="NB9">
        <v>2025</v>
      </c>
      <c r="NC9" t="s">
        <v>2920</v>
      </c>
      <c r="ND9" s="6">
        <v>46029</v>
      </c>
      <c r="NE9">
        <v>5</v>
      </c>
      <c r="NF9">
        <v>97565313.560000002</v>
      </c>
      <c r="NG9">
        <v>115705</v>
      </c>
      <c r="NH9" t="s">
        <v>2921</v>
      </c>
      <c r="NK9" t="s">
        <v>1054</v>
      </c>
      <c r="NL9">
        <v>0.19926099999999999</v>
      </c>
      <c r="NM9" t="s">
        <v>1786</v>
      </c>
      <c r="NN9">
        <v>1.1451750000000001</v>
      </c>
      <c r="NO9" t="s">
        <v>1762</v>
      </c>
      <c r="NP9">
        <v>2025</v>
      </c>
      <c r="NQ9" t="s">
        <v>3638</v>
      </c>
      <c r="NR9" s="6">
        <v>45895</v>
      </c>
      <c r="NS9">
        <v>5</v>
      </c>
      <c r="NT9">
        <v>197027360</v>
      </c>
      <c r="NU9">
        <v>101555</v>
      </c>
      <c r="NV9" t="s">
        <v>1848</v>
      </c>
      <c r="OA9" t="s">
        <v>3303</v>
      </c>
      <c r="OC9">
        <v>-2.4245362661989844E-14</v>
      </c>
      <c r="OD9">
        <v>-2.4245362661989844E-14</v>
      </c>
      <c r="OE9" t="s">
        <v>1745</v>
      </c>
      <c r="OF9">
        <v>2025</v>
      </c>
      <c r="OG9" t="s">
        <v>3304</v>
      </c>
      <c r="OH9" s="6">
        <v>45938</v>
      </c>
      <c r="OI9">
        <v>5</v>
      </c>
      <c r="OJ9">
        <v>-2.4245362661989844E-14</v>
      </c>
      <c r="OK9">
        <v>70158692</v>
      </c>
      <c r="OL9" t="s">
        <v>3305</v>
      </c>
      <c r="UY9" t="s">
        <v>274</v>
      </c>
      <c r="UZ9" t="s">
        <v>1786</v>
      </c>
      <c r="VA9">
        <v>4.2578709999999997</v>
      </c>
      <c r="VB9">
        <v>0.81780799999999998</v>
      </c>
      <c r="VC9" t="s">
        <v>1762</v>
      </c>
      <c r="VD9">
        <v>2025</v>
      </c>
      <c r="VE9" t="s">
        <v>2172</v>
      </c>
      <c r="VF9" s="6">
        <v>45791</v>
      </c>
      <c r="VG9">
        <v>5</v>
      </c>
      <c r="VH9">
        <v>84479568</v>
      </c>
      <c r="VI9">
        <v>116988</v>
      </c>
      <c r="VJ9" t="s">
        <v>4108</v>
      </c>
      <c r="VM9" t="s">
        <v>4043</v>
      </c>
      <c r="VN9">
        <v>7.0043999999999995E-2</v>
      </c>
      <c r="VO9" t="s">
        <v>1786</v>
      </c>
      <c r="VP9">
        <v>0.716028</v>
      </c>
      <c r="VQ9" t="s">
        <v>1845</v>
      </c>
      <c r="VR9">
        <v>2024</v>
      </c>
      <c r="VS9" t="s">
        <v>4041</v>
      </c>
      <c r="VT9" s="6">
        <v>45706</v>
      </c>
      <c r="VU9">
        <v>5</v>
      </c>
      <c r="VV9">
        <v>9342469</v>
      </c>
      <c r="VW9">
        <v>202402</v>
      </c>
      <c r="VX9" t="s">
        <v>4044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1321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1322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1323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1324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1325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1326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1327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1328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1329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1330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1331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1332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1333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1334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1335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1336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1337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1338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1339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1340</v>
      </c>
      <c r="AE2" s="3" t="s">
        <v>1341</v>
      </c>
      <c r="BI2" s="3" t="s">
        <v>358</v>
      </c>
      <c r="CM2" s="3" t="s">
        <v>1342</v>
      </c>
      <c r="DQ2" s="3" t="s">
        <v>948</v>
      </c>
      <c r="EU2" s="3" t="s">
        <v>1343</v>
      </c>
      <c r="FY2" s="3" t="s">
        <v>169</v>
      </c>
      <c r="HC2" s="3" t="s">
        <v>1344</v>
      </c>
      <c r="IG2" s="3" t="s">
        <v>34</v>
      </c>
      <c r="JK2" s="3" t="s">
        <v>1278</v>
      </c>
      <c r="KO2" s="3" t="s">
        <v>1345</v>
      </c>
      <c r="LS2" s="3" t="s">
        <v>1346</v>
      </c>
      <c r="MW2" s="3" t="s">
        <v>121</v>
      </c>
      <c r="OA2" s="3" t="s">
        <v>1347</v>
      </c>
      <c r="PE2" s="3" t="s">
        <v>1348</v>
      </c>
      <c r="QI2" s="3" t="s">
        <v>1115</v>
      </c>
      <c r="RM2" s="3" t="s">
        <v>1349</v>
      </c>
      <c r="SQ2" s="3" t="s">
        <v>431</v>
      </c>
      <c r="TU2" s="3" t="s">
        <v>1350</v>
      </c>
      <c r="UY2" s="3" t="s">
        <v>454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_xll.BDS("IRT US Equity","SUPPLY_CHAIN_SUPPLIERS_ALL_DATA")</f>
        <v>#N/A N/A</v>
      </c>
      <c r="O5" t="str">
        <f>_xll.BDS("IRT US Equity","SUPPLY_CHAIN_CUSTOMERS_ALL_DATA")</f>
        <v>#N/A N/A</v>
      </c>
      <c r="AE5" t="str">
        <f>_xll.BDS("ASB US Equity","SUPPLY_CHAIN_SUPPLIERS_ALL_DATA","cols=12;rows=2")</f>
        <v>NICE IT Equity</v>
      </c>
      <c r="AG5">
        <v>-2.4245362661989844E-14</v>
      </c>
      <c r="AH5">
        <v>-2.4245362661989844E-14</v>
      </c>
      <c r="AI5" t="s">
        <v>1809</v>
      </c>
      <c r="AJ5">
        <v>2023</v>
      </c>
      <c r="AK5" t="s">
        <v>2668</v>
      </c>
      <c r="AL5" s="6">
        <v>45057</v>
      </c>
      <c r="AM5">
        <v>2</v>
      </c>
      <c r="AN5">
        <v>-2.4245362661989844E-14</v>
      </c>
      <c r="AO5">
        <v>173249</v>
      </c>
      <c r="AP5" t="s">
        <v>2669</v>
      </c>
      <c r="AS5" t="str">
        <f>_xll.BDS("ASB US Equity","SUPPLY_CHAIN_CUSTOMERS_ALL_DATA")</f>
        <v>#N/A N/A</v>
      </c>
      <c r="BI5" t="str">
        <f>_xll.BDS("SYK US Equity","SUPPLY_CHAIN_SUPPLIERS_ALL_DATA","cols=12;rows=5")</f>
        <v>FLEX US Equity</v>
      </c>
      <c r="BJ5" t="s">
        <v>1786</v>
      </c>
      <c r="BK5">
        <v>0.99592000000000003</v>
      </c>
      <c r="BL5">
        <v>2.886495</v>
      </c>
      <c r="BM5" t="s">
        <v>1742</v>
      </c>
      <c r="BN5">
        <v>2025</v>
      </c>
      <c r="BO5" t="s">
        <v>2387</v>
      </c>
      <c r="BP5" s="6">
        <v>45763</v>
      </c>
      <c r="BQ5">
        <v>5</v>
      </c>
      <c r="BR5">
        <v>65292516</v>
      </c>
      <c r="BS5">
        <v>136547</v>
      </c>
      <c r="BT5" t="s">
        <v>2388</v>
      </c>
      <c r="BW5" t="str">
        <f>_xll.BDS("SYK US Equity","SUPPLY_CHAIN_CUSTOMERS_ALL_DATA","cols=12;rows=5")</f>
        <v>CNXN US Equity</v>
      </c>
      <c r="BX5">
        <v>4.0249999999999999E-3</v>
      </c>
      <c r="BY5" t="s">
        <v>1786</v>
      </c>
      <c r="BZ5">
        <v>4.2737999999999998E-2</v>
      </c>
      <c r="CA5" t="s">
        <v>1742</v>
      </c>
      <c r="CB5">
        <v>2025</v>
      </c>
      <c r="CC5" t="s">
        <v>2140</v>
      </c>
      <c r="CD5" s="6">
        <v>46034</v>
      </c>
      <c r="CE5">
        <v>5</v>
      </c>
      <c r="CF5">
        <v>243787</v>
      </c>
      <c r="CG5">
        <v>313021</v>
      </c>
      <c r="CH5" t="s">
        <v>2141</v>
      </c>
      <c r="CM5" t="str">
        <f>_xll.BDS("ARWLQ US Equity","SUPPLY_CHAIN_SUPPLIERS_ALL_DATA")</f>
        <v>#N/A N/A</v>
      </c>
      <c r="DA5" t="str">
        <f>_xll.BDS("ARWLQ US Equity","SUPPLY_CHAIN_CUSTOMERS_ALL_DATA")</f>
        <v>#N/A N/A</v>
      </c>
      <c r="DQ5" t="str">
        <f>_xll.BDS("VNRSQ US Equity","SUPPLY_CHAIN_SUPPLIERS_ALL_DATA")</f>
        <v>#N/A N/A</v>
      </c>
      <c r="EE5" t="str">
        <f>_xll.BDS("VNRSQ US Equity","SUPPLY_CHAIN_CUSTOMERS_ALL_DATA")</f>
        <v>#N/A N/A</v>
      </c>
      <c r="EU5" t="str">
        <f>_xll.BDS("1811934D US Equity","SUPPLY_CHAIN_SUPPLIERS_ALL_DATA")</f>
        <v>#N/A N/A</v>
      </c>
      <c r="FI5" t="str">
        <f>_xll.BDS("1811934D US Equity","SUPPLY_CHAIN_CUSTOMERS_ALL_DATA")</f>
        <v>#N/A N/A</v>
      </c>
      <c r="FY5" t="str">
        <f>_xll.BDS("BX US Equity","SUPPLY_CHAIN_SUPPLIERS_ALL_DATA","cols=12;rows=5")</f>
        <v>ORCL US Equity</v>
      </c>
      <c r="FZ5" t="s">
        <v>1786</v>
      </c>
      <c r="GA5">
        <v>3.7003000000000001E-2</v>
      </c>
      <c r="GB5">
        <v>0.33128000000000002</v>
      </c>
      <c r="GC5" t="s">
        <v>1845</v>
      </c>
      <c r="GD5">
        <v>2025</v>
      </c>
      <c r="GE5" t="s">
        <v>1883</v>
      </c>
      <c r="GF5" s="6">
        <v>45848</v>
      </c>
      <c r="GG5">
        <v>5</v>
      </c>
      <c r="GH5">
        <v>5884587</v>
      </c>
      <c r="GI5">
        <v>101752</v>
      </c>
      <c r="GJ5" t="s">
        <v>2723</v>
      </c>
      <c r="GM5" t="str">
        <f>_xll.BDS("BX US Equity","SUPPLY_CHAIN_CUSTOMERS_ALL_DATA","cols=12;rows=5")</f>
        <v>002284 CH Equity</v>
      </c>
      <c r="GN5">
        <v>-2.4245362661989844E-14</v>
      </c>
      <c r="GP5">
        <v>-2.4245362661989844E-14</v>
      </c>
      <c r="GQ5" t="s">
        <v>1745</v>
      </c>
      <c r="GR5">
        <v>2024</v>
      </c>
      <c r="GS5" t="s">
        <v>3705</v>
      </c>
      <c r="GT5" s="6">
        <v>45744</v>
      </c>
      <c r="GU5">
        <v>5</v>
      </c>
      <c r="GV5">
        <v>-2.4245362661989844E-14</v>
      </c>
      <c r="GW5">
        <v>15069854</v>
      </c>
      <c r="GX5" t="s">
        <v>3192</v>
      </c>
      <c r="HC5" t="str">
        <f>_xll.BDS("9993232D US Equity","SUPPLY_CHAIN_SUPPLIERS_ALL_DATA")</f>
        <v>#N/A N/A</v>
      </c>
      <c r="HQ5" t="str">
        <f>_xll.BDS("9993232D US Equity","SUPPLY_CHAIN_CUSTOMERS_ALL_DATA")</f>
        <v>#N/A N/A</v>
      </c>
      <c r="IG5" t="str">
        <f>_xll.BDS("ORCL US Equity","SUPPLY_CHAIN_SUPPLIERS_ALL_DATA","cols=12;rows=5")</f>
        <v>NVDA US Equity</v>
      </c>
      <c r="IH5" t="s">
        <v>1820</v>
      </c>
      <c r="II5">
        <v>1.9751799999999999</v>
      </c>
      <c r="IJ5">
        <v>11.182838</v>
      </c>
      <c r="IK5" t="s">
        <v>1845</v>
      </c>
      <c r="IL5">
        <v>2026</v>
      </c>
      <c r="IM5" t="s">
        <v>2311</v>
      </c>
      <c r="IN5" s="6">
        <v>46087</v>
      </c>
      <c r="IO5">
        <v>5</v>
      </c>
      <c r="IP5">
        <v>1345630848</v>
      </c>
      <c r="IQ5">
        <v>313657</v>
      </c>
      <c r="IR5" t="s">
        <v>2312</v>
      </c>
      <c r="IU5" t="str">
        <f>_xll.BDS("ORCL US Equity","SUPPLY_CHAIN_CUSTOMERS_ALL_DATA","cols=12;rows=5")</f>
        <v>ACN US Equity</v>
      </c>
      <c r="IV5">
        <v>1.9061380000000001</v>
      </c>
      <c r="IW5" t="s">
        <v>1786</v>
      </c>
      <c r="IX5">
        <v>2.7725070000000001</v>
      </c>
      <c r="IY5" t="s">
        <v>1845</v>
      </c>
      <c r="IZ5">
        <v>2025</v>
      </c>
      <c r="JA5" t="s">
        <v>1883</v>
      </c>
      <c r="JB5" s="6">
        <v>45848</v>
      </c>
      <c r="JC5">
        <v>5</v>
      </c>
      <c r="JD5">
        <v>303133120</v>
      </c>
      <c r="JE5">
        <v>300787</v>
      </c>
      <c r="JF5" t="s">
        <v>1884</v>
      </c>
      <c r="JK5" t="str">
        <f>_xll.BDS("VTR US Equity","SUPPLY_CHAIN_SUPPLIERS_ALL_DATA")</f>
        <v>#N/A N/A</v>
      </c>
      <c r="JY5" t="str">
        <f>_xll.BDS("VTR US Equity","SUPPLY_CHAIN_CUSTOMERS_ALL_DATA","cols=12;rows=3")</f>
        <v>BKD US Equity</v>
      </c>
      <c r="JZ5">
        <v>3.1</v>
      </c>
      <c r="KA5" t="s">
        <v>1769</v>
      </c>
      <c r="KB5">
        <v>82.137343999999999</v>
      </c>
      <c r="KC5" t="s">
        <v>1745</v>
      </c>
      <c r="KD5">
        <v>2024</v>
      </c>
      <c r="KE5" t="s">
        <v>1770</v>
      </c>
      <c r="KF5" s="6">
        <v>45701</v>
      </c>
      <c r="KG5">
        <v>3</v>
      </c>
      <c r="KH5">
        <v>38163060</v>
      </c>
      <c r="KI5">
        <v>9938236</v>
      </c>
      <c r="KJ5" t="s">
        <v>1771</v>
      </c>
      <c r="KO5" t="str">
        <f>_xll.BDS("PNP US Equity","SUPPLY_CHAIN_SUPPLIERS_ALL_DATA")</f>
        <v>#N/A N/A</v>
      </c>
      <c r="LC5" t="str">
        <f>_xll.BDS("PNP US Equity","SUPPLY_CHAIN_CUSTOMERS_ALL_DATA")</f>
        <v>#N/A N/A</v>
      </c>
      <c r="LS5" t="str">
        <f>_xll.BDS("HON US Equity","SUPPLY_CHAIN_SUPPLIERS_ALL_DATA","cols=12;rows=5")</f>
        <v>CLS CN Equity</v>
      </c>
      <c r="LT5" t="s">
        <v>1786</v>
      </c>
      <c r="LU5">
        <v>4.9330850000000002</v>
      </c>
      <c r="LV5">
        <v>2.2964980000000002</v>
      </c>
      <c r="LW5" t="s">
        <v>1742</v>
      </c>
      <c r="LX5">
        <v>2025</v>
      </c>
      <c r="LY5" t="s">
        <v>2370</v>
      </c>
      <c r="LZ5" s="6">
        <v>46013</v>
      </c>
      <c r="MA5">
        <v>5</v>
      </c>
      <c r="MB5">
        <v>157562736</v>
      </c>
      <c r="MC5">
        <v>349266</v>
      </c>
      <c r="MD5" t="s">
        <v>2371</v>
      </c>
      <c r="MG5" t="str">
        <f>_xll.BDS("HON US Equity","SUPPLY_CHAIN_CUSTOMERS_ALL_DATA","cols=12;rows=5")</f>
        <v>3352Z US Equity</v>
      </c>
      <c r="MH5">
        <v>12.69163</v>
      </c>
      <c r="MJ5">
        <v>-2.4245362661989844E-14</v>
      </c>
      <c r="MK5" t="s">
        <v>1745</v>
      </c>
      <c r="ML5">
        <v>2025</v>
      </c>
      <c r="MM5" t="s">
        <v>2367</v>
      </c>
      <c r="MN5" s="6">
        <v>46070</v>
      </c>
      <c r="MO5">
        <v>5</v>
      </c>
      <c r="MP5">
        <v>1188000000</v>
      </c>
      <c r="MQ5">
        <v>218252</v>
      </c>
      <c r="MR5" t="s">
        <v>1803</v>
      </c>
      <c r="MW5" t="str">
        <f>_xll.BDS("IBM US Equity","SUPPLY_CHAIN_SUPPLIERS_ALL_DATA","cols=12;rows=5")</f>
        <v>005930 KS Equity</v>
      </c>
      <c r="MX5" t="s">
        <v>1786</v>
      </c>
      <c r="MY5">
        <v>0.49490499999999998</v>
      </c>
      <c r="MZ5">
        <v>4.1423690000000004</v>
      </c>
      <c r="NA5" t="s">
        <v>1809</v>
      </c>
      <c r="NB5">
        <v>2025</v>
      </c>
      <c r="NC5" t="s">
        <v>2035</v>
      </c>
      <c r="ND5" s="6">
        <v>45797</v>
      </c>
      <c r="NE5">
        <v>5</v>
      </c>
      <c r="NF5">
        <v>269668224</v>
      </c>
      <c r="NG5">
        <v>117929</v>
      </c>
      <c r="NH5" t="s">
        <v>1791</v>
      </c>
      <c r="NK5" t="str">
        <f>_xll.BDS("IBM US Equity","SUPPLY_CHAIN_CUSTOMERS_ALL_DATA","cols=12;rows=5")</f>
        <v>AMZN US Equity</v>
      </c>
      <c r="NL5">
        <v>4.454224</v>
      </c>
      <c r="NM5" t="s">
        <v>1786</v>
      </c>
      <c r="NN5">
        <v>0.84141600000000005</v>
      </c>
      <c r="NO5" t="s">
        <v>1809</v>
      </c>
      <c r="NP5">
        <v>2025</v>
      </c>
      <c r="NQ5" t="s">
        <v>2035</v>
      </c>
      <c r="NR5" s="6">
        <v>45797</v>
      </c>
      <c r="NS5">
        <v>5</v>
      </c>
      <c r="NT5">
        <v>647688704</v>
      </c>
      <c r="NU5">
        <v>216952</v>
      </c>
      <c r="NV5" t="s">
        <v>1886</v>
      </c>
      <c r="OA5" t="str">
        <f>_xll.BDS("FBK US Equity","SUPPLY_CHAIN_SUPPLIERS_ALL_DATA")</f>
        <v>#N/A N/A</v>
      </c>
      <c r="OO5" t="str">
        <f>_xll.BDS("FBK US Equity","SUPPLY_CHAIN_CUSTOMERS_ALL_DATA")</f>
        <v>#N/A N/A</v>
      </c>
      <c r="PE5" t="str">
        <f>_xll.BDS("URS US Equity","SUPPLY_CHAIN_SUPPLIERS_ALL_DATA")</f>
        <v>#N/A N/A</v>
      </c>
      <c r="PS5" t="str">
        <f>_xll.BDS("URS US Equity","SUPPLY_CHAIN_CUSTOMERS_ALL_DATA")</f>
        <v>#N/A N/A</v>
      </c>
      <c r="QI5" t="str">
        <f>_xll.BDS("NFB US Equity","SUPPLY_CHAIN_SUPPLIERS_ALL_DATA")</f>
        <v>#N/A N/A</v>
      </c>
      <c r="QW5" t="str">
        <f>_xll.BDS("NFB US Equity","SUPPLY_CHAIN_CUSTOMERS_ALL_DATA")</f>
        <v>#N/A N/A</v>
      </c>
      <c r="RM5" t="str">
        <f>_xll.BDS("INVCORP BI Equity","SUPPLY_CHAIN_SUPPLIERS_ALL_DATA","cols=12;rows=1")</f>
        <v>DLN LN Equity</v>
      </c>
      <c r="RO5">
        <v>-2.4245362661989844E-14</v>
      </c>
      <c r="RP5">
        <v>-2.4245362661989844E-14</v>
      </c>
      <c r="RQ5" t="s">
        <v>1805</v>
      </c>
      <c r="RR5">
        <v>2025</v>
      </c>
      <c r="RS5" t="s">
        <v>3798</v>
      </c>
      <c r="RT5" s="6">
        <v>45881</v>
      </c>
      <c r="RU5">
        <v>1</v>
      </c>
      <c r="RV5">
        <v>-2.4245362661989844E-14</v>
      </c>
      <c r="RW5">
        <v>111471</v>
      </c>
      <c r="RX5" t="s">
        <v>3799</v>
      </c>
      <c r="SA5" t="str">
        <f>_xll.BDS("INVCORP BI Equity","SUPPLY_CHAIN_CUSTOMERS_ALL_DATA")</f>
        <v>#N/A N/A</v>
      </c>
      <c r="SQ5" t="str">
        <f>_xll.BDS("URI US Equity","SUPPLY_CHAIN_SUPPLIERS_ALL_DATA","cols=12;rows=5")</f>
        <v>DE US Equity</v>
      </c>
      <c r="SR5" t="s">
        <v>1786</v>
      </c>
      <c r="SS5">
        <v>0.78303699999999998</v>
      </c>
      <c r="ST5">
        <v>3.9047879999999999</v>
      </c>
      <c r="SU5" t="s">
        <v>1742</v>
      </c>
      <c r="SV5">
        <v>2025</v>
      </c>
      <c r="SW5" t="s">
        <v>3267</v>
      </c>
      <c r="SX5" s="6">
        <v>45904</v>
      </c>
      <c r="SY5">
        <v>5</v>
      </c>
      <c r="SZ5">
        <v>94105384</v>
      </c>
      <c r="TA5">
        <v>100438</v>
      </c>
      <c r="TB5" t="s">
        <v>3268</v>
      </c>
      <c r="TE5" t="str">
        <f>_xll.BDS("URI US Equity","SUPPLY_CHAIN_CUSTOMERS_ALL_DATA","cols=12;rows=5")</f>
        <v>OSK US Equity</v>
      </c>
      <c r="TF5">
        <v>8.3140000000000002E-3</v>
      </c>
      <c r="TG5" t="s">
        <v>1786</v>
      </c>
      <c r="TH5">
        <v>1.6438999999999999E-2</v>
      </c>
      <c r="TI5" t="s">
        <v>1762</v>
      </c>
      <c r="TJ5">
        <v>2025</v>
      </c>
      <c r="TK5" t="s">
        <v>3274</v>
      </c>
      <c r="TL5" s="6">
        <v>45881</v>
      </c>
      <c r="TM5">
        <v>5</v>
      </c>
      <c r="TN5">
        <v>327839</v>
      </c>
      <c r="TO5">
        <v>105941</v>
      </c>
      <c r="TP5" t="s">
        <v>3275</v>
      </c>
      <c r="TU5" t="str">
        <f>_xll.BDS("BBY US Equity","SUPPLY_CHAIN_SUPPLIERS_ALL_DATA","cols=12;rows=5")</f>
        <v>AAPL US Equity</v>
      </c>
      <c r="TV5" t="s">
        <v>1786</v>
      </c>
      <c r="TW5">
        <v>3.6644570000000001</v>
      </c>
      <c r="TX5">
        <v>41.293861</v>
      </c>
      <c r="TY5" t="s">
        <v>1762</v>
      </c>
      <c r="TZ5">
        <v>2025</v>
      </c>
      <c r="UA5" t="s">
        <v>2823</v>
      </c>
      <c r="UB5" s="6">
        <v>45789</v>
      </c>
      <c r="UC5">
        <v>5</v>
      </c>
      <c r="UD5">
        <v>3494389504</v>
      </c>
      <c r="UE5">
        <v>101695</v>
      </c>
      <c r="UF5" t="s">
        <v>1764</v>
      </c>
      <c r="UI5" t="str">
        <f>_xll.BDS("BBY US Equity","SUPPLY_CHAIN_CUSTOMERS_ALL_DATA","cols=12;rows=5")</f>
        <v>300857 CH Equity</v>
      </c>
      <c r="UJ5">
        <v>-2.4245362661989844E-14</v>
      </c>
      <c r="UL5">
        <v>-2.4245362661989844E-14</v>
      </c>
      <c r="UM5" t="s">
        <v>1745</v>
      </c>
      <c r="UN5">
        <v>2022</v>
      </c>
      <c r="UO5" t="s">
        <v>2555</v>
      </c>
      <c r="UP5" s="6">
        <v>45012</v>
      </c>
      <c r="UQ5">
        <v>5</v>
      </c>
      <c r="UR5">
        <v>-2.4245362661989844E-14</v>
      </c>
      <c r="US5">
        <v>15980347</v>
      </c>
      <c r="UT5" t="s">
        <v>2556</v>
      </c>
      <c r="UY5" t="str">
        <f>_xll.BDS("GE US Equity","SUPPLY_CHAIN_SUPPLIERS_ALL_DATA","cols=12;rows=5")</f>
        <v>SAF FP Equity</v>
      </c>
      <c r="UZ5" t="s">
        <v>1786</v>
      </c>
      <c r="VA5">
        <v>7.9101749999999997</v>
      </c>
      <c r="VB5">
        <v>9.7364909999999991</v>
      </c>
      <c r="VC5" t="s">
        <v>1762</v>
      </c>
      <c r="VD5">
        <v>2025</v>
      </c>
      <c r="VE5" t="s">
        <v>2423</v>
      </c>
      <c r="VF5" s="6">
        <v>45874</v>
      </c>
      <c r="VG5">
        <v>5</v>
      </c>
      <c r="VH5">
        <v>666294015.34000003</v>
      </c>
      <c r="VI5">
        <v>115519</v>
      </c>
      <c r="VJ5" t="s">
        <v>2424</v>
      </c>
      <c r="VM5" t="str">
        <f>_xll.BDS("GE US Equity","SUPPLY_CHAIN_CUSTOMERS_ALL_DATA","cols=12;rows=5")</f>
        <v>3352Z US Equity</v>
      </c>
      <c r="VN5">
        <v>10</v>
      </c>
      <c r="VP5">
        <v>-2.4245362661989844E-14</v>
      </c>
      <c r="VQ5" t="s">
        <v>1745</v>
      </c>
      <c r="VR5">
        <v>2025</v>
      </c>
      <c r="VS5" t="s">
        <v>1876</v>
      </c>
      <c r="VT5" s="6">
        <v>46051</v>
      </c>
      <c r="VU5">
        <v>5</v>
      </c>
      <c r="VV5">
        <v>1146375040</v>
      </c>
      <c r="VW5">
        <v>218252</v>
      </c>
      <c r="VX5" t="s">
        <v>1803</v>
      </c>
    </row>
    <row r="6" spans="1:600" x14ac:dyDescent="0.25">
      <c r="AE6" t="s">
        <v>607</v>
      </c>
      <c r="AG6">
        <v>-2.4245362661989844E-14</v>
      </c>
      <c r="AH6">
        <v>-2.4245362661989844E-14</v>
      </c>
      <c r="AI6" t="s">
        <v>1762</v>
      </c>
      <c r="AJ6">
        <v>2023</v>
      </c>
      <c r="AK6" t="s">
        <v>2670</v>
      </c>
      <c r="AL6" s="6">
        <v>45174</v>
      </c>
      <c r="AM6">
        <v>2</v>
      </c>
      <c r="AN6">
        <v>-2.4245362661989844E-14</v>
      </c>
      <c r="AO6">
        <v>202476</v>
      </c>
      <c r="AP6" t="s">
        <v>2355</v>
      </c>
      <c r="BI6" t="s">
        <v>2811</v>
      </c>
      <c r="BJ6" t="s">
        <v>1786</v>
      </c>
      <c r="BK6">
        <v>21.5</v>
      </c>
      <c r="BL6">
        <v>1.4319010000000001</v>
      </c>
      <c r="BM6" t="s">
        <v>1745</v>
      </c>
      <c r="BN6">
        <v>2025</v>
      </c>
      <c r="BO6" t="s">
        <v>2812</v>
      </c>
      <c r="BP6" s="6">
        <v>46080</v>
      </c>
      <c r="BQ6">
        <v>5</v>
      </c>
      <c r="BR6">
        <v>32400338</v>
      </c>
      <c r="BS6">
        <v>126764</v>
      </c>
      <c r="BT6" t="s">
        <v>2813</v>
      </c>
      <c r="BW6" t="s">
        <v>2569</v>
      </c>
      <c r="BX6">
        <v>-2.4245362661989844E-14</v>
      </c>
      <c r="BZ6">
        <v>-2.4245362661989844E-14</v>
      </c>
      <c r="CA6" t="s">
        <v>1798</v>
      </c>
      <c r="CB6">
        <v>2025</v>
      </c>
      <c r="CC6" t="s">
        <v>2570</v>
      </c>
      <c r="CD6" s="6">
        <v>45975</v>
      </c>
      <c r="CE6">
        <v>5</v>
      </c>
      <c r="CF6">
        <v>-2.4245362661989844E-14</v>
      </c>
      <c r="CG6">
        <v>129466</v>
      </c>
      <c r="CH6" t="s">
        <v>2571</v>
      </c>
      <c r="FY6" t="s">
        <v>4796</v>
      </c>
      <c r="FZ6" t="s">
        <v>1769</v>
      </c>
      <c r="GA6">
        <v>0.597939</v>
      </c>
      <c r="GB6">
        <v>5.9714000000000003E-2</v>
      </c>
      <c r="GC6" t="s">
        <v>1745</v>
      </c>
      <c r="GD6">
        <v>2024</v>
      </c>
      <c r="GE6" t="s">
        <v>4797</v>
      </c>
      <c r="GF6" s="6">
        <v>45694</v>
      </c>
      <c r="GG6">
        <v>5</v>
      </c>
      <c r="GH6">
        <v>957052.25</v>
      </c>
      <c r="GI6">
        <v>103579</v>
      </c>
      <c r="GJ6" t="s">
        <v>4798</v>
      </c>
      <c r="GM6" t="s">
        <v>3706</v>
      </c>
      <c r="GN6">
        <v>-2.4245362661989844E-14</v>
      </c>
      <c r="GP6">
        <v>-2.4245362661989844E-14</v>
      </c>
      <c r="GQ6" t="s">
        <v>1805</v>
      </c>
      <c r="GR6">
        <v>2025</v>
      </c>
      <c r="GS6" t="s">
        <v>3707</v>
      </c>
      <c r="GT6" s="6">
        <v>45894</v>
      </c>
      <c r="GU6">
        <v>5</v>
      </c>
      <c r="GV6">
        <v>-2.4245362661989844E-14</v>
      </c>
      <c r="GW6">
        <v>15149577</v>
      </c>
      <c r="GX6" t="s">
        <v>3708</v>
      </c>
      <c r="IG6" t="s">
        <v>2313</v>
      </c>
      <c r="IH6" t="s">
        <v>1820</v>
      </c>
      <c r="II6">
        <v>3.5808580000000001</v>
      </c>
      <c r="IJ6">
        <v>3.236755</v>
      </c>
      <c r="IK6" t="s">
        <v>1762</v>
      </c>
      <c r="IL6">
        <v>2025</v>
      </c>
      <c r="IM6" t="s">
        <v>2314</v>
      </c>
      <c r="IN6" s="6">
        <v>45947</v>
      </c>
      <c r="IO6">
        <v>5</v>
      </c>
      <c r="IP6">
        <v>275188928</v>
      </c>
      <c r="IQ6">
        <v>100010</v>
      </c>
      <c r="IR6" t="s">
        <v>2315</v>
      </c>
      <c r="IU6" t="s">
        <v>1885</v>
      </c>
      <c r="IV6">
        <v>1.3419890000000001</v>
      </c>
      <c r="IW6" t="s">
        <v>1786</v>
      </c>
      <c r="IX6">
        <v>0.27725100000000003</v>
      </c>
      <c r="IY6" t="s">
        <v>1845</v>
      </c>
      <c r="IZ6">
        <v>2025</v>
      </c>
      <c r="JA6" t="s">
        <v>1883</v>
      </c>
      <c r="JB6" s="6">
        <v>45848</v>
      </c>
      <c r="JC6">
        <v>5</v>
      </c>
      <c r="JD6">
        <v>213416512</v>
      </c>
      <c r="JE6">
        <v>216952</v>
      </c>
      <c r="JF6" t="s">
        <v>1886</v>
      </c>
      <c r="JY6" t="s">
        <v>1772</v>
      </c>
      <c r="JZ6">
        <v>2.8</v>
      </c>
      <c r="KA6" t="s">
        <v>1769</v>
      </c>
      <c r="KB6">
        <v>0.73512200000000005</v>
      </c>
      <c r="KC6" t="s">
        <v>1745</v>
      </c>
      <c r="KD6">
        <v>2024</v>
      </c>
      <c r="KE6" t="s">
        <v>1770</v>
      </c>
      <c r="KF6" s="6">
        <v>45701</v>
      </c>
      <c r="KG6">
        <v>3</v>
      </c>
      <c r="KH6">
        <v>34469864</v>
      </c>
      <c r="KI6">
        <v>69491275</v>
      </c>
      <c r="KJ6" t="s">
        <v>1773</v>
      </c>
      <c r="LS6" t="s">
        <v>124</v>
      </c>
      <c r="LT6" t="s">
        <v>1786</v>
      </c>
      <c r="LU6">
        <v>1.8928469999999999</v>
      </c>
      <c r="LV6">
        <v>1.1381829999999999</v>
      </c>
      <c r="LW6" t="s">
        <v>1762</v>
      </c>
      <c r="LX6">
        <v>2025</v>
      </c>
      <c r="LY6" t="s">
        <v>2372</v>
      </c>
      <c r="LZ6" s="6">
        <v>45867</v>
      </c>
      <c r="MA6">
        <v>5</v>
      </c>
      <c r="MB6">
        <v>72035608</v>
      </c>
      <c r="MC6">
        <v>225605</v>
      </c>
      <c r="MD6" t="s">
        <v>2373</v>
      </c>
      <c r="MG6" t="s">
        <v>1088</v>
      </c>
      <c r="MH6">
        <v>3.3300339999999999</v>
      </c>
      <c r="MI6" t="s">
        <v>1786</v>
      </c>
      <c r="MJ6">
        <v>1.6969829999999999</v>
      </c>
      <c r="MK6" t="s">
        <v>1762</v>
      </c>
      <c r="ML6">
        <v>2025</v>
      </c>
      <c r="MM6" t="s">
        <v>2368</v>
      </c>
      <c r="MN6" s="6">
        <v>45898</v>
      </c>
      <c r="MO6">
        <v>5</v>
      </c>
      <c r="MP6">
        <v>344725120</v>
      </c>
      <c r="MQ6">
        <v>100211</v>
      </c>
      <c r="MR6" t="s">
        <v>1851</v>
      </c>
      <c r="MW6" t="s">
        <v>1287</v>
      </c>
      <c r="MX6" t="s">
        <v>1786</v>
      </c>
      <c r="MY6">
        <v>0.86485599999999996</v>
      </c>
      <c r="MZ6">
        <v>4.0630959999999998</v>
      </c>
      <c r="NA6" t="s">
        <v>1809</v>
      </c>
      <c r="NB6">
        <v>2025</v>
      </c>
      <c r="NC6" t="s">
        <v>2035</v>
      </c>
      <c r="ND6" s="6">
        <v>45797</v>
      </c>
      <c r="NE6">
        <v>5</v>
      </c>
      <c r="NF6">
        <v>264507552</v>
      </c>
      <c r="NG6">
        <v>101376</v>
      </c>
      <c r="NH6" t="s">
        <v>1895</v>
      </c>
      <c r="NK6" t="s">
        <v>424</v>
      </c>
      <c r="NL6">
        <v>3.8131789999999999</v>
      </c>
      <c r="NM6" t="s">
        <v>1786</v>
      </c>
      <c r="NN6">
        <v>2.529652</v>
      </c>
      <c r="NO6" t="s">
        <v>1809</v>
      </c>
      <c r="NP6">
        <v>2025</v>
      </c>
      <c r="NQ6" t="s">
        <v>2035</v>
      </c>
      <c r="NR6" s="6">
        <v>45797</v>
      </c>
      <c r="NS6">
        <v>5</v>
      </c>
      <c r="NT6">
        <v>554474368</v>
      </c>
      <c r="NU6">
        <v>101743</v>
      </c>
      <c r="NV6" t="s">
        <v>1891</v>
      </c>
      <c r="SQ6" t="s">
        <v>1677</v>
      </c>
      <c r="SR6" t="s">
        <v>1786</v>
      </c>
      <c r="SS6">
        <v>3.0836000000000001</v>
      </c>
      <c r="ST6">
        <v>1.90262</v>
      </c>
      <c r="SU6" t="s">
        <v>1762</v>
      </c>
      <c r="SV6">
        <v>2025</v>
      </c>
      <c r="SW6" t="s">
        <v>2465</v>
      </c>
      <c r="SX6" s="6">
        <v>45912</v>
      </c>
      <c r="SY6">
        <v>5</v>
      </c>
      <c r="SZ6">
        <v>45853132</v>
      </c>
      <c r="TA6">
        <v>101455</v>
      </c>
      <c r="TB6" t="s">
        <v>3269</v>
      </c>
      <c r="TE6" t="s">
        <v>3327</v>
      </c>
      <c r="TF6">
        <v>-2.4245362661989844E-14</v>
      </c>
      <c r="TH6">
        <v>-2.4245362661989844E-14</v>
      </c>
      <c r="TI6" t="s">
        <v>1742</v>
      </c>
      <c r="TJ6">
        <v>2025</v>
      </c>
      <c r="TK6" t="s">
        <v>3328</v>
      </c>
      <c r="TL6" s="6">
        <v>45967</v>
      </c>
      <c r="TM6">
        <v>5</v>
      </c>
      <c r="TN6">
        <v>-2.4245362661989844E-14</v>
      </c>
      <c r="TO6">
        <v>50955988</v>
      </c>
      <c r="TP6" t="s">
        <v>3329</v>
      </c>
      <c r="TU6" t="s">
        <v>2512</v>
      </c>
      <c r="TV6" t="s">
        <v>1786</v>
      </c>
      <c r="TW6">
        <v>1.7833429999999999</v>
      </c>
      <c r="TX6">
        <v>5.3337750000000002</v>
      </c>
      <c r="TY6" t="s">
        <v>1762</v>
      </c>
      <c r="TZ6">
        <v>2025</v>
      </c>
      <c r="UA6" t="s">
        <v>2824</v>
      </c>
      <c r="UB6" s="6">
        <v>46065</v>
      </c>
      <c r="UC6">
        <v>5</v>
      </c>
      <c r="UD6">
        <v>395979424</v>
      </c>
      <c r="UE6">
        <v>130929</v>
      </c>
      <c r="UF6" t="s">
        <v>2513</v>
      </c>
      <c r="UI6" t="s">
        <v>2557</v>
      </c>
      <c r="UJ6">
        <v>-2.4245362661989844E-14</v>
      </c>
      <c r="UL6">
        <v>-2.4245362661989844E-14</v>
      </c>
      <c r="UM6" t="s">
        <v>1745</v>
      </c>
      <c r="UN6">
        <v>2024</v>
      </c>
      <c r="UO6" t="s">
        <v>2558</v>
      </c>
      <c r="UP6" s="6">
        <v>45750</v>
      </c>
      <c r="UQ6">
        <v>5</v>
      </c>
      <c r="UR6">
        <v>-2.4245362661989844E-14</v>
      </c>
      <c r="US6">
        <v>64444291</v>
      </c>
      <c r="UT6" t="s">
        <v>2559</v>
      </c>
      <c r="UY6" t="s">
        <v>2425</v>
      </c>
      <c r="UZ6" t="s">
        <v>1786</v>
      </c>
      <c r="VA6">
        <v>13.760432</v>
      </c>
      <c r="VB6">
        <v>4.7536569999999996</v>
      </c>
      <c r="VC6" t="s">
        <v>1762</v>
      </c>
      <c r="VD6">
        <v>2025</v>
      </c>
      <c r="VE6" t="s">
        <v>2426</v>
      </c>
      <c r="VF6" s="6">
        <v>45937</v>
      </c>
      <c r="VG6">
        <v>5</v>
      </c>
      <c r="VH6">
        <v>325305405.77999997</v>
      </c>
      <c r="VI6">
        <v>8445936</v>
      </c>
      <c r="VJ6" t="s">
        <v>2427</v>
      </c>
      <c r="VM6" t="s">
        <v>1088</v>
      </c>
      <c r="VN6">
        <v>9.2636719999999997</v>
      </c>
      <c r="VO6" t="s">
        <v>1786</v>
      </c>
      <c r="VP6">
        <v>5.0267530000000002</v>
      </c>
      <c r="VQ6" t="s">
        <v>1762</v>
      </c>
      <c r="VR6">
        <v>2025</v>
      </c>
      <c r="VS6" t="s">
        <v>1877</v>
      </c>
      <c r="VT6" s="6">
        <v>45888</v>
      </c>
      <c r="VU6">
        <v>5</v>
      </c>
      <c r="VV6">
        <v>1021134592</v>
      </c>
      <c r="VW6">
        <v>100211</v>
      </c>
      <c r="VX6" t="s">
        <v>1851</v>
      </c>
    </row>
    <row r="7" spans="1:600" x14ac:dyDescent="0.25">
      <c r="BI7" t="s">
        <v>2814</v>
      </c>
      <c r="BJ7" t="s">
        <v>1786</v>
      </c>
      <c r="BK7">
        <v>3.73936</v>
      </c>
      <c r="BL7">
        <v>0.75532200000000005</v>
      </c>
      <c r="BM7" t="s">
        <v>1742</v>
      </c>
      <c r="BN7">
        <v>2025</v>
      </c>
      <c r="BO7" t="s">
        <v>2815</v>
      </c>
      <c r="BP7" s="6">
        <v>45797</v>
      </c>
      <c r="BQ7">
        <v>5</v>
      </c>
      <c r="BR7">
        <v>16027925</v>
      </c>
      <c r="BS7">
        <v>21175033</v>
      </c>
      <c r="BT7" t="s">
        <v>2816</v>
      </c>
      <c r="BW7" t="s">
        <v>2572</v>
      </c>
      <c r="BX7">
        <v>-2.4245362661989844E-14</v>
      </c>
      <c r="BZ7">
        <v>-2.4245362661989844E-14</v>
      </c>
      <c r="CA7" t="s">
        <v>1798</v>
      </c>
      <c r="CB7">
        <v>2025</v>
      </c>
      <c r="CC7" t="s">
        <v>2573</v>
      </c>
      <c r="CD7" s="6">
        <v>45975</v>
      </c>
      <c r="CE7">
        <v>5</v>
      </c>
      <c r="CF7">
        <v>-2.4245362661989844E-14</v>
      </c>
      <c r="CG7">
        <v>31351558</v>
      </c>
      <c r="CH7" t="s">
        <v>2574</v>
      </c>
      <c r="FY7" t="s">
        <v>4799</v>
      </c>
      <c r="FZ7" t="s">
        <v>1786</v>
      </c>
      <c r="GA7">
        <v>7.4065000000000006E-2</v>
      </c>
      <c r="GB7">
        <v>2.879E-3</v>
      </c>
      <c r="GC7" t="s">
        <v>1745</v>
      </c>
      <c r="GD7">
        <v>2024</v>
      </c>
      <c r="GE7" t="s">
        <v>4800</v>
      </c>
      <c r="GF7" s="6">
        <v>45758</v>
      </c>
      <c r="GG7">
        <v>5</v>
      </c>
      <c r="GH7">
        <v>46697.46</v>
      </c>
      <c r="GI7">
        <v>130878</v>
      </c>
      <c r="GJ7" t="s">
        <v>4801</v>
      </c>
      <c r="GM7" t="s">
        <v>3709</v>
      </c>
      <c r="GN7">
        <v>-2.4245362661989844E-14</v>
      </c>
      <c r="GP7">
        <v>-2.4245362661989844E-14</v>
      </c>
      <c r="GQ7" t="s">
        <v>1762</v>
      </c>
      <c r="GR7">
        <v>2024</v>
      </c>
      <c r="GS7" t="s">
        <v>3710</v>
      </c>
      <c r="GT7" s="6">
        <v>45433</v>
      </c>
      <c r="GU7">
        <v>5</v>
      </c>
      <c r="GV7">
        <v>-2.4245362661989844E-14</v>
      </c>
      <c r="GW7">
        <v>27196144</v>
      </c>
      <c r="GX7" t="s">
        <v>3711</v>
      </c>
      <c r="IG7" t="s">
        <v>2076</v>
      </c>
      <c r="IH7" t="s">
        <v>1820</v>
      </c>
      <c r="II7">
        <v>0.91127400000000003</v>
      </c>
      <c r="IJ7">
        <v>1.364298</v>
      </c>
      <c r="IK7" t="s">
        <v>1845</v>
      </c>
      <c r="IL7">
        <v>2025</v>
      </c>
      <c r="IM7" t="s">
        <v>2316</v>
      </c>
      <c r="IN7" s="6">
        <v>46010</v>
      </c>
      <c r="IO7">
        <v>5</v>
      </c>
      <c r="IP7">
        <v>164166016</v>
      </c>
      <c r="IQ7">
        <v>59907412</v>
      </c>
      <c r="IR7" t="s">
        <v>2077</v>
      </c>
      <c r="IU7" t="s">
        <v>357</v>
      </c>
      <c r="IV7">
        <v>1.0301469999999999</v>
      </c>
      <c r="IW7" t="s">
        <v>1786</v>
      </c>
      <c r="IX7">
        <v>1.0221020000000001</v>
      </c>
      <c r="IY7" t="s">
        <v>1845</v>
      </c>
      <c r="IZ7">
        <v>2025</v>
      </c>
      <c r="JA7" t="s">
        <v>1887</v>
      </c>
      <c r="JB7" s="6">
        <v>46056</v>
      </c>
      <c r="JC7">
        <v>5</v>
      </c>
      <c r="JD7">
        <v>165420976</v>
      </c>
      <c r="JE7">
        <v>1499717</v>
      </c>
      <c r="JF7" t="s">
        <v>1864</v>
      </c>
      <c r="JY7" t="s">
        <v>1774</v>
      </c>
      <c r="JZ7">
        <v>2.8</v>
      </c>
      <c r="KA7" t="s">
        <v>1769</v>
      </c>
      <c r="KB7">
        <v>2.6547749999999999</v>
      </c>
      <c r="KC7" t="s">
        <v>1745</v>
      </c>
      <c r="KD7">
        <v>2024</v>
      </c>
      <c r="KE7" t="s">
        <v>1770</v>
      </c>
      <c r="KF7" s="6">
        <v>45701</v>
      </c>
      <c r="KG7">
        <v>3</v>
      </c>
      <c r="KH7">
        <v>34469864</v>
      </c>
      <c r="KI7">
        <v>50818234</v>
      </c>
      <c r="KJ7" t="s">
        <v>1775</v>
      </c>
      <c r="LS7" t="s">
        <v>2374</v>
      </c>
      <c r="LT7" t="s">
        <v>1786</v>
      </c>
      <c r="LU7">
        <v>4.1948800000000004</v>
      </c>
      <c r="LV7">
        <v>1.013388</v>
      </c>
      <c r="LW7" t="s">
        <v>1762</v>
      </c>
      <c r="LX7">
        <v>2025</v>
      </c>
      <c r="LY7" t="s">
        <v>2375</v>
      </c>
      <c r="LZ7" s="6">
        <v>45922</v>
      </c>
      <c r="MA7">
        <v>5</v>
      </c>
      <c r="MB7">
        <v>64137324</v>
      </c>
      <c r="MC7">
        <v>11937231</v>
      </c>
      <c r="MD7" t="s">
        <v>2376</v>
      </c>
      <c r="MG7" t="s">
        <v>1878</v>
      </c>
      <c r="MH7">
        <v>2.5462289999999999</v>
      </c>
      <c r="MI7" t="s">
        <v>1786</v>
      </c>
      <c r="MJ7">
        <v>1.6969829999999999</v>
      </c>
      <c r="MK7" t="s">
        <v>1762</v>
      </c>
      <c r="ML7">
        <v>2025</v>
      </c>
      <c r="MM7" t="s">
        <v>2368</v>
      </c>
      <c r="MN7" s="6">
        <v>45898</v>
      </c>
      <c r="MO7">
        <v>5</v>
      </c>
      <c r="MP7">
        <v>263585632</v>
      </c>
      <c r="MQ7">
        <v>876285</v>
      </c>
      <c r="MR7" t="s">
        <v>1879</v>
      </c>
      <c r="MW7" t="s">
        <v>1885</v>
      </c>
      <c r="MX7" t="s">
        <v>1786</v>
      </c>
      <c r="MY7">
        <v>0.167933</v>
      </c>
      <c r="MZ7">
        <v>4.0156150000000004</v>
      </c>
      <c r="NA7" t="s">
        <v>1809</v>
      </c>
      <c r="NB7">
        <v>2025</v>
      </c>
      <c r="NC7" t="s">
        <v>2035</v>
      </c>
      <c r="ND7" s="6">
        <v>45797</v>
      </c>
      <c r="NE7">
        <v>5</v>
      </c>
      <c r="NF7">
        <v>261416544</v>
      </c>
      <c r="NG7">
        <v>216952</v>
      </c>
      <c r="NH7" t="s">
        <v>1886</v>
      </c>
      <c r="NK7" t="s">
        <v>1789</v>
      </c>
      <c r="NL7">
        <v>3.1054590000000002</v>
      </c>
      <c r="NM7" t="s">
        <v>1786</v>
      </c>
      <c r="NN7">
        <v>1.2857479999999999</v>
      </c>
      <c r="NO7" t="s">
        <v>1809</v>
      </c>
      <c r="NP7">
        <v>2025</v>
      </c>
      <c r="NQ7" t="s">
        <v>2035</v>
      </c>
      <c r="NR7" s="6">
        <v>45797</v>
      </c>
      <c r="NS7">
        <v>5</v>
      </c>
      <c r="NT7">
        <v>451564800</v>
      </c>
      <c r="NU7">
        <v>117929</v>
      </c>
      <c r="NV7" t="s">
        <v>1791</v>
      </c>
      <c r="SQ7" t="s">
        <v>3270</v>
      </c>
      <c r="SR7" t="s">
        <v>1786</v>
      </c>
      <c r="SS7">
        <v>12.7</v>
      </c>
      <c r="ST7">
        <v>1.8900570000000001</v>
      </c>
      <c r="SU7" t="s">
        <v>1745</v>
      </c>
      <c r="SV7">
        <v>2025</v>
      </c>
      <c r="SW7" t="s">
        <v>3271</v>
      </c>
      <c r="SX7" s="6">
        <v>45800</v>
      </c>
      <c r="SY7">
        <v>5</v>
      </c>
      <c r="SZ7">
        <v>44533644.140000001</v>
      </c>
      <c r="TA7">
        <v>7914750</v>
      </c>
      <c r="TB7" t="s">
        <v>3272</v>
      </c>
      <c r="TE7" t="s">
        <v>3330</v>
      </c>
      <c r="TF7">
        <v>-2.4245362661989844E-14</v>
      </c>
      <c r="TH7">
        <v>-2.4245362661989844E-14</v>
      </c>
      <c r="TI7" t="s">
        <v>1762</v>
      </c>
      <c r="TJ7">
        <v>2024</v>
      </c>
      <c r="TK7" t="s">
        <v>3331</v>
      </c>
      <c r="TL7" s="6">
        <v>45546</v>
      </c>
      <c r="TM7">
        <v>5</v>
      </c>
      <c r="TN7">
        <v>-2.4245362661989844E-14</v>
      </c>
      <c r="TO7">
        <v>27386014</v>
      </c>
      <c r="TP7" t="s">
        <v>3332</v>
      </c>
      <c r="TU7" t="s">
        <v>2161</v>
      </c>
      <c r="TV7" t="s">
        <v>1786</v>
      </c>
      <c r="TW7">
        <v>2.504607</v>
      </c>
      <c r="TX7">
        <v>4.9243030000000001</v>
      </c>
      <c r="TY7" t="s">
        <v>1742</v>
      </c>
      <c r="TZ7">
        <v>2025</v>
      </c>
      <c r="UA7" t="s">
        <v>2162</v>
      </c>
      <c r="UB7" s="6">
        <v>46014</v>
      </c>
      <c r="UC7">
        <v>5</v>
      </c>
      <c r="UD7">
        <v>395213718.70999998</v>
      </c>
      <c r="UE7">
        <v>7583418</v>
      </c>
      <c r="UF7" t="s">
        <v>2163</v>
      </c>
      <c r="UI7" t="s">
        <v>2560</v>
      </c>
      <c r="UJ7">
        <v>-2.4245362661989844E-14</v>
      </c>
      <c r="UL7">
        <v>-2.4245362661989844E-14</v>
      </c>
      <c r="UM7" t="s">
        <v>1742</v>
      </c>
      <c r="UN7">
        <v>2025</v>
      </c>
      <c r="UO7" t="s">
        <v>2561</v>
      </c>
      <c r="UP7" s="6">
        <v>46013</v>
      </c>
      <c r="UQ7">
        <v>5</v>
      </c>
      <c r="UR7">
        <v>-2.4245362661989844E-14</v>
      </c>
      <c r="US7">
        <v>13730472</v>
      </c>
      <c r="UT7" t="s">
        <v>2562</v>
      </c>
      <c r="UY7" t="s">
        <v>1844</v>
      </c>
      <c r="UZ7" t="s">
        <v>1786</v>
      </c>
      <c r="VA7">
        <v>11</v>
      </c>
      <c r="VB7">
        <v>3.1337429999999999</v>
      </c>
      <c r="VC7" t="s">
        <v>1745</v>
      </c>
      <c r="VD7">
        <v>2025</v>
      </c>
      <c r="VE7" t="s">
        <v>2428</v>
      </c>
      <c r="VF7" s="6">
        <v>46065</v>
      </c>
      <c r="VG7">
        <v>5</v>
      </c>
      <c r="VH7">
        <v>226930000</v>
      </c>
      <c r="VI7">
        <v>59099358</v>
      </c>
      <c r="VJ7" t="s">
        <v>1847</v>
      </c>
      <c r="VM7" t="s">
        <v>1878</v>
      </c>
      <c r="VN7">
        <v>4.5319979999999997</v>
      </c>
      <c r="VO7" t="s">
        <v>1786</v>
      </c>
      <c r="VP7">
        <v>3.2162160000000002</v>
      </c>
      <c r="VQ7" t="s">
        <v>1762</v>
      </c>
      <c r="VR7">
        <v>2025</v>
      </c>
      <c r="VS7" t="s">
        <v>1877</v>
      </c>
      <c r="VT7" s="6">
        <v>45888</v>
      </c>
      <c r="VU7">
        <v>5</v>
      </c>
      <c r="VV7">
        <v>499562144</v>
      </c>
      <c r="VW7">
        <v>876285</v>
      </c>
      <c r="VX7" t="s">
        <v>1879</v>
      </c>
    </row>
    <row r="8" spans="1:600" x14ac:dyDescent="0.25">
      <c r="BI8" t="s">
        <v>2817</v>
      </c>
      <c r="BJ8" t="s">
        <v>1786</v>
      </c>
      <c r="BK8">
        <v>0.39843600000000001</v>
      </c>
      <c r="BL8">
        <v>0.58359499999999997</v>
      </c>
      <c r="BM8" t="s">
        <v>1845</v>
      </c>
      <c r="BN8">
        <v>2025</v>
      </c>
      <c r="BO8" t="s">
        <v>2818</v>
      </c>
      <c r="BP8" s="6">
        <v>46072</v>
      </c>
      <c r="BQ8">
        <v>5</v>
      </c>
      <c r="BR8">
        <v>14843609.470000001</v>
      </c>
      <c r="BS8">
        <v>70579391</v>
      </c>
      <c r="BT8" t="s">
        <v>2819</v>
      </c>
      <c r="BW8" t="s">
        <v>2575</v>
      </c>
      <c r="BX8">
        <v>-2.4245362661989844E-14</v>
      </c>
      <c r="BZ8">
        <v>-2.4245362661989844E-14</v>
      </c>
      <c r="CA8" t="s">
        <v>1745</v>
      </c>
      <c r="CB8">
        <v>2024</v>
      </c>
      <c r="CC8" t="s">
        <v>2576</v>
      </c>
      <c r="CD8" s="6">
        <v>45785</v>
      </c>
      <c r="CE8">
        <v>5</v>
      </c>
      <c r="CF8">
        <v>-2.4245362661989844E-14</v>
      </c>
      <c r="CG8">
        <v>71626870</v>
      </c>
      <c r="CH8" t="s">
        <v>2577</v>
      </c>
      <c r="FY8" t="s">
        <v>3928</v>
      </c>
      <c r="FZ8" t="s">
        <v>1820</v>
      </c>
      <c r="GA8">
        <v>2.0240000000000002E-3</v>
      </c>
      <c r="GB8">
        <v>2.6168E-2</v>
      </c>
      <c r="GC8" t="s">
        <v>1742</v>
      </c>
      <c r="GD8">
        <v>2025</v>
      </c>
      <c r="GE8" t="s">
        <v>3929</v>
      </c>
      <c r="GF8" s="6">
        <v>45964</v>
      </c>
      <c r="GG8">
        <v>5</v>
      </c>
      <c r="GH8">
        <v>10506</v>
      </c>
      <c r="GI8">
        <v>16546862</v>
      </c>
      <c r="GJ8" t="s">
        <v>3930</v>
      </c>
      <c r="GM8" t="s">
        <v>3712</v>
      </c>
      <c r="GN8">
        <v>-2.4245362661989844E-14</v>
      </c>
      <c r="GP8">
        <v>-2.4245362661989844E-14</v>
      </c>
      <c r="GQ8" t="s">
        <v>1745</v>
      </c>
      <c r="GR8">
        <v>2024</v>
      </c>
      <c r="GS8" t="s">
        <v>3713</v>
      </c>
      <c r="GT8" s="6">
        <v>45771</v>
      </c>
      <c r="GU8">
        <v>5</v>
      </c>
      <c r="GV8">
        <v>-2.4245362661989844E-14</v>
      </c>
      <c r="GW8">
        <v>135686</v>
      </c>
      <c r="GX8" t="s">
        <v>3714</v>
      </c>
      <c r="IG8" t="s">
        <v>2317</v>
      </c>
      <c r="IH8" t="s">
        <v>1820</v>
      </c>
      <c r="II8">
        <v>6.234559</v>
      </c>
      <c r="IJ8">
        <v>1.5138720000000001</v>
      </c>
      <c r="IK8" t="s">
        <v>1762</v>
      </c>
      <c r="IL8">
        <v>2025</v>
      </c>
      <c r="IM8" t="s">
        <v>2318</v>
      </c>
      <c r="IN8" s="6">
        <v>45897</v>
      </c>
      <c r="IO8">
        <v>5</v>
      </c>
      <c r="IP8">
        <v>137459552</v>
      </c>
      <c r="IQ8">
        <v>16532368</v>
      </c>
      <c r="IR8" t="s">
        <v>2319</v>
      </c>
      <c r="IU8" t="s">
        <v>496</v>
      </c>
      <c r="IV8">
        <v>0.69902799999999998</v>
      </c>
      <c r="IW8" t="s">
        <v>1786</v>
      </c>
      <c r="IX8">
        <v>0.138625</v>
      </c>
      <c r="IY8" t="s">
        <v>1845</v>
      </c>
      <c r="IZ8">
        <v>2025</v>
      </c>
      <c r="JA8" t="s">
        <v>1883</v>
      </c>
      <c r="JB8" s="6">
        <v>45848</v>
      </c>
      <c r="JC8">
        <v>5</v>
      </c>
      <c r="JD8">
        <v>111166424</v>
      </c>
      <c r="JE8">
        <v>100976</v>
      </c>
      <c r="JF8" t="s">
        <v>1888</v>
      </c>
      <c r="LS8" t="s">
        <v>2377</v>
      </c>
      <c r="LT8" t="s">
        <v>1786</v>
      </c>
      <c r="LU8">
        <v>4.2606400000000004</v>
      </c>
      <c r="LV8">
        <v>0.70126500000000003</v>
      </c>
      <c r="LW8" t="s">
        <v>1762</v>
      </c>
      <c r="LX8">
        <v>2025</v>
      </c>
      <c r="LY8" t="s">
        <v>2378</v>
      </c>
      <c r="LZ8" s="6">
        <v>45961</v>
      </c>
      <c r="MA8">
        <v>5</v>
      </c>
      <c r="MB8">
        <v>47629481.530000001</v>
      </c>
      <c r="MC8">
        <v>47700205</v>
      </c>
      <c r="MD8" t="s">
        <v>2379</v>
      </c>
      <c r="MG8" t="s">
        <v>2073</v>
      </c>
      <c r="MH8">
        <v>1.896647</v>
      </c>
      <c r="MI8" t="s">
        <v>1786</v>
      </c>
      <c r="MJ8">
        <v>1.1313219999999999</v>
      </c>
      <c r="MK8" t="s">
        <v>1762</v>
      </c>
      <c r="ML8">
        <v>2025</v>
      </c>
      <c r="MM8" t="s">
        <v>2368</v>
      </c>
      <c r="MN8" s="6">
        <v>45898</v>
      </c>
      <c r="MO8">
        <v>5</v>
      </c>
      <c r="MP8">
        <v>196340896</v>
      </c>
      <c r="MQ8">
        <v>156923</v>
      </c>
      <c r="MR8" t="s">
        <v>2074</v>
      </c>
      <c r="MW8" t="s">
        <v>357</v>
      </c>
      <c r="MX8" t="s">
        <v>1786</v>
      </c>
      <c r="MY8">
        <v>0.893262</v>
      </c>
      <c r="MZ8">
        <v>1.9939499999999999</v>
      </c>
      <c r="NA8" t="s">
        <v>1809</v>
      </c>
      <c r="NB8">
        <v>2025</v>
      </c>
      <c r="NC8" t="s">
        <v>2035</v>
      </c>
      <c r="ND8" s="6">
        <v>45797</v>
      </c>
      <c r="NE8">
        <v>5</v>
      </c>
      <c r="NF8">
        <v>129806144</v>
      </c>
      <c r="NG8">
        <v>1499717</v>
      </c>
      <c r="NH8" t="s">
        <v>1864</v>
      </c>
      <c r="NK8" t="s">
        <v>1814</v>
      </c>
      <c r="NL8">
        <v>0.94301500000000005</v>
      </c>
      <c r="NM8" t="s">
        <v>1786</v>
      </c>
      <c r="NN8">
        <v>2.2702520000000002</v>
      </c>
      <c r="NO8" t="s">
        <v>1809</v>
      </c>
      <c r="NP8">
        <v>2025</v>
      </c>
      <c r="NQ8" t="s">
        <v>1815</v>
      </c>
      <c r="NR8" s="6">
        <v>45784</v>
      </c>
      <c r="NS8">
        <v>5</v>
      </c>
      <c r="NT8">
        <v>137123792</v>
      </c>
      <c r="NU8">
        <v>100115</v>
      </c>
      <c r="NV8" t="s">
        <v>1816</v>
      </c>
      <c r="SQ8" t="s">
        <v>3273</v>
      </c>
      <c r="SR8" t="s">
        <v>1786</v>
      </c>
      <c r="SS8">
        <v>1.4937910000000001</v>
      </c>
      <c r="ST8">
        <v>1.4965649999999999</v>
      </c>
      <c r="SU8" t="s">
        <v>1762</v>
      </c>
      <c r="SV8">
        <v>2025</v>
      </c>
      <c r="SW8" t="s">
        <v>3274</v>
      </c>
      <c r="SX8" s="6">
        <v>45881</v>
      </c>
      <c r="SY8">
        <v>5</v>
      </c>
      <c r="SZ8">
        <v>36067208</v>
      </c>
      <c r="TA8">
        <v>105941</v>
      </c>
      <c r="TB8" t="s">
        <v>3275</v>
      </c>
      <c r="TE8" t="s">
        <v>3333</v>
      </c>
      <c r="TF8">
        <v>-2.4245362661989844E-14</v>
      </c>
      <c r="TH8">
        <v>-2.4245362661989844E-14</v>
      </c>
      <c r="TI8" t="s">
        <v>1809</v>
      </c>
      <c r="TJ8">
        <v>2025</v>
      </c>
      <c r="TK8" t="s">
        <v>3334</v>
      </c>
      <c r="TL8" s="6">
        <v>45763</v>
      </c>
      <c r="TM8">
        <v>5</v>
      </c>
      <c r="TN8">
        <v>-2.4245362661989844E-14</v>
      </c>
      <c r="TO8">
        <v>181899</v>
      </c>
      <c r="TP8" t="s">
        <v>3335</v>
      </c>
      <c r="TU8" t="s">
        <v>1789</v>
      </c>
      <c r="TV8" t="s">
        <v>1786</v>
      </c>
      <c r="TW8">
        <v>0.49616900000000003</v>
      </c>
      <c r="TX8">
        <v>3.1259290000000002</v>
      </c>
      <c r="TY8" t="s">
        <v>1762</v>
      </c>
      <c r="TZ8">
        <v>2026</v>
      </c>
      <c r="UA8" t="s">
        <v>1865</v>
      </c>
      <c r="UB8" s="6">
        <v>45932</v>
      </c>
      <c r="UC8">
        <v>5</v>
      </c>
      <c r="UD8">
        <v>264523920</v>
      </c>
      <c r="UE8">
        <v>117929</v>
      </c>
      <c r="UF8" t="s">
        <v>1791</v>
      </c>
      <c r="UI8" t="s">
        <v>2563</v>
      </c>
      <c r="UJ8">
        <v>-2.4245362661989844E-14</v>
      </c>
      <c r="UL8">
        <v>-2.4245362661989844E-14</v>
      </c>
      <c r="UM8" t="s">
        <v>1745</v>
      </c>
      <c r="UN8">
        <v>2025</v>
      </c>
      <c r="UO8" t="s">
        <v>2564</v>
      </c>
      <c r="UP8" s="6">
        <v>45902</v>
      </c>
      <c r="UQ8">
        <v>5</v>
      </c>
      <c r="UR8">
        <v>-2.4245362661989844E-14</v>
      </c>
      <c r="US8">
        <v>28569160</v>
      </c>
      <c r="UT8" t="s">
        <v>2565</v>
      </c>
      <c r="UY8" t="s">
        <v>2374</v>
      </c>
      <c r="UZ8" t="s">
        <v>1786</v>
      </c>
      <c r="VA8">
        <v>8.8672269999999997</v>
      </c>
      <c r="VB8">
        <v>1.980351</v>
      </c>
      <c r="VC8" t="s">
        <v>1762</v>
      </c>
      <c r="VD8">
        <v>2025</v>
      </c>
      <c r="VE8" t="s">
        <v>2375</v>
      </c>
      <c r="VF8" s="6">
        <v>45922</v>
      </c>
      <c r="VG8">
        <v>5</v>
      </c>
      <c r="VH8">
        <v>135574848</v>
      </c>
      <c r="VI8">
        <v>11937231</v>
      </c>
      <c r="VJ8" t="s">
        <v>2376</v>
      </c>
      <c r="VM8" t="s">
        <v>1880</v>
      </c>
      <c r="VN8">
        <v>3.2472560000000001</v>
      </c>
      <c r="VO8" t="s">
        <v>1786</v>
      </c>
      <c r="VP8">
        <v>2.573108</v>
      </c>
      <c r="VQ8" t="s">
        <v>1762</v>
      </c>
      <c r="VR8">
        <v>2025</v>
      </c>
      <c r="VS8" t="s">
        <v>1877</v>
      </c>
      <c r="VT8" s="6">
        <v>45888</v>
      </c>
      <c r="VU8">
        <v>5</v>
      </c>
      <c r="VV8">
        <v>357945024</v>
      </c>
      <c r="VW8">
        <v>10451815</v>
      </c>
      <c r="VX8" t="s">
        <v>1881</v>
      </c>
    </row>
    <row r="9" spans="1:600" x14ac:dyDescent="0.25">
      <c r="BI9" t="s">
        <v>2820</v>
      </c>
      <c r="BJ9" t="s">
        <v>1786</v>
      </c>
      <c r="BK9">
        <v>1.796597</v>
      </c>
      <c r="BL9">
        <v>0.53488500000000005</v>
      </c>
      <c r="BM9" t="s">
        <v>1809</v>
      </c>
      <c r="BN9">
        <v>2025</v>
      </c>
      <c r="BO9" t="s">
        <v>2821</v>
      </c>
      <c r="BP9" s="6">
        <v>45793</v>
      </c>
      <c r="BQ9">
        <v>5</v>
      </c>
      <c r="BR9">
        <v>11350253</v>
      </c>
      <c r="BS9">
        <v>102417</v>
      </c>
      <c r="BT9" t="s">
        <v>2822</v>
      </c>
      <c r="BW9" t="s">
        <v>2578</v>
      </c>
      <c r="BX9">
        <v>-2.4245362661989844E-14</v>
      </c>
      <c r="BZ9">
        <v>-2.4245362661989844E-14</v>
      </c>
      <c r="CA9" t="s">
        <v>1745</v>
      </c>
      <c r="CB9">
        <v>2022</v>
      </c>
      <c r="CC9" t="s">
        <v>2579</v>
      </c>
      <c r="CD9" s="6">
        <v>45070</v>
      </c>
      <c r="CE9">
        <v>5</v>
      </c>
      <c r="CF9">
        <v>-2.4245362661989844E-14</v>
      </c>
      <c r="CG9">
        <v>27516715</v>
      </c>
      <c r="CH9" t="s">
        <v>2580</v>
      </c>
      <c r="FY9" t="s">
        <v>4802</v>
      </c>
      <c r="FZ9" t="s">
        <v>1786</v>
      </c>
      <c r="GA9">
        <v>1.2467000000000001E-2</v>
      </c>
      <c r="GB9">
        <v>4.5800000000000002E-4</v>
      </c>
      <c r="GC9" t="s">
        <v>1762</v>
      </c>
      <c r="GD9">
        <v>2025</v>
      </c>
      <c r="GE9" t="s">
        <v>4803</v>
      </c>
      <c r="GF9" s="6">
        <v>45744</v>
      </c>
      <c r="GG9">
        <v>5</v>
      </c>
      <c r="GH9">
        <v>6232.4</v>
      </c>
      <c r="GI9">
        <v>28653435</v>
      </c>
      <c r="GJ9" t="s">
        <v>4804</v>
      </c>
      <c r="GM9" t="s">
        <v>3715</v>
      </c>
      <c r="GN9">
        <v>-2.4245362661989844E-14</v>
      </c>
      <c r="GP9">
        <v>-2.4245362661989844E-14</v>
      </c>
      <c r="GQ9" t="s">
        <v>1745</v>
      </c>
      <c r="GR9">
        <v>2022</v>
      </c>
      <c r="GS9" t="s">
        <v>3716</v>
      </c>
      <c r="GT9" s="6">
        <v>45083</v>
      </c>
      <c r="GU9">
        <v>5</v>
      </c>
      <c r="GV9">
        <v>-2.4245362661989844E-14</v>
      </c>
      <c r="GW9">
        <v>34532225</v>
      </c>
      <c r="GX9" t="s">
        <v>3717</v>
      </c>
      <c r="IG9" t="s">
        <v>734</v>
      </c>
      <c r="IH9" t="s">
        <v>1820</v>
      </c>
      <c r="II9">
        <v>3.6037650000000001</v>
      </c>
      <c r="IJ9">
        <v>0.90356199999999998</v>
      </c>
      <c r="IK9" t="s">
        <v>1762</v>
      </c>
      <c r="IL9">
        <v>2026</v>
      </c>
      <c r="IM9" t="s">
        <v>2320</v>
      </c>
      <c r="IN9" s="6">
        <v>46059</v>
      </c>
      <c r="IO9">
        <v>5</v>
      </c>
      <c r="IP9">
        <v>108725592</v>
      </c>
      <c r="IQ9">
        <v>101643</v>
      </c>
      <c r="IR9" t="s">
        <v>2321</v>
      </c>
      <c r="IU9" t="s">
        <v>842</v>
      </c>
      <c r="IV9">
        <v>0.66108800000000001</v>
      </c>
      <c r="IW9" t="s">
        <v>1786</v>
      </c>
      <c r="IX9">
        <v>0.122531</v>
      </c>
      <c r="IY9" t="s">
        <v>1845</v>
      </c>
      <c r="IZ9">
        <v>2025</v>
      </c>
      <c r="JA9" t="s">
        <v>1883</v>
      </c>
      <c r="JB9" s="6">
        <v>45848</v>
      </c>
      <c r="JC9">
        <v>5</v>
      </c>
      <c r="JD9">
        <v>105132824</v>
      </c>
      <c r="JE9">
        <v>101548</v>
      </c>
      <c r="JF9" t="s">
        <v>1889</v>
      </c>
      <c r="LS9" t="s">
        <v>2380</v>
      </c>
      <c r="LT9" t="s">
        <v>1786</v>
      </c>
      <c r="LU9">
        <v>30.781739999999999</v>
      </c>
      <c r="LV9">
        <v>0.62680199999999997</v>
      </c>
      <c r="LW9" t="s">
        <v>1745</v>
      </c>
      <c r="LX9">
        <v>2025</v>
      </c>
      <c r="LY9" t="s">
        <v>2381</v>
      </c>
      <c r="LZ9" s="6">
        <v>45818</v>
      </c>
      <c r="MA9">
        <v>5</v>
      </c>
      <c r="MB9">
        <v>38070899.18</v>
      </c>
      <c r="MC9">
        <v>174401</v>
      </c>
      <c r="MD9" t="s">
        <v>2382</v>
      </c>
      <c r="MG9" t="s">
        <v>1880</v>
      </c>
      <c r="MH9">
        <v>1.3805559999999999</v>
      </c>
      <c r="MI9" t="s">
        <v>1786</v>
      </c>
      <c r="MJ9">
        <v>1.0273540000000001</v>
      </c>
      <c r="MK9" t="s">
        <v>1762</v>
      </c>
      <c r="ML9">
        <v>2025</v>
      </c>
      <c r="MM9" t="s">
        <v>2368</v>
      </c>
      <c r="MN9" s="6">
        <v>45898</v>
      </c>
      <c r="MO9">
        <v>5</v>
      </c>
      <c r="MP9">
        <v>142915152</v>
      </c>
      <c r="MQ9">
        <v>10451815</v>
      </c>
      <c r="MR9" t="s">
        <v>1881</v>
      </c>
      <c r="MW9" t="s">
        <v>2512</v>
      </c>
      <c r="MX9" t="s">
        <v>1786</v>
      </c>
      <c r="MY9">
        <v>0.59890299999999996</v>
      </c>
      <c r="MZ9">
        <v>1.729209</v>
      </c>
      <c r="NA9" t="s">
        <v>1809</v>
      </c>
      <c r="NB9">
        <v>2025</v>
      </c>
      <c r="NC9" t="s">
        <v>2035</v>
      </c>
      <c r="ND9" s="6">
        <v>45797</v>
      </c>
      <c r="NE9">
        <v>5</v>
      </c>
      <c r="NF9">
        <v>112571504</v>
      </c>
      <c r="NG9">
        <v>130929</v>
      </c>
      <c r="NH9" t="s">
        <v>2513</v>
      </c>
      <c r="NK9" t="s">
        <v>167</v>
      </c>
      <c r="NL9">
        <v>0.76780499999999996</v>
      </c>
      <c r="NM9" t="s">
        <v>1786</v>
      </c>
      <c r="NN9">
        <v>2.2920660000000002</v>
      </c>
      <c r="NO9" t="s">
        <v>1809</v>
      </c>
      <c r="NP9">
        <v>2025</v>
      </c>
      <c r="NQ9" t="s">
        <v>2035</v>
      </c>
      <c r="NR9" s="6">
        <v>45797</v>
      </c>
      <c r="NS9">
        <v>5</v>
      </c>
      <c r="NT9">
        <v>111646528</v>
      </c>
      <c r="NU9">
        <v>69423747</v>
      </c>
      <c r="NV9" t="s">
        <v>2036</v>
      </c>
      <c r="SQ9" t="s">
        <v>2790</v>
      </c>
      <c r="SR9" t="s">
        <v>1786</v>
      </c>
      <c r="SS9">
        <v>1.700528</v>
      </c>
      <c r="ST9">
        <v>0.73907500000000004</v>
      </c>
      <c r="SU9" t="s">
        <v>1742</v>
      </c>
      <c r="SV9">
        <v>2025</v>
      </c>
      <c r="SW9" t="s">
        <v>2791</v>
      </c>
      <c r="SX9" s="6">
        <v>46022</v>
      </c>
      <c r="SY9">
        <v>5</v>
      </c>
      <c r="SZ9">
        <v>18949884</v>
      </c>
      <c r="TA9">
        <v>17300196</v>
      </c>
      <c r="TB9" t="s">
        <v>2792</v>
      </c>
      <c r="TE9" t="s">
        <v>3336</v>
      </c>
      <c r="TF9">
        <v>-2.4245362661989844E-14</v>
      </c>
      <c r="TH9">
        <v>-2.4245362661989844E-14</v>
      </c>
      <c r="TI9" t="s">
        <v>1745</v>
      </c>
      <c r="TJ9">
        <v>2022</v>
      </c>
      <c r="TK9" t="s">
        <v>3337</v>
      </c>
      <c r="TL9" s="6">
        <v>44761</v>
      </c>
      <c r="TM9">
        <v>5</v>
      </c>
      <c r="TN9">
        <v>-2.4245362661989844E-14</v>
      </c>
      <c r="TO9">
        <v>116667</v>
      </c>
      <c r="TP9" t="s">
        <v>3338</v>
      </c>
      <c r="TU9" t="s">
        <v>204</v>
      </c>
      <c r="TV9" t="s">
        <v>1786</v>
      </c>
      <c r="TW9">
        <v>1.5894710000000001</v>
      </c>
      <c r="TX9">
        <v>2.6168589999999998</v>
      </c>
      <c r="TY9" t="s">
        <v>1762</v>
      </c>
      <c r="TZ9">
        <v>2026</v>
      </c>
      <c r="UA9" t="s">
        <v>1865</v>
      </c>
      <c r="UB9" s="6">
        <v>45932</v>
      </c>
      <c r="UC9">
        <v>5</v>
      </c>
      <c r="UD9">
        <v>221445152</v>
      </c>
      <c r="UE9">
        <v>100732</v>
      </c>
      <c r="UF9" t="s">
        <v>2825</v>
      </c>
      <c r="UI9" t="s">
        <v>2566</v>
      </c>
      <c r="UJ9">
        <v>-2.4245362661989844E-14</v>
      </c>
      <c r="UL9">
        <v>-2.4245362661989844E-14</v>
      </c>
      <c r="UM9" t="s">
        <v>1745</v>
      </c>
      <c r="UN9">
        <v>2023</v>
      </c>
      <c r="UO9" t="s">
        <v>2567</v>
      </c>
      <c r="UP9" s="6">
        <v>45070</v>
      </c>
      <c r="UQ9">
        <v>5</v>
      </c>
      <c r="UR9">
        <v>-2.4245362661989844E-14</v>
      </c>
      <c r="US9">
        <v>63194262</v>
      </c>
      <c r="UT9" t="s">
        <v>2568</v>
      </c>
      <c r="UY9" t="s">
        <v>949</v>
      </c>
      <c r="UZ9" t="s">
        <v>1786</v>
      </c>
      <c r="VA9">
        <v>9.9027270000000005</v>
      </c>
      <c r="VB9">
        <v>1.5774429999999999</v>
      </c>
      <c r="VC9" t="s">
        <v>1762</v>
      </c>
      <c r="VD9">
        <v>2025</v>
      </c>
      <c r="VE9" t="s">
        <v>2429</v>
      </c>
      <c r="VF9" s="6">
        <v>45904</v>
      </c>
      <c r="VG9">
        <v>5</v>
      </c>
      <c r="VH9">
        <v>107991712</v>
      </c>
      <c r="VI9">
        <v>187877</v>
      </c>
      <c r="VJ9" t="s">
        <v>2430</v>
      </c>
      <c r="VM9" t="s">
        <v>1079</v>
      </c>
      <c r="VN9">
        <v>3.0622020000000001</v>
      </c>
      <c r="VO9" t="s">
        <v>1786</v>
      </c>
      <c r="VP9">
        <v>2.546176</v>
      </c>
      <c r="VQ9" t="s">
        <v>1762</v>
      </c>
      <c r="VR9">
        <v>2025</v>
      </c>
      <c r="VS9" t="s">
        <v>1877</v>
      </c>
      <c r="VT9" s="6">
        <v>45888</v>
      </c>
      <c r="VU9">
        <v>5</v>
      </c>
      <c r="VV9">
        <v>337546528</v>
      </c>
      <c r="VW9">
        <v>100090</v>
      </c>
      <c r="VX9" t="s">
        <v>1882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1352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1353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1354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1355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1356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1357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1358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1359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1360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1361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1362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1363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1364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1365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1366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1367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1368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1369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1370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307</v>
      </c>
      <c r="AE2" s="3" t="s">
        <v>1371</v>
      </c>
      <c r="BI2" s="3" t="s">
        <v>1372</v>
      </c>
      <c r="CM2" s="3" t="s">
        <v>1373</v>
      </c>
      <c r="DQ2" s="3" t="s">
        <v>1374</v>
      </c>
      <c r="EU2" s="3" t="s">
        <v>1375</v>
      </c>
      <c r="FY2" s="3" t="s">
        <v>1286</v>
      </c>
      <c r="HC2" s="3" t="s">
        <v>1376</v>
      </c>
      <c r="IG2" s="3" t="s">
        <v>575</v>
      </c>
      <c r="JK2" s="3" t="s">
        <v>1377</v>
      </c>
      <c r="KO2" s="3" t="s">
        <v>1378</v>
      </c>
      <c r="LS2" s="3" t="s">
        <v>1379</v>
      </c>
      <c r="MW2" s="3" t="s">
        <v>488</v>
      </c>
      <c r="OA2" s="3" t="s">
        <v>1380</v>
      </c>
      <c r="PE2" s="3" t="s">
        <v>1381</v>
      </c>
      <c r="QI2" s="3" t="s">
        <v>232</v>
      </c>
      <c r="RM2" s="3" t="s">
        <v>1382</v>
      </c>
      <c r="SQ2" s="3" t="s">
        <v>1383</v>
      </c>
      <c r="TU2" s="3" t="s">
        <v>1384</v>
      </c>
      <c r="UY2" s="3" t="s">
        <v>1244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_xll.BDS("WFC US Equity","SUPPLY_CHAIN_SUPPLIERS_ALL_DATA","cols=12;rows=5")</f>
        <v>ADBE US Equity</v>
      </c>
      <c r="B5" t="s">
        <v>1769</v>
      </c>
      <c r="C5">
        <v>0.357321</v>
      </c>
      <c r="D5">
        <v>0.15107200000000001</v>
      </c>
      <c r="E5" t="s">
        <v>1762</v>
      </c>
      <c r="F5">
        <v>2025</v>
      </c>
      <c r="G5" t="s">
        <v>2268</v>
      </c>
      <c r="H5" s="6">
        <v>45838</v>
      </c>
      <c r="I5">
        <v>5</v>
      </c>
      <c r="J5">
        <v>20985462</v>
      </c>
      <c r="K5">
        <v>101689</v>
      </c>
      <c r="L5" t="s">
        <v>2269</v>
      </c>
      <c r="O5" t="str">
        <f>_xll.BDS("WFC US Equity","SUPPLY_CHAIN_CUSTOMERS_ALL_DATA","cols=12;rows=5")</f>
        <v>CDW US Equity</v>
      </c>
      <c r="P5">
        <v>4.1894000000000001E-2</v>
      </c>
      <c r="Q5" t="s">
        <v>1786</v>
      </c>
      <c r="R5">
        <v>0.304456</v>
      </c>
      <c r="S5" t="s">
        <v>1809</v>
      </c>
      <c r="T5">
        <v>2025</v>
      </c>
      <c r="U5" t="s">
        <v>1871</v>
      </c>
      <c r="V5" s="6">
        <v>45820</v>
      </c>
      <c r="W5">
        <v>5</v>
      </c>
      <c r="X5">
        <v>12412062</v>
      </c>
      <c r="Y5">
        <v>12129192</v>
      </c>
      <c r="Z5" t="s">
        <v>1872</v>
      </c>
      <c r="AE5" t="str">
        <f>_xll.BDS("OHI US Equity","SUPPLY_CHAIN_SUPPLIERS_ALL_DATA","cols=12;rows=1")</f>
        <v>CLINT SP Equity</v>
      </c>
      <c r="AG5">
        <v>-2.4245362661989844E-14</v>
      </c>
      <c r="AH5">
        <v>-2.4245362661989844E-14</v>
      </c>
      <c r="AI5" t="s">
        <v>1745</v>
      </c>
      <c r="AJ5">
        <v>2024</v>
      </c>
      <c r="AK5" t="s">
        <v>4690</v>
      </c>
      <c r="AL5" s="6">
        <v>45743</v>
      </c>
      <c r="AM5">
        <v>1</v>
      </c>
      <c r="AN5">
        <v>-2.4245362661989844E-14</v>
      </c>
      <c r="AO5">
        <v>12147335</v>
      </c>
      <c r="AP5" t="s">
        <v>4691</v>
      </c>
      <c r="AS5" t="str">
        <f>_xll.BDS("OHI US Equity","SUPPLY_CHAIN_CUSTOMERS_ALL_DATA","cols=12;rows=5")</f>
        <v>4921824Z US Equity</v>
      </c>
      <c r="AT5">
        <v>9.7909430000000004</v>
      </c>
      <c r="AV5">
        <v>-2.4245362661989844E-14</v>
      </c>
      <c r="AW5" t="s">
        <v>1745</v>
      </c>
      <c r="AX5">
        <v>2024</v>
      </c>
      <c r="AY5" t="s">
        <v>3036</v>
      </c>
      <c r="AZ5" s="6">
        <v>45693</v>
      </c>
      <c r="BA5">
        <v>5</v>
      </c>
      <c r="BB5">
        <v>25735250</v>
      </c>
      <c r="BC5">
        <v>21499481</v>
      </c>
      <c r="BD5" t="s">
        <v>4604</v>
      </c>
      <c r="BI5" t="str">
        <f>_xll.BDS("STCN US Equity","SUPPLY_CHAIN_SUPPLIERS_ALL_DATA")</f>
        <v>#N/A N/A</v>
      </c>
      <c r="BW5" t="str">
        <f>_xll.BDS("STCN US Equity","SUPPLY_CHAIN_CUSTOMERS_ALL_DATA","cols=12;rows=3")</f>
        <v>992 HK Equity</v>
      </c>
      <c r="BX5">
        <v>-2.4245362661989844E-14</v>
      </c>
      <c r="BZ5">
        <v>-2.4245362661989844E-14</v>
      </c>
      <c r="CA5" t="s">
        <v>1745</v>
      </c>
      <c r="CB5">
        <v>2024</v>
      </c>
      <c r="CC5" t="s">
        <v>4151</v>
      </c>
      <c r="CD5" s="6">
        <v>45504</v>
      </c>
      <c r="CE5">
        <v>3</v>
      </c>
      <c r="CF5">
        <v>-2.4245362661989844E-14</v>
      </c>
      <c r="CG5">
        <v>130929</v>
      </c>
      <c r="CH5" t="s">
        <v>2513</v>
      </c>
      <c r="CM5" t="str">
        <f>_xll.BDS("FDC US Equity","SUPPLY_CHAIN_SUPPLIERS_ALL_DATA")</f>
        <v>#N/A N/A</v>
      </c>
      <c r="DA5" t="str">
        <f>_xll.BDS("FDC US Equity","SUPPLY_CHAIN_CUSTOMERS_ALL_DATA")</f>
        <v>#N/A N/A</v>
      </c>
      <c r="DQ5" t="str">
        <f>_xll.BDS("NES US Equity","SUPPLY_CHAIN_SUPPLIERS_ALL_DATA")</f>
        <v>#N/A N/A</v>
      </c>
      <c r="EE5" t="str">
        <f>_xll.BDS("NES US Equity","SUPPLY_CHAIN_CUSTOMERS_ALL_DATA")</f>
        <v>#N/A N/A</v>
      </c>
      <c r="EU5" t="str">
        <f>_xll.BDS("COHU US Equity","SUPPLY_CHAIN_SUPPLIERS_ALL_DATA","cols=12;rows=5")</f>
        <v>JBL US Equity</v>
      </c>
      <c r="EV5" t="s">
        <v>1786</v>
      </c>
      <c r="EW5">
        <v>1.2276E-2</v>
      </c>
      <c r="EX5">
        <v>1.7638860000000001</v>
      </c>
      <c r="EY5" t="s">
        <v>1742</v>
      </c>
      <c r="EZ5">
        <v>2025</v>
      </c>
      <c r="FA5" t="s">
        <v>2796</v>
      </c>
      <c r="FB5" s="6">
        <v>45867</v>
      </c>
      <c r="FC5">
        <v>5</v>
      </c>
      <c r="FD5">
        <v>960965</v>
      </c>
      <c r="FE5">
        <v>117092</v>
      </c>
      <c r="FF5" t="s">
        <v>2797</v>
      </c>
      <c r="FI5" t="str">
        <f>_xll.BDS("COHU US Equity","SUPPLY_CHAIN_CUSTOMERS_ALL_DATA","cols=12;rows=5")</f>
        <v>IFX GR Equity</v>
      </c>
      <c r="FJ5">
        <v>9.4184920000000005</v>
      </c>
      <c r="FK5" t="s">
        <v>1820</v>
      </c>
      <c r="FL5">
        <v>2.4567700000000001</v>
      </c>
      <c r="FM5" t="s">
        <v>1762</v>
      </c>
      <c r="FN5">
        <v>2025</v>
      </c>
      <c r="FO5" t="s">
        <v>3200</v>
      </c>
      <c r="FP5" s="6">
        <v>45932</v>
      </c>
      <c r="FQ5">
        <v>5</v>
      </c>
      <c r="FR5">
        <v>10141832</v>
      </c>
      <c r="FS5">
        <v>835530</v>
      </c>
      <c r="FT5" t="s">
        <v>3201</v>
      </c>
      <c r="FY5" t="str">
        <f>_xll.BDS("DHR US Equity","SUPPLY_CHAIN_SUPPLIERS_ALL_DATA","cols=12;rows=5")</f>
        <v>FLEX US Equity</v>
      </c>
      <c r="FZ5" t="s">
        <v>1786</v>
      </c>
      <c r="GA5">
        <v>1.165869</v>
      </c>
      <c r="GB5">
        <v>2.8864939999999999</v>
      </c>
      <c r="GC5" t="s">
        <v>1742</v>
      </c>
      <c r="GD5">
        <v>2025</v>
      </c>
      <c r="GE5" t="s">
        <v>2387</v>
      </c>
      <c r="GF5" s="6">
        <v>45763</v>
      </c>
      <c r="GG5">
        <v>5</v>
      </c>
      <c r="GH5">
        <v>76434368</v>
      </c>
      <c r="GI5">
        <v>136547</v>
      </c>
      <c r="GJ5" t="s">
        <v>2388</v>
      </c>
      <c r="GM5" t="str">
        <f>_xll.BDS("DHR US Equity","SUPPLY_CHAIN_CUSTOMERS_ALL_DATA","cols=12;rows=5")</f>
        <v>CDW US Equity</v>
      </c>
      <c r="GN5">
        <v>0.25350099999999998</v>
      </c>
      <c r="GO5" t="s">
        <v>1786</v>
      </c>
      <c r="GP5">
        <v>0.35698299999999999</v>
      </c>
      <c r="GQ5" t="s">
        <v>1809</v>
      </c>
      <c r="GR5">
        <v>2025</v>
      </c>
      <c r="GS5" t="s">
        <v>1871</v>
      </c>
      <c r="GT5" s="6">
        <v>45820</v>
      </c>
      <c r="GU5">
        <v>5</v>
      </c>
      <c r="GV5">
        <v>14553483</v>
      </c>
      <c r="GW5">
        <v>12129192</v>
      </c>
      <c r="GX5" t="s">
        <v>1872</v>
      </c>
      <c r="HC5" t="str">
        <f>_xll.BDS("MATW US Equity","SUPPLY_CHAIN_SUPPLIERS_ALL_DATA")</f>
        <v>#N/A N/A</v>
      </c>
      <c r="HQ5" t="str">
        <f>_xll.BDS("MATW US Equity","SUPPLY_CHAIN_CUSTOMERS_ALL_DATA","cols=12;rows=5")</f>
        <v>TSCO LN Equity</v>
      </c>
      <c r="HR5">
        <v>0.25499899999999998</v>
      </c>
      <c r="HS5" t="s">
        <v>1786</v>
      </c>
      <c r="HT5">
        <v>4.1130000000000003E-3</v>
      </c>
      <c r="HU5" t="s">
        <v>1809</v>
      </c>
      <c r="HV5">
        <v>2026</v>
      </c>
      <c r="HW5" t="s">
        <v>1834</v>
      </c>
      <c r="HX5" s="6">
        <v>45898</v>
      </c>
      <c r="HY5">
        <v>5</v>
      </c>
      <c r="HZ5">
        <v>872713.25</v>
      </c>
      <c r="IA5">
        <v>112370</v>
      </c>
      <c r="IB5" t="s">
        <v>1835</v>
      </c>
      <c r="IG5" t="str">
        <f>_xll.BDS("WINMQ US Equity","SUPPLY_CHAIN_SUPPLIERS_ALL_DATA","cols=12;rows=5")</f>
        <v>DY US Equity</v>
      </c>
      <c r="II5">
        <v>2.4</v>
      </c>
      <c r="IJ5">
        <v>-2.4245362661989844E-14</v>
      </c>
      <c r="IK5" t="s">
        <v>1845</v>
      </c>
      <c r="IL5">
        <v>2025</v>
      </c>
      <c r="IM5" t="s">
        <v>5020</v>
      </c>
      <c r="IN5" s="6">
        <v>45717</v>
      </c>
      <c r="IO5">
        <v>5</v>
      </c>
      <c r="IP5">
        <v>26028624</v>
      </c>
      <c r="IQ5">
        <v>100487</v>
      </c>
      <c r="IR5" t="s">
        <v>2673</v>
      </c>
      <c r="IU5" t="str">
        <f>_xll.BDS("WINMQ US Equity","SUPPLY_CHAIN_CUSTOMERS_ALL_DATA","cols=12;rows=2")</f>
        <v>SCSC US Equity</v>
      </c>
      <c r="IV5">
        <v>-2.4245362661989844E-14</v>
      </c>
      <c r="IX5">
        <v>-2.4245362661989844E-14</v>
      </c>
      <c r="IY5" t="s">
        <v>1742</v>
      </c>
      <c r="IZ5">
        <v>2024</v>
      </c>
      <c r="JA5" t="s">
        <v>4762</v>
      </c>
      <c r="JB5" s="6">
        <v>45422</v>
      </c>
      <c r="JC5">
        <v>2</v>
      </c>
      <c r="JD5">
        <v>-2.4245362661989844E-14</v>
      </c>
      <c r="JE5">
        <v>136424</v>
      </c>
      <c r="JF5" t="s">
        <v>2014</v>
      </c>
      <c r="JK5" t="str">
        <f>_xll.BDS("RAMP US Equity","SUPPLY_CHAIN_SUPPLIERS_ALL_DATA","cols=12;rows=5")</f>
        <v>GOOGL US Equity</v>
      </c>
      <c r="JM5">
        <v>-2.4245362661989844E-14</v>
      </c>
      <c r="JN5">
        <v>-2.4245362661989844E-14</v>
      </c>
      <c r="JO5" t="s">
        <v>1745</v>
      </c>
      <c r="JP5">
        <v>2025</v>
      </c>
      <c r="JQ5" t="s">
        <v>4718</v>
      </c>
      <c r="JR5" s="6">
        <v>45798</v>
      </c>
      <c r="JS5">
        <v>5</v>
      </c>
      <c r="JT5">
        <v>-2.4245362661989844E-14</v>
      </c>
      <c r="JU5">
        <v>46946968</v>
      </c>
      <c r="JV5" t="s">
        <v>1765</v>
      </c>
      <c r="JY5" t="str">
        <f>_xll.BDS("RAMP US Equity","SUPPLY_CHAIN_CUSTOMERS_ALL_DATA","cols=12;rows=5")</f>
        <v>AD NA Equity</v>
      </c>
      <c r="JZ5">
        <v>5.7471000000000001E-2</v>
      </c>
      <c r="KA5" t="s">
        <v>1820</v>
      </c>
      <c r="KB5">
        <v>1.5980000000000001E-2</v>
      </c>
      <c r="KC5" t="s">
        <v>1762</v>
      </c>
      <c r="KD5">
        <v>2025</v>
      </c>
      <c r="KE5" t="s">
        <v>4308</v>
      </c>
      <c r="KF5" s="6">
        <v>45887</v>
      </c>
      <c r="KG5">
        <v>5</v>
      </c>
      <c r="KH5">
        <v>111851.05</v>
      </c>
      <c r="KI5">
        <v>115643</v>
      </c>
      <c r="KJ5" t="s">
        <v>4309</v>
      </c>
      <c r="KO5" t="str">
        <f>_xll.BDS("NFX US Equity","SUPPLY_CHAIN_SUPPLIERS_ALL_DATA")</f>
        <v>#N/A N/A</v>
      </c>
      <c r="LC5" t="str">
        <f>_xll.BDS("NFX US Equity","SUPPLY_CHAIN_CUSTOMERS_ALL_DATA")</f>
        <v>#N/A N/A</v>
      </c>
      <c r="LS5" t="str">
        <f>_xll.BDS("AROC US Equity","SUPPLY_CHAIN_SUPPLIERS_ALL_DATA","cols=12;rows=5")</f>
        <v>CAT US Equity</v>
      </c>
      <c r="LT5" t="s">
        <v>1820</v>
      </c>
      <c r="LU5">
        <v>1.5928999999999999E-2</v>
      </c>
      <c r="LV5">
        <v>2.3678710000000001</v>
      </c>
      <c r="LW5" t="s">
        <v>1762</v>
      </c>
      <c r="LX5">
        <v>2025</v>
      </c>
      <c r="LY5" t="s">
        <v>1812</v>
      </c>
      <c r="LZ5" s="6">
        <v>45876</v>
      </c>
      <c r="MA5">
        <v>5</v>
      </c>
      <c r="MB5">
        <v>2639276</v>
      </c>
      <c r="MC5">
        <v>100285</v>
      </c>
      <c r="MD5" t="s">
        <v>1813</v>
      </c>
      <c r="MG5" t="str">
        <f>_xll.BDS("AROC US Equity","SUPPLY_CHAIN_CUSTOMERS_ALL_DATA","cols=12;rows=5")</f>
        <v>COP US Equity</v>
      </c>
      <c r="MH5">
        <v>8.3740509999999997</v>
      </c>
      <c r="MI5" t="s">
        <v>1820</v>
      </c>
      <c r="MJ5">
        <v>0.97642600000000002</v>
      </c>
      <c r="MK5" t="s">
        <v>1762</v>
      </c>
      <c r="ML5">
        <v>2025</v>
      </c>
      <c r="MM5" t="s">
        <v>2867</v>
      </c>
      <c r="MN5" s="6">
        <v>45929</v>
      </c>
      <c r="MO5">
        <v>5</v>
      </c>
      <c r="MP5">
        <v>32085344</v>
      </c>
      <c r="MQ5">
        <v>101174</v>
      </c>
      <c r="MR5" t="s">
        <v>4011</v>
      </c>
      <c r="MW5" t="str">
        <f>_xll.BDS("AGR US Equity","SUPPLY_CHAIN_SUPPLIERS_ALL_DATA","cols=12;rows=5")</f>
        <v>3365854Z US Equity</v>
      </c>
      <c r="MY5">
        <v>-2.4245362661989844E-14</v>
      </c>
      <c r="MZ5">
        <v>-2.4245362661989844E-14</v>
      </c>
      <c r="NA5" t="s">
        <v>1745</v>
      </c>
      <c r="NB5">
        <v>2024</v>
      </c>
      <c r="NC5" t="s">
        <v>3579</v>
      </c>
      <c r="ND5" s="6">
        <v>45593</v>
      </c>
      <c r="NE5">
        <v>5</v>
      </c>
      <c r="NF5">
        <v>-2.4245362661989844E-14</v>
      </c>
      <c r="NG5">
        <v>16825198</v>
      </c>
      <c r="NH5" t="s">
        <v>3823</v>
      </c>
      <c r="NK5" t="str">
        <f>_xll.BDS("AGR US Equity","SUPPLY_CHAIN_CUSTOMERS_ALL_DATA","cols=12;rows=5")</f>
        <v>1256Z NO Equity</v>
      </c>
      <c r="NL5">
        <v>-2.4245362661989844E-14</v>
      </c>
      <c r="NN5">
        <v>-2.4245362661989844E-14</v>
      </c>
      <c r="NO5" t="s">
        <v>1745</v>
      </c>
      <c r="NP5">
        <v>2024</v>
      </c>
      <c r="NQ5" t="s">
        <v>3579</v>
      </c>
      <c r="NR5" s="6">
        <v>45519</v>
      </c>
      <c r="NS5">
        <v>5</v>
      </c>
      <c r="NT5">
        <v>-2.4245362661989844E-14</v>
      </c>
      <c r="NU5">
        <v>173537</v>
      </c>
      <c r="NV5" t="s">
        <v>3580</v>
      </c>
      <c r="OA5" t="str">
        <f>_xll.BDS("SHEN US Equity","SUPPLY_CHAIN_SUPPLIERS_ALL_DATA","cols=12;rows=1")</f>
        <v>CIEN US Equity</v>
      </c>
      <c r="OB5" t="s">
        <v>1820</v>
      </c>
      <c r="OC5">
        <v>0.101329</v>
      </c>
      <c r="OD5">
        <v>1.305337</v>
      </c>
      <c r="OE5" t="s">
        <v>1809</v>
      </c>
      <c r="OF5">
        <v>2025</v>
      </c>
      <c r="OG5" t="s">
        <v>2675</v>
      </c>
      <c r="OH5" s="6">
        <v>45812</v>
      </c>
      <c r="OI5">
        <v>1</v>
      </c>
      <c r="OJ5">
        <v>1086510</v>
      </c>
      <c r="OK5">
        <v>211040</v>
      </c>
      <c r="OL5" t="s">
        <v>2676</v>
      </c>
      <c r="OO5" t="str">
        <f>_xll.BDS("SHEN US Equity","SUPPLY_CHAIN_CUSTOMERS_ALL_DATA","cols=12;rows=5")</f>
        <v>10201MF US Equity</v>
      </c>
      <c r="OP5">
        <v>-2.4245362661989844E-14</v>
      </c>
      <c r="OR5">
        <v>-2.4245362661989844E-14</v>
      </c>
      <c r="OS5" t="s">
        <v>1745</v>
      </c>
      <c r="OT5">
        <v>2022</v>
      </c>
      <c r="OU5" t="s">
        <v>3157</v>
      </c>
      <c r="OV5" s="6">
        <v>44706</v>
      </c>
      <c r="OW5">
        <v>5</v>
      </c>
      <c r="OX5">
        <v>-2.4245362661989844E-14</v>
      </c>
      <c r="OY5">
        <v>1014236</v>
      </c>
      <c r="OZ5" t="s">
        <v>3158</v>
      </c>
      <c r="PE5" t="str">
        <f>_xll.BDS("NAL US Equity","SUPPLY_CHAIN_SUPPLIERS_ALL_DATA")</f>
        <v>#N/A N/A</v>
      </c>
      <c r="PS5" t="str">
        <f>_xll.BDS("NAL US Equity","SUPPLY_CHAIN_CUSTOMERS_ALL_DATA")</f>
        <v>#N/A N/A</v>
      </c>
      <c r="QI5" t="str">
        <f>_xll.BDS("FNFG US Equity","SUPPLY_CHAIN_SUPPLIERS_ALL_DATA")</f>
        <v>#N/A N/A</v>
      </c>
      <c r="QW5" t="str">
        <f>_xll.BDS("FNFG US Equity","SUPPLY_CHAIN_CUSTOMERS_ALL_DATA")</f>
        <v>#N/A N/A</v>
      </c>
      <c r="RM5" t="str">
        <f>_xll.BDS("PSA US Equity","SUPPLY_CHAIN_SUPPLIERS_ALL_DATA","cols=12;rows=4")</f>
        <v>1347L US Equity</v>
      </c>
      <c r="RO5">
        <v>-2.4245362661989844E-14</v>
      </c>
      <c r="RP5">
        <v>-2.4245362661989844E-14</v>
      </c>
      <c r="RQ5" t="s">
        <v>1745</v>
      </c>
      <c r="RR5">
        <v>2023</v>
      </c>
      <c r="RS5" t="s">
        <v>5011</v>
      </c>
      <c r="RT5" s="6">
        <v>45182</v>
      </c>
      <c r="RU5">
        <v>4</v>
      </c>
      <c r="RV5">
        <v>-2.4245362661989844E-14</v>
      </c>
      <c r="RW5">
        <v>958988</v>
      </c>
      <c r="RX5" t="s">
        <v>5012</v>
      </c>
      <c r="SA5" t="str">
        <f>_xll.BDS("PSA US Equity","SUPPLY_CHAIN_CUSTOMERS_ALL_DATA")</f>
        <v>#N/A N/A</v>
      </c>
      <c r="SQ5" t="str">
        <f>_xll.BDS("IPG US Equity","SUPPLY_CHAIN_SUPPLIERS_ALL_DATA","cols=12;rows=5")</f>
        <v>VNO US Equity</v>
      </c>
      <c r="SR5" t="s">
        <v>1769</v>
      </c>
      <c r="SS5">
        <v>3.58318</v>
      </c>
      <c r="ST5">
        <v>49.085056000000002</v>
      </c>
      <c r="SU5" t="s">
        <v>1745</v>
      </c>
      <c r="SV5">
        <v>2024</v>
      </c>
      <c r="SW5" t="s">
        <v>4673</v>
      </c>
      <c r="SX5" s="6">
        <v>45699</v>
      </c>
      <c r="SY5">
        <v>5</v>
      </c>
      <c r="SZ5">
        <v>16014000</v>
      </c>
      <c r="TA5">
        <v>101608</v>
      </c>
      <c r="TB5" t="s">
        <v>4674</v>
      </c>
      <c r="TE5" t="str">
        <f>_xll.BDS("IPG US Equity","SUPPLY_CHAIN_CUSTOMERS_ALL_DATA","cols=12;rows=5")</f>
        <v>TVSL IN Equity</v>
      </c>
      <c r="TF5">
        <v>1.023E-3</v>
      </c>
      <c r="TG5" t="s">
        <v>1786</v>
      </c>
      <c r="TH5">
        <v>2.3389999999999999E-3</v>
      </c>
      <c r="TI5" t="s">
        <v>1745</v>
      </c>
      <c r="TJ5">
        <v>2025</v>
      </c>
      <c r="TK5" t="s">
        <v>4591</v>
      </c>
      <c r="TL5" s="6">
        <v>45864</v>
      </c>
      <c r="TM5">
        <v>5</v>
      </c>
      <c r="TN5">
        <v>26624.31</v>
      </c>
      <c r="TO5">
        <v>1459186</v>
      </c>
      <c r="TP5" t="s">
        <v>4592</v>
      </c>
      <c r="TU5" t="str">
        <f>_xll.BDS("710946Q US Equity","SUPPLY_CHAIN_SUPPLIERS_ALL_DATA")</f>
        <v>#N/A N/A</v>
      </c>
      <c r="UI5" t="str">
        <f>_xll.BDS("710946Q US Equity","SUPPLY_CHAIN_CUSTOMERS_ALL_DATA")</f>
        <v>#N/A N/A</v>
      </c>
      <c r="UY5" t="str">
        <f>_xll.BDS("TFCFA US Equity","SUPPLY_CHAIN_SUPPLIERS_ALL_DATA")</f>
        <v>#N/A N/A</v>
      </c>
      <c r="VM5" t="str">
        <f>_xll.BDS("TFCFA US Equity","SUPPLY_CHAIN_CUSTOMERS_ALL_DATA")</f>
        <v>#N/A N/A</v>
      </c>
    </row>
    <row r="6" spans="1:600" x14ac:dyDescent="0.25">
      <c r="A6" t="s">
        <v>2273</v>
      </c>
      <c r="B6" t="s">
        <v>1769</v>
      </c>
      <c r="C6">
        <v>5.2993949999999996</v>
      </c>
      <c r="D6">
        <v>7.1481000000000003E-2</v>
      </c>
      <c r="E6" t="s">
        <v>1809</v>
      </c>
      <c r="F6">
        <v>2026</v>
      </c>
      <c r="G6" t="s">
        <v>2274</v>
      </c>
      <c r="H6" s="6">
        <v>45898</v>
      </c>
      <c r="I6">
        <v>5</v>
      </c>
      <c r="J6">
        <v>9563900.9100000001</v>
      </c>
      <c r="K6">
        <v>178651</v>
      </c>
      <c r="L6" t="s">
        <v>2275</v>
      </c>
      <c r="O6" t="s">
        <v>3143</v>
      </c>
      <c r="P6">
        <v>-2.4245362661989844E-14</v>
      </c>
      <c r="R6">
        <v>-2.4245362661989844E-14</v>
      </c>
      <c r="S6" t="s">
        <v>1745</v>
      </c>
      <c r="T6">
        <v>2024</v>
      </c>
      <c r="U6" t="s">
        <v>3144</v>
      </c>
      <c r="V6" s="6">
        <v>45756</v>
      </c>
      <c r="W6">
        <v>5</v>
      </c>
      <c r="X6">
        <v>-2.4245362661989844E-14</v>
      </c>
      <c r="Y6">
        <v>23063237</v>
      </c>
      <c r="Z6" t="s">
        <v>3145</v>
      </c>
      <c r="AS6" t="s">
        <v>4605</v>
      </c>
      <c r="AT6">
        <v>9.2623099999999994</v>
      </c>
      <c r="AV6">
        <v>-2.4245362661989844E-14</v>
      </c>
      <c r="AW6" t="s">
        <v>1745</v>
      </c>
      <c r="AX6">
        <v>2024</v>
      </c>
      <c r="AY6" t="s">
        <v>3036</v>
      </c>
      <c r="AZ6" s="6">
        <v>45693</v>
      </c>
      <c r="BA6">
        <v>5</v>
      </c>
      <c r="BB6">
        <v>24345750</v>
      </c>
      <c r="BC6">
        <v>28937485</v>
      </c>
      <c r="BD6" t="s">
        <v>4606</v>
      </c>
      <c r="BW6" t="s">
        <v>4152</v>
      </c>
      <c r="BX6">
        <v>-2.4245362661989844E-14</v>
      </c>
      <c r="BZ6">
        <v>-2.4245362661989844E-14</v>
      </c>
      <c r="CA6" t="s">
        <v>1762</v>
      </c>
      <c r="CB6">
        <v>2024</v>
      </c>
      <c r="CC6" t="s">
        <v>4153</v>
      </c>
      <c r="CD6" s="6">
        <v>45496</v>
      </c>
      <c r="CE6">
        <v>3</v>
      </c>
      <c r="CF6">
        <v>-2.4245362661989844E-14</v>
      </c>
      <c r="CG6">
        <v>8339663</v>
      </c>
      <c r="CH6" t="s">
        <v>4154</v>
      </c>
      <c r="EU6" t="s">
        <v>3357</v>
      </c>
      <c r="EV6" t="s">
        <v>1786</v>
      </c>
      <c r="EW6">
        <v>0.42407099999999998</v>
      </c>
      <c r="EX6">
        <v>0.15673599999999999</v>
      </c>
      <c r="EY6" t="s">
        <v>1742</v>
      </c>
      <c r="EZ6">
        <v>2025</v>
      </c>
      <c r="FA6" t="s">
        <v>3358</v>
      </c>
      <c r="FB6" s="6">
        <v>46001</v>
      </c>
      <c r="FC6">
        <v>5</v>
      </c>
      <c r="FD6">
        <v>111259</v>
      </c>
      <c r="FE6">
        <v>225528</v>
      </c>
      <c r="FF6" t="s">
        <v>3359</v>
      </c>
      <c r="FI6" t="s">
        <v>2170</v>
      </c>
      <c r="FJ6">
        <v>8.5417249999999996</v>
      </c>
      <c r="FK6" t="s">
        <v>1820</v>
      </c>
      <c r="FL6">
        <v>9.5314999999999997E-2</v>
      </c>
      <c r="FM6" t="s">
        <v>1762</v>
      </c>
      <c r="FN6">
        <v>2025</v>
      </c>
      <c r="FO6" t="s">
        <v>3200</v>
      </c>
      <c r="FP6" s="6">
        <v>45932</v>
      </c>
      <c r="FQ6">
        <v>5</v>
      </c>
      <c r="FR6">
        <v>9197729</v>
      </c>
      <c r="FS6">
        <v>153737</v>
      </c>
      <c r="FT6" t="s">
        <v>2171</v>
      </c>
      <c r="FY6" t="s">
        <v>2795</v>
      </c>
      <c r="FZ6" t="s">
        <v>1786</v>
      </c>
      <c r="GA6">
        <v>0.147895</v>
      </c>
      <c r="GB6">
        <v>0.47978500000000002</v>
      </c>
      <c r="GC6" t="s">
        <v>1742</v>
      </c>
      <c r="GD6">
        <v>2025</v>
      </c>
      <c r="GE6" t="s">
        <v>2796</v>
      </c>
      <c r="GF6" s="6">
        <v>45867</v>
      </c>
      <c r="GG6">
        <v>5</v>
      </c>
      <c r="GH6">
        <v>11577221</v>
      </c>
      <c r="GI6">
        <v>117092</v>
      </c>
      <c r="GJ6" t="s">
        <v>2797</v>
      </c>
      <c r="GM6" t="s">
        <v>357</v>
      </c>
      <c r="GN6">
        <v>0.22051499999999999</v>
      </c>
      <c r="GO6" t="s">
        <v>1786</v>
      </c>
      <c r="GP6">
        <v>9.3169000000000002E-2</v>
      </c>
      <c r="GQ6" t="s">
        <v>1845</v>
      </c>
      <c r="GR6">
        <v>2025</v>
      </c>
      <c r="GS6" t="s">
        <v>1887</v>
      </c>
      <c r="GT6" s="6">
        <v>46056</v>
      </c>
      <c r="GU6">
        <v>5</v>
      </c>
      <c r="GV6">
        <v>15078834</v>
      </c>
      <c r="GW6">
        <v>1499717</v>
      </c>
      <c r="GX6" t="s">
        <v>1864</v>
      </c>
      <c r="HQ6" t="s">
        <v>1789</v>
      </c>
      <c r="HR6">
        <v>-2.4245362661989844E-14</v>
      </c>
      <c r="HT6">
        <v>-2.4245362661989844E-14</v>
      </c>
      <c r="HU6" t="s">
        <v>1745</v>
      </c>
      <c r="HV6">
        <v>2023</v>
      </c>
      <c r="HW6" t="s">
        <v>1836</v>
      </c>
      <c r="HX6" s="6">
        <v>45329</v>
      </c>
      <c r="HY6">
        <v>5</v>
      </c>
      <c r="HZ6">
        <v>-2.4245362661989844E-14</v>
      </c>
      <c r="IA6">
        <v>117929</v>
      </c>
      <c r="IB6" t="s">
        <v>1791</v>
      </c>
      <c r="IG6" t="s">
        <v>5021</v>
      </c>
      <c r="II6">
        <v>-2.4245362661989844E-14</v>
      </c>
      <c r="IJ6">
        <v>-2.4245362661989844E-14</v>
      </c>
      <c r="IK6" t="s">
        <v>1745</v>
      </c>
      <c r="IL6">
        <v>2021</v>
      </c>
      <c r="IM6" t="s">
        <v>5022</v>
      </c>
      <c r="IN6" s="6">
        <v>44718</v>
      </c>
      <c r="IO6">
        <v>5</v>
      </c>
      <c r="IP6">
        <v>-2.4245362661989844E-14</v>
      </c>
      <c r="IQ6">
        <v>885036</v>
      </c>
      <c r="IR6" t="s">
        <v>5023</v>
      </c>
      <c r="IU6" t="s">
        <v>4763</v>
      </c>
      <c r="IV6">
        <v>-2.4245362661989844E-14</v>
      </c>
      <c r="IX6">
        <v>-2.4245362661989844E-14</v>
      </c>
      <c r="IY6" t="s">
        <v>1745</v>
      </c>
      <c r="IZ6">
        <v>2022</v>
      </c>
      <c r="JA6" t="s">
        <v>4764</v>
      </c>
      <c r="JB6" s="6">
        <v>44993</v>
      </c>
      <c r="JC6">
        <v>2</v>
      </c>
      <c r="JD6">
        <v>-2.4245362661989844E-14</v>
      </c>
      <c r="JE6">
        <v>10092517</v>
      </c>
      <c r="JF6" t="s">
        <v>4765</v>
      </c>
      <c r="JK6" t="s">
        <v>4719</v>
      </c>
      <c r="JM6">
        <v>-2.4245362661989844E-14</v>
      </c>
      <c r="JN6">
        <v>-2.4245362661989844E-14</v>
      </c>
      <c r="JO6" t="s">
        <v>1809</v>
      </c>
      <c r="JP6">
        <v>2026</v>
      </c>
      <c r="JQ6" t="s">
        <v>4720</v>
      </c>
      <c r="JR6" s="6">
        <v>45798</v>
      </c>
      <c r="JS6">
        <v>5</v>
      </c>
      <c r="JT6">
        <v>-2.4245362661989844E-14</v>
      </c>
      <c r="JU6">
        <v>42870442</v>
      </c>
      <c r="JV6" t="s">
        <v>4721</v>
      </c>
      <c r="JY6" t="s">
        <v>4665</v>
      </c>
      <c r="JZ6">
        <v>-2.4245362661989844E-14</v>
      </c>
      <c r="KB6">
        <v>-2.4245362661989844E-14</v>
      </c>
      <c r="KC6" t="s">
        <v>1745</v>
      </c>
      <c r="KD6">
        <v>2023</v>
      </c>
      <c r="KE6" t="s">
        <v>4666</v>
      </c>
      <c r="KF6" s="6">
        <v>45189</v>
      </c>
      <c r="KG6">
        <v>5</v>
      </c>
      <c r="KH6">
        <v>-2.4245362661989844E-14</v>
      </c>
      <c r="KI6">
        <v>41486191</v>
      </c>
      <c r="KJ6" t="s">
        <v>4667</v>
      </c>
      <c r="LS6" t="s">
        <v>4109</v>
      </c>
      <c r="LT6" t="s">
        <v>1769</v>
      </c>
      <c r="LU6">
        <v>8.0339999999999995E-3</v>
      </c>
      <c r="LV6">
        <v>1.020254</v>
      </c>
      <c r="LW6" t="s">
        <v>1845</v>
      </c>
      <c r="LX6">
        <v>2025</v>
      </c>
      <c r="LY6" t="s">
        <v>4110</v>
      </c>
      <c r="LZ6" s="6">
        <v>45810</v>
      </c>
      <c r="MA6">
        <v>5</v>
      </c>
      <c r="MB6">
        <v>379693.02</v>
      </c>
      <c r="MC6">
        <v>174545</v>
      </c>
      <c r="MD6" t="s">
        <v>4111</v>
      </c>
      <c r="MG6" t="s">
        <v>4012</v>
      </c>
      <c r="MH6">
        <v>8.2072929999999999</v>
      </c>
      <c r="MI6" t="s">
        <v>1820</v>
      </c>
      <c r="MJ6">
        <v>3.2352270000000001</v>
      </c>
      <c r="MK6" t="s">
        <v>1762</v>
      </c>
      <c r="ML6">
        <v>2025</v>
      </c>
      <c r="MM6" t="s">
        <v>2867</v>
      </c>
      <c r="MN6" s="6">
        <v>45929</v>
      </c>
      <c r="MO6">
        <v>5</v>
      </c>
      <c r="MP6">
        <v>31446408</v>
      </c>
      <c r="MQ6">
        <v>101661</v>
      </c>
      <c r="MR6" t="s">
        <v>4013</v>
      </c>
      <c r="MW6" t="s">
        <v>3824</v>
      </c>
      <c r="MY6">
        <v>-2.4245362661989844E-14</v>
      </c>
      <c r="MZ6">
        <v>-2.4245362661989844E-14</v>
      </c>
      <c r="NA6" t="s">
        <v>1745</v>
      </c>
      <c r="NB6">
        <v>2024</v>
      </c>
      <c r="NC6" t="s">
        <v>3579</v>
      </c>
      <c r="ND6" s="6">
        <v>45593</v>
      </c>
      <c r="NE6">
        <v>5</v>
      </c>
      <c r="NF6">
        <v>-2.4245362661989844E-14</v>
      </c>
      <c r="NG6">
        <v>8960270</v>
      </c>
      <c r="NH6" t="s">
        <v>3825</v>
      </c>
      <c r="NK6" t="s">
        <v>3581</v>
      </c>
      <c r="NL6">
        <v>-2.4245362661989844E-14</v>
      </c>
      <c r="NN6">
        <v>-2.4245362661989844E-14</v>
      </c>
      <c r="NO6" t="s">
        <v>1745</v>
      </c>
      <c r="NP6">
        <v>2023</v>
      </c>
      <c r="NQ6" t="s">
        <v>3582</v>
      </c>
      <c r="NR6" s="6">
        <v>45344</v>
      </c>
      <c r="NS6">
        <v>5</v>
      </c>
      <c r="NT6">
        <v>-2.4245362661989844E-14</v>
      </c>
      <c r="NU6">
        <v>62907102</v>
      </c>
      <c r="NV6" t="s">
        <v>3583</v>
      </c>
      <c r="OO6" t="s">
        <v>3159</v>
      </c>
      <c r="OP6">
        <v>-2.4245362661989844E-14</v>
      </c>
      <c r="OR6">
        <v>-2.4245362661989844E-14</v>
      </c>
      <c r="OS6" t="s">
        <v>1745</v>
      </c>
      <c r="OT6">
        <v>2022</v>
      </c>
      <c r="OU6" t="s">
        <v>3157</v>
      </c>
      <c r="OV6" s="6">
        <v>44706</v>
      </c>
      <c r="OW6">
        <v>5</v>
      </c>
      <c r="OX6">
        <v>-2.4245362661989844E-14</v>
      </c>
      <c r="OY6">
        <v>1013006</v>
      </c>
      <c r="OZ6" t="s">
        <v>3160</v>
      </c>
      <c r="RM6" t="s">
        <v>5013</v>
      </c>
      <c r="RO6">
        <v>-2.4245362661989844E-14</v>
      </c>
      <c r="RP6">
        <v>-2.4245362661989844E-14</v>
      </c>
      <c r="RQ6" t="s">
        <v>1745</v>
      </c>
      <c r="RR6">
        <v>2023</v>
      </c>
      <c r="RS6" t="s">
        <v>5011</v>
      </c>
      <c r="RT6" s="6">
        <v>45182</v>
      </c>
      <c r="RU6">
        <v>4</v>
      </c>
      <c r="RV6">
        <v>-2.4245362661989844E-14</v>
      </c>
      <c r="RW6">
        <v>925231</v>
      </c>
      <c r="RX6" t="s">
        <v>5014</v>
      </c>
      <c r="SQ6" t="s">
        <v>3610</v>
      </c>
      <c r="SR6" t="s">
        <v>1769</v>
      </c>
      <c r="SS6">
        <v>0.13331100000000001</v>
      </c>
      <c r="ST6">
        <v>1.9940310000000001</v>
      </c>
      <c r="SU6" t="s">
        <v>1845</v>
      </c>
      <c r="SV6">
        <v>2024</v>
      </c>
      <c r="SW6" t="s">
        <v>4675</v>
      </c>
      <c r="SX6" s="6">
        <v>45882</v>
      </c>
      <c r="SY6">
        <v>5</v>
      </c>
      <c r="SZ6">
        <v>925230</v>
      </c>
      <c r="TA6">
        <v>39234675</v>
      </c>
      <c r="TB6" t="s">
        <v>3612</v>
      </c>
      <c r="TE6" t="s">
        <v>4593</v>
      </c>
      <c r="TF6">
        <v>1.0219999999999999E-3</v>
      </c>
      <c r="TG6" t="s">
        <v>1786</v>
      </c>
      <c r="TH6">
        <v>2.2989999999999998E-3</v>
      </c>
      <c r="TI6" t="s">
        <v>1745</v>
      </c>
      <c r="TJ6">
        <v>2025</v>
      </c>
      <c r="TK6" t="s">
        <v>4594</v>
      </c>
      <c r="TL6" s="6">
        <v>45864</v>
      </c>
      <c r="TM6">
        <v>5</v>
      </c>
      <c r="TN6">
        <v>26614.84</v>
      </c>
      <c r="TO6">
        <v>174406</v>
      </c>
      <c r="TP6" t="s">
        <v>4595</v>
      </c>
    </row>
    <row r="7" spans="1:600" x14ac:dyDescent="0.25">
      <c r="A7" t="s">
        <v>2972</v>
      </c>
      <c r="B7" t="s">
        <v>1769</v>
      </c>
      <c r="C7">
        <v>0.56072500000000003</v>
      </c>
      <c r="D7">
        <v>1.5883999999999999E-2</v>
      </c>
      <c r="E7" t="s">
        <v>1745</v>
      </c>
      <c r="F7">
        <v>2025</v>
      </c>
      <c r="G7" t="s">
        <v>2973</v>
      </c>
      <c r="H7" s="6">
        <v>46066</v>
      </c>
      <c r="I7">
        <v>5</v>
      </c>
      <c r="J7">
        <v>2177750</v>
      </c>
      <c r="K7">
        <v>126273</v>
      </c>
      <c r="L7" t="s">
        <v>2974</v>
      </c>
      <c r="O7" t="s">
        <v>2139</v>
      </c>
      <c r="P7">
        <v>-2.4245362661989844E-14</v>
      </c>
      <c r="R7">
        <v>-2.4245362661989844E-14</v>
      </c>
      <c r="S7" t="s">
        <v>1809</v>
      </c>
      <c r="T7">
        <v>2025</v>
      </c>
      <c r="U7" t="s">
        <v>3146</v>
      </c>
      <c r="V7" s="6">
        <v>45799</v>
      </c>
      <c r="W7">
        <v>5</v>
      </c>
      <c r="X7">
        <v>-2.4245362661989844E-14</v>
      </c>
      <c r="Y7">
        <v>313021</v>
      </c>
      <c r="Z7" t="s">
        <v>2141</v>
      </c>
      <c r="AS7" t="s">
        <v>4607</v>
      </c>
      <c r="AT7">
        <v>5.9038040000000001</v>
      </c>
      <c r="AV7">
        <v>-2.4245362661989844E-14</v>
      </c>
      <c r="AW7" t="s">
        <v>1745</v>
      </c>
      <c r="AX7">
        <v>2024</v>
      </c>
      <c r="AY7" t="s">
        <v>3036</v>
      </c>
      <c r="AZ7" s="6">
        <v>45693</v>
      </c>
      <c r="BA7">
        <v>5</v>
      </c>
      <c r="BB7">
        <v>15518000</v>
      </c>
      <c r="BC7">
        <v>27239616</v>
      </c>
      <c r="BD7" t="s">
        <v>4608</v>
      </c>
      <c r="BW7" t="s">
        <v>168</v>
      </c>
      <c r="BX7">
        <v>-2.4245362661989844E-14</v>
      </c>
      <c r="BZ7">
        <v>-2.4245362661989844E-14</v>
      </c>
      <c r="CA7" t="s">
        <v>1745</v>
      </c>
      <c r="CB7">
        <v>2024</v>
      </c>
      <c r="CC7" t="s">
        <v>4155</v>
      </c>
      <c r="CD7" s="6">
        <v>45331</v>
      </c>
      <c r="CE7">
        <v>3</v>
      </c>
      <c r="CF7">
        <v>-2.4245362661989844E-14</v>
      </c>
      <c r="CG7">
        <v>101729</v>
      </c>
      <c r="CH7" t="s">
        <v>2246</v>
      </c>
      <c r="EU7" t="s">
        <v>1090</v>
      </c>
      <c r="EW7">
        <v>-2.4245362661989844E-14</v>
      </c>
      <c r="EX7">
        <v>-2.4245362661989844E-14</v>
      </c>
      <c r="EY7" t="s">
        <v>1745</v>
      </c>
      <c r="EZ7">
        <v>2021</v>
      </c>
      <c r="FA7" t="s">
        <v>2027</v>
      </c>
      <c r="FB7" s="6">
        <v>44693</v>
      </c>
      <c r="FC7">
        <v>5</v>
      </c>
      <c r="FD7">
        <v>-2.4245362661989844E-14</v>
      </c>
      <c r="FE7">
        <v>350245</v>
      </c>
      <c r="FF7" t="s">
        <v>3360</v>
      </c>
      <c r="FI7" t="s">
        <v>393</v>
      </c>
      <c r="FJ7">
        <v>5.958412</v>
      </c>
      <c r="FK7" t="s">
        <v>1820</v>
      </c>
      <c r="FL7">
        <v>0.491649</v>
      </c>
      <c r="FM7" t="s">
        <v>1762</v>
      </c>
      <c r="FN7">
        <v>2025</v>
      </c>
      <c r="FO7" t="s">
        <v>3200</v>
      </c>
      <c r="FP7" s="6">
        <v>45932</v>
      </c>
      <c r="FQ7">
        <v>5</v>
      </c>
      <c r="FR7">
        <v>6416018</v>
      </c>
      <c r="FS7">
        <v>101460</v>
      </c>
      <c r="FT7" t="s">
        <v>3202</v>
      </c>
      <c r="FY7" t="s">
        <v>2805</v>
      </c>
      <c r="FZ7" t="s">
        <v>1786</v>
      </c>
      <c r="GA7">
        <v>0.32230900000000001</v>
      </c>
      <c r="GB7">
        <v>0.38473400000000002</v>
      </c>
      <c r="GC7" t="s">
        <v>1742</v>
      </c>
      <c r="GD7">
        <v>2025</v>
      </c>
      <c r="GE7" t="s">
        <v>2806</v>
      </c>
      <c r="GF7" s="6">
        <v>45891</v>
      </c>
      <c r="GG7">
        <v>5</v>
      </c>
      <c r="GH7">
        <v>9283621</v>
      </c>
      <c r="GI7">
        <v>100097</v>
      </c>
      <c r="GJ7" t="s">
        <v>2807</v>
      </c>
      <c r="GM7" t="s">
        <v>2588</v>
      </c>
      <c r="GN7">
        <v>8.1423999999999996E-2</v>
      </c>
      <c r="GO7" t="s">
        <v>1786</v>
      </c>
      <c r="GP7">
        <v>0.194387</v>
      </c>
      <c r="GQ7" t="s">
        <v>1742</v>
      </c>
      <c r="GR7">
        <v>2025</v>
      </c>
      <c r="GS7" t="s">
        <v>2589</v>
      </c>
      <c r="GT7" s="6">
        <v>45694</v>
      </c>
      <c r="GU7">
        <v>5</v>
      </c>
      <c r="GV7">
        <v>5430637.3600000003</v>
      </c>
      <c r="GW7">
        <v>111827</v>
      </c>
      <c r="GX7" t="s">
        <v>2590</v>
      </c>
      <c r="HQ7" t="s">
        <v>1837</v>
      </c>
      <c r="HR7">
        <v>-2.4245362661989844E-14</v>
      </c>
      <c r="HT7">
        <v>-2.4245362661989844E-14</v>
      </c>
      <c r="HU7" t="s">
        <v>1745</v>
      </c>
      <c r="HV7">
        <v>2023</v>
      </c>
      <c r="HW7" t="s">
        <v>1836</v>
      </c>
      <c r="HX7" s="6">
        <v>45329</v>
      </c>
      <c r="HY7">
        <v>5</v>
      </c>
      <c r="HZ7">
        <v>-2.4245362661989844E-14</v>
      </c>
      <c r="IA7">
        <v>23889962</v>
      </c>
      <c r="IB7" t="s">
        <v>1838</v>
      </c>
      <c r="IG7" t="s">
        <v>5024</v>
      </c>
      <c r="II7">
        <v>-2.4245362661989844E-14</v>
      </c>
      <c r="IJ7">
        <v>-2.4245362661989844E-14</v>
      </c>
      <c r="IK7" t="s">
        <v>1742</v>
      </c>
      <c r="IL7">
        <v>2022</v>
      </c>
      <c r="IM7" t="s">
        <v>5025</v>
      </c>
      <c r="IN7" s="6">
        <v>44895</v>
      </c>
      <c r="IO7">
        <v>5</v>
      </c>
      <c r="IP7">
        <v>-2.4245362661989844E-14</v>
      </c>
      <c r="IQ7">
        <v>69795062</v>
      </c>
      <c r="IR7" t="s">
        <v>5026</v>
      </c>
      <c r="JK7" t="s">
        <v>2310</v>
      </c>
      <c r="JM7">
        <v>-2.4245362661989844E-14</v>
      </c>
      <c r="JN7">
        <v>-2.4245362661989844E-14</v>
      </c>
      <c r="JO7" t="s">
        <v>1745</v>
      </c>
      <c r="JP7">
        <v>2024</v>
      </c>
      <c r="JQ7" t="s">
        <v>4722</v>
      </c>
      <c r="JR7" s="6">
        <v>45405</v>
      </c>
      <c r="JS7">
        <v>5</v>
      </c>
      <c r="JT7">
        <v>-2.4245362661989844E-14</v>
      </c>
      <c r="JU7">
        <v>313657</v>
      </c>
      <c r="JV7" t="s">
        <v>2312</v>
      </c>
      <c r="JY7" t="s">
        <v>3610</v>
      </c>
      <c r="JZ7">
        <v>-2.4245362661989844E-14</v>
      </c>
      <c r="KB7">
        <v>-2.4245362661989844E-14</v>
      </c>
      <c r="KC7" t="s">
        <v>1742</v>
      </c>
      <c r="KD7">
        <v>2025</v>
      </c>
      <c r="KE7" t="s">
        <v>3611</v>
      </c>
      <c r="KF7" s="6">
        <v>45971</v>
      </c>
      <c r="KG7">
        <v>5</v>
      </c>
      <c r="KH7">
        <v>-2.4245362661989844E-14</v>
      </c>
      <c r="KI7">
        <v>39234675</v>
      </c>
      <c r="KJ7" t="s">
        <v>3612</v>
      </c>
      <c r="LS7" t="s">
        <v>2745</v>
      </c>
      <c r="LT7" t="s">
        <v>1820</v>
      </c>
      <c r="LU7">
        <v>2.7217999999999999E-2</v>
      </c>
      <c r="LV7">
        <v>0.209594</v>
      </c>
      <c r="LW7" t="s">
        <v>1742</v>
      </c>
      <c r="LX7">
        <v>2025</v>
      </c>
      <c r="LY7" t="s">
        <v>2746</v>
      </c>
      <c r="LZ7" s="6">
        <v>45966</v>
      </c>
      <c r="MA7">
        <v>5</v>
      </c>
      <c r="MB7">
        <v>283088</v>
      </c>
      <c r="MC7">
        <v>10656931</v>
      </c>
      <c r="MD7" t="s">
        <v>2747</v>
      </c>
      <c r="MG7" t="s">
        <v>426</v>
      </c>
      <c r="MH7">
        <v>7.5029789999999998</v>
      </c>
      <c r="MI7" t="s">
        <v>1820</v>
      </c>
      <c r="MJ7">
        <v>0.72067700000000001</v>
      </c>
      <c r="MK7" t="s">
        <v>1762</v>
      </c>
      <c r="ML7">
        <v>2025</v>
      </c>
      <c r="MM7" t="s">
        <v>2867</v>
      </c>
      <c r="MN7" s="6">
        <v>45929</v>
      </c>
      <c r="MO7">
        <v>5</v>
      </c>
      <c r="MP7">
        <v>28747814</v>
      </c>
      <c r="MQ7">
        <v>29182972</v>
      </c>
      <c r="MR7" t="s">
        <v>2962</v>
      </c>
      <c r="MW7" t="s">
        <v>3826</v>
      </c>
      <c r="MY7">
        <v>-2.4245362661989844E-14</v>
      </c>
      <c r="MZ7">
        <v>-2.4245362661989844E-14</v>
      </c>
      <c r="NA7" t="s">
        <v>1745</v>
      </c>
      <c r="NB7">
        <v>2024</v>
      </c>
      <c r="NC7" t="s">
        <v>3579</v>
      </c>
      <c r="ND7" s="6">
        <v>45593</v>
      </c>
      <c r="NE7">
        <v>5</v>
      </c>
      <c r="NF7">
        <v>-2.4245362661989844E-14</v>
      </c>
      <c r="NG7">
        <v>21172241</v>
      </c>
      <c r="NH7" t="s">
        <v>3827</v>
      </c>
      <c r="NK7" t="s">
        <v>3584</v>
      </c>
      <c r="NL7">
        <v>-2.4245362661989844E-14</v>
      </c>
      <c r="NN7">
        <v>-2.4245362661989844E-14</v>
      </c>
      <c r="NO7" t="s">
        <v>1745</v>
      </c>
      <c r="NP7">
        <v>2022</v>
      </c>
      <c r="NQ7" t="s">
        <v>3579</v>
      </c>
      <c r="NR7" s="6">
        <v>44700</v>
      </c>
      <c r="NS7">
        <v>5</v>
      </c>
      <c r="NT7">
        <v>-2.4245362661989844E-14</v>
      </c>
      <c r="NU7">
        <v>1042860</v>
      </c>
      <c r="NV7" t="s">
        <v>3585</v>
      </c>
      <c r="OO7" t="s">
        <v>3161</v>
      </c>
      <c r="OP7">
        <v>-2.4245362661989844E-14</v>
      </c>
      <c r="OR7">
        <v>-2.4245362661989844E-14</v>
      </c>
      <c r="OS7" t="s">
        <v>1745</v>
      </c>
      <c r="OT7">
        <v>2022</v>
      </c>
      <c r="OU7" t="s">
        <v>3157</v>
      </c>
      <c r="OV7" s="6">
        <v>44706</v>
      </c>
      <c r="OW7">
        <v>5</v>
      </c>
      <c r="OX7">
        <v>-2.4245362661989844E-14</v>
      </c>
      <c r="OY7">
        <v>1013878</v>
      </c>
      <c r="OZ7" t="s">
        <v>3162</v>
      </c>
      <c r="RM7" t="s">
        <v>5015</v>
      </c>
      <c r="RO7">
        <v>-2.4245362661989844E-14</v>
      </c>
      <c r="RP7">
        <v>-2.4245362661989844E-14</v>
      </c>
      <c r="RQ7" t="s">
        <v>1745</v>
      </c>
      <c r="RR7">
        <v>2023</v>
      </c>
      <c r="RS7" t="s">
        <v>5011</v>
      </c>
      <c r="RT7" s="6">
        <v>45182</v>
      </c>
      <c r="RU7">
        <v>4</v>
      </c>
      <c r="RV7">
        <v>-2.4245362661989844E-14</v>
      </c>
      <c r="RW7">
        <v>898926</v>
      </c>
      <c r="RX7" t="s">
        <v>5016</v>
      </c>
      <c r="SQ7" t="s">
        <v>4676</v>
      </c>
      <c r="SR7" t="s">
        <v>1769</v>
      </c>
      <c r="SS7">
        <v>0.339231</v>
      </c>
      <c r="ST7">
        <v>1.270567</v>
      </c>
      <c r="SU7" t="s">
        <v>1805</v>
      </c>
      <c r="SV7">
        <v>2026</v>
      </c>
      <c r="SW7" t="s">
        <v>4677</v>
      </c>
      <c r="SX7" s="6">
        <v>45980</v>
      </c>
      <c r="SY7">
        <v>5</v>
      </c>
      <c r="SZ7">
        <v>591645.6</v>
      </c>
      <c r="TA7">
        <v>111277</v>
      </c>
      <c r="TB7" t="s">
        <v>4678</v>
      </c>
      <c r="TE7" t="s">
        <v>4596</v>
      </c>
      <c r="TF7">
        <v>-2.4245362661989844E-14</v>
      </c>
      <c r="TH7">
        <v>-2.4245362661989844E-14</v>
      </c>
      <c r="TI7" t="s">
        <v>1745</v>
      </c>
      <c r="TJ7">
        <v>2024</v>
      </c>
      <c r="TK7" t="s">
        <v>4597</v>
      </c>
      <c r="TL7" s="6">
        <v>45404</v>
      </c>
      <c r="TM7">
        <v>5</v>
      </c>
      <c r="TN7">
        <v>-2.4245362661989844E-14</v>
      </c>
      <c r="TO7">
        <v>69857683</v>
      </c>
      <c r="TP7" t="s">
        <v>4598</v>
      </c>
    </row>
    <row r="8" spans="1:600" x14ac:dyDescent="0.25">
      <c r="A8" t="s">
        <v>2975</v>
      </c>
      <c r="B8" t="s">
        <v>1769</v>
      </c>
      <c r="C8">
        <v>0.78817400000000004</v>
      </c>
      <c r="D8">
        <v>1.4283000000000001E-2</v>
      </c>
      <c r="E8" t="s">
        <v>1745</v>
      </c>
      <c r="F8">
        <v>2025</v>
      </c>
      <c r="G8" t="s">
        <v>2976</v>
      </c>
      <c r="H8" s="6">
        <v>46058</v>
      </c>
      <c r="I8">
        <v>5</v>
      </c>
      <c r="J8">
        <v>1958250</v>
      </c>
      <c r="K8">
        <v>106045</v>
      </c>
      <c r="L8" t="s">
        <v>2977</v>
      </c>
      <c r="O8" t="s">
        <v>733</v>
      </c>
      <c r="P8">
        <v>-2.4245362661989844E-14</v>
      </c>
      <c r="R8">
        <v>-2.4245362661989844E-14</v>
      </c>
      <c r="S8" t="s">
        <v>1745</v>
      </c>
      <c r="T8">
        <v>2022</v>
      </c>
      <c r="U8" t="s">
        <v>3147</v>
      </c>
      <c r="V8" s="6">
        <v>44986</v>
      </c>
      <c r="W8">
        <v>5</v>
      </c>
      <c r="X8">
        <v>-2.4245362661989844E-14</v>
      </c>
      <c r="Y8">
        <v>394590</v>
      </c>
      <c r="Z8" t="s">
        <v>3148</v>
      </c>
      <c r="AS8" t="s">
        <v>4609</v>
      </c>
      <c r="AT8">
        <v>5.1281639999999999</v>
      </c>
      <c r="AU8" t="s">
        <v>1769</v>
      </c>
      <c r="AV8">
        <v>25.234480000000001</v>
      </c>
      <c r="AW8" t="s">
        <v>1745</v>
      </c>
      <c r="AX8">
        <v>2024</v>
      </c>
      <c r="AY8" t="s">
        <v>3036</v>
      </c>
      <c r="AZ8" s="6">
        <v>45693</v>
      </c>
      <c r="BA8">
        <v>5</v>
      </c>
      <c r="BB8">
        <v>13479250</v>
      </c>
      <c r="BC8">
        <v>37346086</v>
      </c>
      <c r="BD8" t="s">
        <v>4610</v>
      </c>
      <c r="EU8" t="s">
        <v>3361</v>
      </c>
      <c r="EW8">
        <v>-2.4245362661989844E-14</v>
      </c>
      <c r="EX8">
        <v>-2.4245362661989844E-14</v>
      </c>
      <c r="EY8" t="s">
        <v>1745</v>
      </c>
      <c r="EZ8">
        <v>2021</v>
      </c>
      <c r="FA8" t="s">
        <v>3362</v>
      </c>
      <c r="FB8" s="6">
        <v>44693</v>
      </c>
      <c r="FC8">
        <v>5</v>
      </c>
      <c r="FD8">
        <v>-2.4245362661989844E-14</v>
      </c>
      <c r="FE8">
        <v>179563</v>
      </c>
      <c r="FF8" t="s">
        <v>3363</v>
      </c>
      <c r="FI8" t="s">
        <v>168</v>
      </c>
      <c r="FJ8">
        <v>5.8594480000000004</v>
      </c>
      <c r="FK8" t="s">
        <v>1820</v>
      </c>
      <c r="FL8">
        <v>0.177731</v>
      </c>
      <c r="FM8" t="s">
        <v>1762</v>
      </c>
      <c r="FN8">
        <v>2025</v>
      </c>
      <c r="FO8" t="s">
        <v>3200</v>
      </c>
      <c r="FP8" s="6">
        <v>45932</v>
      </c>
      <c r="FQ8">
        <v>5</v>
      </c>
      <c r="FR8">
        <v>6309454</v>
      </c>
      <c r="FS8">
        <v>101729</v>
      </c>
      <c r="FT8" t="s">
        <v>2246</v>
      </c>
      <c r="FY8" t="s">
        <v>2808</v>
      </c>
      <c r="FZ8" t="s">
        <v>1786</v>
      </c>
      <c r="GA8">
        <v>1.1725810000000001</v>
      </c>
      <c r="GB8">
        <v>0.15703400000000001</v>
      </c>
      <c r="GC8" t="s">
        <v>1809</v>
      </c>
      <c r="GD8">
        <v>2026</v>
      </c>
      <c r="GE8" t="s">
        <v>2809</v>
      </c>
      <c r="GF8" s="6">
        <v>46051</v>
      </c>
      <c r="GG8">
        <v>5</v>
      </c>
      <c r="GH8">
        <v>4510016</v>
      </c>
      <c r="GI8">
        <v>225757</v>
      </c>
      <c r="GJ8" t="s">
        <v>2810</v>
      </c>
      <c r="GM8" t="s">
        <v>2591</v>
      </c>
      <c r="GN8">
        <v>6.6940000000000003E-3</v>
      </c>
      <c r="GO8" t="s">
        <v>1786</v>
      </c>
      <c r="GP8">
        <v>5.5948409999999997</v>
      </c>
      <c r="GQ8" t="s">
        <v>1745</v>
      </c>
      <c r="GR8">
        <v>2024</v>
      </c>
      <c r="GS8" t="s">
        <v>2592</v>
      </c>
      <c r="GT8" s="6">
        <v>45819</v>
      </c>
      <c r="GU8">
        <v>5</v>
      </c>
      <c r="GV8">
        <v>402911.11</v>
      </c>
      <c r="GW8">
        <v>15291339</v>
      </c>
      <c r="GX8" t="s">
        <v>2593</v>
      </c>
      <c r="HQ8" t="s">
        <v>1839</v>
      </c>
      <c r="HR8">
        <v>-2.4245362661989844E-14</v>
      </c>
      <c r="HT8">
        <v>-2.4245362661989844E-14</v>
      </c>
      <c r="HU8" t="s">
        <v>1745</v>
      </c>
      <c r="HV8">
        <v>2023</v>
      </c>
      <c r="HW8" t="s">
        <v>1836</v>
      </c>
      <c r="HX8" s="6">
        <v>45329</v>
      </c>
      <c r="HY8">
        <v>5</v>
      </c>
      <c r="HZ8">
        <v>-2.4245362661989844E-14</v>
      </c>
      <c r="IA8">
        <v>949869</v>
      </c>
      <c r="IB8" t="s">
        <v>1840</v>
      </c>
      <c r="IG8" t="s">
        <v>167</v>
      </c>
      <c r="II8">
        <v>-2.4245362661989844E-14</v>
      </c>
      <c r="IJ8">
        <v>-2.4245362661989844E-14</v>
      </c>
      <c r="IK8" t="s">
        <v>1745</v>
      </c>
      <c r="IL8">
        <v>2024</v>
      </c>
      <c r="IM8" t="s">
        <v>5027</v>
      </c>
      <c r="IN8" s="6">
        <v>45307</v>
      </c>
      <c r="IO8">
        <v>5</v>
      </c>
      <c r="IP8">
        <v>-2.4245362661989844E-14</v>
      </c>
      <c r="IQ8">
        <v>69423747</v>
      </c>
      <c r="IR8" t="s">
        <v>2036</v>
      </c>
      <c r="JK8" t="s">
        <v>1885</v>
      </c>
      <c r="JM8">
        <v>-2.4245362661989844E-14</v>
      </c>
      <c r="JN8">
        <v>-2.4245362661989844E-14</v>
      </c>
      <c r="JO8" t="s">
        <v>1745</v>
      </c>
      <c r="JP8">
        <v>2025</v>
      </c>
      <c r="JQ8" t="s">
        <v>4718</v>
      </c>
      <c r="JR8" s="6">
        <v>45798</v>
      </c>
      <c r="JS8">
        <v>5</v>
      </c>
      <c r="JT8">
        <v>-2.4245362661989844E-14</v>
      </c>
      <c r="JU8">
        <v>216952</v>
      </c>
      <c r="JV8" t="s">
        <v>1886</v>
      </c>
      <c r="JY8" t="s">
        <v>4668</v>
      </c>
      <c r="JZ8">
        <v>-2.4245362661989844E-14</v>
      </c>
      <c r="KB8">
        <v>-2.4245362661989844E-14</v>
      </c>
      <c r="KC8" t="s">
        <v>1745</v>
      </c>
      <c r="KD8">
        <v>2023</v>
      </c>
      <c r="KE8" t="s">
        <v>4666</v>
      </c>
      <c r="KF8" s="6">
        <v>45208</v>
      </c>
      <c r="KG8">
        <v>5</v>
      </c>
      <c r="KH8">
        <v>-2.4245362661989844E-14</v>
      </c>
      <c r="KI8">
        <v>340388</v>
      </c>
      <c r="KJ8" t="s">
        <v>4669</v>
      </c>
      <c r="LS8" t="s">
        <v>4112</v>
      </c>
      <c r="LT8" t="s">
        <v>1786</v>
      </c>
      <c r="LU8">
        <v>-2.4245362661989844E-14</v>
      </c>
      <c r="LV8">
        <v>7.8520000000000006E-2</v>
      </c>
      <c r="LW8" t="s">
        <v>1745</v>
      </c>
      <c r="LX8">
        <v>2025</v>
      </c>
      <c r="LY8" t="s">
        <v>4113</v>
      </c>
      <c r="LZ8" s="6">
        <v>46079</v>
      </c>
      <c r="MA8">
        <v>5</v>
      </c>
      <c r="MB8">
        <v>100000</v>
      </c>
      <c r="MC8">
        <v>69969471</v>
      </c>
      <c r="MD8" t="s">
        <v>4114</v>
      </c>
      <c r="MG8" t="s">
        <v>279</v>
      </c>
      <c r="MH8">
        <v>6.8882709999999996</v>
      </c>
      <c r="MI8" t="s">
        <v>1820</v>
      </c>
      <c r="MJ8">
        <v>4.017131</v>
      </c>
      <c r="MK8" t="s">
        <v>1762</v>
      </c>
      <c r="ML8">
        <v>2025</v>
      </c>
      <c r="MM8" t="s">
        <v>2867</v>
      </c>
      <c r="MN8" s="6">
        <v>45929</v>
      </c>
      <c r="MO8">
        <v>5</v>
      </c>
      <c r="MP8">
        <v>26392548</v>
      </c>
      <c r="MQ8">
        <v>117019</v>
      </c>
      <c r="MR8" t="s">
        <v>4014</v>
      </c>
      <c r="MW8" t="s">
        <v>3828</v>
      </c>
      <c r="MY8">
        <v>-2.4245362661989844E-14</v>
      </c>
      <c r="MZ8">
        <v>-2.4245362661989844E-14</v>
      </c>
      <c r="NA8" t="s">
        <v>1745</v>
      </c>
      <c r="NB8">
        <v>2024</v>
      </c>
      <c r="NC8" t="s">
        <v>3579</v>
      </c>
      <c r="ND8" s="6">
        <v>45593</v>
      </c>
      <c r="NE8">
        <v>5</v>
      </c>
      <c r="NF8">
        <v>-2.4245362661989844E-14</v>
      </c>
      <c r="NG8">
        <v>953096</v>
      </c>
      <c r="NH8" t="s">
        <v>3829</v>
      </c>
      <c r="NK8" t="s">
        <v>1801</v>
      </c>
      <c r="NL8">
        <v>-2.4245362661989844E-14</v>
      </c>
      <c r="NN8">
        <v>-2.4245362661989844E-14</v>
      </c>
      <c r="NO8" t="s">
        <v>1745</v>
      </c>
      <c r="NP8">
        <v>2024</v>
      </c>
      <c r="NQ8" t="s">
        <v>3579</v>
      </c>
      <c r="NR8" s="6">
        <v>45569</v>
      </c>
      <c r="NS8">
        <v>5</v>
      </c>
      <c r="NT8">
        <v>-2.4245362661989844E-14</v>
      </c>
      <c r="NU8">
        <v>218252</v>
      </c>
      <c r="NV8" t="s">
        <v>1803</v>
      </c>
      <c r="OO8" t="s">
        <v>3163</v>
      </c>
      <c r="OP8">
        <v>-2.4245362661989844E-14</v>
      </c>
      <c r="OR8">
        <v>-2.4245362661989844E-14</v>
      </c>
      <c r="OS8" t="s">
        <v>1745</v>
      </c>
      <c r="OT8">
        <v>2022</v>
      </c>
      <c r="OU8" t="s">
        <v>3157</v>
      </c>
      <c r="OV8" s="6">
        <v>44706</v>
      </c>
      <c r="OW8">
        <v>5</v>
      </c>
      <c r="OX8">
        <v>-2.4245362661989844E-14</v>
      </c>
      <c r="OY8">
        <v>1016526</v>
      </c>
      <c r="OZ8" t="s">
        <v>3164</v>
      </c>
      <c r="RM8" t="s">
        <v>5017</v>
      </c>
      <c r="RO8">
        <v>-2.4245362661989844E-14</v>
      </c>
      <c r="RP8">
        <v>-2.4245362661989844E-14</v>
      </c>
      <c r="RQ8" t="s">
        <v>2435</v>
      </c>
      <c r="RR8">
        <v>2022</v>
      </c>
      <c r="RS8" t="s">
        <v>5018</v>
      </c>
      <c r="RT8" s="6">
        <v>44931</v>
      </c>
      <c r="RU8">
        <v>4</v>
      </c>
      <c r="RV8">
        <v>-2.4245362661989844E-14</v>
      </c>
      <c r="RW8">
        <v>69539060</v>
      </c>
      <c r="RX8" t="s">
        <v>5019</v>
      </c>
      <c r="SQ8" t="s">
        <v>195</v>
      </c>
      <c r="SR8" t="s">
        <v>1769</v>
      </c>
      <c r="SS8">
        <v>1.5590000000000001E-3</v>
      </c>
      <c r="ST8">
        <v>0.226634</v>
      </c>
      <c r="SU8" t="s">
        <v>1762</v>
      </c>
      <c r="SV8">
        <v>2025</v>
      </c>
      <c r="SW8" t="s">
        <v>2268</v>
      </c>
      <c r="SX8" s="6">
        <v>45838</v>
      </c>
      <c r="SY8">
        <v>5</v>
      </c>
      <c r="SZ8">
        <v>91560</v>
      </c>
      <c r="TA8">
        <v>101689</v>
      </c>
      <c r="TB8" t="s">
        <v>2269</v>
      </c>
      <c r="TE8" t="s">
        <v>4599</v>
      </c>
      <c r="TF8">
        <v>-2.4245362661989844E-14</v>
      </c>
      <c r="TH8">
        <v>-2.4245362661989844E-14</v>
      </c>
      <c r="TI8" t="s">
        <v>1745</v>
      </c>
      <c r="TJ8">
        <v>2023</v>
      </c>
      <c r="TK8" t="s">
        <v>4600</v>
      </c>
      <c r="TL8" s="6">
        <v>45027</v>
      </c>
      <c r="TM8">
        <v>5</v>
      </c>
      <c r="TN8">
        <v>-2.4245362661989844E-14</v>
      </c>
      <c r="TO8">
        <v>1096220</v>
      </c>
      <c r="TP8" t="s">
        <v>4601</v>
      </c>
    </row>
    <row r="9" spans="1:600" x14ac:dyDescent="0.25">
      <c r="A9" t="s">
        <v>2978</v>
      </c>
      <c r="B9" t="s">
        <v>1769</v>
      </c>
      <c r="C9">
        <v>0.777281</v>
      </c>
      <c r="D9">
        <v>1.0723999999999999E-2</v>
      </c>
      <c r="E9" t="s">
        <v>1745</v>
      </c>
      <c r="F9">
        <v>2024</v>
      </c>
      <c r="G9" t="s">
        <v>2979</v>
      </c>
      <c r="H9" s="6">
        <v>45694</v>
      </c>
      <c r="I9">
        <v>5</v>
      </c>
      <c r="J9">
        <v>1463750</v>
      </c>
      <c r="K9">
        <v>106543</v>
      </c>
      <c r="L9" t="s">
        <v>2980</v>
      </c>
      <c r="O9" t="s">
        <v>3149</v>
      </c>
      <c r="P9">
        <v>-2.4245362661989844E-14</v>
      </c>
      <c r="R9">
        <v>-2.4245362661989844E-14</v>
      </c>
      <c r="S9" t="s">
        <v>1745</v>
      </c>
      <c r="T9">
        <v>2023</v>
      </c>
      <c r="U9" t="s">
        <v>3150</v>
      </c>
      <c r="V9" s="6">
        <v>45175</v>
      </c>
      <c r="W9">
        <v>5</v>
      </c>
      <c r="X9">
        <v>-2.4245362661989844E-14</v>
      </c>
      <c r="Y9">
        <v>100555</v>
      </c>
      <c r="Z9" t="s">
        <v>3151</v>
      </c>
      <c r="AS9" t="s">
        <v>529</v>
      </c>
      <c r="AT9">
        <v>4.7567510000000004</v>
      </c>
      <c r="AU9" t="s">
        <v>1769</v>
      </c>
      <c r="AV9">
        <v>27.424123999999999</v>
      </c>
      <c r="AW9" t="s">
        <v>1745</v>
      </c>
      <c r="AX9">
        <v>2024</v>
      </c>
      <c r="AY9" t="s">
        <v>3036</v>
      </c>
      <c r="AZ9" s="6">
        <v>45693</v>
      </c>
      <c r="BA9">
        <v>5</v>
      </c>
      <c r="BB9">
        <v>12503001</v>
      </c>
      <c r="BC9">
        <v>70059040</v>
      </c>
      <c r="BD9" t="s">
        <v>4611</v>
      </c>
      <c r="EU9" t="s">
        <v>3364</v>
      </c>
      <c r="EW9">
        <v>-2.4245362661989844E-14</v>
      </c>
      <c r="EX9">
        <v>-2.4245362661989844E-14</v>
      </c>
      <c r="EY9" t="s">
        <v>1745</v>
      </c>
      <c r="EZ9">
        <v>2021</v>
      </c>
      <c r="FA9" t="s">
        <v>3365</v>
      </c>
      <c r="FB9" s="6">
        <v>44693</v>
      </c>
      <c r="FC9">
        <v>5</v>
      </c>
      <c r="FD9">
        <v>-2.4245362661989844E-14</v>
      </c>
      <c r="FE9">
        <v>171311</v>
      </c>
      <c r="FF9" t="s">
        <v>3366</v>
      </c>
      <c r="FI9" t="s">
        <v>2078</v>
      </c>
      <c r="FJ9">
        <v>4.391699</v>
      </c>
      <c r="FK9" t="s">
        <v>1820</v>
      </c>
      <c r="FL9">
        <v>0.28998299999999999</v>
      </c>
      <c r="FM9" t="s">
        <v>1762</v>
      </c>
      <c r="FN9">
        <v>2025</v>
      </c>
      <c r="FO9" t="s">
        <v>3200</v>
      </c>
      <c r="FP9" s="6">
        <v>45932</v>
      </c>
      <c r="FQ9">
        <v>5</v>
      </c>
      <c r="FR9">
        <v>4728981</v>
      </c>
      <c r="FS9">
        <v>136983</v>
      </c>
      <c r="FT9" t="s">
        <v>2079</v>
      </c>
      <c r="FY9" t="s">
        <v>195</v>
      </c>
      <c r="FZ9" t="s">
        <v>1769</v>
      </c>
      <c r="GA9">
        <v>5.9742000000000003E-2</v>
      </c>
      <c r="GB9">
        <v>0.18884000000000001</v>
      </c>
      <c r="GC9" t="s">
        <v>1762</v>
      </c>
      <c r="GD9">
        <v>2025</v>
      </c>
      <c r="GE9" t="s">
        <v>2268</v>
      </c>
      <c r="GF9" s="6">
        <v>45838</v>
      </c>
      <c r="GG9">
        <v>5</v>
      </c>
      <c r="GH9">
        <v>3508648</v>
      </c>
      <c r="GI9">
        <v>101689</v>
      </c>
      <c r="GJ9" t="s">
        <v>2269</v>
      </c>
      <c r="GM9" t="s">
        <v>2594</v>
      </c>
      <c r="GN9">
        <v>5.1640000000000002E-3</v>
      </c>
      <c r="GO9" t="s">
        <v>1786</v>
      </c>
      <c r="GP9">
        <v>5.0558560000000003</v>
      </c>
      <c r="GQ9" t="s">
        <v>1745</v>
      </c>
      <c r="GR9">
        <v>2024</v>
      </c>
      <c r="GS9" t="s">
        <v>2595</v>
      </c>
      <c r="GT9" s="6">
        <v>45814</v>
      </c>
      <c r="GU9">
        <v>5</v>
      </c>
      <c r="GV9">
        <v>310853.61</v>
      </c>
      <c r="GW9">
        <v>36034450</v>
      </c>
      <c r="GX9" t="s">
        <v>2596</v>
      </c>
      <c r="HQ9" t="s">
        <v>1841</v>
      </c>
      <c r="HR9">
        <v>-2.4245362661989844E-14</v>
      </c>
      <c r="HT9">
        <v>-2.4245362661989844E-14</v>
      </c>
      <c r="HU9" t="s">
        <v>1762</v>
      </c>
      <c r="HV9">
        <v>2022</v>
      </c>
      <c r="HW9" t="s">
        <v>1842</v>
      </c>
      <c r="HX9" s="6">
        <v>44700</v>
      </c>
      <c r="HY9">
        <v>5</v>
      </c>
      <c r="HZ9">
        <v>-2.4245362661989844E-14</v>
      </c>
      <c r="IA9">
        <v>11933413</v>
      </c>
      <c r="IB9" t="s">
        <v>1843</v>
      </c>
      <c r="IG9" t="s">
        <v>5028</v>
      </c>
      <c r="II9">
        <v>-2.4245362661989844E-14</v>
      </c>
      <c r="IJ9">
        <v>-2.4245362661989844E-14</v>
      </c>
      <c r="IK9" t="s">
        <v>1745</v>
      </c>
      <c r="IL9">
        <v>2023</v>
      </c>
      <c r="IM9" t="s">
        <v>5029</v>
      </c>
      <c r="IN9" s="6">
        <v>45301</v>
      </c>
      <c r="IO9">
        <v>5</v>
      </c>
      <c r="IP9">
        <v>-2.4245362661989844E-14</v>
      </c>
      <c r="IQ9">
        <v>57811522</v>
      </c>
      <c r="IR9" t="s">
        <v>5030</v>
      </c>
      <c r="JK9" t="s">
        <v>4723</v>
      </c>
      <c r="JM9">
        <v>-2.4245362661989844E-14</v>
      </c>
      <c r="JN9">
        <v>-2.4245362661989844E-14</v>
      </c>
      <c r="JO9" t="s">
        <v>1745</v>
      </c>
      <c r="JP9">
        <v>2022</v>
      </c>
      <c r="JQ9" t="s">
        <v>4724</v>
      </c>
      <c r="JR9" s="6">
        <v>45049</v>
      </c>
      <c r="JS9">
        <v>5</v>
      </c>
      <c r="JT9">
        <v>-2.4245362661989844E-14</v>
      </c>
      <c r="JU9">
        <v>20498755</v>
      </c>
      <c r="JV9" t="s">
        <v>4725</v>
      </c>
      <c r="JY9" t="s">
        <v>4670</v>
      </c>
      <c r="JZ9">
        <v>-2.4245362661989844E-14</v>
      </c>
      <c r="KB9">
        <v>-2.4245362661989844E-14</v>
      </c>
      <c r="KC9" t="s">
        <v>1809</v>
      </c>
      <c r="KD9">
        <v>2024</v>
      </c>
      <c r="KE9" t="s">
        <v>4671</v>
      </c>
      <c r="KF9" s="6">
        <v>45790</v>
      </c>
      <c r="KG9">
        <v>5</v>
      </c>
      <c r="KH9">
        <v>-2.4245362661989844E-14</v>
      </c>
      <c r="KI9">
        <v>27514034</v>
      </c>
      <c r="KJ9" t="s">
        <v>4672</v>
      </c>
      <c r="LS9" t="s">
        <v>4115</v>
      </c>
      <c r="LU9">
        <v>-2.4245362661989844E-14</v>
      </c>
      <c r="LV9">
        <v>-2.4245362661989844E-14</v>
      </c>
      <c r="LW9" t="s">
        <v>1845</v>
      </c>
      <c r="LX9">
        <v>2025</v>
      </c>
      <c r="LY9" t="s">
        <v>4116</v>
      </c>
      <c r="LZ9" s="6">
        <v>46079</v>
      </c>
      <c r="MA9">
        <v>5</v>
      </c>
      <c r="MB9">
        <v>-2.4245362661989844E-14</v>
      </c>
      <c r="MC9">
        <v>38177600</v>
      </c>
      <c r="MD9" t="s">
        <v>4117</v>
      </c>
      <c r="MG9" t="s">
        <v>638</v>
      </c>
      <c r="MH9">
        <v>6.157108</v>
      </c>
      <c r="MI9" t="s">
        <v>1820</v>
      </c>
      <c r="MJ9">
        <v>1.810521</v>
      </c>
      <c r="MK9" t="s">
        <v>1762</v>
      </c>
      <c r="ML9">
        <v>2025</v>
      </c>
      <c r="MM9" t="s">
        <v>2867</v>
      </c>
      <c r="MN9" s="6">
        <v>45929</v>
      </c>
      <c r="MO9">
        <v>5</v>
      </c>
      <c r="MP9">
        <v>23591082</v>
      </c>
      <c r="MQ9">
        <v>348091</v>
      </c>
      <c r="MR9" t="s">
        <v>2133</v>
      </c>
      <c r="MW9" t="s">
        <v>3830</v>
      </c>
      <c r="MY9">
        <v>-2.4245362661989844E-14</v>
      </c>
      <c r="MZ9">
        <v>-2.4245362661989844E-14</v>
      </c>
      <c r="NA9" t="s">
        <v>1745</v>
      </c>
      <c r="NB9">
        <v>2023</v>
      </c>
      <c r="NC9" t="s">
        <v>3582</v>
      </c>
      <c r="ND9" s="6">
        <v>45344</v>
      </c>
      <c r="NE9">
        <v>5</v>
      </c>
      <c r="NF9">
        <v>-2.4245362661989844E-14</v>
      </c>
      <c r="NG9">
        <v>114155</v>
      </c>
      <c r="NH9" t="s">
        <v>3831</v>
      </c>
      <c r="NK9" t="s">
        <v>3537</v>
      </c>
      <c r="NL9">
        <v>-2.4245362661989844E-14</v>
      </c>
      <c r="NN9">
        <v>-2.4245362661989844E-14</v>
      </c>
      <c r="NO9" t="s">
        <v>1745</v>
      </c>
      <c r="NP9">
        <v>2024</v>
      </c>
      <c r="NQ9" t="s">
        <v>3579</v>
      </c>
      <c r="NR9" s="6">
        <v>45569</v>
      </c>
      <c r="NS9">
        <v>5</v>
      </c>
      <c r="NT9">
        <v>-2.4245362661989844E-14</v>
      </c>
      <c r="NU9">
        <v>962207</v>
      </c>
      <c r="NV9" t="s">
        <v>3539</v>
      </c>
      <c r="OO9" t="s">
        <v>3165</v>
      </c>
      <c r="OP9">
        <v>-2.4245362661989844E-14</v>
      </c>
      <c r="OR9">
        <v>-2.4245362661989844E-14</v>
      </c>
      <c r="OS9" t="s">
        <v>1745</v>
      </c>
      <c r="OT9">
        <v>2025</v>
      </c>
      <c r="OU9" t="s">
        <v>3157</v>
      </c>
      <c r="OV9" s="6">
        <v>45756</v>
      </c>
      <c r="OW9">
        <v>5</v>
      </c>
      <c r="OX9">
        <v>-2.4245362661989844E-14</v>
      </c>
      <c r="OY9">
        <v>1013456</v>
      </c>
      <c r="OZ9" t="s">
        <v>3166</v>
      </c>
      <c r="SQ9" t="s">
        <v>2322</v>
      </c>
      <c r="SS9">
        <v>-2.4245362661989844E-14</v>
      </c>
      <c r="ST9">
        <v>-2.4245362661989844E-14</v>
      </c>
      <c r="SU9" t="s">
        <v>1745</v>
      </c>
      <c r="SV9">
        <v>2023</v>
      </c>
      <c r="SW9" t="s">
        <v>4679</v>
      </c>
      <c r="SX9" s="6">
        <v>45370</v>
      </c>
      <c r="SY9">
        <v>5</v>
      </c>
      <c r="SZ9">
        <v>-2.4245362661989844E-14</v>
      </c>
      <c r="TA9">
        <v>23189849</v>
      </c>
      <c r="TB9" t="s">
        <v>2324</v>
      </c>
      <c r="TE9" t="s">
        <v>4602</v>
      </c>
      <c r="TF9">
        <v>-2.4245362661989844E-14</v>
      </c>
      <c r="TH9">
        <v>-2.4245362661989844E-14</v>
      </c>
      <c r="TI9" t="s">
        <v>1745</v>
      </c>
      <c r="TJ9">
        <v>2023</v>
      </c>
      <c r="TK9" t="s">
        <v>4597</v>
      </c>
      <c r="TL9" s="6">
        <v>45225</v>
      </c>
      <c r="TM9">
        <v>5</v>
      </c>
      <c r="TN9">
        <v>-2.4245362661989844E-14</v>
      </c>
      <c r="TO9">
        <v>1084605</v>
      </c>
      <c r="TP9" t="s">
        <v>4603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1386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1387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1388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1389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1390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1391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1392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1393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1394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1395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1396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1397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1398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1399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1400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1401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1402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1403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1404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86</v>
      </c>
      <c r="AE2" s="3" t="s">
        <v>1405</v>
      </c>
      <c r="BI2" s="3" t="s">
        <v>1406</v>
      </c>
      <c r="CM2" s="3" t="s">
        <v>1407</v>
      </c>
      <c r="DQ2" s="3" t="s">
        <v>488</v>
      </c>
      <c r="EU2" s="3" t="s">
        <v>1408</v>
      </c>
      <c r="FY2" s="3" t="s">
        <v>1409</v>
      </c>
      <c r="HC2" s="3" t="s">
        <v>1410</v>
      </c>
      <c r="IG2" s="3" t="s">
        <v>1411</v>
      </c>
      <c r="JK2" s="3" t="s">
        <v>1412</v>
      </c>
      <c r="KO2" s="3" t="s">
        <v>311</v>
      </c>
      <c r="LS2" s="3" t="s">
        <v>35</v>
      </c>
      <c r="MW2" s="3" t="s">
        <v>1010</v>
      </c>
      <c r="OA2" s="3" t="s">
        <v>1413</v>
      </c>
      <c r="PE2" s="3" t="s">
        <v>1414</v>
      </c>
      <c r="QI2" s="3" t="s">
        <v>802</v>
      </c>
      <c r="RM2" s="3" t="s">
        <v>1415</v>
      </c>
      <c r="SQ2" s="3" t="s">
        <v>1416</v>
      </c>
      <c r="TU2" s="3" t="s">
        <v>1417</v>
      </c>
      <c r="UY2" s="3" t="s">
        <v>1418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_xll.BDS("BRK/A US Equity","SUPPLY_CHAIN_SUPPLIERS_ALL_DATA","cols=12;rows=5")</f>
        <v>HSY US Equity</v>
      </c>
      <c r="B5" t="s">
        <v>1786</v>
      </c>
      <c r="C5">
        <v>27</v>
      </c>
      <c r="D5">
        <v>1.2151259999999999</v>
      </c>
      <c r="E5" t="s">
        <v>1745</v>
      </c>
      <c r="F5">
        <v>2025</v>
      </c>
      <c r="G5" t="s">
        <v>3041</v>
      </c>
      <c r="H5" s="6">
        <v>46070</v>
      </c>
      <c r="I5">
        <v>5</v>
      </c>
      <c r="J5">
        <v>789248896</v>
      </c>
      <c r="K5">
        <v>100731</v>
      </c>
      <c r="L5" t="s">
        <v>3042</v>
      </c>
      <c r="O5" t="str">
        <f>_xll.BDS("BRK/A US Equity","SUPPLY_CHAIN_CUSTOMERS_ALL_DATA","cols=12;rows=5")</f>
        <v>WMT US Equity</v>
      </c>
      <c r="P5">
        <v>2.1167449999999999</v>
      </c>
      <c r="Q5" t="s">
        <v>1786</v>
      </c>
      <c r="R5">
        <v>1.7547349999999999</v>
      </c>
      <c r="S5" t="s">
        <v>1745</v>
      </c>
      <c r="T5">
        <v>2024</v>
      </c>
      <c r="U5" t="s">
        <v>3646</v>
      </c>
      <c r="V5" s="6">
        <v>45712</v>
      </c>
      <c r="W5">
        <v>5</v>
      </c>
      <c r="X5">
        <v>2244977664</v>
      </c>
      <c r="Y5">
        <v>101616</v>
      </c>
      <c r="Z5" t="s">
        <v>2098</v>
      </c>
      <c r="AE5" t="str">
        <f>_xll.BDS("SGID US Equity","SUPPLY_CHAIN_SUPPLIERS_ALL_DATA")</f>
        <v>#N/A N/A</v>
      </c>
      <c r="AS5" t="str">
        <f>_xll.BDS("SGID US Equity","SUPPLY_CHAIN_CUSTOMERS_ALL_DATA")</f>
        <v>#N/A N/A</v>
      </c>
      <c r="BI5" t="str">
        <f>_xll.BDS("LNG US Equity","SUPPLY_CHAIN_SUPPLIERS_ALL_DATA","cols=12;rows=5")</f>
        <v>CCEC US Equity</v>
      </c>
      <c r="BJ5" t="s">
        <v>1786</v>
      </c>
      <c r="BK5">
        <v>15</v>
      </c>
      <c r="BL5">
        <v>0.75328899999999999</v>
      </c>
      <c r="BM5" t="s">
        <v>1745</v>
      </c>
      <c r="BN5">
        <v>2024</v>
      </c>
      <c r="BO5" t="s">
        <v>2743</v>
      </c>
      <c r="BP5" s="6">
        <v>45764</v>
      </c>
      <c r="BQ5">
        <v>5</v>
      </c>
      <c r="BR5">
        <v>13852988</v>
      </c>
      <c r="BS5">
        <v>11722167</v>
      </c>
      <c r="BT5" t="s">
        <v>2744</v>
      </c>
      <c r="BW5" t="str">
        <f>_xll.BDS("LNG US Equity","SUPPLY_CHAIN_CUSTOMERS_ALL_DATA","cols=12;rows=5")</f>
        <v>002911 CH Equity</v>
      </c>
      <c r="BX5">
        <v>0.59543199999999996</v>
      </c>
      <c r="BY5" t="s">
        <v>1786</v>
      </c>
      <c r="BZ5">
        <v>2.270451</v>
      </c>
      <c r="CA5" t="s">
        <v>1745</v>
      </c>
      <c r="CB5">
        <v>2024</v>
      </c>
      <c r="CC5" t="s">
        <v>2544</v>
      </c>
      <c r="CD5" s="6">
        <v>45737</v>
      </c>
      <c r="CE5">
        <v>5</v>
      </c>
      <c r="CF5">
        <v>23376936.649999999</v>
      </c>
      <c r="CG5">
        <v>25632227</v>
      </c>
      <c r="CH5" t="s">
        <v>2545</v>
      </c>
      <c r="CM5" t="str">
        <f>_xll.BDS("CRS US Equity","SUPPLY_CHAIN_SUPPLIERS_ALL_DATA","cols=12;rows=5")</f>
        <v>AMG NA Equity</v>
      </c>
      <c r="CN5" t="s">
        <v>1786</v>
      </c>
      <c r="CO5">
        <v>0.27214500000000003</v>
      </c>
      <c r="CP5">
        <v>0.18584300000000001</v>
      </c>
      <c r="CQ5" t="s">
        <v>1742</v>
      </c>
      <c r="CR5">
        <v>2025</v>
      </c>
      <c r="CS5" t="s">
        <v>2291</v>
      </c>
      <c r="CT5" s="6">
        <v>46010</v>
      </c>
      <c r="CU5">
        <v>5</v>
      </c>
      <c r="CV5">
        <v>979624</v>
      </c>
      <c r="CW5">
        <v>12189467</v>
      </c>
      <c r="CX5" t="s">
        <v>2292</v>
      </c>
      <c r="DA5" t="str">
        <f>_xll.BDS("CRS US Equity","SUPPLY_CHAIN_CUSTOMERS_ALL_DATA","cols=12;rows=5")</f>
        <v>HWM US Equity</v>
      </c>
      <c r="DB5">
        <v>8.1726880000000008</v>
      </c>
      <c r="DC5" t="s">
        <v>1786</v>
      </c>
      <c r="DD5">
        <v>4.3065280000000001</v>
      </c>
      <c r="DE5" t="s">
        <v>1845</v>
      </c>
      <c r="DF5">
        <v>2025</v>
      </c>
      <c r="DG5" t="s">
        <v>1846</v>
      </c>
      <c r="DH5" s="6">
        <v>45884</v>
      </c>
      <c r="DI5">
        <v>5</v>
      </c>
      <c r="DJ5">
        <v>58784104</v>
      </c>
      <c r="DK5">
        <v>59099358</v>
      </c>
      <c r="DL5" t="s">
        <v>1847</v>
      </c>
      <c r="DQ5" t="str">
        <f>_xll.BDS("AGR US Equity","SUPPLY_CHAIN_SUPPLIERS_ALL_DATA","cols=12;rows=5")</f>
        <v>3365854Z US Equity</v>
      </c>
      <c r="DS5">
        <v>-2.4245362661989844E-14</v>
      </c>
      <c r="DT5">
        <v>-2.4245362661989844E-14</v>
      </c>
      <c r="DU5" t="s">
        <v>1745</v>
      </c>
      <c r="DV5">
        <v>2024</v>
      </c>
      <c r="DW5" t="s">
        <v>3579</v>
      </c>
      <c r="DX5" s="6">
        <v>45593</v>
      </c>
      <c r="DY5">
        <v>5</v>
      </c>
      <c r="DZ5">
        <v>-2.4245362661989844E-14</v>
      </c>
      <c r="EA5">
        <v>16825198</v>
      </c>
      <c r="EB5" t="s">
        <v>3823</v>
      </c>
      <c r="EE5" t="str">
        <f>_xll.BDS("AGR US Equity","SUPPLY_CHAIN_CUSTOMERS_ALL_DATA","cols=12;rows=5")</f>
        <v>1256Z NO Equity</v>
      </c>
      <c r="EF5">
        <v>-2.4245362661989844E-14</v>
      </c>
      <c r="EH5">
        <v>-2.4245362661989844E-14</v>
      </c>
      <c r="EI5" t="s">
        <v>1745</v>
      </c>
      <c r="EJ5">
        <v>2024</v>
      </c>
      <c r="EK5" t="s">
        <v>3579</v>
      </c>
      <c r="EL5" s="6">
        <v>45519</v>
      </c>
      <c r="EM5">
        <v>5</v>
      </c>
      <c r="EN5">
        <v>-2.4245362661989844E-14</v>
      </c>
      <c r="EO5">
        <v>173537</v>
      </c>
      <c r="EP5" t="s">
        <v>3580</v>
      </c>
      <c r="EU5" t="str">
        <f>_xll.BDS("HBI US Equity","SUPPLY_CHAIN_SUPPLIERS_ALL_DATA","cols=12;rows=5")</f>
        <v>RL US Equity</v>
      </c>
      <c r="EV5" t="s">
        <v>1786</v>
      </c>
      <c r="EW5">
        <v>0.264538</v>
      </c>
      <c r="EX5">
        <v>0.77489799999999998</v>
      </c>
      <c r="EY5" t="s">
        <v>1809</v>
      </c>
      <c r="EZ5">
        <v>2026</v>
      </c>
      <c r="FA5" t="s">
        <v>4681</v>
      </c>
      <c r="FB5" s="6">
        <v>45884</v>
      </c>
      <c r="FC5">
        <v>5</v>
      </c>
      <c r="FD5">
        <v>4547673</v>
      </c>
      <c r="FE5">
        <v>225160</v>
      </c>
      <c r="FF5" t="s">
        <v>4682</v>
      </c>
      <c r="FI5" t="str">
        <f>_xll.BDS("HBI US Equity","SUPPLY_CHAIN_CUSTOMERS_ALL_DATA","cols=12;rows=5")</f>
        <v>WMT US Equity</v>
      </c>
      <c r="FJ5">
        <v>24</v>
      </c>
      <c r="FK5" t="s">
        <v>1786</v>
      </c>
      <c r="FL5">
        <v>0.164491</v>
      </c>
      <c r="FM5" t="s">
        <v>1745</v>
      </c>
      <c r="FN5">
        <v>2024</v>
      </c>
      <c r="FO5" t="s">
        <v>4589</v>
      </c>
      <c r="FP5" s="6">
        <v>45702</v>
      </c>
      <c r="FQ5">
        <v>5</v>
      </c>
      <c r="FR5">
        <v>210446272</v>
      </c>
      <c r="FS5">
        <v>101616</v>
      </c>
      <c r="FT5" t="s">
        <v>2098</v>
      </c>
      <c r="FY5" t="str">
        <f>_xll.BDS("NSIT US Equity","SUPPLY_CHAIN_SUPPLIERS_ALL_DATA","cols=12;rows=5")</f>
        <v>MSFT US Equity</v>
      </c>
      <c r="FZ5" t="s">
        <v>1786</v>
      </c>
      <c r="GA5">
        <v>0.67946300000000004</v>
      </c>
      <c r="GB5">
        <v>32</v>
      </c>
      <c r="GC5" t="s">
        <v>1745</v>
      </c>
      <c r="GD5">
        <v>2025</v>
      </c>
      <c r="GE5" t="s">
        <v>2524</v>
      </c>
      <c r="GF5" s="6">
        <v>46065</v>
      </c>
      <c r="GG5">
        <v>5</v>
      </c>
      <c r="GH5">
        <v>518860224</v>
      </c>
      <c r="GI5">
        <v>101743</v>
      </c>
      <c r="GJ5" t="s">
        <v>1891</v>
      </c>
      <c r="GM5" t="str">
        <f>_xll.BDS("NSIT US Equity","SUPPLY_CHAIN_CUSTOMERS_ALL_DATA","cols=12;rows=5")</f>
        <v>SNX US Equity</v>
      </c>
      <c r="GN5">
        <v>0.63492300000000002</v>
      </c>
      <c r="GO5" t="s">
        <v>1786</v>
      </c>
      <c r="GP5">
        <v>7.8612000000000001E-2</v>
      </c>
      <c r="GQ5" t="s">
        <v>1845</v>
      </c>
      <c r="GR5">
        <v>2025</v>
      </c>
      <c r="GS5" t="s">
        <v>1887</v>
      </c>
      <c r="GT5" s="6">
        <v>46056</v>
      </c>
      <c r="GU5">
        <v>5</v>
      </c>
      <c r="GV5">
        <v>12722873</v>
      </c>
      <c r="GW5">
        <v>1499717</v>
      </c>
      <c r="GX5" t="s">
        <v>1864</v>
      </c>
      <c r="HC5" t="str">
        <f>_xll.BDS("RDN US Equity","SUPPLY_CHAIN_SUPPLIERS_ALL_DATA")</f>
        <v>#N/A N/A</v>
      </c>
      <c r="HQ5" t="str">
        <f>_xll.BDS("RDN US Equity","SUPPLY_CHAIN_CUSTOMERS_ALL_DATA","cols=12;rows=1")</f>
        <v>ICE US Equity</v>
      </c>
      <c r="HR5">
        <v>-2.4245362661989844E-14</v>
      </c>
      <c r="HT5">
        <v>-2.4245362661989844E-14</v>
      </c>
      <c r="HU5" t="s">
        <v>1745</v>
      </c>
      <c r="HV5">
        <v>2024</v>
      </c>
      <c r="HW5" t="s">
        <v>4008</v>
      </c>
      <c r="HX5" s="6">
        <v>45371</v>
      </c>
      <c r="HY5">
        <v>1</v>
      </c>
      <c r="HZ5">
        <v>-2.4245362661989844E-14</v>
      </c>
      <c r="IA5">
        <v>7004138</v>
      </c>
      <c r="IB5" t="s">
        <v>4009</v>
      </c>
      <c r="IG5" t="str">
        <f>_xll.BDS("MTSI US Equity","SUPPLY_CHAIN_SUPPLIERS_ALL_DATA","cols=12;rows=5")</f>
        <v>3711 TT Equity</v>
      </c>
      <c r="IH5" t="s">
        <v>1786</v>
      </c>
      <c r="II5">
        <v>4.8763000000000001E-2</v>
      </c>
      <c r="IJ5">
        <v>2.0760719999999999</v>
      </c>
      <c r="IK5" t="s">
        <v>1809</v>
      </c>
      <c r="IL5">
        <v>2025</v>
      </c>
      <c r="IM5" t="s">
        <v>3772</v>
      </c>
      <c r="IN5" s="6">
        <v>45819</v>
      </c>
      <c r="IO5">
        <v>5</v>
      </c>
      <c r="IP5">
        <v>2196203.0699999998</v>
      </c>
      <c r="IQ5">
        <v>58244711</v>
      </c>
      <c r="IR5" t="s">
        <v>3773</v>
      </c>
      <c r="IU5" t="str">
        <f>_xll.BDS("MTSI US Equity","SUPPLY_CHAIN_CUSTOMERS_ALL_DATA","cols=12;rows=5")</f>
        <v>941 HK Equity</v>
      </c>
      <c r="IV5">
        <v>1.115434</v>
      </c>
      <c r="IW5" t="s">
        <v>1786</v>
      </c>
      <c r="IX5">
        <v>9.1739999999999999E-3</v>
      </c>
      <c r="IY5" t="s">
        <v>1845</v>
      </c>
      <c r="IZ5">
        <v>2024</v>
      </c>
      <c r="JA5" t="s">
        <v>1868</v>
      </c>
      <c r="JB5" s="6">
        <v>45744</v>
      </c>
      <c r="JC5">
        <v>5</v>
      </c>
      <c r="JD5">
        <v>2435443.1800000002</v>
      </c>
      <c r="JE5">
        <v>223340</v>
      </c>
      <c r="JF5" t="s">
        <v>1869</v>
      </c>
      <c r="JK5" t="str">
        <f>_xll.BDS("769050Q US Equity","SUPPLY_CHAIN_SUPPLIERS_ALL_DATA")</f>
        <v>#N/A N/A</v>
      </c>
      <c r="JY5" t="str">
        <f>_xll.BDS("769050Q US Equity","SUPPLY_CHAIN_CUSTOMERS_ALL_DATA")</f>
        <v>#N/A N/A</v>
      </c>
      <c r="KO5" t="str">
        <f>_xll.BDS("CNSL US Equity","SUPPLY_CHAIN_SUPPLIERS_ALL_DATA","cols=12;rows=5")</f>
        <v>DY US Equity</v>
      </c>
      <c r="KP5" t="s">
        <v>1820</v>
      </c>
      <c r="KQ5">
        <v>0.457036</v>
      </c>
      <c r="KR5">
        <v>4.6460840000000001</v>
      </c>
      <c r="KS5" t="s">
        <v>1845</v>
      </c>
      <c r="KT5">
        <v>2025</v>
      </c>
      <c r="KU5" t="s">
        <v>2672</v>
      </c>
      <c r="KV5" s="6">
        <v>45756</v>
      </c>
      <c r="KW5">
        <v>5</v>
      </c>
      <c r="KX5">
        <v>4956674</v>
      </c>
      <c r="KY5">
        <v>100487</v>
      </c>
      <c r="KZ5" t="s">
        <v>2673</v>
      </c>
      <c r="LC5" t="str">
        <f>_xll.BDS("CNSL US Equity","SUPPLY_CHAIN_CUSTOMERS_ALL_DATA","cols=12;rows=2")</f>
        <v>SCSC US Equity</v>
      </c>
      <c r="LD5">
        <v>-2.4245362661989844E-14</v>
      </c>
      <c r="LF5">
        <v>-2.4245362661989844E-14</v>
      </c>
      <c r="LG5" t="s">
        <v>1809</v>
      </c>
      <c r="LH5">
        <v>2024</v>
      </c>
      <c r="LI5" t="s">
        <v>2514</v>
      </c>
      <c r="LJ5" s="6">
        <v>45265</v>
      </c>
      <c r="LK5">
        <v>2</v>
      </c>
      <c r="LL5">
        <v>-2.4245362661989844E-14</v>
      </c>
      <c r="LM5">
        <v>136424</v>
      </c>
      <c r="LN5" t="s">
        <v>2014</v>
      </c>
      <c r="LS5" t="str">
        <f>_xll.BDS("nan Equity","SUPPLY_CHAIN_SUPPLIERS_ALL_DATA")</f>
        <v>#N/A N/A</v>
      </c>
      <c r="MG5" t="str">
        <f>_xll.BDS("nan Equity","SUPPLY_CHAIN_CUSTOMERS_ALL_DATA")</f>
        <v>#N/A N/A</v>
      </c>
      <c r="MW5" t="str">
        <f>_xll.BDS("MS US Equity","SUPPLY_CHAIN_SUPPLIERS_ALL_DATA","cols=12;rows=5")</f>
        <v>DLR US Equity</v>
      </c>
      <c r="MX5" t="s">
        <v>1769</v>
      </c>
      <c r="MY5">
        <v>0.65346000000000004</v>
      </c>
      <c r="MZ5">
        <v>9.1481999999999994E-2</v>
      </c>
      <c r="NA5" t="s">
        <v>1745</v>
      </c>
      <c r="NB5">
        <v>2025</v>
      </c>
      <c r="NC5" t="s">
        <v>5002</v>
      </c>
      <c r="ND5" s="6">
        <v>46066</v>
      </c>
      <c r="NE5">
        <v>5</v>
      </c>
      <c r="NF5">
        <v>9986000</v>
      </c>
      <c r="NG5">
        <v>9084002</v>
      </c>
      <c r="NH5" t="s">
        <v>5003</v>
      </c>
      <c r="NK5" t="str">
        <f>_xll.BDS("MS US Equity","SUPPLY_CHAIN_CUSTOMERS_ALL_DATA","cols=12;rows=5")</f>
        <v>012690 KS Equity</v>
      </c>
      <c r="NL5">
        <v>-2.4245362661989844E-14</v>
      </c>
      <c r="NN5">
        <v>-2.4245362661989844E-14</v>
      </c>
      <c r="NO5" t="s">
        <v>2435</v>
      </c>
      <c r="NP5">
        <v>2023</v>
      </c>
      <c r="NQ5" t="s">
        <v>4708</v>
      </c>
      <c r="NR5" s="6">
        <v>45061</v>
      </c>
      <c r="NS5">
        <v>5</v>
      </c>
      <c r="NT5">
        <v>-2.4245362661989844E-14</v>
      </c>
      <c r="NU5">
        <v>129275</v>
      </c>
      <c r="NV5" t="s">
        <v>4709</v>
      </c>
      <c r="OA5" t="str">
        <f>_xll.BDS("KEY US Equity","SUPPLY_CHAIN_SUPPLIERS_ALL_DATA","cols=12;rows=5")</f>
        <v>BILL US Equity</v>
      </c>
      <c r="OC5">
        <v>-2.4245362661989844E-14</v>
      </c>
      <c r="OD5">
        <v>-2.4245362661989844E-14</v>
      </c>
      <c r="OE5" t="s">
        <v>1742</v>
      </c>
      <c r="OF5">
        <v>2024</v>
      </c>
      <c r="OG5" t="s">
        <v>4449</v>
      </c>
      <c r="OH5" s="6">
        <v>45414</v>
      </c>
      <c r="OI5">
        <v>5</v>
      </c>
      <c r="OJ5">
        <v>-2.4245362661989844E-14</v>
      </c>
      <c r="OK5">
        <v>66503767</v>
      </c>
      <c r="OL5" t="s">
        <v>4450</v>
      </c>
      <c r="OO5" t="str">
        <f>_xll.BDS("KEY US Equity","SUPPLY_CHAIN_CUSTOMERS_ALL_DATA")</f>
        <v>#N/A N/A</v>
      </c>
      <c r="PE5" t="str">
        <f>_xll.BDS("EHC US Equity","SUPPLY_CHAIN_SUPPLIERS_ALL_DATA","cols=12;rows=4")</f>
        <v>ORCL US Equity</v>
      </c>
      <c r="PF5" t="s">
        <v>1786</v>
      </c>
      <c r="PG5">
        <v>2.0718E-2</v>
      </c>
      <c r="PH5">
        <v>0.27724500000000002</v>
      </c>
      <c r="PI5" t="s">
        <v>1845</v>
      </c>
      <c r="PJ5">
        <v>2025</v>
      </c>
      <c r="PK5" t="s">
        <v>1883</v>
      </c>
      <c r="PL5" s="6">
        <v>45848</v>
      </c>
      <c r="PM5">
        <v>4</v>
      </c>
      <c r="PN5">
        <v>3294784</v>
      </c>
      <c r="PO5">
        <v>101752</v>
      </c>
      <c r="PP5" t="s">
        <v>2723</v>
      </c>
      <c r="PS5" t="str">
        <f>_xll.BDS("EHC US Equity","SUPPLY_CHAIN_CUSTOMERS_ALL_DATA","cols=12;rows=1")</f>
        <v>9877893Z US Equity</v>
      </c>
      <c r="PT5">
        <v>-2.4245362661989844E-14</v>
      </c>
      <c r="PV5">
        <v>-2.4245362661989844E-14</v>
      </c>
      <c r="PW5" t="s">
        <v>1745</v>
      </c>
      <c r="PX5">
        <v>2025</v>
      </c>
      <c r="PY5" t="s">
        <v>4150</v>
      </c>
      <c r="PZ5" s="6">
        <v>46058</v>
      </c>
      <c r="QA5">
        <v>1</v>
      </c>
      <c r="QB5">
        <v>-2.4245362661989844E-14</v>
      </c>
      <c r="QC5">
        <v>17483390</v>
      </c>
      <c r="QD5" t="s">
        <v>2093</v>
      </c>
      <c r="QI5" t="str">
        <f>_xll.BDS("GENZ US Equity","SUPPLY_CHAIN_SUPPLIERS_ALL_DATA")</f>
        <v>#N/A N/A</v>
      </c>
      <c r="QW5" t="str">
        <f>_xll.BDS("GENZ US Equity","SUPPLY_CHAIN_CUSTOMERS_ALL_DATA")</f>
        <v>#N/A N/A</v>
      </c>
      <c r="RM5" t="str">
        <f>_xll.BDS("RAZF US Equity","SUPPLY_CHAIN_SUPPLIERS_ALL_DATA")</f>
        <v>#N/A N/A</v>
      </c>
      <c r="SA5" t="str">
        <f>_xll.BDS("RAZF US Equity","SUPPLY_CHAIN_CUSTOMERS_ALL_DATA")</f>
        <v>#N/A N/A</v>
      </c>
      <c r="SQ5" t="str">
        <f>_xll.BDS("BGRP US Equity","SUPPLY_CHAIN_SUPPLIERS_ALL_DATA","cols=12;rows=1")</f>
        <v>PRGS US Equity</v>
      </c>
      <c r="SS5">
        <v>-2.4245362661989844E-14</v>
      </c>
      <c r="ST5">
        <v>-2.4245362661989844E-14</v>
      </c>
      <c r="SU5" t="s">
        <v>1809</v>
      </c>
      <c r="SV5">
        <v>2023</v>
      </c>
      <c r="SW5" t="s">
        <v>3222</v>
      </c>
      <c r="SX5" s="6">
        <v>45020</v>
      </c>
      <c r="SY5">
        <v>1</v>
      </c>
      <c r="SZ5">
        <v>-2.4245362661989844E-14</v>
      </c>
      <c r="TA5">
        <v>106252</v>
      </c>
      <c r="TB5" t="s">
        <v>3223</v>
      </c>
      <c r="TE5" t="str">
        <f>_xll.BDS("BGRP US Equity","SUPPLY_CHAIN_CUSTOMERS_ALL_DATA")</f>
        <v>#N/A N/A</v>
      </c>
      <c r="TU5" t="str">
        <f>_xll.BDS("MAN US Equity","SUPPLY_CHAIN_SUPPLIERS_ALL_DATA","cols=12;rows=5")</f>
        <v>ORCL US Equity</v>
      </c>
      <c r="TV5" t="s">
        <v>1786</v>
      </c>
      <c r="TW5">
        <v>5.1767000000000001E-2</v>
      </c>
      <c r="TX5">
        <v>0.242704</v>
      </c>
      <c r="TY5" t="s">
        <v>1845</v>
      </c>
      <c r="TZ5">
        <v>2025</v>
      </c>
      <c r="UA5" t="s">
        <v>1883</v>
      </c>
      <c r="UB5" s="6">
        <v>45848</v>
      </c>
      <c r="UC5">
        <v>5</v>
      </c>
      <c r="UD5">
        <v>8232506</v>
      </c>
      <c r="UE5">
        <v>101752</v>
      </c>
      <c r="UF5" t="s">
        <v>2723</v>
      </c>
      <c r="UI5" t="str">
        <f>_xll.BDS("MAN US Equity","SUPPLY_CHAIN_CUSTOMERS_ALL_DATA","cols=12;rows=5")</f>
        <v>0976704D US Equity</v>
      </c>
      <c r="UJ5">
        <v>-2.4245362661989844E-14</v>
      </c>
      <c r="UL5">
        <v>-2.4245362661989844E-14</v>
      </c>
      <c r="UM5" t="s">
        <v>1742</v>
      </c>
      <c r="UN5">
        <v>2024</v>
      </c>
      <c r="UO5" t="s">
        <v>2529</v>
      </c>
      <c r="UP5" s="6">
        <v>45618</v>
      </c>
      <c r="UQ5">
        <v>5</v>
      </c>
      <c r="UR5">
        <v>-2.4245362661989844E-14</v>
      </c>
      <c r="US5">
        <v>40130317</v>
      </c>
      <c r="UT5" t="s">
        <v>2530</v>
      </c>
      <c r="UY5" t="str">
        <f>_xll.BDS("CBST US Equity","SUPPLY_CHAIN_SUPPLIERS_ALL_DATA")</f>
        <v>#N/A N/A</v>
      </c>
      <c r="VM5" t="str">
        <f>_xll.BDS("CBST US Equity","SUPPLY_CHAIN_CUSTOMERS_ALL_DATA")</f>
        <v>#N/A N/A</v>
      </c>
    </row>
    <row r="6" spans="1:600" x14ac:dyDescent="0.25">
      <c r="A6" t="s">
        <v>317</v>
      </c>
      <c r="B6" t="s">
        <v>1820</v>
      </c>
      <c r="C6">
        <v>6.6028770000000003</v>
      </c>
      <c r="D6">
        <v>5.0506979999999997</v>
      </c>
      <c r="E6" t="s">
        <v>1762</v>
      </c>
      <c r="F6">
        <v>2025</v>
      </c>
      <c r="G6" t="s">
        <v>3043</v>
      </c>
      <c r="H6" s="6">
        <v>45915</v>
      </c>
      <c r="I6">
        <v>5</v>
      </c>
      <c r="J6">
        <v>245362912</v>
      </c>
      <c r="K6">
        <v>101464</v>
      </c>
      <c r="L6" t="s">
        <v>3044</v>
      </c>
      <c r="O6" t="s">
        <v>2969</v>
      </c>
      <c r="P6">
        <v>1.615089</v>
      </c>
      <c r="Q6" t="s">
        <v>1786</v>
      </c>
      <c r="R6">
        <v>12.136977999999999</v>
      </c>
      <c r="S6" t="s">
        <v>1745</v>
      </c>
      <c r="T6">
        <v>2024</v>
      </c>
      <c r="U6" t="s">
        <v>3646</v>
      </c>
      <c r="V6" s="6">
        <v>45712</v>
      </c>
      <c r="W6">
        <v>5</v>
      </c>
      <c r="X6">
        <v>1712931072</v>
      </c>
      <c r="Y6">
        <v>9917432</v>
      </c>
      <c r="Z6" t="s">
        <v>2971</v>
      </c>
      <c r="BI6" t="s">
        <v>2745</v>
      </c>
      <c r="BJ6" t="s">
        <v>1820</v>
      </c>
      <c r="BK6">
        <v>0.13411000000000001</v>
      </c>
      <c r="BL6">
        <v>0.20303399999999999</v>
      </c>
      <c r="BM6" t="s">
        <v>1742</v>
      </c>
      <c r="BN6">
        <v>2025</v>
      </c>
      <c r="BO6" t="s">
        <v>2746</v>
      </c>
      <c r="BP6" s="6">
        <v>45966</v>
      </c>
      <c r="BQ6">
        <v>5</v>
      </c>
      <c r="BR6">
        <v>1394845</v>
      </c>
      <c r="BS6">
        <v>10656931</v>
      </c>
      <c r="BT6" t="s">
        <v>2747</v>
      </c>
      <c r="BW6" t="s">
        <v>2546</v>
      </c>
      <c r="BX6">
        <v>-2.4245362661989844E-14</v>
      </c>
      <c r="BZ6">
        <v>-2.4245362661989844E-14</v>
      </c>
      <c r="CA6" t="s">
        <v>1798</v>
      </c>
      <c r="CB6">
        <v>2025</v>
      </c>
      <c r="CC6" t="s">
        <v>2547</v>
      </c>
      <c r="CD6" s="6">
        <v>45975</v>
      </c>
      <c r="CE6">
        <v>5</v>
      </c>
      <c r="CF6">
        <v>-2.4245362661989844E-14</v>
      </c>
      <c r="CG6">
        <v>129309</v>
      </c>
      <c r="CH6" t="s">
        <v>2548</v>
      </c>
      <c r="CM6" t="s">
        <v>2293</v>
      </c>
      <c r="CN6" t="s">
        <v>1786</v>
      </c>
      <c r="CO6">
        <v>3.1171000000000001E-2</v>
      </c>
      <c r="CP6">
        <v>0.10642600000000001</v>
      </c>
      <c r="CQ6" t="s">
        <v>1762</v>
      </c>
      <c r="CR6">
        <v>2025</v>
      </c>
      <c r="CS6" t="s">
        <v>2294</v>
      </c>
      <c r="CT6" s="6">
        <v>45917</v>
      </c>
      <c r="CU6">
        <v>5</v>
      </c>
      <c r="CV6">
        <v>585000.39</v>
      </c>
      <c r="CW6">
        <v>23059377</v>
      </c>
      <c r="CX6" t="s">
        <v>2295</v>
      </c>
      <c r="DA6" t="s">
        <v>1054</v>
      </c>
      <c r="DB6">
        <v>6.9543270000000001</v>
      </c>
      <c r="DC6" t="s">
        <v>1786</v>
      </c>
      <c r="DD6">
        <v>0.29073399999999999</v>
      </c>
      <c r="DE6" t="s">
        <v>1845</v>
      </c>
      <c r="DF6">
        <v>2025</v>
      </c>
      <c r="DG6" t="s">
        <v>1846</v>
      </c>
      <c r="DH6" s="6">
        <v>45884</v>
      </c>
      <c r="DI6">
        <v>5</v>
      </c>
      <c r="DJ6">
        <v>50020736</v>
      </c>
      <c r="DK6">
        <v>101555</v>
      </c>
      <c r="DL6" t="s">
        <v>1848</v>
      </c>
      <c r="DQ6" t="s">
        <v>3824</v>
      </c>
      <c r="DS6">
        <v>-2.4245362661989844E-14</v>
      </c>
      <c r="DT6">
        <v>-2.4245362661989844E-14</v>
      </c>
      <c r="DU6" t="s">
        <v>1745</v>
      </c>
      <c r="DV6">
        <v>2024</v>
      </c>
      <c r="DW6" t="s">
        <v>3579</v>
      </c>
      <c r="DX6" s="6">
        <v>45593</v>
      </c>
      <c r="DY6">
        <v>5</v>
      </c>
      <c r="DZ6">
        <v>-2.4245362661989844E-14</v>
      </c>
      <c r="EA6">
        <v>8960270</v>
      </c>
      <c r="EB6" t="s">
        <v>3825</v>
      </c>
      <c r="EE6" t="s">
        <v>3581</v>
      </c>
      <c r="EF6">
        <v>-2.4245362661989844E-14</v>
      </c>
      <c r="EH6">
        <v>-2.4245362661989844E-14</v>
      </c>
      <c r="EI6" t="s">
        <v>1745</v>
      </c>
      <c r="EJ6">
        <v>2023</v>
      </c>
      <c r="EK6" t="s">
        <v>3582</v>
      </c>
      <c r="EL6" s="6">
        <v>45344</v>
      </c>
      <c r="EM6">
        <v>5</v>
      </c>
      <c r="EN6">
        <v>-2.4245362661989844E-14</v>
      </c>
      <c r="EO6">
        <v>62907102</v>
      </c>
      <c r="EP6" t="s">
        <v>3583</v>
      </c>
      <c r="EU6" t="s">
        <v>4683</v>
      </c>
      <c r="EV6" t="s">
        <v>1786</v>
      </c>
      <c r="EW6">
        <v>0.55162500000000003</v>
      </c>
      <c r="EX6">
        <v>0.66153399999999996</v>
      </c>
      <c r="EY6" t="s">
        <v>1762</v>
      </c>
      <c r="EZ6">
        <v>2025</v>
      </c>
      <c r="FA6" t="s">
        <v>4684</v>
      </c>
      <c r="FB6" s="6">
        <v>45947</v>
      </c>
      <c r="FC6">
        <v>5</v>
      </c>
      <c r="FD6">
        <v>4069144.25</v>
      </c>
      <c r="FE6">
        <v>116941</v>
      </c>
      <c r="FF6" t="s">
        <v>4685</v>
      </c>
      <c r="FI6" t="s">
        <v>1885</v>
      </c>
      <c r="FJ6">
        <v>13</v>
      </c>
      <c r="FK6" t="s">
        <v>1786</v>
      </c>
      <c r="FL6">
        <v>0.13974400000000001</v>
      </c>
      <c r="FM6" t="s">
        <v>1745</v>
      </c>
      <c r="FN6">
        <v>2024</v>
      </c>
      <c r="FO6" t="s">
        <v>4589</v>
      </c>
      <c r="FP6" s="6">
        <v>45702</v>
      </c>
      <c r="FQ6">
        <v>5</v>
      </c>
      <c r="FR6">
        <v>113991736</v>
      </c>
      <c r="FS6">
        <v>216952</v>
      </c>
      <c r="FT6" t="s">
        <v>1886</v>
      </c>
      <c r="FY6" t="s">
        <v>357</v>
      </c>
      <c r="FZ6" t="s">
        <v>1786</v>
      </c>
      <c r="GA6">
        <v>1.2451030000000001</v>
      </c>
      <c r="GB6">
        <v>12</v>
      </c>
      <c r="GC6" t="s">
        <v>1745</v>
      </c>
      <c r="GD6">
        <v>2025</v>
      </c>
      <c r="GE6" t="s">
        <v>2524</v>
      </c>
      <c r="GF6" s="6">
        <v>46065</v>
      </c>
      <c r="GG6">
        <v>5</v>
      </c>
      <c r="GH6">
        <v>194572592</v>
      </c>
      <c r="GI6">
        <v>1499717</v>
      </c>
      <c r="GJ6" t="s">
        <v>1864</v>
      </c>
      <c r="GM6" t="s">
        <v>4193</v>
      </c>
      <c r="GN6">
        <v>-2.4245362661989844E-14</v>
      </c>
      <c r="GP6">
        <v>-2.4245362661989844E-14</v>
      </c>
      <c r="GQ6" t="s">
        <v>1845</v>
      </c>
      <c r="GR6">
        <v>2024</v>
      </c>
      <c r="GS6" t="s">
        <v>4194</v>
      </c>
      <c r="GT6" s="6">
        <v>45671</v>
      </c>
      <c r="GU6">
        <v>5</v>
      </c>
      <c r="GV6">
        <v>-2.4245362661989844E-14</v>
      </c>
      <c r="GW6">
        <v>69402910</v>
      </c>
      <c r="GX6" t="s">
        <v>4195</v>
      </c>
      <c r="IG6" t="s">
        <v>3774</v>
      </c>
      <c r="IH6" t="s">
        <v>1786</v>
      </c>
      <c r="II6">
        <v>1.323008</v>
      </c>
      <c r="IJ6">
        <v>1.3594919999999999</v>
      </c>
      <c r="IK6" t="s">
        <v>1809</v>
      </c>
      <c r="IL6">
        <v>2025</v>
      </c>
      <c r="IM6" t="s">
        <v>3775</v>
      </c>
      <c r="IN6" s="6">
        <v>45861</v>
      </c>
      <c r="IO6">
        <v>5</v>
      </c>
      <c r="IP6">
        <v>1438159.03</v>
      </c>
      <c r="IQ6">
        <v>14336256</v>
      </c>
      <c r="IR6" t="s">
        <v>3776</v>
      </c>
      <c r="IU6" t="s">
        <v>1814</v>
      </c>
      <c r="IV6">
        <v>1.004659</v>
      </c>
      <c r="IW6" t="s">
        <v>1786</v>
      </c>
      <c r="IX6">
        <v>3.6281000000000001E-2</v>
      </c>
      <c r="IY6" t="s">
        <v>1809</v>
      </c>
      <c r="IZ6">
        <v>2025</v>
      </c>
      <c r="JA6" t="s">
        <v>1815</v>
      </c>
      <c r="JB6" s="6">
        <v>45784</v>
      </c>
      <c r="JC6">
        <v>5</v>
      </c>
      <c r="JD6">
        <v>2191381</v>
      </c>
      <c r="JE6">
        <v>100115</v>
      </c>
      <c r="JF6" t="s">
        <v>1816</v>
      </c>
      <c r="KO6" t="s">
        <v>1208</v>
      </c>
      <c r="KP6" t="s">
        <v>1820</v>
      </c>
      <c r="KQ6">
        <v>4.9496999999999999E-2</v>
      </c>
      <c r="KR6">
        <v>0.59395500000000001</v>
      </c>
      <c r="KS6" t="s">
        <v>1809</v>
      </c>
      <c r="KT6">
        <v>2025</v>
      </c>
      <c r="KU6" t="s">
        <v>1890</v>
      </c>
      <c r="KV6" s="6">
        <v>45847</v>
      </c>
      <c r="KW6">
        <v>5</v>
      </c>
      <c r="KX6">
        <v>633661</v>
      </c>
      <c r="KY6">
        <v>929589</v>
      </c>
      <c r="KZ6" t="s">
        <v>2674</v>
      </c>
      <c r="LC6" t="s">
        <v>2515</v>
      </c>
      <c r="LD6">
        <v>-2.4245362661989844E-14</v>
      </c>
      <c r="LF6">
        <v>-2.4245362661989844E-14</v>
      </c>
      <c r="LG6" t="s">
        <v>1745</v>
      </c>
      <c r="LH6">
        <v>2022</v>
      </c>
      <c r="LI6" t="s">
        <v>2516</v>
      </c>
      <c r="LJ6" s="6">
        <v>44705</v>
      </c>
      <c r="LK6">
        <v>2</v>
      </c>
      <c r="LL6">
        <v>-2.4245362661989844E-14</v>
      </c>
      <c r="LM6">
        <v>1067639</v>
      </c>
      <c r="LN6" t="s">
        <v>2517</v>
      </c>
      <c r="MW6" t="s">
        <v>5004</v>
      </c>
      <c r="MX6" t="s">
        <v>1769</v>
      </c>
      <c r="MY6">
        <v>2.7101419999999998</v>
      </c>
      <c r="MZ6">
        <v>5.1628E-2</v>
      </c>
      <c r="NA6" t="s">
        <v>1745</v>
      </c>
      <c r="NB6">
        <v>2024</v>
      </c>
      <c r="NC6" t="s">
        <v>5005</v>
      </c>
      <c r="ND6" s="6">
        <v>45715</v>
      </c>
      <c r="NE6">
        <v>5</v>
      </c>
      <c r="NF6">
        <v>5132000</v>
      </c>
      <c r="NG6">
        <v>979463</v>
      </c>
      <c r="NH6" t="s">
        <v>5006</v>
      </c>
      <c r="NK6" t="s">
        <v>4710</v>
      </c>
      <c r="NL6">
        <v>-2.4245362661989844E-14</v>
      </c>
      <c r="NN6">
        <v>-2.4245362661989844E-14</v>
      </c>
      <c r="NO6" t="s">
        <v>1798</v>
      </c>
      <c r="NP6">
        <v>2023</v>
      </c>
      <c r="NQ6" t="s">
        <v>4711</v>
      </c>
      <c r="NR6" s="6">
        <v>45244</v>
      </c>
      <c r="NS6">
        <v>5</v>
      </c>
      <c r="NT6">
        <v>-2.4245362661989844E-14</v>
      </c>
      <c r="NU6">
        <v>866472</v>
      </c>
      <c r="NV6" t="s">
        <v>4712</v>
      </c>
      <c r="OA6" t="s">
        <v>2936</v>
      </c>
      <c r="OC6">
        <v>-2.4245362661989844E-14</v>
      </c>
      <c r="OD6">
        <v>-2.4245362661989844E-14</v>
      </c>
      <c r="OE6" t="s">
        <v>1742</v>
      </c>
      <c r="OF6">
        <v>2025</v>
      </c>
      <c r="OG6" t="s">
        <v>4451</v>
      </c>
      <c r="OH6" s="6">
        <v>45957</v>
      </c>
      <c r="OI6">
        <v>5</v>
      </c>
      <c r="OJ6">
        <v>-2.4245362661989844E-14</v>
      </c>
      <c r="OK6">
        <v>43152573</v>
      </c>
      <c r="OL6" t="s">
        <v>2938</v>
      </c>
      <c r="PE6" t="s">
        <v>4225</v>
      </c>
      <c r="PF6" t="s">
        <v>1769</v>
      </c>
      <c r="PG6">
        <v>5.2730940000000004</v>
      </c>
      <c r="PH6">
        <v>3.4980880000000001</v>
      </c>
      <c r="PI6" t="s">
        <v>1745</v>
      </c>
      <c r="PJ6">
        <v>2024</v>
      </c>
      <c r="PK6" t="s">
        <v>4226</v>
      </c>
      <c r="PL6" s="6">
        <v>45716</v>
      </c>
      <c r="PM6">
        <v>4</v>
      </c>
      <c r="PN6">
        <v>1829500</v>
      </c>
      <c r="PO6">
        <v>28243599</v>
      </c>
      <c r="PP6" t="s">
        <v>4227</v>
      </c>
      <c r="TU6" t="s">
        <v>2756</v>
      </c>
      <c r="TV6" t="s">
        <v>1786</v>
      </c>
      <c r="TW6">
        <v>0.24406700000000001</v>
      </c>
      <c r="TX6">
        <v>7.6879000000000003E-2</v>
      </c>
      <c r="TY6" t="s">
        <v>1762</v>
      </c>
      <c r="TZ6">
        <v>2025</v>
      </c>
      <c r="UA6" t="s">
        <v>2757</v>
      </c>
      <c r="UB6" s="6">
        <v>45957</v>
      </c>
      <c r="UC6">
        <v>5</v>
      </c>
      <c r="UD6">
        <v>2882298.09</v>
      </c>
      <c r="UE6">
        <v>815087</v>
      </c>
      <c r="UF6" t="s">
        <v>2758</v>
      </c>
      <c r="UI6" t="s">
        <v>2531</v>
      </c>
      <c r="UJ6">
        <v>-2.4245362661989844E-14</v>
      </c>
      <c r="UL6">
        <v>-2.4245362661989844E-14</v>
      </c>
      <c r="UM6" t="s">
        <v>1745</v>
      </c>
      <c r="UN6">
        <v>2021</v>
      </c>
      <c r="UO6" t="s">
        <v>2532</v>
      </c>
      <c r="UP6" s="6">
        <v>44681</v>
      </c>
      <c r="UQ6">
        <v>5</v>
      </c>
      <c r="UR6">
        <v>-2.4245362661989844E-14</v>
      </c>
      <c r="US6">
        <v>21798337</v>
      </c>
      <c r="UT6" t="s">
        <v>2533</v>
      </c>
    </row>
    <row r="7" spans="1:600" x14ac:dyDescent="0.25">
      <c r="A7" t="s">
        <v>3045</v>
      </c>
      <c r="B7" t="s">
        <v>1786</v>
      </c>
      <c r="C7">
        <v>18</v>
      </c>
      <c r="D7">
        <v>0.28558099999999997</v>
      </c>
      <c r="E7" t="s">
        <v>1745</v>
      </c>
      <c r="F7">
        <v>2025</v>
      </c>
      <c r="G7" t="s">
        <v>3046</v>
      </c>
      <c r="H7" s="6">
        <v>46079</v>
      </c>
      <c r="I7">
        <v>5</v>
      </c>
      <c r="J7">
        <v>185490768</v>
      </c>
      <c r="K7">
        <v>103442</v>
      </c>
      <c r="L7" t="s">
        <v>3047</v>
      </c>
      <c r="O7" t="s">
        <v>1706</v>
      </c>
      <c r="P7">
        <v>1.5294399999999999</v>
      </c>
      <c r="R7">
        <v>-2.4245362661989844E-14</v>
      </c>
      <c r="S7" t="s">
        <v>1745</v>
      </c>
      <c r="T7">
        <v>2024</v>
      </c>
      <c r="U7" t="s">
        <v>3646</v>
      </c>
      <c r="V7" s="6">
        <v>45712</v>
      </c>
      <c r="W7">
        <v>5</v>
      </c>
      <c r="X7">
        <v>1622093696</v>
      </c>
      <c r="Y7">
        <v>302359</v>
      </c>
      <c r="Z7" t="s">
        <v>3647</v>
      </c>
      <c r="BI7" t="s">
        <v>2748</v>
      </c>
      <c r="BK7">
        <v>-2.4245362661989844E-14</v>
      </c>
      <c r="BL7">
        <v>-2.4245362661989844E-14</v>
      </c>
      <c r="BM7" t="s">
        <v>1745</v>
      </c>
      <c r="BN7">
        <v>2023</v>
      </c>
      <c r="BO7" t="s">
        <v>2552</v>
      </c>
      <c r="BP7" s="6">
        <v>45344</v>
      </c>
      <c r="BQ7">
        <v>5</v>
      </c>
      <c r="BR7">
        <v>-2.4245362661989844E-14</v>
      </c>
      <c r="BS7">
        <v>29451257</v>
      </c>
      <c r="BT7" t="s">
        <v>2749</v>
      </c>
      <c r="BW7" t="s">
        <v>2549</v>
      </c>
      <c r="BX7">
        <v>-2.4245362661989844E-14</v>
      </c>
      <c r="BZ7">
        <v>-2.4245362661989844E-14</v>
      </c>
      <c r="CA7" t="s">
        <v>1745</v>
      </c>
      <c r="CB7">
        <v>2025</v>
      </c>
      <c r="CC7" t="s">
        <v>2550</v>
      </c>
      <c r="CD7" s="6">
        <v>46079</v>
      </c>
      <c r="CE7">
        <v>5</v>
      </c>
      <c r="CF7">
        <v>-2.4245362661989844E-14</v>
      </c>
      <c r="CG7">
        <v>906237</v>
      </c>
      <c r="CH7" t="s">
        <v>2551</v>
      </c>
      <c r="CM7" t="s">
        <v>2296</v>
      </c>
      <c r="CO7">
        <v>-2.4245362661989844E-14</v>
      </c>
      <c r="CP7">
        <v>-2.4245362661989844E-14</v>
      </c>
      <c r="CQ7" t="s">
        <v>1762</v>
      </c>
      <c r="CR7">
        <v>2025</v>
      </c>
      <c r="CS7" t="s">
        <v>2297</v>
      </c>
      <c r="CT7" s="6">
        <v>45635</v>
      </c>
      <c r="CU7">
        <v>5</v>
      </c>
      <c r="CV7">
        <v>-2.4245362661989844E-14</v>
      </c>
      <c r="CW7">
        <v>69314473</v>
      </c>
      <c r="CX7" t="s">
        <v>2298</v>
      </c>
      <c r="DA7" t="s">
        <v>86</v>
      </c>
      <c r="DB7">
        <v>5.4339880000000003</v>
      </c>
      <c r="DC7" t="s">
        <v>1786</v>
      </c>
      <c r="DD7">
        <v>5.9837000000000001E-2</v>
      </c>
      <c r="DE7" t="s">
        <v>1845</v>
      </c>
      <c r="DF7">
        <v>2025</v>
      </c>
      <c r="DG7" t="s">
        <v>1846</v>
      </c>
      <c r="DH7" s="6">
        <v>45884</v>
      </c>
      <c r="DI7">
        <v>5</v>
      </c>
      <c r="DJ7">
        <v>39085316</v>
      </c>
      <c r="DK7">
        <v>100193</v>
      </c>
      <c r="DL7" t="s">
        <v>1849</v>
      </c>
      <c r="DQ7" t="s">
        <v>3826</v>
      </c>
      <c r="DS7">
        <v>-2.4245362661989844E-14</v>
      </c>
      <c r="DT7">
        <v>-2.4245362661989844E-14</v>
      </c>
      <c r="DU7" t="s">
        <v>1745</v>
      </c>
      <c r="DV7">
        <v>2024</v>
      </c>
      <c r="DW7" t="s">
        <v>3579</v>
      </c>
      <c r="DX7" s="6">
        <v>45593</v>
      </c>
      <c r="DY7">
        <v>5</v>
      </c>
      <c r="DZ7">
        <v>-2.4245362661989844E-14</v>
      </c>
      <c r="EA7">
        <v>21172241</v>
      </c>
      <c r="EB7" t="s">
        <v>3827</v>
      </c>
      <c r="EE7" t="s">
        <v>3584</v>
      </c>
      <c r="EF7">
        <v>-2.4245362661989844E-14</v>
      </c>
      <c r="EH7">
        <v>-2.4245362661989844E-14</v>
      </c>
      <c r="EI7" t="s">
        <v>1745</v>
      </c>
      <c r="EJ7">
        <v>2022</v>
      </c>
      <c r="EK7" t="s">
        <v>3579</v>
      </c>
      <c r="EL7" s="6">
        <v>44700</v>
      </c>
      <c r="EM7">
        <v>5</v>
      </c>
      <c r="EN7">
        <v>-2.4245362661989844E-14</v>
      </c>
      <c r="EO7">
        <v>1042860</v>
      </c>
      <c r="EP7" t="s">
        <v>3585</v>
      </c>
      <c r="EU7" t="s">
        <v>2082</v>
      </c>
      <c r="EV7" t="s">
        <v>1769</v>
      </c>
      <c r="EW7">
        <v>1.0803999999999999E-2</v>
      </c>
      <c r="EX7">
        <v>1.47265</v>
      </c>
      <c r="EY7" t="s">
        <v>1809</v>
      </c>
      <c r="EZ7">
        <v>2026</v>
      </c>
      <c r="FA7" t="s">
        <v>2083</v>
      </c>
      <c r="FB7" s="6">
        <v>45973</v>
      </c>
      <c r="FC7">
        <v>5</v>
      </c>
      <c r="FD7">
        <v>3700676.17</v>
      </c>
      <c r="FE7">
        <v>16857643</v>
      </c>
      <c r="FF7" t="s">
        <v>2084</v>
      </c>
      <c r="FI7" t="s">
        <v>3139</v>
      </c>
      <c r="FJ7">
        <v>11</v>
      </c>
      <c r="FK7" t="s">
        <v>1786</v>
      </c>
      <c r="FL7">
        <v>0.504687</v>
      </c>
      <c r="FM7" t="s">
        <v>1745</v>
      </c>
      <c r="FN7">
        <v>2024</v>
      </c>
      <c r="FO7" t="s">
        <v>4589</v>
      </c>
      <c r="FP7" s="6">
        <v>45702</v>
      </c>
      <c r="FQ7">
        <v>5</v>
      </c>
      <c r="FR7">
        <v>96454544</v>
      </c>
      <c r="FS7">
        <v>100436</v>
      </c>
      <c r="FT7" t="s">
        <v>3140</v>
      </c>
      <c r="FY7" t="s">
        <v>3505</v>
      </c>
      <c r="FZ7" t="s">
        <v>1786</v>
      </c>
      <c r="GA7">
        <v>0.29136000000000001</v>
      </c>
      <c r="GB7">
        <v>6.1949690000000004</v>
      </c>
      <c r="GC7" t="s">
        <v>1845</v>
      </c>
      <c r="GD7">
        <v>2025</v>
      </c>
      <c r="GE7" t="s">
        <v>2208</v>
      </c>
      <c r="GF7" s="6">
        <v>46091</v>
      </c>
      <c r="GG7">
        <v>5</v>
      </c>
      <c r="GH7">
        <v>97252896</v>
      </c>
      <c r="GI7">
        <v>50985605</v>
      </c>
      <c r="GJ7" t="s">
        <v>3506</v>
      </c>
      <c r="GM7" t="s">
        <v>4196</v>
      </c>
      <c r="GN7">
        <v>-2.4245362661989844E-14</v>
      </c>
      <c r="GP7">
        <v>-2.4245362661989844E-14</v>
      </c>
      <c r="GQ7" t="s">
        <v>1845</v>
      </c>
      <c r="GR7">
        <v>2024</v>
      </c>
      <c r="GS7" t="s">
        <v>4197</v>
      </c>
      <c r="GT7" s="6">
        <v>45736</v>
      </c>
      <c r="GU7">
        <v>5</v>
      </c>
      <c r="GV7">
        <v>-2.4245362661989844E-14</v>
      </c>
      <c r="GW7">
        <v>69378547</v>
      </c>
      <c r="GX7" t="s">
        <v>4198</v>
      </c>
      <c r="IG7" t="s">
        <v>3758</v>
      </c>
      <c r="IH7" t="s">
        <v>1786</v>
      </c>
      <c r="II7">
        <v>0.17249</v>
      </c>
      <c r="IJ7">
        <v>0.57415000000000005</v>
      </c>
      <c r="IK7" t="s">
        <v>1762</v>
      </c>
      <c r="IL7">
        <v>2025</v>
      </c>
      <c r="IM7" t="s">
        <v>3759</v>
      </c>
      <c r="IN7" s="6">
        <v>46014</v>
      </c>
      <c r="IO7">
        <v>5</v>
      </c>
      <c r="IP7">
        <v>682486</v>
      </c>
      <c r="IQ7">
        <v>159009</v>
      </c>
      <c r="IR7" t="s">
        <v>3760</v>
      </c>
      <c r="IU7" t="s">
        <v>1054</v>
      </c>
      <c r="IV7">
        <v>0.51476</v>
      </c>
      <c r="IW7" t="s">
        <v>1786</v>
      </c>
      <c r="IX7">
        <v>7.5420000000000001E-3</v>
      </c>
      <c r="IY7" t="s">
        <v>1762</v>
      </c>
      <c r="IZ7">
        <v>2025</v>
      </c>
      <c r="JA7" t="s">
        <v>3638</v>
      </c>
      <c r="JB7" s="6">
        <v>45895</v>
      </c>
      <c r="JC7">
        <v>5</v>
      </c>
      <c r="JD7">
        <v>1297601</v>
      </c>
      <c r="JE7">
        <v>101555</v>
      </c>
      <c r="JF7" t="s">
        <v>1848</v>
      </c>
      <c r="KO7" t="s">
        <v>1016</v>
      </c>
      <c r="KP7" t="s">
        <v>1820</v>
      </c>
      <c r="KQ7">
        <v>3.4476E-2</v>
      </c>
      <c r="KR7">
        <v>0.363265</v>
      </c>
      <c r="KS7" t="s">
        <v>1845</v>
      </c>
      <c r="KT7">
        <v>2024</v>
      </c>
      <c r="KU7" t="s">
        <v>2675</v>
      </c>
      <c r="KV7" s="6">
        <v>45687</v>
      </c>
      <c r="KW7">
        <v>5</v>
      </c>
      <c r="KX7">
        <v>387549</v>
      </c>
      <c r="KY7">
        <v>211040</v>
      </c>
      <c r="KZ7" t="s">
        <v>2676</v>
      </c>
      <c r="MW7" t="s">
        <v>5007</v>
      </c>
      <c r="MX7" t="s">
        <v>1769</v>
      </c>
      <c r="MY7">
        <v>1.1211519999999999</v>
      </c>
      <c r="MZ7">
        <v>2.7816E-2</v>
      </c>
      <c r="NA7" t="s">
        <v>1745</v>
      </c>
      <c r="NB7">
        <v>2024</v>
      </c>
      <c r="NC7" t="s">
        <v>5008</v>
      </c>
      <c r="ND7" s="6">
        <v>45702</v>
      </c>
      <c r="NE7">
        <v>5</v>
      </c>
      <c r="NF7">
        <v>2764979.25</v>
      </c>
      <c r="NG7">
        <v>10858737</v>
      </c>
      <c r="NH7" t="s">
        <v>5009</v>
      </c>
      <c r="NK7" t="s">
        <v>4713</v>
      </c>
      <c r="NL7">
        <v>-2.4245362661989844E-14</v>
      </c>
      <c r="NN7">
        <v>-2.4245362661989844E-14</v>
      </c>
      <c r="NO7" t="s">
        <v>1745</v>
      </c>
      <c r="NP7">
        <v>2025</v>
      </c>
      <c r="NQ7" t="s">
        <v>4714</v>
      </c>
      <c r="NR7" s="6">
        <v>45828</v>
      </c>
      <c r="NS7">
        <v>5</v>
      </c>
      <c r="NT7">
        <v>-2.4245362661989844E-14</v>
      </c>
      <c r="NU7">
        <v>154065</v>
      </c>
      <c r="NV7" t="s">
        <v>4715</v>
      </c>
      <c r="OA7" t="s">
        <v>4452</v>
      </c>
      <c r="OC7">
        <v>-2.4245362661989844E-14</v>
      </c>
      <c r="OD7">
        <v>-2.4245362661989844E-14</v>
      </c>
      <c r="OE7" t="s">
        <v>1745</v>
      </c>
      <c r="OF7">
        <v>2022</v>
      </c>
      <c r="OG7" t="s">
        <v>4453</v>
      </c>
      <c r="OH7" s="6">
        <v>44707</v>
      </c>
      <c r="OI7">
        <v>5</v>
      </c>
      <c r="OJ7">
        <v>-2.4245362661989844E-14</v>
      </c>
      <c r="OK7">
        <v>65265899</v>
      </c>
      <c r="OL7" t="s">
        <v>4454</v>
      </c>
      <c r="PE7" t="s">
        <v>4228</v>
      </c>
      <c r="PF7" t="s">
        <v>1769</v>
      </c>
      <c r="PG7">
        <v>3</v>
      </c>
      <c r="PH7">
        <v>2.3641779999999999</v>
      </c>
      <c r="PI7" t="s">
        <v>1745</v>
      </c>
      <c r="PJ7">
        <v>2024</v>
      </c>
      <c r="PK7" t="s">
        <v>4229</v>
      </c>
      <c r="PL7" s="6">
        <v>45722</v>
      </c>
      <c r="PM7">
        <v>4</v>
      </c>
      <c r="PN7">
        <v>1236465</v>
      </c>
      <c r="PO7">
        <v>69601933</v>
      </c>
      <c r="PP7" t="s">
        <v>4230</v>
      </c>
      <c r="TU7" t="s">
        <v>2759</v>
      </c>
      <c r="TW7">
        <v>-2.4245362661989844E-14</v>
      </c>
      <c r="TX7">
        <v>-2.4245362661989844E-14</v>
      </c>
      <c r="TY7" t="s">
        <v>1745</v>
      </c>
      <c r="TZ7">
        <v>2026</v>
      </c>
      <c r="UA7" t="s">
        <v>2760</v>
      </c>
      <c r="UB7" s="6">
        <v>46084</v>
      </c>
      <c r="UC7">
        <v>5</v>
      </c>
      <c r="UD7">
        <v>-2.4245362661989844E-14</v>
      </c>
      <c r="UE7">
        <v>72587839</v>
      </c>
      <c r="UF7" t="s">
        <v>2761</v>
      </c>
      <c r="UI7" t="s">
        <v>1878</v>
      </c>
      <c r="UJ7">
        <v>-2.4245362661989844E-14</v>
      </c>
      <c r="UL7">
        <v>-2.4245362661989844E-14</v>
      </c>
      <c r="UM7" t="s">
        <v>1742</v>
      </c>
      <c r="UN7">
        <v>2024</v>
      </c>
      <c r="UO7" t="s">
        <v>2534</v>
      </c>
      <c r="UP7" s="6">
        <v>45599</v>
      </c>
      <c r="UQ7">
        <v>5</v>
      </c>
      <c r="UR7">
        <v>-2.4245362661989844E-14</v>
      </c>
      <c r="US7">
        <v>876285</v>
      </c>
      <c r="UT7" t="s">
        <v>1879</v>
      </c>
    </row>
    <row r="8" spans="1:600" x14ac:dyDescent="0.25">
      <c r="A8" t="s">
        <v>1578</v>
      </c>
      <c r="B8" t="s">
        <v>1786</v>
      </c>
      <c r="C8">
        <v>4.630776</v>
      </c>
      <c r="D8">
        <v>0.19183800000000001</v>
      </c>
      <c r="E8" t="s">
        <v>1742</v>
      </c>
      <c r="F8">
        <v>2025</v>
      </c>
      <c r="G8" t="s">
        <v>3048</v>
      </c>
      <c r="H8" s="6">
        <v>45952</v>
      </c>
      <c r="I8">
        <v>5</v>
      </c>
      <c r="J8">
        <v>125308800</v>
      </c>
      <c r="K8">
        <v>171010</v>
      </c>
      <c r="L8" t="s">
        <v>3049</v>
      </c>
      <c r="O8" t="s">
        <v>1088</v>
      </c>
      <c r="P8">
        <v>0.34598400000000001</v>
      </c>
      <c r="Q8" t="s">
        <v>1786</v>
      </c>
      <c r="R8">
        <v>1.684086</v>
      </c>
      <c r="S8" t="s">
        <v>1762</v>
      </c>
      <c r="T8">
        <v>2025</v>
      </c>
      <c r="U8" t="s">
        <v>3484</v>
      </c>
      <c r="V8" s="6">
        <v>45873</v>
      </c>
      <c r="W8">
        <v>5</v>
      </c>
      <c r="X8">
        <v>342105216</v>
      </c>
      <c r="Y8">
        <v>100211</v>
      </c>
      <c r="Z8" t="s">
        <v>1851</v>
      </c>
      <c r="BI8" t="s">
        <v>2750</v>
      </c>
      <c r="BK8">
        <v>-2.4245362661989844E-14</v>
      </c>
      <c r="BL8">
        <v>-2.4245362661989844E-14</v>
      </c>
      <c r="BM8" t="s">
        <v>1745</v>
      </c>
      <c r="BN8">
        <v>2022</v>
      </c>
      <c r="BO8" t="s">
        <v>2751</v>
      </c>
      <c r="BP8" s="6">
        <v>44995</v>
      </c>
      <c r="BQ8">
        <v>5</v>
      </c>
      <c r="BR8">
        <v>-2.4245362661989844E-14</v>
      </c>
      <c r="BS8">
        <v>1456300</v>
      </c>
      <c r="BT8" t="s">
        <v>2752</v>
      </c>
      <c r="BW8" t="s">
        <v>2231</v>
      </c>
      <c r="BX8">
        <v>-2.4245362661989844E-14</v>
      </c>
      <c r="BZ8">
        <v>-2.4245362661989844E-14</v>
      </c>
      <c r="CA8" t="s">
        <v>1745</v>
      </c>
      <c r="CB8">
        <v>2023</v>
      </c>
      <c r="CC8" t="s">
        <v>2552</v>
      </c>
      <c r="CD8" s="6">
        <v>45344</v>
      </c>
      <c r="CE8">
        <v>5</v>
      </c>
      <c r="CF8">
        <v>-2.4245362661989844E-14</v>
      </c>
      <c r="CG8">
        <v>129195</v>
      </c>
      <c r="CH8" t="s">
        <v>2233</v>
      </c>
      <c r="CM8" t="s">
        <v>86</v>
      </c>
      <c r="CO8">
        <v>-2.4245362661989844E-14</v>
      </c>
      <c r="CP8">
        <v>-2.4245362661989844E-14</v>
      </c>
      <c r="CQ8" t="s">
        <v>1745</v>
      </c>
      <c r="CR8">
        <v>2021</v>
      </c>
      <c r="CS8" t="s">
        <v>2299</v>
      </c>
      <c r="CT8" s="6">
        <v>44693</v>
      </c>
      <c r="CU8">
        <v>5</v>
      </c>
      <c r="CV8">
        <v>-2.4245362661989844E-14</v>
      </c>
      <c r="CW8">
        <v>100193</v>
      </c>
      <c r="CX8" t="s">
        <v>1849</v>
      </c>
      <c r="DA8" t="s">
        <v>454</v>
      </c>
      <c r="DB8">
        <v>4.0989180000000003</v>
      </c>
      <c r="DC8" t="s">
        <v>1786</v>
      </c>
      <c r="DD8">
        <v>0.43065300000000001</v>
      </c>
      <c r="DE8" t="s">
        <v>1845</v>
      </c>
      <c r="DF8">
        <v>2025</v>
      </c>
      <c r="DG8" t="s">
        <v>1846</v>
      </c>
      <c r="DH8" s="6">
        <v>45884</v>
      </c>
      <c r="DI8">
        <v>5</v>
      </c>
      <c r="DJ8">
        <v>29482492</v>
      </c>
      <c r="DK8">
        <v>100632</v>
      </c>
      <c r="DL8" t="s">
        <v>1850</v>
      </c>
      <c r="DQ8" t="s">
        <v>3828</v>
      </c>
      <c r="DS8">
        <v>-2.4245362661989844E-14</v>
      </c>
      <c r="DT8">
        <v>-2.4245362661989844E-14</v>
      </c>
      <c r="DU8" t="s">
        <v>1745</v>
      </c>
      <c r="DV8">
        <v>2024</v>
      </c>
      <c r="DW8" t="s">
        <v>3579</v>
      </c>
      <c r="DX8" s="6">
        <v>45593</v>
      </c>
      <c r="DY8">
        <v>5</v>
      </c>
      <c r="DZ8">
        <v>-2.4245362661989844E-14</v>
      </c>
      <c r="EA8">
        <v>953096</v>
      </c>
      <c r="EB8" t="s">
        <v>3829</v>
      </c>
      <c r="EE8" t="s">
        <v>1801</v>
      </c>
      <c r="EF8">
        <v>-2.4245362661989844E-14</v>
      </c>
      <c r="EH8">
        <v>-2.4245362661989844E-14</v>
      </c>
      <c r="EI8" t="s">
        <v>1745</v>
      </c>
      <c r="EJ8">
        <v>2024</v>
      </c>
      <c r="EK8" t="s">
        <v>3579</v>
      </c>
      <c r="EL8" s="6">
        <v>45569</v>
      </c>
      <c r="EM8">
        <v>5</v>
      </c>
      <c r="EN8">
        <v>-2.4245362661989844E-14</v>
      </c>
      <c r="EO8">
        <v>218252</v>
      </c>
      <c r="EP8" t="s">
        <v>1803</v>
      </c>
      <c r="EU8" t="s">
        <v>4686</v>
      </c>
      <c r="EV8" t="s">
        <v>1786</v>
      </c>
      <c r="EW8">
        <v>0.96510300000000004</v>
      </c>
      <c r="EX8">
        <v>0.51246400000000003</v>
      </c>
      <c r="EY8" t="s">
        <v>1809</v>
      </c>
      <c r="EZ8">
        <v>2025</v>
      </c>
      <c r="FA8" t="s">
        <v>4687</v>
      </c>
      <c r="FB8" s="6">
        <v>45889</v>
      </c>
      <c r="FC8">
        <v>5</v>
      </c>
      <c r="FD8">
        <v>2851039.52</v>
      </c>
      <c r="FE8">
        <v>7283637</v>
      </c>
      <c r="FF8" t="s">
        <v>4688</v>
      </c>
      <c r="FI8" t="s">
        <v>3132</v>
      </c>
      <c r="FJ8">
        <v>3.2930890000000002</v>
      </c>
      <c r="FK8" t="s">
        <v>1786</v>
      </c>
      <c r="FL8">
        <v>1.421373</v>
      </c>
      <c r="FM8" t="s">
        <v>1845</v>
      </c>
      <c r="FN8">
        <v>2025</v>
      </c>
      <c r="FO8" t="s">
        <v>3133</v>
      </c>
      <c r="FP8" s="6">
        <v>45896</v>
      </c>
      <c r="FQ8">
        <v>5</v>
      </c>
      <c r="FR8">
        <v>30300772.390000001</v>
      </c>
      <c r="FS8">
        <v>194968</v>
      </c>
      <c r="FT8" t="s">
        <v>3134</v>
      </c>
      <c r="FY8" t="s">
        <v>2512</v>
      </c>
      <c r="FZ8" t="s">
        <v>1786</v>
      </c>
      <c r="GA8">
        <v>0.26268200000000003</v>
      </c>
      <c r="GB8">
        <v>3.7153960000000001</v>
      </c>
      <c r="GC8" t="s">
        <v>1845</v>
      </c>
      <c r="GD8">
        <v>2025</v>
      </c>
      <c r="GE8" t="s">
        <v>2208</v>
      </c>
      <c r="GF8" s="6">
        <v>46091</v>
      </c>
      <c r="GG8">
        <v>5</v>
      </c>
      <c r="GH8">
        <v>58326848</v>
      </c>
      <c r="GI8">
        <v>130929</v>
      </c>
      <c r="GJ8" t="s">
        <v>2513</v>
      </c>
      <c r="GM8" t="s">
        <v>4199</v>
      </c>
      <c r="GN8">
        <v>-2.4245362661989844E-14</v>
      </c>
      <c r="GP8">
        <v>-2.4245362661989844E-14</v>
      </c>
      <c r="GQ8" t="s">
        <v>1745</v>
      </c>
      <c r="GR8">
        <v>2025</v>
      </c>
      <c r="GS8" t="s">
        <v>4200</v>
      </c>
      <c r="GT8" s="6">
        <v>45755</v>
      </c>
      <c r="GU8">
        <v>5</v>
      </c>
      <c r="GV8">
        <v>-2.4245362661989844E-14</v>
      </c>
      <c r="GW8">
        <v>68517300</v>
      </c>
      <c r="GX8" t="s">
        <v>4201</v>
      </c>
      <c r="IG8" t="s">
        <v>3777</v>
      </c>
      <c r="IH8" t="s">
        <v>1786</v>
      </c>
      <c r="II8">
        <v>1.010642</v>
      </c>
      <c r="IJ8">
        <v>0.33008900000000002</v>
      </c>
      <c r="IK8" t="s">
        <v>1762</v>
      </c>
      <c r="IL8">
        <v>2025</v>
      </c>
      <c r="IM8" t="s">
        <v>3778</v>
      </c>
      <c r="IN8" s="6">
        <v>46014</v>
      </c>
      <c r="IO8">
        <v>5</v>
      </c>
      <c r="IP8">
        <v>388688.42</v>
      </c>
      <c r="IQ8">
        <v>815557</v>
      </c>
      <c r="IR8" t="s">
        <v>3779</v>
      </c>
      <c r="IU8" t="s">
        <v>3639</v>
      </c>
      <c r="IV8">
        <v>0.22331500000000001</v>
      </c>
      <c r="IW8" t="s">
        <v>1786</v>
      </c>
      <c r="IX8">
        <v>1.5251000000000001E-2</v>
      </c>
      <c r="IY8" t="s">
        <v>1762</v>
      </c>
      <c r="IZ8">
        <v>2025</v>
      </c>
      <c r="JA8" t="s">
        <v>3640</v>
      </c>
      <c r="JB8" s="6">
        <v>45908</v>
      </c>
      <c r="JC8">
        <v>5</v>
      </c>
      <c r="JD8">
        <v>562435.83999999997</v>
      </c>
      <c r="JE8">
        <v>304299</v>
      </c>
      <c r="JF8" t="s">
        <v>3641</v>
      </c>
      <c r="KO8" t="s">
        <v>2677</v>
      </c>
      <c r="KP8" t="s">
        <v>1786</v>
      </c>
      <c r="KQ8">
        <v>3.9360000000000003E-3</v>
      </c>
      <c r="KR8">
        <v>7.9015000000000002E-2</v>
      </c>
      <c r="KS8" t="s">
        <v>1742</v>
      </c>
      <c r="KT8">
        <v>2025</v>
      </c>
      <c r="KU8" t="s">
        <v>2678</v>
      </c>
      <c r="KV8" s="6">
        <v>45974</v>
      </c>
      <c r="KW8">
        <v>5</v>
      </c>
      <c r="KX8">
        <v>96555.28</v>
      </c>
      <c r="KY8">
        <v>193571</v>
      </c>
      <c r="KZ8" t="s">
        <v>2679</v>
      </c>
      <c r="MW8" t="s">
        <v>2756</v>
      </c>
      <c r="MX8" t="s">
        <v>1786</v>
      </c>
      <c r="MY8">
        <v>0.22164600000000001</v>
      </c>
      <c r="MZ8">
        <v>2.4277E-2</v>
      </c>
      <c r="NA8" t="s">
        <v>1762</v>
      </c>
      <c r="NB8">
        <v>2025</v>
      </c>
      <c r="NC8" t="s">
        <v>2757</v>
      </c>
      <c r="ND8" s="6">
        <v>45957</v>
      </c>
      <c r="NE8">
        <v>5</v>
      </c>
      <c r="NF8">
        <v>2617518.41</v>
      </c>
      <c r="NG8">
        <v>815087</v>
      </c>
      <c r="NH8" t="s">
        <v>2758</v>
      </c>
      <c r="NK8" t="s">
        <v>909</v>
      </c>
      <c r="NL8">
        <v>-2.4245362661989844E-14</v>
      </c>
      <c r="NN8">
        <v>-2.4245362661989844E-14</v>
      </c>
      <c r="NO8" t="s">
        <v>1745</v>
      </c>
      <c r="NP8">
        <v>2025</v>
      </c>
      <c r="NQ8" t="s">
        <v>3663</v>
      </c>
      <c r="NR8" s="6">
        <v>45875</v>
      </c>
      <c r="NS8">
        <v>5</v>
      </c>
      <c r="NT8">
        <v>-2.4245362661989844E-14</v>
      </c>
      <c r="NU8">
        <v>154339</v>
      </c>
      <c r="NV8" t="s">
        <v>4716</v>
      </c>
      <c r="OA8" t="s">
        <v>4455</v>
      </c>
      <c r="OC8">
        <v>-2.4245362661989844E-14</v>
      </c>
      <c r="OD8">
        <v>-2.4245362661989844E-14</v>
      </c>
      <c r="OE8" t="s">
        <v>1809</v>
      </c>
      <c r="OF8">
        <v>2023</v>
      </c>
      <c r="OG8" t="s">
        <v>4456</v>
      </c>
      <c r="OH8" s="6">
        <v>44706</v>
      </c>
      <c r="OI8">
        <v>5</v>
      </c>
      <c r="OJ8">
        <v>-2.4245362661989844E-14</v>
      </c>
      <c r="OK8">
        <v>43575125</v>
      </c>
      <c r="OL8" t="s">
        <v>4457</v>
      </c>
      <c r="PE8" t="s">
        <v>2270</v>
      </c>
      <c r="PG8">
        <v>-2.4245362661989844E-14</v>
      </c>
      <c r="PH8">
        <v>-2.4245362661989844E-14</v>
      </c>
      <c r="PI8" t="s">
        <v>1745</v>
      </c>
      <c r="PJ8">
        <v>2023</v>
      </c>
      <c r="PK8" t="s">
        <v>2500</v>
      </c>
      <c r="PL8" s="6">
        <v>45350</v>
      </c>
      <c r="PM8">
        <v>4</v>
      </c>
      <c r="PN8">
        <v>-2.4245362661989844E-14</v>
      </c>
      <c r="PO8">
        <v>35300053</v>
      </c>
      <c r="PP8" t="s">
        <v>2272</v>
      </c>
      <c r="TU8" t="s">
        <v>2762</v>
      </c>
      <c r="TW8">
        <v>-2.4245362661989844E-14</v>
      </c>
      <c r="TX8">
        <v>-2.4245362661989844E-14</v>
      </c>
      <c r="TY8" t="s">
        <v>1745</v>
      </c>
      <c r="TZ8">
        <v>2025</v>
      </c>
      <c r="UA8" t="s">
        <v>2763</v>
      </c>
      <c r="UB8" s="6">
        <v>45975</v>
      </c>
      <c r="UC8">
        <v>5</v>
      </c>
      <c r="UD8">
        <v>-2.4245362661989844E-14</v>
      </c>
      <c r="UE8">
        <v>36019099</v>
      </c>
      <c r="UF8" t="s">
        <v>2764</v>
      </c>
      <c r="UI8" t="s">
        <v>2535</v>
      </c>
      <c r="UJ8">
        <v>-2.4245362661989844E-14</v>
      </c>
      <c r="UL8">
        <v>-2.4245362661989844E-14</v>
      </c>
      <c r="UM8" t="s">
        <v>1745</v>
      </c>
      <c r="UN8">
        <v>2024</v>
      </c>
      <c r="UO8" t="s">
        <v>2536</v>
      </c>
      <c r="UP8" s="6">
        <v>45716</v>
      </c>
      <c r="UQ8">
        <v>5</v>
      </c>
      <c r="UR8">
        <v>-2.4245362661989844E-14</v>
      </c>
      <c r="US8">
        <v>173064</v>
      </c>
      <c r="UT8" t="s">
        <v>2537</v>
      </c>
    </row>
    <row r="9" spans="1:600" x14ac:dyDescent="0.25">
      <c r="A9" t="s">
        <v>2919</v>
      </c>
      <c r="B9" t="s">
        <v>1820</v>
      </c>
      <c r="C9">
        <v>1.650523</v>
      </c>
      <c r="D9">
        <v>1.7462089999999999</v>
      </c>
      <c r="E9" t="s">
        <v>1742</v>
      </c>
      <c r="F9">
        <v>2025</v>
      </c>
      <c r="G9" t="s">
        <v>2920</v>
      </c>
      <c r="H9" s="6">
        <v>46029</v>
      </c>
      <c r="I9">
        <v>5</v>
      </c>
      <c r="J9">
        <v>97565313.560000002</v>
      </c>
      <c r="K9">
        <v>115705</v>
      </c>
      <c r="L9" t="s">
        <v>2921</v>
      </c>
      <c r="O9" t="s">
        <v>1054</v>
      </c>
      <c r="P9">
        <v>0.19926099999999999</v>
      </c>
      <c r="Q9" t="s">
        <v>1786</v>
      </c>
      <c r="R9">
        <v>1.1451750000000001</v>
      </c>
      <c r="S9" t="s">
        <v>1762</v>
      </c>
      <c r="T9">
        <v>2025</v>
      </c>
      <c r="U9" t="s">
        <v>3638</v>
      </c>
      <c r="V9" s="6">
        <v>45895</v>
      </c>
      <c r="W9">
        <v>5</v>
      </c>
      <c r="X9">
        <v>197027360</v>
      </c>
      <c r="Y9">
        <v>101555</v>
      </c>
      <c r="Z9" t="s">
        <v>1848</v>
      </c>
      <c r="BI9" t="s">
        <v>2753</v>
      </c>
      <c r="BK9">
        <v>-2.4245362661989844E-14</v>
      </c>
      <c r="BL9">
        <v>-2.4245362661989844E-14</v>
      </c>
      <c r="BM9" t="s">
        <v>1742</v>
      </c>
      <c r="BN9">
        <v>2022</v>
      </c>
      <c r="BO9" t="s">
        <v>2754</v>
      </c>
      <c r="BP9" s="6">
        <v>44868</v>
      </c>
      <c r="BQ9">
        <v>5</v>
      </c>
      <c r="BR9">
        <v>-2.4245362661989844E-14</v>
      </c>
      <c r="BS9">
        <v>194223</v>
      </c>
      <c r="BT9" t="s">
        <v>2755</v>
      </c>
      <c r="BW9" t="s">
        <v>2553</v>
      </c>
      <c r="BX9">
        <v>-2.4245362661989844E-14</v>
      </c>
      <c r="BZ9">
        <v>-2.4245362661989844E-14</v>
      </c>
      <c r="CA9" t="s">
        <v>1745</v>
      </c>
      <c r="CB9">
        <v>2023</v>
      </c>
      <c r="CC9" t="s">
        <v>2552</v>
      </c>
      <c r="CD9" s="6">
        <v>45344</v>
      </c>
      <c r="CE9">
        <v>5</v>
      </c>
      <c r="CF9">
        <v>-2.4245362661989844E-14</v>
      </c>
      <c r="CG9">
        <v>210754</v>
      </c>
      <c r="CH9" t="s">
        <v>2554</v>
      </c>
      <c r="CM9" t="s">
        <v>2300</v>
      </c>
      <c r="CO9">
        <v>-2.4245362661989844E-14</v>
      </c>
      <c r="CP9">
        <v>-2.4245362661989844E-14</v>
      </c>
      <c r="CQ9" t="s">
        <v>1745</v>
      </c>
      <c r="CR9">
        <v>2021</v>
      </c>
      <c r="CS9" t="s">
        <v>2301</v>
      </c>
      <c r="CT9" s="6">
        <v>44693</v>
      </c>
      <c r="CU9">
        <v>5</v>
      </c>
      <c r="CV9">
        <v>-2.4245362661989844E-14</v>
      </c>
      <c r="CW9">
        <v>100760</v>
      </c>
      <c r="CX9" t="s">
        <v>2302</v>
      </c>
      <c r="DA9" t="s">
        <v>1088</v>
      </c>
      <c r="DB9">
        <v>4.0542119999999997</v>
      </c>
      <c r="DC9" t="s">
        <v>1786</v>
      </c>
      <c r="DD9">
        <v>0.14355100000000001</v>
      </c>
      <c r="DE9" t="s">
        <v>1845</v>
      </c>
      <c r="DF9">
        <v>2025</v>
      </c>
      <c r="DG9" t="s">
        <v>1846</v>
      </c>
      <c r="DH9" s="6">
        <v>45884</v>
      </c>
      <c r="DI9">
        <v>5</v>
      </c>
      <c r="DJ9">
        <v>29160932</v>
      </c>
      <c r="DK9">
        <v>100211</v>
      </c>
      <c r="DL9" t="s">
        <v>1851</v>
      </c>
      <c r="DQ9" t="s">
        <v>3830</v>
      </c>
      <c r="DS9">
        <v>-2.4245362661989844E-14</v>
      </c>
      <c r="DT9">
        <v>-2.4245362661989844E-14</v>
      </c>
      <c r="DU9" t="s">
        <v>1745</v>
      </c>
      <c r="DV9">
        <v>2023</v>
      </c>
      <c r="DW9" t="s">
        <v>3582</v>
      </c>
      <c r="DX9" s="6">
        <v>45344</v>
      </c>
      <c r="DY9">
        <v>5</v>
      </c>
      <c r="DZ9">
        <v>-2.4245362661989844E-14</v>
      </c>
      <c r="EA9">
        <v>114155</v>
      </c>
      <c r="EB9" t="s">
        <v>3831</v>
      </c>
      <c r="EE9" t="s">
        <v>3537</v>
      </c>
      <c r="EF9">
        <v>-2.4245362661989844E-14</v>
      </c>
      <c r="EH9">
        <v>-2.4245362661989844E-14</v>
      </c>
      <c r="EI9" t="s">
        <v>1745</v>
      </c>
      <c r="EJ9">
        <v>2024</v>
      </c>
      <c r="EK9" t="s">
        <v>3579</v>
      </c>
      <c r="EL9" s="6">
        <v>45569</v>
      </c>
      <c r="EM9">
        <v>5</v>
      </c>
      <c r="EN9">
        <v>-2.4245362661989844E-14</v>
      </c>
      <c r="EO9">
        <v>962207</v>
      </c>
      <c r="EP9" t="s">
        <v>3539</v>
      </c>
      <c r="EU9" t="s">
        <v>1857</v>
      </c>
      <c r="EV9" t="s">
        <v>1786</v>
      </c>
      <c r="EW9">
        <v>0.109587</v>
      </c>
      <c r="EX9">
        <v>0.15676599999999999</v>
      </c>
      <c r="EY9" t="s">
        <v>1845</v>
      </c>
      <c r="EZ9">
        <v>2025</v>
      </c>
      <c r="FA9" t="s">
        <v>4689</v>
      </c>
      <c r="FB9" s="6">
        <v>45798</v>
      </c>
      <c r="FC9">
        <v>5</v>
      </c>
      <c r="FD9">
        <v>920021</v>
      </c>
      <c r="FE9">
        <v>104159</v>
      </c>
      <c r="FF9" t="s">
        <v>1859</v>
      </c>
      <c r="FI9" t="s">
        <v>230</v>
      </c>
      <c r="FJ9">
        <v>3.1502669999999999</v>
      </c>
      <c r="FK9" t="s">
        <v>1786</v>
      </c>
      <c r="FL9">
        <v>1.025495</v>
      </c>
      <c r="FM9" t="s">
        <v>1809</v>
      </c>
      <c r="FN9">
        <v>2025</v>
      </c>
      <c r="FO9" t="s">
        <v>4590</v>
      </c>
      <c r="FP9" s="6">
        <v>45825</v>
      </c>
      <c r="FQ9">
        <v>5</v>
      </c>
      <c r="FR9">
        <v>28662594</v>
      </c>
      <c r="FS9">
        <v>100562</v>
      </c>
      <c r="FT9" t="s">
        <v>3483</v>
      </c>
      <c r="FY9" t="s">
        <v>246</v>
      </c>
      <c r="FZ9" t="s">
        <v>1786</v>
      </c>
      <c r="GA9">
        <v>4.7025999999999998E-2</v>
      </c>
      <c r="GB9">
        <v>3.409754</v>
      </c>
      <c r="GC9" t="s">
        <v>1845</v>
      </c>
      <c r="GD9">
        <v>2025</v>
      </c>
      <c r="GE9" t="s">
        <v>2208</v>
      </c>
      <c r="GF9" s="6">
        <v>46091</v>
      </c>
      <c r="GG9">
        <v>5</v>
      </c>
      <c r="GH9">
        <v>53528672</v>
      </c>
      <c r="GI9">
        <v>46946968</v>
      </c>
      <c r="GJ9" t="s">
        <v>1765</v>
      </c>
      <c r="GM9" t="s">
        <v>4202</v>
      </c>
      <c r="GN9">
        <v>-2.4245362661989844E-14</v>
      </c>
      <c r="GP9">
        <v>-2.4245362661989844E-14</v>
      </c>
      <c r="GQ9" t="s">
        <v>1742</v>
      </c>
      <c r="GR9">
        <v>2025</v>
      </c>
      <c r="GS9" t="s">
        <v>4203</v>
      </c>
      <c r="GT9" s="6">
        <v>45993</v>
      </c>
      <c r="GU9">
        <v>5</v>
      </c>
      <c r="GV9">
        <v>-2.4245362661989844E-14</v>
      </c>
      <c r="GW9">
        <v>50681608</v>
      </c>
      <c r="GX9" t="s">
        <v>4204</v>
      </c>
      <c r="IG9" t="s">
        <v>3780</v>
      </c>
      <c r="IH9" t="s">
        <v>1820</v>
      </c>
      <c r="II9">
        <v>0.14222799999999999</v>
      </c>
      <c r="IJ9">
        <v>0.108672</v>
      </c>
      <c r="IK9" t="s">
        <v>1762</v>
      </c>
      <c r="IL9">
        <v>2026</v>
      </c>
      <c r="IM9" t="s">
        <v>3781</v>
      </c>
      <c r="IN9" s="6">
        <v>46059</v>
      </c>
      <c r="IO9">
        <v>5</v>
      </c>
      <c r="IP9">
        <v>14058</v>
      </c>
      <c r="IQ9">
        <v>225747</v>
      </c>
      <c r="IR9" t="s">
        <v>3782</v>
      </c>
      <c r="IU9" t="s">
        <v>3642</v>
      </c>
      <c r="IV9">
        <v>-2.4245362661989844E-14</v>
      </c>
      <c r="IX9">
        <v>-2.4245362661989844E-14</v>
      </c>
      <c r="IY9" t="s">
        <v>1745</v>
      </c>
      <c r="IZ9">
        <v>2022</v>
      </c>
      <c r="JA9" t="s">
        <v>3643</v>
      </c>
      <c r="JB9" s="6">
        <v>44879</v>
      </c>
      <c r="JC9">
        <v>5</v>
      </c>
      <c r="JD9">
        <v>-2.4245362661989844E-14</v>
      </c>
      <c r="JE9">
        <v>16768012</v>
      </c>
      <c r="JF9" t="s">
        <v>3644</v>
      </c>
      <c r="KO9" t="s">
        <v>2680</v>
      </c>
      <c r="KQ9">
        <v>-2.4245362661989844E-14</v>
      </c>
      <c r="KR9">
        <v>-2.4245362661989844E-14</v>
      </c>
      <c r="KS9" t="s">
        <v>1745</v>
      </c>
      <c r="KT9">
        <v>2023</v>
      </c>
      <c r="KU9" t="s">
        <v>2516</v>
      </c>
      <c r="KV9" s="6">
        <v>45302</v>
      </c>
      <c r="KW9">
        <v>5</v>
      </c>
      <c r="KX9">
        <v>-2.4245362661989844E-14</v>
      </c>
      <c r="KY9">
        <v>931651</v>
      </c>
      <c r="KZ9" t="s">
        <v>2681</v>
      </c>
      <c r="MW9" t="s">
        <v>4206</v>
      </c>
      <c r="MY9">
        <v>2.4574069999999999</v>
      </c>
      <c r="MZ9">
        <v>-2.4245362661989844E-14</v>
      </c>
      <c r="NA9" t="s">
        <v>1742</v>
      </c>
      <c r="NB9">
        <v>2025</v>
      </c>
      <c r="NC9" t="s">
        <v>4207</v>
      </c>
      <c r="ND9" s="6">
        <v>45966</v>
      </c>
      <c r="NE9">
        <v>5</v>
      </c>
      <c r="NF9">
        <v>2258750</v>
      </c>
      <c r="NG9">
        <v>34865158</v>
      </c>
      <c r="NH9" t="s">
        <v>4208</v>
      </c>
      <c r="NK9" t="s">
        <v>1814</v>
      </c>
      <c r="NL9">
        <v>-2.4245362661989844E-14</v>
      </c>
      <c r="NN9">
        <v>-2.4245362661989844E-14</v>
      </c>
      <c r="NO9" t="s">
        <v>1745</v>
      </c>
      <c r="NP9">
        <v>2021</v>
      </c>
      <c r="NQ9" t="s">
        <v>4717</v>
      </c>
      <c r="NR9" s="6">
        <v>44630</v>
      </c>
      <c r="NS9">
        <v>5</v>
      </c>
      <c r="NT9">
        <v>-2.4245362661989844E-14</v>
      </c>
      <c r="NU9">
        <v>100115</v>
      </c>
      <c r="NV9" t="s">
        <v>1816</v>
      </c>
      <c r="OA9" t="s">
        <v>4458</v>
      </c>
      <c r="OC9">
        <v>-2.4245362661989844E-14</v>
      </c>
      <c r="OD9">
        <v>-2.4245362661989844E-14</v>
      </c>
      <c r="OE9" t="s">
        <v>1745</v>
      </c>
      <c r="OF9">
        <v>2023</v>
      </c>
      <c r="OG9" t="s">
        <v>4459</v>
      </c>
      <c r="OH9" s="6">
        <v>45013</v>
      </c>
      <c r="OI9">
        <v>5</v>
      </c>
      <c r="OJ9">
        <v>-2.4245362661989844E-14</v>
      </c>
      <c r="OK9">
        <v>69921002</v>
      </c>
      <c r="OL9" t="s">
        <v>4460</v>
      </c>
      <c r="TU9" t="s">
        <v>2765</v>
      </c>
      <c r="TW9">
        <v>-2.4245362661989844E-14</v>
      </c>
      <c r="TX9">
        <v>-2.4245362661989844E-14</v>
      </c>
      <c r="TY9" t="s">
        <v>1745</v>
      </c>
      <c r="TZ9">
        <v>2025</v>
      </c>
      <c r="UA9" t="s">
        <v>2766</v>
      </c>
      <c r="UB9" s="6">
        <v>45961</v>
      </c>
      <c r="UC9">
        <v>5</v>
      </c>
      <c r="UD9">
        <v>-2.4245362661989844E-14</v>
      </c>
      <c r="UE9">
        <v>9860126</v>
      </c>
      <c r="UF9" t="s">
        <v>2767</v>
      </c>
      <c r="UI9" t="s">
        <v>121</v>
      </c>
      <c r="UJ9">
        <v>-2.4245362661989844E-14</v>
      </c>
      <c r="UL9">
        <v>-2.4245362661989844E-14</v>
      </c>
      <c r="UM9" t="s">
        <v>1745</v>
      </c>
      <c r="UN9">
        <v>2023</v>
      </c>
      <c r="UO9" t="s">
        <v>2094</v>
      </c>
      <c r="UP9" s="6">
        <v>45398</v>
      </c>
      <c r="UQ9">
        <v>5</v>
      </c>
      <c r="UR9">
        <v>-2.4245362661989844E-14</v>
      </c>
      <c r="US9">
        <v>100801</v>
      </c>
      <c r="UT9" t="s">
        <v>2095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1420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1421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1422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1423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1424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1425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1426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1427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1428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1429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1430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1431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1432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1433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1434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1435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1436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1437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1438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1439</v>
      </c>
      <c r="AE2" s="3" t="s">
        <v>1440</v>
      </c>
      <c r="BI2" s="3" t="s">
        <v>1410</v>
      </c>
      <c r="CM2" s="3" t="s">
        <v>1441</v>
      </c>
      <c r="DQ2" s="3" t="s">
        <v>1442</v>
      </c>
      <c r="EU2" s="3" t="s">
        <v>977</v>
      </c>
      <c r="FY2" s="3" t="s">
        <v>1443</v>
      </c>
      <c r="HC2" s="3" t="s">
        <v>1444</v>
      </c>
      <c r="IG2" s="3" t="s">
        <v>1445</v>
      </c>
      <c r="JK2" s="3" t="s">
        <v>840</v>
      </c>
      <c r="KO2" s="3" t="s">
        <v>1413</v>
      </c>
      <c r="LS2" s="3" t="s">
        <v>1186</v>
      </c>
      <c r="MW2" s="3" t="s">
        <v>639</v>
      </c>
      <c r="OA2" s="3" t="s">
        <v>385</v>
      </c>
      <c r="PE2" s="3" t="s">
        <v>1446</v>
      </c>
      <c r="QI2" s="3" t="s">
        <v>1447</v>
      </c>
      <c r="RM2" s="3" t="s">
        <v>1448</v>
      </c>
      <c r="SQ2" s="3" t="s">
        <v>86</v>
      </c>
      <c r="TU2" s="3" t="s">
        <v>1449</v>
      </c>
      <c r="UY2" s="3" t="s">
        <v>1450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_xll.BDS("HBAN US Equity","SUPPLY_CHAIN_SUPPLIERS_ALL_DATA","cols=12;rows=4")</f>
        <v>004800 KS Equity</v>
      </c>
      <c r="C5">
        <v>-2.4245362661989844E-14</v>
      </c>
      <c r="D5">
        <v>-2.4245362661989844E-14</v>
      </c>
      <c r="E5" t="s">
        <v>1798</v>
      </c>
      <c r="F5">
        <v>2025</v>
      </c>
      <c r="G5" t="s">
        <v>2279</v>
      </c>
      <c r="H5" s="6">
        <v>45974</v>
      </c>
      <c r="I5">
        <v>4</v>
      </c>
      <c r="J5">
        <v>-2.4245362661989844E-14</v>
      </c>
      <c r="K5">
        <v>118099</v>
      </c>
      <c r="L5" t="s">
        <v>2044</v>
      </c>
      <c r="O5" t="str">
        <f>_xll.BDS("HBAN US Equity","SUPPLY_CHAIN_CUSTOMERS_ALL_DATA")</f>
        <v>#N/A N/A</v>
      </c>
      <c r="AE5" t="str">
        <f>_xll.BDS("ROCC US Equity","SUPPLY_CHAIN_SUPPLIERS_ALL_DATA","cols=12;rows=2")</f>
        <v>SRE US Equity</v>
      </c>
      <c r="AG5">
        <v>-2.4245362661989844E-14</v>
      </c>
      <c r="AH5">
        <v>-2.4245362661989844E-14</v>
      </c>
      <c r="AI5" t="s">
        <v>1745</v>
      </c>
      <c r="AJ5">
        <v>2021</v>
      </c>
      <c r="AK5" t="s">
        <v>2027</v>
      </c>
      <c r="AL5" s="6">
        <v>44693</v>
      </c>
      <c r="AM5">
        <v>2</v>
      </c>
      <c r="AN5">
        <v>-2.4245362661989844E-14</v>
      </c>
      <c r="AO5">
        <v>350245</v>
      </c>
      <c r="AP5" t="s">
        <v>3360</v>
      </c>
      <c r="AS5" t="str">
        <f>_xll.BDS("ROCC US Equity","SUPPLY_CHAIN_CUSTOMERS_ALL_DATA")</f>
        <v>#N/A N/A</v>
      </c>
      <c r="BI5" t="str">
        <f>_xll.BDS("RDN US Equity","SUPPLY_CHAIN_SUPPLIERS_ALL_DATA")</f>
        <v>#N/A N/A</v>
      </c>
      <c r="BW5" t="str">
        <f>_xll.BDS("RDN US Equity","SUPPLY_CHAIN_CUSTOMERS_ALL_DATA","cols=12;rows=1")</f>
        <v>ICE US Equity</v>
      </c>
      <c r="BX5">
        <v>-2.4245362661989844E-14</v>
      </c>
      <c r="BZ5">
        <v>-2.4245362661989844E-14</v>
      </c>
      <c r="CA5" t="s">
        <v>1745</v>
      </c>
      <c r="CB5">
        <v>2024</v>
      </c>
      <c r="CC5" t="s">
        <v>4008</v>
      </c>
      <c r="CD5" s="6">
        <v>45371</v>
      </c>
      <c r="CE5">
        <v>1</v>
      </c>
      <c r="CF5">
        <v>-2.4245362661989844E-14</v>
      </c>
      <c r="CG5">
        <v>7004138</v>
      </c>
      <c r="CH5" t="s">
        <v>4009</v>
      </c>
      <c r="CM5" t="str">
        <f>_xll.BDS("3539245Q US Equity","SUPPLY_CHAIN_SUPPLIERS_ALL_DATA")</f>
        <v>#N/A N/A</v>
      </c>
      <c r="DA5" t="str">
        <f>_xll.BDS("3539245Q US Equity","SUPPLY_CHAIN_CUSTOMERS_ALL_DATA")</f>
        <v>#N/A N/A</v>
      </c>
      <c r="DQ5" t="str">
        <f>_xll.BDS("NOC US Equity","SUPPLY_CHAIN_SUPPLIERS_ALL_DATA","cols=12;rows=5")</f>
        <v>RTX US Equity</v>
      </c>
      <c r="DR5" t="s">
        <v>1786</v>
      </c>
      <c r="DS5">
        <v>0.51138700000000004</v>
      </c>
      <c r="DT5">
        <v>1.351197</v>
      </c>
      <c r="DU5" t="s">
        <v>1762</v>
      </c>
      <c r="DV5">
        <v>2025</v>
      </c>
      <c r="DW5" t="s">
        <v>3638</v>
      </c>
      <c r="DX5" s="6">
        <v>45895</v>
      </c>
      <c r="DY5">
        <v>5</v>
      </c>
      <c r="DZ5">
        <v>110362432</v>
      </c>
      <c r="EA5">
        <v>101555</v>
      </c>
      <c r="EB5" t="s">
        <v>1848</v>
      </c>
      <c r="EE5" t="str">
        <f>_xll.BDS("NOC US Equity","SUPPLY_CHAIN_CUSTOMERS_ALL_DATA","cols=12;rows=5")</f>
        <v>3352Z US Equity</v>
      </c>
      <c r="EF5">
        <v>84</v>
      </c>
      <c r="EH5">
        <v>-2.4245362661989844E-14</v>
      </c>
      <c r="EI5" t="s">
        <v>1745</v>
      </c>
      <c r="EJ5">
        <v>2025</v>
      </c>
      <c r="EK5" t="s">
        <v>3560</v>
      </c>
      <c r="EL5" s="6">
        <v>46049</v>
      </c>
      <c r="EM5">
        <v>5</v>
      </c>
      <c r="EN5">
        <v>8795750000</v>
      </c>
      <c r="EO5">
        <v>218252</v>
      </c>
      <c r="EP5" t="s">
        <v>1803</v>
      </c>
      <c r="EU5" t="str">
        <f>_xll.BDS("RVTY US Equity","SUPPLY_CHAIN_SUPPLIERS_ALL_DATA","cols=12;rows=5")</f>
        <v>UPS US Equity</v>
      </c>
      <c r="EV5" t="s">
        <v>1786</v>
      </c>
      <c r="EW5">
        <v>5.5890000000000002E-2</v>
      </c>
      <c r="EX5">
        <v>3.6901579999999998</v>
      </c>
      <c r="EY5" t="s">
        <v>1742</v>
      </c>
      <c r="EZ5">
        <v>2025</v>
      </c>
      <c r="FA5" t="s">
        <v>1821</v>
      </c>
      <c r="FB5" s="6">
        <v>46007</v>
      </c>
      <c r="FC5">
        <v>5</v>
      </c>
      <c r="FD5">
        <v>11968844</v>
      </c>
      <c r="FE5">
        <v>143027</v>
      </c>
      <c r="FF5" t="s">
        <v>1822</v>
      </c>
      <c r="FI5" t="str">
        <f>_xll.BDS("RVTY US Equity","SUPPLY_CHAIN_CUSTOMERS_ALL_DATA","cols=12;rows=5")</f>
        <v>002971 CH Equity</v>
      </c>
      <c r="FJ5">
        <v>-2.4245362661989844E-14</v>
      </c>
      <c r="FL5">
        <v>-2.4245362661989844E-14</v>
      </c>
      <c r="FM5" t="s">
        <v>1805</v>
      </c>
      <c r="FN5">
        <v>2025</v>
      </c>
      <c r="FO5" t="s">
        <v>1903</v>
      </c>
      <c r="FP5" s="6">
        <v>45888</v>
      </c>
      <c r="FQ5">
        <v>5</v>
      </c>
      <c r="FR5">
        <v>-2.4245362661989844E-14</v>
      </c>
      <c r="FS5">
        <v>61902583</v>
      </c>
      <c r="FT5" t="s">
        <v>1904</v>
      </c>
      <c r="FY5" t="str">
        <f>_xll.BDS("MATX US Equity","SUPPLY_CHAIN_SUPPLIERS_ALL_DATA","cols=12;rows=5")</f>
        <v>AVA US Equity</v>
      </c>
      <c r="GA5">
        <v>-2.4245362661989844E-14</v>
      </c>
      <c r="GB5">
        <v>-2.4245362661989844E-14</v>
      </c>
      <c r="GC5" t="s">
        <v>1745</v>
      </c>
      <c r="GD5">
        <v>2021</v>
      </c>
      <c r="GE5" t="s">
        <v>2692</v>
      </c>
      <c r="GF5" s="6">
        <v>44693</v>
      </c>
      <c r="GG5">
        <v>5</v>
      </c>
      <c r="GH5">
        <v>-2.4245362661989844E-14</v>
      </c>
      <c r="GI5">
        <v>101625</v>
      </c>
      <c r="GJ5" t="s">
        <v>2693</v>
      </c>
      <c r="GM5" t="str">
        <f>_xll.BDS("MATX US Equity","SUPPLY_CHAIN_CUSTOMERS_ALL_DATA","cols=12;rows=3")</f>
        <v>3352Z US Equity</v>
      </c>
      <c r="GN5">
        <v>-2.4245362661989844E-14</v>
      </c>
      <c r="GP5">
        <v>-2.4245362661989844E-14</v>
      </c>
      <c r="GQ5" t="s">
        <v>1745</v>
      </c>
      <c r="GR5">
        <v>2023</v>
      </c>
      <c r="GS5" t="s">
        <v>2518</v>
      </c>
      <c r="GT5" s="6">
        <v>45345</v>
      </c>
      <c r="GU5">
        <v>3</v>
      </c>
      <c r="GV5">
        <v>-2.4245362661989844E-14</v>
      </c>
      <c r="GW5">
        <v>218252</v>
      </c>
      <c r="GX5" t="s">
        <v>1803</v>
      </c>
      <c r="HC5" t="str">
        <f>_xll.BDS("PAET US Equity","SUPPLY_CHAIN_SUPPLIERS_ALL_DATA")</f>
        <v>#N/A N/A</v>
      </c>
      <c r="HQ5" t="str">
        <f>_xll.BDS("PAET US Equity","SUPPLY_CHAIN_CUSTOMERS_ALL_DATA","cols=12;rows=1")</f>
        <v>AKU CN Equity</v>
      </c>
      <c r="HR5">
        <v>-2.4245362661989844E-14</v>
      </c>
      <c r="HT5">
        <v>-2.4245362661989844E-14</v>
      </c>
      <c r="HU5" t="s">
        <v>1742</v>
      </c>
      <c r="HV5">
        <v>2023</v>
      </c>
      <c r="HW5" t="s">
        <v>1743</v>
      </c>
      <c r="HX5" s="6">
        <v>45221</v>
      </c>
      <c r="HY5">
        <v>1</v>
      </c>
      <c r="HZ5">
        <v>-2.4245362661989844E-14</v>
      </c>
      <c r="IA5">
        <v>56443146</v>
      </c>
      <c r="IB5" t="s">
        <v>1744</v>
      </c>
      <c r="IG5" t="str">
        <f>_xll.BDS("285939Q US Equity","SUPPLY_CHAIN_SUPPLIERS_ALL_DATA")</f>
        <v>#N/A N/A</v>
      </c>
      <c r="IU5" t="str">
        <f>_xll.BDS("285939Q US Equity","SUPPLY_CHAIN_CUSTOMERS_ALL_DATA")</f>
        <v>#N/A N/A</v>
      </c>
      <c r="JK5" t="str">
        <f>_xll.BDS("AVT US Equity","SUPPLY_CHAIN_SUPPLIERS_ALL_DATA","cols=12;rows=5")</f>
        <v>NXPI US Equity</v>
      </c>
      <c r="JL5" t="s">
        <v>1786</v>
      </c>
      <c r="JM5">
        <v>23</v>
      </c>
      <c r="JN5">
        <v>13.637885000000001</v>
      </c>
      <c r="JO5" t="s">
        <v>1745</v>
      </c>
      <c r="JP5">
        <v>2025</v>
      </c>
      <c r="JQ5" t="s">
        <v>3586</v>
      </c>
      <c r="JR5" s="6">
        <v>46072</v>
      </c>
      <c r="JS5">
        <v>5</v>
      </c>
      <c r="JT5">
        <v>705467520</v>
      </c>
      <c r="JU5">
        <v>11109358</v>
      </c>
      <c r="JV5" t="s">
        <v>3587</v>
      </c>
      <c r="JY5" t="str">
        <f>_xll.BDS("AVT US Equity","SUPPLY_CHAIN_CUSTOMERS_ALL_DATA","cols=12;rows=5")</f>
        <v>005930 KS Equity</v>
      </c>
      <c r="JZ5">
        <v>0.32775599999999999</v>
      </c>
      <c r="KA5" t="s">
        <v>1786</v>
      </c>
      <c r="KB5">
        <v>5.2585E-2</v>
      </c>
      <c r="KC5" t="s">
        <v>1762</v>
      </c>
      <c r="KD5">
        <v>2025</v>
      </c>
      <c r="KE5" t="s">
        <v>3436</v>
      </c>
      <c r="KF5" s="6">
        <v>45952</v>
      </c>
      <c r="KG5">
        <v>5</v>
      </c>
      <c r="KH5">
        <v>18434370.91</v>
      </c>
      <c r="KI5">
        <v>117929</v>
      </c>
      <c r="KJ5" t="s">
        <v>1791</v>
      </c>
      <c r="KO5" t="str">
        <f>_xll.BDS("KEY US Equity","SUPPLY_CHAIN_SUPPLIERS_ALL_DATA","cols=12;rows=5")</f>
        <v>BILL US Equity</v>
      </c>
      <c r="KQ5">
        <v>-2.4245362661989844E-14</v>
      </c>
      <c r="KR5">
        <v>-2.4245362661989844E-14</v>
      </c>
      <c r="KS5" t="s">
        <v>1742</v>
      </c>
      <c r="KT5">
        <v>2024</v>
      </c>
      <c r="KU5" t="s">
        <v>4449</v>
      </c>
      <c r="KV5" s="6">
        <v>45414</v>
      </c>
      <c r="KW5">
        <v>5</v>
      </c>
      <c r="KX5">
        <v>-2.4245362661989844E-14</v>
      </c>
      <c r="KY5">
        <v>66503767</v>
      </c>
      <c r="KZ5" t="s">
        <v>4450</v>
      </c>
      <c r="LC5" t="str">
        <f>_xll.BDS("KEY US Equity","SUPPLY_CHAIN_CUSTOMERS_ALL_DATA")</f>
        <v>#N/A N/A</v>
      </c>
      <c r="LS5" t="str">
        <f>_xll.BDS("PNC US Equity","SUPPLY_CHAIN_SUPPLIERS_ALL_DATA","cols=12;rows=5")</f>
        <v>ORCL US Equity</v>
      </c>
      <c r="LT5" t="s">
        <v>1786</v>
      </c>
      <c r="LU5">
        <v>7.3811000000000002E-2</v>
      </c>
      <c r="LV5">
        <v>0.34656500000000001</v>
      </c>
      <c r="LW5" t="s">
        <v>1845</v>
      </c>
      <c r="LX5">
        <v>2025</v>
      </c>
      <c r="LY5" t="s">
        <v>1883</v>
      </c>
      <c r="LZ5" s="6">
        <v>45848</v>
      </c>
      <c r="MA5">
        <v>5</v>
      </c>
      <c r="MB5">
        <v>11738163</v>
      </c>
      <c r="MC5">
        <v>101752</v>
      </c>
      <c r="MD5" t="s">
        <v>2723</v>
      </c>
      <c r="MG5" t="str">
        <f>_xll.BDS("PNC US Equity","SUPPLY_CHAIN_CUSTOMERS_ALL_DATA","cols=12;rows=1")</f>
        <v>4502 JP Equity</v>
      </c>
      <c r="MH5">
        <v>-2.4245362661989844E-14</v>
      </c>
      <c r="MJ5">
        <v>-2.4245362661989844E-14</v>
      </c>
      <c r="MK5" t="s">
        <v>1745</v>
      </c>
      <c r="ML5">
        <v>2025</v>
      </c>
      <c r="MM5" t="s">
        <v>3980</v>
      </c>
      <c r="MN5" s="6">
        <v>45834</v>
      </c>
      <c r="MO5">
        <v>1</v>
      </c>
      <c r="MP5">
        <v>-2.4245362661989844E-14</v>
      </c>
      <c r="MQ5">
        <v>114881</v>
      </c>
      <c r="MR5" t="s">
        <v>3981</v>
      </c>
      <c r="MW5" t="str">
        <f>_xll.BDS("MTB US Equity","SUPPLY_CHAIN_SUPPLIERS_ALL_DATA","cols=12;rows=5")</f>
        <v>ORCL US Equity</v>
      </c>
      <c r="MX5" t="s">
        <v>1786</v>
      </c>
      <c r="MY5">
        <v>1.9734999999999999E-2</v>
      </c>
      <c r="MZ5">
        <v>0.221799</v>
      </c>
      <c r="NA5" t="s">
        <v>1845</v>
      </c>
      <c r="NB5">
        <v>2025</v>
      </c>
      <c r="NC5" t="s">
        <v>1883</v>
      </c>
      <c r="ND5" s="6">
        <v>45848</v>
      </c>
      <c r="NE5">
        <v>5</v>
      </c>
      <c r="NF5">
        <v>3138457</v>
      </c>
      <c r="NG5">
        <v>101752</v>
      </c>
      <c r="NH5" t="s">
        <v>2723</v>
      </c>
      <c r="NK5" t="str">
        <f>_xll.BDS("MTB US Equity","SUPPLY_CHAIN_CUSTOMERS_ALL_DATA","cols=12;rows=3")</f>
        <v>2610 TT Equity</v>
      </c>
      <c r="NL5">
        <v>-2.4245362661989844E-14</v>
      </c>
      <c r="NN5">
        <v>-2.4245362661989844E-14</v>
      </c>
      <c r="NO5" t="s">
        <v>1745</v>
      </c>
      <c r="NP5">
        <v>2024</v>
      </c>
      <c r="NQ5" t="s">
        <v>3497</v>
      </c>
      <c r="NR5" s="6">
        <v>45786</v>
      </c>
      <c r="NS5">
        <v>3</v>
      </c>
      <c r="NT5">
        <v>-2.4245362661989844E-14</v>
      </c>
      <c r="NU5">
        <v>129514</v>
      </c>
      <c r="NV5" t="s">
        <v>3498</v>
      </c>
      <c r="OA5" t="str">
        <f>_xll.BDS("JNJ US Equity","SUPPLY_CHAIN_SUPPLIERS_ALL_DATA","cols=12;rows=5")</f>
        <v>GMAB DC Equity</v>
      </c>
      <c r="OB5" t="s">
        <v>2416</v>
      </c>
      <c r="OC5">
        <v>66.998047</v>
      </c>
      <c r="OD5">
        <v>11.040321</v>
      </c>
      <c r="OE5" t="s">
        <v>1745</v>
      </c>
      <c r="OF5">
        <v>2024</v>
      </c>
      <c r="OG5" t="s">
        <v>2793</v>
      </c>
      <c r="OH5" s="6">
        <v>45701</v>
      </c>
      <c r="OI5">
        <v>5</v>
      </c>
      <c r="OJ5">
        <v>522920364.22000003</v>
      </c>
      <c r="OK5">
        <v>1405715</v>
      </c>
      <c r="OL5" t="s">
        <v>2794</v>
      </c>
      <c r="OO5" t="str">
        <f>_xll.BDS("JNJ US Equity","SUPPLY_CHAIN_CUSTOMERS_ALL_DATA","cols=12;rows=5")</f>
        <v>MCK US Equity</v>
      </c>
      <c r="OP5">
        <v>20.476745999999999</v>
      </c>
      <c r="OQ5" t="s">
        <v>1786</v>
      </c>
      <c r="OR5">
        <v>6.636412</v>
      </c>
      <c r="OS5" t="s">
        <v>1742</v>
      </c>
      <c r="OT5">
        <v>2025</v>
      </c>
      <c r="OU5" t="s">
        <v>2501</v>
      </c>
      <c r="OV5" s="6">
        <v>46018</v>
      </c>
      <c r="OW5">
        <v>5</v>
      </c>
      <c r="OX5">
        <v>4912985600</v>
      </c>
      <c r="OY5">
        <v>154936</v>
      </c>
      <c r="OZ5" t="s">
        <v>2146</v>
      </c>
      <c r="PE5" t="str">
        <f>_xll.BDS("CSGP US Equity","SUPPLY_CHAIN_SUPPLIERS_ALL_DATA","cols=12;rows=5")</f>
        <v>MUST SP Equity</v>
      </c>
      <c r="PF5" t="s">
        <v>1769</v>
      </c>
      <c r="PG5">
        <v>3.4</v>
      </c>
      <c r="PH5">
        <v>0.21632799999999999</v>
      </c>
      <c r="PI5" t="s">
        <v>1805</v>
      </c>
      <c r="PJ5">
        <v>2025</v>
      </c>
      <c r="PK5" t="s">
        <v>2732</v>
      </c>
      <c r="PL5" s="6">
        <v>45883</v>
      </c>
      <c r="PM5">
        <v>5</v>
      </c>
      <c r="PN5">
        <v>1026205</v>
      </c>
      <c r="PO5">
        <v>46286147</v>
      </c>
      <c r="PP5" t="s">
        <v>2733</v>
      </c>
      <c r="PS5" t="str">
        <f>_xll.BDS("CSGP US Equity","SUPPLY_CHAIN_CUSTOMERS_ALL_DATA","cols=12;rows=3")</f>
        <v>SNX US Equity</v>
      </c>
      <c r="PT5">
        <v>6.6546999999999995E-2</v>
      </c>
      <c r="PU5" t="s">
        <v>1786</v>
      </c>
      <c r="PV5">
        <v>3.189E-3</v>
      </c>
      <c r="PW5" t="s">
        <v>1845</v>
      </c>
      <c r="PX5">
        <v>2024</v>
      </c>
      <c r="PY5" t="s">
        <v>1887</v>
      </c>
      <c r="PZ5" s="6">
        <v>45722</v>
      </c>
      <c r="QA5">
        <v>3</v>
      </c>
      <c r="QB5">
        <v>472087</v>
      </c>
      <c r="QC5">
        <v>1499717</v>
      </c>
      <c r="QD5" t="s">
        <v>1864</v>
      </c>
      <c r="QI5" t="str">
        <f>_xll.BDS("1552309D US Equity","SUPPLY_CHAIN_SUPPLIERS_ALL_DATA")</f>
        <v>#N/A N/A</v>
      </c>
      <c r="QW5" t="str">
        <f>_xll.BDS("1552309D US Equity","SUPPLY_CHAIN_CUSTOMERS_ALL_DATA")</f>
        <v>#N/A N/A</v>
      </c>
      <c r="RM5" t="str">
        <f>_xll.BDS("BBDC US Equity","SUPPLY_CHAIN_SUPPLIERS_ALL_DATA")</f>
        <v>#N/A N/A</v>
      </c>
      <c r="SA5" t="str">
        <f>_xll.BDS("BBDC US Equity","SUPPLY_CHAIN_CUSTOMERS_ALL_DATA","cols=12;rows=1")</f>
        <v>MODVQ US Equity</v>
      </c>
      <c r="SB5">
        <v>-2.4245362661989844E-14</v>
      </c>
      <c r="SD5">
        <v>-2.4245362661989844E-14</v>
      </c>
      <c r="SE5" t="s">
        <v>1762</v>
      </c>
      <c r="SF5">
        <v>2025</v>
      </c>
      <c r="SG5" t="s">
        <v>4706</v>
      </c>
      <c r="SH5" s="6">
        <v>45889</v>
      </c>
      <c r="SI5">
        <v>1</v>
      </c>
      <c r="SJ5">
        <v>-2.4245362661989844E-14</v>
      </c>
      <c r="SK5">
        <v>8169755</v>
      </c>
      <c r="SL5" t="s">
        <v>4707</v>
      </c>
      <c r="SQ5" t="str">
        <f>_xll.BDS("BRK/A US Equity","SUPPLY_CHAIN_SUPPLIERS_ALL_DATA","cols=12;rows=5")</f>
        <v>HSY US Equity</v>
      </c>
      <c r="SR5" t="s">
        <v>1786</v>
      </c>
      <c r="SS5">
        <v>27</v>
      </c>
      <c r="ST5">
        <v>1.2151259999999999</v>
      </c>
      <c r="SU5" t="s">
        <v>1745</v>
      </c>
      <c r="SV5">
        <v>2025</v>
      </c>
      <c r="SW5" t="s">
        <v>3041</v>
      </c>
      <c r="SX5" s="6">
        <v>46070</v>
      </c>
      <c r="SY5">
        <v>5</v>
      </c>
      <c r="SZ5">
        <v>789248896</v>
      </c>
      <c r="TA5">
        <v>100731</v>
      </c>
      <c r="TB5" t="s">
        <v>3042</v>
      </c>
      <c r="TE5" t="str">
        <f>_xll.BDS("BRK/A US Equity","SUPPLY_CHAIN_CUSTOMERS_ALL_DATA","cols=12;rows=5")</f>
        <v>WMT US Equity</v>
      </c>
      <c r="TF5">
        <v>2.1167449999999999</v>
      </c>
      <c r="TG5" t="s">
        <v>1786</v>
      </c>
      <c r="TH5">
        <v>1.7547349999999999</v>
      </c>
      <c r="TI5" t="s">
        <v>1745</v>
      </c>
      <c r="TJ5">
        <v>2024</v>
      </c>
      <c r="TK5" t="s">
        <v>3646</v>
      </c>
      <c r="TL5" s="6">
        <v>45712</v>
      </c>
      <c r="TM5">
        <v>5</v>
      </c>
      <c r="TN5">
        <v>2244977664</v>
      </c>
      <c r="TO5">
        <v>101616</v>
      </c>
      <c r="TP5" t="s">
        <v>2098</v>
      </c>
      <c r="TU5" t="str">
        <f>_xll.BDS("ANDW US Equity","SUPPLY_CHAIN_SUPPLIERS_ALL_DATA")</f>
        <v>#N/A N/A</v>
      </c>
      <c r="UI5" t="str">
        <f>_xll.BDS("ANDW US Equity","SUPPLY_CHAIN_CUSTOMERS_ALL_DATA")</f>
        <v>#N/A N/A</v>
      </c>
      <c r="UY5" t="str">
        <f>_xll.BDS("BRL US Equity","SUPPLY_CHAIN_SUPPLIERS_ALL_DATA")</f>
        <v>#N/A N/A</v>
      </c>
      <c r="VM5" t="str">
        <f>_xll.BDS("BRL US Equity","SUPPLY_CHAIN_CUSTOMERS_ALL_DATA")</f>
        <v>#N/A N/A</v>
      </c>
    </row>
    <row r="6" spans="1:600" x14ac:dyDescent="0.25">
      <c r="A6" t="s">
        <v>3218</v>
      </c>
      <c r="C6">
        <v>-2.4245362661989844E-14</v>
      </c>
      <c r="D6">
        <v>-2.4245362661989844E-14</v>
      </c>
      <c r="E6" t="s">
        <v>1745</v>
      </c>
      <c r="F6">
        <v>2023</v>
      </c>
      <c r="G6" t="s">
        <v>3219</v>
      </c>
      <c r="H6" s="6">
        <v>45337</v>
      </c>
      <c r="I6">
        <v>4</v>
      </c>
      <c r="J6">
        <v>-2.4245362661989844E-14</v>
      </c>
      <c r="K6">
        <v>46177523</v>
      </c>
      <c r="L6" t="s">
        <v>3220</v>
      </c>
      <c r="AE6" t="s">
        <v>4624</v>
      </c>
      <c r="AG6">
        <v>-2.4245362661989844E-14</v>
      </c>
      <c r="AH6">
        <v>-2.4245362661989844E-14</v>
      </c>
      <c r="AI6" t="s">
        <v>1745</v>
      </c>
      <c r="AJ6">
        <v>2021</v>
      </c>
      <c r="AK6" t="s">
        <v>4625</v>
      </c>
      <c r="AL6" s="6">
        <v>44693</v>
      </c>
      <c r="AM6">
        <v>2</v>
      </c>
      <c r="AN6">
        <v>-2.4245362661989844E-14</v>
      </c>
      <c r="AO6">
        <v>101225</v>
      </c>
      <c r="AP6" t="s">
        <v>4626</v>
      </c>
      <c r="DQ6" t="s">
        <v>3788</v>
      </c>
      <c r="DR6" t="s">
        <v>1786</v>
      </c>
      <c r="DS6">
        <v>2.205819</v>
      </c>
      <c r="DT6">
        <v>0.66992200000000002</v>
      </c>
      <c r="DU6" t="s">
        <v>1762</v>
      </c>
      <c r="DV6">
        <v>2026</v>
      </c>
      <c r="DW6" t="s">
        <v>3789</v>
      </c>
      <c r="DX6" s="6">
        <v>46017</v>
      </c>
      <c r="DY6">
        <v>5</v>
      </c>
      <c r="DZ6">
        <v>56247939.43</v>
      </c>
      <c r="EA6">
        <v>113796</v>
      </c>
      <c r="EB6" t="s">
        <v>3790</v>
      </c>
      <c r="EE6" t="s">
        <v>2073</v>
      </c>
      <c r="EF6">
        <v>1.0381830000000001</v>
      </c>
      <c r="EG6" t="s">
        <v>1786</v>
      </c>
      <c r="EH6">
        <v>0.65061599999999997</v>
      </c>
      <c r="EI6" t="s">
        <v>1742</v>
      </c>
      <c r="EJ6">
        <v>2025</v>
      </c>
      <c r="EK6" t="s">
        <v>3561</v>
      </c>
      <c r="EL6" s="6">
        <v>45964</v>
      </c>
      <c r="EM6">
        <v>5</v>
      </c>
      <c r="EN6">
        <v>106499408</v>
      </c>
      <c r="EO6">
        <v>156923</v>
      </c>
      <c r="EP6" t="s">
        <v>2074</v>
      </c>
      <c r="EU6" t="s">
        <v>2909</v>
      </c>
      <c r="EV6" t="s">
        <v>1786</v>
      </c>
      <c r="EW6">
        <v>0.31914300000000001</v>
      </c>
      <c r="EX6">
        <v>0.73328199999999999</v>
      </c>
      <c r="EY6" t="s">
        <v>1809</v>
      </c>
      <c r="EZ6">
        <v>2025</v>
      </c>
      <c r="FA6" t="s">
        <v>2910</v>
      </c>
      <c r="FB6" s="6">
        <v>45958</v>
      </c>
      <c r="FC6">
        <v>5</v>
      </c>
      <c r="FD6">
        <v>2353606.12</v>
      </c>
      <c r="FE6">
        <v>111769</v>
      </c>
      <c r="FF6" t="s">
        <v>2911</v>
      </c>
      <c r="FI6" t="s">
        <v>1905</v>
      </c>
      <c r="FJ6">
        <v>-2.4245362661989844E-14</v>
      </c>
      <c r="FL6">
        <v>-2.4245362661989844E-14</v>
      </c>
      <c r="FM6" t="s">
        <v>1745</v>
      </c>
      <c r="FN6">
        <v>2022</v>
      </c>
      <c r="FO6" t="s">
        <v>1906</v>
      </c>
      <c r="FP6" s="6">
        <v>45015</v>
      </c>
      <c r="FQ6">
        <v>5</v>
      </c>
      <c r="FR6">
        <v>-2.4245362661989844E-14</v>
      </c>
      <c r="FS6">
        <v>21694063</v>
      </c>
      <c r="FT6" t="s">
        <v>1907</v>
      </c>
      <c r="FY6" t="s">
        <v>2694</v>
      </c>
      <c r="GA6">
        <v>-2.4245362661989844E-14</v>
      </c>
      <c r="GB6">
        <v>-2.4245362661989844E-14</v>
      </c>
      <c r="GC6" t="s">
        <v>1745</v>
      </c>
      <c r="GD6">
        <v>2021</v>
      </c>
      <c r="GE6" t="s">
        <v>2695</v>
      </c>
      <c r="GF6" s="6">
        <v>44693</v>
      </c>
      <c r="GG6">
        <v>5</v>
      </c>
      <c r="GH6">
        <v>-2.4245362661989844E-14</v>
      </c>
      <c r="GI6">
        <v>101315</v>
      </c>
      <c r="GJ6" t="s">
        <v>2696</v>
      </c>
      <c r="GM6" t="s">
        <v>2519</v>
      </c>
      <c r="GN6">
        <v>-2.4245362661989844E-14</v>
      </c>
      <c r="GP6">
        <v>-2.4245362661989844E-14</v>
      </c>
      <c r="GQ6" t="s">
        <v>1745</v>
      </c>
      <c r="GR6">
        <v>2023</v>
      </c>
      <c r="GS6" t="s">
        <v>2518</v>
      </c>
      <c r="GT6" s="6">
        <v>45345</v>
      </c>
      <c r="GU6">
        <v>3</v>
      </c>
      <c r="GV6">
        <v>-2.4245362661989844E-14</v>
      </c>
      <c r="GW6">
        <v>342733</v>
      </c>
      <c r="GX6" t="s">
        <v>2520</v>
      </c>
      <c r="JK6" t="s">
        <v>2512</v>
      </c>
      <c r="JL6" t="s">
        <v>1786</v>
      </c>
      <c r="JM6">
        <v>2.7653910000000002</v>
      </c>
      <c r="JN6">
        <v>10.856536</v>
      </c>
      <c r="JO6" t="s">
        <v>1762</v>
      </c>
      <c r="JP6">
        <v>2025</v>
      </c>
      <c r="JQ6" t="s">
        <v>2824</v>
      </c>
      <c r="JR6" s="6">
        <v>46065</v>
      </c>
      <c r="JS6">
        <v>5</v>
      </c>
      <c r="JT6">
        <v>614036672</v>
      </c>
      <c r="JU6">
        <v>130929</v>
      </c>
      <c r="JV6" t="s">
        <v>2513</v>
      </c>
      <c r="JY6" t="s">
        <v>3639</v>
      </c>
      <c r="JZ6">
        <v>2.2931E-2</v>
      </c>
      <c r="KA6" t="s">
        <v>1786</v>
      </c>
      <c r="KB6">
        <v>3.4938999999999998E-2</v>
      </c>
      <c r="KC6" t="s">
        <v>1762</v>
      </c>
      <c r="KD6">
        <v>2025</v>
      </c>
      <c r="KE6" t="s">
        <v>3640</v>
      </c>
      <c r="KF6" s="6">
        <v>45908</v>
      </c>
      <c r="KG6">
        <v>5</v>
      </c>
      <c r="KH6">
        <v>1288502.0900000001</v>
      </c>
      <c r="KI6">
        <v>304299</v>
      </c>
      <c r="KJ6" t="s">
        <v>3641</v>
      </c>
      <c r="KO6" t="s">
        <v>2936</v>
      </c>
      <c r="KQ6">
        <v>-2.4245362661989844E-14</v>
      </c>
      <c r="KR6">
        <v>-2.4245362661989844E-14</v>
      </c>
      <c r="KS6" t="s">
        <v>1742</v>
      </c>
      <c r="KT6">
        <v>2025</v>
      </c>
      <c r="KU6" t="s">
        <v>4451</v>
      </c>
      <c r="KV6" s="6">
        <v>45957</v>
      </c>
      <c r="KW6">
        <v>5</v>
      </c>
      <c r="KX6">
        <v>-2.4245362661989844E-14</v>
      </c>
      <c r="KY6">
        <v>43152573</v>
      </c>
      <c r="KZ6" t="s">
        <v>2938</v>
      </c>
      <c r="LS6" t="s">
        <v>4081</v>
      </c>
      <c r="LT6" t="s">
        <v>1769</v>
      </c>
      <c r="LU6">
        <v>0.58391400000000004</v>
      </c>
      <c r="LV6">
        <v>3.4025E-2</v>
      </c>
      <c r="LW6" t="s">
        <v>1745</v>
      </c>
      <c r="LX6">
        <v>2025</v>
      </c>
      <c r="LY6" t="s">
        <v>4082</v>
      </c>
      <c r="LZ6" s="6">
        <v>46063</v>
      </c>
      <c r="MA6">
        <v>5</v>
      </c>
      <c r="MB6">
        <v>1176750</v>
      </c>
      <c r="MC6">
        <v>143096</v>
      </c>
      <c r="MD6" t="s">
        <v>4083</v>
      </c>
      <c r="MW6" t="s">
        <v>3613</v>
      </c>
      <c r="MY6">
        <v>-2.4245362661989844E-14</v>
      </c>
      <c r="MZ6">
        <v>-2.4245362661989844E-14</v>
      </c>
      <c r="NA6" t="s">
        <v>1745</v>
      </c>
      <c r="NB6">
        <v>2024</v>
      </c>
      <c r="NC6" t="s">
        <v>3614</v>
      </c>
      <c r="ND6" s="6">
        <v>45716</v>
      </c>
      <c r="NE6">
        <v>5</v>
      </c>
      <c r="NF6">
        <v>-2.4245362661989844E-14</v>
      </c>
      <c r="NG6">
        <v>119752</v>
      </c>
      <c r="NH6" t="s">
        <v>3615</v>
      </c>
      <c r="NK6" t="s">
        <v>3499</v>
      </c>
      <c r="NL6">
        <v>-2.4245362661989844E-14</v>
      </c>
      <c r="NN6">
        <v>-2.4245362661989844E-14</v>
      </c>
      <c r="NO6" t="s">
        <v>1745</v>
      </c>
      <c r="NP6">
        <v>2024</v>
      </c>
      <c r="NQ6" t="s">
        <v>3500</v>
      </c>
      <c r="NR6" s="6">
        <v>45779</v>
      </c>
      <c r="NS6">
        <v>3</v>
      </c>
      <c r="NT6">
        <v>-2.4245362661989844E-14</v>
      </c>
      <c r="NU6">
        <v>918740</v>
      </c>
      <c r="NV6" t="s">
        <v>3501</v>
      </c>
      <c r="OA6" t="s">
        <v>2795</v>
      </c>
      <c r="OB6" t="s">
        <v>1786</v>
      </c>
      <c r="OC6">
        <v>6.6266720000000001</v>
      </c>
      <c r="OD6">
        <v>6.8004179999999996</v>
      </c>
      <c r="OE6" t="s">
        <v>1742</v>
      </c>
      <c r="OF6">
        <v>2025</v>
      </c>
      <c r="OG6" t="s">
        <v>2796</v>
      </c>
      <c r="OH6" s="6">
        <v>45867</v>
      </c>
      <c r="OI6">
        <v>5</v>
      </c>
      <c r="OJ6">
        <v>518735872</v>
      </c>
      <c r="OK6">
        <v>117092</v>
      </c>
      <c r="OL6" t="s">
        <v>2797</v>
      </c>
      <c r="OO6" t="s">
        <v>2147</v>
      </c>
      <c r="OP6">
        <v>15.549336</v>
      </c>
      <c r="OQ6" t="s">
        <v>1786</v>
      </c>
      <c r="OR6">
        <v>4.6186980000000002</v>
      </c>
      <c r="OS6" t="s">
        <v>1742</v>
      </c>
      <c r="OT6">
        <v>2025</v>
      </c>
      <c r="OU6" t="s">
        <v>2501</v>
      </c>
      <c r="OV6" s="6">
        <v>46018</v>
      </c>
      <c r="OW6">
        <v>5</v>
      </c>
      <c r="OX6">
        <v>3730752256</v>
      </c>
      <c r="OY6">
        <v>156969</v>
      </c>
      <c r="OZ6" t="s">
        <v>2148</v>
      </c>
      <c r="PE6" t="s">
        <v>424</v>
      </c>
      <c r="PF6" t="s">
        <v>1786</v>
      </c>
      <c r="PG6">
        <v>6.2299999999999996E-4</v>
      </c>
      <c r="PH6">
        <v>0.28474300000000002</v>
      </c>
      <c r="PI6" t="s">
        <v>1742</v>
      </c>
      <c r="PJ6">
        <v>2025</v>
      </c>
      <c r="PK6" t="s">
        <v>2528</v>
      </c>
      <c r="PL6" s="6">
        <v>45843</v>
      </c>
      <c r="PM6">
        <v>5</v>
      </c>
      <c r="PN6">
        <v>436511</v>
      </c>
      <c r="PO6">
        <v>101743</v>
      </c>
      <c r="PP6" t="s">
        <v>1891</v>
      </c>
      <c r="PS6" t="s">
        <v>2538</v>
      </c>
      <c r="PT6">
        <v>-2.4245362661989844E-14</v>
      </c>
      <c r="PV6">
        <v>-2.4245362661989844E-14</v>
      </c>
      <c r="PW6" t="s">
        <v>1745</v>
      </c>
      <c r="PX6">
        <v>2024</v>
      </c>
      <c r="PY6" t="s">
        <v>2539</v>
      </c>
      <c r="PZ6" s="6">
        <v>45566</v>
      </c>
      <c r="QA6">
        <v>3</v>
      </c>
      <c r="QB6">
        <v>-2.4245362661989844E-14</v>
      </c>
      <c r="QC6">
        <v>72748346</v>
      </c>
      <c r="QD6" t="s">
        <v>2540</v>
      </c>
      <c r="SQ6" t="s">
        <v>317</v>
      </c>
      <c r="SR6" t="s">
        <v>1820</v>
      </c>
      <c r="SS6">
        <v>6.6028770000000003</v>
      </c>
      <c r="ST6">
        <v>5.0506979999999997</v>
      </c>
      <c r="SU6" t="s">
        <v>1762</v>
      </c>
      <c r="SV6">
        <v>2025</v>
      </c>
      <c r="SW6" t="s">
        <v>3043</v>
      </c>
      <c r="SX6" s="6">
        <v>45915</v>
      </c>
      <c r="SY6">
        <v>5</v>
      </c>
      <c r="SZ6">
        <v>245362912</v>
      </c>
      <c r="TA6">
        <v>101464</v>
      </c>
      <c r="TB6" t="s">
        <v>3044</v>
      </c>
      <c r="TE6" t="s">
        <v>2969</v>
      </c>
      <c r="TF6">
        <v>1.615089</v>
      </c>
      <c r="TG6" t="s">
        <v>1786</v>
      </c>
      <c r="TH6">
        <v>12.136977999999999</v>
      </c>
      <c r="TI6" t="s">
        <v>1745</v>
      </c>
      <c r="TJ6">
        <v>2024</v>
      </c>
      <c r="TK6" t="s">
        <v>3646</v>
      </c>
      <c r="TL6" s="6">
        <v>45712</v>
      </c>
      <c r="TM6">
        <v>5</v>
      </c>
      <c r="TN6">
        <v>1712931072</v>
      </c>
      <c r="TO6">
        <v>9917432</v>
      </c>
      <c r="TP6" t="s">
        <v>2971</v>
      </c>
    </row>
    <row r="7" spans="1:600" x14ac:dyDescent="0.25">
      <c r="A7" t="s">
        <v>1896</v>
      </c>
      <c r="C7">
        <v>-2.4245362661989844E-14</v>
      </c>
      <c r="D7">
        <v>-2.4245362661989844E-14</v>
      </c>
      <c r="E7" t="s">
        <v>1798</v>
      </c>
      <c r="F7">
        <v>2023</v>
      </c>
      <c r="G7" t="s">
        <v>4921</v>
      </c>
      <c r="H7" s="6">
        <v>45245</v>
      </c>
      <c r="I7">
        <v>4</v>
      </c>
      <c r="J7">
        <v>-2.4245362661989844E-14</v>
      </c>
      <c r="K7">
        <v>103882</v>
      </c>
      <c r="L7" t="s">
        <v>1898</v>
      </c>
      <c r="DQ7" t="s">
        <v>806</v>
      </c>
      <c r="DR7" t="s">
        <v>1786</v>
      </c>
      <c r="DS7">
        <v>6.9616020000000001</v>
      </c>
      <c r="DT7">
        <v>0.64157799999999998</v>
      </c>
      <c r="DU7" t="s">
        <v>1742</v>
      </c>
      <c r="DV7">
        <v>2025</v>
      </c>
      <c r="DW7" t="s">
        <v>2072</v>
      </c>
      <c r="DX7" s="6">
        <v>46001</v>
      </c>
      <c r="DY7">
        <v>5</v>
      </c>
      <c r="DZ7">
        <v>52402484</v>
      </c>
      <c r="EA7">
        <v>1182195</v>
      </c>
      <c r="EB7" t="s">
        <v>3476</v>
      </c>
      <c r="EE7" t="s">
        <v>1885</v>
      </c>
      <c r="EF7">
        <v>0.57939300000000005</v>
      </c>
      <c r="EG7" t="s">
        <v>1786</v>
      </c>
      <c r="EH7">
        <v>6.7030000000000006E-2</v>
      </c>
      <c r="EI7" t="s">
        <v>1742</v>
      </c>
      <c r="EJ7">
        <v>2025</v>
      </c>
      <c r="EK7" t="s">
        <v>3561</v>
      </c>
      <c r="EL7" s="6">
        <v>45964</v>
      </c>
      <c r="EM7">
        <v>5</v>
      </c>
      <c r="EN7">
        <v>59435584</v>
      </c>
      <c r="EO7">
        <v>216952</v>
      </c>
      <c r="EP7" t="s">
        <v>1886</v>
      </c>
      <c r="EU7" t="s">
        <v>3287</v>
      </c>
      <c r="EV7" t="s">
        <v>1769</v>
      </c>
      <c r="EW7">
        <v>0.24615000000000001</v>
      </c>
      <c r="EX7">
        <v>0.37029400000000001</v>
      </c>
      <c r="EY7" t="s">
        <v>1745</v>
      </c>
      <c r="EZ7">
        <v>2024</v>
      </c>
      <c r="FA7" t="s">
        <v>3288</v>
      </c>
      <c r="FB7" s="6">
        <v>45713</v>
      </c>
      <c r="FC7">
        <v>5</v>
      </c>
      <c r="FD7">
        <v>920250</v>
      </c>
      <c r="FE7">
        <v>386356</v>
      </c>
      <c r="FF7" t="s">
        <v>3289</v>
      </c>
      <c r="FI7" t="s">
        <v>1908</v>
      </c>
      <c r="FJ7">
        <v>-2.4245362661989844E-14</v>
      </c>
      <c r="FL7">
        <v>-2.4245362661989844E-14</v>
      </c>
      <c r="FM7" t="s">
        <v>1745</v>
      </c>
      <c r="FN7">
        <v>2024</v>
      </c>
      <c r="FO7" t="s">
        <v>1909</v>
      </c>
      <c r="FP7" s="6">
        <v>45783</v>
      </c>
      <c r="FQ7">
        <v>5</v>
      </c>
      <c r="FR7">
        <v>-2.4245362661989844E-14</v>
      </c>
      <c r="FS7">
        <v>9152714</v>
      </c>
      <c r="FT7" t="s">
        <v>1910</v>
      </c>
      <c r="FY7" t="s">
        <v>2697</v>
      </c>
      <c r="GA7">
        <v>-2.4245362661989844E-14</v>
      </c>
      <c r="GB7">
        <v>-2.4245362661989844E-14</v>
      </c>
      <c r="GC7" t="s">
        <v>1745</v>
      </c>
      <c r="GD7">
        <v>2021</v>
      </c>
      <c r="GE7" t="s">
        <v>2698</v>
      </c>
      <c r="GF7" s="6">
        <v>44693</v>
      </c>
      <c r="GG7">
        <v>5</v>
      </c>
      <c r="GH7">
        <v>-2.4245362661989844E-14</v>
      </c>
      <c r="GI7">
        <v>100715</v>
      </c>
      <c r="GJ7" t="s">
        <v>2699</v>
      </c>
      <c r="GM7" t="s">
        <v>2521</v>
      </c>
      <c r="GN7">
        <v>-2.4245362661989844E-14</v>
      </c>
      <c r="GP7">
        <v>-2.4245362661989844E-14</v>
      </c>
      <c r="GQ7" t="s">
        <v>1805</v>
      </c>
      <c r="GR7">
        <v>2022</v>
      </c>
      <c r="GS7" t="s">
        <v>2522</v>
      </c>
      <c r="GT7" s="6">
        <v>44802</v>
      </c>
      <c r="GU7">
        <v>3</v>
      </c>
      <c r="GV7">
        <v>-2.4245362661989844E-14</v>
      </c>
      <c r="GW7">
        <v>1459147</v>
      </c>
      <c r="GX7" t="s">
        <v>2523</v>
      </c>
      <c r="JK7" t="s">
        <v>2313</v>
      </c>
      <c r="JL7" t="s">
        <v>1786</v>
      </c>
      <c r="JM7">
        <v>4.4623819999999998</v>
      </c>
      <c r="JN7">
        <v>8.1027819999999995</v>
      </c>
      <c r="JO7" t="s">
        <v>1762</v>
      </c>
      <c r="JP7">
        <v>2026</v>
      </c>
      <c r="JQ7" t="s">
        <v>2640</v>
      </c>
      <c r="JR7" s="6">
        <v>46063</v>
      </c>
      <c r="JS7">
        <v>5</v>
      </c>
      <c r="JT7">
        <v>458286624</v>
      </c>
      <c r="JU7">
        <v>100010</v>
      </c>
      <c r="JV7" t="s">
        <v>2315</v>
      </c>
      <c r="JY7" t="s">
        <v>4546</v>
      </c>
      <c r="JZ7">
        <v>9.7490000000000007E-3</v>
      </c>
      <c r="KA7" t="s">
        <v>1786</v>
      </c>
      <c r="KB7">
        <v>2.8011149999999998</v>
      </c>
      <c r="KC7" t="s">
        <v>1745</v>
      </c>
      <c r="KD7">
        <v>2024</v>
      </c>
      <c r="KE7" t="s">
        <v>4547</v>
      </c>
      <c r="KF7" s="6">
        <v>45769</v>
      </c>
      <c r="KG7">
        <v>5</v>
      </c>
      <c r="KH7">
        <v>541353.6</v>
      </c>
      <c r="KI7">
        <v>49153272</v>
      </c>
      <c r="KJ7" t="s">
        <v>4548</v>
      </c>
      <c r="KO7" t="s">
        <v>4452</v>
      </c>
      <c r="KQ7">
        <v>-2.4245362661989844E-14</v>
      </c>
      <c r="KR7">
        <v>-2.4245362661989844E-14</v>
      </c>
      <c r="KS7" t="s">
        <v>1745</v>
      </c>
      <c r="KT7">
        <v>2022</v>
      </c>
      <c r="KU7" t="s">
        <v>4453</v>
      </c>
      <c r="KV7" s="6">
        <v>44707</v>
      </c>
      <c r="KW7">
        <v>5</v>
      </c>
      <c r="KX7">
        <v>-2.4245362661989844E-14</v>
      </c>
      <c r="KY7">
        <v>65265899</v>
      </c>
      <c r="KZ7" t="s">
        <v>4454</v>
      </c>
      <c r="LS7" t="s">
        <v>2043</v>
      </c>
      <c r="LU7">
        <v>-2.4245362661989844E-14</v>
      </c>
      <c r="LV7">
        <v>-2.4245362661989844E-14</v>
      </c>
      <c r="LW7" t="s">
        <v>1798</v>
      </c>
      <c r="LX7">
        <v>2023</v>
      </c>
      <c r="LY7" t="s">
        <v>4084</v>
      </c>
      <c r="LZ7" s="6">
        <v>45244</v>
      </c>
      <c r="MA7">
        <v>5</v>
      </c>
      <c r="MB7">
        <v>-2.4245362661989844E-14</v>
      </c>
      <c r="MC7">
        <v>118099</v>
      </c>
      <c r="MD7" t="s">
        <v>2044</v>
      </c>
      <c r="MW7" t="s">
        <v>3105</v>
      </c>
      <c r="MY7">
        <v>-2.4245362661989844E-14</v>
      </c>
      <c r="MZ7">
        <v>-2.4245362661989844E-14</v>
      </c>
      <c r="NA7" t="s">
        <v>1809</v>
      </c>
      <c r="NB7">
        <v>2025</v>
      </c>
      <c r="NC7" t="s">
        <v>3783</v>
      </c>
      <c r="ND7" s="6">
        <v>45845</v>
      </c>
      <c r="NE7">
        <v>5</v>
      </c>
      <c r="NF7">
        <v>-2.4245362661989844E-14</v>
      </c>
      <c r="NG7">
        <v>115265</v>
      </c>
      <c r="NH7" t="s">
        <v>3107</v>
      </c>
      <c r="NK7" t="s">
        <v>3502</v>
      </c>
      <c r="NL7">
        <v>-2.4245362661989844E-14</v>
      </c>
      <c r="NN7">
        <v>-2.4245362661989844E-14</v>
      </c>
      <c r="NO7" t="s">
        <v>1745</v>
      </c>
      <c r="NP7">
        <v>2025</v>
      </c>
      <c r="NQ7" t="s">
        <v>3503</v>
      </c>
      <c r="NR7" s="6">
        <v>46056</v>
      </c>
      <c r="NS7">
        <v>3</v>
      </c>
      <c r="NT7">
        <v>-2.4245362661989844E-14</v>
      </c>
      <c r="NU7">
        <v>163441</v>
      </c>
      <c r="NV7" t="s">
        <v>3504</v>
      </c>
      <c r="OA7" t="s">
        <v>1699</v>
      </c>
      <c r="OB7" t="s">
        <v>1786</v>
      </c>
      <c r="OC7">
        <v>1.3419449999999999</v>
      </c>
      <c r="OD7">
        <v>2.7987500000000001</v>
      </c>
      <c r="OE7" t="s">
        <v>1845</v>
      </c>
      <c r="OF7">
        <v>2025</v>
      </c>
      <c r="OG7" t="s">
        <v>2798</v>
      </c>
      <c r="OH7" s="6">
        <v>46077</v>
      </c>
      <c r="OI7">
        <v>5</v>
      </c>
      <c r="OJ7">
        <v>223004416</v>
      </c>
      <c r="OK7">
        <v>28046509</v>
      </c>
      <c r="OL7" t="s">
        <v>2799</v>
      </c>
      <c r="OO7" t="s">
        <v>236</v>
      </c>
      <c r="OP7">
        <v>12.373919000000001</v>
      </c>
      <c r="OQ7" t="s">
        <v>1786</v>
      </c>
      <c r="OR7">
        <v>4.81257</v>
      </c>
      <c r="OS7" t="s">
        <v>1742</v>
      </c>
      <c r="OT7">
        <v>2025</v>
      </c>
      <c r="OU7" t="s">
        <v>2501</v>
      </c>
      <c r="OV7" s="6">
        <v>46018</v>
      </c>
      <c r="OW7">
        <v>5</v>
      </c>
      <c r="OX7">
        <v>2968874496</v>
      </c>
      <c r="OY7">
        <v>102782</v>
      </c>
      <c r="OZ7" t="s">
        <v>2149</v>
      </c>
      <c r="PE7" t="s">
        <v>2734</v>
      </c>
      <c r="PG7">
        <v>-2.4245362661989844E-14</v>
      </c>
      <c r="PH7">
        <v>-2.4245362661989844E-14</v>
      </c>
      <c r="PI7" t="s">
        <v>1745</v>
      </c>
      <c r="PJ7">
        <v>2023</v>
      </c>
      <c r="PK7" t="s">
        <v>2735</v>
      </c>
      <c r="PL7" s="6">
        <v>45344</v>
      </c>
      <c r="PM7">
        <v>5</v>
      </c>
      <c r="PN7">
        <v>-2.4245362661989844E-14</v>
      </c>
      <c r="PO7">
        <v>27878900</v>
      </c>
      <c r="PP7" t="s">
        <v>2736</v>
      </c>
      <c r="PS7" t="s">
        <v>2541</v>
      </c>
      <c r="PT7">
        <v>-2.4245362661989844E-14</v>
      </c>
      <c r="PV7">
        <v>-2.4245362661989844E-14</v>
      </c>
      <c r="PW7" t="s">
        <v>1745</v>
      </c>
      <c r="PX7">
        <v>2022</v>
      </c>
      <c r="PY7" t="s">
        <v>2542</v>
      </c>
      <c r="PZ7" s="6">
        <v>44985</v>
      </c>
      <c r="QA7">
        <v>3</v>
      </c>
      <c r="QB7">
        <v>-2.4245362661989844E-14</v>
      </c>
      <c r="QC7">
        <v>28340906</v>
      </c>
      <c r="QD7" t="s">
        <v>2543</v>
      </c>
      <c r="SQ7" t="s">
        <v>3045</v>
      </c>
      <c r="SR7" t="s">
        <v>1786</v>
      </c>
      <c r="SS7">
        <v>18</v>
      </c>
      <c r="ST7">
        <v>0.28558099999999997</v>
      </c>
      <c r="SU7" t="s">
        <v>1745</v>
      </c>
      <c r="SV7">
        <v>2025</v>
      </c>
      <c r="SW7" t="s">
        <v>3046</v>
      </c>
      <c r="SX7" s="6">
        <v>46079</v>
      </c>
      <c r="SY7">
        <v>5</v>
      </c>
      <c r="SZ7">
        <v>185490768</v>
      </c>
      <c r="TA7">
        <v>103442</v>
      </c>
      <c r="TB7" t="s">
        <v>3047</v>
      </c>
      <c r="TE7" t="s">
        <v>1706</v>
      </c>
      <c r="TF7">
        <v>1.5294399999999999</v>
      </c>
      <c r="TH7">
        <v>-2.4245362661989844E-14</v>
      </c>
      <c r="TI7" t="s">
        <v>1745</v>
      </c>
      <c r="TJ7">
        <v>2024</v>
      </c>
      <c r="TK7" t="s">
        <v>3646</v>
      </c>
      <c r="TL7" s="6">
        <v>45712</v>
      </c>
      <c r="TM7">
        <v>5</v>
      </c>
      <c r="TN7">
        <v>1622093696</v>
      </c>
      <c r="TO7">
        <v>302359</v>
      </c>
      <c r="TP7" t="s">
        <v>3647</v>
      </c>
    </row>
    <row r="8" spans="1:600" x14ac:dyDescent="0.25">
      <c r="A8" t="s">
        <v>2667</v>
      </c>
      <c r="C8">
        <v>-2.4245362661989844E-14</v>
      </c>
      <c r="D8">
        <v>-2.4245362661989844E-14</v>
      </c>
      <c r="E8" t="s">
        <v>1809</v>
      </c>
      <c r="F8">
        <v>2023</v>
      </c>
      <c r="G8" t="s">
        <v>2668</v>
      </c>
      <c r="H8" s="6">
        <v>45057</v>
      </c>
      <c r="I8">
        <v>4</v>
      </c>
      <c r="J8">
        <v>-2.4245362661989844E-14</v>
      </c>
      <c r="K8">
        <v>173249</v>
      </c>
      <c r="L8" t="s">
        <v>2669</v>
      </c>
      <c r="DQ8" t="s">
        <v>3791</v>
      </c>
      <c r="DR8" t="s">
        <v>1786</v>
      </c>
      <c r="DS8">
        <v>2.2395689999999999</v>
      </c>
      <c r="DT8">
        <v>0.51293900000000003</v>
      </c>
      <c r="DU8" t="s">
        <v>1762</v>
      </c>
      <c r="DV8">
        <v>2025</v>
      </c>
      <c r="DW8" t="s">
        <v>3792</v>
      </c>
      <c r="DX8" s="6">
        <v>45859</v>
      </c>
      <c r="DY8">
        <v>5</v>
      </c>
      <c r="DZ8">
        <v>45819367.549999997</v>
      </c>
      <c r="EA8">
        <v>328221</v>
      </c>
      <c r="EB8" t="s">
        <v>3793</v>
      </c>
      <c r="EE8" t="s">
        <v>1088</v>
      </c>
      <c r="EF8">
        <v>0.42797499999999999</v>
      </c>
      <c r="EG8" t="s">
        <v>1786</v>
      </c>
      <c r="EH8">
        <v>0.17119400000000001</v>
      </c>
      <c r="EI8" t="s">
        <v>1742</v>
      </c>
      <c r="EJ8">
        <v>2025</v>
      </c>
      <c r="EK8" t="s">
        <v>3561</v>
      </c>
      <c r="EL8" s="6">
        <v>45964</v>
      </c>
      <c r="EM8">
        <v>5</v>
      </c>
      <c r="EN8">
        <v>43902744</v>
      </c>
      <c r="EO8">
        <v>100211</v>
      </c>
      <c r="EP8" t="s">
        <v>1851</v>
      </c>
      <c r="EU8" t="s">
        <v>2993</v>
      </c>
      <c r="EV8" t="s">
        <v>1820</v>
      </c>
      <c r="EW8">
        <v>7.76E-4</v>
      </c>
      <c r="EX8">
        <v>0.29293799999999998</v>
      </c>
      <c r="EY8" t="s">
        <v>1762</v>
      </c>
      <c r="EZ8">
        <v>2025</v>
      </c>
      <c r="FA8" t="s">
        <v>3290</v>
      </c>
      <c r="FB8" s="6">
        <v>46024</v>
      </c>
      <c r="FC8">
        <v>5</v>
      </c>
      <c r="FD8">
        <v>54191.5</v>
      </c>
      <c r="FE8">
        <v>115110</v>
      </c>
      <c r="FF8" t="s">
        <v>2995</v>
      </c>
      <c r="FI8" t="s">
        <v>1911</v>
      </c>
      <c r="FJ8">
        <v>-2.4245362661989844E-14</v>
      </c>
      <c r="FL8">
        <v>-2.4245362661989844E-14</v>
      </c>
      <c r="FM8" t="s">
        <v>1745</v>
      </c>
      <c r="FN8">
        <v>2024</v>
      </c>
      <c r="FO8" t="s">
        <v>1912</v>
      </c>
      <c r="FP8" s="6">
        <v>45742</v>
      </c>
      <c r="FQ8">
        <v>5</v>
      </c>
      <c r="FR8">
        <v>-2.4245362661989844E-14</v>
      </c>
      <c r="FS8">
        <v>14195302</v>
      </c>
      <c r="FT8" t="s">
        <v>1913</v>
      </c>
      <c r="FY8" t="s">
        <v>2700</v>
      </c>
      <c r="GA8">
        <v>-2.4245362661989844E-14</v>
      </c>
      <c r="GB8">
        <v>-2.4245362661989844E-14</v>
      </c>
      <c r="GC8" t="s">
        <v>1745</v>
      </c>
      <c r="GD8">
        <v>2021</v>
      </c>
      <c r="GE8" t="s">
        <v>2701</v>
      </c>
      <c r="GF8" s="6">
        <v>44693</v>
      </c>
      <c r="GG8">
        <v>5</v>
      </c>
      <c r="GH8">
        <v>-2.4245362661989844E-14</v>
      </c>
      <c r="GI8">
        <v>101139</v>
      </c>
      <c r="GJ8" t="s">
        <v>2702</v>
      </c>
      <c r="JK8" t="s">
        <v>2310</v>
      </c>
      <c r="JL8" t="s">
        <v>1786</v>
      </c>
      <c r="JM8">
        <v>0.69696199999999997</v>
      </c>
      <c r="JN8">
        <v>7.0246810000000002</v>
      </c>
      <c r="JO8" t="s">
        <v>1762</v>
      </c>
      <c r="JP8">
        <v>2026</v>
      </c>
      <c r="JQ8" t="s">
        <v>2640</v>
      </c>
      <c r="JR8" s="6">
        <v>46063</v>
      </c>
      <c r="JS8">
        <v>5</v>
      </c>
      <c r="JT8">
        <v>397310112</v>
      </c>
      <c r="JU8">
        <v>313657</v>
      </c>
      <c r="JV8" t="s">
        <v>2312</v>
      </c>
      <c r="JY8" t="s">
        <v>4549</v>
      </c>
      <c r="JZ8">
        <v>3.3630000000000001E-3</v>
      </c>
      <c r="KA8" t="s">
        <v>1786</v>
      </c>
      <c r="KB8">
        <v>2.5916320000000002</v>
      </c>
      <c r="KC8" t="s">
        <v>1798</v>
      </c>
      <c r="KD8">
        <v>2025</v>
      </c>
      <c r="KE8" t="s">
        <v>4550</v>
      </c>
      <c r="KF8" s="6">
        <v>45974</v>
      </c>
      <c r="KG8">
        <v>5</v>
      </c>
      <c r="KH8">
        <v>188733.74</v>
      </c>
      <c r="KI8">
        <v>38417413</v>
      </c>
      <c r="KJ8" t="s">
        <v>4551</v>
      </c>
      <c r="KO8" t="s">
        <v>4455</v>
      </c>
      <c r="KQ8">
        <v>-2.4245362661989844E-14</v>
      </c>
      <c r="KR8">
        <v>-2.4245362661989844E-14</v>
      </c>
      <c r="KS8" t="s">
        <v>1809</v>
      </c>
      <c r="KT8">
        <v>2023</v>
      </c>
      <c r="KU8" t="s">
        <v>4456</v>
      </c>
      <c r="KV8" s="6">
        <v>44706</v>
      </c>
      <c r="KW8">
        <v>5</v>
      </c>
      <c r="KX8">
        <v>-2.4245362661989844E-14</v>
      </c>
      <c r="KY8">
        <v>43575125</v>
      </c>
      <c r="KZ8" t="s">
        <v>4457</v>
      </c>
      <c r="LS8" t="s">
        <v>4085</v>
      </c>
      <c r="LU8">
        <v>-2.4245362661989844E-14</v>
      </c>
      <c r="LV8">
        <v>-2.4245362661989844E-14</v>
      </c>
      <c r="LW8" t="s">
        <v>1745</v>
      </c>
      <c r="LX8">
        <v>2023</v>
      </c>
      <c r="LY8" t="s">
        <v>4086</v>
      </c>
      <c r="LZ8" s="6">
        <v>45188</v>
      </c>
      <c r="MA8">
        <v>5</v>
      </c>
      <c r="MB8">
        <v>-2.4245362661989844E-14</v>
      </c>
      <c r="MC8">
        <v>38550351</v>
      </c>
      <c r="MD8" t="s">
        <v>4087</v>
      </c>
      <c r="MW8" t="s">
        <v>3784</v>
      </c>
      <c r="MY8">
        <v>-2.4245362661989844E-14</v>
      </c>
      <c r="MZ8">
        <v>-2.4245362661989844E-14</v>
      </c>
      <c r="NA8" t="s">
        <v>1742</v>
      </c>
      <c r="NB8">
        <v>2022</v>
      </c>
      <c r="NC8" t="s">
        <v>3785</v>
      </c>
      <c r="ND8" s="6">
        <v>44866</v>
      </c>
      <c r="NE8">
        <v>5</v>
      </c>
      <c r="NF8">
        <v>-2.4245362661989844E-14</v>
      </c>
      <c r="NG8">
        <v>67334057</v>
      </c>
      <c r="NH8" t="s">
        <v>3786</v>
      </c>
      <c r="OA8" t="s">
        <v>804</v>
      </c>
      <c r="OB8" t="s">
        <v>1786</v>
      </c>
      <c r="OC8">
        <v>49.056618</v>
      </c>
      <c r="OD8">
        <v>2.3797060000000001</v>
      </c>
      <c r="OE8" t="s">
        <v>1742</v>
      </c>
      <c r="OF8">
        <v>2025</v>
      </c>
      <c r="OG8" t="s">
        <v>2800</v>
      </c>
      <c r="OH8" s="6">
        <v>46050</v>
      </c>
      <c r="OI8">
        <v>5</v>
      </c>
      <c r="OJ8">
        <v>173789936</v>
      </c>
      <c r="OK8">
        <v>1753841</v>
      </c>
      <c r="OL8" t="s">
        <v>2801</v>
      </c>
      <c r="OO8" t="s">
        <v>2502</v>
      </c>
      <c r="OP8">
        <v>2.966253</v>
      </c>
      <c r="OQ8" t="s">
        <v>1786</v>
      </c>
      <c r="OR8">
        <v>1.12304</v>
      </c>
      <c r="OS8" t="s">
        <v>1742</v>
      </c>
      <c r="OT8">
        <v>2025</v>
      </c>
      <c r="OU8" t="s">
        <v>2501</v>
      </c>
      <c r="OV8" s="6">
        <v>46018</v>
      </c>
      <c r="OW8">
        <v>5</v>
      </c>
      <c r="OX8">
        <v>711693056</v>
      </c>
      <c r="OY8">
        <v>60401289</v>
      </c>
      <c r="OZ8" t="s">
        <v>2503</v>
      </c>
      <c r="PE8" t="s">
        <v>2737</v>
      </c>
      <c r="PG8">
        <v>-2.4245362661989844E-14</v>
      </c>
      <c r="PH8">
        <v>-2.4245362661989844E-14</v>
      </c>
      <c r="PI8" t="s">
        <v>1745</v>
      </c>
      <c r="PJ8">
        <v>2024</v>
      </c>
      <c r="PK8" t="s">
        <v>2738</v>
      </c>
      <c r="PL8" s="6">
        <v>45768</v>
      </c>
      <c r="PM8">
        <v>5</v>
      </c>
      <c r="PN8">
        <v>-2.4245362661989844E-14</v>
      </c>
      <c r="PO8">
        <v>69643518</v>
      </c>
      <c r="PP8" t="s">
        <v>2739</v>
      </c>
      <c r="SQ8" t="s">
        <v>1578</v>
      </c>
      <c r="SR8" t="s">
        <v>1786</v>
      </c>
      <c r="SS8">
        <v>4.630776</v>
      </c>
      <c r="ST8">
        <v>0.19183800000000001</v>
      </c>
      <c r="SU8" t="s">
        <v>1742</v>
      </c>
      <c r="SV8">
        <v>2025</v>
      </c>
      <c r="SW8" t="s">
        <v>3048</v>
      </c>
      <c r="SX8" s="6">
        <v>45952</v>
      </c>
      <c r="SY8">
        <v>5</v>
      </c>
      <c r="SZ8">
        <v>125308800</v>
      </c>
      <c r="TA8">
        <v>171010</v>
      </c>
      <c r="TB8" t="s">
        <v>3049</v>
      </c>
      <c r="TE8" t="s">
        <v>1088</v>
      </c>
      <c r="TF8">
        <v>0.34598400000000001</v>
      </c>
      <c r="TG8" t="s">
        <v>1786</v>
      </c>
      <c r="TH8">
        <v>1.684086</v>
      </c>
      <c r="TI8" t="s">
        <v>1762</v>
      </c>
      <c r="TJ8">
        <v>2025</v>
      </c>
      <c r="TK8" t="s">
        <v>3484</v>
      </c>
      <c r="TL8" s="6">
        <v>45873</v>
      </c>
      <c r="TM8">
        <v>5</v>
      </c>
      <c r="TN8">
        <v>342105216</v>
      </c>
      <c r="TO8">
        <v>100211</v>
      </c>
      <c r="TP8" t="s">
        <v>1851</v>
      </c>
    </row>
    <row r="9" spans="1:600" x14ac:dyDescent="0.25">
      <c r="DQ9" t="s">
        <v>3794</v>
      </c>
      <c r="DR9" t="s">
        <v>1786</v>
      </c>
      <c r="DS9">
        <v>0.59006199999999998</v>
      </c>
      <c r="DT9">
        <v>0.53252200000000005</v>
      </c>
      <c r="DU9" t="s">
        <v>1762</v>
      </c>
      <c r="DV9">
        <v>2025</v>
      </c>
      <c r="DW9" t="s">
        <v>3795</v>
      </c>
      <c r="DX9" s="6">
        <v>45875</v>
      </c>
      <c r="DY9">
        <v>5</v>
      </c>
      <c r="DZ9">
        <v>45441434.649999999</v>
      </c>
      <c r="EA9">
        <v>111270</v>
      </c>
      <c r="EB9" t="s">
        <v>3796</v>
      </c>
      <c r="EE9" t="s">
        <v>3562</v>
      </c>
      <c r="EF9">
        <v>0.26823999999999998</v>
      </c>
      <c r="EG9" t="s">
        <v>1820</v>
      </c>
      <c r="EH9">
        <v>-2.4245362661989844E-14</v>
      </c>
      <c r="EI9" t="s">
        <v>1745</v>
      </c>
      <c r="EJ9">
        <v>2025</v>
      </c>
      <c r="EK9" t="s">
        <v>3563</v>
      </c>
      <c r="EL9" s="6">
        <v>45925</v>
      </c>
      <c r="EM9">
        <v>5</v>
      </c>
      <c r="EN9">
        <v>26796000</v>
      </c>
      <c r="EO9">
        <v>340053</v>
      </c>
      <c r="EP9" t="s">
        <v>3564</v>
      </c>
      <c r="EU9" t="s">
        <v>3291</v>
      </c>
      <c r="EW9">
        <v>-2.4245362661989844E-14</v>
      </c>
      <c r="EX9">
        <v>-2.4245362661989844E-14</v>
      </c>
      <c r="EY9" t="s">
        <v>1745</v>
      </c>
      <c r="EZ9">
        <v>2022</v>
      </c>
      <c r="FA9" t="s">
        <v>3292</v>
      </c>
      <c r="FB9" s="6">
        <v>45008</v>
      </c>
      <c r="FC9">
        <v>5</v>
      </c>
      <c r="FD9">
        <v>-2.4245362661989844E-14</v>
      </c>
      <c r="FE9">
        <v>1459297</v>
      </c>
      <c r="FF9" t="s">
        <v>3293</v>
      </c>
      <c r="FI9" t="s">
        <v>1914</v>
      </c>
      <c r="FJ9">
        <v>-2.4245362661989844E-14</v>
      </c>
      <c r="FL9">
        <v>-2.4245362661989844E-14</v>
      </c>
      <c r="FM9" t="s">
        <v>1745</v>
      </c>
      <c r="FN9">
        <v>2023</v>
      </c>
      <c r="FO9" t="s">
        <v>1915</v>
      </c>
      <c r="FP9" s="6">
        <v>45420</v>
      </c>
      <c r="FQ9">
        <v>5</v>
      </c>
      <c r="FR9">
        <v>-2.4245362661989844E-14</v>
      </c>
      <c r="FS9">
        <v>52333389</v>
      </c>
      <c r="FT9" t="s">
        <v>1916</v>
      </c>
      <c r="FY9" t="s">
        <v>2703</v>
      </c>
      <c r="GA9">
        <v>-2.4245362661989844E-14</v>
      </c>
      <c r="GB9">
        <v>-2.4245362661989844E-14</v>
      </c>
      <c r="GC9" t="s">
        <v>1745</v>
      </c>
      <c r="GD9">
        <v>2023</v>
      </c>
      <c r="GE9" t="s">
        <v>2704</v>
      </c>
      <c r="GF9" s="6">
        <v>45371</v>
      </c>
      <c r="GG9">
        <v>5</v>
      </c>
      <c r="GH9">
        <v>-2.4245362661989844E-14</v>
      </c>
      <c r="GI9">
        <v>13823136</v>
      </c>
      <c r="GJ9" t="s">
        <v>2705</v>
      </c>
      <c r="JK9" t="s">
        <v>163</v>
      </c>
      <c r="JL9" t="s">
        <v>1786</v>
      </c>
      <c r="JM9">
        <v>2.9171480000000001</v>
      </c>
      <c r="JN9">
        <v>3.8580190000000001</v>
      </c>
      <c r="JO9" t="s">
        <v>1742</v>
      </c>
      <c r="JP9">
        <v>2025</v>
      </c>
      <c r="JQ9" t="s">
        <v>2198</v>
      </c>
      <c r="JR9" s="6">
        <v>46003</v>
      </c>
      <c r="JS9">
        <v>5</v>
      </c>
      <c r="JT9">
        <v>203850304</v>
      </c>
      <c r="JU9">
        <v>100496</v>
      </c>
      <c r="JV9" t="s">
        <v>3588</v>
      </c>
      <c r="JY9" t="s">
        <v>4552</v>
      </c>
      <c r="JZ9">
        <v>2.7060000000000001E-3</v>
      </c>
      <c r="KA9" t="s">
        <v>1786</v>
      </c>
      <c r="KB9">
        <v>9.5002829999999996</v>
      </c>
      <c r="KC9" t="s">
        <v>1745</v>
      </c>
      <c r="KD9">
        <v>2024</v>
      </c>
      <c r="KE9" t="s">
        <v>4553</v>
      </c>
      <c r="KF9" s="6">
        <v>45826</v>
      </c>
      <c r="KG9">
        <v>5</v>
      </c>
      <c r="KH9">
        <v>151457.47</v>
      </c>
      <c r="KI9">
        <v>7121552</v>
      </c>
      <c r="KJ9" t="s">
        <v>4554</v>
      </c>
      <c r="KO9" t="s">
        <v>4458</v>
      </c>
      <c r="KQ9">
        <v>-2.4245362661989844E-14</v>
      </c>
      <c r="KR9">
        <v>-2.4245362661989844E-14</v>
      </c>
      <c r="KS9" t="s">
        <v>1745</v>
      </c>
      <c r="KT9">
        <v>2023</v>
      </c>
      <c r="KU9" t="s">
        <v>4459</v>
      </c>
      <c r="KV9" s="6">
        <v>45013</v>
      </c>
      <c r="KW9">
        <v>5</v>
      </c>
      <c r="KX9">
        <v>-2.4245362661989844E-14</v>
      </c>
      <c r="KY9">
        <v>69921002</v>
      </c>
      <c r="KZ9" t="s">
        <v>4460</v>
      </c>
      <c r="LS9" t="s">
        <v>4088</v>
      </c>
      <c r="LU9">
        <v>-2.4245362661989844E-14</v>
      </c>
      <c r="LV9">
        <v>-2.4245362661989844E-14</v>
      </c>
      <c r="LW9" t="s">
        <v>1745</v>
      </c>
      <c r="LX9">
        <v>2023</v>
      </c>
      <c r="LY9" t="s">
        <v>4089</v>
      </c>
      <c r="LZ9" s="6">
        <v>45462</v>
      </c>
      <c r="MA9">
        <v>5</v>
      </c>
      <c r="MB9">
        <v>-2.4245362661989844E-14</v>
      </c>
      <c r="MC9">
        <v>48621208</v>
      </c>
      <c r="MD9" t="s">
        <v>4090</v>
      </c>
      <c r="MW9" t="s">
        <v>2989</v>
      </c>
      <c r="MY9">
        <v>-2.4245362661989844E-14</v>
      </c>
      <c r="MZ9">
        <v>-2.4245362661989844E-14</v>
      </c>
      <c r="NA9" t="s">
        <v>1809</v>
      </c>
      <c r="NB9">
        <v>2025</v>
      </c>
      <c r="NC9" t="s">
        <v>3787</v>
      </c>
      <c r="ND9" s="6">
        <v>45784</v>
      </c>
      <c r="NE9">
        <v>5</v>
      </c>
      <c r="NF9">
        <v>-2.4245362661989844E-14</v>
      </c>
      <c r="NG9">
        <v>69762655</v>
      </c>
      <c r="NH9" t="s">
        <v>2991</v>
      </c>
      <c r="OA9" t="s">
        <v>2802</v>
      </c>
      <c r="OB9" t="s">
        <v>1786</v>
      </c>
      <c r="OC9">
        <v>1.017503</v>
      </c>
      <c r="OD9">
        <v>1.621964</v>
      </c>
      <c r="OE9" t="s">
        <v>1762</v>
      </c>
      <c r="OF9">
        <v>2025</v>
      </c>
      <c r="OG9" t="s">
        <v>2803</v>
      </c>
      <c r="OH9" s="6">
        <v>45929</v>
      </c>
      <c r="OI9">
        <v>5</v>
      </c>
      <c r="OJ9">
        <v>123835292.08</v>
      </c>
      <c r="OK9">
        <v>115679</v>
      </c>
      <c r="OL9" t="s">
        <v>2804</v>
      </c>
      <c r="OO9" t="s">
        <v>2504</v>
      </c>
      <c r="OP9">
        <v>2.108371</v>
      </c>
      <c r="OQ9" t="s">
        <v>1786</v>
      </c>
      <c r="OR9">
        <v>2.5571009999999998</v>
      </c>
      <c r="OS9" t="s">
        <v>1762</v>
      </c>
      <c r="OT9">
        <v>2025</v>
      </c>
      <c r="OU9" t="s">
        <v>2505</v>
      </c>
      <c r="OV9" s="6">
        <v>45919</v>
      </c>
      <c r="OW9">
        <v>5</v>
      </c>
      <c r="OX9">
        <v>501043244.87</v>
      </c>
      <c r="OY9">
        <v>115268</v>
      </c>
      <c r="OZ9" t="s">
        <v>2506</v>
      </c>
      <c r="PE9" t="s">
        <v>2740</v>
      </c>
      <c r="PG9">
        <v>-2.4245362661989844E-14</v>
      </c>
      <c r="PH9">
        <v>-2.4245362661989844E-14</v>
      </c>
      <c r="PI9" t="s">
        <v>1745</v>
      </c>
      <c r="PJ9">
        <v>2024</v>
      </c>
      <c r="PK9" t="s">
        <v>2741</v>
      </c>
      <c r="PL9" s="6">
        <v>45737</v>
      </c>
      <c r="PM9">
        <v>5</v>
      </c>
      <c r="PN9">
        <v>-2.4245362661989844E-14</v>
      </c>
      <c r="PO9">
        <v>9099211</v>
      </c>
      <c r="PP9" t="s">
        <v>2742</v>
      </c>
      <c r="SQ9" t="s">
        <v>2919</v>
      </c>
      <c r="SR9" t="s">
        <v>1820</v>
      </c>
      <c r="SS9">
        <v>1.650523</v>
      </c>
      <c r="ST9">
        <v>1.7462089999999999</v>
      </c>
      <c r="SU9" t="s">
        <v>1742</v>
      </c>
      <c r="SV9">
        <v>2025</v>
      </c>
      <c r="SW9" t="s">
        <v>2920</v>
      </c>
      <c r="SX9" s="6">
        <v>46029</v>
      </c>
      <c r="SY9">
        <v>5</v>
      </c>
      <c r="SZ9">
        <v>97565313.560000002</v>
      </c>
      <c r="TA9">
        <v>115705</v>
      </c>
      <c r="TB9" t="s">
        <v>2921</v>
      </c>
      <c r="TE9" t="s">
        <v>1054</v>
      </c>
      <c r="TF9">
        <v>0.19926099999999999</v>
      </c>
      <c r="TG9" t="s">
        <v>1786</v>
      </c>
      <c r="TH9">
        <v>1.1451750000000001</v>
      </c>
      <c r="TI9" t="s">
        <v>1762</v>
      </c>
      <c r="TJ9">
        <v>2025</v>
      </c>
      <c r="TK9" t="s">
        <v>3638</v>
      </c>
      <c r="TL9" s="6">
        <v>45895</v>
      </c>
      <c r="TM9">
        <v>5</v>
      </c>
      <c r="TN9">
        <v>197027360</v>
      </c>
      <c r="TO9">
        <v>101555</v>
      </c>
      <c r="TP9" t="s">
        <v>1848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1452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1453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1454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1455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1456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1457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1458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1459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1460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1461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1462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1463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1464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1465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1466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1467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1468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1469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1470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1471</v>
      </c>
      <c r="AE2" s="3" t="s">
        <v>1472</v>
      </c>
      <c r="BI2" s="3" t="s">
        <v>1111</v>
      </c>
      <c r="CM2" s="3" t="s">
        <v>667</v>
      </c>
      <c r="DQ2" s="3" t="s">
        <v>1143</v>
      </c>
      <c r="EU2" s="3" t="s">
        <v>1473</v>
      </c>
      <c r="FY2" s="3" t="s">
        <v>1474</v>
      </c>
      <c r="HC2" s="3" t="s">
        <v>1475</v>
      </c>
      <c r="IG2" s="3" t="s">
        <v>561</v>
      </c>
      <c r="JK2" s="3" t="s">
        <v>201</v>
      </c>
      <c r="KO2" s="3" t="s">
        <v>1476</v>
      </c>
      <c r="LS2" s="3" t="s">
        <v>1477</v>
      </c>
      <c r="MW2" s="3" t="s">
        <v>1478</v>
      </c>
      <c r="OA2" s="3" t="s">
        <v>1479</v>
      </c>
      <c r="PE2" s="3" t="s">
        <v>1480</v>
      </c>
      <c r="QI2" s="3" t="s">
        <v>1481</v>
      </c>
      <c r="RM2" s="3" t="s">
        <v>201</v>
      </c>
      <c r="SQ2" s="3" t="s">
        <v>1471</v>
      </c>
      <c r="TU2" s="3" t="s">
        <v>1482</v>
      </c>
      <c r="UY2" s="3" t="s">
        <v>1483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_xll.BDS("SFNC US Equity","SUPPLY_CHAIN_SUPPLIERS_ALL_DATA")</f>
        <v>#N/A N/A</v>
      </c>
      <c r="O5" t="str">
        <f>_xll.BDS("SFNC US Equity","SUPPLY_CHAIN_CUSTOMERS_ALL_DATA")</f>
        <v>#N/A N/A</v>
      </c>
      <c r="AE5" t="str">
        <f>_xll.BDS("2987536Q US Equity","SUPPLY_CHAIN_SUPPLIERS_ALL_DATA")</f>
        <v>#N/A N/A</v>
      </c>
      <c r="AS5" t="str">
        <f>_xll.BDS("2987536Q US Equity","SUPPLY_CHAIN_CUSTOMERS_ALL_DATA")</f>
        <v>#N/A N/A</v>
      </c>
      <c r="BI5" t="str">
        <f>_xll.BDS("PBCT US Equity","SUPPLY_CHAIN_SUPPLIERS_ALL_DATA")</f>
        <v>#N/A N/A</v>
      </c>
      <c r="BW5" t="str">
        <f>_xll.BDS("PBCT US Equity","SUPPLY_CHAIN_CUSTOMERS_ALL_DATA")</f>
        <v>#N/A N/A</v>
      </c>
      <c r="CM5" t="str">
        <f>_xll.BDS("HOLX US Equity","SUPPLY_CHAIN_SUPPLIERS_ALL_DATA","cols=12;rows=5")</f>
        <v>FLEX US Equity</v>
      </c>
      <c r="CN5" t="s">
        <v>1786</v>
      </c>
      <c r="CO5">
        <v>0.19427700000000001</v>
      </c>
      <c r="CP5">
        <v>2.8862000000000001</v>
      </c>
      <c r="CQ5" t="s">
        <v>1742</v>
      </c>
      <c r="CR5">
        <v>2025</v>
      </c>
      <c r="CS5" t="s">
        <v>2387</v>
      </c>
      <c r="CT5" s="6">
        <v>45763</v>
      </c>
      <c r="CU5">
        <v>5</v>
      </c>
      <c r="CV5">
        <v>12736800</v>
      </c>
      <c r="CW5">
        <v>136547</v>
      </c>
      <c r="CX5" t="s">
        <v>2388</v>
      </c>
      <c r="DA5" t="str">
        <f>_xll.BDS("HOLX US Equity","SUPPLY_CHAIN_CUSTOMERS_ALL_DATA","cols=12;rows=5")</f>
        <v>0219250Z US Equity</v>
      </c>
      <c r="DB5">
        <v>-2.4245362661989844E-14</v>
      </c>
      <c r="DD5">
        <v>-2.4245362661989844E-14</v>
      </c>
      <c r="DE5" t="s">
        <v>1742</v>
      </c>
      <c r="DF5">
        <v>2023</v>
      </c>
      <c r="DG5" t="s">
        <v>1793</v>
      </c>
      <c r="DH5" s="6">
        <v>45139</v>
      </c>
      <c r="DI5">
        <v>5</v>
      </c>
      <c r="DJ5">
        <v>-2.4245362661989844E-14</v>
      </c>
      <c r="DK5">
        <v>962217</v>
      </c>
      <c r="DL5" t="s">
        <v>1794</v>
      </c>
      <c r="DQ5" t="str">
        <f>_xll.BDS("2213185D US Equity","SUPPLY_CHAIN_SUPPLIERS_ALL_DATA")</f>
        <v>#N/A N/A</v>
      </c>
      <c r="EE5" t="str">
        <f>_xll.BDS("2213185D US Equity","SUPPLY_CHAIN_CUSTOMERS_ALL_DATA")</f>
        <v>#N/A N/A</v>
      </c>
      <c r="EU5" t="str">
        <f>_xll.BDS("AKBA US Equity","SUPPLY_CHAIN_SUPPLIERS_ALL_DATA","cols=12;rows=5")</f>
        <v>1760 TT Equity</v>
      </c>
      <c r="EV5" t="s">
        <v>1786</v>
      </c>
      <c r="EW5">
        <v>20.299999</v>
      </c>
      <c r="EX5">
        <v>21.433712</v>
      </c>
      <c r="EY5" t="s">
        <v>1745</v>
      </c>
      <c r="EZ5">
        <v>2024</v>
      </c>
      <c r="FA5" t="s">
        <v>4641</v>
      </c>
      <c r="FB5" s="6">
        <v>45777</v>
      </c>
      <c r="FC5">
        <v>5</v>
      </c>
      <c r="FD5">
        <v>3206741.55</v>
      </c>
      <c r="FE5">
        <v>8917814</v>
      </c>
      <c r="FF5" t="s">
        <v>4642</v>
      </c>
      <c r="FI5" t="str">
        <f>_xll.BDS("AKBA US Equity","SUPPLY_CHAIN_CUSTOMERS_ALL_DATA","cols=12;rows=5")</f>
        <v>FME GR Equity</v>
      </c>
      <c r="FJ5">
        <v>48</v>
      </c>
      <c r="FK5" t="s">
        <v>1786</v>
      </c>
      <c r="FL5">
        <v>0.48750199999999999</v>
      </c>
      <c r="FM5" t="s">
        <v>1745</v>
      </c>
      <c r="FN5">
        <v>2024</v>
      </c>
      <c r="FO5" t="s">
        <v>4541</v>
      </c>
      <c r="FP5" s="6">
        <v>45729</v>
      </c>
      <c r="FQ5">
        <v>5</v>
      </c>
      <c r="FR5">
        <v>19221600</v>
      </c>
      <c r="FS5">
        <v>194598</v>
      </c>
      <c r="FT5" t="s">
        <v>4542</v>
      </c>
      <c r="FY5" t="str">
        <f>_xll.BDS("WACGQ US Equity","SUPPLY_CHAIN_SUPPLIERS_ALL_DATA")</f>
        <v>#N/A N/A</v>
      </c>
      <c r="GM5" t="str">
        <f>_xll.BDS("WACGQ US Equity","SUPPLY_CHAIN_CUSTOMERS_ALL_DATA")</f>
        <v>#N/A N/A</v>
      </c>
      <c r="HC5" t="str">
        <f>_xll.BDS("FBIN US Equity","SUPPLY_CHAIN_SUPPLIERS_ALL_DATA","cols=12;rows=5")</f>
        <v>FNOVA17 MM Equity</v>
      </c>
      <c r="HD5" t="s">
        <v>1769</v>
      </c>
      <c r="HE5">
        <v>2.5</v>
      </c>
      <c r="HF5">
        <v>0.14619399999999999</v>
      </c>
      <c r="HG5" t="s">
        <v>1745</v>
      </c>
      <c r="HH5">
        <v>2024</v>
      </c>
      <c r="HI5" t="s">
        <v>3430</v>
      </c>
      <c r="HJ5" s="6">
        <v>45698</v>
      </c>
      <c r="HK5">
        <v>5</v>
      </c>
      <c r="HL5">
        <v>454731.07</v>
      </c>
      <c r="HM5">
        <v>13706960</v>
      </c>
      <c r="HN5" t="s">
        <v>3431</v>
      </c>
      <c r="HQ5" t="str">
        <f>_xll.BDS("FBIN US Equity","SUPPLY_CHAIN_CUSTOMERS_ALL_DATA","cols=12;rows=5")</f>
        <v>HD US Equity</v>
      </c>
      <c r="HR5">
        <v>11</v>
      </c>
      <c r="HS5" t="s">
        <v>1786</v>
      </c>
      <c r="HT5">
        <v>0.443274</v>
      </c>
      <c r="HU5" t="s">
        <v>1745</v>
      </c>
      <c r="HV5">
        <v>2025</v>
      </c>
      <c r="HW5" t="s">
        <v>3994</v>
      </c>
      <c r="HX5" s="6">
        <v>46076</v>
      </c>
      <c r="HY5">
        <v>5</v>
      </c>
      <c r="HZ5">
        <v>122738000</v>
      </c>
      <c r="IA5">
        <v>100743</v>
      </c>
      <c r="IB5" t="s">
        <v>2169</v>
      </c>
      <c r="IG5" t="str">
        <f>_xll.BDS("MTCH US Equity","SUPPLY_CHAIN_SUPPLIERS_ALL_DATA","cols=12;rows=5")</f>
        <v>053300 KS Equity</v>
      </c>
      <c r="II5">
        <v>-2.4245362661989844E-14</v>
      </c>
      <c r="IJ5">
        <v>-2.4245362661989844E-14</v>
      </c>
      <c r="IK5" t="s">
        <v>1798</v>
      </c>
      <c r="IL5">
        <v>2025</v>
      </c>
      <c r="IM5" t="s">
        <v>2323</v>
      </c>
      <c r="IN5" s="6">
        <v>45974</v>
      </c>
      <c r="IO5">
        <v>5</v>
      </c>
      <c r="IP5">
        <v>-2.4245362661989844E-14</v>
      </c>
      <c r="IQ5">
        <v>23189849</v>
      </c>
      <c r="IR5" t="s">
        <v>2324</v>
      </c>
      <c r="IU5" t="str">
        <f>_xll.BDS("MTCH US Equity","SUPPLY_CHAIN_CUSTOMERS_ALL_DATA","cols=12;rows=3")</f>
        <v>AAPL US Equity</v>
      </c>
      <c r="IV5">
        <v>-2.4245362661989844E-14</v>
      </c>
      <c r="IX5">
        <v>-2.4245362661989844E-14</v>
      </c>
      <c r="IY5" t="s">
        <v>1762</v>
      </c>
      <c r="IZ5">
        <v>2024</v>
      </c>
      <c r="JA5" t="s">
        <v>1763</v>
      </c>
      <c r="JB5" s="6">
        <v>45505</v>
      </c>
      <c r="JC5">
        <v>3</v>
      </c>
      <c r="JD5">
        <v>-2.4245362661989844E-14</v>
      </c>
      <c r="JE5">
        <v>101695</v>
      </c>
      <c r="JF5" t="s">
        <v>1764</v>
      </c>
      <c r="JK5" t="str">
        <f>_xll.BDS("AGN US Equity","SUPPLY_CHAIN_SUPPLIERS_ALL_DATA","cols=12;rows=5")</f>
        <v>AEE US Equity</v>
      </c>
      <c r="JM5">
        <v>-2.4245362661989844E-14</v>
      </c>
      <c r="JN5">
        <v>-2.4245362661989844E-14</v>
      </c>
      <c r="JO5" t="s">
        <v>1745</v>
      </c>
      <c r="JP5">
        <v>2021</v>
      </c>
      <c r="JQ5" t="s">
        <v>2281</v>
      </c>
      <c r="JR5" s="6">
        <v>44693</v>
      </c>
      <c r="JS5">
        <v>5</v>
      </c>
      <c r="JT5">
        <v>-2.4245362661989844E-14</v>
      </c>
      <c r="JU5">
        <v>313098</v>
      </c>
      <c r="JV5" t="s">
        <v>2282</v>
      </c>
      <c r="JY5" t="str">
        <f>_xll.BDS("AGN US Equity","SUPPLY_CHAIN_CUSTOMERS_ALL_DATA","cols=12;rows=1")</f>
        <v>4569 JP Equity</v>
      </c>
      <c r="JZ5">
        <v>-2.4245362661989844E-14</v>
      </c>
      <c r="KB5">
        <v>-2.4245362661989844E-14</v>
      </c>
      <c r="KC5" t="s">
        <v>1745</v>
      </c>
      <c r="KD5">
        <v>2022</v>
      </c>
      <c r="KE5" t="s">
        <v>3152</v>
      </c>
      <c r="KF5" s="6">
        <v>44736</v>
      </c>
      <c r="KG5">
        <v>1</v>
      </c>
      <c r="KH5">
        <v>-2.4245362661989844E-14</v>
      </c>
      <c r="KI5">
        <v>10499395</v>
      </c>
      <c r="KJ5" t="s">
        <v>3153</v>
      </c>
      <c r="KO5" t="str">
        <f>_xll.BDS("HUM US Equity","SUPPLY_CHAIN_SUPPLIERS_ALL_DATA","cols=12;rows=5")</f>
        <v>EVH US Equity</v>
      </c>
      <c r="KP5" t="s">
        <v>1786</v>
      </c>
      <c r="KQ5">
        <v>19.299999</v>
      </c>
      <c r="KR5">
        <v>0.489813</v>
      </c>
      <c r="KS5" t="s">
        <v>1745</v>
      </c>
      <c r="KT5">
        <v>2024</v>
      </c>
      <c r="KU5" t="s">
        <v>2721</v>
      </c>
      <c r="KV5" s="6">
        <v>45709</v>
      </c>
      <c r="KW5">
        <v>5</v>
      </c>
      <c r="KX5">
        <v>123266256</v>
      </c>
      <c r="KY5">
        <v>34451827</v>
      </c>
      <c r="KZ5" t="s">
        <v>2722</v>
      </c>
      <c r="LC5" t="str">
        <f>_xll.BDS("HUM US Equity","SUPPLY_CHAIN_CUSTOMERS_ALL_DATA","cols=12;rows=5")</f>
        <v>3352Z US Equity</v>
      </c>
      <c r="LD5">
        <v>85</v>
      </c>
      <c r="LF5">
        <v>-2.4245362661989844E-14</v>
      </c>
      <c r="LG5" t="s">
        <v>1745</v>
      </c>
      <c r="LH5">
        <v>2024</v>
      </c>
      <c r="LI5" t="s">
        <v>2507</v>
      </c>
      <c r="LJ5" s="6">
        <v>45708</v>
      </c>
      <c r="LK5">
        <v>5</v>
      </c>
      <c r="LL5">
        <v>25024212992</v>
      </c>
      <c r="LM5">
        <v>218252</v>
      </c>
      <c r="LN5" t="s">
        <v>1803</v>
      </c>
      <c r="LS5" t="str">
        <f>_xll.BDS("764144Q US Equity","SUPPLY_CHAIN_SUPPLIERS_ALL_DATA")</f>
        <v>#N/A N/A</v>
      </c>
      <c r="MG5" t="str">
        <f>_xll.BDS("764144Q US Equity","SUPPLY_CHAIN_CUSTOMERS_ALL_DATA")</f>
        <v>#N/A N/A</v>
      </c>
      <c r="MW5" t="str">
        <f>_xll.BDS("ETRN US Equity","SUPPLY_CHAIN_SUPPLIERS_ALL_DATA","cols=12;rows=5")</f>
        <v>848936Z US Equity</v>
      </c>
      <c r="MY5">
        <v>-2.4245362661989844E-14</v>
      </c>
      <c r="MZ5">
        <v>-2.4245362661989844E-14</v>
      </c>
      <c r="NA5" t="s">
        <v>1745</v>
      </c>
      <c r="NB5">
        <v>2023</v>
      </c>
      <c r="NC5" t="s">
        <v>4704</v>
      </c>
      <c r="ND5" s="6">
        <v>45342</v>
      </c>
      <c r="NE5">
        <v>5</v>
      </c>
      <c r="NF5">
        <v>-2.4245362661989844E-14</v>
      </c>
      <c r="NG5">
        <v>10759646</v>
      </c>
      <c r="NH5" t="s">
        <v>3464</v>
      </c>
      <c r="NK5" t="str">
        <f>_xll.BDS("ETRN US Equity","SUPPLY_CHAIN_CUSTOMERS_ALL_DATA","cols=12;rows=1")</f>
        <v>EQT US Equity</v>
      </c>
      <c r="NL5">
        <v>-2.4245362661989844E-14</v>
      </c>
      <c r="NN5">
        <v>-2.4245362661989844E-14</v>
      </c>
      <c r="NO5" t="s">
        <v>1745</v>
      </c>
      <c r="NP5">
        <v>2023</v>
      </c>
      <c r="NQ5" t="s">
        <v>4704</v>
      </c>
      <c r="NR5" s="6">
        <v>45342</v>
      </c>
      <c r="NS5">
        <v>1</v>
      </c>
      <c r="NT5">
        <v>-2.4245362661989844E-14</v>
      </c>
      <c r="NU5">
        <v>100539</v>
      </c>
      <c r="NV5" t="s">
        <v>4705</v>
      </c>
      <c r="OA5" t="str">
        <f>_xll.BDS("HYSL US Equity","SUPPLY_CHAIN_SUPPLIERS_ALL_DATA")</f>
        <v>#N/A N/A</v>
      </c>
      <c r="OO5" t="str">
        <f>_xll.BDS("HYSL US Equity","SUPPLY_CHAIN_CUSTOMERS_ALL_DATA")</f>
        <v>#N/A N/A</v>
      </c>
      <c r="PE5" t="str">
        <f>_xll.BDS("0167866D US Equity","SUPPLY_CHAIN_SUPPLIERS_ALL_DATA")</f>
        <v>#N/A N/A</v>
      </c>
      <c r="PS5" t="str">
        <f>_xll.BDS("0167866D US Equity","SUPPLY_CHAIN_CUSTOMERS_ALL_DATA")</f>
        <v>#N/A N/A</v>
      </c>
      <c r="QI5" t="str">
        <f>_xll.BDS("1938073D US Equity","SUPPLY_CHAIN_SUPPLIERS_ALL_DATA")</f>
        <v>#N/A N/A</v>
      </c>
      <c r="QW5" t="str">
        <f>_xll.BDS("1938073D US Equity","SUPPLY_CHAIN_CUSTOMERS_ALL_DATA")</f>
        <v>#N/A N/A</v>
      </c>
      <c r="RM5" t="str">
        <f>_xll.BDS("AGN US Equity","SUPPLY_CHAIN_SUPPLIERS_ALL_DATA","cols=12;rows=5")</f>
        <v>AEE US Equity</v>
      </c>
      <c r="RO5">
        <v>-2.4245362661989844E-14</v>
      </c>
      <c r="RP5">
        <v>-2.4245362661989844E-14</v>
      </c>
      <c r="RQ5" t="s">
        <v>1745</v>
      </c>
      <c r="RR5">
        <v>2021</v>
      </c>
      <c r="RS5" t="s">
        <v>2281</v>
      </c>
      <c r="RT5" s="6">
        <v>44693</v>
      </c>
      <c r="RU5">
        <v>5</v>
      </c>
      <c r="RV5">
        <v>-2.4245362661989844E-14</v>
      </c>
      <c r="RW5">
        <v>313098</v>
      </c>
      <c r="RX5" t="s">
        <v>2282</v>
      </c>
      <c r="SA5" t="str">
        <f>_xll.BDS("AGN US Equity","SUPPLY_CHAIN_CUSTOMERS_ALL_DATA","cols=12;rows=1")</f>
        <v>4569 JP Equity</v>
      </c>
      <c r="SB5">
        <v>-2.4245362661989844E-14</v>
      </c>
      <c r="SD5">
        <v>-2.4245362661989844E-14</v>
      </c>
      <c r="SE5" t="s">
        <v>1745</v>
      </c>
      <c r="SF5">
        <v>2022</v>
      </c>
      <c r="SG5" t="s">
        <v>3152</v>
      </c>
      <c r="SH5" s="6">
        <v>44736</v>
      </c>
      <c r="SI5">
        <v>1</v>
      </c>
      <c r="SJ5">
        <v>-2.4245362661989844E-14</v>
      </c>
      <c r="SK5">
        <v>10499395</v>
      </c>
      <c r="SL5" t="s">
        <v>3153</v>
      </c>
      <c r="SQ5" t="str">
        <f>_xll.BDS("SFNC US Equity","SUPPLY_CHAIN_SUPPLIERS_ALL_DATA")</f>
        <v>#N/A N/A</v>
      </c>
      <c r="TE5" t="str">
        <f>_xll.BDS("SFNC US Equity","SUPPLY_CHAIN_CUSTOMERS_ALL_DATA")</f>
        <v>#N/A N/A</v>
      </c>
      <c r="TU5" t="str">
        <f>_xll.BDS("KYPH US Equity","SUPPLY_CHAIN_SUPPLIERS_ALL_DATA")</f>
        <v>#N/A N/A</v>
      </c>
      <c r="UI5" t="str">
        <f>_xll.BDS("KYPH US Equity","SUPPLY_CHAIN_CUSTOMERS_ALL_DATA")</f>
        <v>#N/A N/A</v>
      </c>
      <c r="UY5" t="str">
        <f>_xll.BDS("3691661Q US Equity","SUPPLY_CHAIN_SUPPLIERS_ALL_DATA")</f>
        <v>#N/A N/A</v>
      </c>
      <c r="VM5" t="str">
        <f>_xll.BDS("3691661Q US Equity","SUPPLY_CHAIN_CUSTOMERS_ALL_DATA")</f>
        <v>#N/A N/A</v>
      </c>
    </row>
    <row r="6" spans="1:600" x14ac:dyDescent="0.25">
      <c r="CM6" t="s">
        <v>2477</v>
      </c>
      <c r="CN6" t="s">
        <v>1786</v>
      </c>
      <c r="CO6">
        <v>57</v>
      </c>
      <c r="CP6">
        <v>0.58612699999999995</v>
      </c>
      <c r="CQ6" t="s">
        <v>1745</v>
      </c>
      <c r="CR6">
        <v>2024</v>
      </c>
      <c r="CS6" t="s">
        <v>2478</v>
      </c>
      <c r="CT6" s="6">
        <v>45687</v>
      </c>
      <c r="CU6">
        <v>5</v>
      </c>
      <c r="CV6">
        <v>2640541.5699999998</v>
      </c>
      <c r="CW6">
        <v>13528079</v>
      </c>
      <c r="CX6" t="s">
        <v>2479</v>
      </c>
      <c r="DA6" t="s">
        <v>1795</v>
      </c>
      <c r="DB6">
        <v>-2.4245362661989844E-14</v>
      </c>
      <c r="DD6">
        <v>-2.4245362661989844E-14</v>
      </c>
      <c r="DE6" t="s">
        <v>1742</v>
      </c>
      <c r="DF6">
        <v>2023</v>
      </c>
      <c r="DG6" t="s">
        <v>1793</v>
      </c>
      <c r="DH6" s="6">
        <v>45139</v>
      </c>
      <c r="DI6">
        <v>5</v>
      </c>
      <c r="DJ6">
        <v>-2.4245362661989844E-14</v>
      </c>
      <c r="DK6">
        <v>962205</v>
      </c>
      <c r="DL6" t="s">
        <v>1796</v>
      </c>
      <c r="EU6" t="s">
        <v>4643</v>
      </c>
      <c r="EW6">
        <v>-2.4245362661989844E-14</v>
      </c>
      <c r="EX6">
        <v>-2.4245362661989844E-14</v>
      </c>
      <c r="EY6" t="s">
        <v>1745</v>
      </c>
      <c r="EZ6">
        <v>2024</v>
      </c>
      <c r="FA6" t="s">
        <v>4541</v>
      </c>
      <c r="FB6" s="6">
        <v>45729</v>
      </c>
      <c r="FC6">
        <v>5</v>
      </c>
      <c r="FD6">
        <v>-2.4245362661989844E-14</v>
      </c>
      <c r="FE6">
        <v>41727847</v>
      </c>
      <c r="FF6" t="s">
        <v>4644</v>
      </c>
      <c r="FI6" t="s">
        <v>2147</v>
      </c>
      <c r="FJ6">
        <v>19</v>
      </c>
      <c r="FK6" t="s">
        <v>1786</v>
      </c>
      <c r="FL6">
        <v>1.038E-2</v>
      </c>
      <c r="FM6" t="s">
        <v>1745</v>
      </c>
      <c r="FN6">
        <v>2024</v>
      </c>
      <c r="FO6" t="s">
        <v>4541</v>
      </c>
      <c r="FP6" s="6">
        <v>45729</v>
      </c>
      <c r="FQ6">
        <v>5</v>
      </c>
      <c r="FR6">
        <v>7608550</v>
      </c>
      <c r="FS6">
        <v>156969</v>
      </c>
      <c r="FT6" t="s">
        <v>2148</v>
      </c>
      <c r="HC6" t="s">
        <v>3214</v>
      </c>
      <c r="HD6" t="s">
        <v>1786</v>
      </c>
      <c r="HE6">
        <v>9.7109999999999991E-3</v>
      </c>
      <c r="HF6">
        <v>5.5308999999999997E-2</v>
      </c>
      <c r="HG6" t="s">
        <v>1742</v>
      </c>
      <c r="HH6">
        <v>2025</v>
      </c>
      <c r="HI6" t="s">
        <v>3215</v>
      </c>
      <c r="HJ6" s="6">
        <v>45993</v>
      </c>
      <c r="HK6">
        <v>5</v>
      </c>
      <c r="HL6">
        <v>348334</v>
      </c>
      <c r="HM6">
        <v>100415</v>
      </c>
      <c r="HN6" t="s">
        <v>3216</v>
      </c>
      <c r="HQ6" t="s">
        <v>633</v>
      </c>
      <c r="HR6">
        <v>11</v>
      </c>
      <c r="HS6" t="s">
        <v>1786</v>
      </c>
      <c r="HT6">
        <v>0.87740499999999999</v>
      </c>
      <c r="HU6" t="s">
        <v>1745</v>
      </c>
      <c r="HV6">
        <v>2025</v>
      </c>
      <c r="HW6" t="s">
        <v>3994</v>
      </c>
      <c r="HX6" s="6">
        <v>46076</v>
      </c>
      <c r="HY6">
        <v>5</v>
      </c>
      <c r="HZ6">
        <v>122738000</v>
      </c>
      <c r="IA6">
        <v>100916</v>
      </c>
      <c r="IB6" t="s">
        <v>3995</v>
      </c>
      <c r="IG6" t="s">
        <v>2325</v>
      </c>
      <c r="II6">
        <v>-2.4245362661989844E-14</v>
      </c>
      <c r="IJ6">
        <v>-2.4245362661989844E-14</v>
      </c>
      <c r="IK6" t="s">
        <v>1745</v>
      </c>
      <c r="IL6">
        <v>2023</v>
      </c>
      <c r="IM6" t="s">
        <v>2326</v>
      </c>
      <c r="IN6" s="6">
        <v>45373</v>
      </c>
      <c r="IO6">
        <v>5</v>
      </c>
      <c r="IP6">
        <v>-2.4245362661989844E-14</v>
      </c>
      <c r="IQ6">
        <v>1459277</v>
      </c>
      <c r="IR6" t="s">
        <v>2327</v>
      </c>
      <c r="IU6" t="s">
        <v>246</v>
      </c>
      <c r="IV6">
        <v>-2.4245362661989844E-14</v>
      </c>
      <c r="IX6">
        <v>-2.4245362661989844E-14</v>
      </c>
      <c r="IY6" t="s">
        <v>1762</v>
      </c>
      <c r="IZ6">
        <v>2024</v>
      </c>
      <c r="JA6" t="s">
        <v>1763</v>
      </c>
      <c r="JB6" s="6">
        <v>45505</v>
      </c>
      <c r="JC6">
        <v>3</v>
      </c>
      <c r="JD6">
        <v>-2.4245362661989844E-14</v>
      </c>
      <c r="JE6">
        <v>46946968</v>
      </c>
      <c r="JF6" t="s">
        <v>1765</v>
      </c>
      <c r="JK6" t="s">
        <v>2283</v>
      </c>
      <c r="JM6">
        <v>-2.4245362661989844E-14</v>
      </c>
      <c r="JN6">
        <v>-2.4245362661989844E-14</v>
      </c>
      <c r="JO6" t="s">
        <v>1745</v>
      </c>
      <c r="JP6">
        <v>2021</v>
      </c>
      <c r="JQ6" t="s">
        <v>2284</v>
      </c>
      <c r="JR6" s="6">
        <v>44693</v>
      </c>
      <c r="JS6">
        <v>5</v>
      </c>
      <c r="JT6">
        <v>-2.4245362661989844E-14</v>
      </c>
      <c r="JU6">
        <v>100060</v>
      </c>
      <c r="JV6" t="s">
        <v>2285</v>
      </c>
      <c r="KO6" t="s">
        <v>34</v>
      </c>
      <c r="KP6" t="s">
        <v>1786</v>
      </c>
      <c r="KQ6">
        <v>0.38419599999999998</v>
      </c>
      <c r="KR6">
        <v>0.23025699999999999</v>
      </c>
      <c r="KS6" t="s">
        <v>1845</v>
      </c>
      <c r="KT6">
        <v>2025</v>
      </c>
      <c r="KU6" t="s">
        <v>1883</v>
      </c>
      <c r="KV6" s="6">
        <v>45848</v>
      </c>
      <c r="KW6">
        <v>5</v>
      </c>
      <c r="KX6">
        <v>61098688</v>
      </c>
      <c r="KY6">
        <v>101752</v>
      </c>
      <c r="KZ6" t="s">
        <v>2723</v>
      </c>
      <c r="LC6" t="s">
        <v>1795</v>
      </c>
      <c r="LD6">
        <v>-2.4245362661989844E-14</v>
      </c>
      <c r="LF6">
        <v>-2.4245362661989844E-14</v>
      </c>
      <c r="LG6" t="s">
        <v>1745</v>
      </c>
      <c r="LH6">
        <v>2024</v>
      </c>
      <c r="LI6" t="s">
        <v>2507</v>
      </c>
      <c r="LJ6" s="6">
        <v>45708</v>
      </c>
      <c r="LK6">
        <v>5</v>
      </c>
      <c r="LL6">
        <v>-2.4245362661989844E-14</v>
      </c>
      <c r="LM6">
        <v>962205</v>
      </c>
      <c r="LN6" t="s">
        <v>1796</v>
      </c>
      <c r="MW6" t="s">
        <v>86</v>
      </c>
      <c r="MY6">
        <v>-2.4245362661989844E-14</v>
      </c>
      <c r="MZ6">
        <v>-2.4245362661989844E-14</v>
      </c>
      <c r="NA6" t="s">
        <v>1745</v>
      </c>
      <c r="NB6">
        <v>2023</v>
      </c>
      <c r="NC6" t="s">
        <v>4704</v>
      </c>
      <c r="ND6" s="6">
        <v>45342</v>
      </c>
      <c r="NE6">
        <v>5</v>
      </c>
      <c r="NF6">
        <v>-2.4245362661989844E-14</v>
      </c>
      <c r="NG6">
        <v>100193</v>
      </c>
      <c r="NH6" t="s">
        <v>1849</v>
      </c>
      <c r="RM6" t="s">
        <v>2283</v>
      </c>
      <c r="RO6">
        <v>-2.4245362661989844E-14</v>
      </c>
      <c r="RP6">
        <v>-2.4245362661989844E-14</v>
      </c>
      <c r="RQ6" t="s">
        <v>1745</v>
      </c>
      <c r="RR6">
        <v>2021</v>
      </c>
      <c r="RS6" t="s">
        <v>2284</v>
      </c>
      <c r="RT6" s="6">
        <v>44693</v>
      </c>
      <c r="RU6">
        <v>5</v>
      </c>
      <c r="RV6">
        <v>-2.4245362661989844E-14</v>
      </c>
      <c r="RW6">
        <v>100060</v>
      </c>
      <c r="RX6" t="s">
        <v>2285</v>
      </c>
    </row>
    <row r="7" spans="1:600" x14ac:dyDescent="0.25">
      <c r="CM7" t="s">
        <v>2480</v>
      </c>
      <c r="CN7" t="s">
        <v>1820</v>
      </c>
      <c r="CO7">
        <v>2.9821E-2</v>
      </c>
      <c r="CP7">
        <v>0.29687599999999997</v>
      </c>
      <c r="CQ7" t="s">
        <v>1845</v>
      </c>
      <c r="CR7">
        <v>2025</v>
      </c>
      <c r="CS7" t="s">
        <v>2481</v>
      </c>
      <c r="CT7" s="6">
        <v>45868</v>
      </c>
      <c r="CU7">
        <v>5</v>
      </c>
      <c r="CV7">
        <v>119346.11</v>
      </c>
      <c r="CW7">
        <v>126987</v>
      </c>
      <c r="CX7" t="s">
        <v>2482</v>
      </c>
      <c r="DA7" t="s">
        <v>1797</v>
      </c>
      <c r="DB7">
        <v>-2.4245362661989844E-14</v>
      </c>
      <c r="DD7">
        <v>-2.4245362661989844E-14</v>
      </c>
      <c r="DE7" t="s">
        <v>1798</v>
      </c>
      <c r="DF7">
        <v>2024</v>
      </c>
      <c r="DG7" t="s">
        <v>1799</v>
      </c>
      <c r="DH7" s="6">
        <v>45642</v>
      </c>
      <c r="DI7">
        <v>5</v>
      </c>
      <c r="DJ7">
        <v>-2.4245362661989844E-14</v>
      </c>
      <c r="DK7">
        <v>72018854</v>
      </c>
      <c r="DL7" t="s">
        <v>1800</v>
      </c>
      <c r="EU7" t="s">
        <v>4645</v>
      </c>
      <c r="EW7">
        <v>-2.4245362661989844E-14</v>
      </c>
      <c r="EX7">
        <v>-2.4245362661989844E-14</v>
      </c>
      <c r="EY7" t="s">
        <v>1745</v>
      </c>
      <c r="EZ7">
        <v>2024</v>
      </c>
      <c r="FA7" t="s">
        <v>4541</v>
      </c>
      <c r="FB7" s="6">
        <v>45729</v>
      </c>
      <c r="FC7">
        <v>5</v>
      </c>
      <c r="FD7">
        <v>-2.4245362661989844E-14</v>
      </c>
      <c r="FE7">
        <v>54330418</v>
      </c>
      <c r="FF7" t="s">
        <v>4646</v>
      </c>
      <c r="FI7" t="s">
        <v>115</v>
      </c>
      <c r="FJ7">
        <v>12</v>
      </c>
      <c r="FK7" t="s">
        <v>1786</v>
      </c>
      <c r="FL7">
        <v>5.8019999999999999E-3</v>
      </c>
      <c r="FM7" t="s">
        <v>1745</v>
      </c>
      <c r="FN7">
        <v>2024</v>
      </c>
      <c r="FO7" t="s">
        <v>4541</v>
      </c>
      <c r="FP7" s="6">
        <v>45729</v>
      </c>
      <c r="FQ7">
        <v>5</v>
      </c>
      <c r="FR7">
        <v>4805400</v>
      </c>
      <c r="FS7">
        <v>154936</v>
      </c>
      <c r="FT7" t="s">
        <v>2146</v>
      </c>
      <c r="HC7" t="s">
        <v>2993</v>
      </c>
      <c r="HD7" t="s">
        <v>1820</v>
      </c>
      <c r="HE7">
        <v>1.1490000000000001E-3</v>
      </c>
      <c r="HF7">
        <v>0.29287299999999999</v>
      </c>
      <c r="HG7" t="s">
        <v>1762</v>
      </c>
      <c r="HH7">
        <v>2025</v>
      </c>
      <c r="HI7" t="s">
        <v>3290</v>
      </c>
      <c r="HJ7" s="6">
        <v>46024</v>
      </c>
      <c r="HK7">
        <v>5</v>
      </c>
      <c r="HL7">
        <v>80239.740000000005</v>
      </c>
      <c r="HM7">
        <v>115110</v>
      </c>
      <c r="HN7" t="s">
        <v>2995</v>
      </c>
      <c r="HQ7" t="s">
        <v>1885</v>
      </c>
      <c r="HR7">
        <v>6.0847749999999996</v>
      </c>
      <c r="HS7" t="s">
        <v>1786</v>
      </c>
      <c r="HT7">
        <v>9.0606000000000006E-2</v>
      </c>
      <c r="HU7" t="s">
        <v>1762</v>
      </c>
      <c r="HV7">
        <v>2025</v>
      </c>
      <c r="HW7" t="s">
        <v>3996</v>
      </c>
      <c r="HX7" s="6">
        <v>45876</v>
      </c>
      <c r="HY7">
        <v>5</v>
      </c>
      <c r="HZ7">
        <v>73218096</v>
      </c>
      <c r="IA7">
        <v>216952</v>
      </c>
      <c r="IB7" t="s">
        <v>1886</v>
      </c>
      <c r="IG7" t="s">
        <v>2328</v>
      </c>
      <c r="II7">
        <v>-2.4245362661989844E-14</v>
      </c>
      <c r="IJ7">
        <v>-2.4245362661989844E-14</v>
      </c>
      <c r="IK7" t="s">
        <v>1745</v>
      </c>
      <c r="IL7">
        <v>2022</v>
      </c>
      <c r="IM7" t="s">
        <v>2329</v>
      </c>
      <c r="IN7" s="6">
        <v>44736</v>
      </c>
      <c r="IO7">
        <v>5</v>
      </c>
      <c r="IP7">
        <v>-2.4245362661989844E-14</v>
      </c>
      <c r="IQ7">
        <v>114629</v>
      </c>
      <c r="IR7" t="s">
        <v>2330</v>
      </c>
      <c r="IU7" t="s">
        <v>1766</v>
      </c>
      <c r="IV7">
        <v>-2.4245362661989844E-14</v>
      </c>
      <c r="IX7">
        <v>-2.4245362661989844E-14</v>
      </c>
      <c r="IY7" t="s">
        <v>1742</v>
      </c>
      <c r="IZ7">
        <v>2022</v>
      </c>
      <c r="JA7" t="s">
        <v>1767</v>
      </c>
      <c r="JB7" s="6">
        <v>44870</v>
      </c>
      <c r="JC7">
        <v>3</v>
      </c>
      <c r="JD7">
        <v>-2.4245362661989844E-14</v>
      </c>
      <c r="JE7">
        <v>67335162</v>
      </c>
      <c r="JF7" t="s">
        <v>1768</v>
      </c>
      <c r="JK7" t="s">
        <v>428</v>
      </c>
      <c r="JM7">
        <v>-2.4245362661989844E-14</v>
      </c>
      <c r="JN7">
        <v>-2.4245362661989844E-14</v>
      </c>
      <c r="JO7" t="s">
        <v>1745</v>
      </c>
      <c r="JP7">
        <v>2021</v>
      </c>
      <c r="JQ7" t="s">
        <v>3264</v>
      </c>
      <c r="JR7" s="6">
        <v>44693</v>
      </c>
      <c r="JS7">
        <v>5</v>
      </c>
      <c r="JT7">
        <v>-2.4245362661989844E-14</v>
      </c>
      <c r="JU7">
        <v>101690</v>
      </c>
      <c r="JV7" t="s">
        <v>3265</v>
      </c>
      <c r="KO7" t="s">
        <v>2724</v>
      </c>
      <c r="KP7" t="s">
        <v>1786</v>
      </c>
      <c r="KQ7">
        <v>0.27947699999999998</v>
      </c>
      <c r="KR7">
        <v>0.117197</v>
      </c>
      <c r="KS7" t="s">
        <v>1742</v>
      </c>
      <c r="KT7">
        <v>2025</v>
      </c>
      <c r="KU7" t="s">
        <v>2725</v>
      </c>
      <c r="KV7" s="6">
        <v>46049</v>
      </c>
      <c r="KW7">
        <v>5</v>
      </c>
      <c r="KX7">
        <v>32809650.949999999</v>
      </c>
      <c r="KY7">
        <v>101095</v>
      </c>
      <c r="KZ7" t="s">
        <v>2726</v>
      </c>
      <c r="LC7" t="s">
        <v>1930</v>
      </c>
      <c r="LD7">
        <v>-2.4245362661989844E-14</v>
      </c>
      <c r="LF7">
        <v>-2.4245362661989844E-14</v>
      </c>
      <c r="LG7" t="s">
        <v>1745</v>
      </c>
      <c r="LH7">
        <v>2023</v>
      </c>
      <c r="LI7" t="s">
        <v>2508</v>
      </c>
      <c r="LJ7" s="6">
        <v>44986</v>
      </c>
      <c r="LK7">
        <v>5</v>
      </c>
      <c r="LL7">
        <v>-2.4245362661989844E-14</v>
      </c>
      <c r="LM7">
        <v>962190</v>
      </c>
      <c r="LN7" t="s">
        <v>1931</v>
      </c>
      <c r="MW7" t="s">
        <v>4996</v>
      </c>
      <c r="MY7">
        <v>-2.4245362661989844E-14</v>
      </c>
      <c r="MZ7">
        <v>-2.4245362661989844E-14</v>
      </c>
      <c r="NA7" t="s">
        <v>1745</v>
      </c>
      <c r="NB7">
        <v>2023</v>
      </c>
      <c r="NC7" t="s">
        <v>4704</v>
      </c>
      <c r="ND7" s="6">
        <v>45342</v>
      </c>
      <c r="NE7">
        <v>5</v>
      </c>
      <c r="NF7">
        <v>-2.4245362661989844E-14</v>
      </c>
      <c r="NG7">
        <v>109548</v>
      </c>
      <c r="NH7" t="s">
        <v>4997</v>
      </c>
      <c r="RM7" t="s">
        <v>428</v>
      </c>
      <c r="RO7">
        <v>-2.4245362661989844E-14</v>
      </c>
      <c r="RP7">
        <v>-2.4245362661989844E-14</v>
      </c>
      <c r="RQ7" t="s">
        <v>1745</v>
      </c>
      <c r="RR7">
        <v>2021</v>
      </c>
      <c r="RS7" t="s">
        <v>3264</v>
      </c>
      <c r="RT7" s="6">
        <v>44693</v>
      </c>
      <c r="RU7">
        <v>5</v>
      </c>
      <c r="RV7">
        <v>-2.4245362661989844E-14</v>
      </c>
      <c r="RW7">
        <v>101690</v>
      </c>
      <c r="RX7" t="s">
        <v>3265</v>
      </c>
    </row>
    <row r="8" spans="1:600" x14ac:dyDescent="0.25">
      <c r="CM8" t="s">
        <v>1804</v>
      </c>
      <c r="CO8">
        <v>-2.4245362661989844E-14</v>
      </c>
      <c r="CP8">
        <v>-2.4245362661989844E-14</v>
      </c>
      <c r="CQ8" t="s">
        <v>1805</v>
      </c>
      <c r="CR8">
        <v>2025</v>
      </c>
      <c r="CS8" t="s">
        <v>2483</v>
      </c>
      <c r="CT8" s="6">
        <v>45890</v>
      </c>
      <c r="CU8">
        <v>5</v>
      </c>
      <c r="CV8">
        <v>-2.4245362661989844E-14</v>
      </c>
      <c r="CW8">
        <v>40810398</v>
      </c>
      <c r="CX8" t="s">
        <v>1807</v>
      </c>
      <c r="DA8" t="s">
        <v>1801</v>
      </c>
      <c r="DB8">
        <v>-2.4245362661989844E-14</v>
      </c>
      <c r="DD8">
        <v>-2.4245362661989844E-14</v>
      </c>
      <c r="DE8" t="s">
        <v>1762</v>
      </c>
      <c r="DF8">
        <v>2023</v>
      </c>
      <c r="DG8" t="s">
        <v>1802</v>
      </c>
      <c r="DH8" s="6">
        <v>45048</v>
      </c>
      <c r="DI8">
        <v>5</v>
      </c>
      <c r="DJ8">
        <v>-2.4245362661989844E-14</v>
      </c>
      <c r="DK8">
        <v>218252</v>
      </c>
      <c r="DL8" t="s">
        <v>1803</v>
      </c>
      <c r="EU8" t="s">
        <v>4647</v>
      </c>
      <c r="EW8">
        <v>-2.4245362661989844E-14</v>
      </c>
      <c r="EX8">
        <v>-2.4245362661989844E-14</v>
      </c>
      <c r="EY8" t="s">
        <v>1745</v>
      </c>
      <c r="EZ8">
        <v>2024</v>
      </c>
      <c r="FA8" t="s">
        <v>4541</v>
      </c>
      <c r="FB8" s="6">
        <v>45729</v>
      </c>
      <c r="FC8">
        <v>5</v>
      </c>
      <c r="FD8">
        <v>-2.4245362661989844E-14</v>
      </c>
      <c r="FE8">
        <v>24584101</v>
      </c>
      <c r="FF8" t="s">
        <v>4648</v>
      </c>
      <c r="FI8" t="s">
        <v>2771</v>
      </c>
      <c r="FJ8">
        <v>-2.4245362661989844E-14</v>
      </c>
      <c r="FL8">
        <v>-2.4245362661989844E-14</v>
      </c>
      <c r="FM8" t="s">
        <v>1745</v>
      </c>
      <c r="FN8">
        <v>2024</v>
      </c>
      <c r="FO8" t="s">
        <v>4543</v>
      </c>
      <c r="FP8" s="6">
        <v>45742</v>
      </c>
      <c r="FQ8">
        <v>5</v>
      </c>
      <c r="FR8">
        <v>-2.4245362661989844E-14</v>
      </c>
      <c r="FS8">
        <v>153205</v>
      </c>
      <c r="FT8" t="s">
        <v>2772</v>
      </c>
      <c r="HC8" t="s">
        <v>4056</v>
      </c>
      <c r="HE8">
        <v>-2.4245362661989844E-14</v>
      </c>
      <c r="HF8">
        <v>-2.4245362661989844E-14</v>
      </c>
      <c r="HG8" t="s">
        <v>1798</v>
      </c>
      <c r="HH8">
        <v>2025</v>
      </c>
      <c r="HI8" t="s">
        <v>4057</v>
      </c>
      <c r="HJ8" s="6">
        <v>45975</v>
      </c>
      <c r="HK8">
        <v>5</v>
      </c>
      <c r="HL8">
        <v>-2.4245362661989844E-14</v>
      </c>
      <c r="HM8">
        <v>128975</v>
      </c>
      <c r="HN8" t="s">
        <v>4058</v>
      </c>
      <c r="HQ8" t="s">
        <v>1854</v>
      </c>
      <c r="HR8">
        <v>3.8690630000000001</v>
      </c>
      <c r="HS8" t="s">
        <v>1786</v>
      </c>
      <c r="HT8">
        <v>8.2610000000000003E-2</v>
      </c>
      <c r="HU8" t="s">
        <v>1742</v>
      </c>
      <c r="HV8">
        <v>2024</v>
      </c>
      <c r="HW8" t="s">
        <v>3996</v>
      </c>
      <c r="HX8" s="6">
        <v>45672</v>
      </c>
      <c r="HY8">
        <v>5</v>
      </c>
      <c r="HZ8">
        <v>44699284</v>
      </c>
      <c r="IA8">
        <v>101758</v>
      </c>
      <c r="IB8" t="s">
        <v>1856</v>
      </c>
      <c r="IG8" t="s">
        <v>1761</v>
      </c>
      <c r="II8">
        <v>-2.4245362661989844E-14</v>
      </c>
      <c r="IJ8">
        <v>-2.4245362661989844E-14</v>
      </c>
      <c r="IK8" t="s">
        <v>1742</v>
      </c>
      <c r="IL8">
        <v>2025</v>
      </c>
      <c r="IM8" t="s">
        <v>2331</v>
      </c>
      <c r="IN8" s="6">
        <v>45966</v>
      </c>
      <c r="IO8">
        <v>5</v>
      </c>
      <c r="IP8">
        <v>-2.4245362661989844E-14</v>
      </c>
      <c r="IQ8">
        <v>101695</v>
      </c>
      <c r="IR8" t="s">
        <v>1764</v>
      </c>
      <c r="JK8" t="s">
        <v>86</v>
      </c>
      <c r="JM8">
        <v>-2.4245362661989844E-14</v>
      </c>
      <c r="JN8">
        <v>-2.4245362661989844E-14</v>
      </c>
      <c r="JO8" t="s">
        <v>1745</v>
      </c>
      <c r="JP8">
        <v>2021</v>
      </c>
      <c r="JQ8" t="s">
        <v>2299</v>
      </c>
      <c r="JR8" s="6">
        <v>44693</v>
      </c>
      <c r="JS8">
        <v>5</v>
      </c>
      <c r="JT8">
        <v>-2.4245362661989844E-14</v>
      </c>
      <c r="JU8">
        <v>100193</v>
      </c>
      <c r="JV8" t="s">
        <v>1849</v>
      </c>
      <c r="KO8" t="s">
        <v>2727</v>
      </c>
      <c r="KP8" t="s">
        <v>1786</v>
      </c>
      <c r="KQ8">
        <v>10.936959999999999</v>
      </c>
      <c r="KR8">
        <v>0.108871</v>
      </c>
      <c r="KS8" t="s">
        <v>1742</v>
      </c>
      <c r="KT8">
        <v>2025</v>
      </c>
      <c r="KU8" t="s">
        <v>2728</v>
      </c>
      <c r="KV8" s="6">
        <v>46018</v>
      </c>
      <c r="KW8">
        <v>5</v>
      </c>
      <c r="KX8">
        <v>30473980</v>
      </c>
      <c r="KY8">
        <v>1746087</v>
      </c>
      <c r="KZ8" t="s">
        <v>2729</v>
      </c>
      <c r="LC8" t="s">
        <v>2509</v>
      </c>
      <c r="LD8">
        <v>-2.4245362661989844E-14</v>
      </c>
      <c r="LF8">
        <v>-2.4245362661989844E-14</v>
      </c>
      <c r="LG8" t="s">
        <v>1742</v>
      </c>
      <c r="LH8">
        <v>2024</v>
      </c>
      <c r="LI8" t="s">
        <v>2510</v>
      </c>
      <c r="LJ8" s="6">
        <v>45595</v>
      </c>
      <c r="LK8">
        <v>5</v>
      </c>
      <c r="LL8">
        <v>-2.4245362661989844E-14</v>
      </c>
      <c r="LM8">
        <v>25315094</v>
      </c>
      <c r="LN8" t="s">
        <v>2511</v>
      </c>
      <c r="MW8" t="s">
        <v>3468</v>
      </c>
      <c r="MY8">
        <v>-2.4245362661989844E-14</v>
      </c>
      <c r="MZ8">
        <v>-2.4245362661989844E-14</v>
      </c>
      <c r="NA8" t="s">
        <v>1745</v>
      </c>
      <c r="NB8">
        <v>2022</v>
      </c>
      <c r="NC8" t="s">
        <v>4998</v>
      </c>
      <c r="ND8" s="6">
        <v>44978</v>
      </c>
      <c r="NE8">
        <v>5</v>
      </c>
      <c r="NF8">
        <v>-2.4245362661989844E-14</v>
      </c>
      <c r="NG8">
        <v>10005604</v>
      </c>
      <c r="NH8" t="s">
        <v>3469</v>
      </c>
      <c r="RM8" t="s">
        <v>86</v>
      </c>
      <c r="RO8">
        <v>-2.4245362661989844E-14</v>
      </c>
      <c r="RP8">
        <v>-2.4245362661989844E-14</v>
      </c>
      <c r="RQ8" t="s">
        <v>1745</v>
      </c>
      <c r="RR8">
        <v>2021</v>
      </c>
      <c r="RS8" t="s">
        <v>2299</v>
      </c>
      <c r="RT8" s="6">
        <v>44693</v>
      </c>
      <c r="RU8">
        <v>5</v>
      </c>
      <c r="RV8">
        <v>-2.4245362661989844E-14</v>
      </c>
      <c r="RW8">
        <v>100193</v>
      </c>
      <c r="RX8" t="s">
        <v>1849</v>
      </c>
    </row>
    <row r="9" spans="1:600" x14ac:dyDescent="0.25">
      <c r="CM9" t="s">
        <v>2484</v>
      </c>
      <c r="CO9">
        <v>-2.4245362661989844E-14</v>
      </c>
      <c r="CP9">
        <v>-2.4245362661989844E-14</v>
      </c>
      <c r="CQ9" t="s">
        <v>1745</v>
      </c>
      <c r="CR9">
        <v>2022</v>
      </c>
      <c r="CS9" t="s">
        <v>2485</v>
      </c>
      <c r="CT9" s="6">
        <v>44693</v>
      </c>
      <c r="CU9">
        <v>5</v>
      </c>
      <c r="CV9">
        <v>-2.4245362661989844E-14</v>
      </c>
      <c r="CW9">
        <v>114991</v>
      </c>
      <c r="CX9" t="s">
        <v>2486</v>
      </c>
      <c r="DA9" t="s">
        <v>1804</v>
      </c>
      <c r="DB9">
        <v>-2.4245362661989844E-14</v>
      </c>
      <c r="DD9">
        <v>-2.4245362661989844E-14</v>
      </c>
      <c r="DE9" t="s">
        <v>1805</v>
      </c>
      <c r="DF9">
        <v>2022</v>
      </c>
      <c r="DG9" t="s">
        <v>1806</v>
      </c>
      <c r="DH9" s="6">
        <v>44790</v>
      </c>
      <c r="DI9">
        <v>5</v>
      </c>
      <c r="DJ9">
        <v>-2.4245362661989844E-14</v>
      </c>
      <c r="DK9">
        <v>40810398</v>
      </c>
      <c r="DL9" t="s">
        <v>1807</v>
      </c>
      <c r="EU9" t="s">
        <v>236</v>
      </c>
      <c r="EW9">
        <v>-2.4245362661989844E-14</v>
      </c>
      <c r="EX9">
        <v>-2.4245362661989844E-14</v>
      </c>
      <c r="EY9" t="s">
        <v>1745</v>
      </c>
      <c r="EZ9">
        <v>2024</v>
      </c>
      <c r="FA9" t="s">
        <v>4541</v>
      </c>
      <c r="FB9" s="6">
        <v>45729</v>
      </c>
      <c r="FC9">
        <v>5</v>
      </c>
      <c r="FD9">
        <v>-2.4245362661989844E-14</v>
      </c>
      <c r="FE9">
        <v>102782</v>
      </c>
      <c r="FF9" t="s">
        <v>2149</v>
      </c>
      <c r="FI9" t="s">
        <v>4544</v>
      </c>
      <c r="FJ9">
        <v>-2.4245362661989844E-14</v>
      </c>
      <c r="FL9">
        <v>-2.4245362661989844E-14</v>
      </c>
      <c r="FM9" t="s">
        <v>1745</v>
      </c>
      <c r="FN9">
        <v>2024</v>
      </c>
      <c r="FO9" t="s">
        <v>4541</v>
      </c>
      <c r="FP9" s="6">
        <v>45729</v>
      </c>
      <c r="FQ9">
        <v>5</v>
      </c>
      <c r="FR9">
        <v>-2.4245362661989844E-14</v>
      </c>
      <c r="FS9">
        <v>10002189</v>
      </c>
      <c r="FT9" t="s">
        <v>4545</v>
      </c>
      <c r="HC9" t="s">
        <v>4059</v>
      </c>
      <c r="HE9">
        <v>-2.4245362661989844E-14</v>
      </c>
      <c r="HF9">
        <v>-2.4245362661989844E-14</v>
      </c>
      <c r="HG9" t="s">
        <v>1745</v>
      </c>
      <c r="HH9">
        <v>2022</v>
      </c>
      <c r="HI9" t="s">
        <v>4060</v>
      </c>
      <c r="HJ9" s="6">
        <v>44917</v>
      </c>
      <c r="HK9">
        <v>5</v>
      </c>
      <c r="HL9">
        <v>-2.4245362661989844E-14</v>
      </c>
      <c r="HM9">
        <v>26846181</v>
      </c>
      <c r="HN9" t="s">
        <v>4061</v>
      </c>
      <c r="HQ9" t="s">
        <v>3997</v>
      </c>
      <c r="HR9">
        <v>1.419713</v>
      </c>
      <c r="HS9" t="s">
        <v>1786</v>
      </c>
      <c r="HT9">
        <v>0.61033999999999999</v>
      </c>
      <c r="HU9" t="s">
        <v>1762</v>
      </c>
      <c r="HV9">
        <v>2025</v>
      </c>
      <c r="HW9" t="s">
        <v>3996</v>
      </c>
      <c r="HX9" s="6">
        <v>45876</v>
      </c>
      <c r="HY9">
        <v>5</v>
      </c>
      <c r="HZ9">
        <v>17083408</v>
      </c>
      <c r="IA9">
        <v>100673</v>
      </c>
      <c r="IB9" t="s">
        <v>3998</v>
      </c>
      <c r="IG9" t="s">
        <v>2332</v>
      </c>
      <c r="II9">
        <v>-2.4245362661989844E-14</v>
      </c>
      <c r="IJ9">
        <v>-2.4245362661989844E-14</v>
      </c>
      <c r="IK9" t="s">
        <v>1745</v>
      </c>
      <c r="IL9">
        <v>2022</v>
      </c>
      <c r="IM9" t="s">
        <v>2333</v>
      </c>
      <c r="IN9" s="6">
        <v>45016</v>
      </c>
      <c r="IO9">
        <v>5</v>
      </c>
      <c r="IP9">
        <v>-2.4245362661989844E-14</v>
      </c>
      <c r="IQ9">
        <v>9840510</v>
      </c>
      <c r="IR9" t="s">
        <v>2334</v>
      </c>
      <c r="JK9" t="s">
        <v>2346</v>
      </c>
      <c r="JM9">
        <v>-2.4245362661989844E-14</v>
      </c>
      <c r="JN9">
        <v>-2.4245362661989844E-14</v>
      </c>
      <c r="JO9" t="s">
        <v>1745</v>
      </c>
      <c r="JP9">
        <v>2021</v>
      </c>
      <c r="JQ9" t="s">
        <v>2347</v>
      </c>
      <c r="JR9" s="6">
        <v>44693</v>
      </c>
      <c r="JS9">
        <v>5</v>
      </c>
      <c r="JT9">
        <v>-2.4245362661989844E-14</v>
      </c>
      <c r="JU9">
        <v>100481</v>
      </c>
      <c r="JV9" t="s">
        <v>2348</v>
      </c>
      <c r="KO9" t="s">
        <v>2412</v>
      </c>
      <c r="KP9" t="s">
        <v>1786</v>
      </c>
      <c r="KQ9">
        <v>0.19075</v>
      </c>
      <c r="KR9">
        <v>0.102963</v>
      </c>
      <c r="KS9" t="s">
        <v>1742</v>
      </c>
      <c r="KT9">
        <v>2025</v>
      </c>
      <c r="KU9" t="s">
        <v>2730</v>
      </c>
      <c r="KV9" s="6">
        <v>46080</v>
      </c>
      <c r="KW9">
        <v>5</v>
      </c>
      <c r="KX9">
        <v>29571972</v>
      </c>
      <c r="KY9">
        <v>111093</v>
      </c>
      <c r="KZ9" t="s">
        <v>2414</v>
      </c>
      <c r="LC9" t="s">
        <v>1932</v>
      </c>
      <c r="LD9">
        <v>-2.4245362661989844E-14</v>
      </c>
      <c r="LF9">
        <v>-2.4245362661989844E-14</v>
      </c>
      <c r="LG9" t="s">
        <v>1745</v>
      </c>
      <c r="LH9">
        <v>2023</v>
      </c>
      <c r="LI9" t="s">
        <v>2508</v>
      </c>
      <c r="LJ9" s="6">
        <v>44986</v>
      </c>
      <c r="LK9">
        <v>5</v>
      </c>
      <c r="LL9">
        <v>-2.4245362661989844E-14</v>
      </c>
      <c r="LM9">
        <v>227296</v>
      </c>
      <c r="LN9" t="s">
        <v>1934</v>
      </c>
      <c r="MW9" t="s">
        <v>4999</v>
      </c>
      <c r="MY9">
        <v>-2.4245362661989844E-14</v>
      </c>
      <c r="MZ9">
        <v>-2.4245362661989844E-14</v>
      </c>
      <c r="NA9" t="s">
        <v>1745</v>
      </c>
      <c r="NB9">
        <v>2023</v>
      </c>
      <c r="NC9" t="s">
        <v>4704</v>
      </c>
      <c r="ND9" s="6">
        <v>45342</v>
      </c>
      <c r="NE9">
        <v>5</v>
      </c>
      <c r="NF9">
        <v>-2.4245362661989844E-14</v>
      </c>
      <c r="NG9">
        <v>18302043</v>
      </c>
      <c r="NH9" t="s">
        <v>5000</v>
      </c>
      <c r="RM9" t="s">
        <v>2346</v>
      </c>
      <c r="RO9">
        <v>-2.4245362661989844E-14</v>
      </c>
      <c r="RP9">
        <v>-2.4245362661989844E-14</v>
      </c>
      <c r="RQ9" t="s">
        <v>1745</v>
      </c>
      <c r="RR9">
        <v>2021</v>
      </c>
      <c r="RS9" t="s">
        <v>2347</v>
      </c>
      <c r="RT9" s="6">
        <v>44693</v>
      </c>
      <c r="RU9">
        <v>5</v>
      </c>
      <c r="RV9">
        <v>-2.4245362661989844E-14</v>
      </c>
      <c r="RW9">
        <v>100481</v>
      </c>
      <c r="RX9" t="s">
        <v>2348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1485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1486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1487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1488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1489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1490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1491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1492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1493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1494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1495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1496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1497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1498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1499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1500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1501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1502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1503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1504</v>
      </c>
      <c r="AE2" s="3" t="s">
        <v>1505</v>
      </c>
      <c r="BI2" s="3" t="s">
        <v>1506</v>
      </c>
      <c r="CM2" s="3" t="s">
        <v>1343</v>
      </c>
      <c r="DQ2" s="3" t="s">
        <v>1251</v>
      </c>
      <c r="EU2" s="3" t="s">
        <v>802</v>
      </c>
      <c r="FY2" s="3" t="s">
        <v>1507</v>
      </c>
      <c r="HC2" s="3" t="s">
        <v>1508</v>
      </c>
      <c r="IG2" s="3" t="s">
        <v>1509</v>
      </c>
      <c r="JK2" s="3" t="s">
        <v>948</v>
      </c>
      <c r="KO2" s="3" t="s">
        <v>1510</v>
      </c>
      <c r="LS2" s="3" t="s">
        <v>1511</v>
      </c>
      <c r="MW2" s="3" t="s">
        <v>1512</v>
      </c>
      <c r="OA2" s="3" t="s">
        <v>1513</v>
      </c>
      <c r="PE2" s="3" t="s">
        <v>385</v>
      </c>
      <c r="QI2" s="3" t="s">
        <v>561</v>
      </c>
      <c r="RM2" s="3" t="s">
        <v>1514</v>
      </c>
      <c r="SQ2" s="3" t="s">
        <v>1515</v>
      </c>
      <c r="TU2" s="3" t="s">
        <v>1516</v>
      </c>
      <c r="UY2" s="3" t="s">
        <v>1517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_xll.BDS("FIBK US Equity","SUPPLY_CHAIN_SUPPLIERS_ALL_DATA","cols=12;rows=1")</f>
        <v>FISV US Equity</v>
      </c>
      <c r="C5">
        <v>-2.4245362661989844E-14</v>
      </c>
      <c r="D5">
        <v>-2.4245362661989844E-14</v>
      </c>
      <c r="E5" t="s">
        <v>1798</v>
      </c>
      <c r="F5">
        <v>2023</v>
      </c>
      <c r="G5" t="s">
        <v>4921</v>
      </c>
      <c r="H5" s="6">
        <v>45245</v>
      </c>
      <c r="I5">
        <v>1</v>
      </c>
      <c r="J5">
        <v>-2.4245362661989844E-14</v>
      </c>
      <c r="K5">
        <v>103882</v>
      </c>
      <c r="L5" t="s">
        <v>1898</v>
      </c>
      <c r="O5" t="str">
        <f>_xll.BDS("FIBK US Equity","SUPPLY_CHAIN_CUSTOMERS_ALL_DATA")</f>
        <v>#N/A N/A</v>
      </c>
      <c r="AE5" t="str">
        <f>_xll.BDS("MGM US Equity","SUPPLY_CHAIN_SUPPLIERS_ALL_DATA","cols=12;rows=5")</f>
        <v>VICI US Equity</v>
      </c>
      <c r="AF5" t="s">
        <v>1769</v>
      </c>
      <c r="AG5">
        <v>35</v>
      </c>
      <c r="AH5">
        <v>27.919884</v>
      </c>
      <c r="AI5" t="s">
        <v>1745</v>
      </c>
      <c r="AJ5">
        <v>2024</v>
      </c>
      <c r="AK5" t="s">
        <v>2843</v>
      </c>
      <c r="AL5" s="6">
        <v>45708</v>
      </c>
      <c r="AM5">
        <v>5</v>
      </c>
      <c r="AN5">
        <v>336805440</v>
      </c>
      <c r="AO5">
        <v>55267607</v>
      </c>
      <c r="AP5" t="s">
        <v>2844</v>
      </c>
      <c r="AS5" t="str">
        <f>_xll.BDS("MGM US Equity","SUPPLY_CHAIN_CUSTOMERS_ALL_DATA","cols=12;rows=5")</f>
        <v>0676719D US Equity</v>
      </c>
      <c r="AT5">
        <v>-2.4245362661989844E-14</v>
      </c>
      <c r="AV5">
        <v>-2.4245362661989844E-14</v>
      </c>
      <c r="AW5" t="s">
        <v>1745</v>
      </c>
      <c r="AX5">
        <v>2022</v>
      </c>
      <c r="AY5" t="s">
        <v>4578</v>
      </c>
      <c r="AZ5" s="6">
        <v>44914</v>
      </c>
      <c r="BA5">
        <v>5</v>
      </c>
      <c r="BB5">
        <v>-2.4245362661989844E-14</v>
      </c>
      <c r="BC5">
        <v>937707</v>
      </c>
      <c r="BD5" t="s">
        <v>4579</v>
      </c>
      <c r="BI5" t="str">
        <f>_xll.BDS("SF US Equity","SUPPLY_CHAIN_SUPPLIERS_ALL_DATA","cols=12;rows=4")</f>
        <v>AHRT US Equity</v>
      </c>
      <c r="BK5">
        <v>-2.4245362661989844E-14</v>
      </c>
      <c r="BL5">
        <v>-2.4245362661989844E-14</v>
      </c>
      <c r="BM5" t="s">
        <v>1742</v>
      </c>
      <c r="BN5">
        <v>2025</v>
      </c>
      <c r="BO5" t="s">
        <v>4207</v>
      </c>
      <c r="BP5" s="6">
        <v>45966</v>
      </c>
      <c r="BQ5">
        <v>4</v>
      </c>
      <c r="BR5">
        <v>-2.4245362661989844E-14</v>
      </c>
      <c r="BS5">
        <v>34865158</v>
      </c>
      <c r="BT5" t="s">
        <v>4208</v>
      </c>
      <c r="BW5" t="str">
        <f>_xll.BDS("SF US Equity","SUPPLY_CHAIN_CUSTOMERS_ALL_DATA","cols=12;rows=1")</f>
        <v>MRX US Equity</v>
      </c>
      <c r="BX5">
        <v>-2.4245362661989844E-14</v>
      </c>
      <c r="BZ5">
        <v>-2.4245362661989844E-14</v>
      </c>
      <c r="CA5" t="s">
        <v>1745</v>
      </c>
      <c r="CB5">
        <v>2024</v>
      </c>
      <c r="CC5" t="s">
        <v>4148</v>
      </c>
      <c r="CD5" s="6">
        <v>45440</v>
      </c>
      <c r="CE5">
        <v>1</v>
      </c>
      <c r="CF5">
        <v>-2.4245362661989844E-14</v>
      </c>
      <c r="CG5">
        <v>25906381</v>
      </c>
      <c r="CH5" t="s">
        <v>4149</v>
      </c>
      <c r="CM5" t="str">
        <f>_xll.BDS("1811934D US Equity","SUPPLY_CHAIN_SUPPLIERS_ALL_DATA")</f>
        <v>#N/A N/A</v>
      </c>
      <c r="DA5" t="str">
        <f>_xll.BDS("1811934D US Equity","SUPPLY_CHAIN_CUSTOMERS_ALL_DATA")</f>
        <v>#N/A N/A</v>
      </c>
      <c r="DQ5" t="str">
        <f>_xll.BDS("9980328D US Equity","SUPPLY_CHAIN_SUPPLIERS_ALL_DATA","cols=12;rows=5")</f>
        <v>1052024D US Equity</v>
      </c>
      <c r="DS5">
        <v>-2.4245362661989844E-14</v>
      </c>
      <c r="DT5">
        <v>-2.4245362661989844E-14</v>
      </c>
      <c r="DU5" t="s">
        <v>1745</v>
      </c>
      <c r="DV5">
        <v>2024</v>
      </c>
      <c r="DW5" t="s">
        <v>3521</v>
      </c>
      <c r="DX5" s="6">
        <v>45358</v>
      </c>
      <c r="DY5">
        <v>5</v>
      </c>
      <c r="DZ5">
        <v>-2.4245362661989844E-14</v>
      </c>
      <c r="EA5">
        <v>41866638</v>
      </c>
      <c r="EB5" t="s">
        <v>3813</v>
      </c>
      <c r="EE5" t="str">
        <f>_xll.BDS("9980328D US Equity","SUPPLY_CHAIN_CUSTOMERS_ALL_DATA","cols=12;rows=5")</f>
        <v>002630 KS Equity</v>
      </c>
      <c r="EF5">
        <v>-2.4245362661989844E-14</v>
      </c>
      <c r="EH5">
        <v>-2.4245362661989844E-14</v>
      </c>
      <c r="EI5" t="s">
        <v>1798</v>
      </c>
      <c r="EJ5">
        <v>2023</v>
      </c>
      <c r="EK5" t="s">
        <v>3518</v>
      </c>
      <c r="EL5" s="6">
        <v>44971</v>
      </c>
      <c r="EM5">
        <v>5</v>
      </c>
      <c r="EN5">
        <v>-2.4245362661989844E-14</v>
      </c>
      <c r="EO5">
        <v>129294</v>
      </c>
      <c r="EP5" t="s">
        <v>3519</v>
      </c>
      <c r="EU5" t="str">
        <f>_xll.BDS("GENZ US Equity","SUPPLY_CHAIN_SUPPLIERS_ALL_DATA")</f>
        <v>#N/A N/A</v>
      </c>
      <c r="FI5" t="str">
        <f>_xll.BDS("GENZ US Equity","SUPPLY_CHAIN_CUSTOMERS_ALL_DATA")</f>
        <v>#N/A N/A</v>
      </c>
      <c r="FY5" t="str">
        <f>_xll.BDS("UCB US Equity","SUPPLY_CHAIN_SUPPLIERS_ALL_DATA","cols=12;rows=1")</f>
        <v>3764228Z US Equity</v>
      </c>
      <c r="GA5">
        <v>-2.4245362661989844E-14</v>
      </c>
      <c r="GB5">
        <v>-2.4245362661989844E-14</v>
      </c>
      <c r="GC5" t="s">
        <v>1745</v>
      </c>
      <c r="GD5">
        <v>2024</v>
      </c>
      <c r="GE5" t="s">
        <v>2706</v>
      </c>
      <c r="GF5" s="6">
        <v>45520</v>
      </c>
      <c r="GG5">
        <v>1</v>
      </c>
      <c r="GH5">
        <v>-2.4245362661989844E-14</v>
      </c>
      <c r="GI5">
        <v>20340995</v>
      </c>
      <c r="GJ5" t="s">
        <v>2707</v>
      </c>
      <c r="GM5" t="str">
        <f>_xll.BDS("UCB US Equity","SUPPLY_CHAIN_CUSTOMERS_ALL_DATA")</f>
        <v>#N/A N/A</v>
      </c>
      <c r="HC5" t="str">
        <f>_xll.BDS("MXO US Equity","SUPPLY_CHAIN_SUPPLIERS_ALL_DATA")</f>
        <v>#N/A N/A</v>
      </c>
      <c r="HQ5" t="str">
        <f>_xll.BDS("MXO US Equity","SUPPLY_CHAIN_CUSTOMERS_ALL_DATA")</f>
        <v>#N/A N/A</v>
      </c>
      <c r="IG5" t="str">
        <f>_xll.BDS("VECO US Equity","SUPPLY_CHAIN_SUPPLIERS_ALL_DATA","cols=12;rows=5")</f>
        <v>IPGP US Equity</v>
      </c>
      <c r="IH5" t="s">
        <v>1786</v>
      </c>
      <c r="II5">
        <v>0.73257499999999998</v>
      </c>
      <c r="IJ5">
        <v>1.871335</v>
      </c>
      <c r="IK5" t="s">
        <v>1742</v>
      </c>
      <c r="IL5">
        <v>2025</v>
      </c>
      <c r="IM5" t="s">
        <v>5082</v>
      </c>
      <c r="IN5" s="6">
        <v>46049</v>
      </c>
      <c r="IO5">
        <v>5</v>
      </c>
      <c r="IP5">
        <v>1837239</v>
      </c>
      <c r="IQ5">
        <v>7001397</v>
      </c>
      <c r="IR5" t="s">
        <v>5083</v>
      </c>
      <c r="IU5" t="str">
        <f>_xll.BDS("VECO US Equity","SUPPLY_CHAIN_CUSTOMERS_ALL_DATA","cols=12;rows=5")</f>
        <v>2330 TT Equity</v>
      </c>
      <c r="IV5">
        <v>11.367259000000001</v>
      </c>
      <c r="IW5" t="s">
        <v>1820</v>
      </c>
      <c r="IX5">
        <v>0.19634099999999999</v>
      </c>
      <c r="IY5" t="s">
        <v>1742</v>
      </c>
      <c r="IZ5">
        <v>2025</v>
      </c>
      <c r="JA5" t="s">
        <v>4729</v>
      </c>
      <c r="JB5" s="6">
        <v>45986</v>
      </c>
      <c r="JC5">
        <v>5</v>
      </c>
      <c r="JD5">
        <v>18856124</v>
      </c>
      <c r="JE5">
        <v>153737</v>
      </c>
      <c r="JF5" t="s">
        <v>2171</v>
      </c>
      <c r="JK5" t="str">
        <f>_xll.BDS("VNRSQ US Equity","SUPPLY_CHAIN_SUPPLIERS_ALL_DATA")</f>
        <v>#N/A N/A</v>
      </c>
      <c r="JY5" t="str">
        <f>_xll.BDS("VNRSQ US Equity","SUPPLY_CHAIN_CUSTOMERS_ALL_DATA")</f>
        <v>#N/A N/A</v>
      </c>
      <c r="KO5" t="str">
        <f>_xll.BDS("MDRIQ US Equity","SUPPLY_CHAIN_SUPPLIERS_ALL_DATA","cols=12;rows=5")</f>
        <v>091090 KS Equity</v>
      </c>
      <c r="KQ5">
        <v>-2.4245362661989844E-14</v>
      </c>
      <c r="KR5">
        <v>-2.4245362661989844E-14</v>
      </c>
      <c r="KS5" t="s">
        <v>1745</v>
      </c>
      <c r="KT5">
        <v>2024</v>
      </c>
      <c r="KU5" t="s">
        <v>4271</v>
      </c>
      <c r="KV5" s="6">
        <v>45737</v>
      </c>
      <c r="KW5">
        <v>5</v>
      </c>
      <c r="KX5">
        <v>-2.4245362661989844E-14</v>
      </c>
      <c r="KY5">
        <v>10658772</v>
      </c>
      <c r="KZ5" t="s">
        <v>4272</v>
      </c>
      <c r="LC5" t="str">
        <f>_xll.BDS("MDRIQ US Equity","SUPPLY_CHAIN_CUSTOMERS_ALL_DATA","cols=12;rows=5")</f>
        <v>16453Z QD Equity</v>
      </c>
      <c r="LD5">
        <v>-2.4245362661989844E-14</v>
      </c>
      <c r="LF5">
        <v>-2.4245362661989844E-14</v>
      </c>
      <c r="LG5" t="s">
        <v>1745</v>
      </c>
      <c r="LH5">
        <v>2024</v>
      </c>
      <c r="LI5" t="s">
        <v>4133</v>
      </c>
      <c r="LJ5" s="6">
        <v>45568</v>
      </c>
      <c r="LK5">
        <v>5</v>
      </c>
      <c r="LL5">
        <v>-2.4245362661989844E-14</v>
      </c>
      <c r="LM5">
        <v>945228</v>
      </c>
      <c r="LN5" t="s">
        <v>4134</v>
      </c>
      <c r="LS5" t="str">
        <f>_xll.BDS("ACORQ US Equity","SUPPLY_CHAIN_SUPPLIERS_ALL_DATA","cols=12;rows=5")</f>
        <v>0493848D US Equity</v>
      </c>
      <c r="LU5">
        <v>-2.4245362661989844E-14</v>
      </c>
      <c r="LV5">
        <v>-2.4245362661989844E-14</v>
      </c>
      <c r="LW5" t="s">
        <v>1809</v>
      </c>
      <c r="LX5">
        <v>2024</v>
      </c>
      <c r="LY5" t="s">
        <v>4065</v>
      </c>
      <c r="LZ5" s="6">
        <v>45383</v>
      </c>
      <c r="MA5">
        <v>5</v>
      </c>
      <c r="MB5">
        <v>-2.4245362661989844E-14</v>
      </c>
      <c r="MC5">
        <v>31353543</v>
      </c>
      <c r="MD5" t="s">
        <v>4066</v>
      </c>
      <c r="MG5" t="str">
        <f>_xll.BDS("ACORQ US Equity","SUPPLY_CHAIN_CUSTOMERS_ALL_DATA","cols=12;rows=5")</f>
        <v>0219250Z US Equity</v>
      </c>
      <c r="MH5">
        <v>-2.4245362661989844E-14</v>
      </c>
      <c r="MJ5">
        <v>-2.4245362661989844E-14</v>
      </c>
      <c r="MK5" t="s">
        <v>1745</v>
      </c>
      <c r="ML5">
        <v>2022</v>
      </c>
      <c r="MM5" t="s">
        <v>3999</v>
      </c>
      <c r="MN5" s="6">
        <v>45000</v>
      </c>
      <c r="MO5">
        <v>5</v>
      </c>
      <c r="MP5">
        <v>-2.4245362661989844E-14</v>
      </c>
      <c r="MQ5">
        <v>962217</v>
      </c>
      <c r="MR5" t="s">
        <v>1794</v>
      </c>
      <c r="MW5" t="str">
        <f>_xll.BDS("2924917Q US Equity","SUPPLY_CHAIN_SUPPLIERS_ALL_DATA")</f>
        <v>#N/A N/A</v>
      </c>
      <c r="NK5" t="str">
        <f>_xll.BDS("2924917Q US Equity","SUPPLY_CHAIN_CUSTOMERS_ALL_DATA")</f>
        <v>#N/A N/A</v>
      </c>
      <c r="OA5" t="str">
        <f>_xll.BDS("VFC US Equity","SUPPLY_CHAIN_SUPPLIERS_ALL_DATA","cols=12;rows=5")</f>
        <v>300979 CH Equity</v>
      </c>
      <c r="OB5" t="s">
        <v>1786</v>
      </c>
      <c r="OC5">
        <v>21.384215999999999</v>
      </c>
      <c r="OD5">
        <v>15.711614000000001</v>
      </c>
      <c r="OE5" t="s">
        <v>1845</v>
      </c>
      <c r="OF5">
        <v>2024</v>
      </c>
      <c r="OG5" t="s">
        <v>3276</v>
      </c>
      <c r="OH5" s="6">
        <v>45832</v>
      </c>
      <c r="OI5">
        <v>5</v>
      </c>
      <c r="OJ5">
        <v>158955099.71000001</v>
      </c>
      <c r="OK5">
        <v>68423531</v>
      </c>
      <c r="OL5" t="s">
        <v>3277</v>
      </c>
      <c r="OO5" t="str">
        <f>_xll.BDS("VFC US Equity","SUPPLY_CHAIN_CUSTOMERS_ALL_DATA","cols=12;rows=5")</f>
        <v>JD/ LN Equity</v>
      </c>
      <c r="OP5">
        <v>2.8141630000000002</v>
      </c>
      <c r="OQ5" t="s">
        <v>1786</v>
      </c>
      <c r="OR5">
        <v>3.9426100000000002</v>
      </c>
      <c r="OS5" t="s">
        <v>1762</v>
      </c>
      <c r="OT5">
        <v>2026</v>
      </c>
      <c r="OU5" t="s">
        <v>3133</v>
      </c>
      <c r="OV5" s="6">
        <v>46066</v>
      </c>
      <c r="OW5">
        <v>5</v>
      </c>
      <c r="OX5">
        <v>81982756.680000007</v>
      </c>
      <c r="OY5">
        <v>194968</v>
      </c>
      <c r="OZ5" t="s">
        <v>3134</v>
      </c>
      <c r="PE5" t="str">
        <f>_xll.BDS("JNJ US Equity","SUPPLY_CHAIN_SUPPLIERS_ALL_DATA","cols=12;rows=5")</f>
        <v>GMAB DC Equity</v>
      </c>
      <c r="PF5" t="s">
        <v>2416</v>
      </c>
      <c r="PG5">
        <v>66.998047</v>
      </c>
      <c r="PH5">
        <v>11.040321</v>
      </c>
      <c r="PI5" t="s">
        <v>1745</v>
      </c>
      <c r="PJ5">
        <v>2024</v>
      </c>
      <c r="PK5" t="s">
        <v>2793</v>
      </c>
      <c r="PL5" s="6">
        <v>45701</v>
      </c>
      <c r="PM5">
        <v>5</v>
      </c>
      <c r="PN5">
        <v>522920364.22000003</v>
      </c>
      <c r="PO5">
        <v>1405715</v>
      </c>
      <c r="PP5" t="s">
        <v>2794</v>
      </c>
      <c r="PS5" t="str">
        <f>_xll.BDS("JNJ US Equity","SUPPLY_CHAIN_CUSTOMERS_ALL_DATA","cols=12;rows=5")</f>
        <v>MCK US Equity</v>
      </c>
      <c r="PT5">
        <v>20.476745999999999</v>
      </c>
      <c r="PU5" t="s">
        <v>1786</v>
      </c>
      <c r="PV5">
        <v>6.636412</v>
      </c>
      <c r="PW5" t="s">
        <v>1742</v>
      </c>
      <c r="PX5">
        <v>2025</v>
      </c>
      <c r="PY5" t="s">
        <v>2501</v>
      </c>
      <c r="PZ5" s="6">
        <v>46018</v>
      </c>
      <c r="QA5">
        <v>5</v>
      </c>
      <c r="QB5">
        <v>4912985600</v>
      </c>
      <c r="QC5">
        <v>154936</v>
      </c>
      <c r="QD5" t="s">
        <v>2146</v>
      </c>
      <c r="QI5" t="str">
        <f>_xll.BDS("MTCH US Equity","SUPPLY_CHAIN_SUPPLIERS_ALL_DATA","cols=12;rows=5")</f>
        <v>053300 KS Equity</v>
      </c>
      <c r="QK5">
        <v>-2.4245362661989844E-14</v>
      </c>
      <c r="QL5">
        <v>-2.4245362661989844E-14</v>
      </c>
      <c r="QM5" t="s">
        <v>1798</v>
      </c>
      <c r="QN5">
        <v>2025</v>
      </c>
      <c r="QO5" t="s">
        <v>2323</v>
      </c>
      <c r="QP5" s="6">
        <v>45974</v>
      </c>
      <c r="QQ5">
        <v>5</v>
      </c>
      <c r="QR5">
        <v>-2.4245362661989844E-14</v>
      </c>
      <c r="QS5">
        <v>23189849</v>
      </c>
      <c r="QT5" t="s">
        <v>2324</v>
      </c>
      <c r="QW5" t="str">
        <f>_xll.BDS("MTCH US Equity","SUPPLY_CHAIN_CUSTOMERS_ALL_DATA","cols=12;rows=3")</f>
        <v>AAPL US Equity</v>
      </c>
      <c r="QX5">
        <v>-2.4245362661989844E-14</v>
      </c>
      <c r="QZ5">
        <v>-2.4245362661989844E-14</v>
      </c>
      <c r="RA5" t="s">
        <v>1762</v>
      </c>
      <c r="RB5">
        <v>2024</v>
      </c>
      <c r="RC5" t="s">
        <v>1763</v>
      </c>
      <c r="RD5" s="6">
        <v>45505</v>
      </c>
      <c r="RE5">
        <v>3</v>
      </c>
      <c r="RF5">
        <v>-2.4245362661989844E-14</v>
      </c>
      <c r="RG5">
        <v>101695</v>
      </c>
      <c r="RH5" t="s">
        <v>1764</v>
      </c>
      <c r="RM5" t="str">
        <f>_xll.BDS("1608941D US Equity","SUPPLY_CHAIN_SUPPLIERS_ALL_DATA")</f>
        <v>#N/A N/A</v>
      </c>
      <c r="SA5" t="str">
        <f>_xll.BDS("1608941D US Equity","SUPPLY_CHAIN_CUSTOMERS_ALL_DATA")</f>
        <v>#N/A N/A</v>
      </c>
      <c r="SQ5" t="str">
        <f>_xll.BDS("1528159D US Equity","SUPPLY_CHAIN_SUPPLIERS_ALL_DATA")</f>
        <v>#N/A N/A</v>
      </c>
      <c r="TE5" t="str">
        <f>_xll.BDS("1528159D US Equity","SUPPLY_CHAIN_CUSTOMERS_ALL_DATA")</f>
        <v>#N/A N/A</v>
      </c>
      <c r="TU5" t="str">
        <f>_xll.BDS("QMCO US Equity","SUPPLY_CHAIN_SUPPLIERS_ALL_DATA","cols=12;rows=5")</f>
        <v>300505 CH Equity</v>
      </c>
      <c r="TW5">
        <v>-2.4245362661989844E-14</v>
      </c>
      <c r="TX5">
        <v>-2.4245362661989844E-14</v>
      </c>
      <c r="TY5" t="s">
        <v>1745</v>
      </c>
      <c r="TZ5">
        <v>2024</v>
      </c>
      <c r="UA5" t="s">
        <v>4348</v>
      </c>
      <c r="UB5" s="6">
        <v>45728</v>
      </c>
      <c r="UC5">
        <v>5</v>
      </c>
      <c r="UD5">
        <v>-2.4245362661989844E-14</v>
      </c>
      <c r="UE5">
        <v>24458544</v>
      </c>
      <c r="UF5" t="s">
        <v>4349</v>
      </c>
      <c r="UI5" t="str">
        <f>_xll.BDS("QMCO US Equity","SUPPLY_CHAIN_CUSTOMERS_ALL_DATA","cols=12;rows=5")</f>
        <v>ARW US Equity</v>
      </c>
      <c r="UJ5">
        <v>1.20241</v>
      </c>
      <c r="UK5" t="s">
        <v>1786</v>
      </c>
      <c r="UL5">
        <v>1.4442999999999999E-2</v>
      </c>
      <c r="UM5" t="s">
        <v>1809</v>
      </c>
      <c r="UN5">
        <v>2025</v>
      </c>
      <c r="UO5" t="s">
        <v>1815</v>
      </c>
      <c r="UP5" s="6">
        <v>45784</v>
      </c>
      <c r="UQ5">
        <v>5</v>
      </c>
      <c r="UR5">
        <v>872361</v>
      </c>
      <c r="US5">
        <v>100115</v>
      </c>
      <c r="UT5" t="s">
        <v>1816</v>
      </c>
      <c r="UY5" t="str">
        <f>_xll.BDS("ACIW US Equity","SUPPLY_CHAIN_SUPPLIERS_ALL_DATA","cols=12;rows=5")</f>
        <v>HPE US Equity</v>
      </c>
      <c r="UZ5" t="s">
        <v>1786</v>
      </c>
      <c r="VA5">
        <v>2.9218000000000001E-2</v>
      </c>
      <c r="VB5">
        <v>1.04437</v>
      </c>
      <c r="VC5" t="s">
        <v>1762</v>
      </c>
      <c r="VD5">
        <v>2025</v>
      </c>
      <c r="VE5" t="s">
        <v>3326</v>
      </c>
      <c r="VF5" s="6">
        <v>45846</v>
      </c>
      <c r="VG5">
        <v>5</v>
      </c>
      <c r="VH5">
        <v>2228457</v>
      </c>
      <c r="VI5">
        <v>42602315</v>
      </c>
      <c r="VJ5" t="s">
        <v>2176</v>
      </c>
      <c r="VM5" t="str">
        <f>_xll.BDS("ACIW US Equity","SUPPLY_CHAIN_CUSTOMERS_ALL_DATA","cols=12;rows=5")</f>
        <v>0267572D SM Equity</v>
      </c>
      <c r="VN5">
        <v>-2.4245362661989844E-14</v>
      </c>
      <c r="VP5">
        <v>-2.4245362661989844E-14</v>
      </c>
      <c r="VQ5" t="s">
        <v>1742</v>
      </c>
      <c r="VR5">
        <v>2024</v>
      </c>
      <c r="VS5" t="s">
        <v>3951</v>
      </c>
      <c r="VT5" s="6">
        <v>45608</v>
      </c>
      <c r="VU5">
        <v>5</v>
      </c>
      <c r="VV5">
        <v>-2.4245362661989844E-14</v>
      </c>
      <c r="VW5">
        <v>17557381</v>
      </c>
      <c r="VX5" t="s">
        <v>3952</v>
      </c>
    </row>
    <row r="6" spans="1:600" x14ac:dyDescent="0.25">
      <c r="AE6" t="s">
        <v>4649</v>
      </c>
      <c r="AF6" t="s">
        <v>1769</v>
      </c>
      <c r="AG6">
        <v>1.1316310000000001</v>
      </c>
      <c r="AH6">
        <v>1.2361869999999999</v>
      </c>
      <c r="AI6" t="s">
        <v>1745</v>
      </c>
      <c r="AJ6">
        <v>2024</v>
      </c>
      <c r="AK6" t="s">
        <v>4650</v>
      </c>
      <c r="AL6" s="6">
        <v>45713</v>
      </c>
      <c r="AM6">
        <v>5</v>
      </c>
      <c r="AN6">
        <v>14912472</v>
      </c>
      <c r="AO6">
        <v>154861</v>
      </c>
      <c r="AP6" t="s">
        <v>4651</v>
      </c>
      <c r="AS6" t="s">
        <v>4580</v>
      </c>
      <c r="AT6">
        <v>-2.4245362661989844E-14</v>
      </c>
      <c r="AV6">
        <v>-2.4245362661989844E-14</v>
      </c>
      <c r="AW6" t="s">
        <v>1745</v>
      </c>
      <c r="AX6">
        <v>2022</v>
      </c>
      <c r="AY6" t="s">
        <v>4578</v>
      </c>
      <c r="AZ6" s="6">
        <v>44796</v>
      </c>
      <c r="BA6">
        <v>5</v>
      </c>
      <c r="BB6">
        <v>-2.4245362661989844E-14</v>
      </c>
      <c r="BC6">
        <v>34633660</v>
      </c>
      <c r="BD6" t="s">
        <v>4581</v>
      </c>
      <c r="BI6" t="s">
        <v>4147</v>
      </c>
      <c r="BK6">
        <v>-2.4245362661989844E-14</v>
      </c>
      <c r="BL6">
        <v>-2.4245362661989844E-14</v>
      </c>
      <c r="BM6" t="s">
        <v>1745</v>
      </c>
      <c r="BN6">
        <v>2024</v>
      </c>
      <c r="BO6" t="s">
        <v>4209</v>
      </c>
      <c r="BP6" s="6">
        <v>45440</v>
      </c>
      <c r="BQ6">
        <v>4</v>
      </c>
      <c r="BR6">
        <v>-2.4245362661989844E-14</v>
      </c>
      <c r="BS6">
        <v>25906381</v>
      </c>
      <c r="BT6" t="s">
        <v>4149</v>
      </c>
      <c r="DQ6" t="s">
        <v>3814</v>
      </c>
      <c r="DS6">
        <v>-2.4245362661989844E-14</v>
      </c>
      <c r="DT6">
        <v>-2.4245362661989844E-14</v>
      </c>
      <c r="DU6" t="s">
        <v>1745</v>
      </c>
      <c r="DV6">
        <v>2023</v>
      </c>
      <c r="DW6" t="s">
        <v>3521</v>
      </c>
      <c r="DX6" s="6">
        <v>45068</v>
      </c>
      <c r="DY6">
        <v>5</v>
      </c>
      <c r="DZ6">
        <v>-2.4245362661989844E-14</v>
      </c>
      <c r="EA6">
        <v>37260707</v>
      </c>
      <c r="EB6" t="s">
        <v>3815</v>
      </c>
      <c r="EE6" t="s">
        <v>3520</v>
      </c>
      <c r="EF6">
        <v>-2.4245362661989844E-14</v>
      </c>
      <c r="EH6">
        <v>-2.4245362661989844E-14</v>
      </c>
      <c r="EI6" t="s">
        <v>1745</v>
      </c>
      <c r="EJ6">
        <v>2022</v>
      </c>
      <c r="EK6" t="s">
        <v>3521</v>
      </c>
      <c r="EL6" s="6">
        <v>44732</v>
      </c>
      <c r="EM6">
        <v>5</v>
      </c>
      <c r="EN6">
        <v>-2.4245362661989844E-14</v>
      </c>
      <c r="EO6">
        <v>69656039</v>
      </c>
      <c r="EP6" t="s">
        <v>3522</v>
      </c>
      <c r="IG6" t="s">
        <v>5084</v>
      </c>
      <c r="IH6" t="s">
        <v>1786</v>
      </c>
      <c r="II6">
        <v>6.6901000000000002E-2</v>
      </c>
      <c r="IJ6">
        <v>3.0339000000000001E-2</v>
      </c>
      <c r="IK6" t="s">
        <v>1845</v>
      </c>
      <c r="IL6">
        <v>2024</v>
      </c>
      <c r="IM6" t="s">
        <v>5085</v>
      </c>
      <c r="IN6" s="6">
        <v>45786</v>
      </c>
      <c r="IO6">
        <v>5</v>
      </c>
      <c r="IP6">
        <v>30489.83</v>
      </c>
      <c r="IQ6">
        <v>17202339</v>
      </c>
      <c r="IR6" t="s">
        <v>5086</v>
      </c>
      <c r="IU6" t="s">
        <v>1789</v>
      </c>
      <c r="IV6">
        <v>9.5185999999999993</v>
      </c>
      <c r="IW6" t="s">
        <v>1820</v>
      </c>
      <c r="IX6">
        <v>0.20255999999999999</v>
      </c>
      <c r="IY6" t="s">
        <v>1742</v>
      </c>
      <c r="IZ6">
        <v>2025</v>
      </c>
      <c r="JA6" t="s">
        <v>4729</v>
      </c>
      <c r="JB6" s="6">
        <v>45986</v>
      </c>
      <c r="JC6">
        <v>5</v>
      </c>
      <c r="JD6">
        <v>15789549</v>
      </c>
      <c r="JE6">
        <v>117929</v>
      </c>
      <c r="JF6" t="s">
        <v>1791</v>
      </c>
      <c r="KO6" t="s">
        <v>2283</v>
      </c>
      <c r="KQ6">
        <v>-2.4245362661989844E-14</v>
      </c>
      <c r="KR6">
        <v>-2.4245362661989844E-14</v>
      </c>
      <c r="KS6" t="s">
        <v>1745</v>
      </c>
      <c r="KT6">
        <v>2021</v>
      </c>
      <c r="KU6" t="s">
        <v>2284</v>
      </c>
      <c r="KV6" s="6">
        <v>44693</v>
      </c>
      <c r="KW6">
        <v>5</v>
      </c>
      <c r="KX6">
        <v>-2.4245362661989844E-14</v>
      </c>
      <c r="KY6">
        <v>100060</v>
      </c>
      <c r="KZ6" t="s">
        <v>2285</v>
      </c>
      <c r="LC6" t="s">
        <v>4135</v>
      </c>
      <c r="LD6">
        <v>-2.4245362661989844E-14</v>
      </c>
      <c r="LF6">
        <v>-2.4245362661989844E-14</v>
      </c>
      <c r="LG6" t="s">
        <v>1745</v>
      </c>
      <c r="LH6">
        <v>2023</v>
      </c>
      <c r="LI6" t="s">
        <v>4136</v>
      </c>
      <c r="LJ6" s="6">
        <v>45131</v>
      </c>
      <c r="LK6">
        <v>5</v>
      </c>
      <c r="LL6">
        <v>-2.4245362661989844E-14</v>
      </c>
      <c r="LM6">
        <v>17049052</v>
      </c>
      <c r="LN6" t="s">
        <v>4137</v>
      </c>
      <c r="LS6" t="s">
        <v>4067</v>
      </c>
      <c r="LU6">
        <v>-2.4245362661989844E-14</v>
      </c>
      <c r="LV6">
        <v>-2.4245362661989844E-14</v>
      </c>
      <c r="LW6" t="s">
        <v>1809</v>
      </c>
      <c r="LX6">
        <v>2024</v>
      </c>
      <c r="LY6" t="s">
        <v>4065</v>
      </c>
      <c r="LZ6" s="6">
        <v>45383</v>
      </c>
      <c r="MA6">
        <v>5</v>
      </c>
      <c r="MB6">
        <v>-2.4245362661989844E-14</v>
      </c>
      <c r="MC6">
        <v>44456644</v>
      </c>
      <c r="MD6" t="s">
        <v>4068</v>
      </c>
      <c r="MG6" t="s">
        <v>1795</v>
      </c>
      <c r="MH6">
        <v>-2.4245362661989844E-14</v>
      </c>
      <c r="MJ6">
        <v>-2.4245362661989844E-14</v>
      </c>
      <c r="MK6" t="s">
        <v>1745</v>
      </c>
      <c r="ML6">
        <v>2022</v>
      </c>
      <c r="MM6" t="s">
        <v>3999</v>
      </c>
      <c r="MN6" s="6">
        <v>45000</v>
      </c>
      <c r="MO6">
        <v>5</v>
      </c>
      <c r="MP6">
        <v>-2.4245362661989844E-14</v>
      </c>
      <c r="MQ6">
        <v>962205</v>
      </c>
      <c r="MR6" t="s">
        <v>1796</v>
      </c>
      <c r="OA6" t="s">
        <v>2082</v>
      </c>
      <c r="OB6" t="s">
        <v>1769</v>
      </c>
      <c r="OC6">
        <v>0.16278100000000001</v>
      </c>
      <c r="OD6">
        <v>4.8976350000000002</v>
      </c>
      <c r="OE6" t="s">
        <v>1809</v>
      </c>
      <c r="OF6">
        <v>2026</v>
      </c>
      <c r="OG6" t="s">
        <v>2083</v>
      </c>
      <c r="OH6" s="6">
        <v>45973</v>
      </c>
      <c r="OI6">
        <v>5</v>
      </c>
      <c r="OJ6">
        <v>55757105.289999999</v>
      </c>
      <c r="OK6">
        <v>16857643</v>
      </c>
      <c r="OL6" t="s">
        <v>2084</v>
      </c>
      <c r="OO6" t="s">
        <v>2096</v>
      </c>
      <c r="OP6">
        <v>2.0342440000000002</v>
      </c>
      <c r="OQ6" t="s">
        <v>1786</v>
      </c>
      <c r="OR6">
        <v>4.3429000000000002E-2</v>
      </c>
      <c r="OS6" t="s">
        <v>1742</v>
      </c>
      <c r="OT6">
        <v>2026</v>
      </c>
      <c r="OU6" t="s">
        <v>3135</v>
      </c>
      <c r="OV6" s="6">
        <v>46051</v>
      </c>
      <c r="OW6">
        <v>5</v>
      </c>
      <c r="OX6">
        <v>58500808</v>
      </c>
      <c r="OY6">
        <v>101616</v>
      </c>
      <c r="OZ6" t="s">
        <v>2098</v>
      </c>
      <c r="PE6" t="s">
        <v>2795</v>
      </c>
      <c r="PF6" t="s">
        <v>1786</v>
      </c>
      <c r="PG6">
        <v>6.6266720000000001</v>
      </c>
      <c r="PH6">
        <v>6.8004179999999996</v>
      </c>
      <c r="PI6" t="s">
        <v>1742</v>
      </c>
      <c r="PJ6">
        <v>2025</v>
      </c>
      <c r="PK6" t="s">
        <v>2796</v>
      </c>
      <c r="PL6" s="6">
        <v>45867</v>
      </c>
      <c r="PM6">
        <v>5</v>
      </c>
      <c r="PN6">
        <v>518735872</v>
      </c>
      <c r="PO6">
        <v>117092</v>
      </c>
      <c r="PP6" t="s">
        <v>2797</v>
      </c>
      <c r="PS6" t="s">
        <v>2147</v>
      </c>
      <c r="PT6">
        <v>15.549336</v>
      </c>
      <c r="PU6" t="s">
        <v>1786</v>
      </c>
      <c r="PV6">
        <v>4.6186980000000002</v>
      </c>
      <c r="PW6" t="s">
        <v>1742</v>
      </c>
      <c r="PX6">
        <v>2025</v>
      </c>
      <c r="PY6" t="s">
        <v>2501</v>
      </c>
      <c r="PZ6" s="6">
        <v>46018</v>
      </c>
      <c r="QA6">
        <v>5</v>
      </c>
      <c r="QB6">
        <v>3730752256</v>
      </c>
      <c r="QC6">
        <v>156969</v>
      </c>
      <c r="QD6" t="s">
        <v>2148</v>
      </c>
      <c r="QI6" t="s">
        <v>2325</v>
      </c>
      <c r="QK6">
        <v>-2.4245362661989844E-14</v>
      </c>
      <c r="QL6">
        <v>-2.4245362661989844E-14</v>
      </c>
      <c r="QM6" t="s">
        <v>1745</v>
      </c>
      <c r="QN6">
        <v>2023</v>
      </c>
      <c r="QO6" t="s">
        <v>2326</v>
      </c>
      <c r="QP6" s="6">
        <v>45373</v>
      </c>
      <c r="QQ6">
        <v>5</v>
      </c>
      <c r="QR6">
        <v>-2.4245362661989844E-14</v>
      </c>
      <c r="QS6">
        <v>1459277</v>
      </c>
      <c r="QT6" t="s">
        <v>2327</v>
      </c>
      <c r="QW6" t="s">
        <v>246</v>
      </c>
      <c r="QX6">
        <v>-2.4245362661989844E-14</v>
      </c>
      <c r="QZ6">
        <v>-2.4245362661989844E-14</v>
      </c>
      <c r="RA6" t="s">
        <v>1762</v>
      </c>
      <c r="RB6">
        <v>2024</v>
      </c>
      <c r="RC6" t="s">
        <v>1763</v>
      </c>
      <c r="RD6" s="6">
        <v>45505</v>
      </c>
      <c r="RE6">
        <v>3</v>
      </c>
      <c r="RF6">
        <v>-2.4245362661989844E-14</v>
      </c>
      <c r="RG6">
        <v>46946968</v>
      </c>
      <c r="RH6" t="s">
        <v>1765</v>
      </c>
      <c r="TU6" t="s">
        <v>4350</v>
      </c>
      <c r="TW6">
        <v>-2.4245362661989844E-14</v>
      </c>
      <c r="TX6">
        <v>-2.4245362661989844E-14</v>
      </c>
      <c r="TY6" t="s">
        <v>1745</v>
      </c>
      <c r="TZ6">
        <v>2022</v>
      </c>
      <c r="UA6" t="s">
        <v>4351</v>
      </c>
      <c r="UB6" s="6">
        <v>44831</v>
      </c>
      <c r="UC6">
        <v>5</v>
      </c>
      <c r="UD6">
        <v>-2.4245362661989844E-14</v>
      </c>
      <c r="UE6">
        <v>23468877</v>
      </c>
      <c r="UF6" t="s">
        <v>4352</v>
      </c>
      <c r="UI6" t="s">
        <v>357</v>
      </c>
      <c r="UJ6">
        <v>0.55870500000000001</v>
      </c>
      <c r="UK6" t="s">
        <v>1786</v>
      </c>
      <c r="UL6">
        <v>2.1649999999999998E-3</v>
      </c>
      <c r="UM6" t="s">
        <v>1845</v>
      </c>
      <c r="UN6">
        <v>2025</v>
      </c>
      <c r="UO6" t="s">
        <v>1887</v>
      </c>
      <c r="UP6" s="6">
        <v>46056</v>
      </c>
      <c r="UQ6">
        <v>5</v>
      </c>
      <c r="UR6">
        <v>350392</v>
      </c>
      <c r="US6">
        <v>1499717</v>
      </c>
      <c r="UT6" t="s">
        <v>1864</v>
      </c>
      <c r="UY6" t="s">
        <v>121</v>
      </c>
      <c r="UZ6" t="s">
        <v>1786</v>
      </c>
      <c r="VA6">
        <v>7.4830000000000001E-3</v>
      </c>
      <c r="VB6">
        <v>0.50994200000000001</v>
      </c>
      <c r="VC6" t="s">
        <v>1809</v>
      </c>
      <c r="VD6">
        <v>2025</v>
      </c>
      <c r="VE6" t="s">
        <v>2035</v>
      </c>
      <c r="VF6" s="6">
        <v>45797</v>
      </c>
      <c r="VG6">
        <v>5</v>
      </c>
      <c r="VH6">
        <v>1088103</v>
      </c>
      <c r="VI6">
        <v>100801</v>
      </c>
      <c r="VJ6" t="s">
        <v>2095</v>
      </c>
      <c r="VM6" t="s">
        <v>3953</v>
      </c>
      <c r="VN6">
        <v>-2.4245362661989844E-14</v>
      </c>
      <c r="VP6">
        <v>-2.4245362661989844E-14</v>
      </c>
      <c r="VQ6" t="s">
        <v>1742</v>
      </c>
      <c r="VR6">
        <v>2024</v>
      </c>
      <c r="VS6" t="s">
        <v>3951</v>
      </c>
      <c r="VT6" s="6">
        <v>45608</v>
      </c>
      <c r="VU6">
        <v>5</v>
      </c>
      <c r="VV6">
        <v>-2.4245362661989844E-14</v>
      </c>
      <c r="VW6">
        <v>24781790</v>
      </c>
      <c r="VX6" t="s">
        <v>3954</v>
      </c>
    </row>
    <row r="7" spans="1:600" x14ac:dyDescent="0.25">
      <c r="AE7" t="s">
        <v>34</v>
      </c>
      <c r="AF7" t="s">
        <v>1786</v>
      </c>
      <c r="AG7">
        <v>3.9223000000000001E-2</v>
      </c>
      <c r="AH7">
        <v>0.26887699999999998</v>
      </c>
      <c r="AI7" t="s">
        <v>1845</v>
      </c>
      <c r="AJ7">
        <v>2025</v>
      </c>
      <c r="AK7" t="s">
        <v>1883</v>
      </c>
      <c r="AL7" s="6">
        <v>45848</v>
      </c>
      <c r="AM7">
        <v>5</v>
      </c>
      <c r="AN7">
        <v>6237634</v>
      </c>
      <c r="AO7">
        <v>101752</v>
      </c>
      <c r="AP7" t="s">
        <v>2723</v>
      </c>
      <c r="AS7" t="s">
        <v>4582</v>
      </c>
      <c r="AT7">
        <v>-2.4245362661989844E-14</v>
      </c>
      <c r="AV7">
        <v>-2.4245362661989844E-14</v>
      </c>
      <c r="AW7" t="s">
        <v>1745</v>
      </c>
      <c r="AX7">
        <v>2022</v>
      </c>
      <c r="AY7" t="s">
        <v>4578</v>
      </c>
      <c r="AZ7" s="6">
        <v>44747</v>
      </c>
      <c r="BA7">
        <v>5</v>
      </c>
      <c r="BB7">
        <v>-2.4245362661989844E-14</v>
      </c>
      <c r="BC7">
        <v>69580632</v>
      </c>
      <c r="BD7" t="s">
        <v>4583</v>
      </c>
      <c r="BI7" t="s">
        <v>2731</v>
      </c>
      <c r="BK7">
        <v>-2.4245362661989844E-14</v>
      </c>
      <c r="BL7">
        <v>-2.4245362661989844E-14</v>
      </c>
      <c r="BM7" t="s">
        <v>1745</v>
      </c>
      <c r="BN7">
        <v>2024</v>
      </c>
      <c r="BO7" t="s">
        <v>2839</v>
      </c>
      <c r="BP7" s="6">
        <v>45762</v>
      </c>
      <c r="BQ7">
        <v>4</v>
      </c>
      <c r="BR7">
        <v>-2.4245362661989844E-14</v>
      </c>
      <c r="BS7">
        <v>46286147</v>
      </c>
      <c r="BT7" t="s">
        <v>2733</v>
      </c>
      <c r="DQ7" t="s">
        <v>3816</v>
      </c>
      <c r="DS7">
        <v>-2.4245362661989844E-14</v>
      </c>
      <c r="DT7">
        <v>-2.4245362661989844E-14</v>
      </c>
      <c r="DU7" t="s">
        <v>1745</v>
      </c>
      <c r="DV7">
        <v>2021</v>
      </c>
      <c r="DW7" t="s">
        <v>3817</v>
      </c>
      <c r="DX7" s="6">
        <v>44677</v>
      </c>
      <c r="DY7">
        <v>5</v>
      </c>
      <c r="DZ7">
        <v>-2.4245362661989844E-14</v>
      </c>
      <c r="EA7">
        <v>10142668</v>
      </c>
      <c r="EB7" t="s">
        <v>3818</v>
      </c>
      <c r="EE7" t="s">
        <v>3523</v>
      </c>
      <c r="EF7">
        <v>-2.4245362661989844E-14</v>
      </c>
      <c r="EH7">
        <v>-2.4245362661989844E-14</v>
      </c>
      <c r="EI7" t="s">
        <v>1745</v>
      </c>
      <c r="EJ7">
        <v>2024</v>
      </c>
      <c r="EK7" t="s">
        <v>3521</v>
      </c>
      <c r="EL7" s="6">
        <v>45356</v>
      </c>
      <c r="EM7">
        <v>5</v>
      </c>
      <c r="EN7">
        <v>-2.4245362661989844E-14</v>
      </c>
      <c r="EO7">
        <v>70384894</v>
      </c>
      <c r="EP7" t="s">
        <v>3524</v>
      </c>
      <c r="IG7" t="s">
        <v>5087</v>
      </c>
      <c r="II7">
        <v>-2.4245362661989844E-14</v>
      </c>
      <c r="IJ7">
        <v>-2.4245362661989844E-14</v>
      </c>
      <c r="IK7" t="s">
        <v>1809</v>
      </c>
      <c r="IL7">
        <v>2024</v>
      </c>
      <c r="IM7" t="s">
        <v>5088</v>
      </c>
      <c r="IN7" s="6">
        <v>45442</v>
      </c>
      <c r="IO7">
        <v>5</v>
      </c>
      <c r="IP7">
        <v>-2.4245362661989844E-14</v>
      </c>
      <c r="IQ7">
        <v>942421</v>
      </c>
      <c r="IR7" t="s">
        <v>5089</v>
      </c>
      <c r="IU7" t="s">
        <v>910</v>
      </c>
      <c r="IV7">
        <v>6.9090730000000002</v>
      </c>
      <c r="IW7" t="s">
        <v>1820</v>
      </c>
      <c r="IX7">
        <v>0.20255999999999999</v>
      </c>
      <c r="IY7" t="s">
        <v>1742</v>
      </c>
      <c r="IZ7">
        <v>2025</v>
      </c>
      <c r="JA7" t="s">
        <v>4729</v>
      </c>
      <c r="JB7" s="6">
        <v>45986</v>
      </c>
      <c r="JC7">
        <v>5</v>
      </c>
      <c r="JD7">
        <v>11460839</v>
      </c>
      <c r="JE7">
        <v>100995</v>
      </c>
      <c r="JF7" t="s">
        <v>2390</v>
      </c>
      <c r="KO7" t="s">
        <v>4273</v>
      </c>
      <c r="KQ7">
        <v>-2.4245362661989844E-14</v>
      </c>
      <c r="KR7">
        <v>-2.4245362661989844E-14</v>
      </c>
      <c r="KS7" t="s">
        <v>1745</v>
      </c>
      <c r="KT7">
        <v>2024</v>
      </c>
      <c r="KU7" t="s">
        <v>4274</v>
      </c>
      <c r="KV7" s="6">
        <v>45761</v>
      </c>
      <c r="KW7">
        <v>5</v>
      </c>
      <c r="KX7">
        <v>-2.4245362661989844E-14</v>
      </c>
      <c r="KY7">
        <v>10612484</v>
      </c>
      <c r="KZ7" t="s">
        <v>4275</v>
      </c>
      <c r="LC7" t="s">
        <v>4138</v>
      </c>
      <c r="LD7">
        <v>-2.4245362661989844E-14</v>
      </c>
      <c r="LF7">
        <v>-2.4245362661989844E-14</v>
      </c>
      <c r="LG7" t="s">
        <v>1809</v>
      </c>
      <c r="LH7">
        <v>2025</v>
      </c>
      <c r="LI7" t="s">
        <v>4139</v>
      </c>
      <c r="LJ7" s="6">
        <v>45518</v>
      </c>
      <c r="LK7">
        <v>5</v>
      </c>
      <c r="LL7">
        <v>-2.4245362661989844E-14</v>
      </c>
      <c r="LM7">
        <v>193746</v>
      </c>
      <c r="LN7" t="s">
        <v>4140</v>
      </c>
      <c r="LS7" t="s">
        <v>4069</v>
      </c>
      <c r="LU7">
        <v>-2.4245362661989844E-14</v>
      </c>
      <c r="LV7">
        <v>-2.4245362661989844E-14</v>
      </c>
      <c r="LW7" t="s">
        <v>1809</v>
      </c>
      <c r="LX7">
        <v>2024</v>
      </c>
      <c r="LY7" t="s">
        <v>4065</v>
      </c>
      <c r="LZ7" s="6">
        <v>45383</v>
      </c>
      <c r="MA7">
        <v>5</v>
      </c>
      <c r="MB7">
        <v>-2.4245362661989844E-14</v>
      </c>
      <c r="MC7">
        <v>27391859</v>
      </c>
      <c r="MD7" t="s">
        <v>4070</v>
      </c>
      <c r="MG7" t="s">
        <v>4000</v>
      </c>
      <c r="MH7">
        <v>-2.4245362661989844E-14</v>
      </c>
      <c r="MJ7">
        <v>-2.4245362661989844E-14</v>
      </c>
      <c r="MK7" t="s">
        <v>1745</v>
      </c>
      <c r="ML7">
        <v>2022</v>
      </c>
      <c r="MM7" t="s">
        <v>3999</v>
      </c>
      <c r="MN7" s="6">
        <v>45000</v>
      </c>
      <c r="MO7">
        <v>5</v>
      </c>
      <c r="MP7">
        <v>-2.4245362661989844E-14</v>
      </c>
      <c r="MQ7">
        <v>984940</v>
      </c>
      <c r="MR7" t="s">
        <v>4001</v>
      </c>
      <c r="OA7" t="s">
        <v>3278</v>
      </c>
      <c r="OB7" t="s">
        <v>1786</v>
      </c>
      <c r="OC7">
        <v>2.0287500000000001</v>
      </c>
      <c r="OD7">
        <v>3.3266719999999999</v>
      </c>
      <c r="OE7" t="s">
        <v>1742</v>
      </c>
      <c r="OF7">
        <v>2025</v>
      </c>
      <c r="OG7" t="s">
        <v>3279</v>
      </c>
      <c r="OH7" s="6">
        <v>46058</v>
      </c>
      <c r="OI7">
        <v>5</v>
      </c>
      <c r="OJ7">
        <v>41498896</v>
      </c>
      <c r="OK7">
        <v>116620</v>
      </c>
      <c r="OL7" t="s">
        <v>3280</v>
      </c>
      <c r="OO7" t="s">
        <v>3136</v>
      </c>
      <c r="OP7">
        <v>1.30175</v>
      </c>
      <c r="OQ7" t="s">
        <v>1786</v>
      </c>
      <c r="OR7">
        <v>0.81862400000000002</v>
      </c>
      <c r="OS7" t="s">
        <v>1762</v>
      </c>
      <c r="OT7">
        <v>2025</v>
      </c>
      <c r="OU7" t="s">
        <v>3137</v>
      </c>
      <c r="OV7" s="6">
        <v>45917</v>
      </c>
      <c r="OW7">
        <v>5</v>
      </c>
      <c r="OX7">
        <v>22919466</v>
      </c>
      <c r="OY7">
        <v>126788</v>
      </c>
      <c r="OZ7" t="s">
        <v>3138</v>
      </c>
      <c r="PE7" t="s">
        <v>1699</v>
      </c>
      <c r="PF7" t="s">
        <v>1786</v>
      </c>
      <c r="PG7">
        <v>1.3419449999999999</v>
      </c>
      <c r="PH7">
        <v>2.7987500000000001</v>
      </c>
      <c r="PI7" t="s">
        <v>1845</v>
      </c>
      <c r="PJ7">
        <v>2025</v>
      </c>
      <c r="PK7" t="s">
        <v>2798</v>
      </c>
      <c r="PL7" s="6">
        <v>46077</v>
      </c>
      <c r="PM7">
        <v>5</v>
      </c>
      <c r="PN7">
        <v>223004416</v>
      </c>
      <c r="PO7">
        <v>28046509</v>
      </c>
      <c r="PP7" t="s">
        <v>2799</v>
      </c>
      <c r="PS7" t="s">
        <v>236</v>
      </c>
      <c r="PT7">
        <v>12.373919000000001</v>
      </c>
      <c r="PU7" t="s">
        <v>1786</v>
      </c>
      <c r="PV7">
        <v>4.81257</v>
      </c>
      <c r="PW7" t="s">
        <v>1742</v>
      </c>
      <c r="PX7">
        <v>2025</v>
      </c>
      <c r="PY7" t="s">
        <v>2501</v>
      </c>
      <c r="PZ7" s="6">
        <v>46018</v>
      </c>
      <c r="QA7">
        <v>5</v>
      </c>
      <c r="QB7">
        <v>2968874496</v>
      </c>
      <c r="QC7">
        <v>102782</v>
      </c>
      <c r="QD7" t="s">
        <v>2149</v>
      </c>
      <c r="QI7" t="s">
        <v>2328</v>
      </c>
      <c r="QK7">
        <v>-2.4245362661989844E-14</v>
      </c>
      <c r="QL7">
        <v>-2.4245362661989844E-14</v>
      </c>
      <c r="QM7" t="s">
        <v>1745</v>
      </c>
      <c r="QN7">
        <v>2022</v>
      </c>
      <c r="QO7" t="s">
        <v>2329</v>
      </c>
      <c r="QP7" s="6">
        <v>44736</v>
      </c>
      <c r="QQ7">
        <v>5</v>
      </c>
      <c r="QR7">
        <v>-2.4245362661989844E-14</v>
      </c>
      <c r="QS7">
        <v>114629</v>
      </c>
      <c r="QT7" t="s">
        <v>2330</v>
      </c>
      <c r="QW7" t="s">
        <v>1766</v>
      </c>
      <c r="QX7">
        <v>-2.4245362661989844E-14</v>
      </c>
      <c r="QZ7">
        <v>-2.4245362661989844E-14</v>
      </c>
      <c r="RA7" t="s">
        <v>1742</v>
      </c>
      <c r="RB7">
        <v>2022</v>
      </c>
      <c r="RC7" t="s">
        <v>1767</v>
      </c>
      <c r="RD7" s="6">
        <v>44870</v>
      </c>
      <c r="RE7">
        <v>3</v>
      </c>
      <c r="RF7">
        <v>-2.4245362661989844E-14</v>
      </c>
      <c r="RG7">
        <v>67335162</v>
      </c>
      <c r="RH7" t="s">
        <v>1768</v>
      </c>
      <c r="TU7" t="s">
        <v>2694</v>
      </c>
      <c r="TW7">
        <v>-2.4245362661989844E-14</v>
      </c>
      <c r="TX7">
        <v>-2.4245362661989844E-14</v>
      </c>
      <c r="TY7" t="s">
        <v>1745</v>
      </c>
      <c r="TZ7">
        <v>2021</v>
      </c>
      <c r="UA7" t="s">
        <v>2695</v>
      </c>
      <c r="UB7" s="6">
        <v>44693</v>
      </c>
      <c r="UC7">
        <v>5</v>
      </c>
      <c r="UD7">
        <v>-2.4245362661989844E-14</v>
      </c>
      <c r="UE7">
        <v>101315</v>
      </c>
      <c r="UF7" t="s">
        <v>2696</v>
      </c>
      <c r="UI7" t="s">
        <v>1873</v>
      </c>
      <c r="UJ7">
        <v>0.160139</v>
      </c>
      <c r="UK7" t="s">
        <v>1786</v>
      </c>
      <c r="UL7">
        <v>4.2750000000000002E-3</v>
      </c>
      <c r="UM7" t="s">
        <v>1762</v>
      </c>
      <c r="UN7">
        <v>2025</v>
      </c>
      <c r="UO7" t="s">
        <v>1874</v>
      </c>
      <c r="UP7" s="6">
        <v>46008</v>
      </c>
      <c r="UQ7">
        <v>5</v>
      </c>
      <c r="UR7">
        <v>99419.91</v>
      </c>
      <c r="US7">
        <v>349049</v>
      </c>
      <c r="UT7" t="s">
        <v>1875</v>
      </c>
      <c r="UY7" t="s">
        <v>34</v>
      </c>
      <c r="UZ7" t="s">
        <v>1786</v>
      </c>
      <c r="VA7">
        <v>3.7200000000000002E-3</v>
      </c>
      <c r="VB7">
        <v>0.27725100000000003</v>
      </c>
      <c r="VC7" t="s">
        <v>1845</v>
      </c>
      <c r="VD7">
        <v>2025</v>
      </c>
      <c r="VE7" t="s">
        <v>1883</v>
      </c>
      <c r="VF7" s="6">
        <v>45848</v>
      </c>
      <c r="VG7">
        <v>5</v>
      </c>
      <c r="VH7">
        <v>591592</v>
      </c>
      <c r="VI7">
        <v>101752</v>
      </c>
      <c r="VJ7" t="s">
        <v>2723</v>
      </c>
      <c r="VM7" t="s">
        <v>3955</v>
      </c>
      <c r="VN7">
        <v>-2.4245362661989844E-14</v>
      </c>
      <c r="VP7">
        <v>-2.4245362661989844E-14</v>
      </c>
      <c r="VQ7" t="s">
        <v>1742</v>
      </c>
      <c r="VR7">
        <v>2024</v>
      </c>
      <c r="VS7" t="s">
        <v>3951</v>
      </c>
      <c r="VT7" s="6">
        <v>45608</v>
      </c>
      <c r="VU7">
        <v>5</v>
      </c>
      <c r="VV7">
        <v>-2.4245362661989844E-14</v>
      </c>
      <c r="VW7">
        <v>44569911</v>
      </c>
      <c r="VX7" t="s">
        <v>3956</v>
      </c>
    </row>
    <row r="8" spans="1:600" x14ac:dyDescent="0.25">
      <c r="AE8" t="s">
        <v>4652</v>
      </c>
      <c r="AF8" t="s">
        <v>1786</v>
      </c>
      <c r="AG8">
        <v>7.3467000000000005E-2</v>
      </c>
      <c r="AH8">
        <v>5.9725E-2</v>
      </c>
      <c r="AI8" t="s">
        <v>1845</v>
      </c>
      <c r="AJ8">
        <v>2025</v>
      </c>
      <c r="AK8" t="s">
        <v>4653</v>
      </c>
      <c r="AL8" s="6">
        <v>45946</v>
      </c>
      <c r="AM8">
        <v>5</v>
      </c>
      <c r="AN8">
        <v>1460524</v>
      </c>
      <c r="AO8">
        <v>100345</v>
      </c>
      <c r="AP8" t="s">
        <v>4654</v>
      </c>
      <c r="AS8" t="s">
        <v>4584</v>
      </c>
      <c r="AT8">
        <v>-2.4245362661989844E-14</v>
      </c>
      <c r="AV8">
        <v>-2.4245362661989844E-14</v>
      </c>
      <c r="AW8" t="s">
        <v>1745</v>
      </c>
      <c r="AX8">
        <v>2024</v>
      </c>
      <c r="AY8" t="s">
        <v>4578</v>
      </c>
      <c r="AZ8" s="6">
        <v>45385</v>
      </c>
      <c r="BA8">
        <v>5</v>
      </c>
      <c r="BB8">
        <v>-2.4245362661989844E-14</v>
      </c>
      <c r="BC8">
        <v>70068664</v>
      </c>
      <c r="BD8" t="s">
        <v>4585</v>
      </c>
      <c r="BI8" t="s">
        <v>2351</v>
      </c>
      <c r="BK8">
        <v>-2.4245362661989844E-14</v>
      </c>
      <c r="BL8">
        <v>-2.4245362661989844E-14</v>
      </c>
      <c r="BM8" t="s">
        <v>1745</v>
      </c>
      <c r="BN8">
        <v>2024</v>
      </c>
      <c r="BO8" t="s">
        <v>3622</v>
      </c>
      <c r="BP8" s="6">
        <v>45733</v>
      </c>
      <c r="BQ8">
        <v>4</v>
      </c>
      <c r="BR8">
        <v>-2.4245362661989844E-14</v>
      </c>
      <c r="BS8">
        <v>1183488</v>
      </c>
      <c r="BT8" t="s">
        <v>2353</v>
      </c>
      <c r="DQ8" t="s">
        <v>2480</v>
      </c>
      <c r="DS8">
        <v>-2.4245362661989844E-14</v>
      </c>
      <c r="DT8">
        <v>-2.4245362661989844E-14</v>
      </c>
      <c r="DU8" t="s">
        <v>1809</v>
      </c>
      <c r="DV8">
        <v>2024</v>
      </c>
      <c r="DW8" t="s">
        <v>3819</v>
      </c>
      <c r="DX8" s="6">
        <v>45175</v>
      </c>
      <c r="DY8">
        <v>5</v>
      </c>
      <c r="DZ8">
        <v>-2.4245362661989844E-14</v>
      </c>
      <c r="EA8">
        <v>126987</v>
      </c>
      <c r="EB8" t="s">
        <v>2482</v>
      </c>
      <c r="EE8" t="s">
        <v>1908</v>
      </c>
      <c r="EF8">
        <v>-2.4245362661989844E-14</v>
      </c>
      <c r="EH8">
        <v>-2.4245362661989844E-14</v>
      </c>
      <c r="EI8" t="s">
        <v>1745</v>
      </c>
      <c r="EJ8">
        <v>2022</v>
      </c>
      <c r="EK8" t="s">
        <v>3525</v>
      </c>
      <c r="EL8" s="6">
        <v>45055</v>
      </c>
      <c r="EM8">
        <v>5</v>
      </c>
      <c r="EN8">
        <v>-2.4245362661989844E-14</v>
      </c>
      <c r="EO8">
        <v>9152714</v>
      </c>
      <c r="EP8" t="s">
        <v>1910</v>
      </c>
      <c r="IG8" t="s">
        <v>4257</v>
      </c>
      <c r="II8">
        <v>-2.4245362661989844E-14</v>
      </c>
      <c r="IJ8">
        <v>-2.4245362661989844E-14</v>
      </c>
      <c r="IK8" t="s">
        <v>1745</v>
      </c>
      <c r="IL8">
        <v>2021</v>
      </c>
      <c r="IM8" t="s">
        <v>4258</v>
      </c>
      <c r="IN8" s="6">
        <v>44693</v>
      </c>
      <c r="IO8">
        <v>5</v>
      </c>
      <c r="IP8">
        <v>-2.4245362661989844E-14</v>
      </c>
      <c r="IQ8">
        <v>109221</v>
      </c>
      <c r="IR8" t="s">
        <v>4259</v>
      </c>
      <c r="IU8" t="s">
        <v>2944</v>
      </c>
      <c r="IV8">
        <v>4.4315990000000003</v>
      </c>
      <c r="IW8" t="s">
        <v>1820</v>
      </c>
      <c r="IX8">
        <v>0.20255999999999999</v>
      </c>
      <c r="IY8" t="s">
        <v>1742</v>
      </c>
      <c r="IZ8">
        <v>2025</v>
      </c>
      <c r="JA8" t="s">
        <v>4729</v>
      </c>
      <c r="JB8" s="6">
        <v>45986</v>
      </c>
      <c r="JC8">
        <v>5</v>
      </c>
      <c r="JD8">
        <v>7351181</v>
      </c>
      <c r="JE8">
        <v>193974</v>
      </c>
      <c r="JF8" t="s">
        <v>2946</v>
      </c>
      <c r="KO8" t="s">
        <v>86</v>
      </c>
      <c r="KQ8">
        <v>-2.4245362661989844E-14</v>
      </c>
      <c r="KR8">
        <v>-2.4245362661989844E-14</v>
      </c>
      <c r="KS8" t="s">
        <v>1745</v>
      </c>
      <c r="KT8">
        <v>2021</v>
      </c>
      <c r="KU8" t="s">
        <v>2299</v>
      </c>
      <c r="KV8" s="6">
        <v>44693</v>
      </c>
      <c r="KW8">
        <v>5</v>
      </c>
      <c r="KX8">
        <v>-2.4245362661989844E-14</v>
      </c>
      <c r="KY8">
        <v>100193</v>
      </c>
      <c r="KZ8" t="s">
        <v>1849</v>
      </c>
      <c r="LC8" t="s">
        <v>4141</v>
      </c>
      <c r="LD8">
        <v>-2.4245362661989844E-14</v>
      </c>
      <c r="LF8">
        <v>-2.4245362661989844E-14</v>
      </c>
      <c r="LG8" t="s">
        <v>1745</v>
      </c>
      <c r="LH8">
        <v>2024</v>
      </c>
      <c r="LI8" t="s">
        <v>4142</v>
      </c>
      <c r="LJ8" s="6">
        <v>45491</v>
      </c>
      <c r="LK8">
        <v>5</v>
      </c>
      <c r="LL8">
        <v>-2.4245362661989844E-14</v>
      </c>
      <c r="LM8">
        <v>169906</v>
      </c>
      <c r="LN8" t="s">
        <v>4143</v>
      </c>
      <c r="LS8" t="s">
        <v>4071</v>
      </c>
      <c r="LU8">
        <v>-2.4245362661989844E-14</v>
      </c>
      <c r="LV8">
        <v>-2.4245362661989844E-14</v>
      </c>
      <c r="LW8" t="s">
        <v>1809</v>
      </c>
      <c r="LX8">
        <v>2024</v>
      </c>
      <c r="LY8" t="s">
        <v>4065</v>
      </c>
      <c r="LZ8" s="6">
        <v>45383</v>
      </c>
      <c r="MA8">
        <v>5</v>
      </c>
      <c r="MB8">
        <v>-2.4245362661989844E-14</v>
      </c>
      <c r="MC8">
        <v>64906272</v>
      </c>
      <c r="MD8" t="s">
        <v>4072</v>
      </c>
      <c r="MG8" t="s">
        <v>4002</v>
      </c>
      <c r="MH8">
        <v>-2.4245362661989844E-14</v>
      </c>
      <c r="MJ8">
        <v>-2.4245362661989844E-14</v>
      </c>
      <c r="MK8" t="s">
        <v>1745</v>
      </c>
      <c r="ML8">
        <v>2022</v>
      </c>
      <c r="MM8" t="s">
        <v>4003</v>
      </c>
      <c r="MN8" s="6">
        <v>44692</v>
      </c>
      <c r="MO8">
        <v>5</v>
      </c>
      <c r="MP8">
        <v>-2.4245362661989844E-14</v>
      </c>
      <c r="MQ8">
        <v>33869539</v>
      </c>
      <c r="MR8" t="s">
        <v>4004</v>
      </c>
      <c r="OA8" t="s">
        <v>3281</v>
      </c>
      <c r="OB8" t="s">
        <v>1786</v>
      </c>
      <c r="OC8">
        <v>7.0469400000000002</v>
      </c>
      <c r="OD8">
        <v>2.182099</v>
      </c>
      <c r="OE8" t="s">
        <v>1742</v>
      </c>
      <c r="OF8">
        <v>2025</v>
      </c>
      <c r="OG8" t="s">
        <v>3282</v>
      </c>
      <c r="OH8" s="6">
        <v>46058</v>
      </c>
      <c r="OI8">
        <v>5</v>
      </c>
      <c r="OJ8">
        <v>27220814</v>
      </c>
      <c r="OK8">
        <v>12116527</v>
      </c>
      <c r="OL8" t="s">
        <v>3283</v>
      </c>
      <c r="OO8" t="s">
        <v>3139</v>
      </c>
      <c r="OP8">
        <v>0.824013</v>
      </c>
      <c r="OQ8" t="s">
        <v>1786</v>
      </c>
      <c r="OR8">
        <v>0.13065499999999999</v>
      </c>
      <c r="OS8" t="s">
        <v>1742</v>
      </c>
      <c r="OT8">
        <v>2026</v>
      </c>
      <c r="OU8" t="s">
        <v>3135</v>
      </c>
      <c r="OV8" s="6">
        <v>46051</v>
      </c>
      <c r="OW8">
        <v>5</v>
      </c>
      <c r="OX8">
        <v>23696974</v>
      </c>
      <c r="OY8">
        <v>100436</v>
      </c>
      <c r="OZ8" t="s">
        <v>3140</v>
      </c>
      <c r="PE8" t="s">
        <v>804</v>
      </c>
      <c r="PF8" t="s">
        <v>1786</v>
      </c>
      <c r="PG8">
        <v>49.056618</v>
      </c>
      <c r="PH8">
        <v>2.3797060000000001</v>
      </c>
      <c r="PI8" t="s">
        <v>1742</v>
      </c>
      <c r="PJ8">
        <v>2025</v>
      </c>
      <c r="PK8" t="s">
        <v>2800</v>
      </c>
      <c r="PL8" s="6">
        <v>46050</v>
      </c>
      <c r="PM8">
        <v>5</v>
      </c>
      <c r="PN8">
        <v>173789936</v>
      </c>
      <c r="PO8">
        <v>1753841</v>
      </c>
      <c r="PP8" t="s">
        <v>2801</v>
      </c>
      <c r="PS8" t="s">
        <v>2502</v>
      </c>
      <c r="PT8">
        <v>2.966253</v>
      </c>
      <c r="PU8" t="s">
        <v>1786</v>
      </c>
      <c r="PV8">
        <v>1.12304</v>
      </c>
      <c r="PW8" t="s">
        <v>1742</v>
      </c>
      <c r="PX8">
        <v>2025</v>
      </c>
      <c r="PY8" t="s">
        <v>2501</v>
      </c>
      <c r="PZ8" s="6">
        <v>46018</v>
      </c>
      <c r="QA8">
        <v>5</v>
      </c>
      <c r="QB8">
        <v>711693056</v>
      </c>
      <c r="QC8">
        <v>60401289</v>
      </c>
      <c r="QD8" t="s">
        <v>2503</v>
      </c>
      <c r="QI8" t="s">
        <v>1761</v>
      </c>
      <c r="QK8">
        <v>-2.4245362661989844E-14</v>
      </c>
      <c r="QL8">
        <v>-2.4245362661989844E-14</v>
      </c>
      <c r="QM8" t="s">
        <v>1742</v>
      </c>
      <c r="QN8">
        <v>2025</v>
      </c>
      <c r="QO8" t="s">
        <v>2331</v>
      </c>
      <c r="QP8" s="6">
        <v>45966</v>
      </c>
      <c r="QQ8">
        <v>5</v>
      </c>
      <c r="QR8">
        <v>-2.4245362661989844E-14</v>
      </c>
      <c r="QS8">
        <v>101695</v>
      </c>
      <c r="QT8" t="s">
        <v>1764</v>
      </c>
      <c r="TU8" t="s">
        <v>2310</v>
      </c>
      <c r="TW8">
        <v>-2.4245362661989844E-14</v>
      </c>
      <c r="TX8">
        <v>-2.4245362661989844E-14</v>
      </c>
      <c r="TY8" t="s">
        <v>1745</v>
      </c>
      <c r="TZ8">
        <v>2022</v>
      </c>
      <c r="UA8" t="s">
        <v>4351</v>
      </c>
      <c r="UB8" s="6">
        <v>44670</v>
      </c>
      <c r="UC8">
        <v>5</v>
      </c>
      <c r="UD8">
        <v>-2.4245362661989844E-14</v>
      </c>
      <c r="UE8">
        <v>313657</v>
      </c>
      <c r="UF8" t="s">
        <v>2312</v>
      </c>
      <c r="UI8" t="s">
        <v>1409</v>
      </c>
      <c r="UJ8">
        <v>4.8999000000000001E-2</v>
      </c>
      <c r="UK8" t="s">
        <v>1786</v>
      </c>
      <c r="UL8">
        <v>2.3280000000000002E-3</v>
      </c>
      <c r="UM8" t="s">
        <v>1845</v>
      </c>
      <c r="UN8">
        <v>2025</v>
      </c>
      <c r="UO8" t="s">
        <v>2208</v>
      </c>
      <c r="UP8" s="6">
        <v>46091</v>
      </c>
      <c r="UQ8">
        <v>5</v>
      </c>
      <c r="UR8">
        <v>36547</v>
      </c>
      <c r="US8">
        <v>156637</v>
      </c>
      <c r="UT8" t="s">
        <v>2209</v>
      </c>
      <c r="UY8" t="s">
        <v>4075</v>
      </c>
      <c r="UZ8" t="s">
        <v>1786</v>
      </c>
      <c r="VA8">
        <v>0.113428</v>
      </c>
      <c r="VB8">
        <v>3.8316000000000003E-2</v>
      </c>
      <c r="VC8" t="s">
        <v>1845</v>
      </c>
      <c r="VD8">
        <v>2024</v>
      </c>
      <c r="VE8" t="s">
        <v>4076</v>
      </c>
      <c r="VF8" s="6">
        <v>45846</v>
      </c>
      <c r="VG8">
        <v>5</v>
      </c>
      <c r="VH8">
        <v>81758</v>
      </c>
      <c r="VI8">
        <v>847909</v>
      </c>
      <c r="VJ8" t="s">
        <v>4077</v>
      </c>
      <c r="VM8" t="s">
        <v>3957</v>
      </c>
      <c r="VN8">
        <v>-2.4245362661989844E-14</v>
      </c>
      <c r="VP8">
        <v>-2.4245362661989844E-14</v>
      </c>
      <c r="VQ8" t="s">
        <v>1745</v>
      </c>
      <c r="VR8">
        <v>2025</v>
      </c>
      <c r="VS8" t="s">
        <v>3958</v>
      </c>
      <c r="VT8" s="6">
        <v>45741</v>
      </c>
      <c r="VU8">
        <v>5</v>
      </c>
      <c r="VV8">
        <v>-2.4245362661989844E-14</v>
      </c>
      <c r="VW8">
        <v>201989</v>
      </c>
      <c r="VX8" t="s">
        <v>3959</v>
      </c>
    </row>
    <row r="9" spans="1:600" x14ac:dyDescent="0.25">
      <c r="AE9" t="s">
        <v>4655</v>
      </c>
      <c r="AG9">
        <v>-2.4245362661989844E-14</v>
      </c>
      <c r="AH9">
        <v>-2.4245362661989844E-14</v>
      </c>
      <c r="AI9" t="s">
        <v>1805</v>
      </c>
      <c r="AJ9">
        <v>2025</v>
      </c>
      <c r="AK9" t="s">
        <v>4656</v>
      </c>
      <c r="AL9" s="6">
        <v>45896</v>
      </c>
      <c r="AM9">
        <v>5</v>
      </c>
      <c r="AN9">
        <v>-2.4245362661989844E-14</v>
      </c>
      <c r="AO9">
        <v>12202769</v>
      </c>
      <c r="AP9" t="s">
        <v>4657</v>
      </c>
      <c r="AS9" t="s">
        <v>4586</v>
      </c>
      <c r="AT9">
        <v>-2.4245362661989844E-14</v>
      </c>
      <c r="AV9">
        <v>-2.4245362661989844E-14</v>
      </c>
      <c r="AW9" t="s">
        <v>1745</v>
      </c>
      <c r="AX9">
        <v>2023</v>
      </c>
      <c r="AY9" t="s">
        <v>4587</v>
      </c>
      <c r="AZ9" s="6">
        <v>45392</v>
      </c>
      <c r="BA9">
        <v>5</v>
      </c>
      <c r="BB9">
        <v>-2.4245362661989844E-14</v>
      </c>
      <c r="BC9">
        <v>23962876</v>
      </c>
      <c r="BD9" t="s">
        <v>4588</v>
      </c>
      <c r="DQ9" t="s">
        <v>3820</v>
      </c>
      <c r="DS9">
        <v>-2.4245362661989844E-14</v>
      </c>
      <c r="DT9">
        <v>-2.4245362661989844E-14</v>
      </c>
      <c r="DU9" t="s">
        <v>1745</v>
      </c>
      <c r="DV9">
        <v>2022</v>
      </c>
      <c r="DW9" t="s">
        <v>3821</v>
      </c>
      <c r="DX9" s="6">
        <v>45033</v>
      </c>
      <c r="DY9">
        <v>5</v>
      </c>
      <c r="DZ9">
        <v>-2.4245362661989844E-14</v>
      </c>
      <c r="EA9">
        <v>7360919</v>
      </c>
      <c r="EB9" t="s">
        <v>3822</v>
      </c>
      <c r="EE9" t="s">
        <v>3526</v>
      </c>
      <c r="EF9">
        <v>-2.4245362661989844E-14</v>
      </c>
      <c r="EH9">
        <v>-2.4245362661989844E-14</v>
      </c>
      <c r="EI9" t="s">
        <v>1745</v>
      </c>
      <c r="EJ9">
        <v>2022</v>
      </c>
      <c r="EK9" t="s">
        <v>3527</v>
      </c>
      <c r="EL9" s="6">
        <v>45075</v>
      </c>
      <c r="EM9">
        <v>5</v>
      </c>
      <c r="EN9">
        <v>-2.4245362661989844E-14</v>
      </c>
      <c r="EO9">
        <v>17157811</v>
      </c>
      <c r="EP9" t="s">
        <v>3528</v>
      </c>
      <c r="IG9" t="s">
        <v>5090</v>
      </c>
      <c r="II9">
        <v>-2.4245362661989844E-14</v>
      </c>
      <c r="IJ9">
        <v>-2.4245362661989844E-14</v>
      </c>
      <c r="IK9" t="s">
        <v>1745</v>
      </c>
      <c r="IL9">
        <v>2021</v>
      </c>
      <c r="IM9" t="s">
        <v>5091</v>
      </c>
      <c r="IN9" s="6">
        <v>44693</v>
      </c>
      <c r="IO9">
        <v>5</v>
      </c>
      <c r="IP9">
        <v>-2.4245362661989844E-14</v>
      </c>
      <c r="IQ9">
        <v>107603</v>
      </c>
      <c r="IR9" t="s">
        <v>5092</v>
      </c>
      <c r="IU9" t="s">
        <v>168</v>
      </c>
      <c r="IV9">
        <v>2.9612059999999998</v>
      </c>
      <c r="IW9" t="s">
        <v>1820</v>
      </c>
      <c r="IX9">
        <v>0.20255999999999999</v>
      </c>
      <c r="IY9" t="s">
        <v>1742</v>
      </c>
      <c r="IZ9">
        <v>2025</v>
      </c>
      <c r="JA9" t="s">
        <v>4729</v>
      </c>
      <c r="JB9" s="6">
        <v>45986</v>
      </c>
      <c r="JC9">
        <v>5</v>
      </c>
      <c r="JD9">
        <v>4912078</v>
      </c>
      <c r="JE9">
        <v>101729</v>
      </c>
      <c r="JF9" t="s">
        <v>2246</v>
      </c>
      <c r="KO9" t="s">
        <v>2300</v>
      </c>
      <c r="KQ9">
        <v>-2.4245362661989844E-14</v>
      </c>
      <c r="KR9">
        <v>-2.4245362661989844E-14</v>
      </c>
      <c r="KS9" t="s">
        <v>1745</v>
      </c>
      <c r="KT9">
        <v>2021</v>
      </c>
      <c r="KU9" t="s">
        <v>2301</v>
      </c>
      <c r="KV9" s="6">
        <v>44693</v>
      </c>
      <c r="KW9">
        <v>5</v>
      </c>
      <c r="KX9">
        <v>-2.4245362661989844E-14</v>
      </c>
      <c r="KY9">
        <v>100760</v>
      </c>
      <c r="KZ9" t="s">
        <v>2302</v>
      </c>
      <c r="LC9" t="s">
        <v>4144</v>
      </c>
      <c r="LD9">
        <v>-2.4245362661989844E-14</v>
      </c>
      <c r="LF9">
        <v>-2.4245362661989844E-14</v>
      </c>
      <c r="LG9" t="s">
        <v>1745</v>
      </c>
      <c r="LH9">
        <v>2023</v>
      </c>
      <c r="LI9" t="s">
        <v>4145</v>
      </c>
      <c r="LJ9" s="6">
        <v>45237</v>
      </c>
      <c r="LK9">
        <v>5</v>
      </c>
      <c r="LL9">
        <v>-2.4245362661989844E-14</v>
      </c>
      <c r="LM9">
        <v>169871</v>
      </c>
      <c r="LN9" t="s">
        <v>4146</v>
      </c>
      <c r="LS9" t="s">
        <v>4073</v>
      </c>
      <c r="LU9">
        <v>-2.4245362661989844E-14</v>
      </c>
      <c r="LV9">
        <v>-2.4245362661989844E-14</v>
      </c>
      <c r="LW9" t="s">
        <v>1809</v>
      </c>
      <c r="LX9">
        <v>2024</v>
      </c>
      <c r="LY9" t="s">
        <v>4065</v>
      </c>
      <c r="LZ9" s="6">
        <v>45383</v>
      </c>
      <c r="MA9">
        <v>5</v>
      </c>
      <c r="MB9">
        <v>-2.4245362661989844E-14</v>
      </c>
      <c r="MC9">
        <v>20340751</v>
      </c>
      <c r="MD9" t="s">
        <v>4074</v>
      </c>
      <c r="MG9" t="s">
        <v>4005</v>
      </c>
      <c r="MH9">
        <v>-2.4245362661989844E-14</v>
      </c>
      <c r="MJ9">
        <v>-2.4245362661989844E-14</v>
      </c>
      <c r="MK9" t="s">
        <v>1745</v>
      </c>
      <c r="ML9">
        <v>2021</v>
      </c>
      <c r="MM9" t="s">
        <v>4006</v>
      </c>
      <c r="MN9" s="6">
        <v>44638</v>
      </c>
      <c r="MO9">
        <v>5</v>
      </c>
      <c r="MP9">
        <v>-2.4245362661989844E-14</v>
      </c>
      <c r="MQ9">
        <v>17672634</v>
      </c>
      <c r="MR9" t="s">
        <v>4007</v>
      </c>
      <c r="OA9" t="s">
        <v>3284</v>
      </c>
      <c r="OB9" t="s">
        <v>1786</v>
      </c>
      <c r="OC9">
        <v>46</v>
      </c>
      <c r="OD9">
        <v>1.5506709999999999</v>
      </c>
      <c r="OE9" t="s">
        <v>1742</v>
      </c>
      <c r="OF9">
        <v>2026</v>
      </c>
      <c r="OG9" t="s">
        <v>3285</v>
      </c>
      <c r="OH9" s="6">
        <v>46063</v>
      </c>
      <c r="OI9">
        <v>5</v>
      </c>
      <c r="OJ9">
        <v>19344000</v>
      </c>
      <c r="OK9">
        <v>54865572</v>
      </c>
      <c r="OL9" t="s">
        <v>3286</v>
      </c>
      <c r="OO9" t="s">
        <v>1967</v>
      </c>
      <c r="OP9">
        <v>0.49554799999999999</v>
      </c>
      <c r="OQ9" t="s">
        <v>1786</v>
      </c>
      <c r="OR9">
        <v>0.51135299999999995</v>
      </c>
      <c r="OS9" t="s">
        <v>1742</v>
      </c>
      <c r="OT9">
        <v>2026</v>
      </c>
      <c r="OU9" t="s">
        <v>3135</v>
      </c>
      <c r="OV9" s="6">
        <v>46051</v>
      </c>
      <c r="OW9">
        <v>5</v>
      </c>
      <c r="OX9">
        <v>14250974</v>
      </c>
      <c r="OY9">
        <v>1133363</v>
      </c>
      <c r="OZ9" t="s">
        <v>1968</v>
      </c>
      <c r="PE9" t="s">
        <v>2802</v>
      </c>
      <c r="PF9" t="s">
        <v>1786</v>
      </c>
      <c r="PG9">
        <v>1.017503</v>
      </c>
      <c r="PH9">
        <v>1.621964</v>
      </c>
      <c r="PI9" t="s">
        <v>1762</v>
      </c>
      <c r="PJ9">
        <v>2025</v>
      </c>
      <c r="PK9" t="s">
        <v>2803</v>
      </c>
      <c r="PL9" s="6">
        <v>45929</v>
      </c>
      <c r="PM9">
        <v>5</v>
      </c>
      <c r="PN9">
        <v>123835292.08</v>
      </c>
      <c r="PO9">
        <v>115679</v>
      </c>
      <c r="PP9" t="s">
        <v>2804</v>
      </c>
      <c r="PS9" t="s">
        <v>2504</v>
      </c>
      <c r="PT9">
        <v>2.108371</v>
      </c>
      <c r="PU9" t="s">
        <v>1786</v>
      </c>
      <c r="PV9">
        <v>2.5571009999999998</v>
      </c>
      <c r="PW9" t="s">
        <v>1762</v>
      </c>
      <c r="PX9">
        <v>2025</v>
      </c>
      <c r="PY9" t="s">
        <v>2505</v>
      </c>
      <c r="PZ9" s="6">
        <v>45919</v>
      </c>
      <c r="QA9">
        <v>5</v>
      </c>
      <c r="QB9">
        <v>501043244.87</v>
      </c>
      <c r="QC9">
        <v>115268</v>
      </c>
      <c r="QD9" t="s">
        <v>2506</v>
      </c>
      <c r="QI9" t="s">
        <v>2332</v>
      </c>
      <c r="QK9">
        <v>-2.4245362661989844E-14</v>
      </c>
      <c r="QL9">
        <v>-2.4245362661989844E-14</v>
      </c>
      <c r="QM9" t="s">
        <v>1745</v>
      </c>
      <c r="QN9">
        <v>2022</v>
      </c>
      <c r="QO9" t="s">
        <v>2333</v>
      </c>
      <c r="QP9" s="6">
        <v>45016</v>
      </c>
      <c r="QQ9">
        <v>5</v>
      </c>
      <c r="QR9">
        <v>-2.4245362661989844E-14</v>
      </c>
      <c r="QS9">
        <v>9840510</v>
      </c>
      <c r="QT9" t="s">
        <v>2334</v>
      </c>
      <c r="TU9" t="s">
        <v>2700</v>
      </c>
      <c r="TW9">
        <v>-2.4245362661989844E-14</v>
      </c>
      <c r="TX9">
        <v>-2.4245362661989844E-14</v>
      </c>
      <c r="TY9" t="s">
        <v>1745</v>
      </c>
      <c r="TZ9">
        <v>2021</v>
      </c>
      <c r="UA9" t="s">
        <v>2701</v>
      </c>
      <c r="UB9" s="6">
        <v>44693</v>
      </c>
      <c r="UC9">
        <v>5</v>
      </c>
      <c r="UD9">
        <v>-2.4245362661989844E-14</v>
      </c>
      <c r="UE9">
        <v>101139</v>
      </c>
      <c r="UF9" t="s">
        <v>2702</v>
      </c>
      <c r="UI9" t="s">
        <v>1962</v>
      </c>
      <c r="UJ9">
        <v>1.8277000000000002E-2</v>
      </c>
      <c r="UK9" t="s">
        <v>1786</v>
      </c>
      <c r="UL9">
        <v>2.5660000000000001E-3</v>
      </c>
      <c r="UM9" t="s">
        <v>1762</v>
      </c>
      <c r="UN9">
        <v>2026</v>
      </c>
      <c r="UO9" t="s">
        <v>2011</v>
      </c>
      <c r="UP9" s="6">
        <v>46036</v>
      </c>
      <c r="UQ9">
        <v>5</v>
      </c>
      <c r="UR9">
        <v>11462</v>
      </c>
      <c r="US9">
        <v>194585</v>
      </c>
      <c r="UT9" t="s">
        <v>1964</v>
      </c>
      <c r="UY9" t="s">
        <v>4078</v>
      </c>
      <c r="VA9">
        <v>-2.4245362661989844E-14</v>
      </c>
      <c r="VB9">
        <v>-2.4245362661989844E-14</v>
      </c>
      <c r="VC9" t="s">
        <v>1745</v>
      </c>
      <c r="VD9">
        <v>2023</v>
      </c>
      <c r="VE9" t="s">
        <v>4079</v>
      </c>
      <c r="VF9" s="6">
        <v>45351</v>
      </c>
      <c r="VG9">
        <v>5</v>
      </c>
      <c r="VH9">
        <v>-2.4245362661989844E-14</v>
      </c>
      <c r="VI9">
        <v>12409970</v>
      </c>
      <c r="VJ9" t="s">
        <v>4080</v>
      </c>
      <c r="VM9" t="s">
        <v>3960</v>
      </c>
      <c r="VN9">
        <v>-2.4245362661989844E-14</v>
      </c>
      <c r="VP9">
        <v>-2.4245362661989844E-14</v>
      </c>
      <c r="VQ9" t="s">
        <v>1798</v>
      </c>
      <c r="VR9">
        <v>2025</v>
      </c>
      <c r="VS9" t="s">
        <v>3961</v>
      </c>
      <c r="VT9" s="6">
        <v>45975</v>
      </c>
      <c r="VU9">
        <v>5</v>
      </c>
      <c r="VV9">
        <v>-2.4245362661989844E-14</v>
      </c>
      <c r="VW9">
        <v>18296043</v>
      </c>
      <c r="VX9" t="s">
        <v>3962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1519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1520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1521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1522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1523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1524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1525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1526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1527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1528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1529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1530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1531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1532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1533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1534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1535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1536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1537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1538</v>
      </c>
      <c r="AE2" s="3" t="s">
        <v>1539</v>
      </c>
      <c r="BI2" s="3" t="s">
        <v>1540</v>
      </c>
      <c r="CM2" s="3" t="s">
        <v>1541</v>
      </c>
      <c r="DQ2" s="3" t="s">
        <v>1542</v>
      </c>
      <c r="EU2" s="3" t="s">
        <v>352</v>
      </c>
      <c r="FY2" s="3" t="s">
        <v>1543</v>
      </c>
      <c r="HC2" s="3" t="s">
        <v>34</v>
      </c>
      <c r="IG2" s="3" t="s">
        <v>677</v>
      </c>
      <c r="JK2" s="3" t="s">
        <v>1544</v>
      </c>
      <c r="KO2" s="3" t="s">
        <v>1143</v>
      </c>
      <c r="LS2" s="3" t="s">
        <v>1545</v>
      </c>
      <c r="MW2" s="3" t="s">
        <v>1546</v>
      </c>
      <c r="OA2" s="3" t="s">
        <v>1547</v>
      </c>
      <c r="PE2" s="3" t="s">
        <v>424</v>
      </c>
      <c r="QI2" s="3" t="s">
        <v>1548</v>
      </c>
      <c r="RM2" s="3" t="s">
        <v>418</v>
      </c>
      <c r="SQ2" s="3" t="s">
        <v>121</v>
      </c>
      <c r="TU2" s="3" t="s">
        <v>1549</v>
      </c>
      <c r="UY2" s="3" t="s">
        <v>1550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_xll.BDS("8285461Q US Equity","SUPPLY_CHAIN_SUPPLIERS_ALL_DATA")</f>
        <v>#N/A N/A</v>
      </c>
      <c r="O5" t="str">
        <f>_xll.BDS("8285461Q US Equity","SUPPLY_CHAIN_CUSTOMERS_ALL_DATA")</f>
        <v>#N/A N/A</v>
      </c>
      <c r="AE5" t="str">
        <f>_xll.BDS("AZA US Equity","SUPPLY_CHAIN_SUPPLIERS_ALL_DATA")</f>
        <v>#N/A N/A</v>
      </c>
      <c r="AS5" t="str">
        <f>_xll.BDS("AZA US Equity","SUPPLY_CHAIN_CUSTOMERS_ALL_DATA")</f>
        <v>#N/A N/A</v>
      </c>
      <c r="BI5" t="str">
        <f>_xll.BDS("STL US Equity","SUPPLY_CHAIN_SUPPLIERS_ALL_DATA")</f>
        <v>#N/A N/A</v>
      </c>
      <c r="BW5" t="str">
        <f>_xll.BDS("STL US Equity","SUPPLY_CHAIN_CUSTOMERS_ALL_DATA")</f>
        <v>#N/A N/A</v>
      </c>
      <c r="CM5" t="str">
        <f>_xll.BDS("0700161D US Equity","SUPPLY_CHAIN_SUPPLIERS_ALL_DATA")</f>
        <v>#N/A N/A</v>
      </c>
      <c r="DA5" t="str">
        <f>_xll.BDS("0700161D US Equity","SUPPLY_CHAIN_CUSTOMERS_ALL_DATA")</f>
        <v>#N/A N/A</v>
      </c>
      <c r="DQ5" t="str">
        <f>_xll.BDS("1350017D US Equity","SUPPLY_CHAIN_SUPPLIERS_ALL_DATA","cols=12;rows=2")</f>
        <v>ED US Equity</v>
      </c>
      <c r="DS5">
        <v>-2.4245362661989844E-14</v>
      </c>
      <c r="DT5">
        <v>-2.4245362661989844E-14</v>
      </c>
      <c r="DU5" t="s">
        <v>1745</v>
      </c>
      <c r="DV5">
        <v>2021</v>
      </c>
      <c r="DW5" t="s">
        <v>4054</v>
      </c>
      <c r="DX5" s="6">
        <v>44693</v>
      </c>
      <c r="DY5">
        <v>2</v>
      </c>
      <c r="DZ5">
        <v>-2.4245362661989844E-14</v>
      </c>
      <c r="EA5">
        <v>100382</v>
      </c>
      <c r="EB5" t="s">
        <v>4055</v>
      </c>
      <c r="EE5" t="str">
        <f>_xll.BDS("1350017D US Equity","SUPPLY_CHAIN_CUSTOMERS_ALL_DATA")</f>
        <v>#N/A N/A</v>
      </c>
      <c r="EU5" t="str">
        <f>_xll.BDS("CAR US Equity","SUPPLY_CHAIN_SUPPLIERS_ALL_DATA","cols=12;rows=5")</f>
        <v>VRRM US Equity</v>
      </c>
      <c r="EV5" t="s">
        <v>1786</v>
      </c>
      <c r="EW5">
        <v>13.5</v>
      </c>
      <c r="EX5">
        <v>1.973611</v>
      </c>
      <c r="EY5" t="s">
        <v>1745</v>
      </c>
      <c r="EZ5">
        <v>2024</v>
      </c>
      <c r="FA5" t="s">
        <v>4514</v>
      </c>
      <c r="FB5" s="6">
        <v>45715</v>
      </c>
      <c r="FC5">
        <v>5</v>
      </c>
      <c r="FD5">
        <v>29673236</v>
      </c>
      <c r="FE5">
        <v>51985055</v>
      </c>
      <c r="FF5" t="s">
        <v>4515</v>
      </c>
      <c r="FI5" t="str">
        <f>_xll.BDS("CAR US Equity","SUPPLY_CHAIN_CUSTOMERS_ALL_DATA","cols=12;rows=5")</f>
        <v>EIH IN Equity</v>
      </c>
      <c r="FJ5">
        <v>1.306E-2</v>
      </c>
      <c r="FK5" t="s">
        <v>1786</v>
      </c>
      <c r="FL5">
        <v>0.69246200000000002</v>
      </c>
      <c r="FM5" t="s">
        <v>1745</v>
      </c>
      <c r="FN5">
        <v>2025</v>
      </c>
      <c r="FO5" t="s">
        <v>1990</v>
      </c>
      <c r="FP5" s="6">
        <v>45850</v>
      </c>
      <c r="FQ5">
        <v>5</v>
      </c>
      <c r="FR5">
        <v>381034.1</v>
      </c>
      <c r="FS5">
        <v>162657</v>
      </c>
      <c r="FT5" t="s">
        <v>1991</v>
      </c>
      <c r="FY5" t="str">
        <f>_xll.BDS("GMRRQ US Equity","SUPPLY_CHAIN_SUPPLIERS_ALL_DATA")</f>
        <v>#N/A N/A</v>
      </c>
      <c r="GM5" t="str">
        <f>_xll.BDS("GMRRQ US Equity","SUPPLY_CHAIN_CUSTOMERS_ALL_DATA")</f>
        <v>#N/A N/A</v>
      </c>
      <c r="HC5" t="str">
        <f>_xll.BDS("ORCL US Equity","SUPPLY_CHAIN_SUPPLIERS_ALL_DATA","cols=12;rows=5")</f>
        <v>NVDA US Equity</v>
      </c>
      <c r="HD5" t="s">
        <v>1820</v>
      </c>
      <c r="HE5">
        <v>1.9751799999999999</v>
      </c>
      <c r="HF5">
        <v>11.182838</v>
      </c>
      <c r="HG5" t="s">
        <v>1845</v>
      </c>
      <c r="HH5">
        <v>2026</v>
      </c>
      <c r="HI5" t="s">
        <v>2311</v>
      </c>
      <c r="HJ5" s="6">
        <v>46087</v>
      </c>
      <c r="HK5">
        <v>5</v>
      </c>
      <c r="HL5">
        <v>1345630848</v>
      </c>
      <c r="HM5">
        <v>313657</v>
      </c>
      <c r="HN5" t="s">
        <v>2312</v>
      </c>
      <c r="HQ5" t="str">
        <f>_xll.BDS("ORCL US Equity","SUPPLY_CHAIN_CUSTOMERS_ALL_DATA","cols=12;rows=5")</f>
        <v>ACN US Equity</v>
      </c>
      <c r="HR5">
        <v>1.9061380000000001</v>
      </c>
      <c r="HS5" t="s">
        <v>1786</v>
      </c>
      <c r="HT5">
        <v>2.7725070000000001</v>
      </c>
      <c r="HU5" t="s">
        <v>1845</v>
      </c>
      <c r="HV5">
        <v>2025</v>
      </c>
      <c r="HW5" t="s">
        <v>1883</v>
      </c>
      <c r="HX5" s="6">
        <v>45848</v>
      </c>
      <c r="HY5">
        <v>5</v>
      </c>
      <c r="HZ5">
        <v>303133120</v>
      </c>
      <c r="IA5">
        <v>300787</v>
      </c>
      <c r="IB5" t="s">
        <v>1884</v>
      </c>
      <c r="IG5" t="str">
        <f>_xll.BDS("MDT US Equity","SUPPLY_CHAIN_SUPPLIERS_ALL_DATA","cols=12;rows=5")</f>
        <v>FLEX US Equity</v>
      </c>
      <c r="IH5" t="s">
        <v>1786</v>
      </c>
      <c r="II5">
        <v>1.2190190000000001</v>
      </c>
      <c r="IJ5">
        <v>2.8758149999999998</v>
      </c>
      <c r="IK5" t="s">
        <v>1742</v>
      </c>
      <c r="IL5">
        <v>2025</v>
      </c>
      <c r="IM5" t="s">
        <v>2387</v>
      </c>
      <c r="IN5" s="6">
        <v>45763</v>
      </c>
      <c r="IO5">
        <v>5</v>
      </c>
      <c r="IP5">
        <v>79918888</v>
      </c>
      <c r="IQ5">
        <v>136547</v>
      </c>
      <c r="IR5" t="s">
        <v>2388</v>
      </c>
      <c r="IU5" t="str">
        <f>_xll.BDS("MDT US Equity","SUPPLY_CHAIN_CUSTOMERS_ALL_DATA","cols=12;rows=5")</f>
        <v>4104 TT Equity</v>
      </c>
      <c r="IV5">
        <v>0.20070099999999999</v>
      </c>
      <c r="IW5" t="s">
        <v>1786</v>
      </c>
      <c r="IX5">
        <v>32.397697000000001</v>
      </c>
      <c r="IY5" t="s">
        <v>1745</v>
      </c>
      <c r="IZ5">
        <v>2024</v>
      </c>
      <c r="JA5" t="s">
        <v>3546</v>
      </c>
      <c r="JB5" s="6">
        <v>45814</v>
      </c>
      <c r="JC5">
        <v>5</v>
      </c>
      <c r="JD5">
        <v>17028014.890000001</v>
      </c>
      <c r="JE5">
        <v>7324380</v>
      </c>
      <c r="JF5" t="s">
        <v>3547</v>
      </c>
      <c r="JK5" t="str">
        <f>_xll.BDS("EMN US Equity","SUPPLY_CHAIN_SUPPLIERS_ALL_DATA","cols=12;rows=5")</f>
        <v>AI FP Equity</v>
      </c>
      <c r="JL5" t="s">
        <v>1786</v>
      </c>
      <c r="JM5">
        <v>0.110859</v>
      </c>
      <c r="JN5">
        <v>0.48419400000000001</v>
      </c>
      <c r="JO5" t="s">
        <v>1762</v>
      </c>
      <c r="JP5">
        <v>2025</v>
      </c>
      <c r="JQ5" t="s">
        <v>3203</v>
      </c>
      <c r="JR5" s="6">
        <v>45910</v>
      </c>
      <c r="JS5">
        <v>5</v>
      </c>
      <c r="JT5">
        <v>8620046.4000000004</v>
      </c>
      <c r="JU5">
        <v>115230</v>
      </c>
      <c r="JV5" t="s">
        <v>3204</v>
      </c>
      <c r="JY5" t="str">
        <f>_xll.BDS("EMN US Equity","SUPPLY_CHAIN_CUSTOMERS_ALL_DATA","cols=12;rows=5")</f>
        <v>JNJ US Equity</v>
      </c>
      <c r="JZ5">
        <v>2.321053</v>
      </c>
      <c r="KA5" t="s">
        <v>1786</v>
      </c>
      <c r="KB5">
        <v>0.69984400000000002</v>
      </c>
      <c r="KC5" t="s">
        <v>1742</v>
      </c>
      <c r="KD5">
        <v>2025</v>
      </c>
      <c r="KE5" t="s">
        <v>3102</v>
      </c>
      <c r="KF5" s="6">
        <v>46018</v>
      </c>
      <c r="KG5">
        <v>5</v>
      </c>
      <c r="KH5">
        <v>51109588</v>
      </c>
      <c r="KI5">
        <v>100828</v>
      </c>
      <c r="KJ5" t="s">
        <v>2464</v>
      </c>
      <c r="KO5" t="str">
        <f>_xll.BDS("2213185D US Equity","SUPPLY_CHAIN_SUPPLIERS_ALL_DATA")</f>
        <v>#N/A N/A</v>
      </c>
      <c r="LC5" t="str">
        <f>_xll.BDS("2213185D US Equity","SUPPLY_CHAIN_CUSTOMERS_ALL_DATA")</f>
        <v>#N/A N/A</v>
      </c>
      <c r="LS5" t="str">
        <f>_xll.BDS("GTN US Equity","SUPPLY_CHAIN_SUPPLIERS_ALL_DATA","cols=12;rows=5")</f>
        <v>0129612D US Equity</v>
      </c>
      <c r="LU5">
        <v>-2.4245362661989844E-14</v>
      </c>
      <c r="LV5">
        <v>-2.4245362661989844E-14</v>
      </c>
      <c r="LW5" t="s">
        <v>1745</v>
      </c>
      <c r="LX5">
        <v>2022</v>
      </c>
      <c r="LY5" t="s">
        <v>2303</v>
      </c>
      <c r="LZ5" s="6">
        <v>44981</v>
      </c>
      <c r="MA5">
        <v>5</v>
      </c>
      <c r="MB5">
        <v>-2.4245362661989844E-14</v>
      </c>
      <c r="MC5">
        <v>28945364</v>
      </c>
      <c r="MD5" t="s">
        <v>2304</v>
      </c>
      <c r="MG5" t="str">
        <f>_xll.BDS("GTN US Equity","SUPPLY_CHAIN_CUSTOMERS_ALL_DATA","cols=12;rows=5")</f>
        <v>CMCSA US Equity</v>
      </c>
      <c r="MH5">
        <v>27</v>
      </c>
      <c r="MI5" t="s">
        <v>1769</v>
      </c>
      <c r="MJ5">
        <v>2.0242360000000001</v>
      </c>
      <c r="MK5" t="s">
        <v>1745</v>
      </c>
      <c r="ML5">
        <v>2024</v>
      </c>
      <c r="MM5" t="s">
        <v>1779</v>
      </c>
      <c r="MN5" s="6">
        <v>45715</v>
      </c>
      <c r="MO5">
        <v>5</v>
      </c>
      <c r="MP5">
        <v>245970000</v>
      </c>
      <c r="MQ5">
        <v>101712</v>
      </c>
      <c r="MR5" t="s">
        <v>1780</v>
      </c>
      <c r="MW5" t="str">
        <f>_xll.BDS("MCLDQ US Equity","SUPPLY_CHAIN_SUPPLIERS_ALL_DATA")</f>
        <v>#N/A N/A</v>
      </c>
      <c r="NK5" t="str">
        <f>_xll.BDS("MCLDQ US Equity","SUPPLY_CHAIN_CUSTOMERS_ALL_DATA")</f>
        <v>#N/A N/A</v>
      </c>
      <c r="OA5" t="str">
        <f>_xll.BDS("1004Q US Equity","SUPPLY_CHAIN_SUPPLIERS_ALL_DATA")</f>
        <v>#N/A N/A</v>
      </c>
      <c r="OO5" t="str">
        <f>_xll.BDS("1004Q US Equity","SUPPLY_CHAIN_CUSTOMERS_ALL_DATA")</f>
        <v>#N/A N/A</v>
      </c>
      <c r="PE5" t="str">
        <f>_xll.BDS("MSFT US Equity","SUPPLY_CHAIN_SUPPLIERS_ALL_DATA","cols=12;rows=5")</f>
        <v>NVDA US Equity</v>
      </c>
      <c r="PF5" t="s">
        <v>1820</v>
      </c>
      <c r="PG5">
        <v>22.047934000000001</v>
      </c>
      <c r="PH5">
        <v>50.276459000000003</v>
      </c>
      <c r="PI5" t="s">
        <v>1845</v>
      </c>
      <c r="PJ5">
        <v>2026</v>
      </c>
      <c r="PK5" t="s">
        <v>2311</v>
      </c>
      <c r="PL5" s="6">
        <v>46087</v>
      </c>
      <c r="PM5">
        <v>5</v>
      </c>
      <c r="PN5">
        <v>15020595200</v>
      </c>
      <c r="PO5">
        <v>313657</v>
      </c>
      <c r="PP5" t="s">
        <v>2312</v>
      </c>
      <c r="PS5" t="str">
        <f>_xll.BDS("MSFT US Equity","SUPPLY_CHAIN_CUSTOMERS_ALL_DATA","cols=12;rows=5")</f>
        <v>SNX US Equity</v>
      </c>
      <c r="PT5">
        <v>0.94513400000000003</v>
      </c>
      <c r="PU5" t="s">
        <v>1786</v>
      </c>
      <c r="PV5">
        <v>4.7461719999999996</v>
      </c>
      <c r="PW5" t="s">
        <v>1845</v>
      </c>
      <c r="PX5">
        <v>2025</v>
      </c>
      <c r="PY5" t="s">
        <v>1887</v>
      </c>
      <c r="PZ5" s="6">
        <v>46056</v>
      </c>
      <c r="QA5">
        <v>5</v>
      </c>
      <c r="QB5">
        <v>768139008</v>
      </c>
      <c r="QC5">
        <v>1499717</v>
      </c>
      <c r="QD5" t="s">
        <v>1864</v>
      </c>
      <c r="QI5" t="str">
        <f>_xll.BDS("WSBC US Equity","SUPPLY_CHAIN_SUPPLIERS_ALL_DATA")</f>
        <v>#N/A N/A</v>
      </c>
      <c r="QW5" t="str">
        <f>_xll.BDS("WSBC US Equity","SUPPLY_CHAIN_CUSTOMERS_ALL_DATA","cols=12;rows=2")</f>
        <v>NINE CN Equity</v>
      </c>
      <c r="QX5">
        <v>-2.4245362661989844E-14</v>
      </c>
      <c r="QZ5">
        <v>-2.4245362661989844E-14</v>
      </c>
      <c r="RA5" t="s">
        <v>1745</v>
      </c>
      <c r="RB5">
        <v>2023</v>
      </c>
      <c r="RC5" t="s">
        <v>3982</v>
      </c>
      <c r="RD5" s="6">
        <v>44967</v>
      </c>
      <c r="RE5">
        <v>2</v>
      </c>
      <c r="RF5">
        <v>-2.4245362661989844E-14</v>
      </c>
      <c r="RG5">
        <v>67289203</v>
      </c>
      <c r="RH5" t="s">
        <v>3983</v>
      </c>
      <c r="RM5" t="str">
        <f>_xll.BDS("UPS US Equity","SUPPLY_CHAIN_SUPPLIERS_ALL_DATA","cols=12;rows=5")</f>
        <v>BA US Equity</v>
      </c>
      <c r="RN5" t="s">
        <v>1820</v>
      </c>
      <c r="RO5">
        <v>0.85980599999999996</v>
      </c>
      <c r="RP5">
        <v>17.417389</v>
      </c>
      <c r="RQ5" t="s">
        <v>1762</v>
      </c>
      <c r="RR5">
        <v>2025</v>
      </c>
      <c r="RS5" t="s">
        <v>3484</v>
      </c>
      <c r="RT5" s="6">
        <v>45873</v>
      </c>
      <c r="RU5">
        <v>5</v>
      </c>
      <c r="RV5">
        <v>195597264</v>
      </c>
      <c r="RW5">
        <v>100211</v>
      </c>
      <c r="RX5" t="s">
        <v>1851</v>
      </c>
      <c r="SA5" t="str">
        <f>_xll.BDS("UPS US Equity","SUPPLY_CHAIN_CUSTOMERS_ALL_DATA","cols=12;rows=5")</f>
        <v>AMZN US Equity</v>
      </c>
      <c r="SB5">
        <v>10.6</v>
      </c>
      <c r="SC5" t="s">
        <v>1786</v>
      </c>
      <c r="SD5">
        <v>2.6368399999999999</v>
      </c>
      <c r="SE5" t="s">
        <v>1745</v>
      </c>
      <c r="SF5">
        <v>2025</v>
      </c>
      <c r="SG5" t="s">
        <v>3480</v>
      </c>
      <c r="SH5" s="6">
        <v>46070</v>
      </c>
      <c r="SI5">
        <v>5</v>
      </c>
      <c r="SJ5">
        <v>2349516544</v>
      </c>
      <c r="SK5">
        <v>216952</v>
      </c>
      <c r="SL5" t="s">
        <v>1886</v>
      </c>
      <c r="SQ5" t="str">
        <f>_xll.BDS("IBM US Equity","SUPPLY_CHAIN_SUPPLIERS_ALL_DATA","cols=12;rows=5")</f>
        <v>005930 KS Equity</v>
      </c>
      <c r="SR5" t="s">
        <v>1786</v>
      </c>
      <c r="SS5">
        <v>0.49490499999999998</v>
      </c>
      <c r="ST5">
        <v>4.1423690000000004</v>
      </c>
      <c r="SU5" t="s">
        <v>1809</v>
      </c>
      <c r="SV5">
        <v>2025</v>
      </c>
      <c r="SW5" t="s">
        <v>2035</v>
      </c>
      <c r="SX5" s="6">
        <v>45797</v>
      </c>
      <c r="SY5">
        <v>5</v>
      </c>
      <c r="SZ5">
        <v>269668224</v>
      </c>
      <c r="TA5">
        <v>117929</v>
      </c>
      <c r="TB5" t="s">
        <v>1791</v>
      </c>
      <c r="TE5" t="str">
        <f>_xll.BDS("IBM US Equity","SUPPLY_CHAIN_CUSTOMERS_ALL_DATA","cols=12;rows=5")</f>
        <v>AMZN US Equity</v>
      </c>
      <c r="TF5">
        <v>4.454224</v>
      </c>
      <c r="TG5" t="s">
        <v>1786</v>
      </c>
      <c r="TH5">
        <v>0.84141600000000005</v>
      </c>
      <c r="TI5" t="s">
        <v>1809</v>
      </c>
      <c r="TJ5">
        <v>2025</v>
      </c>
      <c r="TK5" t="s">
        <v>2035</v>
      </c>
      <c r="TL5" s="6">
        <v>45797</v>
      </c>
      <c r="TM5">
        <v>5</v>
      </c>
      <c r="TN5">
        <v>647688704</v>
      </c>
      <c r="TO5">
        <v>216952</v>
      </c>
      <c r="TP5" t="s">
        <v>1886</v>
      </c>
      <c r="TU5" t="str">
        <f>_xll.BDS("COLL US Equity","SUPPLY_CHAIN_SUPPLIERS_ALL_DATA","cols=12;rows=5")</f>
        <v>0634620D US Equity</v>
      </c>
      <c r="TW5">
        <v>-2.4245362661989844E-14</v>
      </c>
      <c r="TX5">
        <v>-2.4245362661989844E-14</v>
      </c>
      <c r="TY5" t="s">
        <v>1745</v>
      </c>
      <c r="TZ5">
        <v>2024</v>
      </c>
      <c r="UA5" t="s">
        <v>2475</v>
      </c>
      <c r="UB5" s="6">
        <v>45715</v>
      </c>
      <c r="UC5">
        <v>5</v>
      </c>
      <c r="UD5">
        <v>-2.4245362661989844E-14</v>
      </c>
      <c r="UE5">
        <v>17719673</v>
      </c>
      <c r="UF5" t="s">
        <v>2631</v>
      </c>
      <c r="UI5" t="str">
        <f>_xll.BDS("COLL US Equity","SUPPLY_CHAIN_CUSTOMERS_ALL_DATA","cols=12;rows=2")</f>
        <v>046120 KS Equity</v>
      </c>
      <c r="UJ5">
        <v>-2.4245362661989844E-14</v>
      </c>
      <c r="UL5">
        <v>-2.4245362661989844E-14</v>
      </c>
      <c r="UM5" t="s">
        <v>1798</v>
      </c>
      <c r="UN5">
        <v>2025</v>
      </c>
      <c r="UO5" t="s">
        <v>2472</v>
      </c>
      <c r="UP5" s="6">
        <v>45975</v>
      </c>
      <c r="UQ5">
        <v>2</v>
      </c>
      <c r="UR5">
        <v>-2.4245362661989844E-14</v>
      </c>
      <c r="US5">
        <v>15537591</v>
      </c>
      <c r="UT5" t="s">
        <v>2473</v>
      </c>
      <c r="UY5" t="str">
        <f>_xll.BDS("ARCH US Equity","SUPPLY_CHAIN_SUPPLIERS_ALL_DATA","cols=12;rows=5")</f>
        <v>AEE US Equity</v>
      </c>
      <c r="VA5">
        <v>-2.4245362661989844E-14</v>
      </c>
      <c r="VB5">
        <v>-2.4245362661989844E-14</v>
      </c>
      <c r="VC5" t="s">
        <v>1745</v>
      </c>
      <c r="VD5">
        <v>2021</v>
      </c>
      <c r="VE5" t="s">
        <v>2281</v>
      </c>
      <c r="VF5" s="6">
        <v>44693</v>
      </c>
      <c r="VG5">
        <v>5</v>
      </c>
      <c r="VH5">
        <v>-2.4245362661989844E-14</v>
      </c>
      <c r="VI5">
        <v>313098</v>
      </c>
      <c r="VJ5" t="s">
        <v>2282</v>
      </c>
      <c r="VM5" t="str">
        <f>_xll.BDS("ARCH US Equity","SUPPLY_CHAIN_CUSTOMERS_ALL_DATA","cols=12;rows=5")</f>
        <v>004020 KS Equity</v>
      </c>
      <c r="VN5">
        <v>-2.4245362661989844E-14</v>
      </c>
      <c r="VP5">
        <v>-2.4245362661989844E-14</v>
      </c>
      <c r="VQ5" t="s">
        <v>1745</v>
      </c>
      <c r="VR5">
        <v>2022</v>
      </c>
      <c r="VS5" t="s">
        <v>1823</v>
      </c>
      <c r="VT5" s="6">
        <v>44973</v>
      </c>
      <c r="VU5">
        <v>5</v>
      </c>
      <c r="VV5">
        <v>-2.4245362661989844E-14</v>
      </c>
      <c r="VW5">
        <v>117635</v>
      </c>
      <c r="VX5" t="s">
        <v>1824</v>
      </c>
    </row>
    <row r="6" spans="1:600" x14ac:dyDescent="0.25">
      <c r="DQ6" t="s">
        <v>2694</v>
      </c>
      <c r="DS6">
        <v>-2.4245362661989844E-14</v>
      </c>
      <c r="DT6">
        <v>-2.4245362661989844E-14</v>
      </c>
      <c r="DU6" t="s">
        <v>1745</v>
      </c>
      <c r="DV6">
        <v>2021</v>
      </c>
      <c r="DW6" t="s">
        <v>2695</v>
      </c>
      <c r="DX6" s="6">
        <v>44693</v>
      </c>
      <c r="DY6">
        <v>2</v>
      </c>
      <c r="DZ6">
        <v>-2.4245362661989844E-14</v>
      </c>
      <c r="EA6">
        <v>101315</v>
      </c>
      <c r="EB6" t="s">
        <v>2696</v>
      </c>
      <c r="EU6" t="s">
        <v>4516</v>
      </c>
      <c r="EV6" t="s">
        <v>1786</v>
      </c>
      <c r="EW6">
        <v>0.38619700000000001</v>
      </c>
      <c r="EX6">
        <v>0.47442000000000001</v>
      </c>
      <c r="EY6" t="s">
        <v>1762</v>
      </c>
      <c r="EZ6">
        <v>2025</v>
      </c>
      <c r="FA6" t="s">
        <v>4517</v>
      </c>
      <c r="FB6" s="6">
        <v>45952</v>
      </c>
      <c r="FC6">
        <v>5</v>
      </c>
      <c r="FD6">
        <v>7236754.0099999998</v>
      </c>
      <c r="FE6">
        <v>27639867</v>
      </c>
      <c r="FF6" t="s">
        <v>4518</v>
      </c>
      <c r="FI6" t="s">
        <v>1992</v>
      </c>
      <c r="FJ6">
        <v>-2.4245362661989844E-14</v>
      </c>
      <c r="FL6">
        <v>-2.4245362661989844E-14</v>
      </c>
      <c r="FM6" t="s">
        <v>1993</v>
      </c>
      <c r="FN6">
        <v>2024</v>
      </c>
      <c r="FO6" t="s">
        <v>1994</v>
      </c>
      <c r="FP6" s="6">
        <v>45518</v>
      </c>
      <c r="FQ6">
        <v>5</v>
      </c>
      <c r="FR6">
        <v>-2.4245362661989844E-14</v>
      </c>
      <c r="FS6">
        <v>130119</v>
      </c>
      <c r="FT6" t="s">
        <v>1995</v>
      </c>
      <c r="HC6" t="s">
        <v>2313</v>
      </c>
      <c r="HD6" t="s">
        <v>1820</v>
      </c>
      <c r="HE6">
        <v>3.5808580000000001</v>
      </c>
      <c r="HF6">
        <v>3.236755</v>
      </c>
      <c r="HG6" t="s">
        <v>1762</v>
      </c>
      <c r="HH6">
        <v>2025</v>
      </c>
      <c r="HI6" t="s">
        <v>2314</v>
      </c>
      <c r="HJ6" s="6">
        <v>45947</v>
      </c>
      <c r="HK6">
        <v>5</v>
      </c>
      <c r="HL6">
        <v>275188928</v>
      </c>
      <c r="HM6">
        <v>100010</v>
      </c>
      <c r="HN6" t="s">
        <v>2315</v>
      </c>
      <c r="HQ6" t="s">
        <v>1885</v>
      </c>
      <c r="HR6">
        <v>1.3419890000000001</v>
      </c>
      <c r="HS6" t="s">
        <v>1786</v>
      </c>
      <c r="HT6">
        <v>0.27725100000000003</v>
      </c>
      <c r="HU6" t="s">
        <v>1845</v>
      </c>
      <c r="HV6">
        <v>2025</v>
      </c>
      <c r="HW6" t="s">
        <v>1883</v>
      </c>
      <c r="HX6" s="6">
        <v>45848</v>
      </c>
      <c r="HY6">
        <v>5</v>
      </c>
      <c r="HZ6">
        <v>213416512</v>
      </c>
      <c r="IA6">
        <v>216952</v>
      </c>
      <c r="IB6" t="s">
        <v>1886</v>
      </c>
      <c r="IG6" t="s">
        <v>2369</v>
      </c>
      <c r="IH6" t="s">
        <v>1786</v>
      </c>
      <c r="II6">
        <v>2.3008839999999999</v>
      </c>
      <c r="IJ6">
        <v>1.9882420000000001</v>
      </c>
      <c r="IK6" t="s">
        <v>1845</v>
      </c>
      <c r="IL6">
        <v>2024</v>
      </c>
      <c r="IM6" t="s">
        <v>2370</v>
      </c>
      <c r="IN6" s="6">
        <v>45694</v>
      </c>
      <c r="IO6">
        <v>5</v>
      </c>
      <c r="IP6">
        <v>58573604</v>
      </c>
      <c r="IQ6">
        <v>349266</v>
      </c>
      <c r="IR6" t="s">
        <v>2371</v>
      </c>
      <c r="IU6" t="s">
        <v>3548</v>
      </c>
      <c r="IV6">
        <v>-2.4245362661989844E-14</v>
      </c>
      <c r="IX6">
        <v>-2.4245362661989844E-14</v>
      </c>
      <c r="IY6" t="s">
        <v>1745</v>
      </c>
      <c r="IZ6">
        <v>2021</v>
      </c>
      <c r="JA6" t="s">
        <v>3549</v>
      </c>
      <c r="JB6" s="6">
        <v>44676</v>
      </c>
      <c r="JC6">
        <v>5</v>
      </c>
      <c r="JD6">
        <v>-2.4245362661989844E-14</v>
      </c>
      <c r="JE6">
        <v>24598477</v>
      </c>
      <c r="JF6" t="s">
        <v>3550</v>
      </c>
      <c r="JK6" t="s">
        <v>3205</v>
      </c>
      <c r="JL6" t="s">
        <v>1786</v>
      </c>
      <c r="JM6">
        <v>0.23335</v>
      </c>
      <c r="JN6">
        <v>0.39701999999999998</v>
      </c>
      <c r="JO6" t="s">
        <v>1762</v>
      </c>
      <c r="JP6">
        <v>2025</v>
      </c>
      <c r="JQ6" t="s">
        <v>3206</v>
      </c>
      <c r="JR6" s="6">
        <v>45778</v>
      </c>
      <c r="JS6">
        <v>5</v>
      </c>
      <c r="JT6">
        <v>6840655</v>
      </c>
      <c r="JU6">
        <v>100019</v>
      </c>
      <c r="JV6" t="s">
        <v>3207</v>
      </c>
      <c r="JY6" t="s">
        <v>3103</v>
      </c>
      <c r="JZ6">
        <v>2.0834760000000001</v>
      </c>
      <c r="KA6" t="s">
        <v>1786</v>
      </c>
      <c r="KB6">
        <v>0.33438400000000001</v>
      </c>
      <c r="KC6" t="s">
        <v>1742</v>
      </c>
      <c r="KD6">
        <v>2025</v>
      </c>
      <c r="KE6" t="s">
        <v>3102</v>
      </c>
      <c r="KF6" s="6">
        <v>46018</v>
      </c>
      <c r="KG6">
        <v>5</v>
      </c>
      <c r="KH6">
        <v>45878144</v>
      </c>
      <c r="KI6">
        <v>112571</v>
      </c>
      <c r="KJ6" t="s">
        <v>3104</v>
      </c>
      <c r="LS6" t="s">
        <v>2305</v>
      </c>
      <c r="LU6">
        <v>-2.4245362661989844E-14</v>
      </c>
      <c r="LV6">
        <v>-2.4245362661989844E-14</v>
      </c>
      <c r="LW6" t="s">
        <v>1745</v>
      </c>
      <c r="LX6">
        <v>2022</v>
      </c>
      <c r="LY6" t="s">
        <v>2303</v>
      </c>
      <c r="LZ6" s="6">
        <v>44981</v>
      </c>
      <c r="MA6">
        <v>5</v>
      </c>
      <c r="MB6">
        <v>-2.4245362661989844E-14</v>
      </c>
      <c r="MC6">
        <v>233682</v>
      </c>
      <c r="MD6" t="s">
        <v>2306</v>
      </c>
      <c r="MG6" t="s">
        <v>1781</v>
      </c>
      <c r="MH6">
        <v>14</v>
      </c>
      <c r="MI6" t="s">
        <v>1769</v>
      </c>
      <c r="MJ6">
        <v>24.574180999999999</v>
      </c>
      <c r="MK6" t="s">
        <v>1745</v>
      </c>
      <c r="ML6">
        <v>2024</v>
      </c>
      <c r="MM6" t="s">
        <v>1779</v>
      </c>
      <c r="MN6" s="6">
        <v>45715</v>
      </c>
      <c r="MO6">
        <v>5</v>
      </c>
      <c r="MP6">
        <v>127540000</v>
      </c>
      <c r="MQ6">
        <v>57673944</v>
      </c>
      <c r="MR6" t="s">
        <v>1782</v>
      </c>
      <c r="PE6" t="s">
        <v>2383</v>
      </c>
      <c r="PF6" t="s">
        <v>1820</v>
      </c>
      <c r="PG6">
        <v>5.2401160000000004</v>
      </c>
      <c r="PH6">
        <v>17.831610000000001</v>
      </c>
      <c r="PI6" t="s">
        <v>1762</v>
      </c>
      <c r="PJ6">
        <v>2025</v>
      </c>
      <c r="PK6" t="s">
        <v>2384</v>
      </c>
      <c r="PL6" s="6">
        <v>45889</v>
      </c>
      <c r="PM6">
        <v>5</v>
      </c>
      <c r="PN6">
        <v>3047941433.54</v>
      </c>
      <c r="PO6">
        <v>119133</v>
      </c>
      <c r="PP6" t="s">
        <v>2385</v>
      </c>
      <c r="PS6" t="s">
        <v>1409</v>
      </c>
      <c r="PT6">
        <v>0.67946300000000004</v>
      </c>
      <c r="PU6" t="s">
        <v>1786</v>
      </c>
      <c r="PV6">
        <v>32</v>
      </c>
      <c r="PW6" t="s">
        <v>1745</v>
      </c>
      <c r="PX6">
        <v>2025</v>
      </c>
      <c r="PY6" t="s">
        <v>2524</v>
      </c>
      <c r="PZ6" s="6">
        <v>46065</v>
      </c>
      <c r="QA6">
        <v>5</v>
      </c>
      <c r="QB6">
        <v>518860224</v>
      </c>
      <c r="QC6">
        <v>156637</v>
      </c>
      <c r="QD6" t="s">
        <v>2209</v>
      </c>
      <c r="QW6" t="s">
        <v>3984</v>
      </c>
      <c r="QX6">
        <v>-2.4245362661989844E-14</v>
      </c>
      <c r="QZ6">
        <v>-2.4245362661989844E-14</v>
      </c>
      <c r="RA6" t="s">
        <v>1745</v>
      </c>
      <c r="RB6">
        <v>2023</v>
      </c>
      <c r="RC6" t="s">
        <v>3985</v>
      </c>
      <c r="RD6" s="6">
        <v>44991</v>
      </c>
      <c r="RE6">
        <v>2</v>
      </c>
      <c r="RF6">
        <v>-2.4245362661989844E-14</v>
      </c>
      <c r="RG6">
        <v>57471390</v>
      </c>
      <c r="RH6" t="s">
        <v>3986</v>
      </c>
      <c r="RM6" t="s">
        <v>34</v>
      </c>
      <c r="RN6" t="s">
        <v>1786</v>
      </c>
      <c r="RO6">
        <v>0.28497400000000001</v>
      </c>
      <c r="RP6">
        <v>0.26258399999999998</v>
      </c>
      <c r="RQ6" t="s">
        <v>1845</v>
      </c>
      <c r="RR6">
        <v>2025</v>
      </c>
      <c r="RS6" t="s">
        <v>1883</v>
      </c>
      <c r="RT6" s="6">
        <v>45848</v>
      </c>
      <c r="RU6">
        <v>5</v>
      </c>
      <c r="RV6">
        <v>45319416</v>
      </c>
      <c r="RW6">
        <v>101752</v>
      </c>
      <c r="RX6" t="s">
        <v>2723</v>
      </c>
      <c r="SA6" t="s">
        <v>3481</v>
      </c>
      <c r="SB6">
        <v>2.13375</v>
      </c>
      <c r="SC6" t="s">
        <v>1786</v>
      </c>
      <c r="SD6">
        <v>6.7306309999999998</v>
      </c>
      <c r="SE6" t="s">
        <v>1742</v>
      </c>
      <c r="SF6">
        <v>2025</v>
      </c>
      <c r="SG6" t="s">
        <v>1821</v>
      </c>
      <c r="SH6" s="6">
        <v>46007</v>
      </c>
      <c r="SI6">
        <v>5</v>
      </c>
      <c r="SJ6">
        <v>456942560</v>
      </c>
      <c r="SK6">
        <v>194534</v>
      </c>
      <c r="SL6" t="s">
        <v>3482</v>
      </c>
      <c r="SQ6" t="s">
        <v>1287</v>
      </c>
      <c r="SR6" t="s">
        <v>1786</v>
      </c>
      <c r="SS6">
        <v>0.86485599999999996</v>
      </c>
      <c r="ST6">
        <v>4.0630959999999998</v>
      </c>
      <c r="SU6" t="s">
        <v>1809</v>
      </c>
      <c r="SV6">
        <v>2025</v>
      </c>
      <c r="SW6" t="s">
        <v>2035</v>
      </c>
      <c r="SX6" s="6">
        <v>45797</v>
      </c>
      <c r="SY6">
        <v>5</v>
      </c>
      <c r="SZ6">
        <v>264507552</v>
      </c>
      <c r="TA6">
        <v>101376</v>
      </c>
      <c r="TB6" t="s">
        <v>1895</v>
      </c>
      <c r="TE6" t="s">
        <v>424</v>
      </c>
      <c r="TF6">
        <v>3.8131789999999999</v>
      </c>
      <c r="TG6" t="s">
        <v>1786</v>
      </c>
      <c r="TH6">
        <v>2.529652</v>
      </c>
      <c r="TI6" t="s">
        <v>1809</v>
      </c>
      <c r="TJ6">
        <v>2025</v>
      </c>
      <c r="TK6" t="s">
        <v>2035</v>
      </c>
      <c r="TL6" s="6">
        <v>45797</v>
      </c>
      <c r="TM6">
        <v>5</v>
      </c>
      <c r="TN6">
        <v>554474368</v>
      </c>
      <c r="TO6">
        <v>101743</v>
      </c>
      <c r="TP6" t="s">
        <v>1891</v>
      </c>
      <c r="TU6" t="s">
        <v>2632</v>
      </c>
      <c r="TW6">
        <v>-2.4245362661989844E-14</v>
      </c>
      <c r="TX6">
        <v>-2.4245362661989844E-14</v>
      </c>
      <c r="TY6" t="s">
        <v>1745</v>
      </c>
      <c r="TZ6">
        <v>2024</v>
      </c>
      <c r="UA6" t="s">
        <v>2475</v>
      </c>
      <c r="UB6" s="6">
        <v>45715</v>
      </c>
      <c r="UC6">
        <v>5</v>
      </c>
      <c r="UD6">
        <v>-2.4245362661989844E-14</v>
      </c>
      <c r="UE6">
        <v>69853575</v>
      </c>
      <c r="UF6" t="s">
        <v>2633</v>
      </c>
      <c r="UI6" t="s">
        <v>2474</v>
      </c>
      <c r="UJ6">
        <v>-2.4245362661989844E-14</v>
      </c>
      <c r="UL6">
        <v>-2.4245362661989844E-14</v>
      </c>
      <c r="UM6" t="s">
        <v>1745</v>
      </c>
      <c r="UN6">
        <v>2024</v>
      </c>
      <c r="UO6" t="s">
        <v>2475</v>
      </c>
      <c r="UP6" s="6">
        <v>45715</v>
      </c>
      <c r="UQ6">
        <v>2</v>
      </c>
      <c r="UR6">
        <v>-2.4245362661989844E-14</v>
      </c>
      <c r="US6">
        <v>10083580</v>
      </c>
      <c r="UT6" t="s">
        <v>2476</v>
      </c>
      <c r="UY6" t="s">
        <v>2283</v>
      </c>
      <c r="VA6">
        <v>-2.4245362661989844E-14</v>
      </c>
      <c r="VB6">
        <v>-2.4245362661989844E-14</v>
      </c>
      <c r="VC6" t="s">
        <v>1745</v>
      </c>
      <c r="VD6">
        <v>2021</v>
      </c>
      <c r="VE6" t="s">
        <v>2284</v>
      </c>
      <c r="VF6" s="6">
        <v>44693</v>
      </c>
      <c r="VG6">
        <v>5</v>
      </c>
      <c r="VH6">
        <v>-2.4245362661989844E-14</v>
      </c>
      <c r="VI6">
        <v>100060</v>
      </c>
      <c r="VJ6" t="s">
        <v>2285</v>
      </c>
      <c r="VM6" t="s">
        <v>1825</v>
      </c>
      <c r="VN6">
        <v>-2.4245362661989844E-14</v>
      </c>
      <c r="VP6">
        <v>-2.4245362661989844E-14</v>
      </c>
      <c r="VQ6" t="s">
        <v>1745</v>
      </c>
      <c r="VR6">
        <v>2022</v>
      </c>
      <c r="VS6" t="s">
        <v>1823</v>
      </c>
      <c r="VT6" s="6">
        <v>44973</v>
      </c>
      <c r="VU6">
        <v>5</v>
      </c>
      <c r="VV6">
        <v>-2.4245362661989844E-14</v>
      </c>
      <c r="VW6">
        <v>39543440</v>
      </c>
      <c r="VX6" t="s">
        <v>1826</v>
      </c>
    </row>
    <row r="7" spans="1:600" x14ac:dyDescent="0.25">
      <c r="EU7" t="s">
        <v>4519</v>
      </c>
      <c r="EV7" t="s">
        <v>1820</v>
      </c>
      <c r="EW7">
        <v>0.254056</v>
      </c>
      <c r="EX7">
        <v>0.26785799999999998</v>
      </c>
      <c r="EY7" t="s">
        <v>1845</v>
      </c>
      <c r="EZ7">
        <v>2024</v>
      </c>
      <c r="FA7" t="s">
        <v>4520</v>
      </c>
      <c r="FB7" s="6">
        <v>45770</v>
      </c>
      <c r="FC7">
        <v>5</v>
      </c>
      <c r="FD7">
        <v>4756853.6399999997</v>
      </c>
      <c r="FE7">
        <v>186659</v>
      </c>
      <c r="FF7" t="s">
        <v>4521</v>
      </c>
      <c r="FI7" t="s">
        <v>1996</v>
      </c>
      <c r="FJ7">
        <v>-2.4245362661989844E-14</v>
      </c>
      <c r="FL7">
        <v>-2.4245362661989844E-14</v>
      </c>
      <c r="FM7" t="s">
        <v>1993</v>
      </c>
      <c r="FN7">
        <v>2024</v>
      </c>
      <c r="FO7" t="s">
        <v>1997</v>
      </c>
      <c r="FP7" s="6">
        <v>45518</v>
      </c>
      <c r="FQ7">
        <v>5</v>
      </c>
      <c r="FR7">
        <v>-2.4245362661989844E-14</v>
      </c>
      <c r="FS7">
        <v>227699</v>
      </c>
      <c r="FT7" t="s">
        <v>1998</v>
      </c>
      <c r="HC7" t="s">
        <v>2076</v>
      </c>
      <c r="HD7" t="s">
        <v>1820</v>
      </c>
      <c r="HE7">
        <v>0.91127400000000003</v>
      </c>
      <c r="HF7">
        <v>1.364298</v>
      </c>
      <c r="HG7" t="s">
        <v>1845</v>
      </c>
      <c r="HH7">
        <v>2025</v>
      </c>
      <c r="HI7" t="s">
        <v>2316</v>
      </c>
      <c r="HJ7" s="6">
        <v>46010</v>
      </c>
      <c r="HK7">
        <v>5</v>
      </c>
      <c r="HL7">
        <v>164166016</v>
      </c>
      <c r="HM7">
        <v>59907412</v>
      </c>
      <c r="HN7" t="s">
        <v>2077</v>
      </c>
      <c r="HQ7" t="s">
        <v>357</v>
      </c>
      <c r="HR7">
        <v>1.0301469999999999</v>
      </c>
      <c r="HS7" t="s">
        <v>1786</v>
      </c>
      <c r="HT7">
        <v>1.0221020000000001</v>
      </c>
      <c r="HU7" t="s">
        <v>1845</v>
      </c>
      <c r="HV7">
        <v>2025</v>
      </c>
      <c r="HW7" t="s">
        <v>1887</v>
      </c>
      <c r="HX7" s="6">
        <v>46056</v>
      </c>
      <c r="HY7">
        <v>5</v>
      </c>
      <c r="HZ7">
        <v>165420976</v>
      </c>
      <c r="IA7">
        <v>1499717</v>
      </c>
      <c r="IB7" t="s">
        <v>1864</v>
      </c>
      <c r="IG7" t="s">
        <v>2795</v>
      </c>
      <c r="IH7" t="s">
        <v>1786</v>
      </c>
      <c r="II7">
        <v>0.23526900000000001</v>
      </c>
      <c r="IJ7">
        <v>0.58521900000000004</v>
      </c>
      <c r="IK7" t="s">
        <v>1742</v>
      </c>
      <c r="IL7">
        <v>2025</v>
      </c>
      <c r="IM7" t="s">
        <v>2796</v>
      </c>
      <c r="IN7" s="6">
        <v>45867</v>
      </c>
      <c r="IO7">
        <v>5</v>
      </c>
      <c r="IP7">
        <v>18416856</v>
      </c>
      <c r="IQ7">
        <v>117092</v>
      </c>
      <c r="IR7" t="s">
        <v>2797</v>
      </c>
      <c r="IU7" t="s">
        <v>3551</v>
      </c>
      <c r="IV7">
        <v>-2.4245362661989844E-14</v>
      </c>
      <c r="IX7">
        <v>-2.4245362661989844E-14</v>
      </c>
      <c r="IY7" t="s">
        <v>1745</v>
      </c>
      <c r="IZ7">
        <v>2023</v>
      </c>
      <c r="JA7" t="s">
        <v>3552</v>
      </c>
      <c r="JB7" s="6">
        <v>45135</v>
      </c>
      <c r="JC7">
        <v>5</v>
      </c>
      <c r="JD7">
        <v>-2.4245362661989844E-14</v>
      </c>
      <c r="JE7">
        <v>103017</v>
      </c>
      <c r="JF7" t="s">
        <v>3553</v>
      </c>
      <c r="JK7" t="s">
        <v>3208</v>
      </c>
      <c r="JL7" t="s">
        <v>1786</v>
      </c>
      <c r="JM7">
        <v>2.1453500000000001</v>
      </c>
      <c r="JN7">
        <v>0.15345800000000001</v>
      </c>
      <c r="JO7" t="s">
        <v>1805</v>
      </c>
      <c r="JP7">
        <v>2025</v>
      </c>
      <c r="JQ7" t="s">
        <v>3209</v>
      </c>
      <c r="JR7" s="6">
        <v>46002</v>
      </c>
      <c r="JS7">
        <v>5</v>
      </c>
      <c r="JT7">
        <v>2657961.7200000002</v>
      </c>
      <c r="JU7">
        <v>23632129</v>
      </c>
      <c r="JV7" t="s">
        <v>3210</v>
      </c>
      <c r="JY7" t="s">
        <v>1878</v>
      </c>
      <c r="JZ7">
        <v>1.9821549999999999</v>
      </c>
      <c r="KA7" t="s">
        <v>1786</v>
      </c>
      <c r="KB7">
        <v>0.25070100000000001</v>
      </c>
      <c r="KC7" t="s">
        <v>1742</v>
      </c>
      <c r="KD7">
        <v>2025</v>
      </c>
      <c r="KE7" t="s">
        <v>3102</v>
      </c>
      <c r="KF7" s="6">
        <v>46018</v>
      </c>
      <c r="KG7">
        <v>5</v>
      </c>
      <c r="KH7">
        <v>43647052</v>
      </c>
      <c r="KI7">
        <v>876285</v>
      </c>
      <c r="KJ7" t="s">
        <v>1879</v>
      </c>
      <c r="LS7" t="s">
        <v>2307</v>
      </c>
      <c r="LU7">
        <v>-2.4245362661989844E-14</v>
      </c>
      <c r="LV7">
        <v>-2.4245362661989844E-14</v>
      </c>
      <c r="LW7" t="s">
        <v>1745</v>
      </c>
      <c r="LX7">
        <v>2025</v>
      </c>
      <c r="LY7" t="s">
        <v>2308</v>
      </c>
      <c r="LZ7" s="6">
        <v>45762</v>
      </c>
      <c r="MA7">
        <v>5</v>
      </c>
      <c r="MB7">
        <v>-2.4245362661989844E-14</v>
      </c>
      <c r="MC7">
        <v>71530422</v>
      </c>
      <c r="MD7" t="s">
        <v>2309</v>
      </c>
      <c r="MG7" t="s">
        <v>1783</v>
      </c>
      <c r="MH7">
        <v>11</v>
      </c>
      <c r="MI7" t="s">
        <v>1769</v>
      </c>
      <c r="MJ7">
        <v>2.5200550000000002</v>
      </c>
      <c r="MK7" t="s">
        <v>1745</v>
      </c>
      <c r="ML7">
        <v>2024</v>
      </c>
      <c r="MM7" t="s">
        <v>1779</v>
      </c>
      <c r="MN7" s="6">
        <v>45715</v>
      </c>
      <c r="MO7">
        <v>5</v>
      </c>
      <c r="MP7">
        <v>100210000</v>
      </c>
      <c r="MQ7">
        <v>60854400</v>
      </c>
      <c r="MR7" t="s">
        <v>1784</v>
      </c>
      <c r="PE7" t="s">
        <v>2944</v>
      </c>
      <c r="PF7" t="s">
        <v>1820</v>
      </c>
      <c r="PG7">
        <v>8.8760320000000004</v>
      </c>
      <c r="PH7">
        <v>5.0127040000000003</v>
      </c>
      <c r="PI7" t="s">
        <v>1742</v>
      </c>
      <c r="PJ7">
        <v>2025</v>
      </c>
      <c r="PK7" t="s">
        <v>2945</v>
      </c>
      <c r="PL7" s="6">
        <v>46080</v>
      </c>
      <c r="PM7">
        <v>5</v>
      </c>
      <c r="PN7">
        <v>1565479588.27</v>
      </c>
      <c r="PO7">
        <v>193974</v>
      </c>
      <c r="PP7" t="s">
        <v>2946</v>
      </c>
      <c r="PS7" t="s">
        <v>2525</v>
      </c>
      <c r="PT7">
        <v>0.257766</v>
      </c>
      <c r="PU7" t="s">
        <v>1786</v>
      </c>
      <c r="PV7">
        <v>3.7523520000000001</v>
      </c>
      <c r="PW7" t="s">
        <v>1762</v>
      </c>
      <c r="PX7">
        <v>2025</v>
      </c>
      <c r="PY7" t="s">
        <v>2526</v>
      </c>
      <c r="PZ7" s="6">
        <v>45910</v>
      </c>
      <c r="QA7">
        <v>5</v>
      </c>
      <c r="QB7">
        <v>197200308.5</v>
      </c>
      <c r="QC7">
        <v>193775</v>
      </c>
      <c r="QD7" t="s">
        <v>2527</v>
      </c>
      <c r="RM7" t="s">
        <v>3871</v>
      </c>
      <c r="RN7" t="s">
        <v>1769</v>
      </c>
      <c r="RO7">
        <v>1.242119</v>
      </c>
      <c r="RP7">
        <v>1.6577379999999999</v>
      </c>
      <c r="RQ7" t="s">
        <v>1845</v>
      </c>
      <c r="RR7">
        <v>2025</v>
      </c>
      <c r="RS7" t="s">
        <v>3872</v>
      </c>
      <c r="RT7" s="6">
        <v>45796</v>
      </c>
      <c r="RU7">
        <v>5</v>
      </c>
      <c r="RV7">
        <v>43459294.869999997</v>
      </c>
      <c r="RW7">
        <v>995671</v>
      </c>
      <c r="RX7" t="s">
        <v>3873</v>
      </c>
      <c r="SA7" t="s">
        <v>115</v>
      </c>
      <c r="SB7">
        <v>1.049579</v>
      </c>
      <c r="SC7" t="s">
        <v>1786</v>
      </c>
      <c r="SD7">
        <v>0.30361300000000002</v>
      </c>
      <c r="SE7" t="s">
        <v>1742</v>
      </c>
      <c r="SF7">
        <v>2025</v>
      </c>
      <c r="SG7" t="s">
        <v>1821</v>
      </c>
      <c r="SH7" s="6">
        <v>46007</v>
      </c>
      <c r="SI7">
        <v>5</v>
      </c>
      <c r="SJ7">
        <v>224767344</v>
      </c>
      <c r="SK7">
        <v>154936</v>
      </c>
      <c r="SL7" t="s">
        <v>2146</v>
      </c>
      <c r="SQ7" t="s">
        <v>1885</v>
      </c>
      <c r="SR7" t="s">
        <v>1786</v>
      </c>
      <c r="SS7">
        <v>0.167933</v>
      </c>
      <c r="ST7">
        <v>4.0156150000000004</v>
      </c>
      <c r="SU7" t="s">
        <v>1809</v>
      </c>
      <c r="SV7">
        <v>2025</v>
      </c>
      <c r="SW7" t="s">
        <v>2035</v>
      </c>
      <c r="SX7" s="6">
        <v>45797</v>
      </c>
      <c r="SY7">
        <v>5</v>
      </c>
      <c r="SZ7">
        <v>261416544</v>
      </c>
      <c r="TA7">
        <v>216952</v>
      </c>
      <c r="TB7" t="s">
        <v>1886</v>
      </c>
      <c r="TE7" t="s">
        <v>1789</v>
      </c>
      <c r="TF7">
        <v>3.1054590000000002</v>
      </c>
      <c r="TG7" t="s">
        <v>1786</v>
      </c>
      <c r="TH7">
        <v>1.2857479999999999</v>
      </c>
      <c r="TI7" t="s">
        <v>1809</v>
      </c>
      <c r="TJ7">
        <v>2025</v>
      </c>
      <c r="TK7" t="s">
        <v>2035</v>
      </c>
      <c r="TL7" s="6">
        <v>45797</v>
      </c>
      <c r="TM7">
        <v>5</v>
      </c>
      <c r="TN7">
        <v>451564800</v>
      </c>
      <c r="TO7">
        <v>117929</v>
      </c>
      <c r="TP7" t="s">
        <v>1791</v>
      </c>
      <c r="TU7" t="s">
        <v>2634</v>
      </c>
      <c r="TW7">
        <v>-2.4245362661989844E-14</v>
      </c>
      <c r="TX7">
        <v>-2.4245362661989844E-14</v>
      </c>
      <c r="TY7" t="s">
        <v>1745</v>
      </c>
      <c r="TZ7">
        <v>2024</v>
      </c>
      <c r="UA7" t="s">
        <v>2475</v>
      </c>
      <c r="UB7" s="6">
        <v>45715</v>
      </c>
      <c r="UC7">
        <v>5</v>
      </c>
      <c r="UD7">
        <v>-2.4245362661989844E-14</v>
      </c>
      <c r="UE7">
        <v>70496157</v>
      </c>
      <c r="UF7" t="s">
        <v>2635</v>
      </c>
      <c r="UY7" t="s">
        <v>86</v>
      </c>
      <c r="VA7">
        <v>-2.4245362661989844E-14</v>
      </c>
      <c r="VB7">
        <v>-2.4245362661989844E-14</v>
      </c>
      <c r="VC7" t="s">
        <v>1745</v>
      </c>
      <c r="VD7">
        <v>2023</v>
      </c>
      <c r="VE7" t="s">
        <v>1828</v>
      </c>
      <c r="VF7" s="6">
        <v>45337</v>
      </c>
      <c r="VG7">
        <v>5</v>
      </c>
      <c r="VH7">
        <v>-2.4245362661989844E-14</v>
      </c>
      <c r="VI7">
        <v>100193</v>
      </c>
      <c r="VJ7" t="s">
        <v>1849</v>
      </c>
      <c r="VM7" t="s">
        <v>1827</v>
      </c>
      <c r="VN7">
        <v>-2.4245362661989844E-14</v>
      </c>
      <c r="VP7">
        <v>-2.4245362661989844E-14</v>
      </c>
      <c r="VQ7" t="s">
        <v>1745</v>
      </c>
      <c r="VR7">
        <v>2023</v>
      </c>
      <c r="VS7" t="s">
        <v>1828</v>
      </c>
      <c r="VT7" s="6">
        <v>45337</v>
      </c>
      <c r="VU7">
        <v>5</v>
      </c>
      <c r="VV7">
        <v>-2.4245362661989844E-14</v>
      </c>
      <c r="VW7">
        <v>7847241</v>
      </c>
      <c r="VX7" t="s">
        <v>1829</v>
      </c>
    </row>
    <row r="8" spans="1:600" x14ac:dyDescent="0.25">
      <c r="EU8" t="s">
        <v>34</v>
      </c>
      <c r="EV8" t="s">
        <v>1786</v>
      </c>
      <c r="EW8">
        <v>2.1909000000000001E-2</v>
      </c>
      <c r="EX8">
        <v>0.25751600000000002</v>
      </c>
      <c r="EY8" t="s">
        <v>1845</v>
      </c>
      <c r="EZ8">
        <v>2025</v>
      </c>
      <c r="FA8" t="s">
        <v>1883</v>
      </c>
      <c r="FB8" s="6">
        <v>45848</v>
      </c>
      <c r="FC8">
        <v>5</v>
      </c>
      <c r="FD8">
        <v>3484188</v>
      </c>
      <c r="FE8">
        <v>101752</v>
      </c>
      <c r="FF8" t="s">
        <v>2723</v>
      </c>
      <c r="FI8" t="s">
        <v>1999</v>
      </c>
      <c r="FJ8">
        <v>-2.4245362661989844E-14</v>
      </c>
      <c r="FL8">
        <v>-2.4245362661989844E-14</v>
      </c>
      <c r="FM8" t="s">
        <v>1798</v>
      </c>
      <c r="FN8">
        <v>2025</v>
      </c>
      <c r="FO8" t="s">
        <v>2000</v>
      </c>
      <c r="FP8" s="6">
        <v>45975</v>
      </c>
      <c r="FQ8">
        <v>5</v>
      </c>
      <c r="FR8">
        <v>-2.4245362661989844E-14</v>
      </c>
      <c r="FS8">
        <v>9760711</v>
      </c>
      <c r="FT8" t="s">
        <v>2001</v>
      </c>
      <c r="HC8" t="s">
        <v>2317</v>
      </c>
      <c r="HD8" t="s">
        <v>1820</v>
      </c>
      <c r="HE8">
        <v>6.234559</v>
      </c>
      <c r="HF8">
        <v>1.5138720000000001</v>
      </c>
      <c r="HG8" t="s">
        <v>1762</v>
      </c>
      <c r="HH8">
        <v>2025</v>
      </c>
      <c r="HI8" t="s">
        <v>2318</v>
      </c>
      <c r="HJ8" s="6">
        <v>45897</v>
      </c>
      <c r="HK8">
        <v>5</v>
      </c>
      <c r="HL8">
        <v>137459552</v>
      </c>
      <c r="HM8">
        <v>16532368</v>
      </c>
      <c r="HN8" t="s">
        <v>2319</v>
      </c>
      <c r="HQ8" t="s">
        <v>496</v>
      </c>
      <c r="HR8">
        <v>0.69902799999999998</v>
      </c>
      <c r="HS8" t="s">
        <v>1786</v>
      </c>
      <c r="HT8">
        <v>0.138625</v>
      </c>
      <c r="HU8" t="s">
        <v>1845</v>
      </c>
      <c r="HV8">
        <v>2025</v>
      </c>
      <c r="HW8" t="s">
        <v>1883</v>
      </c>
      <c r="HX8" s="6">
        <v>45848</v>
      </c>
      <c r="HY8">
        <v>5</v>
      </c>
      <c r="HZ8">
        <v>111166424</v>
      </c>
      <c r="IA8">
        <v>100976</v>
      </c>
      <c r="IB8" t="s">
        <v>1888</v>
      </c>
      <c r="IG8" t="s">
        <v>806</v>
      </c>
      <c r="IH8" t="s">
        <v>1786</v>
      </c>
      <c r="II8">
        <v>1.69564</v>
      </c>
      <c r="IJ8">
        <v>0.41697800000000002</v>
      </c>
      <c r="IK8" t="s">
        <v>1742</v>
      </c>
      <c r="IL8">
        <v>2025</v>
      </c>
      <c r="IM8" t="s">
        <v>2072</v>
      </c>
      <c r="IN8" s="6">
        <v>46001</v>
      </c>
      <c r="IO8">
        <v>5</v>
      </c>
      <c r="IP8">
        <v>12763693</v>
      </c>
      <c r="IQ8">
        <v>1182195</v>
      </c>
      <c r="IR8" t="s">
        <v>3476</v>
      </c>
      <c r="IU8" t="s">
        <v>3554</v>
      </c>
      <c r="IV8">
        <v>-2.4245362661989844E-14</v>
      </c>
      <c r="IX8">
        <v>-2.4245362661989844E-14</v>
      </c>
      <c r="IY8" t="s">
        <v>1745</v>
      </c>
      <c r="IZ8">
        <v>2022</v>
      </c>
      <c r="JA8" t="s">
        <v>3555</v>
      </c>
      <c r="JB8" s="6">
        <v>44887</v>
      </c>
      <c r="JC8">
        <v>5</v>
      </c>
      <c r="JD8">
        <v>-2.4245362661989844E-14</v>
      </c>
      <c r="JE8">
        <v>104917</v>
      </c>
      <c r="JF8" t="s">
        <v>3556</v>
      </c>
      <c r="JK8" t="s">
        <v>3211</v>
      </c>
      <c r="JL8" t="s">
        <v>1786</v>
      </c>
      <c r="JM8">
        <v>0.46399000000000001</v>
      </c>
      <c r="JN8">
        <v>6.2393999999999998E-2</v>
      </c>
      <c r="JO8" t="s">
        <v>1745</v>
      </c>
      <c r="JP8">
        <v>2024</v>
      </c>
      <c r="JQ8" t="s">
        <v>3212</v>
      </c>
      <c r="JR8" s="6">
        <v>45709</v>
      </c>
      <c r="JS8">
        <v>5</v>
      </c>
      <c r="JT8">
        <v>1106249.5</v>
      </c>
      <c r="JU8">
        <v>102469</v>
      </c>
      <c r="JV8" t="s">
        <v>3213</v>
      </c>
      <c r="JY8" t="s">
        <v>3017</v>
      </c>
      <c r="JZ8">
        <v>1.490785</v>
      </c>
      <c r="KA8" t="s">
        <v>1786</v>
      </c>
      <c r="KB8">
        <v>0.31898799999999999</v>
      </c>
      <c r="KC8" t="s">
        <v>1742</v>
      </c>
      <c r="KD8">
        <v>2025</v>
      </c>
      <c r="KE8" t="s">
        <v>3102</v>
      </c>
      <c r="KF8" s="6">
        <v>46018</v>
      </c>
      <c r="KG8">
        <v>5</v>
      </c>
      <c r="KH8">
        <v>32827086</v>
      </c>
      <c r="KI8">
        <v>101215</v>
      </c>
      <c r="KJ8" t="s">
        <v>3019</v>
      </c>
      <c r="LS8" t="s">
        <v>1772</v>
      </c>
      <c r="LU8">
        <v>-2.4245362661989844E-14</v>
      </c>
      <c r="LV8">
        <v>-2.4245362661989844E-14</v>
      </c>
      <c r="LW8" t="s">
        <v>1745</v>
      </c>
      <c r="LX8">
        <v>2024</v>
      </c>
      <c r="LY8" t="s">
        <v>2308</v>
      </c>
      <c r="LZ8" s="6">
        <v>45352</v>
      </c>
      <c r="MA8">
        <v>5</v>
      </c>
      <c r="MB8">
        <v>-2.4245362661989844E-14</v>
      </c>
      <c r="MC8">
        <v>69491275</v>
      </c>
      <c r="MD8" t="s">
        <v>1773</v>
      </c>
      <c r="MG8" t="s">
        <v>1785</v>
      </c>
      <c r="MH8">
        <v>6.2778539999999996</v>
      </c>
      <c r="MI8" t="s">
        <v>1786</v>
      </c>
      <c r="MJ8">
        <v>3.8663620000000001</v>
      </c>
      <c r="MK8" t="s">
        <v>1742</v>
      </c>
      <c r="ML8">
        <v>2025</v>
      </c>
      <c r="MM8" t="s">
        <v>1787</v>
      </c>
      <c r="MN8" s="6">
        <v>45981</v>
      </c>
      <c r="MO8">
        <v>5</v>
      </c>
      <c r="MP8">
        <v>47052487.539999999</v>
      </c>
      <c r="MQ8">
        <v>812360</v>
      </c>
      <c r="MR8" t="s">
        <v>1788</v>
      </c>
      <c r="PE8" t="s">
        <v>4392</v>
      </c>
      <c r="PF8" t="s">
        <v>1786</v>
      </c>
      <c r="PG8">
        <v>10.491263999999999</v>
      </c>
      <c r="PH8">
        <v>3.784764</v>
      </c>
      <c r="PI8" t="s">
        <v>1762</v>
      </c>
      <c r="PJ8">
        <v>2025</v>
      </c>
      <c r="PK8" t="s">
        <v>4393</v>
      </c>
      <c r="PL8" s="6">
        <v>45891</v>
      </c>
      <c r="PM8">
        <v>5</v>
      </c>
      <c r="PN8">
        <v>909613718.26999998</v>
      </c>
      <c r="PO8">
        <v>12279743</v>
      </c>
      <c r="PP8" t="s">
        <v>4394</v>
      </c>
      <c r="PS8" t="s">
        <v>1873</v>
      </c>
      <c r="PT8">
        <v>0.24043100000000001</v>
      </c>
      <c r="PU8" t="s">
        <v>1786</v>
      </c>
      <c r="PV8">
        <v>7.9492950000000002</v>
      </c>
      <c r="PW8" t="s">
        <v>1762</v>
      </c>
      <c r="PX8">
        <v>2025</v>
      </c>
      <c r="PY8" t="s">
        <v>1874</v>
      </c>
      <c r="PZ8" s="6">
        <v>46008</v>
      </c>
      <c r="QA8">
        <v>5</v>
      </c>
      <c r="QB8">
        <v>184870547.49000001</v>
      </c>
      <c r="QC8">
        <v>349049</v>
      </c>
      <c r="QD8" t="s">
        <v>1875</v>
      </c>
      <c r="RM8" t="s">
        <v>2826</v>
      </c>
      <c r="RN8" t="s">
        <v>1786</v>
      </c>
      <c r="RO8">
        <v>1.1817230000000001</v>
      </c>
      <c r="RP8">
        <v>0.21010799999999999</v>
      </c>
      <c r="RQ8" t="s">
        <v>1809</v>
      </c>
      <c r="RR8">
        <v>2025</v>
      </c>
      <c r="RS8" t="s">
        <v>2827</v>
      </c>
      <c r="RT8" s="6">
        <v>45849</v>
      </c>
      <c r="RU8">
        <v>5</v>
      </c>
      <c r="RV8">
        <v>36262250.200000003</v>
      </c>
      <c r="RW8">
        <v>179551</v>
      </c>
      <c r="RX8" t="s">
        <v>2828</v>
      </c>
      <c r="SA8" t="s">
        <v>357</v>
      </c>
      <c r="SB8">
        <v>1.024241</v>
      </c>
      <c r="SC8" t="s">
        <v>1786</v>
      </c>
      <c r="SD8">
        <v>1.5105029999999999</v>
      </c>
      <c r="SE8" t="s">
        <v>1742</v>
      </c>
      <c r="SF8">
        <v>2025</v>
      </c>
      <c r="SG8" t="s">
        <v>1821</v>
      </c>
      <c r="SH8" s="6">
        <v>46007</v>
      </c>
      <c r="SI8">
        <v>5</v>
      </c>
      <c r="SJ8">
        <v>219341216</v>
      </c>
      <c r="SK8">
        <v>1499717</v>
      </c>
      <c r="SL8" t="s">
        <v>1864</v>
      </c>
      <c r="SQ8" t="s">
        <v>357</v>
      </c>
      <c r="SR8" t="s">
        <v>1786</v>
      </c>
      <c r="SS8">
        <v>0.893262</v>
      </c>
      <c r="ST8">
        <v>1.9939499999999999</v>
      </c>
      <c r="SU8" t="s">
        <v>1809</v>
      </c>
      <c r="SV8">
        <v>2025</v>
      </c>
      <c r="SW8" t="s">
        <v>2035</v>
      </c>
      <c r="SX8" s="6">
        <v>45797</v>
      </c>
      <c r="SY8">
        <v>5</v>
      </c>
      <c r="SZ8">
        <v>129806144</v>
      </c>
      <c r="TA8">
        <v>1499717</v>
      </c>
      <c r="TB8" t="s">
        <v>1864</v>
      </c>
      <c r="TE8" t="s">
        <v>1814</v>
      </c>
      <c r="TF8">
        <v>0.94301500000000005</v>
      </c>
      <c r="TG8" t="s">
        <v>1786</v>
      </c>
      <c r="TH8">
        <v>2.2702520000000002</v>
      </c>
      <c r="TI8" t="s">
        <v>1809</v>
      </c>
      <c r="TJ8">
        <v>2025</v>
      </c>
      <c r="TK8" t="s">
        <v>1815</v>
      </c>
      <c r="TL8" s="6">
        <v>45784</v>
      </c>
      <c r="TM8">
        <v>5</v>
      </c>
      <c r="TN8">
        <v>137123792</v>
      </c>
      <c r="TO8">
        <v>100115</v>
      </c>
      <c r="TP8" t="s">
        <v>1816</v>
      </c>
      <c r="TU8" t="s">
        <v>2636</v>
      </c>
      <c r="TW8">
        <v>-2.4245362661989844E-14</v>
      </c>
      <c r="TX8">
        <v>-2.4245362661989844E-14</v>
      </c>
      <c r="TY8" t="s">
        <v>1745</v>
      </c>
      <c r="TZ8">
        <v>2024</v>
      </c>
      <c r="UA8" t="s">
        <v>2475</v>
      </c>
      <c r="UB8" s="6">
        <v>45715</v>
      </c>
      <c r="UC8">
        <v>5</v>
      </c>
      <c r="UD8">
        <v>-2.4245362661989844E-14</v>
      </c>
      <c r="UE8">
        <v>15526936</v>
      </c>
      <c r="UF8" t="s">
        <v>2637</v>
      </c>
      <c r="UY8" t="s">
        <v>813</v>
      </c>
      <c r="VA8">
        <v>-2.4245362661989844E-14</v>
      </c>
      <c r="VB8">
        <v>-2.4245362661989844E-14</v>
      </c>
      <c r="VC8" t="s">
        <v>1745</v>
      </c>
      <c r="VD8">
        <v>2021</v>
      </c>
      <c r="VE8" t="s">
        <v>2037</v>
      </c>
      <c r="VF8" s="6">
        <v>44693</v>
      </c>
      <c r="VG8">
        <v>5</v>
      </c>
      <c r="VH8">
        <v>-2.4245362661989844E-14</v>
      </c>
      <c r="VI8">
        <v>100466</v>
      </c>
      <c r="VJ8" t="s">
        <v>2286</v>
      </c>
      <c r="VM8" t="s">
        <v>1667</v>
      </c>
      <c r="VN8">
        <v>-2.4245362661989844E-14</v>
      </c>
      <c r="VP8">
        <v>-2.4245362661989844E-14</v>
      </c>
      <c r="VQ8" t="s">
        <v>1745</v>
      </c>
      <c r="VR8">
        <v>2023</v>
      </c>
      <c r="VS8" t="s">
        <v>1828</v>
      </c>
      <c r="VT8" s="6">
        <v>45337</v>
      </c>
      <c r="VU8">
        <v>5</v>
      </c>
      <c r="VV8">
        <v>-2.4245362661989844E-14</v>
      </c>
      <c r="VW8">
        <v>101370</v>
      </c>
      <c r="VX8" t="s">
        <v>1830</v>
      </c>
    </row>
    <row r="9" spans="1:600" x14ac:dyDescent="0.25">
      <c r="EU9" t="s">
        <v>4522</v>
      </c>
      <c r="EV9" t="s">
        <v>1786</v>
      </c>
      <c r="EW9">
        <v>3.7962999999999997E-2</v>
      </c>
      <c r="EX9">
        <v>0.117649</v>
      </c>
      <c r="EY9" t="s">
        <v>1762</v>
      </c>
      <c r="EZ9">
        <v>2025</v>
      </c>
      <c r="FA9" t="s">
        <v>4523</v>
      </c>
      <c r="FB9" s="6">
        <v>45917</v>
      </c>
      <c r="FC9">
        <v>5</v>
      </c>
      <c r="FD9">
        <v>1794964.29</v>
      </c>
      <c r="FE9">
        <v>112156</v>
      </c>
      <c r="FF9" t="s">
        <v>4524</v>
      </c>
      <c r="FI9" t="s">
        <v>2002</v>
      </c>
      <c r="FJ9">
        <v>-2.4245362661989844E-14</v>
      </c>
      <c r="FL9">
        <v>-2.4245362661989844E-14</v>
      </c>
      <c r="FM9" t="s">
        <v>1745</v>
      </c>
      <c r="FN9">
        <v>2022</v>
      </c>
      <c r="FO9" t="s">
        <v>2003</v>
      </c>
      <c r="FP9" s="6">
        <v>44973</v>
      </c>
      <c r="FQ9">
        <v>5</v>
      </c>
      <c r="FR9">
        <v>-2.4245362661989844E-14</v>
      </c>
      <c r="FS9">
        <v>11599856</v>
      </c>
      <c r="FT9" t="s">
        <v>2004</v>
      </c>
      <c r="HC9" t="s">
        <v>734</v>
      </c>
      <c r="HD9" t="s">
        <v>1820</v>
      </c>
      <c r="HE9">
        <v>3.6037650000000001</v>
      </c>
      <c r="HF9">
        <v>0.90356199999999998</v>
      </c>
      <c r="HG9" t="s">
        <v>1762</v>
      </c>
      <c r="HH9">
        <v>2026</v>
      </c>
      <c r="HI9" t="s">
        <v>2320</v>
      </c>
      <c r="HJ9" s="6">
        <v>46059</v>
      </c>
      <c r="HK9">
        <v>5</v>
      </c>
      <c r="HL9">
        <v>108725592</v>
      </c>
      <c r="HM9">
        <v>101643</v>
      </c>
      <c r="HN9" t="s">
        <v>2321</v>
      </c>
      <c r="HQ9" t="s">
        <v>842</v>
      </c>
      <c r="HR9">
        <v>0.66108800000000001</v>
      </c>
      <c r="HS9" t="s">
        <v>1786</v>
      </c>
      <c r="HT9">
        <v>0.122531</v>
      </c>
      <c r="HU9" t="s">
        <v>1845</v>
      </c>
      <c r="HV9">
        <v>2025</v>
      </c>
      <c r="HW9" t="s">
        <v>1883</v>
      </c>
      <c r="HX9" s="6">
        <v>45848</v>
      </c>
      <c r="HY9">
        <v>5</v>
      </c>
      <c r="HZ9">
        <v>105132824</v>
      </c>
      <c r="IA9">
        <v>101548</v>
      </c>
      <c r="IB9" t="s">
        <v>1889</v>
      </c>
      <c r="IG9" t="s">
        <v>3477</v>
      </c>
      <c r="IH9" t="s">
        <v>1786</v>
      </c>
      <c r="II9">
        <v>1.749268</v>
      </c>
      <c r="IJ9">
        <v>0.29281299999999999</v>
      </c>
      <c r="IK9" t="s">
        <v>1762</v>
      </c>
      <c r="IL9">
        <v>2025</v>
      </c>
      <c r="IM9" t="s">
        <v>3478</v>
      </c>
      <c r="IN9" s="6">
        <v>45867</v>
      </c>
      <c r="IO9">
        <v>5</v>
      </c>
      <c r="IP9">
        <v>9701879.8399999999</v>
      </c>
      <c r="IQ9">
        <v>157487</v>
      </c>
      <c r="IR9" t="s">
        <v>3479</v>
      </c>
      <c r="IU9" t="s">
        <v>3557</v>
      </c>
      <c r="IV9">
        <v>-2.4245362661989844E-14</v>
      </c>
      <c r="IX9">
        <v>-2.4245362661989844E-14</v>
      </c>
      <c r="IY9" t="s">
        <v>1745</v>
      </c>
      <c r="IZ9">
        <v>2025</v>
      </c>
      <c r="JA9" t="s">
        <v>3558</v>
      </c>
      <c r="JB9" s="6">
        <v>45834</v>
      </c>
      <c r="JC9">
        <v>5</v>
      </c>
      <c r="JD9">
        <v>-2.4245362661989844E-14</v>
      </c>
      <c r="JE9">
        <v>11745327</v>
      </c>
      <c r="JF9" t="s">
        <v>3559</v>
      </c>
      <c r="JK9" t="s">
        <v>3214</v>
      </c>
      <c r="JL9" t="s">
        <v>1786</v>
      </c>
      <c r="JM9">
        <v>2.4084999999999999E-2</v>
      </c>
      <c r="JN9">
        <v>4.8836999999999998E-2</v>
      </c>
      <c r="JO9" t="s">
        <v>1742</v>
      </c>
      <c r="JP9">
        <v>2025</v>
      </c>
      <c r="JQ9" t="s">
        <v>3215</v>
      </c>
      <c r="JR9" s="6">
        <v>45993</v>
      </c>
      <c r="JS9">
        <v>5</v>
      </c>
      <c r="JT9">
        <v>863929</v>
      </c>
      <c r="JU9">
        <v>100415</v>
      </c>
      <c r="JV9" t="s">
        <v>3216</v>
      </c>
      <c r="JY9" t="s">
        <v>204</v>
      </c>
      <c r="JZ9">
        <v>1.3051170000000001</v>
      </c>
      <c r="KA9" t="s">
        <v>1786</v>
      </c>
      <c r="KB9">
        <v>0.246114</v>
      </c>
      <c r="KC9" t="s">
        <v>1742</v>
      </c>
      <c r="KD9">
        <v>2025</v>
      </c>
      <c r="KE9" t="s">
        <v>3102</v>
      </c>
      <c r="KF9" s="6">
        <v>46018</v>
      </c>
      <c r="KG9">
        <v>5</v>
      </c>
      <c r="KH9">
        <v>28738676</v>
      </c>
      <c r="KI9">
        <v>100732</v>
      </c>
      <c r="KJ9" t="s">
        <v>2825</v>
      </c>
      <c r="LS9" t="s">
        <v>1778</v>
      </c>
      <c r="LU9">
        <v>-2.4245362661989844E-14</v>
      </c>
      <c r="LV9">
        <v>-2.4245362661989844E-14</v>
      </c>
      <c r="LW9" t="s">
        <v>1745</v>
      </c>
      <c r="LX9">
        <v>2026</v>
      </c>
      <c r="LY9" t="s">
        <v>2308</v>
      </c>
      <c r="LZ9" s="6">
        <v>46058</v>
      </c>
      <c r="MA9">
        <v>5</v>
      </c>
      <c r="MB9">
        <v>-2.4245362661989844E-14</v>
      </c>
      <c r="MC9">
        <v>101712</v>
      </c>
      <c r="MD9" t="s">
        <v>1780</v>
      </c>
      <c r="MG9" t="s">
        <v>1789</v>
      </c>
      <c r="MH9">
        <v>-2.4245362661989844E-14</v>
      </c>
      <c r="MJ9">
        <v>-2.4245362661989844E-14</v>
      </c>
      <c r="MK9" t="s">
        <v>1745</v>
      </c>
      <c r="ML9">
        <v>2023</v>
      </c>
      <c r="MM9" t="s">
        <v>1790</v>
      </c>
      <c r="MN9" s="6">
        <v>45359</v>
      </c>
      <c r="MO9">
        <v>5</v>
      </c>
      <c r="MP9">
        <v>-2.4245362661989844E-14</v>
      </c>
      <c r="MQ9">
        <v>117929</v>
      </c>
      <c r="MR9" t="s">
        <v>1791</v>
      </c>
      <c r="PE9" t="s">
        <v>4395</v>
      </c>
      <c r="PF9" t="s">
        <v>1786</v>
      </c>
      <c r="PG9">
        <v>67</v>
      </c>
      <c r="PH9">
        <v>3.5827270000000002</v>
      </c>
      <c r="PI9" t="s">
        <v>1745</v>
      </c>
      <c r="PJ9">
        <v>2025</v>
      </c>
      <c r="PK9" t="s">
        <v>4396</v>
      </c>
      <c r="PL9" s="6">
        <v>46083</v>
      </c>
      <c r="PM9">
        <v>5</v>
      </c>
      <c r="PN9">
        <v>859442496</v>
      </c>
      <c r="PO9">
        <v>69597326</v>
      </c>
      <c r="PP9" t="s">
        <v>4397</v>
      </c>
      <c r="PS9" t="s">
        <v>2096</v>
      </c>
      <c r="PT9">
        <v>0.23485800000000001</v>
      </c>
      <c r="PU9" t="s">
        <v>1786</v>
      </c>
      <c r="PV9">
        <v>0.132383</v>
      </c>
      <c r="PW9" t="s">
        <v>1742</v>
      </c>
      <c r="PX9">
        <v>2025</v>
      </c>
      <c r="PY9" t="s">
        <v>2528</v>
      </c>
      <c r="PZ9" s="6">
        <v>45843</v>
      </c>
      <c r="QA9">
        <v>5</v>
      </c>
      <c r="QB9">
        <v>164555600</v>
      </c>
      <c r="QC9">
        <v>101616</v>
      </c>
      <c r="QD9" t="s">
        <v>2098</v>
      </c>
      <c r="RM9" t="s">
        <v>4063</v>
      </c>
      <c r="RN9" t="s">
        <v>1786</v>
      </c>
      <c r="RO9">
        <v>3.4743949999999999</v>
      </c>
      <c r="RP9">
        <v>0.200156</v>
      </c>
      <c r="RQ9" t="s">
        <v>1742</v>
      </c>
      <c r="RR9">
        <v>2025</v>
      </c>
      <c r="RS9" t="s">
        <v>1821</v>
      </c>
      <c r="RT9" s="6">
        <v>46007</v>
      </c>
      <c r="RU9">
        <v>5</v>
      </c>
      <c r="RV9">
        <v>34789112</v>
      </c>
      <c r="RW9">
        <v>13421693</v>
      </c>
      <c r="RX9" t="s">
        <v>4064</v>
      </c>
      <c r="SA9" t="s">
        <v>230</v>
      </c>
      <c r="SB9">
        <v>0.92627999999999999</v>
      </c>
      <c r="SC9" t="s">
        <v>1786</v>
      </c>
      <c r="SD9">
        <v>6.9479110000000004</v>
      </c>
      <c r="SE9" t="s">
        <v>1742</v>
      </c>
      <c r="SF9">
        <v>2025</v>
      </c>
      <c r="SG9" t="s">
        <v>1821</v>
      </c>
      <c r="SH9" s="6">
        <v>46007</v>
      </c>
      <c r="SI9">
        <v>5</v>
      </c>
      <c r="SJ9">
        <v>198362864</v>
      </c>
      <c r="SK9">
        <v>100562</v>
      </c>
      <c r="SL9" t="s">
        <v>3483</v>
      </c>
      <c r="SQ9" t="s">
        <v>2512</v>
      </c>
      <c r="SR9" t="s">
        <v>1786</v>
      </c>
      <c r="SS9">
        <v>0.59890299999999996</v>
      </c>
      <c r="ST9">
        <v>1.729209</v>
      </c>
      <c r="SU9" t="s">
        <v>1809</v>
      </c>
      <c r="SV9">
        <v>2025</v>
      </c>
      <c r="SW9" t="s">
        <v>2035</v>
      </c>
      <c r="SX9" s="6">
        <v>45797</v>
      </c>
      <c r="SY9">
        <v>5</v>
      </c>
      <c r="SZ9">
        <v>112571504</v>
      </c>
      <c r="TA9">
        <v>130929</v>
      </c>
      <c r="TB9" t="s">
        <v>2513</v>
      </c>
      <c r="TE9" t="s">
        <v>167</v>
      </c>
      <c r="TF9">
        <v>0.76780499999999996</v>
      </c>
      <c r="TG9" t="s">
        <v>1786</v>
      </c>
      <c r="TH9">
        <v>2.2920660000000002</v>
      </c>
      <c r="TI9" t="s">
        <v>1809</v>
      </c>
      <c r="TJ9">
        <v>2025</v>
      </c>
      <c r="TK9" t="s">
        <v>2035</v>
      </c>
      <c r="TL9" s="6">
        <v>45797</v>
      </c>
      <c r="TM9">
        <v>5</v>
      </c>
      <c r="TN9">
        <v>111646528</v>
      </c>
      <c r="TO9">
        <v>69423747</v>
      </c>
      <c r="TP9" t="s">
        <v>2036</v>
      </c>
      <c r="TU9" t="s">
        <v>2638</v>
      </c>
      <c r="TW9">
        <v>-2.4245362661989844E-14</v>
      </c>
      <c r="TX9">
        <v>-2.4245362661989844E-14</v>
      </c>
      <c r="TY9" t="s">
        <v>1745</v>
      </c>
      <c r="TZ9">
        <v>2024</v>
      </c>
      <c r="UA9" t="s">
        <v>2475</v>
      </c>
      <c r="UB9" s="6">
        <v>45715</v>
      </c>
      <c r="UC9">
        <v>5</v>
      </c>
      <c r="UD9">
        <v>-2.4245362661989844E-14</v>
      </c>
      <c r="UE9">
        <v>21173521</v>
      </c>
      <c r="UF9" t="s">
        <v>2639</v>
      </c>
      <c r="UY9" t="s">
        <v>2287</v>
      </c>
      <c r="VA9">
        <v>-2.4245362661989844E-14</v>
      </c>
      <c r="VB9">
        <v>-2.4245362661989844E-14</v>
      </c>
      <c r="VC9" t="s">
        <v>1745</v>
      </c>
      <c r="VD9">
        <v>2021</v>
      </c>
      <c r="VE9" t="s">
        <v>2288</v>
      </c>
      <c r="VF9" s="6">
        <v>44693</v>
      </c>
      <c r="VG9">
        <v>5</v>
      </c>
      <c r="VH9">
        <v>-2.4245362661989844E-14</v>
      </c>
      <c r="VI9">
        <v>302916</v>
      </c>
      <c r="VJ9" t="s">
        <v>2289</v>
      </c>
      <c r="VM9" t="s">
        <v>1831</v>
      </c>
      <c r="VN9">
        <v>-2.4245362661989844E-14</v>
      </c>
      <c r="VP9">
        <v>-2.4245362661989844E-14</v>
      </c>
      <c r="VQ9" t="s">
        <v>1745</v>
      </c>
      <c r="VR9">
        <v>2023</v>
      </c>
      <c r="VS9" t="s">
        <v>1828</v>
      </c>
      <c r="VT9" s="6">
        <v>45337</v>
      </c>
      <c r="VU9">
        <v>5</v>
      </c>
      <c r="VV9">
        <v>-2.4245362661989844E-14</v>
      </c>
      <c r="VW9">
        <v>154561</v>
      </c>
      <c r="VX9" t="s">
        <v>1832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1552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1553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1554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1555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1556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1557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1558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1559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1560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1561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1562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1563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1564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1565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1566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1567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1568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1569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1570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1571</v>
      </c>
      <c r="AE2" s="3" t="s">
        <v>162</v>
      </c>
      <c r="BI2" s="3" t="s">
        <v>535</v>
      </c>
      <c r="CM2" s="3" t="s">
        <v>1572</v>
      </c>
      <c r="DQ2" s="3" t="s">
        <v>202</v>
      </c>
      <c r="EU2" s="3" t="s">
        <v>812</v>
      </c>
      <c r="FY2" s="3" t="s">
        <v>1573</v>
      </c>
      <c r="HC2" s="3" t="s">
        <v>1574</v>
      </c>
      <c r="IG2" s="3" t="s">
        <v>1575</v>
      </c>
      <c r="JK2" s="3" t="s">
        <v>35</v>
      </c>
      <c r="KO2" s="3" t="s">
        <v>1576</v>
      </c>
      <c r="LS2" s="3" t="s">
        <v>1577</v>
      </c>
      <c r="MW2" s="3" t="s">
        <v>1578</v>
      </c>
      <c r="OA2" s="3" t="s">
        <v>1579</v>
      </c>
      <c r="PE2" s="3" t="s">
        <v>359</v>
      </c>
      <c r="QI2" s="3" t="s">
        <v>454</v>
      </c>
      <c r="RM2" s="3" t="s">
        <v>234</v>
      </c>
      <c r="SQ2" s="3" t="s">
        <v>574</v>
      </c>
      <c r="TU2" s="3" t="s">
        <v>1580</v>
      </c>
      <c r="UY2" s="3" t="s">
        <v>1581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_xll.BDS("PH US Equity","SUPPLY_CHAIN_SUPPLIERS_ALL_DATA","cols=12;rows=5")</f>
        <v>RBC US Equity</v>
      </c>
      <c r="B5" t="s">
        <v>1786</v>
      </c>
      <c r="C5">
        <v>0.98676200000000003</v>
      </c>
      <c r="D5">
        <v>0.13495099999999999</v>
      </c>
      <c r="E5" t="s">
        <v>1845</v>
      </c>
      <c r="F5">
        <v>2025</v>
      </c>
      <c r="G5" t="s">
        <v>2492</v>
      </c>
      <c r="H5" s="6">
        <v>45797</v>
      </c>
      <c r="I5">
        <v>5</v>
      </c>
      <c r="J5">
        <v>4319057</v>
      </c>
      <c r="K5">
        <v>9777162</v>
      </c>
      <c r="L5" t="s">
        <v>2493</v>
      </c>
      <c r="O5" t="str">
        <f>_xll.BDS("PH US Equity","SUPPLY_CHAIN_CUSTOMERS_ALL_DATA","cols=12;rows=5")</f>
        <v>BA US Equity</v>
      </c>
      <c r="P5">
        <v>3.9296899999999999</v>
      </c>
      <c r="Q5" t="s">
        <v>1786</v>
      </c>
      <c r="R5">
        <v>0.95998300000000003</v>
      </c>
      <c r="S5" t="s">
        <v>1845</v>
      </c>
      <c r="T5">
        <v>2025</v>
      </c>
      <c r="U5" t="s">
        <v>4106</v>
      </c>
      <c r="V5" s="6">
        <v>45894</v>
      </c>
      <c r="W5">
        <v>5</v>
      </c>
      <c r="X5">
        <v>195010864</v>
      </c>
      <c r="Y5">
        <v>100211</v>
      </c>
      <c r="Z5" t="s">
        <v>1851</v>
      </c>
      <c r="AE5" t="str">
        <f>_xll.BDS("MTOR US Equity","SUPPLY_CHAIN_SUPPLIERS_ALL_DATA","cols=12;rows=5")</f>
        <v>000425 CH Equity</v>
      </c>
      <c r="AG5">
        <v>-2.4245362661989844E-14</v>
      </c>
      <c r="AH5">
        <v>-2.4245362661989844E-14</v>
      </c>
      <c r="AI5" t="s">
        <v>1745</v>
      </c>
      <c r="AJ5">
        <v>2021</v>
      </c>
      <c r="AK5" t="s">
        <v>4885</v>
      </c>
      <c r="AL5" s="6">
        <v>44669</v>
      </c>
      <c r="AM5">
        <v>5</v>
      </c>
      <c r="AN5">
        <v>-2.4245362661989844E-14</v>
      </c>
      <c r="AO5">
        <v>193520</v>
      </c>
      <c r="AP5" t="s">
        <v>4886</v>
      </c>
      <c r="AS5" t="str">
        <f>_xll.BDS("MTOR US Equity","SUPPLY_CHAIN_CUSTOMERS_ALL_DATA","cols=12;rows=5")</f>
        <v>1912397D BB Equity</v>
      </c>
      <c r="AT5">
        <v>-2.4245362661989844E-14</v>
      </c>
      <c r="AV5">
        <v>-2.4245362661989844E-14</v>
      </c>
      <c r="AW5" t="s">
        <v>1762</v>
      </c>
      <c r="AX5">
        <v>2022</v>
      </c>
      <c r="AY5" t="s">
        <v>4859</v>
      </c>
      <c r="AZ5" s="6">
        <v>44685</v>
      </c>
      <c r="BA5">
        <v>5</v>
      </c>
      <c r="BB5">
        <v>-2.4245362661989844E-14</v>
      </c>
      <c r="BC5">
        <v>17099897</v>
      </c>
      <c r="BD5" t="s">
        <v>4860</v>
      </c>
      <c r="BI5" t="str">
        <f>_xll.BDS("TFC US Equity","SUPPLY_CHAIN_SUPPLIERS_ALL_DATA","cols=12;rows=5")</f>
        <v>ADBE US Equity</v>
      </c>
      <c r="BJ5" t="s">
        <v>1769</v>
      </c>
      <c r="BK5">
        <v>9.3438999999999994E-2</v>
      </c>
      <c r="BL5">
        <v>0.18883900000000001</v>
      </c>
      <c r="BM5" t="s">
        <v>1762</v>
      </c>
      <c r="BN5">
        <v>2025</v>
      </c>
      <c r="BO5" t="s">
        <v>2268</v>
      </c>
      <c r="BP5" s="6">
        <v>45838</v>
      </c>
      <c r="BQ5">
        <v>5</v>
      </c>
      <c r="BR5">
        <v>5487672</v>
      </c>
      <c r="BS5">
        <v>101689</v>
      </c>
      <c r="BT5" t="s">
        <v>2269</v>
      </c>
      <c r="BW5" t="str">
        <f>_xll.BDS("TFC US Equity","SUPPLY_CHAIN_CUSTOMERS_ALL_DATA","cols=12;rows=1")</f>
        <v>RENG IN Equity</v>
      </c>
      <c r="BX5">
        <v>-2.4245362661989844E-14</v>
      </c>
      <c r="BZ5">
        <v>-2.4245362661989844E-14</v>
      </c>
      <c r="CA5" t="s">
        <v>1745</v>
      </c>
      <c r="CB5">
        <v>2025</v>
      </c>
      <c r="CC5" t="s">
        <v>1952</v>
      </c>
      <c r="CD5" s="6">
        <v>45901</v>
      </c>
      <c r="CE5">
        <v>1</v>
      </c>
      <c r="CF5">
        <v>-2.4245362661989844E-14</v>
      </c>
      <c r="CG5">
        <v>182734</v>
      </c>
      <c r="CH5" t="s">
        <v>1953</v>
      </c>
      <c r="CM5" t="str">
        <f>_xll.BDS("OZK US Equity","SUPPLY_CHAIN_SUPPLIERS_ALL_DATA")</f>
        <v>#N/A N/A</v>
      </c>
      <c r="DA5" t="str">
        <f>_xll.BDS("OZK US Equity","SUPPLY_CHAIN_CUSTOMERS_ALL_DATA")</f>
        <v>#N/A N/A</v>
      </c>
      <c r="DQ5" t="str">
        <f>_xll.BDS("ELNK US Equity","SUPPLY_CHAIN_SUPPLIERS_ALL_DATA")</f>
        <v>#N/A N/A</v>
      </c>
      <c r="EE5" t="str">
        <f>_xll.BDS("ELNK US Equity","SUPPLY_CHAIN_CUSTOMERS_ALL_DATA")</f>
        <v>#N/A N/A</v>
      </c>
      <c r="EU5" t="str">
        <f>_xll.BDS("FMER US Equity","SUPPLY_CHAIN_SUPPLIERS_ALL_DATA")</f>
        <v>#N/A N/A</v>
      </c>
      <c r="FI5" t="str">
        <f>_xll.BDS("FMER US Equity","SUPPLY_CHAIN_CUSTOMERS_ALL_DATA")</f>
        <v>#N/A N/A</v>
      </c>
      <c r="FY5" t="str">
        <f>_xll.BDS("CLW US Equity","SUPPLY_CHAIN_SUPPLIERS_ALL_DATA","cols=12;rows=5")</f>
        <v>AVA US Equity</v>
      </c>
      <c r="GA5">
        <v>-2.4245362661989844E-14</v>
      </c>
      <c r="GB5">
        <v>-2.4245362661989844E-14</v>
      </c>
      <c r="GC5" t="s">
        <v>1745</v>
      </c>
      <c r="GD5">
        <v>2021</v>
      </c>
      <c r="GE5" t="s">
        <v>2692</v>
      </c>
      <c r="GF5" s="6">
        <v>44693</v>
      </c>
      <c r="GG5">
        <v>5</v>
      </c>
      <c r="GH5">
        <v>-2.4245362661989844E-14</v>
      </c>
      <c r="GI5">
        <v>101625</v>
      </c>
      <c r="GJ5" t="s">
        <v>2693</v>
      </c>
      <c r="GM5" t="str">
        <f>_xll.BDS("CLW US Equity","SUPPLY_CHAIN_CUSTOMERS_ALL_DATA")</f>
        <v>#N/A N/A</v>
      </c>
      <c r="HC5" t="str">
        <f>_xll.BDS("2269312Q US Equity","SUPPLY_CHAIN_SUPPLIERS_ALL_DATA")</f>
        <v>#N/A N/A</v>
      </c>
      <c r="HQ5" t="str">
        <f>_xll.BDS("2269312Q US Equity","SUPPLY_CHAIN_CUSTOMERS_ALL_DATA")</f>
        <v>#N/A N/A</v>
      </c>
      <c r="IG5" t="str">
        <f>_xll.BDS("AKRXQ US Equity","SUPPLY_CHAIN_SUPPLIERS_ALL_DATA","cols=12;rows=5")</f>
        <v>AEE US Equity</v>
      </c>
      <c r="II5">
        <v>-2.4245362661989844E-14</v>
      </c>
      <c r="IJ5">
        <v>-2.4245362661989844E-14</v>
      </c>
      <c r="IK5" t="s">
        <v>1745</v>
      </c>
      <c r="IL5">
        <v>2021</v>
      </c>
      <c r="IM5" t="s">
        <v>2281</v>
      </c>
      <c r="IN5" s="6">
        <v>44693</v>
      </c>
      <c r="IO5">
        <v>5</v>
      </c>
      <c r="IP5">
        <v>-2.4245362661989844E-14</v>
      </c>
      <c r="IQ5">
        <v>313098</v>
      </c>
      <c r="IR5" t="s">
        <v>2282</v>
      </c>
      <c r="IU5" t="str">
        <f>_xll.BDS("AKRXQ US Equity","SUPPLY_CHAIN_CUSTOMERS_ALL_DATA")</f>
        <v>#N/A N/A</v>
      </c>
      <c r="JK5" t="str">
        <f>_xll.BDS("nan Equity","SUPPLY_CHAIN_SUPPLIERS_ALL_DATA")</f>
        <v>#N/A N/A</v>
      </c>
      <c r="JY5" t="str">
        <f>_xll.BDS("nan Equity","SUPPLY_CHAIN_CUSTOMERS_ALL_DATA")</f>
        <v>#N/A N/A</v>
      </c>
      <c r="KO5" t="str">
        <f>_xll.BDS("TLB US Equity","SUPPLY_CHAIN_SUPPLIERS_ALL_DATA","cols=12;rows=5")</f>
        <v>1473 TT Equity</v>
      </c>
      <c r="KQ5">
        <v>-2.4245362661989844E-14</v>
      </c>
      <c r="KR5">
        <v>-2.4245362661989844E-14</v>
      </c>
      <c r="KS5" t="s">
        <v>1762</v>
      </c>
      <c r="KT5">
        <v>2025</v>
      </c>
      <c r="KU5" t="s">
        <v>4244</v>
      </c>
      <c r="KV5" s="6">
        <v>45953</v>
      </c>
      <c r="KW5">
        <v>5</v>
      </c>
      <c r="KX5">
        <v>-2.4245362661989844E-14</v>
      </c>
      <c r="KY5">
        <v>812788</v>
      </c>
      <c r="KZ5" t="s">
        <v>4245</v>
      </c>
      <c r="LC5" t="str">
        <f>_xll.BDS("TLB US Equity","SUPPLY_CHAIN_CUSTOMERS_ALL_DATA")</f>
        <v>#N/A N/A</v>
      </c>
      <c r="LS5" t="str">
        <f>_xll.BDS("RTN US Equity","SUPPLY_CHAIN_SUPPLIERS_ALL_DATA","cols=12;rows=1")</f>
        <v>FE US Equity</v>
      </c>
      <c r="LU5">
        <v>-2.4245362661989844E-14</v>
      </c>
      <c r="LV5">
        <v>-2.4245362661989844E-14</v>
      </c>
      <c r="LW5" t="s">
        <v>1745</v>
      </c>
      <c r="LX5">
        <v>2021</v>
      </c>
      <c r="LY5" t="s">
        <v>2288</v>
      </c>
      <c r="LZ5" s="6">
        <v>44693</v>
      </c>
      <c r="MA5">
        <v>1</v>
      </c>
      <c r="MB5">
        <v>-2.4245362661989844E-14</v>
      </c>
      <c r="MC5">
        <v>302916</v>
      </c>
      <c r="MD5" t="s">
        <v>2289</v>
      </c>
      <c r="MG5" t="str">
        <f>_xll.BDS("RTN US Equity","SUPPLY_CHAIN_CUSTOMERS_ALL_DATA")</f>
        <v>#N/A N/A</v>
      </c>
      <c r="MW5" t="str">
        <f>_xll.BDS("WAB US Equity","SUPPLY_CHAIN_SUPPLIERS_ALL_DATA","cols=12;rows=5")</f>
        <v>JBL US Equity</v>
      </c>
      <c r="MX5" t="s">
        <v>1786</v>
      </c>
      <c r="MY5">
        <v>7.2900000000000006E-2</v>
      </c>
      <c r="MZ5">
        <v>0.322772</v>
      </c>
      <c r="NA5" t="s">
        <v>1742</v>
      </c>
      <c r="NB5">
        <v>2025</v>
      </c>
      <c r="NC5" t="s">
        <v>2796</v>
      </c>
      <c r="ND5" s="6">
        <v>45867</v>
      </c>
      <c r="NE5">
        <v>5</v>
      </c>
      <c r="NF5">
        <v>5706612</v>
      </c>
      <c r="NG5">
        <v>117092</v>
      </c>
      <c r="NH5" t="s">
        <v>2797</v>
      </c>
      <c r="NK5" t="str">
        <f>_xll.BDS("WAB US Equity","SUPPLY_CHAIN_CUSTOMERS_ALL_DATA","cols=12;rows=5")</f>
        <v>UNP US Equity</v>
      </c>
      <c r="NL5">
        <v>5.4963600000000001</v>
      </c>
      <c r="NM5" t="s">
        <v>1786</v>
      </c>
      <c r="NN5">
        <v>4.0984160000000003</v>
      </c>
      <c r="NO5" t="s">
        <v>1742</v>
      </c>
      <c r="NP5">
        <v>2025</v>
      </c>
      <c r="NQ5" t="s">
        <v>3048</v>
      </c>
      <c r="NR5" s="6">
        <v>45952</v>
      </c>
      <c r="NS5">
        <v>5</v>
      </c>
      <c r="NT5">
        <v>148731504</v>
      </c>
      <c r="NU5">
        <v>101539</v>
      </c>
      <c r="NV5" t="s">
        <v>3529</v>
      </c>
      <c r="OA5" t="str">
        <f>_xll.BDS("BVS US Equity","SUPPLY_CHAIN_SUPPLIERS_ALL_DATA","cols=12;rows=5")</f>
        <v>4548 JP Equity</v>
      </c>
      <c r="OC5">
        <v>-2.4245362661989844E-14</v>
      </c>
      <c r="OD5">
        <v>-2.4245362661989844E-14</v>
      </c>
      <c r="OE5" t="s">
        <v>1805</v>
      </c>
      <c r="OF5">
        <v>2026</v>
      </c>
      <c r="OG5" t="s">
        <v>3256</v>
      </c>
      <c r="OH5" s="6">
        <v>45973</v>
      </c>
      <c r="OI5">
        <v>5</v>
      </c>
      <c r="OJ5">
        <v>-2.4245362661989844E-14</v>
      </c>
      <c r="OK5">
        <v>148753</v>
      </c>
      <c r="OL5" t="s">
        <v>3257</v>
      </c>
      <c r="OO5" t="str">
        <f>_xll.BDS("BVS US Equity","SUPPLY_CHAIN_CUSTOMERS_ALL_DATA","cols=12;rows=1")</f>
        <v>EPMT IJ Equity</v>
      </c>
      <c r="OP5">
        <v>-2.4245362661989844E-14</v>
      </c>
      <c r="OR5">
        <v>-2.4245362661989844E-14</v>
      </c>
      <c r="OS5" t="s">
        <v>1745</v>
      </c>
      <c r="OT5">
        <v>2023</v>
      </c>
      <c r="OU5" t="s">
        <v>3117</v>
      </c>
      <c r="OV5" s="6">
        <v>45406</v>
      </c>
      <c r="OW5">
        <v>1</v>
      </c>
      <c r="OX5">
        <v>-2.4245362661989844E-14</v>
      </c>
      <c r="OY5">
        <v>153194</v>
      </c>
      <c r="OZ5" t="s">
        <v>3118</v>
      </c>
      <c r="PE5" t="str">
        <f>_xll.BDS("2207158D US Equity","SUPPLY_CHAIN_SUPPLIERS_ALL_DATA")</f>
        <v>#N/A N/A</v>
      </c>
      <c r="PS5" t="str">
        <f>_xll.BDS("2207158D US Equity","SUPPLY_CHAIN_CUSTOMERS_ALL_DATA")</f>
        <v>#N/A N/A</v>
      </c>
      <c r="QI5" t="str">
        <f>_xll.BDS("GE US Equity","SUPPLY_CHAIN_SUPPLIERS_ALL_DATA","cols=12;rows=5")</f>
        <v>SAF FP Equity</v>
      </c>
      <c r="QJ5" t="s">
        <v>1786</v>
      </c>
      <c r="QK5">
        <v>7.9101749999999997</v>
      </c>
      <c r="QL5">
        <v>9.7364909999999991</v>
      </c>
      <c r="QM5" t="s">
        <v>1762</v>
      </c>
      <c r="QN5">
        <v>2025</v>
      </c>
      <c r="QO5" t="s">
        <v>2423</v>
      </c>
      <c r="QP5" s="6">
        <v>45874</v>
      </c>
      <c r="QQ5">
        <v>5</v>
      </c>
      <c r="QR5">
        <v>666294015.34000003</v>
      </c>
      <c r="QS5">
        <v>115519</v>
      </c>
      <c r="QT5" t="s">
        <v>2424</v>
      </c>
      <c r="QW5" t="str">
        <f>_xll.BDS("GE US Equity","SUPPLY_CHAIN_CUSTOMERS_ALL_DATA","cols=12;rows=5")</f>
        <v>3352Z US Equity</v>
      </c>
      <c r="QX5">
        <v>10</v>
      </c>
      <c r="QZ5">
        <v>-2.4245362661989844E-14</v>
      </c>
      <c r="RA5" t="s">
        <v>1745</v>
      </c>
      <c r="RB5">
        <v>2025</v>
      </c>
      <c r="RC5" t="s">
        <v>1876</v>
      </c>
      <c r="RD5" s="6">
        <v>46051</v>
      </c>
      <c r="RE5">
        <v>5</v>
      </c>
      <c r="RF5">
        <v>1146375040</v>
      </c>
      <c r="RG5">
        <v>218252</v>
      </c>
      <c r="RH5" t="s">
        <v>1803</v>
      </c>
      <c r="RM5" t="str">
        <f>_xll.BDS("GD US Equity","SUPPLY_CHAIN_SUPPLIERS_ALL_DATA","cols=12;rows=5")</f>
        <v>RTX US Equity</v>
      </c>
      <c r="RN5" t="s">
        <v>1786</v>
      </c>
      <c r="RO5">
        <v>0.86519299999999999</v>
      </c>
      <c r="RP5">
        <v>1.683351</v>
      </c>
      <c r="RQ5" t="s">
        <v>1762</v>
      </c>
      <c r="RR5">
        <v>2025</v>
      </c>
      <c r="RS5" t="s">
        <v>3638</v>
      </c>
      <c r="RT5" s="6">
        <v>45895</v>
      </c>
      <c r="RU5">
        <v>5</v>
      </c>
      <c r="RV5">
        <v>186717296</v>
      </c>
      <c r="RW5">
        <v>101555</v>
      </c>
      <c r="RX5" t="s">
        <v>1848</v>
      </c>
      <c r="SA5" t="str">
        <f>_xll.BDS("GD US Equity","SUPPLY_CHAIN_CUSTOMERS_ALL_DATA","cols=12;rows=5")</f>
        <v>3352Z US Equity</v>
      </c>
      <c r="SB5">
        <v>68.043769999999995</v>
      </c>
      <c r="SD5">
        <v>-2.4245362661989844E-14</v>
      </c>
      <c r="SE5" t="s">
        <v>1745</v>
      </c>
      <c r="SF5">
        <v>2025</v>
      </c>
      <c r="SG5" t="s">
        <v>4039</v>
      </c>
      <c r="SH5" s="6">
        <v>46052</v>
      </c>
      <c r="SI5">
        <v>5</v>
      </c>
      <c r="SJ5">
        <v>8939250000</v>
      </c>
      <c r="SK5">
        <v>218252</v>
      </c>
      <c r="SL5" t="s">
        <v>1803</v>
      </c>
      <c r="SQ5" t="str">
        <f>_xll.BDS("NCC US Equity","SUPPLY_CHAIN_SUPPLIERS_ALL_DATA")</f>
        <v>#N/A N/A</v>
      </c>
      <c r="TE5" t="str">
        <f>_xll.BDS("NCC US Equity","SUPPLY_CHAIN_CUSTOMERS_ALL_DATA")</f>
        <v>#N/A N/A</v>
      </c>
      <c r="TU5" t="str">
        <f>_xll.BDS("GVA US Equity","SUPPLY_CHAIN_SUPPLIERS_ALL_DATA","cols=12;rows=5")</f>
        <v>140371MF US Equity</v>
      </c>
      <c r="TW5">
        <v>-2.4245362661989844E-14</v>
      </c>
      <c r="TX5">
        <v>-2.4245362661989844E-14</v>
      </c>
      <c r="TY5" t="s">
        <v>1745</v>
      </c>
      <c r="TZ5">
        <v>2024</v>
      </c>
      <c r="UA5" t="s">
        <v>4255</v>
      </c>
      <c r="UB5" s="6">
        <v>45455</v>
      </c>
      <c r="UC5">
        <v>5</v>
      </c>
      <c r="UD5">
        <v>-2.4245362661989844E-14</v>
      </c>
      <c r="UE5">
        <v>39336260</v>
      </c>
      <c r="UF5" t="s">
        <v>4256</v>
      </c>
      <c r="UI5" t="str">
        <f>_xll.BDS("GVA US Equity","SUPPLY_CHAIN_CUSTOMERS_ALL_DATA","cols=12;rows=5")</f>
        <v>STOCA1 US Equity</v>
      </c>
      <c r="UJ5">
        <v>10.1</v>
      </c>
      <c r="UL5">
        <v>-2.4245362661989844E-14</v>
      </c>
      <c r="UM5" t="s">
        <v>1745</v>
      </c>
      <c r="UN5">
        <v>2025</v>
      </c>
      <c r="UO5" t="s">
        <v>4295</v>
      </c>
      <c r="UP5" s="6">
        <v>46066</v>
      </c>
      <c r="UQ5">
        <v>5</v>
      </c>
      <c r="UR5">
        <v>111650000</v>
      </c>
      <c r="US5">
        <v>201826</v>
      </c>
      <c r="UT5" t="s">
        <v>4296</v>
      </c>
      <c r="UY5" t="str">
        <f>_xll.BDS("KPSQ US Equity","SUPPLY_CHAIN_SUPPLIERS_ALL_DATA")</f>
        <v>#N/A N/A</v>
      </c>
      <c r="VM5" t="str">
        <f>_xll.BDS("KPSQ US Equity","SUPPLY_CHAIN_CUSTOMERS_ALL_DATA")</f>
        <v>#N/A N/A</v>
      </c>
    </row>
    <row r="6" spans="1:600" x14ac:dyDescent="0.25">
      <c r="A6" t="s">
        <v>4928</v>
      </c>
      <c r="B6" t="s">
        <v>1786</v>
      </c>
      <c r="C6">
        <v>0.31048599999999998</v>
      </c>
      <c r="D6">
        <v>9.8609000000000002E-2</v>
      </c>
      <c r="E6" t="s">
        <v>1845</v>
      </c>
      <c r="F6">
        <v>2025</v>
      </c>
      <c r="G6" t="s">
        <v>4929</v>
      </c>
      <c r="H6" s="6">
        <v>45994</v>
      </c>
      <c r="I6">
        <v>5</v>
      </c>
      <c r="J6">
        <v>3090155</v>
      </c>
      <c r="K6">
        <v>132674</v>
      </c>
      <c r="L6" t="s">
        <v>4930</v>
      </c>
      <c r="O6" t="s">
        <v>1054</v>
      </c>
      <c r="P6">
        <v>3.715757</v>
      </c>
      <c r="Q6" t="s">
        <v>1786</v>
      </c>
      <c r="R6">
        <v>1.143508</v>
      </c>
      <c r="S6" t="s">
        <v>1742</v>
      </c>
      <c r="T6">
        <v>2025</v>
      </c>
      <c r="U6" t="s">
        <v>4106</v>
      </c>
      <c r="V6" s="6">
        <v>45782</v>
      </c>
      <c r="W6">
        <v>5</v>
      </c>
      <c r="X6">
        <v>185133936</v>
      </c>
      <c r="Y6">
        <v>101555</v>
      </c>
      <c r="Z6" t="s">
        <v>1848</v>
      </c>
      <c r="AE6" t="s">
        <v>4887</v>
      </c>
      <c r="AG6">
        <v>-2.4245362661989844E-14</v>
      </c>
      <c r="AH6">
        <v>-2.4245362661989844E-14</v>
      </c>
      <c r="AI6" t="s">
        <v>1745</v>
      </c>
      <c r="AJ6">
        <v>2021</v>
      </c>
      <c r="AK6" t="s">
        <v>4888</v>
      </c>
      <c r="AL6" s="6">
        <v>44649</v>
      </c>
      <c r="AM6">
        <v>5</v>
      </c>
      <c r="AN6">
        <v>-2.4245362661989844E-14</v>
      </c>
      <c r="AO6">
        <v>17662270</v>
      </c>
      <c r="AP6" t="s">
        <v>4889</v>
      </c>
      <c r="AS6" t="s">
        <v>4861</v>
      </c>
      <c r="AT6">
        <v>-2.4245362661989844E-14</v>
      </c>
      <c r="AV6">
        <v>-2.4245362661989844E-14</v>
      </c>
      <c r="AW6" t="s">
        <v>1745</v>
      </c>
      <c r="AX6">
        <v>2021</v>
      </c>
      <c r="AY6" t="s">
        <v>4862</v>
      </c>
      <c r="AZ6" s="6">
        <v>44662</v>
      </c>
      <c r="BA6">
        <v>5</v>
      </c>
      <c r="BB6">
        <v>-2.4245362661989844E-14</v>
      </c>
      <c r="BC6">
        <v>15182853</v>
      </c>
      <c r="BD6" t="s">
        <v>4863</v>
      </c>
      <c r="BI6" t="s">
        <v>2270</v>
      </c>
      <c r="BJ6" t="s">
        <v>1769</v>
      </c>
      <c r="BK6">
        <v>1.151538</v>
      </c>
      <c r="BL6">
        <v>7.7191999999999997E-2</v>
      </c>
      <c r="BM6" t="s">
        <v>1745</v>
      </c>
      <c r="BN6">
        <v>2024</v>
      </c>
      <c r="BO6" t="s">
        <v>2271</v>
      </c>
      <c r="BP6" s="6">
        <v>45716</v>
      </c>
      <c r="BQ6">
        <v>5</v>
      </c>
      <c r="BR6">
        <v>2317499</v>
      </c>
      <c r="BS6">
        <v>35300053</v>
      </c>
      <c r="BT6" t="s">
        <v>2272</v>
      </c>
      <c r="FY6" t="s">
        <v>86</v>
      </c>
      <c r="GA6">
        <v>-2.4245362661989844E-14</v>
      </c>
      <c r="GB6">
        <v>-2.4245362661989844E-14</v>
      </c>
      <c r="GC6" t="s">
        <v>1745</v>
      </c>
      <c r="GD6">
        <v>2021</v>
      </c>
      <c r="GE6" t="s">
        <v>2299</v>
      </c>
      <c r="GF6" s="6">
        <v>44693</v>
      </c>
      <c r="GG6">
        <v>5</v>
      </c>
      <c r="GH6">
        <v>-2.4245362661989844E-14</v>
      </c>
      <c r="GI6">
        <v>100193</v>
      </c>
      <c r="GJ6" t="s">
        <v>1849</v>
      </c>
      <c r="IG6" t="s">
        <v>4967</v>
      </c>
      <c r="II6">
        <v>-2.4245362661989844E-14</v>
      </c>
      <c r="IJ6">
        <v>-2.4245362661989844E-14</v>
      </c>
      <c r="IK6" t="s">
        <v>1745</v>
      </c>
      <c r="IL6">
        <v>2021</v>
      </c>
      <c r="IM6" t="s">
        <v>4968</v>
      </c>
      <c r="IN6" s="6">
        <v>44693</v>
      </c>
      <c r="IO6">
        <v>5</v>
      </c>
      <c r="IP6">
        <v>-2.4245362661989844E-14</v>
      </c>
      <c r="IQ6">
        <v>101170</v>
      </c>
      <c r="IR6" t="s">
        <v>4969</v>
      </c>
      <c r="KO6" t="s">
        <v>4246</v>
      </c>
      <c r="KQ6">
        <v>-2.4245362661989844E-14</v>
      </c>
      <c r="KR6">
        <v>-2.4245362661989844E-14</v>
      </c>
      <c r="KS6" t="s">
        <v>1805</v>
      </c>
      <c r="KT6">
        <v>2022</v>
      </c>
      <c r="KU6" t="s">
        <v>4247</v>
      </c>
      <c r="KV6" s="6">
        <v>44804</v>
      </c>
      <c r="KW6">
        <v>5</v>
      </c>
      <c r="KX6">
        <v>-2.4245362661989844E-14</v>
      </c>
      <c r="KY6">
        <v>116354</v>
      </c>
      <c r="KZ6" t="s">
        <v>4248</v>
      </c>
      <c r="MW6" t="s">
        <v>3718</v>
      </c>
      <c r="MX6" t="s">
        <v>1786</v>
      </c>
      <c r="MY6">
        <v>2.1326520000000002</v>
      </c>
      <c r="MZ6">
        <v>0.11368499999999999</v>
      </c>
      <c r="NA6" t="s">
        <v>1809</v>
      </c>
      <c r="NB6">
        <v>2026</v>
      </c>
      <c r="NC6" t="s">
        <v>3719</v>
      </c>
      <c r="ND6" s="6">
        <v>45905</v>
      </c>
      <c r="NE6">
        <v>5</v>
      </c>
      <c r="NF6">
        <v>2010022.05</v>
      </c>
      <c r="NG6">
        <v>178381</v>
      </c>
      <c r="NH6" t="s">
        <v>3720</v>
      </c>
      <c r="NK6" t="s">
        <v>3530</v>
      </c>
      <c r="NL6">
        <v>5.0220849999999997</v>
      </c>
      <c r="NM6" t="s">
        <v>1786</v>
      </c>
      <c r="NN6">
        <v>1.395718</v>
      </c>
      <c r="NO6" t="s">
        <v>1742</v>
      </c>
      <c r="NP6">
        <v>2025</v>
      </c>
      <c r="NQ6" t="s">
        <v>3048</v>
      </c>
      <c r="NR6" s="6">
        <v>45952</v>
      </c>
      <c r="NS6">
        <v>5</v>
      </c>
      <c r="NT6">
        <v>135897616</v>
      </c>
      <c r="NU6">
        <v>101286</v>
      </c>
      <c r="NV6" t="s">
        <v>3531</v>
      </c>
      <c r="OA6" t="s">
        <v>3258</v>
      </c>
      <c r="OC6">
        <v>-2.4245362661989844E-14</v>
      </c>
      <c r="OD6">
        <v>-2.4245362661989844E-14</v>
      </c>
      <c r="OE6" t="s">
        <v>1745</v>
      </c>
      <c r="OF6">
        <v>2021</v>
      </c>
      <c r="OG6" t="s">
        <v>3259</v>
      </c>
      <c r="OH6" s="6">
        <v>44631</v>
      </c>
      <c r="OI6">
        <v>5</v>
      </c>
      <c r="OJ6">
        <v>-2.4245362661989844E-14</v>
      </c>
      <c r="OK6">
        <v>1418574</v>
      </c>
      <c r="OL6" t="s">
        <v>3260</v>
      </c>
      <c r="QI6" t="s">
        <v>2425</v>
      </c>
      <c r="QJ6" t="s">
        <v>1786</v>
      </c>
      <c r="QK6">
        <v>13.760432</v>
      </c>
      <c r="QL6">
        <v>4.7536569999999996</v>
      </c>
      <c r="QM6" t="s">
        <v>1762</v>
      </c>
      <c r="QN6">
        <v>2025</v>
      </c>
      <c r="QO6" t="s">
        <v>2426</v>
      </c>
      <c r="QP6" s="6">
        <v>45937</v>
      </c>
      <c r="QQ6">
        <v>5</v>
      </c>
      <c r="QR6">
        <v>325305405.77999997</v>
      </c>
      <c r="QS6">
        <v>8445936</v>
      </c>
      <c r="QT6" t="s">
        <v>2427</v>
      </c>
      <c r="QW6" t="s">
        <v>1088</v>
      </c>
      <c r="QX6">
        <v>9.2636719999999997</v>
      </c>
      <c r="QY6" t="s">
        <v>1786</v>
      </c>
      <c r="QZ6">
        <v>5.0267530000000002</v>
      </c>
      <c r="RA6" t="s">
        <v>1762</v>
      </c>
      <c r="RB6">
        <v>2025</v>
      </c>
      <c r="RC6" t="s">
        <v>1877</v>
      </c>
      <c r="RD6" s="6">
        <v>45888</v>
      </c>
      <c r="RE6">
        <v>5</v>
      </c>
      <c r="RF6">
        <v>1021134592</v>
      </c>
      <c r="RG6">
        <v>100211</v>
      </c>
      <c r="RH6" t="s">
        <v>1851</v>
      </c>
      <c r="RM6" t="s">
        <v>2422</v>
      </c>
      <c r="RN6" t="s">
        <v>1786</v>
      </c>
      <c r="RO6">
        <v>1.8061149999999999</v>
      </c>
      <c r="RP6">
        <v>1.370322</v>
      </c>
      <c r="RQ6" t="s">
        <v>1762</v>
      </c>
      <c r="RR6">
        <v>2025</v>
      </c>
      <c r="RS6" t="s">
        <v>2423</v>
      </c>
      <c r="RT6" s="6">
        <v>45874</v>
      </c>
      <c r="RU6">
        <v>5</v>
      </c>
      <c r="RV6">
        <v>152133629.88</v>
      </c>
      <c r="RW6">
        <v>115519</v>
      </c>
      <c r="RX6" t="s">
        <v>2424</v>
      </c>
      <c r="SA6" t="s">
        <v>3562</v>
      </c>
      <c r="SB6">
        <v>0.77161500000000005</v>
      </c>
      <c r="SC6" t="s">
        <v>1820</v>
      </c>
      <c r="SD6">
        <v>-2.4245362661989844E-14</v>
      </c>
      <c r="SE6" t="s">
        <v>1745</v>
      </c>
      <c r="SF6">
        <v>2025</v>
      </c>
      <c r="SG6" t="s">
        <v>3563</v>
      </c>
      <c r="SH6" s="6">
        <v>45925</v>
      </c>
      <c r="SI6">
        <v>5</v>
      </c>
      <c r="SJ6">
        <v>95700000</v>
      </c>
      <c r="SK6">
        <v>340053</v>
      </c>
      <c r="SL6" t="s">
        <v>3564</v>
      </c>
      <c r="TU6" t="s">
        <v>86</v>
      </c>
      <c r="TW6">
        <v>-2.4245362661989844E-14</v>
      </c>
      <c r="TX6">
        <v>-2.4245362661989844E-14</v>
      </c>
      <c r="TY6" t="s">
        <v>1745</v>
      </c>
      <c r="TZ6">
        <v>2021</v>
      </c>
      <c r="UA6" t="s">
        <v>2299</v>
      </c>
      <c r="UB6" s="6">
        <v>44693</v>
      </c>
      <c r="UC6">
        <v>5</v>
      </c>
      <c r="UD6">
        <v>-2.4245362661989844E-14</v>
      </c>
      <c r="UE6">
        <v>100193</v>
      </c>
      <c r="UF6" t="s">
        <v>1849</v>
      </c>
      <c r="UI6" t="s">
        <v>4297</v>
      </c>
      <c r="UJ6">
        <v>-2.4245362661989844E-14</v>
      </c>
      <c r="UL6">
        <v>-2.4245362661989844E-14</v>
      </c>
      <c r="UM6" t="s">
        <v>1745</v>
      </c>
      <c r="UN6">
        <v>2026</v>
      </c>
      <c r="UO6" t="s">
        <v>4255</v>
      </c>
      <c r="UP6" s="6">
        <v>46066</v>
      </c>
      <c r="UQ6">
        <v>5</v>
      </c>
      <c r="UR6">
        <v>-2.4245362661989844E-14</v>
      </c>
      <c r="US6">
        <v>19235919</v>
      </c>
      <c r="UT6" t="s">
        <v>4298</v>
      </c>
    </row>
    <row r="7" spans="1:600" x14ac:dyDescent="0.25">
      <c r="A7" t="s">
        <v>2912</v>
      </c>
      <c r="B7" t="s">
        <v>1786</v>
      </c>
      <c r="C7">
        <v>1.8849210000000001</v>
      </c>
      <c r="D7">
        <v>7.4071999999999999E-2</v>
      </c>
      <c r="E7" t="s">
        <v>1809</v>
      </c>
      <c r="F7">
        <v>2025</v>
      </c>
      <c r="G7" t="s">
        <v>2913</v>
      </c>
      <c r="H7" s="6">
        <v>45787</v>
      </c>
      <c r="I7">
        <v>5</v>
      </c>
      <c r="J7">
        <v>2370646</v>
      </c>
      <c r="K7">
        <v>100416</v>
      </c>
      <c r="L7" t="s">
        <v>2914</v>
      </c>
      <c r="O7" t="s">
        <v>1878</v>
      </c>
      <c r="P7">
        <v>3.3382679999999998</v>
      </c>
      <c r="Q7" t="s">
        <v>1786</v>
      </c>
      <c r="R7">
        <v>1.066541</v>
      </c>
      <c r="S7" t="s">
        <v>1845</v>
      </c>
      <c r="T7">
        <v>2025</v>
      </c>
      <c r="U7" t="s">
        <v>4106</v>
      </c>
      <c r="V7" s="6">
        <v>45894</v>
      </c>
      <c r="W7">
        <v>5</v>
      </c>
      <c r="X7">
        <v>165661552</v>
      </c>
      <c r="Y7">
        <v>876285</v>
      </c>
      <c r="Z7" t="s">
        <v>1879</v>
      </c>
      <c r="AE7" t="s">
        <v>4890</v>
      </c>
      <c r="AG7">
        <v>-2.4245362661989844E-14</v>
      </c>
      <c r="AH7">
        <v>-2.4245362661989844E-14</v>
      </c>
      <c r="AI7" t="s">
        <v>1745</v>
      </c>
      <c r="AJ7">
        <v>2021</v>
      </c>
      <c r="AK7" t="s">
        <v>4891</v>
      </c>
      <c r="AL7" s="6">
        <v>44659</v>
      </c>
      <c r="AM7">
        <v>5</v>
      </c>
      <c r="AN7">
        <v>-2.4245362661989844E-14</v>
      </c>
      <c r="AO7">
        <v>22738924</v>
      </c>
      <c r="AP7" t="s">
        <v>4892</v>
      </c>
      <c r="AS7" t="s">
        <v>4864</v>
      </c>
      <c r="AT7">
        <v>-2.4245362661989844E-14</v>
      </c>
      <c r="AV7">
        <v>-2.4245362661989844E-14</v>
      </c>
      <c r="AW7" t="s">
        <v>1762</v>
      </c>
      <c r="AX7">
        <v>2022</v>
      </c>
      <c r="AY7" t="s">
        <v>4865</v>
      </c>
      <c r="AZ7" s="6">
        <v>44686</v>
      </c>
      <c r="BA7">
        <v>5</v>
      </c>
      <c r="BB7">
        <v>-2.4245362661989844E-14</v>
      </c>
      <c r="BC7">
        <v>22250552</v>
      </c>
      <c r="BD7" t="s">
        <v>4866</v>
      </c>
      <c r="BI7" t="s">
        <v>2273</v>
      </c>
      <c r="BJ7" t="s">
        <v>1769</v>
      </c>
      <c r="BK7">
        <v>0.492811</v>
      </c>
      <c r="BL7">
        <v>2.9784000000000001E-2</v>
      </c>
      <c r="BM7" t="s">
        <v>1809</v>
      </c>
      <c r="BN7">
        <v>2026</v>
      </c>
      <c r="BO7" t="s">
        <v>2274</v>
      </c>
      <c r="BP7" s="6">
        <v>45898</v>
      </c>
      <c r="BQ7">
        <v>5</v>
      </c>
      <c r="BR7">
        <v>889383.69</v>
      </c>
      <c r="BS7">
        <v>178651</v>
      </c>
      <c r="BT7" t="s">
        <v>2275</v>
      </c>
      <c r="FY7" t="s">
        <v>2708</v>
      </c>
      <c r="GA7">
        <v>-2.4245362661989844E-14</v>
      </c>
      <c r="GB7">
        <v>-2.4245362661989844E-14</v>
      </c>
      <c r="GC7" t="s">
        <v>1745</v>
      </c>
      <c r="GD7">
        <v>2021</v>
      </c>
      <c r="GE7" t="s">
        <v>2709</v>
      </c>
      <c r="GF7" s="6">
        <v>44693</v>
      </c>
      <c r="GG7">
        <v>5</v>
      </c>
      <c r="GH7">
        <v>-2.4245362661989844E-14</v>
      </c>
      <c r="GI7">
        <v>100348</v>
      </c>
      <c r="GJ7" t="s">
        <v>2710</v>
      </c>
      <c r="IG7" t="s">
        <v>4970</v>
      </c>
      <c r="II7">
        <v>-2.4245362661989844E-14</v>
      </c>
      <c r="IJ7">
        <v>-2.4245362661989844E-14</v>
      </c>
      <c r="IK7" t="s">
        <v>1745</v>
      </c>
      <c r="IL7">
        <v>2021</v>
      </c>
      <c r="IM7" t="s">
        <v>4971</v>
      </c>
      <c r="IN7" s="6">
        <v>44693</v>
      </c>
      <c r="IO7">
        <v>5</v>
      </c>
      <c r="IP7">
        <v>-2.4245362661989844E-14</v>
      </c>
      <c r="IQ7">
        <v>101224</v>
      </c>
      <c r="IR7" t="s">
        <v>4972</v>
      </c>
      <c r="KO7" t="s">
        <v>3613</v>
      </c>
      <c r="KQ7">
        <v>-2.4245362661989844E-14</v>
      </c>
      <c r="KR7">
        <v>-2.4245362661989844E-14</v>
      </c>
      <c r="KS7" t="s">
        <v>1745</v>
      </c>
      <c r="KT7">
        <v>2024</v>
      </c>
      <c r="KU7" t="s">
        <v>3614</v>
      </c>
      <c r="KV7" s="6">
        <v>45716</v>
      </c>
      <c r="KW7">
        <v>5</v>
      </c>
      <c r="KX7">
        <v>-2.4245362661989844E-14</v>
      </c>
      <c r="KY7">
        <v>119752</v>
      </c>
      <c r="KZ7" t="s">
        <v>3615</v>
      </c>
      <c r="MW7" t="s">
        <v>3721</v>
      </c>
      <c r="MX7" t="s">
        <v>1786</v>
      </c>
      <c r="MY7">
        <v>3.1437E-2</v>
      </c>
      <c r="MZ7">
        <v>6.0495E-2</v>
      </c>
      <c r="NA7" t="s">
        <v>1845</v>
      </c>
      <c r="NB7">
        <v>2025</v>
      </c>
      <c r="NC7" t="s">
        <v>3722</v>
      </c>
      <c r="ND7" s="6">
        <v>45876</v>
      </c>
      <c r="NE7">
        <v>5</v>
      </c>
      <c r="NF7">
        <v>1057144.3500000001</v>
      </c>
      <c r="NG7">
        <v>182691</v>
      </c>
      <c r="NH7" t="s">
        <v>3723</v>
      </c>
      <c r="NK7" t="s">
        <v>2826</v>
      </c>
      <c r="NL7">
        <v>4.6641779999999997</v>
      </c>
      <c r="NM7" t="s">
        <v>1786</v>
      </c>
      <c r="NN7">
        <v>6.6318289999999998</v>
      </c>
      <c r="NO7" t="s">
        <v>1742</v>
      </c>
      <c r="NP7">
        <v>2025</v>
      </c>
      <c r="NQ7" t="s">
        <v>3048</v>
      </c>
      <c r="NR7" s="6">
        <v>45952</v>
      </c>
      <c r="NS7">
        <v>5</v>
      </c>
      <c r="NT7">
        <v>126212656</v>
      </c>
      <c r="NU7">
        <v>179551</v>
      </c>
      <c r="NV7" t="s">
        <v>2828</v>
      </c>
      <c r="OA7" t="s">
        <v>3261</v>
      </c>
      <c r="OC7">
        <v>-2.4245362661989844E-14</v>
      </c>
      <c r="OD7">
        <v>-2.4245362661989844E-14</v>
      </c>
      <c r="OE7" t="s">
        <v>1742</v>
      </c>
      <c r="OF7">
        <v>2025</v>
      </c>
      <c r="OG7" t="s">
        <v>3262</v>
      </c>
      <c r="OH7" s="6">
        <v>45959</v>
      </c>
      <c r="OI7">
        <v>5</v>
      </c>
      <c r="OJ7">
        <v>-2.4245362661989844E-14</v>
      </c>
      <c r="OK7">
        <v>64487141</v>
      </c>
      <c r="OL7" t="s">
        <v>3263</v>
      </c>
      <c r="QI7" t="s">
        <v>1844</v>
      </c>
      <c r="QJ7" t="s">
        <v>1786</v>
      </c>
      <c r="QK7">
        <v>11</v>
      </c>
      <c r="QL7">
        <v>3.1337429999999999</v>
      </c>
      <c r="QM7" t="s">
        <v>1745</v>
      </c>
      <c r="QN7">
        <v>2025</v>
      </c>
      <c r="QO7" t="s">
        <v>2428</v>
      </c>
      <c r="QP7" s="6">
        <v>46065</v>
      </c>
      <c r="QQ7">
        <v>5</v>
      </c>
      <c r="QR7">
        <v>226930000</v>
      </c>
      <c r="QS7">
        <v>59099358</v>
      </c>
      <c r="QT7" t="s">
        <v>1847</v>
      </c>
      <c r="QW7" t="s">
        <v>1878</v>
      </c>
      <c r="QX7">
        <v>4.5319979999999997</v>
      </c>
      <c r="QY7" t="s">
        <v>1786</v>
      </c>
      <c r="QZ7">
        <v>3.2162160000000002</v>
      </c>
      <c r="RA7" t="s">
        <v>1762</v>
      </c>
      <c r="RB7">
        <v>2025</v>
      </c>
      <c r="RC7" t="s">
        <v>1877</v>
      </c>
      <c r="RD7" s="6">
        <v>45888</v>
      </c>
      <c r="RE7">
        <v>5</v>
      </c>
      <c r="RF7">
        <v>499562144</v>
      </c>
      <c r="RG7">
        <v>876285</v>
      </c>
      <c r="RH7" t="s">
        <v>1879</v>
      </c>
      <c r="RM7" t="s">
        <v>3925</v>
      </c>
      <c r="RN7" t="s">
        <v>1786</v>
      </c>
      <c r="RO7">
        <v>2.19069</v>
      </c>
      <c r="RP7">
        <v>1.2499830000000001</v>
      </c>
      <c r="RQ7" t="s">
        <v>1762</v>
      </c>
      <c r="RR7">
        <v>2025</v>
      </c>
      <c r="RS7" t="s">
        <v>3926</v>
      </c>
      <c r="RT7" s="6">
        <v>45873</v>
      </c>
      <c r="RU7">
        <v>5</v>
      </c>
      <c r="RV7">
        <v>138750110.75</v>
      </c>
      <c r="RW7">
        <v>112185</v>
      </c>
      <c r="RX7" t="s">
        <v>3927</v>
      </c>
      <c r="SA7" t="s">
        <v>4040</v>
      </c>
      <c r="SB7">
        <v>0.3236</v>
      </c>
      <c r="SC7" t="s">
        <v>1786</v>
      </c>
      <c r="SD7">
        <v>1.6738</v>
      </c>
      <c r="SE7" t="s">
        <v>1762</v>
      </c>
      <c r="SF7">
        <v>2025</v>
      </c>
      <c r="SG7" t="s">
        <v>4041</v>
      </c>
      <c r="SH7" s="6">
        <v>45902</v>
      </c>
      <c r="SI7">
        <v>5</v>
      </c>
      <c r="SJ7">
        <v>42200676</v>
      </c>
      <c r="SK7">
        <v>24061601</v>
      </c>
      <c r="SL7" t="s">
        <v>4042</v>
      </c>
      <c r="TU7" t="s">
        <v>2694</v>
      </c>
      <c r="TW7">
        <v>-2.4245362661989844E-14</v>
      </c>
      <c r="TX7">
        <v>-2.4245362661989844E-14</v>
      </c>
      <c r="TY7" t="s">
        <v>1745</v>
      </c>
      <c r="TZ7">
        <v>2021</v>
      </c>
      <c r="UA7" t="s">
        <v>2695</v>
      </c>
      <c r="UB7" s="6">
        <v>44693</v>
      </c>
      <c r="UC7">
        <v>5</v>
      </c>
      <c r="UD7">
        <v>-2.4245362661989844E-14</v>
      </c>
      <c r="UE7">
        <v>101315</v>
      </c>
      <c r="UF7" t="s">
        <v>2696</v>
      </c>
      <c r="UI7" t="s">
        <v>4299</v>
      </c>
      <c r="UJ7">
        <v>-2.4245362661989844E-14</v>
      </c>
      <c r="UL7">
        <v>-2.4245362661989844E-14</v>
      </c>
      <c r="UM7" t="s">
        <v>1745</v>
      </c>
      <c r="UN7">
        <v>2024</v>
      </c>
      <c r="UO7" t="s">
        <v>4255</v>
      </c>
      <c r="UP7" s="6">
        <v>45435</v>
      </c>
      <c r="UQ7">
        <v>5</v>
      </c>
      <c r="UR7">
        <v>-2.4245362661989844E-14</v>
      </c>
      <c r="US7">
        <v>22150812</v>
      </c>
      <c r="UT7" t="s">
        <v>4300</v>
      </c>
    </row>
    <row r="8" spans="1:600" x14ac:dyDescent="0.25">
      <c r="A8" t="s">
        <v>3895</v>
      </c>
      <c r="B8" t="s">
        <v>1786</v>
      </c>
      <c r="C8">
        <v>2.0605950000000002</v>
      </c>
      <c r="D8">
        <v>6.8046999999999996E-2</v>
      </c>
      <c r="E8" t="s">
        <v>1809</v>
      </c>
      <c r="F8">
        <v>2025</v>
      </c>
      <c r="G8" t="s">
        <v>3896</v>
      </c>
      <c r="H8" s="6">
        <v>45814</v>
      </c>
      <c r="I8">
        <v>5</v>
      </c>
      <c r="J8">
        <v>2177802</v>
      </c>
      <c r="K8">
        <v>136312</v>
      </c>
      <c r="L8" t="s">
        <v>3897</v>
      </c>
      <c r="O8" t="s">
        <v>2073</v>
      </c>
      <c r="P8">
        <v>3.0249090000000001</v>
      </c>
      <c r="Q8" t="s">
        <v>1786</v>
      </c>
      <c r="R8">
        <v>0.86494400000000005</v>
      </c>
      <c r="S8" t="s">
        <v>1845</v>
      </c>
      <c r="T8">
        <v>2025</v>
      </c>
      <c r="U8" t="s">
        <v>4106</v>
      </c>
      <c r="V8" s="6">
        <v>45894</v>
      </c>
      <c r="W8">
        <v>5</v>
      </c>
      <c r="X8">
        <v>150111104</v>
      </c>
      <c r="Y8">
        <v>156923</v>
      </c>
      <c r="Z8" t="s">
        <v>2074</v>
      </c>
      <c r="AE8" t="s">
        <v>4893</v>
      </c>
      <c r="AG8">
        <v>-2.4245362661989844E-14</v>
      </c>
      <c r="AH8">
        <v>-2.4245362661989844E-14</v>
      </c>
      <c r="AI8" t="s">
        <v>1745</v>
      </c>
      <c r="AJ8">
        <v>2021</v>
      </c>
      <c r="AK8" t="s">
        <v>4894</v>
      </c>
      <c r="AL8" s="6">
        <v>44672</v>
      </c>
      <c r="AM8">
        <v>5</v>
      </c>
      <c r="AN8">
        <v>-2.4245362661989844E-14</v>
      </c>
      <c r="AO8">
        <v>21763709</v>
      </c>
      <c r="AP8" t="s">
        <v>4895</v>
      </c>
      <c r="AS8" t="s">
        <v>4867</v>
      </c>
      <c r="AT8">
        <v>-2.4245362661989844E-14</v>
      </c>
      <c r="AV8">
        <v>-2.4245362661989844E-14</v>
      </c>
      <c r="AW8" t="s">
        <v>1745</v>
      </c>
      <c r="AX8">
        <v>2022</v>
      </c>
      <c r="AY8" t="s">
        <v>4868</v>
      </c>
      <c r="AZ8" s="6">
        <v>44757</v>
      </c>
      <c r="BA8">
        <v>5</v>
      </c>
      <c r="BB8">
        <v>-2.4245362661989844E-14</v>
      </c>
      <c r="BC8">
        <v>223616</v>
      </c>
      <c r="BD8" t="s">
        <v>4869</v>
      </c>
      <c r="BI8" t="s">
        <v>2276</v>
      </c>
      <c r="BK8">
        <v>0.44397199999999998</v>
      </c>
      <c r="BL8">
        <v>-2.4245362661989844E-14</v>
      </c>
      <c r="BM8" t="s">
        <v>1845</v>
      </c>
      <c r="BN8">
        <v>2024</v>
      </c>
      <c r="BO8" t="s">
        <v>2277</v>
      </c>
      <c r="BP8" s="6">
        <v>45699</v>
      </c>
      <c r="BQ8">
        <v>5</v>
      </c>
      <c r="BR8">
        <v>316250</v>
      </c>
      <c r="BS8">
        <v>10086577</v>
      </c>
      <c r="BT8" t="s">
        <v>2278</v>
      </c>
      <c r="FY8" t="s">
        <v>813</v>
      </c>
      <c r="GA8">
        <v>-2.4245362661989844E-14</v>
      </c>
      <c r="GB8">
        <v>-2.4245362661989844E-14</v>
      </c>
      <c r="GC8" t="s">
        <v>1745</v>
      </c>
      <c r="GD8">
        <v>2021</v>
      </c>
      <c r="GE8" t="s">
        <v>2037</v>
      </c>
      <c r="GF8" s="6">
        <v>44693</v>
      </c>
      <c r="GG8">
        <v>5</v>
      </c>
      <c r="GH8">
        <v>-2.4245362661989844E-14</v>
      </c>
      <c r="GI8">
        <v>100466</v>
      </c>
      <c r="GJ8" t="s">
        <v>2286</v>
      </c>
      <c r="IG8" t="s">
        <v>1667</v>
      </c>
      <c r="II8">
        <v>-2.4245362661989844E-14</v>
      </c>
      <c r="IJ8">
        <v>-2.4245362661989844E-14</v>
      </c>
      <c r="IK8" t="s">
        <v>1745</v>
      </c>
      <c r="IL8">
        <v>2021</v>
      </c>
      <c r="IM8" t="s">
        <v>4571</v>
      </c>
      <c r="IN8" s="6">
        <v>44693</v>
      </c>
      <c r="IO8">
        <v>5</v>
      </c>
      <c r="IP8">
        <v>-2.4245362661989844E-14</v>
      </c>
      <c r="IQ8">
        <v>101370</v>
      </c>
      <c r="IR8" t="s">
        <v>1830</v>
      </c>
      <c r="KO8" t="s">
        <v>4249</v>
      </c>
      <c r="KQ8">
        <v>-2.4245362661989844E-14</v>
      </c>
      <c r="KR8">
        <v>-2.4245362661989844E-14</v>
      </c>
      <c r="KS8" t="s">
        <v>1745</v>
      </c>
      <c r="KT8">
        <v>2024</v>
      </c>
      <c r="KU8" t="s">
        <v>4250</v>
      </c>
      <c r="KV8" s="6">
        <v>45701</v>
      </c>
      <c r="KW8">
        <v>5</v>
      </c>
      <c r="KX8">
        <v>-2.4245362661989844E-14</v>
      </c>
      <c r="KY8">
        <v>100558</v>
      </c>
      <c r="KZ8" t="s">
        <v>4251</v>
      </c>
      <c r="MW8" t="s">
        <v>3724</v>
      </c>
      <c r="MX8" t="s">
        <v>1786</v>
      </c>
      <c r="MY8">
        <v>2.2457999999999999E-2</v>
      </c>
      <c r="MZ8">
        <v>5.4000000000000001E-4</v>
      </c>
      <c r="NA8" t="s">
        <v>1742</v>
      </c>
      <c r="NB8">
        <v>2026</v>
      </c>
      <c r="NC8" t="s">
        <v>3725</v>
      </c>
      <c r="ND8" s="6">
        <v>46091</v>
      </c>
      <c r="NE8">
        <v>5</v>
      </c>
      <c r="NF8">
        <v>10792.94</v>
      </c>
      <c r="NG8">
        <v>178184</v>
      </c>
      <c r="NH8" t="s">
        <v>3726</v>
      </c>
      <c r="NK8" t="s">
        <v>86</v>
      </c>
      <c r="NL8">
        <v>4.630776</v>
      </c>
      <c r="NM8" t="s">
        <v>1786</v>
      </c>
      <c r="NN8">
        <v>0.19183800000000001</v>
      </c>
      <c r="NO8" t="s">
        <v>1742</v>
      </c>
      <c r="NP8">
        <v>2025</v>
      </c>
      <c r="NQ8" t="s">
        <v>3048</v>
      </c>
      <c r="NR8" s="6">
        <v>45952</v>
      </c>
      <c r="NS8">
        <v>5</v>
      </c>
      <c r="NT8">
        <v>125308800</v>
      </c>
      <c r="NU8">
        <v>100193</v>
      </c>
      <c r="NV8" t="s">
        <v>1849</v>
      </c>
      <c r="OA8" t="s">
        <v>813</v>
      </c>
      <c r="OC8">
        <v>-2.4245362661989844E-14</v>
      </c>
      <c r="OD8">
        <v>-2.4245362661989844E-14</v>
      </c>
      <c r="OE8" t="s">
        <v>1745</v>
      </c>
      <c r="OF8">
        <v>2021</v>
      </c>
      <c r="OG8" t="s">
        <v>2037</v>
      </c>
      <c r="OH8" s="6">
        <v>44693</v>
      </c>
      <c r="OI8">
        <v>5</v>
      </c>
      <c r="OJ8">
        <v>-2.4245362661989844E-14</v>
      </c>
      <c r="OK8">
        <v>100466</v>
      </c>
      <c r="OL8" t="s">
        <v>2286</v>
      </c>
      <c r="QI8" t="s">
        <v>2374</v>
      </c>
      <c r="QJ8" t="s">
        <v>1786</v>
      </c>
      <c r="QK8">
        <v>8.8672269999999997</v>
      </c>
      <c r="QL8">
        <v>1.980351</v>
      </c>
      <c r="QM8" t="s">
        <v>1762</v>
      </c>
      <c r="QN8">
        <v>2025</v>
      </c>
      <c r="QO8" t="s">
        <v>2375</v>
      </c>
      <c r="QP8" s="6">
        <v>45922</v>
      </c>
      <c r="QQ8">
        <v>5</v>
      </c>
      <c r="QR8">
        <v>135574848</v>
      </c>
      <c r="QS8">
        <v>11937231</v>
      </c>
      <c r="QT8" t="s">
        <v>2376</v>
      </c>
      <c r="QW8" t="s">
        <v>1880</v>
      </c>
      <c r="QX8">
        <v>3.2472560000000001</v>
      </c>
      <c r="QY8" t="s">
        <v>1786</v>
      </c>
      <c r="QZ8">
        <v>2.573108</v>
      </c>
      <c r="RA8" t="s">
        <v>1762</v>
      </c>
      <c r="RB8">
        <v>2025</v>
      </c>
      <c r="RC8" t="s">
        <v>1877</v>
      </c>
      <c r="RD8" s="6">
        <v>45888</v>
      </c>
      <c r="RE8">
        <v>5</v>
      </c>
      <c r="RF8">
        <v>357945024</v>
      </c>
      <c r="RG8">
        <v>10451815</v>
      </c>
      <c r="RH8" t="s">
        <v>1881</v>
      </c>
      <c r="RM8" t="s">
        <v>1571</v>
      </c>
      <c r="RN8" t="s">
        <v>1786</v>
      </c>
      <c r="RO8">
        <v>1.748761</v>
      </c>
      <c r="RP8">
        <v>0.78238600000000003</v>
      </c>
      <c r="RQ8" t="s">
        <v>1845</v>
      </c>
      <c r="RR8">
        <v>2025</v>
      </c>
      <c r="RS8" t="s">
        <v>4106</v>
      </c>
      <c r="RT8" s="6">
        <v>45894</v>
      </c>
      <c r="RU8">
        <v>5</v>
      </c>
      <c r="RV8">
        <v>86782264</v>
      </c>
      <c r="RW8">
        <v>101149</v>
      </c>
      <c r="RX8" t="s">
        <v>4107</v>
      </c>
      <c r="SA8" t="s">
        <v>1870</v>
      </c>
      <c r="SB8">
        <v>0.16686100000000001</v>
      </c>
      <c r="SC8" t="s">
        <v>1786</v>
      </c>
      <c r="SD8">
        <v>0.50028099999999998</v>
      </c>
      <c r="SE8" t="s">
        <v>1809</v>
      </c>
      <c r="SF8">
        <v>2025</v>
      </c>
      <c r="SG8" t="s">
        <v>1871</v>
      </c>
      <c r="SH8" s="6">
        <v>45820</v>
      </c>
      <c r="SI8">
        <v>5</v>
      </c>
      <c r="SJ8">
        <v>20395456</v>
      </c>
      <c r="SK8">
        <v>12129192</v>
      </c>
      <c r="SL8" t="s">
        <v>1872</v>
      </c>
      <c r="TU8" t="s">
        <v>4257</v>
      </c>
      <c r="TW8">
        <v>-2.4245362661989844E-14</v>
      </c>
      <c r="TX8">
        <v>-2.4245362661989844E-14</v>
      </c>
      <c r="TY8" t="s">
        <v>1745</v>
      </c>
      <c r="TZ8">
        <v>2021</v>
      </c>
      <c r="UA8" t="s">
        <v>4258</v>
      </c>
      <c r="UB8" s="6">
        <v>44693</v>
      </c>
      <c r="UC8">
        <v>5</v>
      </c>
      <c r="UD8">
        <v>-2.4245362661989844E-14</v>
      </c>
      <c r="UE8">
        <v>109221</v>
      </c>
      <c r="UF8" t="s">
        <v>4259</v>
      </c>
      <c r="UI8" t="s">
        <v>4301</v>
      </c>
      <c r="UJ8">
        <v>-2.4245362661989844E-14</v>
      </c>
      <c r="UL8">
        <v>-2.4245362661989844E-14</v>
      </c>
      <c r="UM8" t="s">
        <v>1745</v>
      </c>
      <c r="UN8">
        <v>2023</v>
      </c>
      <c r="UO8" t="s">
        <v>4255</v>
      </c>
      <c r="UP8" s="6">
        <v>45015</v>
      </c>
      <c r="UQ8">
        <v>5</v>
      </c>
      <c r="UR8">
        <v>-2.4245362661989844E-14</v>
      </c>
      <c r="US8">
        <v>904036</v>
      </c>
      <c r="UT8" t="s">
        <v>4302</v>
      </c>
    </row>
    <row r="9" spans="1:600" x14ac:dyDescent="0.25">
      <c r="A9" t="s">
        <v>4931</v>
      </c>
      <c r="B9" t="s">
        <v>1786</v>
      </c>
      <c r="C9">
        <v>1.053598</v>
      </c>
      <c r="D9">
        <v>6.8002000000000007E-2</v>
      </c>
      <c r="E9" t="s">
        <v>1762</v>
      </c>
      <c r="F9">
        <v>2025</v>
      </c>
      <c r="G9" t="s">
        <v>4932</v>
      </c>
      <c r="H9" s="6">
        <v>45911</v>
      </c>
      <c r="I9">
        <v>5</v>
      </c>
      <c r="J9">
        <v>2131007</v>
      </c>
      <c r="K9">
        <v>103317</v>
      </c>
      <c r="L9" t="s">
        <v>4933</v>
      </c>
      <c r="O9" t="s">
        <v>234</v>
      </c>
      <c r="P9">
        <v>1.748761</v>
      </c>
      <c r="Q9" t="s">
        <v>1786</v>
      </c>
      <c r="R9">
        <v>0.78238600000000003</v>
      </c>
      <c r="S9" t="s">
        <v>1845</v>
      </c>
      <c r="T9">
        <v>2025</v>
      </c>
      <c r="U9" t="s">
        <v>4106</v>
      </c>
      <c r="V9" s="6">
        <v>45894</v>
      </c>
      <c r="W9">
        <v>5</v>
      </c>
      <c r="X9">
        <v>86782264</v>
      </c>
      <c r="Y9">
        <v>100631</v>
      </c>
      <c r="Z9" t="s">
        <v>2177</v>
      </c>
      <c r="AE9" t="s">
        <v>4896</v>
      </c>
      <c r="AG9">
        <v>-2.4245362661989844E-14</v>
      </c>
      <c r="AH9">
        <v>-2.4245362661989844E-14</v>
      </c>
      <c r="AI9" t="s">
        <v>1745</v>
      </c>
      <c r="AJ9">
        <v>2022</v>
      </c>
      <c r="AK9" t="s">
        <v>4897</v>
      </c>
      <c r="AL9" s="6">
        <v>44761</v>
      </c>
      <c r="AM9">
        <v>5</v>
      </c>
      <c r="AN9">
        <v>-2.4245362661989844E-14</v>
      </c>
      <c r="AO9">
        <v>113285</v>
      </c>
      <c r="AP9" t="s">
        <v>4898</v>
      </c>
      <c r="AS9" t="s">
        <v>4870</v>
      </c>
      <c r="AT9">
        <v>-2.4245362661989844E-14</v>
      </c>
      <c r="AV9">
        <v>-2.4245362661989844E-14</v>
      </c>
      <c r="AW9" t="s">
        <v>1762</v>
      </c>
      <c r="AX9">
        <v>2022</v>
      </c>
      <c r="AY9" t="s">
        <v>4871</v>
      </c>
      <c r="AZ9" s="6">
        <v>44686</v>
      </c>
      <c r="BA9">
        <v>5</v>
      </c>
      <c r="BB9">
        <v>-2.4245362661989844E-14</v>
      </c>
      <c r="BC9">
        <v>8850348</v>
      </c>
      <c r="BD9" t="s">
        <v>4872</v>
      </c>
      <c r="BI9" t="s">
        <v>2043</v>
      </c>
      <c r="BK9">
        <v>-2.4245362661989844E-14</v>
      </c>
      <c r="BL9">
        <v>-2.4245362661989844E-14</v>
      </c>
      <c r="BM9" t="s">
        <v>1798</v>
      </c>
      <c r="BN9">
        <v>2025</v>
      </c>
      <c r="BO9" t="s">
        <v>2279</v>
      </c>
      <c r="BP9" s="6">
        <v>45974</v>
      </c>
      <c r="BQ9">
        <v>5</v>
      </c>
      <c r="BR9">
        <v>-2.4245362661989844E-14</v>
      </c>
      <c r="BS9">
        <v>118099</v>
      </c>
      <c r="BT9" t="s">
        <v>2044</v>
      </c>
      <c r="FY9" t="s">
        <v>2346</v>
      </c>
      <c r="GA9">
        <v>-2.4245362661989844E-14</v>
      </c>
      <c r="GB9">
        <v>-2.4245362661989844E-14</v>
      </c>
      <c r="GC9" t="s">
        <v>1745</v>
      </c>
      <c r="GD9">
        <v>2021</v>
      </c>
      <c r="GE9" t="s">
        <v>2347</v>
      </c>
      <c r="GF9" s="6">
        <v>44693</v>
      </c>
      <c r="GG9">
        <v>5</v>
      </c>
      <c r="GH9">
        <v>-2.4245362661989844E-14</v>
      </c>
      <c r="GI9">
        <v>100481</v>
      </c>
      <c r="GJ9" t="s">
        <v>2348</v>
      </c>
      <c r="IG9" t="s">
        <v>310</v>
      </c>
      <c r="II9">
        <v>-2.4245362661989844E-14</v>
      </c>
      <c r="IJ9">
        <v>-2.4245362661989844E-14</v>
      </c>
      <c r="IK9" t="s">
        <v>1745</v>
      </c>
      <c r="IL9">
        <v>2021</v>
      </c>
      <c r="IM9" t="s">
        <v>4973</v>
      </c>
      <c r="IN9" s="6">
        <v>44693</v>
      </c>
      <c r="IO9">
        <v>5</v>
      </c>
      <c r="IP9">
        <v>-2.4245362661989844E-14</v>
      </c>
      <c r="IQ9">
        <v>101668</v>
      </c>
      <c r="IR9" t="s">
        <v>4974</v>
      </c>
      <c r="KO9" t="s">
        <v>4252</v>
      </c>
      <c r="KQ9">
        <v>-2.4245362661989844E-14</v>
      </c>
      <c r="KR9">
        <v>-2.4245362661989844E-14</v>
      </c>
      <c r="KS9" t="s">
        <v>1745</v>
      </c>
      <c r="KT9">
        <v>2024</v>
      </c>
      <c r="KU9" t="s">
        <v>4253</v>
      </c>
      <c r="KV9" s="6">
        <v>45700</v>
      </c>
      <c r="KW9">
        <v>5</v>
      </c>
      <c r="KX9">
        <v>-2.4245362661989844E-14</v>
      </c>
      <c r="KY9">
        <v>8796892</v>
      </c>
      <c r="KZ9" t="s">
        <v>4254</v>
      </c>
      <c r="MW9" t="s">
        <v>3727</v>
      </c>
      <c r="MY9">
        <v>-2.4245362661989844E-14</v>
      </c>
      <c r="MZ9">
        <v>-2.4245362661989844E-14</v>
      </c>
      <c r="NA9" t="s">
        <v>1805</v>
      </c>
      <c r="NB9">
        <v>2025</v>
      </c>
      <c r="NC9" t="s">
        <v>3728</v>
      </c>
      <c r="ND9" s="6">
        <v>45891</v>
      </c>
      <c r="NE9">
        <v>5</v>
      </c>
      <c r="NF9">
        <v>-2.4245362661989844E-14</v>
      </c>
      <c r="NG9">
        <v>135827</v>
      </c>
      <c r="NH9" t="s">
        <v>3729</v>
      </c>
      <c r="NK9" t="s">
        <v>3532</v>
      </c>
      <c r="NL9">
        <v>4.3213790000000003</v>
      </c>
      <c r="NM9" t="s">
        <v>1786</v>
      </c>
      <c r="NN9">
        <v>2.4687239999999999</v>
      </c>
      <c r="NO9" t="s">
        <v>1742</v>
      </c>
      <c r="NP9">
        <v>2025</v>
      </c>
      <c r="NQ9" t="s">
        <v>3048</v>
      </c>
      <c r="NR9" s="6">
        <v>45952</v>
      </c>
      <c r="NS9">
        <v>5</v>
      </c>
      <c r="NT9">
        <v>116936512</v>
      </c>
      <c r="NU9">
        <v>114009</v>
      </c>
      <c r="NV9" t="s">
        <v>3533</v>
      </c>
      <c r="OA9" t="s">
        <v>2694</v>
      </c>
      <c r="OC9">
        <v>-2.4245362661989844E-14</v>
      </c>
      <c r="OD9">
        <v>-2.4245362661989844E-14</v>
      </c>
      <c r="OE9" t="s">
        <v>1745</v>
      </c>
      <c r="OF9">
        <v>2021</v>
      </c>
      <c r="OG9" t="s">
        <v>2695</v>
      </c>
      <c r="OH9" s="6">
        <v>44693</v>
      </c>
      <c r="OI9">
        <v>5</v>
      </c>
      <c r="OJ9">
        <v>-2.4245362661989844E-14</v>
      </c>
      <c r="OK9">
        <v>101315</v>
      </c>
      <c r="OL9" t="s">
        <v>2696</v>
      </c>
      <c r="QI9" t="s">
        <v>949</v>
      </c>
      <c r="QJ9" t="s">
        <v>1786</v>
      </c>
      <c r="QK9">
        <v>9.9027270000000005</v>
      </c>
      <c r="QL9">
        <v>1.5774429999999999</v>
      </c>
      <c r="QM9" t="s">
        <v>1762</v>
      </c>
      <c r="QN9">
        <v>2025</v>
      </c>
      <c r="QO9" t="s">
        <v>2429</v>
      </c>
      <c r="QP9" s="6">
        <v>45904</v>
      </c>
      <c r="QQ9">
        <v>5</v>
      </c>
      <c r="QR9">
        <v>107991712</v>
      </c>
      <c r="QS9">
        <v>187877</v>
      </c>
      <c r="QT9" t="s">
        <v>2430</v>
      </c>
      <c r="QW9" t="s">
        <v>1079</v>
      </c>
      <c r="QX9">
        <v>3.0622020000000001</v>
      </c>
      <c r="QY9" t="s">
        <v>1786</v>
      </c>
      <c r="QZ9">
        <v>2.546176</v>
      </c>
      <c r="RA9" t="s">
        <v>1762</v>
      </c>
      <c r="RB9">
        <v>2025</v>
      </c>
      <c r="RC9" t="s">
        <v>1877</v>
      </c>
      <c r="RD9" s="6">
        <v>45888</v>
      </c>
      <c r="RE9">
        <v>5</v>
      </c>
      <c r="RF9">
        <v>337546528</v>
      </c>
      <c r="RG9">
        <v>100090</v>
      </c>
      <c r="RH9" t="s">
        <v>1882</v>
      </c>
      <c r="RM9" t="s">
        <v>274</v>
      </c>
      <c r="RN9" t="s">
        <v>1786</v>
      </c>
      <c r="RO9">
        <v>4.2578709999999997</v>
      </c>
      <c r="RP9">
        <v>0.81780799999999998</v>
      </c>
      <c r="RQ9" t="s">
        <v>1762</v>
      </c>
      <c r="RR9">
        <v>2025</v>
      </c>
      <c r="RS9" t="s">
        <v>2172</v>
      </c>
      <c r="RT9" s="6">
        <v>45791</v>
      </c>
      <c r="RU9">
        <v>5</v>
      </c>
      <c r="RV9">
        <v>84479568</v>
      </c>
      <c r="RW9">
        <v>116988</v>
      </c>
      <c r="RX9" t="s">
        <v>4108</v>
      </c>
      <c r="SA9" t="s">
        <v>4043</v>
      </c>
      <c r="SB9">
        <v>7.0043999999999995E-2</v>
      </c>
      <c r="SC9" t="s">
        <v>1786</v>
      </c>
      <c r="SD9">
        <v>0.716028</v>
      </c>
      <c r="SE9" t="s">
        <v>1845</v>
      </c>
      <c r="SF9">
        <v>2024</v>
      </c>
      <c r="SG9" t="s">
        <v>4041</v>
      </c>
      <c r="SH9" s="6">
        <v>45706</v>
      </c>
      <c r="SI9">
        <v>5</v>
      </c>
      <c r="SJ9">
        <v>9342469</v>
      </c>
      <c r="SK9">
        <v>202402</v>
      </c>
      <c r="SL9" t="s">
        <v>4044</v>
      </c>
      <c r="TU9" t="s">
        <v>2700</v>
      </c>
      <c r="TW9">
        <v>-2.4245362661989844E-14</v>
      </c>
      <c r="TX9">
        <v>-2.4245362661989844E-14</v>
      </c>
      <c r="TY9" t="s">
        <v>1745</v>
      </c>
      <c r="TZ9">
        <v>2021</v>
      </c>
      <c r="UA9" t="s">
        <v>2701</v>
      </c>
      <c r="UB9" s="6">
        <v>44693</v>
      </c>
      <c r="UC9">
        <v>5</v>
      </c>
      <c r="UD9">
        <v>-2.4245362661989844E-14</v>
      </c>
      <c r="UE9">
        <v>101139</v>
      </c>
      <c r="UF9" t="s">
        <v>2702</v>
      </c>
      <c r="UI9" t="s">
        <v>4303</v>
      </c>
      <c r="UJ9">
        <v>-2.4245362661989844E-14</v>
      </c>
      <c r="UL9">
        <v>-2.4245362661989844E-14</v>
      </c>
      <c r="UM9" t="s">
        <v>1745</v>
      </c>
      <c r="UN9">
        <v>2025</v>
      </c>
      <c r="UO9" t="s">
        <v>4255</v>
      </c>
      <c r="UP9" s="6">
        <v>45797</v>
      </c>
      <c r="UQ9">
        <v>5</v>
      </c>
      <c r="UR9">
        <v>-2.4245362661989844E-14</v>
      </c>
      <c r="US9">
        <v>27087735</v>
      </c>
      <c r="UT9" t="s">
        <v>4304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1583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1584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1585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1586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1587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1588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1589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1590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1591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1592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1593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1594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1595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1596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1597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1598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1599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1600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1601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1346</v>
      </c>
      <c r="AE2" s="3" t="s">
        <v>1602</v>
      </c>
      <c r="BI2" s="3" t="s">
        <v>1603</v>
      </c>
      <c r="CM2" s="3" t="s">
        <v>1604</v>
      </c>
      <c r="DQ2" s="3" t="s">
        <v>1605</v>
      </c>
      <c r="EU2" s="3" t="s">
        <v>1606</v>
      </c>
      <c r="FY2" s="3" t="s">
        <v>1607</v>
      </c>
      <c r="HC2" s="3" t="s">
        <v>1111</v>
      </c>
      <c r="IG2" s="3" t="s">
        <v>1608</v>
      </c>
      <c r="JK2" s="3" t="s">
        <v>1152</v>
      </c>
      <c r="KO2" s="3" t="s">
        <v>1341</v>
      </c>
      <c r="LS2" s="3" t="s">
        <v>34</v>
      </c>
      <c r="MW2" s="3" t="s">
        <v>344</v>
      </c>
      <c r="OA2" s="3" t="s">
        <v>1515</v>
      </c>
      <c r="PE2" s="3" t="s">
        <v>1609</v>
      </c>
      <c r="QI2" s="3" t="s">
        <v>774</v>
      </c>
      <c r="RM2" s="3" t="s">
        <v>1610</v>
      </c>
      <c r="SQ2" s="3" t="s">
        <v>115</v>
      </c>
      <c r="TU2" s="3" t="s">
        <v>381</v>
      </c>
      <c r="UY2" s="3" t="s">
        <v>1611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_xll.BDS("HON US Equity","SUPPLY_CHAIN_SUPPLIERS_ALL_DATA","cols=12;rows=5")</f>
        <v>CLS CN Equity</v>
      </c>
      <c r="B5" t="s">
        <v>1786</v>
      </c>
      <c r="C5">
        <v>4.9330850000000002</v>
      </c>
      <c r="D5">
        <v>2.2964980000000002</v>
      </c>
      <c r="E5" t="s">
        <v>1742</v>
      </c>
      <c r="F5">
        <v>2025</v>
      </c>
      <c r="G5" t="s">
        <v>2370</v>
      </c>
      <c r="H5" s="6">
        <v>46013</v>
      </c>
      <c r="I5">
        <v>5</v>
      </c>
      <c r="J5">
        <v>157562736</v>
      </c>
      <c r="K5">
        <v>349266</v>
      </c>
      <c r="L5" t="s">
        <v>2371</v>
      </c>
      <c r="O5" t="str">
        <f>_xll.BDS("HON US Equity","SUPPLY_CHAIN_CUSTOMERS_ALL_DATA","cols=12;rows=5")</f>
        <v>3352Z US Equity</v>
      </c>
      <c r="P5">
        <v>12.69163</v>
      </c>
      <c r="R5">
        <v>-2.4245362661989844E-14</v>
      </c>
      <c r="S5" t="s">
        <v>1745</v>
      </c>
      <c r="T5">
        <v>2025</v>
      </c>
      <c r="U5" t="s">
        <v>2367</v>
      </c>
      <c r="V5" s="6">
        <v>46070</v>
      </c>
      <c r="W5">
        <v>5</v>
      </c>
      <c r="X5">
        <v>1188000000</v>
      </c>
      <c r="Y5">
        <v>218252</v>
      </c>
      <c r="Z5" t="s">
        <v>1803</v>
      </c>
      <c r="AE5" t="str">
        <f>_xll.BDS("AMPY US Equity","SUPPLY_CHAIN_SUPPLIERS_ALL_DATA")</f>
        <v>#N/A N/A</v>
      </c>
      <c r="AS5" t="str">
        <f>_xll.BDS("AMPY US Equity","SUPPLY_CHAIN_CUSTOMERS_ALL_DATA","cols=12;rows=5")</f>
        <v>PSX US Equity</v>
      </c>
      <c r="AT5">
        <v>33</v>
      </c>
      <c r="AU5" t="s">
        <v>1786</v>
      </c>
      <c r="AV5">
        <v>7.3306999999999997E-2</v>
      </c>
      <c r="AW5" t="s">
        <v>1745</v>
      </c>
      <c r="AX5">
        <v>2024</v>
      </c>
      <c r="AY5" t="s">
        <v>3627</v>
      </c>
      <c r="AZ5" s="6">
        <v>45721</v>
      </c>
      <c r="BA5">
        <v>5</v>
      </c>
      <c r="BB5">
        <v>24311182</v>
      </c>
      <c r="BC5">
        <v>28399721</v>
      </c>
      <c r="BD5" t="s">
        <v>3545</v>
      </c>
      <c r="BI5" t="str">
        <f>_xll.BDS("USWB US Equity","SUPPLY_CHAIN_SUPPLIERS_ALL_DATA")</f>
        <v>#N/A N/A</v>
      </c>
      <c r="BW5" t="str">
        <f>_xll.BDS("USWB US Equity","SUPPLY_CHAIN_CUSTOMERS_ALL_DATA")</f>
        <v>#N/A N/A</v>
      </c>
      <c r="CM5" t="str">
        <f>_xll.BDS("SUG US Equity","SUPPLY_CHAIN_SUPPLIERS_ALL_DATA")</f>
        <v>#N/A N/A</v>
      </c>
      <c r="DA5" t="str">
        <f>_xll.BDS("SUG US Equity","SUPPLY_CHAIN_CUSTOMERS_ALL_DATA")</f>
        <v>#N/A N/A</v>
      </c>
      <c r="DQ5" t="str">
        <f>_xll.BDS("ILMN US Equity","SUPPLY_CHAIN_SUPPLIERS_ALL_DATA","cols=12;rows=5")</f>
        <v>ARE US Equity</v>
      </c>
      <c r="DR5" t="s">
        <v>1769</v>
      </c>
      <c r="DS5">
        <v>0.99046599999999996</v>
      </c>
      <c r="DT5">
        <v>2.755239</v>
      </c>
      <c r="DU5" t="s">
        <v>1745</v>
      </c>
      <c r="DV5">
        <v>2025</v>
      </c>
      <c r="DW5" t="s">
        <v>2883</v>
      </c>
      <c r="DX5" s="6">
        <v>46048</v>
      </c>
      <c r="DY5">
        <v>5</v>
      </c>
      <c r="DZ5">
        <v>7494250</v>
      </c>
      <c r="EA5">
        <v>216867</v>
      </c>
      <c r="EB5" t="s">
        <v>2884</v>
      </c>
      <c r="EE5" t="str">
        <f>_xll.BDS("ILMN US Equity","SUPPLY_CHAIN_CUSTOMERS_ALL_DATA","cols=12;rows=5")</f>
        <v>PFE US Equity</v>
      </c>
      <c r="EF5">
        <v>0.94369700000000001</v>
      </c>
      <c r="EG5" t="s">
        <v>1786</v>
      </c>
      <c r="EH5">
        <v>0.26452500000000001</v>
      </c>
      <c r="EI5" t="s">
        <v>1762</v>
      </c>
      <c r="EJ5">
        <v>2025</v>
      </c>
      <c r="EK5" t="s">
        <v>4726</v>
      </c>
      <c r="EL5" s="6">
        <v>45899</v>
      </c>
      <c r="EM5">
        <v>5</v>
      </c>
      <c r="EN5">
        <v>9993751</v>
      </c>
      <c r="EO5">
        <v>101166</v>
      </c>
      <c r="EP5" t="s">
        <v>3255</v>
      </c>
      <c r="EU5" t="str">
        <f>_xll.BDS("DCOM US Equity","SUPPLY_CHAIN_SUPPLIERS_ALL_DATA")</f>
        <v>#N/A N/A</v>
      </c>
      <c r="FI5" t="str">
        <f>_xll.BDS("DCOM US Equity","SUPPLY_CHAIN_CUSTOMERS_ALL_DATA")</f>
        <v>#N/A N/A</v>
      </c>
      <c r="FY5" t="str">
        <f>_xll.BDS("DGIT US Equity","SUPPLY_CHAIN_SUPPLIERS_ALL_DATA")</f>
        <v>#N/A N/A</v>
      </c>
      <c r="GM5" t="str">
        <f>_xll.BDS("DGIT US Equity","SUPPLY_CHAIN_CUSTOMERS_ALL_DATA")</f>
        <v>#N/A N/A</v>
      </c>
      <c r="HC5" t="str">
        <f>_xll.BDS("PBCT US Equity","SUPPLY_CHAIN_SUPPLIERS_ALL_DATA")</f>
        <v>#N/A N/A</v>
      </c>
      <c r="HQ5" t="str">
        <f>_xll.BDS("PBCT US Equity","SUPPLY_CHAIN_CUSTOMERS_ALL_DATA")</f>
        <v>#N/A N/A</v>
      </c>
      <c r="IG5" t="str">
        <f>_xll.BDS("JMXIE US Equity","SUPPLY_CHAIN_SUPPLIERS_ALL_DATA")</f>
        <v>#N/A N/A</v>
      </c>
      <c r="IU5" t="str">
        <f>_xll.BDS("JMXIE US Equity","SUPPLY_CHAIN_CUSTOMERS_ALL_DATA")</f>
        <v>#N/A N/A</v>
      </c>
      <c r="JK5" t="str">
        <f>_xll.BDS("SNPS US Equity","SUPPLY_CHAIN_SUPPLIERS_ALL_DATA","cols=12;rows=5")</f>
        <v>000660 KS Equity</v>
      </c>
      <c r="JL5" t="s">
        <v>1786</v>
      </c>
      <c r="JM5">
        <v>6.9986999999999994E-2</v>
      </c>
      <c r="JN5">
        <v>3.195624</v>
      </c>
      <c r="JO5" t="s">
        <v>1845</v>
      </c>
      <c r="JP5">
        <v>2024</v>
      </c>
      <c r="JQ5" t="s">
        <v>2945</v>
      </c>
      <c r="JR5" s="6">
        <v>45805</v>
      </c>
      <c r="JS5">
        <v>5</v>
      </c>
      <c r="JT5">
        <v>8835872.8200000003</v>
      </c>
      <c r="JU5">
        <v>193974</v>
      </c>
      <c r="JV5" t="s">
        <v>2946</v>
      </c>
      <c r="JY5" t="str">
        <f>_xll.BDS("SNPS US Equity","SUPPLY_CHAIN_CUSTOMERS_ALL_DATA","cols=12;rows=5")</f>
        <v>2454 TT Equity</v>
      </c>
      <c r="JZ5">
        <v>3.6540590000000002</v>
      </c>
      <c r="KA5" t="s">
        <v>1786</v>
      </c>
      <c r="KB5">
        <v>2.4199099999999998</v>
      </c>
      <c r="KC5" t="s">
        <v>1809</v>
      </c>
      <c r="KD5">
        <v>2025</v>
      </c>
      <c r="KE5" t="s">
        <v>1810</v>
      </c>
      <c r="KF5" s="6">
        <v>45866</v>
      </c>
      <c r="KG5">
        <v>5</v>
      </c>
      <c r="KH5">
        <v>58486037.799999997</v>
      </c>
      <c r="KI5">
        <v>7359591</v>
      </c>
      <c r="KJ5" t="s">
        <v>1811</v>
      </c>
      <c r="KO5" t="str">
        <f>_xll.BDS("ASB US Equity","SUPPLY_CHAIN_SUPPLIERS_ALL_DATA","cols=12;rows=2")</f>
        <v>NICE IT Equity</v>
      </c>
      <c r="KQ5">
        <v>-2.4245362661989844E-14</v>
      </c>
      <c r="KR5">
        <v>-2.4245362661989844E-14</v>
      </c>
      <c r="KS5" t="s">
        <v>1809</v>
      </c>
      <c r="KT5">
        <v>2023</v>
      </c>
      <c r="KU5" t="s">
        <v>2668</v>
      </c>
      <c r="KV5" s="6">
        <v>45057</v>
      </c>
      <c r="KW5">
        <v>2</v>
      </c>
      <c r="KX5">
        <v>-2.4245362661989844E-14</v>
      </c>
      <c r="KY5">
        <v>173249</v>
      </c>
      <c r="KZ5" t="s">
        <v>2669</v>
      </c>
      <c r="LC5" t="str">
        <f>_xll.BDS("ASB US Equity","SUPPLY_CHAIN_CUSTOMERS_ALL_DATA")</f>
        <v>#N/A N/A</v>
      </c>
      <c r="LS5" t="str">
        <f>_xll.BDS("ORCL US Equity","SUPPLY_CHAIN_SUPPLIERS_ALL_DATA","cols=12;rows=5")</f>
        <v>NVDA US Equity</v>
      </c>
      <c r="LT5" t="s">
        <v>1820</v>
      </c>
      <c r="LU5">
        <v>1.9751799999999999</v>
      </c>
      <c r="LV5">
        <v>11.182838</v>
      </c>
      <c r="LW5" t="s">
        <v>1845</v>
      </c>
      <c r="LX5">
        <v>2026</v>
      </c>
      <c r="LY5" t="s">
        <v>2311</v>
      </c>
      <c r="LZ5" s="6">
        <v>46087</v>
      </c>
      <c r="MA5">
        <v>5</v>
      </c>
      <c r="MB5">
        <v>1345630848</v>
      </c>
      <c r="MC5">
        <v>313657</v>
      </c>
      <c r="MD5" t="s">
        <v>2312</v>
      </c>
      <c r="MG5" t="str">
        <f>_xll.BDS("ORCL US Equity","SUPPLY_CHAIN_CUSTOMERS_ALL_DATA","cols=12;rows=5")</f>
        <v>ACN US Equity</v>
      </c>
      <c r="MH5">
        <v>1.9061380000000001</v>
      </c>
      <c r="MI5" t="s">
        <v>1786</v>
      </c>
      <c r="MJ5">
        <v>2.7725070000000001</v>
      </c>
      <c r="MK5" t="s">
        <v>1845</v>
      </c>
      <c r="ML5">
        <v>2025</v>
      </c>
      <c r="MM5" t="s">
        <v>1883</v>
      </c>
      <c r="MN5" s="6">
        <v>45848</v>
      </c>
      <c r="MO5">
        <v>5</v>
      </c>
      <c r="MP5">
        <v>303133120</v>
      </c>
      <c r="MQ5">
        <v>300787</v>
      </c>
      <c r="MR5" t="s">
        <v>1884</v>
      </c>
      <c r="MW5" t="str">
        <f>_xll.BDS("FNB US Equity","SUPPLY_CHAIN_SUPPLIERS_ALL_DATA","cols=12;rows=1")</f>
        <v>HY US Equity</v>
      </c>
      <c r="MY5">
        <v>-2.4245362661989844E-14</v>
      </c>
      <c r="MZ5">
        <v>-2.4245362661989844E-14</v>
      </c>
      <c r="NA5" t="s">
        <v>1745</v>
      </c>
      <c r="NB5">
        <v>2024</v>
      </c>
      <c r="NC5" t="s">
        <v>4948</v>
      </c>
      <c r="ND5" s="6">
        <v>45427</v>
      </c>
      <c r="NE5">
        <v>1</v>
      </c>
      <c r="NF5">
        <v>-2.4245362661989844E-14</v>
      </c>
      <c r="NG5">
        <v>159242</v>
      </c>
      <c r="NH5" t="s">
        <v>4949</v>
      </c>
      <c r="NK5" t="str">
        <f>_xll.BDS("FNB US Equity","SUPPLY_CHAIN_CUSTOMERS_ALL_DATA")</f>
        <v>#N/A N/A</v>
      </c>
      <c r="OA5" t="str">
        <f>_xll.BDS("1528159D US Equity","SUPPLY_CHAIN_SUPPLIERS_ALL_DATA")</f>
        <v>#N/A N/A</v>
      </c>
      <c r="OO5" t="str">
        <f>_xll.BDS("1528159D US Equity","SUPPLY_CHAIN_CUSTOMERS_ALL_DATA")</f>
        <v>#N/A N/A</v>
      </c>
      <c r="PE5" t="str">
        <f>_xll.BDS("OCFC US Equity","SUPPLY_CHAIN_SUPPLIERS_ALL_DATA")</f>
        <v>#N/A N/A</v>
      </c>
      <c r="PS5" t="str">
        <f>_xll.BDS("OCFC US Equity","SUPPLY_CHAIN_CUSTOMERS_ALL_DATA")</f>
        <v>#N/A N/A</v>
      </c>
      <c r="QI5" t="str">
        <f>_xll.BDS("ISIL US Equity","SUPPLY_CHAIN_SUPPLIERS_ALL_DATA","cols=12;rows=1")</f>
        <v>FE US Equity</v>
      </c>
      <c r="QK5">
        <v>-2.4245362661989844E-14</v>
      </c>
      <c r="QL5">
        <v>-2.4245362661989844E-14</v>
      </c>
      <c r="QM5" t="s">
        <v>1745</v>
      </c>
      <c r="QN5">
        <v>2021</v>
      </c>
      <c r="QO5" t="s">
        <v>2288</v>
      </c>
      <c r="QP5" s="6">
        <v>44693</v>
      </c>
      <c r="QQ5">
        <v>1</v>
      </c>
      <c r="QR5">
        <v>-2.4245362661989844E-14</v>
      </c>
      <c r="QS5">
        <v>302916</v>
      </c>
      <c r="QT5" t="s">
        <v>2289</v>
      </c>
      <c r="QW5" t="str">
        <f>_xll.BDS("ISIL US Equity","SUPPLY_CHAIN_CUSTOMERS_ALL_DATA")</f>
        <v>#N/A N/A</v>
      </c>
      <c r="RM5" t="str">
        <f>_xll.BDS("838852Q US Equity","SUPPLY_CHAIN_SUPPLIERS_ALL_DATA")</f>
        <v>#N/A N/A</v>
      </c>
      <c r="SA5" t="str">
        <f>_xll.BDS("838852Q US Equity","SUPPLY_CHAIN_CUSTOMERS_ALL_DATA")</f>
        <v>#N/A N/A</v>
      </c>
      <c r="SQ5" t="str">
        <f>_xll.BDS("MCK US Equity","SUPPLY_CHAIN_SUPPLIERS_ALL_DATA","cols=12;rows=5")</f>
        <v>ABBV US Equity</v>
      </c>
      <c r="SR5" t="s">
        <v>1786</v>
      </c>
      <c r="SS5">
        <v>30.713249000000001</v>
      </c>
      <c r="ST5">
        <v>6.8943349999999999</v>
      </c>
      <c r="SU5" t="s">
        <v>1845</v>
      </c>
      <c r="SV5">
        <v>2025</v>
      </c>
      <c r="SW5" t="s">
        <v>2798</v>
      </c>
      <c r="SX5" s="6">
        <v>46077</v>
      </c>
      <c r="SY5">
        <v>5</v>
      </c>
      <c r="SZ5">
        <v>5103927808</v>
      </c>
      <c r="TA5">
        <v>28046509</v>
      </c>
      <c r="TB5" t="s">
        <v>2799</v>
      </c>
      <c r="TE5" t="str">
        <f>_xll.BDS("MCK US Equity","SUPPLY_CHAIN_CUSTOMERS_ALL_DATA","cols=12;rows=5")</f>
        <v>CVS US Equity</v>
      </c>
      <c r="TF5">
        <v>24</v>
      </c>
      <c r="TG5" t="s">
        <v>1786</v>
      </c>
      <c r="TH5">
        <v>26.455601000000001</v>
      </c>
      <c r="TI5" t="s">
        <v>1745</v>
      </c>
      <c r="TJ5">
        <v>2025</v>
      </c>
      <c r="TK5" t="s">
        <v>3119</v>
      </c>
      <c r="TL5" s="6">
        <v>45786</v>
      </c>
      <c r="TM5">
        <v>5</v>
      </c>
      <c r="TN5">
        <v>21543059456</v>
      </c>
      <c r="TO5">
        <v>100976</v>
      </c>
      <c r="TP5" t="s">
        <v>1888</v>
      </c>
      <c r="TU5" t="str">
        <f>_xll.BDS("GILD US Equity","SUPPLY_CHAIN_SUPPLIERS_ALL_DATA","cols=12;rows=5")</f>
        <v>JNJ US Equity</v>
      </c>
      <c r="TV5" t="s">
        <v>1786</v>
      </c>
      <c r="TW5">
        <v>0.39174900000000001</v>
      </c>
      <c r="TX5">
        <v>5.9191529999999997</v>
      </c>
      <c r="TY5" t="s">
        <v>1745</v>
      </c>
      <c r="TZ5">
        <v>2025</v>
      </c>
      <c r="UA5" t="s">
        <v>2391</v>
      </c>
      <c r="UB5" s="6">
        <v>46077</v>
      </c>
      <c r="UC5">
        <v>5</v>
      </c>
      <c r="UD5">
        <v>92250000</v>
      </c>
      <c r="UE5">
        <v>100828</v>
      </c>
      <c r="UF5" t="s">
        <v>2464</v>
      </c>
      <c r="UI5" t="str">
        <f>_xll.BDS("GILD US Equity","SUPPLY_CHAIN_CUSTOMERS_ALL_DATA","cols=12;rows=5")</f>
        <v>CAH US Equity</v>
      </c>
      <c r="UJ5">
        <v>29</v>
      </c>
      <c r="UK5" t="s">
        <v>1786</v>
      </c>
      <c r="UL5">
        <v>3.6236459999999999</v>
      </c>
      <c r="UM5" t="s">
        <v>1745</v>
      </c>
      <c r="UN5">
        <v>2025</v>
      </c>
      <c r="UO5" t="s">
        <v>2391</v>
      </c>
      <c r="UP5" s="6">
        <v>46077</v>
      </c>
      <c r="UQ5">
        <v>5</v>
      </c>
      <c r="UR5">
        <v>2134617472</v>
      </c>
      <c r="US5">
        <v>102782</v>
      </c>
      <c r="UT5" t="s">
        <v>2149</v>
      </c>
      <c r="UY5" t="str">
        <f>_xll.BDS("PFC US Equity","SUPPLY_CHAIN_SUPPLIERS_ALL_DATA")</f>
        <v>#N/A N/A</v>
      </c>
      <c r="VM5" t="str">
        <f>_xll.BDS("PFC US Equity","SUPPLY_CHAIN_CUSTOMERS_ALL_DATA")</f>
        <v>#N/A N/A</v>
      </c>
    </row>
    <row r="6" spans="1:600" x14ac:dyDescent="0.25">
      <c r="A6" t="s">
        <v>124</v>
      </c>
      <c r="B6" t="s">
        <v>1786</v>
      </c>
      <c r="C6">
        <v>1.8928469999999999</v>
      </c>
      <c r="D6">
        <v>1.1381829999999999</v>
      </c>
      <c r="E6" t="s">
        <v>1762</v>
      </c>
      <c r="F6">
        <v>2025</v>
      </c>
      <c r="G6" t="s">
        <v>2372</v>
      </c>
      <c r="H6" s="6">
        <v>45867</v>
      </c>
      <c r="I6">
        <v>5</v>
      </c>
      <c r="J6">
        <v>72035608</v>
      </c>
      <c r="K6">
        <v>225605</v>
      </c>
      <c r="L6" t="s">
        <v>2373</v>
      </c>
      <c r="O6" t="s">
        <v>1088</v>
      </c>
      <c r="P6">
        <v>3.3300339999999999</v>
      </c>
      <c r="Q6" t="s">
        <v>1786</v>
      </c>
      <c r="R6">
        <v>1.6969829999999999</v>
      </c>
      <c r="S6" t="s">
        <v>1762</v>
      </c>
      <c r="T6">
        <v>2025</v>
      </c>
      <c r="U6" t="s">
        <v>2368</v>
      </c>
      <c r="V6" s="6">
        <v>45898</v>
      </c>
      <c r="W6">
        <v>5</v>
      </c>
      <c r="X6">
        <v>344725120</v>
      </c>
      <c r="Y6">
        <v>100211</v>
      </c>
      <c r="Z6" t="s">
        <v>1851</v>
      </c>
      <c r="AS6" t="s">
        <v>3628</v>
      </c>
      <c r="AT6">
        <v>25</v>
      </c>
      <c r="AU6" t="s">
        <v>1786</v>
      </c>
      <c r="AV6">
        <v>0.30021500000000001</v>
      </c>
      <c r="AW6" t="s">
        <v>1745</v>
      </c>
      <c r="AX6">
        <v>2024</v>
      </c>
      <c r="AY6" t="s">
        <v>3627</v>
      </c>
      <c r="AZ6" s="6">
        <v>45721</v>
      </c>
      <c r="BA6">
        <v>5</v>
      </c>
      <c r="BB6">
        <v>18417562</v>
      </c>
      <c r="BC6">
        <v>69792617</v>
      </c>
      <c r="BD6" t="s">
        <v>3629</v>
      </c>
      <c r="DQ6" t="s">
        <v>2795</v>
      </c>
      <c r="DR6" t="s">
        <v>1786</v>
      </c>
      <c r="DS6">
        <v>2.6318999999999999E-2</v>
      </c>
      <c r="DT6">
        <v>0.57548900000000003</v>
      </c>
      <c r="DU6" t="s">
        <v>1742</v>
      </c>
      <c r="DV6">
        <v>2025</v>
      </c>
      <c r="DW6" t="s">
        <v>2796</v>
      </c>
      <c r="DX6" s="6">
        <v>45867</v>
      </c>
      <c r="DY6">
        <v>5</v>
      </c>
      <c r="DZ6">
        <v>2060251</v>
      </c>
      <c r="EA6">
        <v>117092</v>
      </c>
      <c r="EB6" t="s">
        <v>2797</v>
      </c>
      <c r="EE6" t="s">
        <v>1114</v>
      </c>
      <c r="EF6">
        <v>0.86273</v>
      </c>
      <c r="EG6" t="s">
        <v>1786</v>
      </c>
      <c r="EH6">
        <v>0.27094600000000002</v>
      </c>
      <c r="EI6" t="s">
        <v>1762</v>
      </c>
      <c r="EJ6">
        <v>2025</v>
      </c>
      <c r="EK6" t="s">
        <v>4726</v>
      </c>
      <c r="EL6" s="6">
        <v>45899</v>
      </c>
      <c r="EM6">
        <v>5</v>
      </c>
      <c r="EN6">
        <v>9136311</v>
      </c>
      <c r="EO6">
        <v>100225</v>
      </c>
      <c r="EP6" t="s">
        <v>2151</v>
      </c>
      <c r="JK6" t="s">
        <v>2947</v>
      </c>
      <c r="JL6" t="s">
        <v>1769</v>
      </c>
      <c r="JM6">
        <v>1.3923300000000001</v>
      </c>
      <c r="JN6">
        <v>0.75693999999999995</v>
      </c>
      <c r="JO6" t="s">
        <v>1745</v>
      </c>
      <c r="JP6">
        <v>2025</v>
      </c>
      <c r="JQ6" t="s">
        <v>2948</v>
      </c>
      <c r="JR6" s="6">
        <v>46064</v>
      </c>
      <c r="JS6">
        <v>5</v>
      </c>
      <c r="JT6">
        <v>3873000</v>
      </c>
      <c r="JU6">
        <v>202222</v>
      </c>
      <c r="JV6" t="s">
        <v>2949</v>
      </c>
      <c r="JY6" t="s">
        <v>973</v>
      </c>
      <c r="JZ6">
        <v>0.13498599999999999</v>
      </c>
      <c r="KA6" t="s">
        <v>1786</v>
      </c>
      <c r="KB6">
        <v>1.9434E-2</v>
      </c>
      <c r="KC6" t="s">
        <v>1762</v>
      </c>
      <c r="KD6">
        <v>2025</v>
      </c>
      <c r="KE6" t="s">
        <v>1812</v>
      </c>
      <c r="KF6" s="6">
        <v>45876</v>
      </c>
      <c r="KG6">
        <v>5</v>
      </c>
      <c r="KH6">
        <v>2165531</v>
      </c>
      <c r="KI6">
        <v>100285</v>
      </c>
      <c r="KJ6" t="s">
        <v>1813</v>
      </c>
      <c r="KO6" t="s">
        <v>607</v>
      </c>
      <c r="KQ6">
        <v>-2.4245362661989844E-14</v>
      </c>
      <c r="KR6">
        <v>-2.4245362661989844E-14</v>
      </c>
      <c r="KS6" t="s">
        <v>1762</v>
      </c>
      <c r="KT6">
        <v>2023</v>
      </c>
      <c r="KU6" t="s">
        <v>2670</v>
      </c>
      <c r="KV6" s="6">
        <v>45174</v>
      </c>
      <c r="KW6">
        <v>2</v>
      </c>
      <c r="KX6">
        <v>-2.4245362661989844E-14</v>
      </c>
      <c r="KY6">
        <v>202476</v>
      </c>
      <c r="KZ6" t="s">
        <v>2355</v>
      </c>
      <c r="LS6" t="s">
        <v>2313</v>
      </c>
      <c r="LT6" t="s">
        <v>1820</v>
      </c>
      <c r="LU6">
        <v>3.5808580000000001</v>
      </c>
      <c r="LV6">
        <v>3.236755</v>
      </c>
      <c r="LW6" t="s">
        <v>1762</v>
      </c>
      <c r="LX6">
        <v>2025</v>
      </c>
      <c r="LY6" t="s">
        <v>2314</v>
      </c>
      <c r="LZ6" s="6">
        <v>45947</v>
      </c>
      <c r="MA6">
        <v>5</v>
      </c>
      <c r="MB6">
        <v>275188928</v>
      </c>
      <c r="MC6">
        <v>100010</v>
      </c>
      <c r="MD6" t="s">
        <v>2315</v>
      </c>
      <c r="MG6" t="s">
        <v>1885</v>
      </c>
      <c r="MH6">
        <v>1.3419890000000001</v>
      </c>
      <c r="MI6" t="s">
        <v>1786</v>
      </c>
      <c r="MJ6">
        <v>0.27725100000000003</v>
      </c>
      <c r="MK6" t="s">
        <v>1845</v>
      </c>
      <c r="ML6">
        <v>2025</v>
      </c>
      <c r="MM6" t="s">
        <v>1883</v>
      </c>
      <c r="MN6" s="6">
        <v>45848</v>
      </c>
      <c r="MO6">
        <v>5</v>
      </c>
      <c r="MP6">
        <v>213416512</v>
      </c>
      <c r="MQ6">
        <v>216952</v>
      </c>
      <c r="MR6" t="s">
        <v>1886</v>
      </c>
      <c r="SQ6" t="s">
        <v>385</v>
      </c>
      <c r="SR6" t="s">
        <v>1786</v>
      </c>
      <c r="SS6">
        <v>20.476745999999999</v>
      </c>
      <c r="ST6">
        <v>6.636412</v>
      </c>
      <c r="SU6" t="s">
        <v>1742</v>
      </c>
      <c r="SV6">
        <v>2025</v>
      </c>
      <c r="SW6" t="s">
        <v>2501</v>
      </c>
      <c r="SX6" s="6">
        <v>46018</v>
      </c>
      <c r="SY6">
        <v>5</v>
      </c>
      <c r="SZ6">
        <v>4912985600</v>
      </c>
      <c r="TA6">
        <v>100828</v>
      </c>
      <c r="TB6" t="s">
        <v>2464</v>
      </c>
      <c r="TE6" t="s">
        <v>2096</v>
      </c>
      <c r="TF6">
        <v>7.8761299999999999</v>
      </c>
      <c r="TG6" t="s">
        <v>1786</v>
      </c>
      <c r="TH6">
        <v>4.5818329999999996</v>
      </c>
      <c r="TI6" t="s">
        <v>1809</v>
      </c>
      <c r="TJ6">
        <v>2026</v>
      </c>
      <c r="TK6" t="s">
        <v>3120</v>
      </c>
      <c r="TL6" s="6">
        <v>45953</v>
      </c>
      <c r="TM6">
        <v>5</v>
      </c>
      <c r="TN6">
        <v>6083345408</v>
      </c>
      <c r="TO6">
        <v>101616</v>
      </c>
      <c r="TP6" t="s">
        <v>2098</v>
      </c>
      <c r="TU6" t="s">
        <v>2768</v>
      </c>
      <c r="TV6" t="s">
        <v>1786</v>
      </c>
      <c r="TW6">
        <v>87.357474999999994</v>
      </c>
      <c r="TX6">
        <v>4.166086</v>
      </c>
      <c r="TY6" t="s">
        <v>1745</v>
      </c>
      <c r="TZ6">
        <v>2024</v>
      </c>
      <c r="UA6" t="s">
        <v>2769</v>
      </c>
      <c r="UB6" s="6">
        <v>45744</v>
      </c>
      <c r="UC6">
        <v>5</v>
      </c>
      <c r="UD6">
        <v>65124360</v>
      </c>
      <c r="UE6">
        <v>1421851</v>
      </c>
      <c r="UF6" t="s">
        <v>2770</v>
      </c>
      <c r="UI6" t="s">
        <v>115</v>
      </c>
      <c r="UJ6">
        <v>24</v>
      </c>
      <c r="UK6" t="s">
        <v>1786</v>
      </c>
      <c r="UL6">
        <v>1.8410839999999999</v>
      </c>
      <c r="UM6" t="s">
        <v>1745</v>
      </c>
      <c r="UN6">
        <v>2025</v>
      </c>
      <c r="UO6" t="s">
        <v>2391</v>
      </c>
      <c r="UP6" s="6">
        <v>46077</v>
      </c>
      <c r="UQ6">
        <v>5</v>
      </c>
      <c r="UR6">
        <v>1766579968</v>
      </c>
      <c r="US6">
        <v>154936</v>
      </c>
      <c r="UT6" t="s">
        <v>2146</v>
      </c>
    </row>
    <row r="7" spans="1:600" x14ac:dyDescent="0.25">
      <c r="A7" t="s">
        <v>2374</v>
      </c>
      <c r="B7" t="s">
        <v>1786</v>
      </c>
      <c r="C7">
        <v>4.1948800000000004</v>
      </c>
      <c r="D7">
        <v>1.013388</v>
      </c>
      <c r="E7" t="s">
        <v>1762</v>
      </c>
      <c r="F7">
        <v>2025</v>
      </c>
      <c r="G7" t="s">
        <v>2375</v>
      </c>
      <c r="H7" s="6">
        <v>45922</v>
      </c>
      <c r="I7">
        <v>5</v>
      </c>
      <c r="J7">
        <v>64137324</v>
      </c>
      <c r="K7">
        <v>11937231</v>
      </c>
      <c r="L7" t="s">
        <v>2376</v>
      </c>
      <c r="O7" t="s">
        <v>1878</v>
      </c>
      <c r="P7">
        <v>2.5462289999999999</v>
      </c>
      <c r="Q7" t="s">
        <v>1786</v>
      </c>
      <c r="R7">
        <v>1.6969829999999999</v>
      </c>
      <c r="S7" t="s">
        <v>1762</v>
      </c>
      <c r="T7">
        <v>2025</v>
      </c>
      <c r="U7" t="s">
        <v>2368</v>
      </c>
      <c r="V7" s="6">
        <v>45898</v>
      </c>
      <c r="W7">
        <v>5</v>
      </c>
      <c r="X7">
        <v>263585632</v>
      </c>
      <c r="Y7">
        <v>876285</v>
      </c>
      <c r="Z7" t="s">
        <v>1879</v>
      </c>
      <c r="AS7" t="s">
        <v>3630</v>
      </c>
      <c r="AT7">
        <v>10</v>
      </c>
      <c r="AV7">
        <v>-2.4245362661989844E-14</v>
      </c>
      <c r="AW7" t="s">
        <v>1745</v>
      </c>
      <c r="AX7">
        <v>2024</v>
      </c>
      <c r="AY7" t="s">
        <v>3627</v>
      </c>
      <c r="AZ7" s="6">
        <v>45721</v>
      </c>
      <c r="BA7">
        <v>5</v>
      </c>
      <c r="BB7">
        <v>7367025</v>
      </c>
      <c r="BC7">
        <v>19492414</v>
      </c>
      <c r="BD7" t="s">
        <v>3631</v>
      </c>
      <c r="DQ7" t="s">
        <v>4960</v>
      </c>
      <c r="DR7" t="s">
        <v>1769</v>
      </c>
      <c r="DS7">
        <v>4.9163139999999999</v>
      </c>
      <c r="DT7">
        <v>0.66225900000000004</v>
      </c>
      <c r="DU7" t="s">
        <v>1805</v>
      </c>
      <c r="DV7">
        <v>2026</v>
      </c>
      <c r="DW7" t="s">
        <v>4961</v>
      </c>
      <c r="DX7" s="6">
        <v>45966</v>
      </c>
      <c r="DY7">
        <v>5</v>
      </c>
      <c r="DZ7">
        <v>1782298.37</v>
      </c>
      <c r="EA7">
        <v>11742006</v>
      </c>
      <c r="EB7" t="s">
        <v>4962</v>
      </c>
      <c r="EE7" t="s">
        <v>2418</v>
      </c>
      <c r="EF7">
        <v>0.82160100000000003</v>
      </c>
      <c r="EG7" t="s">
        <v>1786</v>
      </c>
      <c r="EH7">
        <v>0.18700700000000001</v>
      </c>
      <c r="EI7" t="s">
        <v>1762</v>
      </c>
      <c r="EJ7">
        <v>2025</v>
      </c>
      <c r="EK7" t="s">
        <v>4726</v>
      </c>
      <c r="EL7" s="6">
        <v>45899</v>
      </c>
      <c r="EM7">
        <v>5</v>
      </c>
      <c r="EN7">
        <v>8700755</v>
      </c>
      <c r="EO7">
        <v>115785</v>
      </c>
      <c r="EP7" t="s">
        <v>2419</v>
      </c>
      <c r="JK7" t="s">
        <v>2310</v>
      </c>
      <c r="JL7" t="s">
        <v>1786</v>
      </c>
      <c r="JM7">
        <v>3.5019999999999999E-3</v>
      </c>
      <c r="JN7">
        <v>0.37431399999999998</v>
      </c>
      <c r="JO7" t="s">
        <v>1845</v>
      </c>
      <c r="JP7">
        <v>2026</v>
      </c>
      <c r="JQ7" t="s">
        <v>2311</v>
      </c>
      <c r="JR7" s="6">
        <v>46087</v>
      </c>
      <c r="JS7">
        <v>5</v>
      </c>
      <c r="JT7">
        <v>2385808</v>
      </c>
      <c r="JU7">
        <v>313657</v>
      </c>
      <c r="JV7" t="s">
        <v>2312</v>
      </c>
      <c r="JY7" t="s">
        <v>1814</v>
      </c>
      <c r="JZ7">
        <v>0.11786099999999999</v>
      </c>
      <c r="KA7" t="s">
        <v>1786</v>
      </c>
      <c r="KB7">
        <v>2.8398E-2</v>
      </c>
      <c r="KC7" t="s">
        <v>1809</v>
      </c>
      <c r="KD7">
        <v>2025</v>
      </c>
      <c r="KE7" t="s">
        <v>1815</v>
      </c>
      <c r="KF7" s="6">
        <v>45784</v>
      </c>
      <c r="KG7">
        <v>5</v>
      </c>
      <c r="KH7">
        <v>1715246</v>
      </c>
      <c r="KI7">
        <v>100115</v>
      </c>
      <c r="KJ7" t="s">
        <v>1816</v>
      </c>
      <c r="LS7" t="s">
        <v>2076</v>
      </c>
      <c r="LT7" t="s">
        <v>1820</v>
      </c>
      <c r="LU7">
        <v>0.91127400000000003</v>
      </c>
      <c r="LV7">
        <v>1.364298</v>
      </c>
      <c r="LW7" t="s">
        <v>1845</v>
      </c>
      <c r="LX7">
        <v>2025</v>
      </c>
      <c r="LY7" t="s">
        <v>2316</v>
      </c>
      <c r="LZ7" s="6">
        <v>46010</v>
      </c>
      <c r="MA7">
        <v>5</v>
      </c>
      <c r="MB7">
        <v>164166016</v>
      </c>
      <c r="MC7">
        <v>59907412</v>
      </c>
      <c r="MD7" t="s">
        <v>2077</v>
      </c>
      <c r="MG7" t="s">
        <v>357</v>
      </c>
      <c r="MH7">
        <v>1.0301469999999999</v>
      </c>
      <c r="MI7" t="s">
        <v>1786</v>
      </c>
      <c r="MJ7">
        <v>1.0221020000000001</v>
      </c>
      <c r="MK7" t="s">
        <v>1845</v>
      </c>
      <c r="ML7">
        <v>2025</v>
      </c>
      <c r="MM7" t="s">
        <v>1887</v>
      </c>
      <c r="MN7" s="6">
        <v>46056</v>
      </c>
      <c r="MO7">
        <v>5</v>
      </c>
      <c r="MP7">
        <v>165420976</v>
      </c>
      <c r="MQ7">
        <v>1499717</v>
      </c>
      <c r="MR7" t="s">
        <v>1864</v>
      </c>
      <c r="SQ7" t="s">
        <v>1114</v>
      </c>
      <c r="SR7" t="s">
        <v>1786</v>
      </c>
      <c r="SS7">
        <v>36</v>
      </c>
      <c r="ST7">
        <v>4.5203889999999998</v>
      </c>
      <c r="SU7" t="s">
        <v>1745</v>
      </c>
      <c r="SV7">
        <v>2025</v>
      </c>
      <c r="SW7" t="s">
        <v>2150</v>
      </c>
      <c r="SX7" s="6">
        <v>46064</v>
      </c>
      <c r="SY7">
        <v>5</v>
      </c>
      <c r="SZ7">
        <v>4337460224</v>
      </c>
      <c r="TA7">
        <v>100225</v>
      </c>
      <c r="TB7" t="s">
        <v>2151</v>
      </c>
      <c r="TE7" t="s">
        <v>3121</v>
      </c>
      <c r="TF7">
        <v>4.2240000000000002</v>
      </c>
      <c r="TH7">
        <v>-2.4245362661989844E-14</v>
      </c>
      <c r="TI7" t="s">
        <v>1809</v>
      </c>
      <c r="TJ7">
        <v>2026</v>
      </c>
      <c r="TK7" t="s">
        <v>3120</v>
      </c>
      <c r="TL7" s="6">
        <v>45953</v>
      </c>
      <c r="TM7">
        <v>5</v>
      </c>
      <c r="TN7">
        <v>3262522624</v>
      </c>
      <c r="TO7">
        <v>48003505</v>
      </c>
      <c r="TP7" t="s">
        <v>3122</v>
      </c>
      <c r="TU7" t="s">
        <v>2771</v>
      </c>
      <c r="TV7" t="s">
        <v>1786</v>
      </c>
      <c r="TW7">
        <v>0.48287799999999997</v>
      </c>
      <c r="TX7">
        <v>1.7965990000000001</v>
      </c>
      <c r="TY7" t="s">
        <v>1745</v>
      </c>
      <c r="TZ7">
        <v>2025</v>
      </c>
      <c r="UA7" t="s">
        <v>2391</v>
      </c>
      <c r="UB7" s="6">
        <v>46077</v>
      </c>
      <c r="UC7">
        <v>5</v>
      </c>
      <c r="UD7">
        <v>28000000</v>
      </c>
      <c r="UE7">
        <v>153205</v>
      </c>
      <c r="UF7" t="s">
        <v>2772</v>
      </c>
      <c r="UI7" t="s">
        <v>2147</v>
      </c>
      <c r="UJ7">
        <v>21</v>
      </c>
      <c r="UK7" t="s">
        <v>1786</v>
      </c>
      <c r="UL7">
        <v>1.9704660000000001</v>
      </c>
      <c r="UM7" t="s">
        <v>1745</v>
      </c>
      <c r="UN7">
        <v>2025</v>
      </c>
      <c r="UO7" t="s">
        <v>2391</v>
      </c>
      <c r="UP7" s="6">
        <v>46077</v>
      </c>
      <c r="UQ7">
        <v>5</v>
      </c>
      <c r="UR7">
        <v>1545757440</v>
      </c>
      <c r="US7">
        <v>156969</v>
      </c>
      <c r="UT7" t="s">
        <v>2148</v>
      </c>
    </row>
    <row r="8" spans="1:600" x14ac:dyDescent="0.25">
      <c r="A8" t="s">
        <v>2377</v>
      </c>
      <c r="B8" t="s">
        <v>1786</v>
      </c>
      <c r="C8">
        <v>4.2606400000000004</v>
      </c>
      <c r="D8">
        <v>0.70126500000000003</v>
      </c>
      <c r="E8" t="s">
        <v>1762</v>
      </c>
      <c r="F8">
        <v>2025</v>
      </c>
      <c r="G8" t="s">
        <v>2378</v>
      </c>
      <c r="H8" s="6">
        <v>45961</v>
      </c>
      <c r="I8">
        <v>5</v>
      </c>
      <c r="J8">
        <v>47629481.530000001</v>
      </c>
      <c r="K8">
        <v>47700205</v>
      </c>
      <c r="L8" t="s">
        <v>2379</v>
      </c>
      <c r="O8" t="s">
        <v>2073</v>
      </c>
      <c r="P8">
        <v>1.896647</v>
      </c>
      <c r="Q8" t="s">
        <v>1786</v>
      </c>
      <c r="R8">
        <v>1.1313219999999999</v>
      </c>
      <c r="S8" t="s">
        <v>1762</v>
      </c>
      <c r="T8">
        <v>2025</v>
      </c>
      <c r="U8" t="s">
        <v>2368</v>
      </c>
      <c r="V8" s="6">
        <v>45898</v>
      </c>
      <c r="W8">
        <v>5</v>
      </c>
      <c r="X8">
        <v>196340896</v>
      </c>
      <c r="Y8">
        <v>156923</v>
      </c>
      <c r="Z8" t="s">
        <v>2074</v>
      </c>
      <c r="AS8" t="s">
        <v>3632</v>
      </c>
      <c r="AT8">
        <v>-2.4245362661989844E-14</v>
      </c>
      <c r="AV8">
        <v>-2.4245362661989844E-14</v>
      </c>
      <c r="AW8" t="s">
        <v>1745</v>
      </c>
      <c r="AX8">
        <v>2021</v>
      </c>
      <c r="AY8" t="s">
        <v>3633</v>
      </c>
      <c r="AZ8" s="6">
        <v>44630</v>
      </c>
      <c r="BA8">
        <v>5</v>
      </c>
      <c r="BB8">
        <v>-2.4245362661989844E-14</v>
      </c>
      <c r="BC8">
        <v>17824294</v>
      </c>
      <c r="BD8" t="s">
        <v>3634</v>
      </c>
      <c r="DQ8" t="s">
        <v>4627</v>
      </c>
      <c r="DR8" t="s">
        <v>1769</v>
      </c>
      <c r="DS8">
        <v>1.171543</v>
      </c>
      <c r="DT8">
        <v>0.469698</v>
      </c>
      <c r="DU8" t="s">
        <v>1745</v>
      </c>
      <c r="DV8">
        <v>2025</v>
      </c>
      <c r="DW8" t="s">
        <v>4963</v>
      </c>
      <c r="DX8" s="6">
        <v>46059</v>
      </c>
      <c r="DY8">
        <v>5</v>
      </c>
      <c r="DZ8">
        <v>1277579</v>
      </c>
      <c r="EA8">
        <v>20828779</v>
      </c>
      <c r="EB8" t="s">
        <v>4629</v>
      </c>
      <c r="EE8" t="s">
        <v>4727</v>
      </c>
      <c r="EF8">
        <v>0.81703700000000001</v>
      </c>
      <c r="EG8" t="s">
        <v>1786</v>
      </c>
      <c r="EH8">
        <v>0.25490600000000002</v>
      </c>
      <c r="EI8" t="s">
        <v>1762</v>
      </c>
      <c r="EJ8">
        <v>2025</v>
      </c>
      <c r="EK8" t="s">
        <v>4726</v>
      </c>
      <c r="EL8" s="6">
        <v>45899</v>
      </c>
      <c r="EM8">
        <v>5</v>
      </c>
      <c r="EN8">
        <v>8652422</v>
      </c>
      <c r="EO8">
        <v>815561</v>
      </c>
      <c r="EP8" t="s">
        <v>4728</v>
      </c>
      <c r="JK8" t="s">
        <v>424</v>
      </c>
      <c r="JL8" t="s">
        <v>1786</v>
      </c>
      <c r="JM8">
        <v>1.08E-3</v>
      </c>
      <c r="JN8">
        <v>0.237701</v>
      </c>
      <c r="JO8" t="s">
        <v>1742</v>
      </c>
      <c r="JP8">
        <v>2025</v>
      </c>
      <c r="JQ8" t="s">
        <v>2528</v>
      </c>
      <c r="JR8" s="6">
        <v>45843</v>
      </c>
      <c r="JS8">
        <v>5</v>
      </c>
      <c r="JT8">
        <v>756713</v>
      </c>
      <c r="JU8">
        <v>101743</v>
      </c>
      <c r="JV8" t="s">
        <v>1891</v>
      </c>
      <c r="JY8" t="s">
        <v>1817</v>
      </c>
      <c r="JZ8">
        <v>4.9280999999999998E-2</v>
      </c>
      <c r="KA8" t="s">
        <v>1786</v>
      </c>
      <c r="KB8">
        <v>0.59355500000000005</v>
      </c>
      <c r="KC8" t="s">
        <v>1809</v>
      </c>
      <c r="KD8">
        <v>2025</v>
      </c>
      <c r="KE8" t="s">
        <v>1818</v>
      </c>
      <c r="KF8" s="6">
        <v>45820</v>
      </c>
      <c r="KG8">
        <v>5</v>
      </c>
      <c r="KH8">
        <v>788021.54</v>
      </c>
      <c r="KI8">
        <v>117587</v>
      </c>
      <c r="KJ8" t="s">
        <v>1819</v>
      </c>
      <c r="LS8" t="s">
        <v>2317</v>
      </c>
      <c r="LT8" t="s">
        <v>1820</v>
      </c>
      <c r="LU8">
        <v>6.234559</v>
      </c>
      <c r="LV8">
        <v>1.5138720000000001</v>
      </c>
      <c r="LW8" t="s">
        <v>1762</v>
      </c>
      <c r="LX8">
        <v>2025</v>
      </c>
      <c r="LY8" t="s">
        <v>2318</v>
      </c>
      <c r="LZ8" s="6">
        <v>45897</v>
      </c>
      <c r="MA8">
        <v>5</v>
      </c>
      <c r="MB8">
        <v>137459552</v>
      </c>
      <c r="MC8">
        <v>16532368</v>
      </c>
      <c r="MD8" t="s">
        <v>2319</v>
      </c>
      <c r="MG8" t="s">
        <v>496</v>
      </c>
      <c r="MH8">
        <v>0.69902799999999998</v>
      </c>
      <c r="MI8" t="s">
        <v>1786</v>
      </c>
      <c r="MJ8">
        <v>0.138625</v>
      </c>
      <c r="MK8" t="s">
        <v>1845</v>
      </c>
      <c r="ML8">
        <v>2025</v>
      </c>
      <c r="MM8" t="s">
        <v>1883</v>
      </c>
      <c r="MN8" s="6">
        <v>45848</v>
      </c>
      <c r="MO8">
        <v>5</v>
      </c>
      <c r="MP8">
        <v>111166424</v>
      </c>
      <c r="MQ8">
        <v>100976</v>
      </c>
      <c r="MR8" t="s">
        <v>1888</v>
      </c>
      <c r="SQ8" t="s">
        <v>273</v>
      </c>
      <c r="SR8" t="s">
        <v>1786</v>
      </c>
      <c r="SS8">
        <v>23.281113000000001</v>
      </c>
      <c r="ST8">
        <v>5.5350809999999999</v>
      </c>
      <c r="SU8" t="s">
        <v>1742</v>
      </c>
      <c r="SV8">
        <v>2025</v>
      </c>
      <c r="SW8" t="s">
        <v>3253</v>
      </c>
      <c r="SX8" s="6">
        <v>46041</v>
      </c>
      <c r="SY8">
        <v>5</v>
      </c>
      <c r="SZ8">
        <v>4097661952</v>
      </c>
      <c r="TA8">
        <v>100894</v>
      </c>
      <c r="TB8" t="s">
        <v>3254</v>
      </c>
      <c r="TE8" t="s">
        <v>3123</v>
      </c>
      <c r="TF8">
        <v>4.17</v>
      </c>
      <c r="TH8">
        <v>-2.4245362661989844E-14</v>
      </c>
      <c r="TI8" t="s">
        <v>1809</v>
      </c>
      <c r="TJ8">
        <v>2026</v>
      </c>
      <c r="TK8" t="s">
        <v>3120</v>
      </c>
      <c r="TL8" s="6">
        <v>45953</v>
      </c>
      <c r="TM8">
        <v>5</v>
      </c>
      <c r="TN8">
        <v>3220814080</v>
      </c>
      <c r="TO8">
        <v>353064</v>
      </c>
      <c r="TP8" t="s">
        <v>3124</v>
      </c>
      <c r="TU8" t="s">
        <v>2773</v>
      </c>
      <c r="TV8" t="s">
        <v>2416</v>
      </c>
      <c r="TW8">
        <v>100</v>
      </c>
      <c r="TX8">
        <v>1.9316489999999999</v>
      </c>
      <c r="TY8" t="s">
        <v>1742</v>
      </c>
      <c r="TZ8">
        <v>2025</v>
      </c>
      <c r="UA8" t="s">
        <v>2774</v>
      </c>
      <c r="UB8" s="6">
        <v>45959</v>
      </c>
      <c r="UC8">
        <v>5</v>
      </c>
      <c r="UD8">
        <v>26000000</v>
      </c>
      <c r="UE8">
        <v>50914233</v>
      </c>
      <c r="UF8" t="s">
        <v>2775</v>
      </c>
      <c r="UI8" t="s">
        <v>2392</v>
      </c>
      <c r="UJ8">
        <v>-2.4245362661989844E-14</v>
      </c>
      <c r="UL8">
        <v>-2.4245362661989844E-14</v>
      </c>
      <c r="UM8" t="s">
        <v>1745</v>
      </c>
      <c r="UN8">
        <v>2022</v>
      </c>
      <c r="UO8" t="s">
        <v>2393</v>
      </c>
      <c r="UP8" s="6">
        <v>44979</v>
      </c>
      <c r="UQ8">
        <v>5</v>
      </c>
      <c r="UR8">
        <v>-2.4245362661989844E-14</v>
      </c>
      <c r="US8">
        <v>29217228</v>
      </c>
      <c r="UT8" t="s">
        <v>2394</v>
      </c>
    </row>
    <row r="9" spans="1:600" x14ac:dyDescent="0.25">
      <c r="A9" t="s">
        <v>2380</v>
      </c>
      <c r="B9" t="s">
        <v>1786</v>
      </c>
      <c r="C9">
        <v>30.781739999999999</v>
      </c>
      <c r="D9">
        <v>0.62680199999999997</v>
      </c>
      <c r="E9" t="s">
        <v>1745</v>
      </c>
      <c r="F9">
        <v>2025</v>
      </c>
      <c r="G9" t="s">
        <v>2381</v>
      </c>
      <c r="H9" s="6">
        <v>45818</v>
      </c>
      <c r="I9">
        <v>5</v>
      </c>
      <c r="J9">
        <v>38070899.18</v>
      </c>
      <c r="K9">
        <v>174401</v>
      </c>
      <c r="L9" t="s">
        <v>2382</v>
      </c>
      <c r="O9" t="s">
        <v>1880</v>
      </c>
      <c r="P9">
        <v>1.3805559999999999</v>
      </c>
      <c r="Q9" t="s">
        <v>1786</v>
      </c>
      <c r="R9">
        <v>1.0273540000000001</v>
      </c>
      <c r="S9" t="s">
        <v>1762</v>
      </c>
      <c r="T9">
        <v>2025</v>
      </c>
      <c r="U9" t="s">
        <v>2368</v>
      </c>
      <c r="V9" s="6">
        <v>45898</v>
      </c>
      <c r="W9">
        <v>5</v>
      </c>
      <c r="X9">
        <v>142915152</v>
      </c>
      <c r="Y9">
        <v>10451815</v>
      </c>
      <c r="Z9" t="s">
        <v>1881</v>
      </c>
      <c r="AS9" t="s">
        <v>3635</v>
      </c>
      <c r="AT9">
        <v>-2.4245362661989844E-14</v>
      </c>
      <c r="AV9">
        <v>-2.4245362661989844E-14</v>
      </c>
      <c r="AW9" t="s">
        <v>1745</v>
      </c>
      <c r="AX9">
        <v>2023</v>
      </c>
      <c r="AY9" t="s">
        <v>3636</v>
      </c>
      <c r="AZ9" s="6">
        <v>45358</v>
      </c>
      <c r="BA9">
        <v>5</v>
      </c>
      <c r="BB9">
        <v>-2.4245362661989844E-14</v>
      </c>
      <c r="BC9">
        <v>34929300</v>
      </c>
      <c r="BD9" t="s">
        <v>3637</v>
      </c>
      <c r="DQ9" t="s">
        <v>4964</v>
      </c>
      <c r="DR9" t="s">
        <v>1786</v>
      </c>
      <c r="DS9">
        <v>0.36493399999999998</v>
      </c>
      <c r="DT9">
        <v>0.14965600000000001</v>
      </c>
      <c r="DU9" t="s">
        <v>1742</v>
      </c>
      <c r="DV9">
        <v>2025</v>
      </c>
      <c r="DW9" t="s">
        <v>4965</v>
      </c>
      <c r="DX9" s="6">
        <v>45980</v>
      </c>
      <c r="DY9">
        <v>5</v>
      </c>
      <c r="DZ9">
        <v>525293</v>
      </c>
      <c r="EA9">
        <v>159732</v>
      </c>
      <c r="EB9" t="s">
        <v>4966</v>
      </c>
      <c r="EE9" t="s">
        <v>205</v>
      </c>
      <c r="EF9">
        <v>0.80895399999999995</v>
      </c>
      <c r="EG9" t="s">
        <v>1786</v>
      </c>
      <c r="EH9">
        <v>0.240844</v>
      </c>
      <c r="EI9" t="s">
        <v>1762</v>
      </c>
      <c r="EJ9">
        <v>2025</v>
      </c>
      <c r="EK9" t="s">
        <v>4726</v>
      </c>
      <c r="EL9" s="6">
        <v>45899</v>
      </c>
      <c r="EM9">
        <v>5</v>
      </c>
      <c r="EN9">
        <v>8566823</v>
      </c>
      <c r="EO9">
        <v>100978</v>
      </c>
      <c r="EP9" t="s">
        <v>3314</v>
      </c>
      <c r="JK9" t="s">
        <v>2950</v>
      </c>
      <c r="JL9" t="s">
        <v>1786</v>
      </c>
      <c r="JM9">
        <v>6.5779999999999996E-3</v>
      </c>
      <c r="JN9">
        <v>4.0340000000000003E-3</v>
      </c>
      <c r="JO9" t="s">
        <v>1845</v>
      </c>
      <c r="JP9">
        <v>2024</v>
      </c>
      <c r="JQ9" t="s">
        <v>2951</v>
      </c>
      <c r="JR9" s="6">
        <v>45750</v>
      </c>
      <c r="JS9">
        <v>5</v>
      </c>
      <c r="JT9">
        <v>10984.26</v>
      </c>
      <c r="JU9">
        <v>27395152</v>
      </c>
      <c r="JV9" t="s">
        <v>2952</v>
      </c>
      <c r="JY9" t="s">
        <v>418</v>
      </c>
      <c r="JZ9">
        <v>1.7725000000000001E-2</v>
      </c>
      <c r="KA9" t="s">
        <v>1820</v>
      </c>
      <c r="KB9">
        <v>4.1203999999999998E-2</v>
      </c>
      <c r="KC9" t="s">
        <v>1742</v>
      </c>
      <c r="KD9">
        <v>2025</v>
      </c>
      <c r="KE9" t="s">
        <v>1821</v>
      </c>
      <c r="KF9" s="6">
        <v>46007</v>
      </c>
      <c r="KG9">
        <v>5</v>
      </c>
      <c r="KH9">
        <v>399679</v>
      </c>
      <c r="KI9">
        <v>143027</v>
      </c>
      <c r="KJ9" t="s">
        <v>1822</v>
      </c>
      <c r="LS9" t="s">
        <v>734</v>
      </c>
      <c r="LT9" t="s">
        <v>1820</v>
      </c>
      <c r="LU9">
        <v>3.6037650000000001</v>
      </c>
      <c r="LV9">
        <v>0.90356199999999998</v>
      </c>
      <c r="LW9" t="s">
        <v>1762</v>
      </c>
      <c r="LX9">
        <v>2026</v>
      </c>
      <c r="LY9" t="s">
        <v>2320</v>
      </c>
      <c r="LZ9" s="6">
        <v>46059</v>
      </c>
      <c r="MA9">
        <v>5</v>
      </c>
      <c r="MB9">
        <v>108725592</v>
      </c>
      <c r="MC9">
        <v>101643</v>
      </c>
      <c r="MD9" t="s">
        <v>2321</v>
      </c>
      <c r="MG9" t="s">
        <v>842</v>
      </c>
      <c r="MH9">
        <v>0.66108800000000001</v>
      </c>
      <c r="MI9" t="s">
        <v>1786</v>
      </c>
      <c r="MJ9">
        <v>0.122531</v>
      </c>
      <c r="MK9" t="s">
        <v>1845</v>
      </c>
      <c r="ML9">
        <v>2025</v>
      </c>
      <c r="MM9" t="s">
        <v>1883</v>
      </c>
      <c r="MN9" s="6">
        <v>45848</v>
      </c>
      <c r="MO9">
        <v>5</v>
      </c>
      <c r="MP9">
        <v>105132824</v>
      </c>
      <c r="MQ9">
        <v>101548</v>
      </c>
      <c r="MR9" t="s">
        <v>1889</v>
      </c>
      <c r="SQ9" t="s">
        <v>33</v>
      </c>
      <c r="SR9" t="s">
        <v>1786</v>
      </c>
      <c r="SS9">
        <v>25</v>
      </c>
      <c r="ST9">
        <v>4.0761390000000004</v>
      </c>
      <c r="SU9" t="s">
        <v>1745</v>
      </c>
      <c r="SV9">
        <v>2025</v>
      </c>
      <c r="SW9" t="s">
        <v>2145</v>
      </c>
      <c r="SX9" s="6">
        <v>46079</v>
      </c>
      <c r="SY9">
        <v>5</v>
      </c>
      <c r="SZ9">
        <v>3911187456</v>
      </c>
      <c r="TA9">
        <v>101166</v>
      </c>
      <c r="TB9" t="s">
        <v>3255</v>
      </c>
      <c r="TE9" t="s">
        <v>1792</v>
      </c>
      <c r="TF9">
        <v>4.17</v>
      </c>
      <c r="TH9">
        <v>-2.4245362661989844E-14</v>
      </c>
      <c r="TI9" t="s">
        <v>1809</v>
      </c>
      <c r="TJ9">
        <v>2026</v>
      </c>
      <c r="TK9" t="s">
        <v>3120</v>
      </c>
      <c r="TL9" s="6">
        <v>45953</v>
      </c>
      <c r="TM9">
        <v>5</v>
      </c>
      <c r="TN9">
        <v>3220814080</v>
      </c>
      <c r="TO9">
        <v>962217</v>
      </c>
      <c r="TP9" t="s">
        <v>1794</v>
      </c>
      <c r="TU9" t="s">
        <v>2776</v>
      </c>
      <c r="TV9" t="s">
        <v>1786</v>
      </c>
      <c r="TW9">
        <v>1.03163</v>
      </c>
      <c r="TX9">
        <v>1.307437</v>
      </c>
      <c r="TY9" t="s">
        <v>1742</v>
      </c>
      <c r="TZ9">
        <v>2025</v>
      </c>
      <c r="UA9" t="s">
        <v>2777</v>
      </c>
      <c r="UB9" s="6">
        <v>46073</v>
      </c>
      <c r="UC9">
        <v>5</v>
      </c>
      <c r="UD9">
        <v>21191403.109999999</v>
      </c>
      <c r="UE9">
        <v>156276</v>
      </c>
      <c r="UF9" t="s">
        <v>2778</v>
      </c>
      <c r="UI9" t="s">
        <v>2395</v>
      </c>
      <c r="UJ9">
        <v>-2.4245362661989844E-14</v>
      </c>
      <c r="UL9">
        <v>-2.4245362661989844E-14</v>
      </c>
      <c r="UM9" t="s">
        <v>1745</v>
      </c>
      <c r="UN9">
        <v>2022</v>
      </c>
      <c r="UO9" t="s">
        <v>2396</v>
      </c>
      <c r="UP9" s="6">
        <v>44788</v>
      </c>
      <c r="UQ9">
        <v>5</v>
      </c>
      <c r="UR9">
        <v>-2.4245362661989844E-14</v>
      </c>
      <c r="US9">
        <v>67962950</v>
      </c>
      <c r="UT9" t="s">
        <v>2397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1613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1614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1615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1616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1617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1618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1619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1620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1621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1622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1623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1624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1625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1626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1627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1628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1629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1630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1631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1632</v>
      </c>
      <c r="AE2" s="3" t="s">
        <v>1633</v>
      </c>
      <c r="BI2" s="3" t="s">
        <v>317</v>
      </c>
      <c r="CM2" s="3" t="s">
        <v>1634</v>
      </c>
      <c r="DQ2" s="3" t="s">
        <v>204</v>
      </c>
      <c r="EU2" s="3" t="s">
        <v>432</v>
      </c>
      <c r="FY2" s="3" t="s">
        <v>39</v>
      </c>
      <c r="HC2" s="3" t="s">
        <v>1635</v>
      </c>
      <c r="IG2" s="3" t="s">
        <v>1636</v>
      </c>
      <c r="JK2" s="3" t="s">
        <v>1637</v>
      </c>
      <c r="KO2" s="3" t="s">
        <v>1638</v>
      </c>
      <c r="LS2" s="3" t="s">
        <v>1639</v>
      </c>
      <c r="MW2" s="3" t="s">
        <v>1640</v>
      </c>
      <c r="OA2" s="3" t="s">
        <v>1641</v>
      </c>
      <c r="PE2" s="3" t="s">
        <v>1642</v>
      </c>
      <c r="QI2" s="3" t="s">
        <v>308</v>
      </c>
      <c r="RM2" s="3" t="s">
        <v>1245</v>
      </c>
      <c r="SQ2" s="3" t="s">
        <v>1643</v>
      </c>
      <c r="TU2" s="3" t="s">
        <v>1644</v>
      </c>
      <c r="UY2" s="3" t="s">
        <v>611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_xll.BDS("MDU US Equity","SUPPLY_CHAIN_SUPPLIERS_ALL_DATA","cols=12;rows=5")</f>
        <v>WMB US Equity</v>
      </c>
      <c r="C5">
        <v>-2.4245362661989844E-14</v>
      </c>
      <c r="D5">
        <v>-2.4245362661989844E-14</v>
      </c>
      <c r="E5" t="s">
        <v>1745</v>
      </c>
      <c r="F5">
        <v>2024</v>
      </c>
      <c r="G5" t="s">
        <v>4984</v>
      </c>
      <c r="H5" s="6">
        <v>45708</v>
      </c>
      <c r="I5">
        <v>5</v>
      </c>
      <c r="J5">
        <v>-2.4245362661989844E-14</v>
      </c>
      <c r="K5">
        <v>101661</v>
      </c>
      <c r="L5" t="s">
        <v>4013</v>
      </c>
      <c r="O5" t="str">
        <f>_xll.BDS("MDU US Equity","SUPPLY_CHAIN_CUSTOMERS_ALL_DATA","cols=12;rows=5")</f>
        <v>FET US Equity</v>
      </c>
      <c r="P5">
        <v>-2.4245362661989844E-14</v>
      </c>
      <c r="R5">
        <v>-2.4245362661989844E-14</v>
      </c>
      <c r="S5" t="s">
        <v>1745</v>
      </c>
      <c r="T5">
        <v>2021</v>
      </c>
      <c r="U5" t="s">
        <v>4837</v>
      </c>
      <c r="V5" s="6">
        <v>44693</v>
      </c>
      <c r="W5">
        <v>5</v>
      </c>
      <c r="X5">
        <v>-2.4245362661989844E-14</v>
      </c>
      <c r="Y5">
        <v>11105212</v>
      </c>
      <c r="Z5" t="s">
        <v>4838</v>
      </c>
      <c r="AE5" t="str">
        <f>_xll.BDS("CTAS US Equity","SUPPLY_CHAIN_SUPPLIERS_ALL_DATA","cols=12;rows=5")</f>
        <v>UFI US Equity</v>
      </c>
      <c r="AF5" t="s">
        <v>1786</v>
      </c>
      <c r="AG5">
        <v>0.70498499999999997</v>
      </c>
      <c r="AH5">
        <v>7.9556000000000002E-2</v>
      </c>
      <c r="AI5" t="s">
        <v>1742</v>
      </c>
      <c r="AJ5">
        <v>2025</v>
      </c>
      <c r="AK5" t="s">
        <v>3943</v>
      </c>
      <c r="AL5" s="6">
        <v>45819</v>
      </c>
      <c r="AM5">
        <v>5</v>
      </c>
      <c r="AN5">
        <v>1026122</v>
      </c>
      <c r="AO5">
        <v>101531</v>
      </c>
      <c r="AP5" t="s">
        <v>3944</v>
      </c>
      <c r="AS5" t="str">
        <f>_xll.BDS("CTAS US Equity","SUPPLY_CHAIN_CUSTOMERS_ALL_DATA","cols=12;rows=3")</f>
        <v>1229327D US Equity</v>
      </c>
      <c r="AT5">
        <v>-2.4245362661989844E-14</v>
      </c>
      <c r="AV5">
        <v>-2.4245362661989844E-14</v>
      </c>
      <c r="AW5" t="s">
        <v>1809</v>
      </c>
      <c r="AX5">
        <v>2022</v>
      </c>
      <c r="AY5" t="s">
        <v>4525</v>
      </c>
      <c r="AZ5" s="6">
        <v>44643</v>
      </c>
      <c r="BA5">
        <v>3</v>
      </c>
      <c r="BB5">
        <v>-2.4245362661989844E-14</v>
      </c>
      <c r="BC5">
        <v>43709251</v>
      </c>
      <c r="BD5" t="s">
        <v>4526</v>
      </c>
      <c r="BI5" t="str">
        <f>_xll.BDS("TXT US Equity","SUPPLY_CHAIN_SUPPLIERS_ALL_DATA","cols=12;rows=5")</f>
        <v>RR/ LN Equity</v>
      </c>
      <c r="BJ5" t="s">
        <v>1786</v>
      </c>
      <c r="BK5">
        <v>1.544897</v>
      </c>
      <c r="BL5">
        <v>3.251614</v>
      </c>
      <c r="BM5" t="s">
        <v>1762</v>
      </c>
      <c r="BN5">
        <v>2025</v>
      </c>
      <c r="BO5" t="s">
        <v>3926</v>
      </c>
      <c r="BP5" s="6">
        <v>45873</v>
      </c>
      <c r="BQ5">
        <v>5</v>
      </c>
      <c r="BR5">
        <v>97847994.530000001</v>
      </c>
      <c r="BS5">
        <v>112185</v>
      </c>
      <c r="BT5" t="s">
        <v>3927</v>
      </c>
      <c r="BW5" t="str">
        <f>_xll.BDS("TXT US Equity","SUPPLY_CHAIN_CUSTOMERS_ALL_DATA","cols=12;rows=5")</f>
        <v>3352Z US Equity</v>
      </c>
      <c r="BX5">
        <v>26.981552000000001</v>
      </c>
      <c r="BZ5">
        <v>-2.4245362661989844E-14</v>
      </c>
      <c r="CA5" t="s">
        <v>1745</v>
      </c>
      <c r="CB5">
        <v>2025</v>
      </c>
      <c r="CC5" t="s">
        <v>4131</v>
      </c>
      <c r="CD5" s="6">
        <v>46064</v>
      </c>
      <c r="CE5">
        <v>5</v>
      </c>
      <c r="CF5">
        <v>998250000</v>
      </c>
      <c r="CG5">
        <v>218252</v>
      </c>
      <c r="CH5" t="s">
        <v>1803</v>
      </c>
      <c r="CM5" t="str">
        <f>_xll.BDS("DRRAQ US Equity","SUPPLY_CHAIN_SUPPLIERS_ALL_DATA")</f>
        <v>#N/A N/A</v>
      </c>
      <c r="DA5" t="str">
        <f>_xll.BDS("DRRAQ US Equity","SUPPLY_CHAIN_CUSTOMERS_ALL_DATA")</f>
        <v>#N/A N/A</v>
      </c>
      <c r="DQ5" t="str">
        <f>_xll.BDS("HPQ US Equity","SUPPLY_CHAIN_SUPPLIERS_ALL_DATA","cols=12;rows=5")</f>
        <v>2356 TT Equity</v>
      </c>
      <c r="DR5" t="s">
        <v>1786</v>
      </c>
      <c r="DS5">
        <v>36.343342</v>
      </c>
      <c r="DT5">
        <v>18.051394999999999</v>
      </c>
      <c r="DU5" t="s">
        <v>1742</v>
      </c>
      <c r="DV5">
        <v>2025</v>
      </c>
      <c r="DW5" t="s">
        <v>2243</v>
      </c>
      <c r="DX5" s="6">
        <v>46035</v>
      </c>
      <c r="DY5">
        <v>5</v>
      </c>
      <c r="DZ5">
        <v>2141270971.6500001</v>
      </c>
      <c r="EA5">
        <v>193712</v>
      </c>
      <c r="EB5" t="s">
        <v>2244</v>
      </c>
      <c r="EE5" t="str">
        <f>_xll.BDS("HPQ US Equity","SUPPLY_CHAIN_CUSTOMERS_ALL_DATA","cols=12;rows=5")</f>
        <v>SNX US Equity</v>
      </c>
      <c r="EF5">
        <v>12</v>
      </c>
      <c r="EG5" t="s">
        <v>1786</v>
      </c>
      <c r="EH5">
        <v>11.690618000000001</v>
      </c>
      <c r="EI5" t="s">
        <v>1745</v>
      </c>
      <c r="EJ5">
        <v>2025</v>
      </c>
      <c r="EK5" t="s">
        <v>1863</v>
      </c>
      <c r="EL5" s="6">
        <v>46001</v>
      </c>
      <c r="EM5">
        <v>5</v>
      </c>
      <c r="EN5">
        <v>1658850048</v>
      </c>
      <c r="EO5">
        <v>1499717</v>
      </c>
      <c r="EP5" t="s">
        <v>1864</v>
      </c>
      <c r="EU5" t="str">
        <f>_xll.BDS("9990822D US Equity","SUPPLY_CHAIN_SUPPLIERS_ALL_DATA","cols=12;rows=1")</f>
        <v>AMZN US Equity</v>
      </c>
      <c r="EW5">
        <v>-2.4245362661989844E-14</v>
      </c>
      <c r="EX5">
        <v>-2.4245362661989844E-14</v>
      </c>
      <c r="EY5" t="s">
        <v>1745</v>
      </c>
      <c r="EZ5">
        <v>2025</v>
      </c>
      <c r="FA5" t="s">
        <v>3186</v>
      </c>
      <c r="FB5" s="6">
        <v>45993</v>
      </c>
      <c r="FC5">
        <v>1</v>
      </c>
      <c r="FD5">
        <v>-2.4245362661989844E-14</v>
      </c>
      <c r="FE5">
        <v>216952</v>
      </c>
      <c r="FF5" t="s">
        <v>1886</v>
      </c>
      <c r="FI5" t="str">
        <f>_xll.BDS("9990822D US Equity","SUPPLY_CHAIN_CUSTOMERS_ALL_DATA","cols=12;rows=3")</f>
        <v>0759608D US Equity</v>
      </c>
      <c r="FJ5">
        <v>-2.4245362661989844E-14</v>
      </c>
      <c r="FL5">
        <v>-2.4245362661989844E-14</v>
      </c>
      <c r="FM5" t="s">
        <v>1745</v>
      </c>
      <c r="FN5">
        <v>2023</v>
      </c>
      <c r="FO5" t="s">
        <v>3154</v>
      </c>
      <c r="FP5" s="6">
        <v>44972</v>
      </c>
      <c r="FQ5">
        <v>3</v>
      </c>
      <c r="FR5">
        <v>-2.4245362661989844E-14</v>
      </c>
      <c r="FS5">
        <v>22120244</v>
      </c>
      <c r="FT5" t="s">
        <v>3155</v>
      </c>
      <c r="FY5" t="str">
        <f>_xll.BDS("3437127Q US Equity","SUPPLY_CHAIN_SUPPLIERS_ALL_DATA","cols=12;rows=2")</f>
        <v>141080 KS Equity</v>
      </c>
      <c r="GA5">
        <v>-2.4245362661989844E-14</v>
      </c>
      <c r="GB5">
        <v>-2.4245362661989844E-14</v>
      </c>
      <c r="GC5" t="s">
        <v>1798</v>
      </c>
      <c r="GD5">
        <v>2025</v>
      </c>
      <c r="GE5" t="s">
        <v>2657</v>
      </c>
      <c r="GF5" s="6">
        <v>45975</v>
      </c>
      <c r="GG5">
        <v>2</v>
      </c>
      <c r="GH5">
        <v>-2.4245362661989844E-14</v>
      </c>
      <c r="GI5">
        <v>34934611</v>
      </c>
      <c r="GJ5" t="s">
        <v>2658</v>
      </c>
      <c r="GM5" t="str">
        <f>_xll.BDS("3437127Q US Equity","SUPPLY_CHAIN_CUSTOMERS_ALL_DATA","cols=12;rows=2")</f>
        <v>CALA US Equity</v>
      </c>
      <c r="GN5">
        <v>-2.4245362661989844E-14</v>
      </c>
      <c r="GP5">
        <v>-2.4245362661989844E-14</v>
      </c>
      <c r="GQ5" t="s">
        <v>1745</v>
      </c>
      <c r="GR5">
        <v>2021</v>
      </c>
      <c r="GS5" t="s">
        <v>2461</v>
      </c>
      <c r="GT5" s="6">
        <v>44652</v>
      </c>
      <c r="GU5">
        <v>2</v>
      </c>
      <c r="GV5">
        <v>-2.4245362661989844E-14</v>
      </c>
      <c r="GW5">
        <v>20144557</v>
      </c>
      <c r="GX5" t="s">
        <v>2462</v>
      </c>
      <c r="HC5" t="str">
        <f>_xll.BDS("GKOS US Equity","SUPPLY_CHAIN_SUPPLIERS_ALL_DATA","cols=12;rows=5")</f>
        <v>1824725D US Equity</v>
      </c>
      <c r="HE5">
        <v>-2.4245362661989844E-14</v>
      </c>
      <c r="HF5">
        <v>-2.4245362661989844E-14</v>
      </c>
      <c r="HG5" t="s">
        <v>1745</v>
      </c>
      <c r="HH5">
        <v>2022</v>
      </c>
      <c r="HI5" t="s">
        <v>2256</v>
      </c>
      <c r="HJ5" s="6">
        <v>44981</v>
      </c>
      <c r="HK5">
        <v>5</v>
      </c>
      <c r="HL5">
        <v>-2.4245362661989844E-14</v>
      </c>
      <c r="HM5">
        <v>67539052</v>
      </c>
      <c r="HN5" t="s">
        <v>2257</v>
      </c>
      <c r="HQ5" t="str">
        <f>_xll.BDS("GKOS US Equity","SUPPLY_CHAIN_CUSTOMERS_ALL_DATA","cols=12;rows=1")</f>
        <v>CE US Equity</v>
      </c>
      <c r="HR5">
        <v>-2.4245362661989844E-14</v>
      </c>
      <c r="HT5">
        <v>-2.4245362661989844E-14</v>
      </c>
      <c r="HU5" t="s">
        <v>1745</v>
      </c>
      <c r="HV5">
        <v>2023</v>
      </c>
      <c r="HW5" t="s">
        <v>1776</v>
      </c>
      <c r="HX5" s="6">
        <v>45021</v>
      </c>
      <c r="HY5">
        <v>1</v>
      </c>
      <c r="HZ5">
        <v>-2.4245362661989844E-14</v>
      </c>
      <c r="IA5">
        <v>9357607</v>
      </c>
      <c r="IB5" t="s">
        <v>1777</v>
      </c>
      <c r="IG5" t="str">
        <f>_xll.BDS("SEBL US Equity","SUPPLY_CHAIN_SUPPLIERS_ALL_DATA")</f>
        <v>#N/A N/A</v>
      </c>
      <c r="IU5" t="str">
        <f>_xll.BDS("SEBL US Equity","SUPPLY_CHAIN_CUSTOMERS_ALL_DATA")</f>
        <v>#N/A N/A</v>
      </c>
      <c r="JK5" t="str">
        <f>_xll.BDS("DRS US Equity","SUPPLY_CHAIN_SUPPLIERS_ALL_DATA")</f>
        <v>#N/A N/A</v>
      </c>
      <c r="JY5" t="str">
        <f>_xll.BDS("DRS US Equity","SUPPLY_CHAIN_CUSTOMERS_ALL_DATA","cols=12;rows=5")</f>
        <v>3352Z US Equity</v>
      </c>
      <c r="JZ5">
        <v>81</v>
      </c>
      <c r="KB5">
        <v>-2.4245362661989844E-14</v>
      </c>
      <c r="KC5" t="s">
        <v>1742</v>
      </c>
      <c r="KD5">
        <v>2025</v>
      </c>
      <c r="KE5" t="s">
        <v>4555</v>
      </c>
      <c r="KF5" s="6">
        <v>45959</v>
      </c>
      <c r="KG5">
        <v>5</v>
      </c>
      <c r="KH5">
        <v>777600000</v>
      </c>
      <c r="KI5">
        <v>218252</v>
      </c>
      <c r="KJ5" t="s">
        <v>1803</v>
      </c>
      <c r="KO5" t="str">
        <f>_xll.BDS("1041267D US Equity","SUPPLY_CHAIN_SUPPLIERS_ALL_DATA")</f>
        <v>#N/A N/A</v>
      </c>
      <c r="LC5" t="str">
        <f>_xll.BDS("1041267D US Equity","SUPPLY_CHAIN_CUSTOMERS_ALL_DATA")</f>
        <v>#N/A N/A</v>
      </c>
      <c r="LS5" t="str">
        <f>_xll.BDS("NPBC US Equity","SUPPLY_CHAIN_SUPPLIERS_ALL_DATA")</f>
        <v>#N/A N/A</v>
      </c>
      <c r="MG5" t="str">
        <f>_xll.BDS("NPBC US Equity","SUPPLY_CHAIN_CUSTOMERS_ALL_DATA")</f>
        <v>#N/A N/A</v>
      </c>
      <c r="MW5" t="str">
        <f>_xll.BDS("1556464D US Equity","SUPPLY_CHAIN_SUPPLIERS_ALL_DATA")</f>
        <v>#N/A N/A</v>
      </c>
      <c r="NK5" t="str">
        <f>_xll.BDS("1556464D US Equity","SUPPLY_CHAIN_CUSTOMERS_ALL_DATA")</f>
        <v>#N/A N/A</v>
      </c>
      <c r="OA5" t="str">
        <f>_xll.BDS("ONB US Equity","SUPPLY_CHAIN_SUPPLIERS_ALL_DATA","cols=12;rows=3")</f>
        <v>FCPT US Equity</v>
      </c>
      <c r="OC5">
        <v>-2.4245362661989844E-14</v>
      </c>
      <c r="OD5">
        <v>-2.4245362661989844E-14</v>
      </c>
      <c r="OE5" t="s">
        <v>1745</v>
      </c>
      <c r="OF5">
        <v>2023</v>
      </c>
      <c r="OG5" t="s">
        <v>3219</v>
      </c>
      <c r="OH5" s="6">
        <v>45337</v>
      </c>
      <c r="OI5">
        <v>3</v>
      </c>
      <c r="OJ5">
        <v>-2.4245362661989844E-14</v>
      </c>
      <c r="OK5">
        <v>46177523</v>
      </c>
      <c r="OL5" t="s">
        <v>3220</v>
      </c>
      <c r="OO5" t="str">
        <f>_xll.BDS("ONB US Equity","SUPPLY_CHAIN_CUSTOMERS_ALL_DATA")</f>
        <v>#N/A N/A</v>
      </c>
      <c r="PE5" t="str">
        <f>_xll.BDS("1255459D US Equity","SUPPLY_CHAIN_SUPPLIERS_ALL_DATA","cols=12;rows=2")</f>
        <v>CREI LN Equity</v>
      </c>
      <c r="PG5">
        <v>-2.4245362661989844E-14</v>
      </c>
      <c r="PH5">
        <v>-2.4245362661989844E-14</v>
      </c>
      <c r="PI5" t="s">
        <v>1745</v>
      </c>
      <c r="PJ5">
        <v>2022</v>
      </c>
      <c r="PK5" t="s">
        <v>2663</v>
      </c>
      <c r="PL5" s="6">
        <v>44757</v>
      </c>
      <c r="PM5">
        <v>2</v>
      </c>
      <c r="PN5">
        <v>-2.4245362661989844E-14</v>
      </c>
      <c r="PO5">
        <v>39775273</v>
      </c>
      <c r="PP5" t="s">
        <v>2664</v>
      </c>
      <c r="PS5" t="str">
        <f>_xll.BDS("1255459D US Equity","SUPPLY_CHAIN_CUSTOMERS_ALL_DATA","cols=12;rows=5")</f>
        <v>028260 KS Equity</v>
      </c>
      <c r="PT5">
        <v>-2.4245362661989844E-14</v>
      </c>
      <c r="PV5">
        <v>-2.4245362661989844E-14</v>
      </c>
      <c r="PW5" t="s">
        <v>1798</v>
      </c>
      <c r="PX5">
        <v>2023</v>
      </c>
      <c r="PY5" t="s">
        <v>2432</v>
      </c>
      <c r="PZ5" s="6">
        <v>45244</v>
      </c>
      <c r="QA5">
        <v>5</v>
      </c>
      <c r="QB5">
        <v>-2.4245362661989844E-14</v>
      </c>
      <c r="QC5">
        <v>307967</v>
      </c>
      <c r="QD5" t="s">
        <v>2433</v>
      </c>
      <c r="QI5" t="str">
        <f>_xll.BDS("JNY US Equity","SUPPLY_CHAIN_SUPPLIERS_ALL_DATA")</f>
        <v>#N/A N/A</v>
      </c>
      <c r="QW5" t="str">
        <f>_xll.BDS("JNY US Equity","SUPPLY_CHAIN_CUSTOMERS_ALL_DATA","cols=12;rows=1")</f>
        <v>MAPI IJ Equity</v>
      </c>
      <c r="QX5">
        <v>-2.4245362661989844E-14</v>
      </c>
      <c r="QZ5">
        <v>-2.4245362661989844E-14</v>
      </c>
      <c r="RA5" t="s">
        <v>1745</v>
      </c>
      <c r="RB5">
        <v>2023</v>
      </c>
      <c r="RC5" t="s">
        <v>1759</v>
      </c>
      <c r="RD5" s="6">
        <v>45412</v>
      </c>
      <c r="RE5">
        <v>1</v>
      </c>
      <c r="RF5">
        <v>-2.4245362661989844E-14</v>
      </c>
      <c r="RG5">
        <v>9183698</v>
      </c>
      <c r="RH5" t="s">
        <v>1760</v>
      </c>
      <c r="RM5" t="str">
        <f>_xll.BDS("COLB US Equity","SUPPLY_CHAIN_SUPPLIERS_ALL_DATA","cols=12;rows=1")</f>
        <v>INVE US Equity</v>
      </c>
      <c r="RO5">
        <v>-2.4245362661989844E-14</v>
      </c>
      <c r="RP5">
        <v>-2.4245362661989844E-14</v>
      </c>
      <c r="RQ5" t="s">
        <v>1742</v>
      </c>
      <c r="RR5">
        <v>2022</v>
      </c>
      <c r="RS5" t="s">
        <v>4420</v>
      </c>
      <c r="RT5" s="6">
        <v>44882</v>
      </c>
      <c r="RU5">
        <v>1</v>
      </c>
      <c r="RV5">
        <v>-2.4245362661989844E-14</v>
      </c>
      <c r="RW5">
        <v>225752</v>
      </c>
      <c r="RX5" t="s">
        <v>4421</v>
      </c>
      <c r="SA5" t="str">
        <f>_xll.BDS("COLB US Equity","SUPPLY_CHAIN_CUSTOMERS_ALL_DATA")</f>
        <v>#N/A N/A</v>
      </c>
      <c r="SQ5" t="str">
        <f>_xll.BDS("OCSL US Equity","SUPPLY_CHAIN_SUPPLIERS_ALL_DATA")</f>
        <v>#N/A N/A</v>
      </c>
      <c r="TE5" t="str">
        <f>_xll.BDS("OCSL US Equity","SUPPLY_CHAIN_CUSTOMERS_ALL_DATA")</f>
        <v>#N/A N/A</v>
      </c>
      <c r="TU5" t="str">
        <f>_xll.BDS("1920486D US Equity","SUPPLY_CHAIN_SUPPLIERS_ALL_DATA")</f>
        <v>#N/A N/A</v>
      </c>
      <c r="UI5" t="str">
        <f>_xll.BDS("1920486D US Equity","SUPPLY_CHAIN_CUSTOMERS_ALL_DATA")</f>
        <v>#N/A N/A</v>
      </c>
      <c r="UY5" t="str">
        <f>_xll.BDS("SCHW US Equity","SUPPLY_CHAIN_SUPPLIERS_ALL_DATA","cols=12;rows=5")</f>
        <v>ADBE US Equity</v>
      </c>
      <c r="UZ5" t="s">
        <v>1769</v>
      </c>
      <c r="VA5">
        <v>0.101092</v>
      </c>
      <c r="VB5">
        <v>0.18884000000000001</v>
      </c>
      <c r="VC5" t="s">
        <v>1762</v>
      </c>
      <c r="VD5">
        <v>2025</v>
      </c>
      <c r="VE5" t="s">
        <v>2268</v>
      </c>
      <c r="VF5" s="6">
        <v>45838</v>
      </c>
      <c r="VG5">
        <v>5</v>
      </c>
      <c r="VH5">
        <v>5937133</v>
      </c>
      <c r="VI5">
        <v>101689</v>
      </c>
      <c r="VJ5" t="s">
        <v>2269</v>
      </c>
      <c r="VM5" t="str">
        <f>_xll.BDS("SCHW US Equity","SUPPLY_CHAIN_CUSTOMERS_ALL_DATA","cols=12;rows=1")</f>
        <v>CNDT US Equity</v>
      </c>
      <c r="VN5">
        <v>-2.4245362661989844E-14</v>
      </c>
      <c r="VP5">
        <v>-2.4245362661989844E-14</v>
      </c>
      <c r="VQ5" t="s">
        <v>1745</v>
      </c>
      <c r="VR5">
        <v>2023</v>
      </c>
      <c r="VS5" t="s">
        <v>3975</v>
      </c>
      <c r="VT5" s="6">
        <v>45133</v>
      </c>
      <c r="VU5">
        <v>1</v>
      </c>
      <c r="VV5">
        <v>-2.4245362661989844E-14</v>
      </c>
      <c r="VW5">
        <v>48777406</v>
      </c>
      <c r="VX5" t="s">
        <v>3976</v>
      </c>
    </row>
    <row r="6" spans="1:600" x14ac:dyDescent="0.25">
      <c r="A6" t="s">
        <v>86</v>
      </c>
      <c r="C6">
        <v>-2.4245362661989844E-14</v>
      </c>
      <c r="D6">
        <v>-2.4245362661989844E-14</v>
      </c>
      <c r="E6" t="s">
        <v>1745</v>
      </c>
      <c r="F6">
        <v>2024</v>
      </c>
      <c r="G6" t="s">
        <v>4984</v>
      </c>
      <c r="H6" s="6">
        <v>45708</v>
      </c>
      <c r="I6">
        <v>5</v>
      </c>
      <c r="J6">
        <v>-2.4245362661989844E-14</v>
      </c>
      <c r="K6">
        <v>100193</v>
      </c>
      <c r="L6" t="s">
        <v>1849</v>
      </c>
      <c r="O6" t="s">
        <v>4839</v>
      </c>
      <c r="P6">
        <v>-2.4245362661989844E-14</v>
      </c>
      <c r="R6">
        <v>-2.4245362661989844E-14</v>
      </c>
      <c r="S6" t="s">
        <v>1745</v>
      </c>
      <c r="T6">
        <v>2021</v>
      </c>
      <c r="U6" t="s">
        <v>4837</v>
      </c>
      <c r="V6" s="6">
        <v>44693</v>
      </c>
      <c r="W6">
        <v>5</v>
      </c>
      <c r="X6">
        <v>-2.4245362661989844E-14</v>
      </c>
      <c r="Y6">
        <v>103755</v>
      </c>
      <c r="Z6" t="s">
        <v>4840</v>
      </c>
      <c r="AE6" t="s">
        <v>4630</v>
      </c>
      <c r="AG6">
        <v>-2.4245362661989844E-14</v>
      </c>
      <c r="AH6">
        <v>-2.4245362661989844E-14</v>
      </c>
      <c r="AI6" t="s">
        <v>1745</v>
      </c>
      <c r="AJ6">
        <v>2023</v>
      </c>
      <c r="AK6" t="s">
        <v>4631</v>
      </c>
      <c r="AL6" s="6">
        <v>45048</v>
      </c>
      <c r="AM6">
        <v>5</v>
      </c>
      <c r="AN6">
        <v>-2.4245362661989844E-14</v>
      </c>
      <c r="AO6">
        <v>24284490</v>
      </c>
      <c r="AP6" t="s">
        <v>4632</v>
      </c>
      <c r="AS6" t="s">
        <v>4527</v>
      </c>
      <c r="AT6">
        <v>-2.4245362661989844E-14</v>
      </c>
      <c r="AV6">
        <v>-2.4245362661989844E-14</v>
      </c>
      <c r="AW6" t="s">
        <v>1809</v>
      </c>
      <c r="AX6">
        <v>2023</v>
      </c>
      <c r="AY6" t="s">
        <v>4528</v>
      </c>
      <c r="AZ6" s="6">
        <v>45016</v>
      </c>
      <c r="BA6">
        <v>3</v>
      </c>
      <c r="BB6">
        <v>-2.4245362661989844E-14</v>
      </c>
      <c r="BC6">
        <v>54242560</v>
      </c>
      <c r="BD6" t="s">
        <v>4529</v>
      </c>
      <c r="BI6" t="s">
        <v>1054</v>
      </c>
      <c r="BJ6" t="s">
        <v>1786</v>
      </c>
      <c r="BK6">
        <v>0.40776600000000002</v>
      </c>
      <c r="BL6">
        <v>2.926504</v>
      </c>
      <c r="BM6" t="s">
        <v>1762</v>
      </c>
      <c r="BN6">
        <v>2025</v>
      </c>
      <c r="BO6" t="s">
        <v>3638</v>
      </c>
      <c r="BP6" s="6">
        <v>45895</v>
      </c>
      <c r="BQ6">
        <v>5</v>
      </c>
      <c r="BR6">
        <v>87999984</v>
      </c>
      <c r="BS6">
        <v>101555</v>
      </c>
      <c r="BT6" t="s">
        <v>1848</v>
      </c>
      <c r="BW6" t="s">
        <v>86</v>
      </c>
      <c r="BX6">
        <v>6.6028770000000003</v>
      </c>
      <c r="BY6" t="s">
        <v>1820</v>
      </c>
      <c r="BZ6">
        <v>5.0506979999999997</v>
      </c>
      <c r="CA6" t="s">
        <v>1762</v>
      </c>
      <c r="CB6">
        <v>2025</v>
      </c>
      <c r="CC6" t="s">
        <v>3043</v>
      </c>
      <c r="CD6" s="6">
        <v>45915</v>
      </c>
      <c r="CE6">
        <v>5</v>
      </c>
      <c r="CF6">
        <v>245362912</v>
      </c>
      <c r="CG6">
        <v>100193</v>
      </c>
      <c r="CH6" t="s">
        <v>1849</v>
      </c>
      <c r="DQ6" t="s">
        <v>168</v>
      </c>
      <c r="DR6" t="s">
        <v>1786</v>
      </c>
      <c r="DS6">
        <v>12.003353000000001</v>
      </c>
      <c r="DT6">
        <v>14.056165999999999</v>
      </c>
      <c r="DU6" t="s">
        <v>1845</v>
      </c>
      <c r="DV6">
        <v>2025</v>
      </c>
      <c r="DW6" t="s">
        <v>2245</v>
      </c>
      <c r="DX6" s="6">
        <v>46048</v>
      </c>
      <c r="DY6">
        <v>5</v>
      </c>
      <c r="DZ6">
        <v>1641338496</v>
      </c>
      <c r="EA6">
        <v>101729</v>
      </c>
      <c r="EB6" t="s">
        <v>2246</v>
      </c>
      <c r="EE6" t="s">
        <v>1350</v>
      </c>
      <c r="EF6">
        <v>1.5894710000000001</v>
      </c>
      <c r="EG6" t="s">
        <v>1786</v>
      </c>
      <c r="EH6">
        <v>2.6168589999999998</v>
      </c>
      <c r="EI6" t="s">
        <v>1762</v>
      </c>
      <c r="EJ6">
        <v>2026</v>
      </c>
      <c r="EK6" t="s">
        <v>1865</v>
      </c>
      <c r="EL6" s="6">
        <v>45932</v>
      </c>
      <c r="EM6">
        <v>5</v>
      </c>
      <c r="EN6">
        <v>221445152</v>
      </c>
      <c r="EO6">
        <v>100197</v>
      </c>
      <c r="EP6" t="s">
        <v>1866</v>
      </c>
      <c r="FI6" t="s">
        <v>246</v>
      </c>
      <c r="FJ6">
        <v>-2.4245362661989844E-14</v>
      </c>
      <c r="FL6">
        <v>-2.4245362661989844E-14</v>
      </c>
      <c r="FM6" t="s">
        <v>1745</v>
      </c>
      <c r="FN6">
        <v>2023</v>
      </c>
      <c r="FO6" t="s">
        <v>3154</v>
      </c>
      <c r="FP6" s="6">
        <v>44943</v>
      </c>
      <c r="FQ6">
        <v>3</v>
      </c>
      <c r="FR6">
        <v>-2.4245362661989844E-14</v>
      </c>
      <c r="FS6">
        <v>46946968</v>
      </c>
      <c r="FT6" t="s">
        <v>1765</v>
      </c>
      <c r="FY6" t="s">
        <v>2659</v>
      </c>
      <c r="GA6">
        <v>-2.4245362661989844E-14</v>
      </c>
      <c r="GB6">
        <v>-2.4245362661989844E-14</v>
      </c>
      <c r="GC6" t="s">
        <v>1745</v>
      </c>
      <c r="GD6">
        <v>2023</v>
      </c>
      <c r="GE6" t="s">
        <v>2660</v>
      </c>
      <c r="GF6" s="6">
        <v>45378</v>
      </c>
      <c r="GG6">
        <v>2</v>
      </c>
      <c r="GH6">
        <v>-2.4245362661989844E-14</v>
      </c>
      <c r="GI6">
        <v>7580113</v>
      </c>
      <c r="GJ6" t="s">
        <v>2661</v>
      </c>
      <c r="GM6" t="s">
        <v>385</v>
      </c>
      <c r="GN6">
        <v>-2.4245362661989844E-14</v>
      </c>
      <c r="GP6">
        <v>-2.4245362661989844E-14</v>
      </c>
      <c r="GQ6" t="s">
        <v>1809</v>
      </c>
      <c r="GR6">
        <v>2025</v>
      </c>
      <c r="GS6" t="s">
        <v>2463</v>
      </c>
      <c r="GT6" s="6">
        <v>45762</v>
      </c>
      <c r="GU6">
        <v>2</v>
      </c>
      <c r="GV6">
        <v>-2.4245362661989844E-14</v>
      </c>
      <c r="GW6">
        <v>100828</v>
      </c>
      <c r="GX6" t="s">
        <v>2464</v>
      </c>
      <c r="HC6" t="s">
        <v>2258</v>
      </c>
      <c r="HE6">
        <v>-2.4245362661989844E-14</v>
      </c>
      <c r="HF6">
        <v>-2.4245362661989844E-14</v>
      </c>
      <c r="HG6" t="s">
        <v>1745</v>
      </c>
      <c r="HH6">
        <v>2023</v>
      </c>
      <c r="HI6" t="s">
        <v>2259</v>
      </c>
      <c r="HJ6" s="6">
        <v>45217</v>
      </c>
      <c r="HK6">
        <v>5</v>
      </c>
      <c r="HL6">
        <v>-2.4245362661989844E-14</v>
      </c>
      <c r="HM6">
        <v>69502429</v>
      </c>
      <c r="HN6" t="s">
        <v>2260</v>
      </c>
      <c r="JY6" t="s">
        <v>1054</v>
      </c>
      <c r="JZ6">
        <v>0.897366</v>
      </c>
      <c r="KA6" t="s">
        <v>1786</v>
      </c>
      <c r="KB6">
        <v>5.1166000000000003E-2</v>
      </c>
      <c r="KC6" t="s">
        <v>1762</v>
      </c>
      <c r="KD6">
        <v>2025</v>
      </c>
      <c r="KE6" t="s">
        <v>4556</v>
      </c>
      <c r="KF6" s="6">
        <v>45947</v>
      </c>
      <c r="KG6">
        <v>5</v>
      </c>
      <c r="KH6">
        <v>8803160</v>
      </c>
      <c r="KI6">
        <v>101555</v>
      </c>
      <c r="KJ6" t="s">
        <v>1848</v>
      </c>
      <c r="OA6" t="s">
        <v>3221</v>
      </c>
      <c r="OC6">
        <v>-2.4245362661989844E-14</v>
      </c>
      <c r="OD6">
        <v>-2.4245362661989844E-14</v>
      </c>
      <c r="OE6" t="s">
        <v>1809</v>
      </c>
      <c r="OF6">
        <v>2023</v>
      </c>
      <c r="OG6" t="s">
        <v>3222</v>
      </c>
      <c r="OH6" s="6">
        <v>45020</v>
      </c>
      <c r="OI6">
        <v>3</v>
      </c>
      <c r="OJ6">
        <v>-2.4245362661989844E-14</v>
      </c>
      <c r="OK6">
        <v>106252</v>
      </c>
      <c r="OL6" t="s">
        <v>3223</v>
      </c>
      <c r="PE6" t="s">
        <v>387</v>
      </c>
      <c r="PG6">
        <v>-2.4245362661989844E-14</v>
      </c>
      <c r="PH6">
        <v>-2.4245362661989844E-14</v>
      </c>
      <c r="PI6" t="s">
        <v>1745</v>
      </c>
      <c r="PJ6">
        <v>2022</v>
      </c>
      <c r="PK6" t="s">
        <v>2665</v>
      </c>
      <c r="PL6" s="6">
        <v>44797</v>
      </c>
      <c r="PM6">
        <v>2</v>
      </c>
      <c r="PN6">
        <v>-2.4245362661989844E-14</v>
      </c>
      <c r="PO6">
        <v>42186257</v>
      </c>
      <c r="PP6" t="s">
        <v>2666</v>
      </c>
      <c r="PS6" t="s">
        <v>2434</v>
      </c>
      <c r="PT6">
        <v>-2.4245362661989844E-14</v>
      </c>
      <c r="PV6">
        <v>-2.4245362661989844E-14</v>
      </c>
      <c r="PW6" t="s">
        <v>2435</v>
      </c>
      <c r="PX6">
        <v>2025</v>
      </c>
      <c r="PY6" t="s">
        <v>2436</v>
      </c>
      <c r="PZ6" s="6">
        <v>45792</v>
      </c>
      <c r="QA6">
        <v>5</v>
      </c>
      <c r="QB6">
        <v>-2.4245362661989844E-14</v>
      </c>
      <c r="QC6">
        <v>25611178</v>
      </c>
      <c r="QD6" t="s">
        <v>2437</v>
      </c>
      <c r="UY6" t="s">
        <v>3026</v>
      </c>
      <c r="VA6">
        <v>-2.4245362661989844E-14</v>
      </c>
      <c r="VB6">
        <v>-2.4245362661989844E-14</v>
      </c>
      <c r="VC6" t="s">
        <v>1809</v>
      </c>
      <c r="VD6">
        <v>2024</v>
      </c>
      <c r="VE6" t="s">
        <v>3027</v>
      </c>
      <c r="VF6" s="6">
        <v>45421</v>
      </c>
      <c r="VG6">
        <v>5</v>
      </c>
      <c r="VH6">
        <v>-2.4245362661989844E-14</v>
      </c>
      <c r="VI6">
        <v>65608618</v>
      </c>
      <c r="VJ6" t="s">
        <v>3028</v>
      </c>
    </row>
    <row r="7" spans="1:600" x14ac:dyDescent="0.25">
      <c r="A7" t="s">
        <v>4985</v>
      </c>
      <c r="C7">
        <v>-2.4245362661989844E-14</v>
      </c>
      <c r="D7">
        <v>-2.4245362661989844E-14</v>
      </c>
      <c r="E7" t="s">
        <v>1745</v>
      </c>
      <c r="F7">
        <v>2024</v>
      </c>
      <c r="G7" t="s">
        <v>4984</v>
      </c>
      <c r="H7" s="6">
        <v>45708</v>
      </c>
      <c r="I7">
        <v>5</v>
      </c>
      <c r="J7">
        <v>-2.4245362661989844E-14</v>
      </c>
      <c r="K7">
        <v>100207</v>
      </c>
      <c r="L7" t="s">
        <v>4986</v>
      </c>
      <c r="O7" t="s">
        <v>4841</v>
      </c>
      <c r="P7">
        <v>-2.4245362661989844E-14</v>
      </c>
      <c r="R7">
        <v>-2.4245362661989844E-14</v>
      </c>
      <c r="S7" t="s">
        <v>1745</v>
      </c>
      <c r="T7">
        <v>2021</v>
      </c>
      <c r="U7" t="s">
        <v>4837</v>
      </c>
      <c r="V7" s="6">
        <v>44693</v>
      </c>
      <c r="W7">
        <v>5</v>
      </c>
      <c r="X7">
        <v>-2.4245362661989844E-14</v>
      </c>
      <c r="Y7">
        <v>104025</v>
      </c>
      <c r="Z7" t="s">
        <v>4842</v>
      </c>
      <c r="AE7" t="s">
        <v>4633</v>
      </c>
      <c r="AG7">
        <v>-2.4245362661989844E-14</v>
      </c>
      <c r="AH7">
        <v>-2.4245362661989844E-14</v>
      </c>
      <c r="AI7" t="s">
        <v>1742</v>
      </c>
      <c r="AJ7">
        <v>2025</v>
      </c>
      <c r="AK7" t="s">
        <v>4634</v>
      </c>
      <c r="AL7" s="6">
        <v>46020</v>
      </c>
      <c r="AM7">
        <v>5</v>
      </c>
      <c r="AN7">
        <v>-2.4245362661989844E-14</v>
      </c>
      <c r="AO7">
        <v>209019</v>
      </c>
      <c r="AP7" t="s">
        <v>4635</v>
      </c>
      <c r="AS7" t="s">
        <v>4530</v>
      </c>
      <c r="AT7">
        <v>-2.4245362661989844E-14</v>
      </c>
      <c r="AV7">
        <v>-2.4245362661989844E-14</v>
      </c>
      <c r="AW7" t="s">
        <v>1745</v>
      </c>
      <c r="AX7">
        <v>2024</v>
      </c>
      <c r="AY7" t="s">
        <v>4531</v>
      </c>
      <c r="AZ7" s="6">
        <v>45511</v>
      </c>
      <c r="BA7">
        <v>3</v>
      </c>
      <c r="BB7">
        <v>-2.4245362661989844E-14</v>
      </c>
      <c r="BC7">
        <v>100747</v>
      </c>
      <c r="BD7" t="s">
        <v>4532</v>
      </c>
      <c r="BI7" t="s">
        <v>1346</v>
      </c>
      <c r="BJ7" t="s">
        <v>1786</v>
      </c>
      <c r="BK7">
        <v>0.65316700000000005</v>
      </c>
      <c r="BL7">
        <v>2.248615</v>
      </c>
      <c r="BM7" t="s">
        <v>1762</v>
      </c>
      <c r="BN7">
        <v>2025</v>
      </c>
      <c r="BO7" t="s">
        <v>2368</v>
      </c>
      <c r="BP7" s="6">
        <v>45898</v>
      </c>
      <c r="BQ7">
        <v>5</v>
      </c>
      <c r="BR7">
        <v>67615848</v>
      </c>
      <c r="BS7">
        <v>100043</v>
      </c>
      <c r="BT7" t="s">
        <v>3434</v>
      </c>
      <c r="BW7" t="s">
        <v>536</v>
      </c>
      <c r="BX7">
        <v>1.0461879999999999</v>
      </c>
      <c r="BY7" t="s">
        <v>1820</v>
      </c>
      <c r="BZ7">
        <v>2.6392630000000001</v>
      </c>
      <c r="CA7" t="s">
        <v>1762</v>
      </c>
      <c r="CB7">
        <v>2025</v>
      </c>
      <c r="CC7" t="s">
        <v>3043</v>
      </c>
      <c r="CD7" s="6">
        <v>45915</v>
      </c>
      <c r="CE7">
        <v>5</v>
      </c>
      <c r="CF7">
        <v>38876344</v>
      </c>
      <c r="CG7">
        <v>100554</v>
      </c>
      <c r="CH7" t="s">
        <v>4132</v>
      </c>
      <c r="DQ7" t="s">
        <v>2247</v>
      </c>
      <c r="DR7" t="s">
        <v>1786</v>
      </c>
      <c r="DS7">
        <v>6.8536460000000003</v>
      </c>
      <c r="DT7">
        <v>9.6768190000000001</v>
      </c>
      <c r="DU7" t="s">
        <v>1809</v>
      </c>
      <c r="DV7">
        <v>2025</v>
      </c>
      <c r="DW7" t="s">
        <v>2248</v>
      </c>
      <c r="DX7" s="6">
        <v>45812</v>
      </c>
      <c r="DY7">
        <v>5</v>
      </c>
      <c r="DZ7">
        <v>1011895282.72</v>
      </c>
      <c r="EA7">
        <v>330541</v>
      </c>
      <c r="EB7" t="s">
        <v>2249</v>
      </c>
      <c r="EE7" t="s">
        <v>1867</v>
      </c>
      <c r="EF7">
        <v>1.3641749999999999</v>
      </c>
      <c r="EG7" t="s">
        <v>1786</v>
      </c>
      <c r="EH7">
        <v>0.69426200000000005</v>
      </c>
      <c r="EI7" t="s">
        <v>1809</v>
      </c>
      <c r="EJ7">
        <v>2025</v>
      </c>
      <c r="EK7" t="s">
        <v>1868</v>
      </c>
      <c r="EL7" s="6">
        <v>45797</v>
      </c>
      <c r="EM7">
        <v>5</v>
      </c>
      <c r="EN7">
        <v>183924678.06999999</v>
      </c>
      <c r="EO7">
        <v>223340</v>
      </c>
      <c r="EP7" t="s">
        <v>1869</v>
      </c>
      <c r="FI7" t="s">
        <v>1044</v>
      </c>
      <c r="FJ7">
        <v>-2.4245362661989844E-14</v>
      </c>
      <c r="FL7">
        <v>-2.4245362661989844E-14</v>
      </c>
      <c r="FM7" t="s">
        <v>1745</v>
      </c>
      <c r="FN7">
        <v>2025</v>
      </c>
      <c r="FO7" t="s">
        <v>3154</v>
      </c>
      <c r="FP7" s="6">
        <v>46007</v>
      </c>
      <c r="FQ7">
        <v>3</v>
      </c>
      <c r="FR7">
        <v>-2.4245362661989844E-14</v>
      </c>
      <c r="FS7">
        <v>107071</v>
      </c>
      <c r="FT7" t="s">
        <v>3156</v>
      </c>
      <c r="HC7" t="s">
        <v>2261</v>
      </c>
      <c r="HE7">
        <v>-2.4245362661989844E-14</v>
      </c>
      <c r="HF7">
        <v>-2.4245362661989844E-14</v>
      </c>
      <c r="HG7" t="s">
        <v>1745</v>
      </c>
      <c r="HH7">
        <v>2025</v>
      </c>
      <c r="HI7" t="s">
        <v>2262</v>
      </c>
      <c r="HJ7" s="6">
        <v>45831</v>
      </c>
      <c r="HK7">
        <v>5</v>
      </c>
      <c r="HL7">
        <v>-2.4245362661989844E-14</v>
      </c>
      <c r="HM7">
        <v>114633</v>
      </c>
      <c r="HN7" t="s">
        <v>2263</v>
      </c>
      <c r="JY7" t="s">
        <v>2073</v>
      </c>
      <c r="JZ7">
        <v>0.82817600000000002</v>
      </c>
      <c r="KA7" t="s">
        <v>1786</v>
      </c>
      <c r="KB7">
        <v>4.6813E-2</v>
      </c>
      <c r="KC7" t="s">
        <v>1762</v>
      </c>
      <c r="KD7">
        <v>2025</v>
      </c>
      <c r="KE7" t="s">
        <v>4556</v>
      </c>
      <c r="KF7" s="6">
        <v>45947</v>
      </c>
      <c r="KG7">
        <v>5</v>
      </c>
      <c r="KH7">
        <v>8124407</v>
      </c>
      <c r="KI7">
        <v>156923</v>
      </c>
      <c r="KJ7" t="s">
        <v>2074</v>
      </c>
      <c r="OA7" t="s">
        <v>607</v>
      </c>
      <c r="OC7">
        <v>-2.4245362661989844E-14</v>
      </c>
      <c r="OD7">
        <v>-2.4245362661989844E-14</v>
      </c>
      <c r="OE7" t="s">
        <v>1762</v>
      </c>
      <c r="OF7">
        <v>2023</v>
      </c>
      <c r="OG7" t="s">
        <v>2670</v>
      </c>
      <c r="OH7" s="6">
        <v>45174</v>
      </c>
      <c r="OI7">
        <v>3</v>
      </c>
      <c r="OJ7">
        <v>-2.4245362661989844E-14</v>
      </c>
      <c r="OK7">
        <v>202476</v>
      </c>
      <c r="OL7" t="s">
        <v>2355</v>
      </c>
      <c r="PS7" t="s">
        <v>2438</v>
      </c>
      <c r="PT7">
        <v>-2.4245362661989844E-14</v>
      </c>
      <c r="PV7">
        <v>-2.4245362661989844E-14</v>
      </c>
      <c r="PW7" t="s">
        <v>1798</v>
      </c>
      <c r="PX7">
        <v>2025</v>
      </c>
      <c r="PY7" t="s">
        <v>2439</v>
      </c>
      <c r="PZ7" s="6">
        <v>45973</v>
      </c>
      <c r="QA7">
        <v>5</v>
      </c>
      <c r="QB7">
        <v>-2.4245362661989844E-14</v>
      </c>
      <c r="QC7">
        <v>16444455</v>
      </c>
      <c r="QD7" t="s">
        <v>2440</v>
      </c>
      <c r="UY7" t="s">
        <v>3029</v>
      </c>
      <c r="VA7">
        <v>-2.4245362661989844E-14</v>
      </c>
      <c r="VB7">
        <v>-2.4245362661989844E-14</v>
      </c>
      <c r="VC7" t="s">
        <v>1845</v>
      </c>
      <c r="VD7">
        <v>2023</v>
      </c>
      <c r="VE7" t="s">
        <v>3030</v>
      </c>
      <c r="VF7" s="6">
        <v>45329</v>
      </c>
      <c r="VG7">
        <v>5</v>
      </c>
      <c r="VH7">
        <v>-2.4245362661989844E-14</v>
      </c>
      <c r="VI7">
        <v>11213545</v>
      </c>
      <c r="VJ7" t="s">
        <v>3031</v>
      </c>
    </row>
    <row r="8" spans="1:600" x14ac:dyDescent="0.25">
      <c r="A8" t="s">
        <v>813</v>
      </c>
      <c r="C8">
        <v>-2.4245362661989844E-14</v>
      </c>
      <c r="D8">
        <v>-2.4245362661989844E-14</v>
      </c>
      <c r="E8" t="s">
        <v>1745</v>
      </c>
      <c r="F8">
        <v>2024</v>
      </c>
      <c r="G8" t="s">
        <v>4984</v>
      </c>
      <c r="H8" s="6">
        <v>45708</v>
      </c>
      <c r="I8">
        <v>5</v>
      </c>
      <c r="J8">
        <v>-2.4245362661989844E-14</v>
      </c>
      <c r="K8">
        <v>100466</v>
      </c>
      <c r="L8" t="s">
        <v>2286</v>
      </c>
      <c r="O8" t="s">
        <v>4843</v>
      </c>
      <c r="P8">
        <v>-2.4245362661989844E-14</v>
      </c>
      <c r="R8">
        <v>-2.4245362661989844E-14</v>
      </c>
      <c r="S8" t="s">
        <v>1745</v>
      </c>
      <c r="T8">
        <v>2021</v>
      </c>
      <c r="U8" t="s">
        <v>4837</v>
      </c>
      <c r="V8" s="6">
        <v>44693</v>
      </c>
      <c r="W8">
        <v>5</v>
      </c>
      <c r="X8">
        <v>-2.4245362661989844E-14</v>
      </c>
      <c r="Y8">
        <v>106424</v>
      </c>
      <c r="Z8" t="s">
        <v>4844</v>
      </c>
      <c r="AE8" t="s">
        <v>4636</v>
      </c>
      <c r="AG8">
        <v>-2.4245362661989844E-14</v>
      </c>
      <c r="AH8">
        <v>-2.4245362661989844E-14</v>
      </c>
      <c r="AI8" t="s">
        <v>1805</v>
      </c>
      <c r="AJ8">
        <v>2025</v>
      </c>
      <c r="AK8" t="s">
        <v>4637</v>
      </c>
      <c r="AL8" s="6">
        <v>45896</v>
      </c>
      <c r="AM8">
        <v>5</v>
      </c>
      <c r="AN8">
        <v>-2.4245362661989844E-14</v>
      </c>
      <c r="AO8">
        <v>812970</v>
      </c>
      <c r="AP8" t="s">
        <v>4638</v>
      </c>
      <c r="BI8" t="s">
        <v>454</v>
      </c>
      <c r="BJ8" t="s">
        <v>1786</v>
      </c>
      <c r="BK8">
        <v>0.52513100000000001</v>
      </c>
      <c r="BL8">
        <v>1.9250149999999999</v>
      </c>
      <c r="BM8" t="s">
        <v>1762</v>
      </c>
      <c r="BN8">
        <v>2025</v>
      </c>
      <c r="BO8" t="s">
        <v>1877</v>
      </c>
      <c r="BP8" s="6">
        <v>45888</v>
      </c>
      <c r="BQ8">
        <v>5</v>
      </c>
      <c r="BR8">
        <v>57885192</v>
      </c>
      <c r="BS8">
        <v>100632</v>
      </c>
      <c r="BT8" t="s">
        <v>1850</v>
      </c>
      <c r="BW8" t="s">
        <v>3236</v>
      </c>
      <c r="BX8">
        <v>0.36827399999999999</v>
      </c>
      <c r="BY8" t="s">
        <v>1786</v>
      </c>
      <c r="BZ8">
        <v>3.6235999999999997E-2</v>
      </c>
      <c r="CA8" t="s">
        <v>1762</v>
      </c>
      <c r="CB8">
        <v>2025</v>
      </c>
      <c r="CC8" t="s">
        <v>3043</v>
      </c>
      <c r="CD8" s="6">
        <v>45915</v>
      </c>
      <c r="CE8">
        <v>5</v>
      </c>
      <c r="CF8">
        <v>13685062</v>
      </c>
      <c r="CG8">
        <v>16632863</v>
      </c>
      <c r="CH8" t="s">
        <v>3238</v>
      </c>
      <c r="DQ8" t="s">
        <v>2250</v>
      </c>
      <c r="DR8" t="s">
        <v>1786</v>
      </c>
      <c r="DS8">
        <v>4.2738360000000002</v>
      </c>
      <c r="DT8">
        <v>6.6693020000000001</v>
      </c>
      <c r="DU8" t="s">
        <v>1742</v>
      </c>
      <c r="DV8">
        <v>2025</v>
      </c>
      <c r="DW8" t="s">
        <v>2251</v>
      </c>
      <c r="DX8" s="6">
        <v>46087</v>
      </c>
      <c r="DY8">
        <v>5</v>
      </c>
      <c r="DZ8">
        <v>811049598.16999996</v>
      </c>
      <c r="EA8">
        <v>7975354</v>
      </c>
      <c r="EB8" t="s">
        <v>2252</v>
      </c>
      <c r="EE8" t="s">
        <v>1870</v>
      </c>
      <c r="EF8">
        <v>0.59423499999999996</v>
      </c>
      <c r="EG8" t="s">
        <v>1786</v>
      </c>
      <c r="EH8">
        <v>1.9269499999999999</v>
      </c>
      <c r="EI8" t="s">
        <v>1809</v>
      </c>
      <c r="EJ8">
        <v>2025</v>
      </c>
      <c r="EK8" t="s">
        <v>1871</v>
      </c>
      <c r="EL8" s="6">
        <v>45820</v>
      </c>
      <c r="EM8">
        <v>5</v>
      </c>
      <c r="EN8">
        <v>78557896</v>
      </c>
      <c r="EO8">
        <v>12129192</v>
      </c>
      <c r="EP8" t="s">
        <v>1872</v>
      </c>
      <c r="HC8" t="s">
        <v>2264</v>
      </c>
      <c r="HE8">
        <v>-2.4245362661989844E-14</v>
      </c>
      <c r="HF8">
        <v>-2.4245362661989844E-14</v>
      </c>
      <c r="HG8" t="s">
        <v>1745</v>
      </c>
      <c r="HH8">
        <v>2022</v>
      </c>
      <c r="HI8" t="s">
        <v>2265</v>
      </c>
      <c r="HJ8" s="6">
        <v>45015</v>
      </c>
      <c r="HK8">
        <v>5</v>
      </c>
      <c r="HL8">
        <v>-2.4245362661989844E-14</v>
      </c>
      <c r="HM8">
        <v>17081960</v>
      </c>
      <c r="HN8" t="s">
        <v>2266</v>
      </c>
      <c r="JY8" t="s">
        <v>1442</v>
      </c>
      <c r="JZ8">
        <v>0.67119499999999999</v>
      </c>
      <c r="KA8" t="s">
        <v>1786</v>
      </c>
      <c r="KB8">
        <v>8.0615000000000006E-2</v>
      </c>
      <c r="KC8" t="s">
        <v>1762</v>
      </c>
      <c r="KD8">
        <v>2025</v>
      </c>
      <c r="KE8" t="s">
        <v>4556</v>
      </c>
      <c r="KF8" s="6">
        <v>45947</v>
      </c>
      <c r="KG8">
        <v>5</v>
      </c>
      <c r="KH8">
        <v>6584423</v>
      </c>
      <c r="KI8">
        <v>101090</v>
      </c>
      <c r="KJ8" t="s">
        <v>2075</v>
      </c>
      <c r="PS8" t="s">
        <v>2441</v>
      </c>
      <c r="PT8">
        <v>-2.4245362661989844E-14</v>
      </c>
      <c r="PV8">
        <v>-2.4245362661989844E-14</v>
      </c>
      <c r="PW8" t="s">
        <v>1745</v>
      </c>
      <c r="PX8">
        <v>2024</v>
      </c>
      <c r="PY8" t="s">
        <v>2442</v>
      </c>
      <c r="PZ8" s="6">
        <v>45820</v>
      </c>
      <c r="QA8">
        <v>5</v>
      </c>
      <c r="QB8">
        <v>-2.4245362661989844E-14</v>
      </c>
      <c r="QC8">
        <v>48621274</v>
      </c>
      <c r="QD8" t="s">
        <v>2443</v>
      </c>
      <c r="UY8" t="s">
        <v>2989</v>
      </c>
      <c r="VA8">
        <v>-2.4245362661989844E-14</v>
      </c>
      <c r="VB8">
        <v>-2.4245362661989844E-14</v>
      </c>
      <c r="VC8" t="s">
        <v>1742</v>
      </c>
      <c r="VD8">
        <v>2023</v>
      </c>
      <c r="VE8" t="s">
        <v>3032</v>
      </c>
      <c r="VF8" s="6">
        <v>45231</v>
      </c>
      <c r="VG8">
        <v>5</v>
      </c>
      <c r="VH8">
        <v>-2.4245362661989844E-14</v>
      </c>
      <c r="VI8">
        <v>69762655</v>
      </c>
      <c r="VJ8" t="s">
        <v>2991</v>
      </c>
    </row>
    <row r="9" spans="1:600" x14ac:dyDescent="0.25">
      <c r="A9" t="s">
        <v>3369</v>
      </c>
      <c r="C9">
        <v>-2.4245362661989844E-14</v>
      </c>
      <c r="D9">
        <v>-2.4245362661989844E-14</v>
      </c>
      <c r="E9" t="s">
        <v>1745</v>
      </c>
      <c r="F9">
        <v>2021</v>
      </c>
      <c r="G9" t="s">
        <v>3370</v>
      </c>
      <c r="H9" s="6">
        <v>44693</v>
      </c>
      <c r="I9">
        <v>5</v>
      </c>
      <c r="J9">
        <v>-2.4245362661989844E-14</v>
      </c>
      <c r="K9">
        <v>100532</v>
      </c>
      <c r="L9" t="s">
        <v>3371</v>
      </c>
      <c r="O9" t="s">
        <v>4845</v>
      </c>
      <c r="P9">
        <v>-2.4245362661989844E-14</v>
      </c>
      <c r="R9">
        <v>-2.4245362661989844E-14</v>
      </c>
      <c r="S9" t="s">
        <v>1745</v>
      </c>
      <c r="T9">
        <v>2021</v>
      </c>
      <c r="U9" t="s">
        <v>4837</v>
      </c>
      <c r="V9" s="6">
        <v>44693</v>
      </c>
      <c r="W9">
        <v>5</v>
      </c>
      <c r="X9">
        <v>-2.4245362661989844E-14</v>
      </c>
      <c r="Y9">
        <v>107051</v>
      </c>
      <c r="Z9" t="s">
        <v>4846</v>
      </c>
      <c r="AE9" t="s">
        <v>4639</v>
      </c>
      <c r="AG9">
        <v>-2.4245362661989844E-14</v>
      </c>
      <c r="AH9">
        <v>-2.4245362661989844E-14</v>
      </c>
      <c r="AI9" t="s">
        <v>1745</v>
      </c>
      <c r="AJ9">
        <v>2023</v>
      </c>
      <c r="AK9" t="s">
        <v>4631</v>
      </c>
      <c r="AL9" s="6">
        <v>45034</v>
      </c>
      <c r="AM9">
        <v>5</v>
      </c>
      <c r="AN9">
        <v>-2.4245362661989844E-14</v>
      </c>
      <c r="AO9">
        <v>50766410</v>
      </c>
      <c r="AP9" t="s">
        <v>4640</v>
      </c>
      <c r="BI9" t="s">
        <v>274</v>
      </c>
      <c r="BJ9" t="s">
        <v>1786</v>
      </c>
      <c r="BK9">
        <v>2.507603</v>
      </c>
      <c r="BL9">
        <v>1.8620080000000001</v>
      </c>
      <c r="BM9" t="s">
        <v>1762</v>
      </c>
      <c r="BN9">
        <v>2025</v>
      </c>
      <c r="BO9" t="s">
        <v>2172</v>
      </c>
      <c r="BP9" s="6">
        <v>45791</v>
      </c>
      <c r="BQ9">
        <v>5</v>
      </c>
      <c r="BR9">
        <v>49752848</v>
      </c>
      <c r="BS9">
        <v>116988</v>
      </c>
      <c r="BT9" t="s">
        <v>4108</v>
      </c>
      <c r="BW9" t="s">
        <v>1870</v>
      </c>
      <c r="BX9">
        <v>0.14956900000000001</v>
      </c>
      <c r="BY9" t="s">
        <v>1786</v>
      </c>
      <c r="BZ9">
        <v>0.12129</v>
      </c>
      <c r="CA9" t="s">
        <v>1809</v>
      </c>
      <c r="CB9">
        <v>2025</v>
      </c>
      <c r="CC9" t="s">
        <v>1871</v>
      </c>
      <c r="CD9" s="6">
        <v>45820</v>
      </c>
      <c r="CE9">
        <v>5</v>
      </c>
      <c r="CF9">
        <v>4944751</v>
      </c>
      <c r="CG9">
        <v>12129192</v>
      </c>
      <c r="CH9" t="s">
        <v>1872</v>
      </c>
      <c r="DQ9" t="s">
        <v>2253</v>
      </c>
      <c r="DR9" t="s">
        <v>1786</v>
      </c>
      <c r="DS9">
        <v>10.5</v>
      </c>
      <c r="DT9">
        <v>7.349405</v>
      </c>
      <c r="DU9" t="s">
        <v>1745</v>
      </c>
      <c r="DV9">
        <v>2024</v>
      </c>
      <c r="DW9" t="s">
        <v>2254</v>
      </c>
      <c r="DX9" s="6">
        <v>45744</v>
      </c>
      <c r="DY9">
        <v>5</v>
      </c>
      <c r="DZ9">
        <v>778954139.5</v>
      </c>
      <c r="EA9">
        <v>113389</v>
      </c>
      <c r="EB9" t="s">
        <v>2255</v>
      </c>
      <c r="EE9" t="s">
        <v>1873</v>
      </c>
      <c r="EF9">
        <v>0.56558799999999998</v>
      </c>
      <c r="EG9" t="s">
        <v>1786</v>
      </c>
      <c r="EH9">
        <v>3.5370110000000001</v>
      </c>
      <c r="EI9" t="s">
        <v>1762</v>
      </c>
      <c r="EJ9">
        <v>2025</v>
      </c>
      <c r="EK9" t="s">
        <v>1874</v>
      </c>
      <c r="EL9" s="6">
        <v>46008</v>
      </c>
      <c r="EM9">
        <v>5</v>
      </c>
      <c r="EN9">
        <v>82257509.170000002</v>
      </c>
      <c r="EO9">
        <v>349049</v>
      </c>
      <c r="EP9" t="s">
        <v>1875</v>
      </c>
      <c r="HC9" t="s">
        <v>2091</v>
      </c>
      <c r="HE9">
        <v>-2.4245362661989844E-14</v>
      </c>
      <c r="HF9">
        <v>-2.4245362661989844E-14</v>
      </c>
      <c r="HG9" t="s">
        <v>1745</v>
      </c>
      <c r="HH9">
        <v>2024</v>
      </c>
      <c r="HI9" t="s">
        <v>2267</v>
      </c>
      <c r="HJ9" s="6">
        <v>45713</v>
      </c>
      <c r="HK9">
        <v>5</v>
      </c>
      <c r="HL9">
        <v>-2.4245362661989844E-14</v>
      </c>
      <c r="HM9">
        <v>17483390</v>
      </c>
      <c r="HN9" t="s">
        <v>2093</v>
      </c>
      <c r="JY9" t="s">
        <v>3794</v>
      </c>
      <c r="JZ9">
        <v>0.48005300000000001</v>
      </c>
      <c r="KA9" t="s">
        <v>1786</v>
      </c>
      <c r="KB9">
        <v>7.3125999999999997E-2</v>
      </c>
      <c r="KC9" t="s">
        <v>1762</v>
      </c>
      <c r="KD9">
        <v>2025</v>
      </c>
      <c r="KE9" t="s">
        <v>4556</v>
      </c>
      <c r="KF9" s="6">
        <v>45947</v>
      </c>
      <c r="KG9">
        <v>5</v>
      </c>
      <c r="KH9">
        <v>4709320</v>
      </c>
      <c r="KI9">
        <v>111270</v>
      </c>
      <c r="KJ9" t="s">
        <v>3796</v>
      </c>
      <c r="PS9" t="s">
        <v>2444</v>
      </c>
      <c r="PT9">
        <v>-2.4245362661989844E-14</v>
      </c>
      <c r="PV9">
        <v>-2.4245362661989844E-14</v>
      </c>
      <c r="PW9" t="s">
        <v>1745</v>
      </c>
      <c r="PX9">
        <v>2024</v>
      </c>
      <c r="PY9" t="s">
        <v>2445</v>
      </c>
      <c r="PZ9" s="6">
        <v>45730</v>
      </c>
      <c r="QA9">
        <v>5</v>
      </c>
      <c r="QB9">
        <v>-2.4245362661989844E-14</v>
      </c>
      <c r="QC9">
        <v>11486695</v>
      </c>
      <c r="QD9" t="s">
        <v>2446</v>
      </c>
      <c r="UY9" t="s">
        <v>3033</v>
      </c>
      <c r="VA9">
        <v>-2.4245362661989844E-14</v>
      </c>
      <c r="VB9">
        <v>-2.4245362661989844E-14</v>
      </c>
      <c r="VC9" t="s">
        <v>1742</v>
      </c>
      <c r="VD9">
        <v>2025</v>
      </c>
      <c r="VE9" t="s">
        <v>3034</v>
      </c>
      <c r="VF9" s="6">
        <v>45971</v>
      </c>
      <c r="VG9">
        <v>5</v>
      </c>
      <c r="VH9">
        <v>-2.4245362661989844E-14</v>
      </c>
      <c r="VI9">
        <v>835670</v>
      </c>
      <c r="VJ9" t="s">
        <v>3035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1646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1647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1648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1649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1650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1651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1652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1653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1654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1655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1656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1657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1658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1659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1660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1661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1662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1663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1664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1665</v>
      </c>
      <c r="AE2" s="3" t="s">
        <v>35</v>
      </c>
      <c r="BI2" s="3" t="s">
        <v>35</v>
      </c>
      <c r="CM2" s="3" t="s">
        <v>1666</v>
      </c>
      <c r="DQ2" s="3" t="s">
        <v>1576</v>
      </c>
      <c r="EU2" s="3" t="s">
        <v>1667</v>
      </c>
      <c r="FY2" s="3" t="s">
        <v>1286</v>
      </c>
      <c r="HC2" s="3" t="s">
        <v>1668</v>
      </c>
      <c r="IG2" s="3" t="s">
        <v>1669</v>
      </c>
      <c r="JK2" s="3" t="s">
        <v>1670</v>
      </c>
      <c r="KO2" s="3" t="s">
        <v>1671</v>
      </c>
      <c r="LS2" s="3" t="s">
        <v>1672</v>
      </c>
      <c r="MW2" s="3" t="s">
        <v>1673</v>
      </c>
      <c r="OA2" s="3" t="s">
        <v>1674</v>
      </c>
      <c r="PE2" s="3" t="s">
        <v>1675</v>
      </c>
      <c r="QI2" s="3" t="s">
        <v>1676</v>
      </c>
      <c r="RM2" s="3" t="s">
        <v>116</v>
      </c>
      <c r="SQ2" s="3" t="s">
        <v>454</v>
      </c>
      <c r="TU2" s="3" t="s">
        <v>1677</v>
      </c>
      <c r="UY2" s="3" t="s">
        <v>1678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_xll.BDS("TNB US Equity","SUPPLY_CHAIN_SUPPLIERS_ALL_DATA")</f>
        <v>#N/A N/A</v>
      </c>
      <c r="O5" t="str">
        <f>_xll.BDS("TNB US Equity","SUPPLY_CHAIN_CUSTOMERS_ALL_DATA")</f>
        <v>#N/A N/A</v>
      </c>
      <c r="AE5" t="str">
        <f>_xll.BDS("nan Equity","SUPPLY_CHAIN_SUPPLIERS_ALL_DATA")</f>
        <v>#N/A N/A</v>
      </c>
      <c r="AS5" t="str">
        <f>_xll.BDS("nan Equity","SUPPLY_CHAIN_CUSTOMERS_ALL_DATA")</f>
        <v>#N/A N/A</v>
      </c>
      <c r="BI5" t="str">
        <f>_xll.BDS("nan Equity","SUPPLY_CHAIN_SUPPLIERS_ALL_DATA")</f>
        <v>#N/A N/A</v>
      </c>
      <c r="BW5" t="str">
        <f>_xll.BDS("nan Equity","SUPPLY_CHAIN_CUSTOMERS_ALL_DATA")</f>
        <v>#N/A N/A</v>
      </c>
      <c r="CM5" t="str">
        <f>_xll.BDS("CADE US Equity","SUPPLY_CHAIN_SUPPLIERS_ALL_DATA","cols=12;rows=3")</f>
        <v>15647Z US Equity</v>
      </c>
      <c r="CO5">
        <v>-2.4245362661989844E-14</v>
      </c>
      <c r="CP5">
        <v>-2.4245362661989844E-14</v>
      </c>
      <c r="CQ5" t="s">
        <v>1745</v>
      </c>
      <c r="CR5">
        <v>2025</v>
      </c>
      <c r="CS5" t="s">
        <v>2349</v>
      </c>
      <c r="CT5" s="6">
        <v>45960</v>
      </c>
      <c r="CU5">
        <v>3</v>
      </c>
      <c r="CV5">
        <v>-2.4245362661989844E-14</v>
      </c>
      <c r="CW5">
        <v>852237</v>
      </c>
      <c r="CX5" t="s">
        <v>2350</v>
      </c>
      <c r="DA5" t="str">
        <f>_xll.BDS("CADE US Equity","SUPPLY_CHAIN_CUSTOMERS_ALL_DATA")</f>
        <v>#N/A N/A</v>
      </c>
      <c r="DQ5" t="str">
        <f>_xll.BDS("TLB US Equity","SUPPLY_CHAIN_SUPPLIERS_ALL_DATA","cols=12;rows=5")</f>
        <v>1473 TT Equity</v>
      </c>
      <c r="DS5">
        <v>-2.4245362661989844E-14</v>
      </c>
      <c r="DT5">
        <v>-2.4245362661989844E-14</v>
      </c>
      <c r="DU5" t="s">
        <v>1762</v>
      </c>
      <c r="DV5">
        <v>2025</v>
      </c>
      <c r="DW5" t="s">
        <v>4244</v>
      </c>
      <c r="DX5" s="6">
        <v>45953</v>
      </c>
      <c r="DY5">
        <v>5</v>
      </c>
      <c r="DZ5">
        <v>-2.4245362661989844E-14</v>
      </c>
      <c r="EA5">
        <v>812788</v>
      </c>
      <c r="EB5" t="s">
        <v>4245</v>
      </c>
      <c r="EE5" t="str">
        <f>_xll.BDS("TLB US Equity","SUPPLY_CHAIN_CUSTOMERS_ALL_DATA")</f>
        <v>#N/A N/A</v>
      </c>
      <c r="EU5" t="str">
        <f>_xll.BDS("SO US Equity","SUPPLY_CHAIN_SUPPLIERS_ALL_DATA","cols=12;rows=5")</f>
        <v>GEV US Equity</v>
      </c>
      <c r="EV5" t="s">
        <v>1820</v>
      </c>
      <c r="EW5">
        <v>0.57407600000000003</v>
      </c>
      <c r="EX5">
        <v>1.781474</v>
      </c>
      <c r="EY5" t="s">
        <v>1762</v>
      </c>
      <c r="EZ5">
        <v>2025</v>
      </c>
      <c r="FA5" t="s">
        <v>4613</v>
      </c>
      <c r="FB5" s="6">
        <v>45937</v>
      </c>
      <c r="FC5">
        <v>5</v>
      </c>
      <c r="FD5">
        <v>52304064</v>
      </c>
      <c r="FE5">
        <v>69818593</v>
      </c>
      <c r="FF5" t="s">
        <v>4614</v>
      </c>
      <c r="FI5" t="str">
        <f>_xll.BDS("SO US Equity","SUPPLY_CHAIN_CUSTOMERS_ALL_DATA","cols=12;rows=5")</f>
        <v>000039 CH Equity</v>
      </c>
      <c r="FJ5">
        <v>-2.4245362661989844E-14</v>
      </c>
      <c r="FL5">
        <v>-2.4245362661989844E-14</v>
      </c>
      <c r="FM5" t="s">
        <v>1745</v>
      </c>
      <c r="FN5">
        <v>2021</v>
      </c>
      <c r="FO5" t="s">
        <v>4571</v>
      </c>
      <c r="FP5" s="6">
        <v>44693</v>
      </c>
      <c r="FQ5">
        <v>5</v>
      </c>
      <c r="FR5">
        <v>-2.4245362661989844E-14</v>
      </c>
      <c r="FS5">
        <v>135744</v>
      </c>
      <c r="FT5" t="s">
        <v>2038</v>
      </c>
      <c r="FY5" t="str">
        <f>_xll.BDS("DHR US Equity","SUPPLY_CHAIN_SUPPLIERS_ALL_DATA","cols=12;rows=5")</f>
        <v>FLEX US Equity</v>
      </c>
      <c r="FZ5" t="s">
        <v>1786</v>
      </c>
      <c r="GA5">
        <v>1.165869</v>
      </c>
      <c r="GB5">
        <v>2.8864939999999999</v>
      </c>
      <c r="GC5" t="s">
        <v>1742</v>
      </c>
      <c r="GD5">
        <v>2025</v>
      </c>
      <c r="GE5" t="s">
        <v>2387</v>
      </c>
      <c r="GF5" s="6">
        <v>45763</v>
      </c>
      <c r="GG5">
        <v>5</v>
      </c>
      <c r="GH5">
        <v>76434368</v>
      </c>
      <c r="GI5">
        <v>136547</v>
      </c>
      <c r="GJ5" t="s">
        <v>2388</v>
      </c>
      <c r="GM5" t="str">
        <f>_xll.BDS("DHR US Equity","SUPPLY_CHAIN_CUSTOMERS_ALL_DATA","cols=12;rows=5")</f>
        <v>CDW US Equity</v>
      </c>
      <c r="GN5">
        <v>0.25350099999999998</v>
      </c>
      <c r="GO5" t="s">
        <v>1786</v>
      </c>
      <c r="GP5">
        <v>0.35698299999999999</v>
      </c>
      <c r="GQ5" t="s">
        <v>1809</v>
      </c>
      <c r="GR5">
        <v>2025</v>
      </c>
      <c r="GS5" t="s">
        <v>1871</v>
      </c>
      <c r="GT5" s="6">
        <v>45820</v>
      </c>
      <c r="GU5">
        <v>5</v>
      </c>
      <c r="GV5">
        <v>14553483</v>
      </c>
      <c r="GW5">
        <v>12129192</v>
      </c>
      <c r="GX5" t="s">
        <v>1872</v>
      </c>
      <c r="HC5" t="str">
        <f>_xll.BDS("CYBS US Equity","SUPPLY_CHAIN_SUPPLIERS_ALL_DATA")</f>
        <v>#N/A N/A</v>
      </c>
      <c r="HQ5" t="str">
        <f>_xll.BDS("CYBS US Equity","SUPPLY_CHAIN_CUSTOMERS_ALL_DATA")</f>
        <v>#N/A N/A</v>
      </c>
      <c r="IG5" t="str">
        <f>_xll.BDS("PHS US Equity","SUPPLY_CHAIN_SUPPLIERS_ALL_DATA")</f>
        <v>#N/A N/A</v>
      </c>
      <c r="IU5" t="str">
        <f>_xll.BDS("PHS US Equity","SUPPLY_CHAIN_CUSTOMERS_ALL_DATA")</f>
        <v>#N/A N/A</v>
      </c>
      <c r="JK5" t="str">
        <f>_xll.BDS("GZBX US Equity","SUPPLY_CHAIN_SUPPLIERS_ALL_DATA")</f>
        <v>#N/A N/A</v>
      </c>
      <c r="JY5" t="str">
        <f>_xll.BDS("GZBX US Equity","SUPPLY_CHAIN_CUSTOMERS_ALL_DATA")</f>
        <v>#N/A N/A</v>
      </c>
      <c r="KO5" t="str">
        <f>_xll.BDS("SASR US Equity","SUPPLY_CHAIN_SUPPLIERS_ALL_DATA")</f>
        <v>#N/A N/A</v>
      </c>
      <c r="LC5" t="str">
        <f>_xll.BDS("SASR US Equity","SUPPLY_CHAIN_CUSTOMERS_ALL_DATA")</f>
        <v>#N/A N/A</v>
      </c>
      <c r="LS5" t="str">
        <f>_xll.BDS("OSGIQ US Equity","SUPPLY_CHAIN_SUPPLIERS_ALL_DATA")</f>
        <v>#N/A N/A</v>
      </c>
      <c r="MG5" t="str">
        <f>_xll.BDS("OSGIQ US Equity","SUPPLY_CHAIN_CUSTOMERS_ALL_DATA")</f>
        <v>#N/A N/A</v>
      </c>
      <c r="MW5" t="str">
        <f>_xll.BDS("WTRG US Equity","SUPPLY_CHAIN_SUPPLIERS_ALL_DATA","cols=12;rows=2")</f>
        <v>13953MF US Equity</v>
      </c>
      <c r="MY5">
        <v>-2.4245362661989844E-14</v>
      </c>
      <c r="MZ5">
        <v>-2.4245362661989844E-14</v>
      </c>
      <c r="NA5" t="s">
        <v>1745</v>
      </c>
      <c r="NB5">
        <v>2022</v>
      </c>
      <c r="NC5" t="s">
        <v>4899</v>
      </c>
      <c r="ND5" s="6">
        <v>44937</v>
      </c>
      <c r="NE5">
        <v>2</v>
      </c>
      <c r="NF5">
        <v>-2.4245362661989844E-14</v>
      </c>
      <c r="NG5">
        <v>1010904</v>
      </c>
      <c r="NH5" t="s">
        <v>4900</v>
      </c>
      <c r="NK5" t="str">
        <f>_xll.BDS("WTRG US Equity","SUPPLY_CHAIN_CUSTOMERS_ALL_DATA")</f>
        <v>#N/A N/A</v>
      </c>
      <c r="OA5" t="str">
        <f>_xll.BDS("CVX US Equity","SUPPLY_CHAIN_SUPPLIERS_ALL_DATA","cols=12;rows=5")</f>
        <v>RIG US Equity</v>
      </c>
      <c r="OB5" t="s">
        <v>1820</v>
      </c>
      <c r="OC5">
        <v>14.893827999999999</v>
      </c>
      <c r="OD5">
        <v>3.5820059999999998</v>
      </c>
      <c r="OE5" t="s">
        <v>1845</v>
      </c>
      <c r="OF5">
        <v>2025</v>
      </c>
      <c r="OG5" t="s">
        <v>4812</v>
      </c>
      <c r="OH5" s="6">
        <v>46090</v>
      </c>
      <c r="OI5">
        <v>5</v>
      </c>
      <c r="OJ5">
        <v>155342624</v>
      </c>
      <c r="OK5">
        <v>119077</v>
      </c>
      <c r="OL5" t="s">
        <v>4813</v>
      </c>
      <c r="OO5" t="str">
        <f>_xll.BDS("CVX US Equity","SUPPLY_CHAIN_CUSTOMERS_ALL_DATA","cols=12;rows=5")</f>
        <v>UGPA3 BZ Equity</v>
      </c>
      <c r="OP5">
        <v>8.6980000000000002E-2</v>
      </c>
      <c r="OQ5" t="s">
        <v>1786</v>
      </c>
      <c r="OR5">
        <v>0.76061900000000005</v>
      </c>
      <c r="OS5" t="s">
        <v>1745</v>
      </c>
      <c r="OT5">
        <v>2024</v>
      </c>
      <c r="OU5" t="s">
        <v>4557</v>
      </c>
      <c r="OV5" s="6">
        <v>45770</v>
      </c>
      <c r="OW5">
        <v>5</v>
      </c>
      <c r="OX5">
        <v>43856224.539999999</v>
      </c>
      <c r="OY5">
        <v>825248</v>
      </c>
      <c r="OZ5" t="s">
        <v>4558</v>
      </c>
      <c r="PE5" t="str">
        <f>_xll.BDS("RRC US Equity","SUPPLY_CHAIN_SUPPLIERS_ALL_DATA","cols=12;rows=3")</f>
        <v>PFIE US Equity</v>
      </c>
      <c r="PG5">
        <v>-2.4245362661989844E-14</v>
      </c>
      <c r="PH5">
        <v>-2.4245362661989844E-14</v>
      </c>
      <c r="PI5" t="s">
        <v>1809</v>
      </c>
      <c r="PJ5">
        <v>2024</v>
      </c>
      <c r="PK5" t="s">
        <v>4217</v>
      </c>
      <c r="PL5" s="6">
        <v>45421</v>
      </c>
      <c r="PM5">
        <v>3</v>
      </c>
      <c r="PN5">
        <v>-2.4245362661989844E-14</v>
      </c>
      <c r="PO5">
        <v>9808869</v>
      </c>
      <c r="PP5" t="s">
        <v>4218</v>
      </c>
      <c r="PS5" t="str">
        <f>_xll.BDS("RRC US Equity","SUPPLY_CHAIN_CUSTOMERS_ALL_DATA")</f>
        <v>#N/A N/A</v>
      </c>
      <c r="QI5" t="str">
        <f>_xll.BDS("1519128D US Equity","SUPPLY_CHAIN_SUPPLIERS_ALL_DATA")</f>
        <v>#N/A N/A</v>
      </c>
      <c r="QW5" t="str">
        <f>_xll.BDS("1519128D US Equity","SUPPLY_CHAIN_CUSTOMERS_ALL_DATA")</f>
        <v>#N/A N/A</v>
      </c>
      <c r="RM5" t="str">
        <f>_xll.BDS("TALO US Equity","SUPPLY_CHAIN_SUPPLIERS_ALL_DATA","cols=12;rows=5")</f>
        <v>HLX US Equity</v>
      </c>
      <c r="RN5" t="s">
        <v>1820</v>
      </c>
      <c r="RO5">
        <v>12</v>
      </c>
      <c r="RP5">
        <v>12.623958999999999</v>
      </c>
      <c r="RQ5" t="s">
        <v>1745</v>
      </c>
      <c r="RR5">
        <v>2024</v>
      </c>
      <c r="RS5" t="s">
        <v>3730</v>
      </c>
      <c r="RT5" s="6">
        <v>45715</v>
      </c>
      <c r="RU5">
        <v>5</v>
      </c>
      <c r="RV5">
        <v>40756800</v>
      </c>
      <c r="RW5">
        <v>194556</v>
      </c>
      <c r="RX5" t="s">
        <v>3731</v>
      </c>
      <c r="SA5" t="str">
        <f>_xll.BDS("TALO US Equity","SUPPLY_CHAIN_CUSTOMERS_ALL_DATA","cols=12;rows=5")</f>
        <v>SHEL LN Equity</v>
      </c>
      <c r="SB5">
        <v>48</v>
      </c>
      <c r="SC5" t="s">
        <v>1786</v>
      </c>
      <c r="SD5">
        <v>0.44790400000000002</v>
      </c>
      <c r="SE5" t="s">
        <v>1745</v>
      </c>
      <c r="SF5">
        <v>2024</v>
      </c>
      <c r="SG5" t="s">
        <v>3535</v>
      </c>
      <c r="SH5" s="6">
        <v>45715</v>
      </c>
      <c r="SI5">
        <v>5</v>
      </c>
      <c r="SJ5">
        <v>236828160</v>
      </c>
      <c r="SK5">
        <v>9268711</v>
      </c>
      <c r="SL5" t="s">
        <v>3536</v>
      </c>
      <c r="SQ5" t="str">
        <f>_xll.BDS("GE US Equity","SUPPLY_CHAIN_SUPPLIERS_ALL_DATA","cols=12;rows=5")</f>
        <v>SAF FP Equity</v>
      </c>
      <c r="SR5" t="s">
        <v>1786</v>
      </c>
      <c r="SS5">
        <v>7.9101749999999997</v>
      </c>
      <c r="ST5">
        <v>9.7364909999999991</v>
      </c>
      <c r="SU5" t="s">
        <v>1762</v>
      </c>
      <c r="SV5">
        <v>2025</v>
      </c>
      <c r="SW5" t="s">
        <v>2423</v>
      </c>
      <c r="SX5" s="6">
        <v>45874</v>
      </c>
      <c r="SY5">
        <v>5</v>
      </c>
      <c r="SZ5">
        <v>666294015.34000003</v>
      </c>
      <c r="TA5">
        <v>115519</v>
      </c>
      <c r="TB5" t="s">
        <v>2424</v>
      </c>
      <c r="TE5" t="str">
        <f>_xll.BDS("GE US Equity","SUPPLY_CHAIN_CUSTOMERS_ALL_DATA","cols=12;rows=5")</f>
        <v>3352Z US Equity</v>
      </c>
      <c r="TF5">
        <v>10</v>
      </c>
      <c r="TH5">
        <v>-2.4245362661989844E-14</v>
      </c>
      <c r="TI5" t="s">
        <v>1745</v>
      </c>
      <c r="TJ5">
        <v>2025</v>
      </c>
      <c r="TK5" t="s">
        <v>1876</v>
      </c>
      <c r="TL5" s="6">
        <v>46051</v>
      </c>
      <c r="TM5">
        <v>5</v>
      </c>
      <c r="TN5">
        <v>1146375040</v>
      </c>
      <c r="TO5">
        <v>218252</v>
      </c>
      <c r="TP5" t="s">
        <v>1803</v>
      </c>
      <c r="TU5" t="str">
        <f>_xll.BDS("TEX US Equity","SUPPLY_CHAIN_SUPPLIERS_ALL_DATA","cols=12;rows=5")</f>
        <v>RS US Equity</v>
      </c>
      <c r="TV5" t="s">
        <v>1786</v>
      </c>
      <c r="TW5">
        <v>0.428342</v>
      </c>
      <c r="TX5">
        <v>1.3107409999999999</v>
      </c>
      <c r="TY5" t="s">
        <v>1762</v>
      </c>
      <c r="TZ5">
        <v>2025</v>
      </c>
      <c r="UA5" t="s">
        <v>2465</v>
      </c>
      <c r="UB5" s="6">
        <v>45912</v>
      </c>
      <c r="UC5">
        <v>5</v>
      </c>
      <c r="UD5">
        <v>15676462</v>
      </c>
      <c r="UE5">
        <v>148223</v>
      </c>
      <c r="UF5" t="s">
        <v>2682</v>
      </c>
      <c r="UI5" t="str">
        <f>_xll.BDS("TEX US Equity","SUPPLY_CHAIN_CUSTOMERS_ALL_DATA","cols=12;rows=5")</f>
        <v>URI US Equity</v>
      </c>
      <c r="UJ5">
        <v>3.0836000000000001</v>
      </c>
      <c r="UK5" t="s">
        <v>1786</v>
      </c>
      <c r="UL5">
        <v>1.90262</v>
      </c>
      <c r="UM5" t="s">
        <v>1762</v>
      </c>
      <c r="UN5">
        <v>2025</v>
      </c>
      <c r="UO5" t="s">
        <v>2465</v>
      </c>
      <c r="UP5" s="6">
        <v>45912</v>
      </c>
      <c r="UQ5">
        <v>5</v>
      </c>
      <c r="UR5">
        <v>45853132</v>
      </c>
      <c r="US5">
        <v>302887</v>
      </c>
      <c r="UT5" t="s">
        <v>2466</v>
      </c>
      <c r="UY5" t="str">
        <f>_xll.BDS("WTTR US Equity","SUPPLY_CHAIN_SUPPLIERS_ALL_DATA","cols=12;rows=1")</f>
        <v>GNL US Equity</v>
      </c>
      <c r="VA5">
        <v>-2.4245362661989844E-14</v>
      </c>
      <c r="VB5">
        <v>-2.4245362661989844E-14</v>
      </c>
      <c r="VC5" t="s">
        <v>1745</v>
      </c>
      <c r="VD5">
        <v>2023</v>
      </c>
      <c r="VE5" t="s">
        <v>2500</v>
      </c>
      <c r="VF5" s="6">
        <v>45350</v>
      </c>
      <c r="VG5">
        <v>1</v>
      </c>
      <c r="VH5">
        <v>-2.4245362661989844E-14</v>
      </c>
      <c r="VI5">
        <v>35300053</v>
      </c>
      <c r="VJ5" t="s">
        <v>2272</v>
      </c>
      <c r="VM5" t="str">
        <f>_xll.BDS("WTTR US Equity","SUPPLY_CHAIN_CUSTOMERS_ALL_DATA","cols=12;rows=5")</f>
        <v>0069572D US Equity</v>
      </c>
      <c r="VN5">
        <v>-2.4245362661989844E-14</v>
      </c>
      <c r="VP5">
        <v>-2.4245362661989844E-14</v>
      </c>
      <c r="VQ5" t="s">
        <v>1745</v>
      </c>
      <c r="VR5">
        <v>2024</v>
      </c>
      <c r="VS5" t="s">
        <v>1746</v>
      </c>
      <c r="VT5" s="6">
        <v>45721</v>
      </c>
      <c r="VU5">
        <v>5</v>
      </c>
      <c r="VV5">
        <v>-2.4245362661989844E-14</v>
      </c>
      <c r="VW5">
        <v>25579198</v>
      </c>
      <c r="VX5" t="s">
        <v>1747</v>
      </c>
    </row>
    <row r="6" spans="1:600" x14ac:dyDescent="0.25">
      <c r="CM6" t="s">
        <v>2351</v>
      </c>
      <c r="CO6">
        <v>-2.4245362661989844E-14</v>
      </c>
      <c r="CP6">
        <v>-2.4245362661989844E-14</v>
      </c>
      <c r="CQ6" t="s">
        <v>1745</v>
      </c>
      <c r="CR6">
        <v>2023</v>
      </c>
      <c r="CS6" t="s">
        <v>2352</v>
      </c>
      <c r="CT6" s="6">
        <v>45383</v>
      </c>
      <c r="CU6">
        <v>3</v>
      </c>
      <c r="CV6">
        <v>-2.4245362661989844E-14</v>
      </c>
      <c r="CW6">
        <v>1183488</v>
      </c>
      <c r="CX6" t="s">
        <v>2353</v>
      </c>
      <c r="DQ6" t="s">
        <v>4246</v>
      </c>
      <c r="DS6">
        <v>-2.4245362661989844E-14</v>
      </c>
      <c r="DT6">
        <v>-2.4245362661989844E-14</v>
      </c>
      <c r="DU6" t="s">
        <v>1805</v>
      </c>
      <c r="DV6">
        <v>2022</v>
      </c>
      <c r="DW6" t="s">
        <v>4247</v>
      </c>
      <c r="DX6" s="6">
        <v>44804</v>
      </c>
      <c r="DY6">
        <v>5</v>
      </c>
      <c r="DZ6">
        <v>-2.4245362661989844E-14</v>
      </c>
      <c r="EA6">
        <v>116354</v>
      </c>
      <c r="EB6" t="s">
        <v>4248</v>
      </c>
      <c r="EU6" t="s">
        <v>2864</v>
      </c>
      <c r="EV6" t="s">
        <v>1786</v>
      </c>
      <c r="EW6">
        <v>2.8658169999999998</v>
      </c>
      <c r="EX6">
        <v>1.9557709999999999</v>
      </c>
      <c r="EY6" t="s">
        <v>1809</v>
      </c>
      <c r="EZ6">
        <v>2025</v>
      </c>
      <c r="FA6" t="s">
        <v>2865</v>
      </c>
      <c r="FB6" s="6">
        <v>45863</v>
      </c>
      <c r="FC6">
        <v>5</v>
      </c>
      <c r="FD6">
        <v>47231872</v>
      </c>
      <c r="FE6">
        <v>10832677</v>
      </c>
      <c r="FF6" t="s">
        <v>2866</v>
      </c>
      <c r="FI6" t="s">
        <v>1917</v>
      </c>
      <c r="FJ6">
        <v>-2.4245362661989844E-14</v>
      </c>
      <c r="FL6">
        <v>-2.4245362661989844E-14</v>
      </c>
      <c r="FM6" t="s">
        <v>1745</v>
      </c>
      <c r="FN6">
        <v>2021</v>
      </c>
      <c r="FO6" t="s">
        <v>4571</v>
      </c>
      <c r="FP6" s="6">
        <v>44693</v>
      </c>
      <c r="FQ6">
        <v>5</v>
      </c>
      <c r="FR6">
        <v>-2.4245362661989844E-14</v>
      </c>
      <c r="FS6">
        <v>128990</v>
      </c>
      <c r="FT6" t="s">
        <v>1919</v>
      </c>
      <c r="FY6" t="s">
        <v>2795</v>
      </c>
      <c r="FZ6" t="s">
        <v>1786</v>
      </c>
      <c r="GA6">
        <v>0.147895</v>
      </c>
      <c r="GB6">
        <v>0.47978500000000002</v>
      </c>
      <c r="GC6" t="s">
        <v>1742</v>
      </c>
      <c r="GD6">
        <v>2025</v>
      </c>
      <c r="GE6" t="s">
        <v>2796</v>
      </c>
      <c r="GF6" s="6">
        <v>45867</v>
      </c>
      <c r="GG6">
        <v>5</v>
      </c>
      <c r="GH6">
        <v>11577221</v>
      </c>
      <c r="GI6">
        <v>117092</v>
      </c>
      <c r="GJ6" t="s">
        <v>2797</v>
      </c>
      <c r="GM6" t="s">
        <v>357</v>
      </c>
      <c r="GN6">
        <v>0.22051499999999999</v>
      </c>
      <c r="GO6" t="s">
        <v>1786</v>
      </c>
      <c r="GP6">
        <v>9.3169000000000002E-2</v>
      </c>
      <c r="GQ6" t="s">
        <v>1845</v>
      </c>
      <c r="GR6">
        <v>2025</v>
      </c>
      <c r="GS6" t="s">
        <v>1887</v>
      </c>
      <c r="GT6" s="6">
        <v>46056</v>
      </c>
      <c r="GU6">
        <v>5</v>
      </c>
      <c r="GV6">
        <v>15078834</v>
      </c>
      <c r="GW6">
        <v>1499717</v>
      </c>
      <c r="GX6" t="s">
        <v>1864</v>
      </c>
      <c r="MW6" t="s">
        <v>4901</v>
      </c>
      <c r="MY6">
        <v>-2.4245362661989844E-14</v>
      </c>
      <c r="MZ6">
        <v>-2.4245362661989844E-14</v>
      </c>
      <c r="NA6" t="s">
        <v>1745</v>
      </c>
      <c r="NB6">
        <v>2022</v>
      </c>
      <c r="NC6" t="s">
        <v>4899</v>
      </c>
      <c r="ND6" s="6">
        <v>44755</v>
      </c>
      <c r="NE6">
        <v>2</v>
      </c>
      <c r="NF6">
        <v>-2.4245362661989844E-14</v>
      </c>
      <c r="NG6">
        <v>1012908</v>
      </c>
      <c r="NH6" t="s">
        <v>4902</v>
      </c>
      <c r="OA6" t="s">
        <v>4026</v>
      </c>
      <c r="OB6" t="s">
        <v>1820</v>
      </c>
      <c r="OC6">
        <v>3.5035419999999999</v>
      </c>
      <c r="OD6">
        <v>2.537461</v>
      </c>
      <c r="OE6" t="s">
        <v>1742</v>
      </c>
      <c r="OF6">
        <v>2025</v>
      </c>
      <c r="OG6" t="s">
        <v>4027</v>
      </c>
      <c r="OH6" s="6">
        <v>45971</v>
      </c>
      <c r="OI6">
        <v>5</v>
      </c>
      <c r="OJ6">
        <v>104340384</v>
      </c>
      <c r="OK6">
        <v>7912227</v>
      </c>
      <c r="OL6" t="s">
        <v>4028</v>
      </c>
      <c r="OO6" t="s">
        <v>4559</v>
      </c>
      <c r="OP6">
        <v>1.7881000000000001E-2</v>
      </c>
      <c r="OQ6" t="s">
        <v>1786</v>
      </c>
      <c r="OR6">
        <v>0.27887899999999999</v>
      </c>
      <c r="OS6" t="s">
        <v>1762</v>
      </c>
      <c r="OT6">
        <v>2025</v>
      </c>
      <c r="OU6" t="s">
        <v>4560</v>
      </c>
      <c r="OV6" s="6">
        <v>45882</v>
      </c>
      <c r="OW6">
        <v>5</v>
      </c>
      <c r="OX6">
        <v>8645070.5399999991</v>
      </c>
      <c r="OY6">
        <v>115777</v>
      </c>
      <c r="OZ6" t="s">
        <v>4561</v>
      </c>
      <c r="PE6" t="s">
        <v>4219</v>
      </c>
      <c r="PG6">
        <v>-2.4245362661989844E-14</v>
      </c>
      <c r="PH6">
        <v>-2.4245362661989844E-14</v>
      </c>
      <c r="PI6" t="s">
        <v>1745</v>
      </c>
      <c r="PJ6">
        <v>2022</v>
      </c>
      <c r="PK6" t="s">
        <v>4220</v>
      </c>
      <c r="PL6" s="6">
        <v>45003</v>
      </c>
      <c r="PM6">
        <v>3</v>
      </c>
      <c r="PN6">
        <v>-2.4245362661989844E-14</v>
      </c>
      <c r="PO6">
        <v>101544</v>
      </c>
      <c r="PP6" t="s">
        <v>4221</v>
      </c>
      <c r="RM6" t="s">
        <v>3732</v>
      </c>
      <c r="RN6" t="s">
        <v>1820</v>
      </c>
      <c r="RO6">
        <v>11</v>
      </c>
      <c r="RP6">
        <v>32.801071</v>
      </c>
      <c r="RQ6" t="s">
        <v>1745</v>
      </c>
      <c r="RR6">
        <v>2025</v>
      </c>
      <c r="RS6" t="s">
        <v>3733</v>
      </c>
      <c r="RT6" s="6">
        <v>46079</v>
      </c>
      <c r="RU6">
        <v>5</v>
      </c>
      <c r="RV6">
        <v>39517500</v>
      </c>
      <c r="RW6">
        <v>69918736</v>
      </c>
      <c r="RX6" t="s">
        <v>3734</v>
      </c>
      <c r="SA6" t="s">
        <v>2123</v>
      </c>
      <c r="SB6">
        <v>17</v>
      </c>
      <c r="SC6" t="s">
        <v>1786</v>
      </c>
      <c r="SD6">
        <v>0.116175</v>
      </c>
      <c r="SE6" t="s">
        <v>1745</v>
      </c>
      <c r="SF6">
        <v>2024</v>
      </c>
      <c r="SG6" t="s">
        <v>3535</v>
      </c>
      <c r="SH6" s="6">
        <v>45715</v>
      </c>
      <c r="SI6">
        <v>5</v>
      </c>
      <c r="SJ6">
        <v>83876640</v>
      </c>
      <c r="SK6">
        <v>100546</v>
      </c>
      <c r="SL6" t="s">
        <v>2125</v>
      </c>
      <c r="SQ6" t="s">
        <v>2425</v>
      </c>
      <c r="SR6" t="s">
        <v>1786</v>
      </c>
      <c r="SS6">
        <v>13.760432</v>
      </c>
      <c r="ST6">
        <v>4.7536569999999996</v>
      </c>
      <c r="SU6" t="s">
        <v>1762</v>
      </c>
      <c r="SV6">
        <v>2025</v>
      </c>
      <c r="SW6" t="s">
        <v>2426</v>
      </c>
      <c r="SX6" s="6">
        <v>45937</v>
      </c>
      <c r="SY6">
        <v>5</v>
      </c>
      <c r="SZ6">
        <v>325305405.77999997</v>
      </c>
      <c r="TA6">
        <v>8445936</v>
      </c>
      <c r="TB6" t="s">
        <v>2427</v>
      </c>
      <c r="TE6" t="s">
        <v>1088</v>
      </c>
      <c r="TF6">
        <v>9.2636719999999997</v>
      </c>
      <c r="TG6" t="s">
        <v>1786</v>
      </c>
      <c r="TH6">
        <v>5.0267530000000002</v>
      </c>
      <c r="TI6" t="s">
        <v>1762</v>
      </c>
      <c r="TJ6">
        <v>2025</v>
      </c>
      <c r="TK6" t="s">
        <v>1877</v>
      </c>
      <c r="TL6" s="6">
        <v>45888</v>
      </c>
      <c r="TM6">
        <v>5</v>
      </c>
      <c r="TN6">
        <v>1021134592</v>
      </c>
      <c r="TO6">
        <v>100211</v>
      </c>
      <c r="TP6" t="s">
        <v>1851</v>
      </c>
      <c r="TU6" t="s">
        <v>2683</v>
      </c>
      <c r="TV6" t="s">
        <v>1786</v>
      </c>
      <c r="TW6">
        <v>0.81573799999999996</v>
      </c>
      <c r="TX6">
        <v>1.302327</v>
      </c>
      <c r="TY6" t="s">
        <v>1762</v>
      </c>
      <c r="TZ6">
        <v>2025</v>
      </c>
      <c r="UA6" t="s">
        <v>2465</v>
      </c>
      <c r="UB6" s="6">
        <v>45912</v>
      </c>
      <c r="UC6">
        <v>5</v>
      </c>
      <c r="UD6">
        <v>15575831</v>
      </c>
      <c r="UE6">
        <v>109755</v>
      </c>
      <c r="UF6" t="s">
        <v>2684</v>
      </c>
      <c r="UI6" t="s">
        <v>973</v>
      </c>
      <c r="UJ6">
        <v>0.78592099999999998</v>
      </c>
      <c r="UK6" t="s">
        <v>1820</v>
      </c>
      <c r="UL6">
        <v>1.223732</v>
      </c>
      <c r="UM6" t="s">
        <v>1762</v>
      </c>
      <c r="UN6">
        <v>2025</v>
      </c>
      <c r="UO6" t="s">
        <v>2465</v>
      </c>
      <c r="UP6" s="6">
        <v>45912</v>
      </c>
      <c r="UQ6">
        <v>5</v>
      </c>
      <c r="UR6">
        <v>11686645</v>
      </c>
      <c r="US6">
        <v>100285</v>
      </c>
      <c r="UT6" t="s">
        <v>1813</v>
      </c>
      <c r="VM6" t="s">
        <v>1748</v>
      </c>
      <c r="VN6">
        <v>-2.4245362661989844E-14</v>
      </c>
      <c r="VP6">
        <v>-2.4245362661989844E-14</v>
      </c>
      <c r="VQ6" t="s">
        <v>1745</v>
      </c>
      <c r="VR6">
        <v>2024</v>
      </c>
      <c r="VS6" t="s">
        <v>1746</v>
      </c>
      <c r="VT6" s="6">
        <v>45721</v>
      </c>
      <c r="VU6">
        <v>5</v>
      </c>
      <c r="VV6">
        <v>-2.4245362661989844E-14</v>
      </c>
      <c r="VW6">
        <v>21371895</v>
      </c>
      <c r="VX6" t="s">
        <v>1749</v>
      </c>
    </row>
    <row r="7" spans="1:600" x14ac:dyDescent="0.25">
      <c r="CM7" t="s">
        <v>607</v>
      </c>
      <c r="CO7">
        <v>-2.4245362661989844E-14</v>
      </c>
      <c r="CP7">
        <v>-2.4245362661989844E-14</v>
      </c>
      <c r="CQ7" t="s">
        <v>1845</v>
      </c>
      <c r="CR7">
        <v>2023</v>
      </c>
      <c r="CS7" t="s">
        <v>2354</v>
      </c>
      <c r="CT7" s="6">
        <v>45730</v>
      </c>
      <c r="CU7">
        <v>3</v>
      </c>
      <c r="CV7">
        <v>-2.4245362661989844E-14</v>
      </c>
      <c r="CW7">
        <v>202476</v>
      </c>
      <c r="CX7" t="s">
        <v>2355</v>
      </c>
      <c r="DQ7" t="s">
        <v>3613</v>
      </c>
      <c r="DS7">
        <v>-2.4245362661989844E-14</v>
      </c>
      <c r="DT7">
        <v>-2.4245362661989844E-14</v>
      </c>
      <c r="DU7" t="s">
        <v>1745</v>
      </c>
      <c r="DV7">
        <v>2024</v>
      </c>
      <c r="DW7" t="s">
        <v>3614</v>
      </c>
      <c r="DX7" s="6">
        <v>45716</v>
      </c>
      <c r="DY7">
        <v>5</v>
      </c>
      <c r="DZ7">
        <v>-2.4245362661989844E-14</v>
      </c>
      <c r="EA7">
        <v>119752</v>
      </c>
      <c r="EB7" t="s">
        <v>3615</v>
      </c>
      <c r="EU7" t="s">
        <v>3830</v>
      </c>
      <c r="EV7" t="s">
        <v>1786</v>
      </c>
      <c r="EW7">
        <v>0.35783700000000002</v>
      </c>
      <c r="EX7">
        <v>1.358897</v>
      </c>
      <c r="EY7" t="s">
        <v>1762</v>
      </c>
      <c r="EZ7">
        <v>2026</v>
      </c>
      <c r="FA7" t="s">
        <v>4615</v>
      </c>
      <c r="FB7" s="6">
        <v>46080</v>
      </c>
      <c r="FC7">
        <v>5</v>
      </c>
      <c r="FD7">
        <v>29454347.02</v>
      </c>
      <c r="FE7">
        <v>114155</v>
      </c>
      <c r="FF7" t="s">
        <v>3831</v>
      </c>
      <c r="FI7" t="s">
        <v>4572</v>
      </c>
      <c r="FJ7">
        <v>-2.4245362661989844E-14</v>
      </c>
      <c r="FL7">
        <v>-2.4245362661989844E-14</v>
      </c>
      <c r="FM7" t="s">
        <v>1745</v>
      </c>
      <c r="FN7">
        <v>2021</v>
      </c>
      <c r="FO7" t="s">
        <v>4571</v>
      </c>
      <c r="FP7" s="6">
        <v>44693</v>
      </c>
      <c r="FQ7">
        <v>5</v>
      </c>
      <c r="FR7">
        <v>-2.4245362661989844E-14</v>
      </c>
      <c r="FS7">
        <v>117682</v>
      </c>
      <c r="FT7" t="s">
        <v>4573</v>
      </c>
      <c r="FY7" t="s">
        <v>2805</v>
      </c>
      <c r="FZ7" t="s">
        <v>1786</v>
      </c>
      <c r="GA7">
        <v>0.32230900000000001</v>
      </c>
      <c r="GB7">
        <v>0.38473400000000002</v>
      </c>
      <c r="GC7" t="s">
        <v>1742</v>
      </c>
      <c r="GD7">
        <v>2025</v>
      </c>
      <c r="GE7" t="s">
        <v>2806</v>
      </c>
      <c r="GF7" s="6">
        <v>45891</v>
      </c>
      <c r="GG7">
        <v>5</v>
      </c>
      <c r="GH7">
        <v>9283621</v>
      </c>
      <c r="GI7">
        <v>100097</v>
      </c>
      <c r="GJ7" t="s">
        <v>2807</v>
      </c>
      <c r="GM7" t="s">
        <v>2588</v>
      </c>
      <c r="GN7">
        <v>8.1423999999999996E-2</v>
      </c>
      <c r="GO7" t="s">
        <v>1786</v>
      </c>
      <c r="GP7">
        <v>0.194387</v>
      </c>
      <c r="GQ7" t="s">
        <v>1742</v>
      </c>
      <c r="GR7">
        <v>2025</v>
      </c>
      <c r="GS7" t="s">
        <v>2589</v>
      </c>
      <c r="GT7" s="6">
        <v>45694</v>
      </c>
      <c r="GU7">
        <v>5</v>
      </c>
      <c r="GV7">
        <v>5430637.3600000003</v>
      </c>
      <c r="GW7">
        <v>111827</v>
      </c>
      <c r="GX7" t="s">
        <v>2590</v>
      </c>
      <c r="OA7" t="s">
        <v>4814</v>
      </c>
      <c r="OB7" t="s">
        <v>1786</v>
      </c>
      <c r="OC7">
        <v>13</v>
      </c>
      <c r="OD7">
        <v>0.25396000000000002</v>
      </c>
      <c r="OE7" t="s">
        <v>1745</v>
      </c>
      <c r="OF7">
        <v>2024</v>
      </c>
      <c r="OG7" t="s">
        <v>4815</v>
      </c>
      <c r="OH7" s="6">
        <v>45715</v>
      </c>
      <c r="OI7">
        <v>5</v>
      </c>
      <c r="OJ7">
        <v>98048960</v>
      </c>
      <c r="OK7">
        <v>101024</v>
      </c>
      <c r="OL7" t="s">
        <v>4816</v>
      </c>
      <c r="OO7" t="s">
        <v>4562</v>
      </c>
      <c r="OP7">
        <v>1.465E-2</v>
      </c>
      <c r="OQ7" t="s">
        <v>1786</v>
      </c>
      <c r="OR7">
        <v>56.435763999999999</v>
      </c>
      <c r="OS7" t="s">
        <v>1745</v>
      </c>
      <c r="OT7">
        <v>2024</v>
      </c>
      <c r="OU7" t="s">
        <v>4563</v>
      </c>
      <c r="OV7" s="6">
        <v>45782</v>
      </c>
      <c r="OW7">
        <v>5</v>
      </c>
      <c r="OX7">
        <v>6975801.29</v>
      </c>
      <c r="OY7">
        <v>193841</v>
      </c>
      <c r="OZ7" t="s">
        <v>4564</v>
      </c>
      <c r="PE7" t="s">
        <v>4222</v>
      </c>
      <c r="PG7">
        <v>-2.4245362661989844E-14</v>
      </c>
      <c r="PH7">
        <v>-2.4245362661989844E-14</v>
      </c>
      <c r="PI7" t="s">
        <v>1745</v>
      </c>
      <c r="PJ7">
        <v>2022</v>
      </c>
      <c r="PK7" t="s">
        <v>4223</v>
      </c>
      <c r="PL7" s="6">
        <v>44634</v>
      </c>
      <c r="PM7">
        <v>3</v>
      </c>
      <c r="PN7">
        <v>-2.4245362661989844E-14</v>
      </c>
      <c r="PO7">
        <v>52604511</v>
      </c>
      <c r="PP7" t="s">
        <v>4224</v>
      </c>
      <c r="RM7" t="s">
        <v>2787</v>
      </c>
      <c r="RN7" t="s">
        <v>1820</v>
      </c>
      <c r="RO7">
        <v>2.5509999999999999E-3</v>
      </c>
      <c r="RP7">
        <v>0.32240000000000002</v>
      </c>
      <c r="RQ7" t="s">
        <v>1742</v>
      </c>
      <c r="RR7">
        <v>2025</v>
      </c>
      <c r="RS7" t="s">
        <v>2788</v>
      </c>
      <c r="RT7" s="6">
        <v>45985</v>
      </c>
      <c r="RU7">
        <v>5</v>
      </c>
      <c r="RV7">
        <v>227753</v>
      </c>
      <c r="RW7">
        <v>101318</v>
      </c>
      <c r="RX7" t="s">
        <v>2789</v>
      </c>
      <c r="SA7" t="s">
        <v>3537</v>
      </c>
      <c r="SB7">
        <v>-2.4245362661989844E-14</v>
      </c>
      <c r="SD7">
        <v>-2.4245362661989844E-14</v>
      </c>
      <c r="SE7" t="s">
        <v>1745</v>
      </c>
      <c r="SF7">
        <v>2023</v>
      </c>
      <c r="SG7" t="s">
        <v>3538</v>
      </c>
      <c r="SH7" s="6">
        <v>45076</v>
      </c>
      <c r="SI7">
        <v>5</v>
      </c>
      <c r="SJ7">
        <v>-2.4245362661989844E-14</v>
      </c>
      <c r="SK7">
        <v>962207</v>
      </c>
      <c r="SL7" t="s">
        <v>3539</v>
      </c>
      <c r="SQ7" t="s">
        <v>1844</v>
      </c>
      <c r="SR7" t="s">
        <v>1786</v>
      </c>
      <c r="SS7">
        <v>11</v>
      </c>
      <c r="ST7">
        <v>3.1337429999999999</v>
      </c>
      <c r="SU7" t="s">
        <v>1745</v>
      </c>
      <c r="SV7">
        <v>2025</v>
      </c>
      <c r="SW7" t="s">
        <v>2428</v>
      </c>
      <c r="SX7" s="6">
        <v>46065</v>
      </c>
      <c r="SY7">
        <v>5</v>
      </c>
      <c r="SZ7">
        <v>226930000</v>
      </c>
      <c r="TA7">
        <v>59099358</v>
      </c>
      <c r="TB7" t="s">
        <v>1847</v>
      </c>
      <c r="TE7" t="s">
        <v>1878</v>
      </c>
      <c r="TF7">
        <v>4.5319979999999997</v>
      </c>
      <c r="TG7" t="s">
        <v>1786</v>
      </c>
      <c r="TH7">
        <v>3.2162160000000002</v>
      </c>
      <c r="TI7" t="s">
        <v>1762</v>
      </c>
      <c r="TJ7">
        <v>2025</v>
      </c>
      <c r="TK7" t="s">
        <v>1877</v>
      </c>
      <c r="TL7" s="6">
        <v>45888</v>
      </c>
      <c r="TM7">
        <v>5</v>
      </c>
      <c r="TN7">
        <v>499562144</v>
      </c>
      <c r="TO7">
        <v>876285</v>
      </c>
      <c r="TP7" t="s">
        <v>1879</v>
      </c>
      <c r="TU7" t="s">
        <v>2685</v>
      </c>
      <c r="TV7" t="s">
        <v>1786</v>
      </c>
      <c r="TW7">
        <v>3.0996670000000002</v>
      </c>
      <c r="TX7">
        <v>0.90822599999999998</v>
      </c>
      <c r="TY7" t="s">
        <v>1762</v>
      </c>
      <c r="TZ7">
        <v>2025</v>
      </c>
      <c r="UA7" t="s">
        <v>2465</v>
      </c>
      <c r="UB7" s="6">
        <v>45912</v>
      </c>
      <c r="UC7">
        <v>5</v>
      </c>
      <c r="UD7">
        <v>10862383</v>
      </c>
      <c r="UE7">
        <v>21830222</v>
      </c>
      <c r="UF7" t="s">
        <v>2686</v>
      </c>
      <c r="UI7" t="s">
        <v>609</v>
      </c>
      <c r="UJ7">
        <v>0.52299499999999999</v>
      </c>
      <c r="UK7" t="s">
        <v>1820</v>
      </c>
      <c r="UL7">
        <v>1.0624229999999999</v>
      </c>
      <c r="UM7" t="s">
        <v>1762</v>
      </c>
      <c r="UN7">
        <v>2025</v>
      </c>
      <c r="UO7" t="s">
        <v>2465</v>
      </c>
      <c r="UP7" s="6">
        <v>45912</v>
      </c>
      <c r="UQ7">
        <v>5</v>
      </c>
      <c r="UR7">
        <v>7776936</v>
      </c>
      <c r="US7">
        <v>107570</v>
      </c>
      <c r="UT7" t="s">
        <v>2467</v>
      </c>
      <c r="VM7" t="s">
        <v>1750</v>
      </c>
      <c r="VN7">
        <v>-2.4245362661989844E-14</v>
      </c>
      <c r="VP7">
        <v>-2.4245362661989844E-14</v>
      </c>
      <c r="VQ7" t="s">
        <v>1745</v>
      </c>
      <c r="VR7">
        <v>2024</v>
      </c>
      <c r="VS7" t="s">
        <v>1746</v>
      </c>
      <c r="VT7" s="6">
        <v>45721</v>
      </c>
      <c r="VU7">
        <v>5</v>
      </c>
      <c r="VV7">
        <v>-2.4245362661989844E-14</v>
      </c>
      <c r="VW7">
        <v>20617272</v>
      </c>
      <c r="VX7" t="s">
        <v>1751</v>
      </c>
    </row>
    <row r="8" spans="1:600" x14ac:dyDescent="0.25">
      <c r="DQ8" t="s">
        <v>4249</v>
      </c>
      <c r="DS8">
        <v>-2.4245362661989844E-14</v>
      </c>
      <c r="DT8">
        <v>-2.4245362661989844E-14</v>
      </c>
      <c r="DU8" t="s">
        <v>1745</v>
      </c>
      <c r="DV8">
        <v>2024</v>
      </c>
      <c r="DW8" t="s">
        <v>4250</v>
      </c>
      <c r="DX8" s="6">
        <v>45701</v>
      </c>
      <c r="DY8">
        <v>5</v>
      </c>
      <c r="DZ8">
        <v>-2.4245362661989844E-14</v>
      </c>
      <c r="EA8">
        <v>100558</v>
      </c>
      <c r="EB8" t="s">
        <v>4251</v>
      </c>
      <c r="EU8" t="s">
        <v>526</v>
      </c>
      <c r="EV8" t="s">
        <v>1820</v>
      </c>
      <c r="EW8">
        <v>0.277644</v>
      </c>
      <c r="EX8">
        <v>0.72761500000000001</v>
      </c>
      <c r="EY8" t="s">
        <v>1742</v>
      </c>
      <c r="EZ8">
        <v>2025</v>
      </c>
      <c r="FA8" t="s">
        <v>2779</v>
      </c>
      <c r="FB8" s="6">
        <v>45975</v>
      </c>
      <c r="FC8">
        <v>5</v>
      </c>
      <c r="FD8">
        <v>21188146</v>
      </c>
      <c r="FE8">
        <v>305366</v>
      </c>
      <c r="FF8" t="s">
        <v>2780</v>
      </c>
      <c r="FI8" t="s">
        <v>4574</v>
      </c>
      <c r="FJ8">
        <v>-2.4245362661989844E-14</v>
      </c>
      <c r="FL8">
        <v>-2.4245362661989844E-14</v>
      </c>
      <c r="FM8" t="s">
        <v>1745</v>
      </c>
      <c r="FN8">
        <v>2021</v>
      </c>
      <c r="FO8" t="s">
        <v>4571</v>
      </c>
      <c r="FP8" s="6">
        <v>44693</v>
      </c>
      <c r="FQ8">
        <v>5</v>
      </c>
      <c r="FR8">
        <v>-2.4245362661989844E-14</v>
      </c>
      <c r="FS8">
        <v>129337</v>
      </c>
      <c r="FT8" t="s">
        <v>4575</v>
      </c>
      <c r="FY8" t="s">
        <v>2808</v>
      </c>
      <c r="FZ8" t="s">
        <v>1786</v>
      </c>
      <c r="GA8">
        <v>1.1725810000000001</v>
      </c>
      <c r="GB8">
        <v>0.15703400000000001</v>
      </c>
      <c r="GC8" t="s">
        <v>1809</v>
      </c>
      <c r="GD8">
        <v>2026</v>
      </c>
      <c r="GE8" t="s">
        <v>2809</v>
      </c>
      <c r="GF8" s="6">
        <v>46051</v>
      </c>
      <c r="GG8">
        <v>5</v>
      </c>
      <c r="GH8">
        <v>4510016</v>
      </c>
      <c r="GI8">
        <v>225757</v>
      </c>
      <c r="GJ8" t="s">
        <v>2810</v>
      </c>
      <c r="GM8" t="s">
        <v>2591</v>
      </c>
      <c r="GN8">
        <v>6.6940000000000003E-3</v>
      </c>
      <c r="GO8" t="s">
        <v>1786</v>
      </c>
      <c r="GP8">
        <v>5.5948409999999997</v>
      </c>
      <c r="GQ8" t="s">
        <v>1745</v>
      </c>
      <c r="GR8">
        <v>2024</v>
      </c>
      <c r="GS8" t="s">
        <v>2592</v>
      </c>
      <c r="GT8" s="6">
        <v>45819</v>
      </c>
      <c r="GU8">
        <v>5</v>
      </c>
      <c r="GV8">
        <v>402911.11</v>
      </c>
      <c r="GW8">
        <v>15291339</v>
      </c>
      <c r="GX8" t="s">
        <v>2593</v>
      </c>
      <c r="OA8" t="s">
        <v>2787</v>
      </c>
      <c r="OB8" t="s">
        <v>1820</v>
      </c>
      <c r="OC8">
        <v>0.69574199999999997</v>
      </c>
      <c r="OD8">
        <v>1.510599</v>
      </c>
      <c r="OE8" t="s">
        <v>1742</v>
      </c>
      <c r="OF8">
        <v>2025</v>
      </c>
      <c r="OG8" t="s">
        <v>2788</v>
      </c>
      <c r="OH8" s="6">
        <v>45985</v>
      </c>
      <c r="OI8">
        <v>5</v>
      </c>
      <c r="OJ8">
        <v>62115848</v>
      </c>
      <c r="OK8">
        <v>101318</v>
      </c>
      <c r="OL8" t="s">
        <v>2789</v>
      </c>
      <c r="OO8" t="s">
        <v>4565</v>
      </c>
      <c r="OP8">
        <v>1.655E-3</v>
      </c>
      <c r="OQ8" t="s">
        <v>1786</v>
      </c>
      <c r="OR8">
        <v>0.59815600000000002</v>
      </c>
      <c r="OS8" t="s">
        <v>1798</v>
      </c>
      <c r="OT8">
        <v>2025</v>
      </c>
      <c r="OU8" t="s">
        <v>4566</v>
      </c>
      <c r="OV8" s="6">
        <v>45958</v>
      </c>
      <c r="OW8">
        <v>5</v>
      </c>
      <c r="OX8">
        <v>766849.86</v>
      </c>
      <c r="OY8">
        <v>153668</v>
      </c>
      <c r="OZ8" t="s">
        <v>4567</v>
      </c>
      <c r="RM8" t="s">
        <v>3735</v>
      </c>
      <c r="RN8" t="s">
        <v>1820</v>
      </c>
      <c r="RO8">
        <v>8.6499999999999999E-4</v>
      </c>
      <c r="RP8">
        <v>2.0929E-2</v>
      </c>
      <c r="RQ8" t="s">
        <v>1742</v>
      </c>
      <c r="RR8">
        <v>2025</v>
      </c>
      <c r="RS8" t="s">
        <v>3736</v>
      </c>
      <c r="RT8" s="6">
        <v>46076</v>
      </c>
      <c r="RU8">
        <v>5</v>
      </c>
      <c r="RV8">
        <v>14785</v>
      </c>
      <c r="RW8">
        <v>119151</v>
      </c>
      <c r="RX8" t="s">
        <v>3737</v>
      </c>
      <c r="SA8" t="s">
        <v>3540</v>
      </c>
      <c r="SB8">
        <v>-2.4245362661989844E-14</v>
      </c>
      <c r="SD8">
        <v>-2.4245362661989844E-14</v>
      </c>
      <c r="SE8" t="s">
        <v>1845</v>
      </c>
      <c r="SF8">
        <v>2022</v>
      </c>
      <c r="SG8" t="s">
        <v>3541</v>
      </c>
      <c r="SH8" s="6">
        <v>44991</v>
      </c>
      <c r="SI8">
        <v>5</v>
      </c>
      <c r="SJ8">
        <v>-2.4245362661989844E-14</v>
      </c>
      <c r="SK8">
        <v>376875</v>
      </c>
      <c r="SL8" t="s">
        <v>3542</v>
      </c>
      <c r="SQ8" t="s">
        <v>2374</v>
      </c>
      <c r="SR8" t="s">
        <v>1786</v>
      </c>
      <c r="SS8">
        <v>8.8672269999999997</v>
      </c>
      <c r="ST8">
        <v>1.980351</v>
      </c>
      <c r="SU8" t="s">
        <v>1762</v>
      </c>
      <c r="SV8">
        <v>2025</v>
      </c>
      <c r="SW8" t="s">
        <v>2375</v>
      </c>
      <c r="SX8" s="6">
        <v>45922</v>
      </c>
      <c r="SY8">
        <v>5</v>
      </c>
      <c r="SZ8">
        <v>135574848</v>
      </c>
      <c r="TA8">
        <v>11937231</v>
      </c>
      <c r="TB8" t="s">
        <v>2376</v>
      </c>
      <c r="TE8" t="s">
        <v>1880</v>
      </c>
      <c r="TF8">
        <v>3.2472560000000001</v>
      </c>
      <c r="TG8" t="s">
        <v>1786</v>
      </c>
      <c r="TH8">
        <v>2.573108</v>
      </c>
      <c r="TI8" t="s">
        <v>1762</v>
      </c>
      <c r="TJ8">
        <v>2025</v>
      </c>
      <c r="TK8" t="s">
        <v>1877</v>
      </c>
      <c r="TL8" s="6">
        <v>45888</v>
      </c>
      <c r="TM8">
        <v>5</v>
      </c>
      <c r="TN8">
        <v>357945024</v>
      </c>
      <c r="TO8">
        <v>10451815</v>
      </c>
      <c r="TP8" t="s">
        <v>1881</v>
      </c>
      <c r="TU8" t="s">
        <v>2687</v>
      </c>
      <c r="TV8" t="s">
        <v>1786</v>
      </c>
      <c r="TW8">
        <v>5.0012460000000001</v>
      </c>
      <c r="TX8">
        <v>0.83385200000000004</v>
      </c>
      <c r="TY8" t="s">
        <v>1762</v>
      </c>
      <c r="TZ8">
        <v>2025</v>
      </c>
      <c r="UA8" t="s">
        <v>2465</v>
      </c>
      <c r="UB8" s="6">
        <v>45912</v>
      </c>
      <c r="UC8">
        <v>5</v>
      </c>
      <c r="UD8">
        <v>9972870</v>
      </c>
      <c r="UE8">
        <v>129023</v>
      </c>
      <c r="UF8" t="s">
        <v>2688</v>
      </c>
      <c r="UI8" t="s">
        <v>2468</v>
      </c>
      <c r="UJ8">
        <v>0.31543399999999999</v>
      </c>
      <c r="UK8" t="s">
        <v>1820</v>
      </c>
      <c r="UL8">
        <v>1.152458</v>
      </c>
      <c r="UM8" t="s">
        <v>1762</v>
      </c>
      <c r="UN8">
        <v>2025</v>
      </c>
      <c r="UO8" t="s">
        <v>2465</v>
      </c>
      <c r="UP8" s="6">
        <v>45912</v>
      </c>
      <c r="UQ8">
        <v>5</v>
      </c>
      <c r="UR8">
        <v>4690504</v>
      </c>
      <c r="US8">
        <v>344500</v>
      </c>
      <c r="UT8" t="s">
        <v>2469</v>
      </c>
      <c r="VM8" t="s">
        <v>1752</v>
      </c>
      <c r="VN8">
        <v>-2.4245362661989844E-14</v>
      </c>
      <c r="VP8">
        <v>-2.4245362661989844E-14</v>
      </c>
      <c r="VQ8" t="s">
        <v>1742</v>
      </c>
      <c r="VR8">
        <v>2025</v>
      </c>
      <c r="VS8" t="s">
        <v>1753</v>
      </c>
      <c r="VT8" s="6">
        <v>45981</v>
      </c>
      <c r="VU8">
        <v>5</v>
      </c>
      <c r="VV8">
        <v>-2.4245362661989844E-14</v>
      </c>
      <c r="VW8">
        <v>50192811</v>
      </c>
      <c r="VX8" t="s">
        <v>1754</v>
      </c>
    </row>
    <row r="9" spans="1:600" x14ac:dyDescent="0.25">
      <c r="DQ9" t="s">
        <v>4252</v>
      </c>
      <c r="DS9">
        <v>-2.4245362661989844E-14</v>
      </c>
      <c r="DT9">
        <v>-2.4245362661989844E-14</v>
      </c>
      <c r="DU9" t="s">
        <v>1745</v>
      </c>
      <c r="DV9">
        <v>2024</v>
      </c>
      <c r="DW9" t="s">
        <v>4253</v>
      </c>
      <c r="DX9" s="6">
        <v>45700</v>
      </c>
      <c r="DY9">
        <v>5</v>
      </c>
      <c r="DZ9">
        <v>-2.4245362661989844E-14</v>
      </c>
      <c r="EA9">
        <v>8796892</v>
      </c>
      <c r="EB9" t="s">
        <v>4254</v>
      </c>
      <c r="EU9" t="s">
        <v>669</v>
      </c>
      <c r="EV9" t="s">
        <v>1786</v>
      </c>
      <c r="EW9">
        <v>0.31665399999999999</v>
      </c>
      <c r="EX9">
        <v>0.373392</v>
      </c>
      <c r="EY9" t="s">
        <v>1809</v>
      </c>
      <c r="EZ9">
        <v>2025</v>
      </c>
      <c r="FA9" t="s">
        <v>4616</v>
      </c>
      <c r="FB9" s="6">
        <v>45849</v>
      </c>
      <c r="FC9">
        <v>5</v>
      </c>
      <c r="FD9">
        <v>9017413</v>
      </c>
      <c r="FE9">
        <v>102595</v>
      </c>
      <c r="FF9" t="s">
        <v>4617</v>
      </c>
      <c r="FI9" t="s">
        <v>4576</v>
      </c>
      <c r="FJ9">
        <v>-2.4245362661989844E-14</v>
      </c>
      <c r="FL9">
        <v>-2.4245362661989844E-14</v>
      </c>
      <c r="FM9" t="s">
        <v>1745</v>
      </c>
      <c r="FN9">
        <v>2021</v>
      </c>
      <c r="FO9" t="s">
        <v>4571</v>
      </c>
      <c r="FP9" s="6">
        <v>44693</v>
      </c>
      <c r="FQ9">
        <v>5</v>
      </c>
      <c r="FR9">
        <v>-2.4245362661989844E-14</v>
      </c>
      <c r="FS9">
        <v>128977</v>
      </c>
      <c r="FT9" t="s">
        <v>4577</v>
      </c>
      <c r="FY9" t="s">
        <v>195</v>
      </c>
      <c r="FZ9" t="s">
        <v>1769</v>
      </c>
      <c r="GA9">
        <v>5.9742000000000003E-2</v>
      </c>
      <c r="GB9">
        <v>0.18884000000000001</v>
      </c>
      <c r="GC9" t="s">
        <v>1762</v>
      </c>
      <c r="GD9">
        <v>2025</v>
      </c>
      <c r="GE9" t="s">
        <v>2268</v>
      </c>
      <c r="GF9" s="6">
        <v>45838</v>
      </c>
      <c r="GG9">
        <v>5</v>
      </c>
      <c r="GH9">
        <v>3508648</v>
      </c>
      <c r="GI9">
        <v>101689</v>
      </c>
      <c r="GJ9" t="s">
        <v>2269</v>
      </c>
      <c r="GM9" t="s">
        <v>2594</v>
      </c>
      <c r="GN9">
        <v>5.1640000000000002E-3</v>
      </c>
      <c r="GO9" t="s">
        <v>1786</v>
      </c>
      <c r="GP9">
        <v>5.0558560000000003</v>
      </c>
      <c r="GQ9" t="s">
        <v>1745</v>
      </c>
      <c r="GR9">
        <v>2024</v>
      </c>
      <c r="GS9" t="s">
        <v>2595</v>
      </c>
      <c r="GT9" s="6">
        <v>45814</v>
      </c>
      <c r="GU9">
        <v>5</v>
      </c>
      <c r="GV9">
        <v>310853.61</v>
      </c>
      <c r="GW9">
        <v>36034450</v>
      </c>
      <c r="GX9" t="s">
        <v>2596</v>
      </c>
      <c r="OA9" t="s">
        <v>4817</v>
      </c>
      <c r="OB9" t="s">
        <v>1786</v>
      </c>
      <c r="OC9">
        <v>28</v>
      </c>
      <c r="OD9">
        <v>0.140787</v>
      </c>
      <c r="OE9" t="s">
        <v>1745</v>
      </c>
      <c r="OF9">
        <v>2024</v>
      </c>
      <c r="OG9" t="s">
        <v>4818</v>
      </c>
      <c r="OH9" s="6">
        <v>45729</v>
      </c>
      <c r="OI9">
        <v>5</v>
      </c>
      <c r="OJ9">
        <v>54355072</v>
      </c>
      <c r="OK9">
        <v>54325602</v>
      </c>
      <c r="OL9" t="s">
        <v>4819</v>
      </c>
      <c r="OO9" t="s">
        <v>4568</v>
      </c>
      <c r="OP9">
        <v>-2.4245362661989844E-14</v>
      </c>
      <c r="OR9">
        <v>-2.4245362661989844E-14</v>
      </c>
      <c r="OS9" t="s">
        <v>1798</v>
      </c>
      <c r="OT9">
        <v>2023</v>
      </c>
      <c r="OU9" t="s">
        <v>4569</v>
      </c>
      <c r="OV9" s="6">
        <v>45244</v>
      </c>
      <c r="OW9">
        <v>5</v>
      </c>
      <c r="OX9">
        <v>-2.4245362661989844E-14</v>
      </c>
      <c r="OY9">
        <v>129148</v>
      </c>
      <c r="OZ9" t="s">
        <v>4570</v>
      </c>
      <c r="RM9" t="s">
        <v>3738</v>
      </c>
      <c r="RN9" t="s">
        <v>1786</v>
      </c>
      <c r="RO9">
        <v>5.0000000000000004E-6</v>
      </c>
      <c r="RP9">
        <v>1.7E-5</v>
      </c>
      <c r="RQ9" t="s">
        <v>1762</v>
      </c>
      <c r="RR9">
        <v>2025</v>
      </c>
      <c r="RS9" t="s">
        <v>3739</v>
      </c>
      <c r="RT9" s="6">
        <v>46034</v>
      </c>
      <c r="RU9">
        <v>5</v>
      </c>
      <c r="RV9">
        <v>71</v>
      </c>
      <c r="RW9">
        <v>116096</v>
      </c>
      <c r="RX9" t="s">
        <v>3740</v>
      </c>
      <c r="SA9" t="s">
        <v>3543</v>
      </c>
      <c r="SB9">
        <v>-2.4245362661989844E-14</v>
      </c>
      <c r="SD9">
        <v>-2.4245362661989844E-14</v>
      </c>
      <c r="SE9" t="s">
        <v>1745</v>
      </c>
      <c r="SF9">
        <v>2022</v>
      </c>
      <c r="SG9" t="s">
        <v>3544</v>
      </c>
      <c r="SH9" s="6">
        <v>44986</v>
      </c>
      <c r="SI9">
        <v>5</v>
      </c>
      <c r="SJ9">
        <v>-2.4245362661989844E-14</v>
      </c>
      <c r="SK9">
        <v>28399721</v>
      </c>
      <c r="SL9" t="s">
        <v>3545</v>
      </c>
      <c r="SQ9" t="s">
        <v>949</v>
      </c>
      <c r="SR9" t="s">
        <v>1786</v>
      </c>
      <c r="SS9">
        <v>9.9027270000000005</v>
      </c>
      <c r="ST9">
        <v>1.5774429999999999</v>
      </c>
      <c r="SU9" t="s">
        <v>1762</v>
      </c>
      <c r="SV9">
        <v>2025</v>
      </c>
      <c r="SW9" t="s">
        <v>2429</v>
      </c>
      <c r="SX9" s="6">
        <v>45904</v>
      </c>
      <c r="SY9">
        <v>5</v>
      </c>
      <c r="SZ9">
        <v>107991712</v>
      </c>
      <c r="TA9">
        <v>187877</v>
      </c>
      <c r="TB9" t="s">
        <v>2430</v>
      </c>
      <c r="TE9" t="s">
        <v>1079</v>
      </c>
      <c r="TF9">
        <v>3.0622020000000001</v>
      </c>
      <c r="TG9" t="s">
        <v>1786</v>
      </c>
      <c r="TH9">
        <v>2.546176</v>
      </c>
      <c r="TI9" t="s">
        <v>1762</v>
      </c>
      <c r="TJ9">
        <v>2025</v>
      </c>
      <c r="TK9" t="s">
        <v>1877</v>
      </c>
      <c r="TL9" s="6">
        <v>45888</v>
      </c>
      <c r="TM9">
        <v>5</v>
      </c>
      <c r="TN9">
        <v>337546528</v>
      </c>
      <c r="TO9">
        <v>100090</v>
      </c>
      <c r="TP9" t="s">
        <v>1882</v>
      </c>
      <c r="TU9" t="s">
        <v>2689</v>
      </c>
      <c r="TV9" t="s">
        <v>1786</v>
      </c>
      <c r="TW9">
        <v>2.2271519999999998</v>
      </c>
      <c r="TX9">
        <v>0.70807500000000001</v>
      </c>
      <c r="TY9" t="s">
        <v>1762</v>
      </c>
      <c r="TZ9">
        <v>2025</v>
      </c>
      <c r="UA9" t="s">
        <v>2465</v>
      </c>
      <c r="UB9" s="6">
        <v>45912</v>
      </c>
      <c r="UC9">
        <v>5</v>
      </c>
      <c r="UD9">
        <v>8468577</v>
      </c>
      <c r="UE9">
        <v>24440644</v>
      </c>
      <c r="UF9" t="s">
        <v>2690</v>
      </c>
      <c r="UI9" t="s">
        <v>2470</v>
      </c>
      <c r="UJ9">
        <v>0.18165000000000001</v>
      </c>
      <c r="UK9" t="s">
        <v>1820</v>
      </c>
      <c r="UL9">
        <v>1.2935840000000001</v>
      </c>
      <c r="UM9" t="s">
        <v>1762</v>
      </c>
      <c r="UN9">
        <v>2025</v>
      </c>
      <c r="UO9" t="s">
        <v>2465</v>
      </c>
      <c r="UP9" s="6">
        <v>45912</v>
      </c>
      <c r="UQ9">
        <v>5</v>
      </c>
      <c r="UR9">
        <v>2701136</v>
      </c>
      <c r="US9">
        <v>32745298</v>
      </c>
      <c r="UT9" t="s">
        <v>2471</v>
      </c>
      <c r="VM9" t="s">
        <v>1755</v>
      </c>
      <c r="VN9">
        <v>-2.4245362661989844E-14</v>
      </c>
      <c r="VP9">
        <v>-2.4245362661989844E-14</v>
      </c>
      <c r="VQ9" t="s">
        <v>1742</v>
      </c>
      <c r="VR9">
        <v>2024</v>
      </c>
      <c r="VS9" t="s">
        <v>1756</v>
      </c>
      <c r="VT9" s="6">
        <v>45617</v>
      </c>
      <c r="VU9">
        <v>5</v>
      </c>
      <c r="VV9">
        <v>-2.4245362661989844E-14</v>
      </c>
      <c r="VW9">
        <v>70497143</v>
      </c>
      <c r="VX9" t="s">
        <v>1757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1680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1681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1682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1683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1684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1685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1686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1687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1688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1689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1690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1691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1692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1693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1694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1695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1696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1697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1698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535</v>
      </c>
      <c r="AE2" s="3" t="s">
        <v>118</v>
      </c>
      <c r="BI2" s="3" t="s">
        <v>1008</v>
      </c>
      <c r="CM2" s="3" t="s">
        <v>1699</v>
      </c>
      <c r="DQ2" s="3" t="s">
        <v>391</v>
      </c>
      <c r="EU2" s="3" t="s">
        <v>1700</v>
      </c>
      <c r="FY2" s="3" t="s">
        <v>1701</v>
      </c>
      <c r="HC2" s="3" t="s">
        <v>1702</v>
      </c>
      <c r="IG2" s="3" t="s">
        <v>1703</v>
      </c>
      <c r="JK2" s="3" t="s">
        <v>704</v>
      </c>
      <c r="KO2" s="3" t="s">
        <v>1704</v>
      </c>
      <c r="LS2" s="3" t="s">
        <v>1705</v>
      </c>
      <c r="MW2" s="3" t="s">
        <v>1706</v>
      </c>
      <c r="OA2" s="3" t="s">
        <v>432</v>
      </c>
      <c r="PE2" s="3" t="s">
        <v>282</v>
      </c>
      <c r="QI2" s="3" t="s">
        <v>1707</v>
      </c>
      <c r="RM2" s="3" t="s">
        <v>1708</v>
      </c>
      <c r="SQ2" s="3" t="s">
        <v>1709</v>
      </c>
      <c r="TU2" s="3" t="s">
        <v>1710</v>
      </c>
      <c r="UY2" s="3" t="s">
        <v>1020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_xll.BDS("TFC US Equity","SUPPLY_CHAIN_SUPPLIERS_ALL_DATA","cols=12;rows=5")</f>
        <v>ADBE US Equity</v>
      </c>
      <c r="B5" t="s">
        <v>1769</v>
      </c>
      <c r="C5">
        <v>9.3438999999999994E-2</v>
      </c>
      <c r="D5">
        <v>0.18883900000000001</v>
      </c>
      <c r="E5" t="s">
        <v>1762</v>
      </c>
      <c r="F5">
        <v>2025</v>
      </c>
      <c r="G5" t="s">
        <v>2268</v>
      </c>
      <c r="H5" s="6">
        <v>45838</v>
      </c>
      <c r="I5">
        <v>5</v>
      </c>
      <c r="J5">
        <v>5487672</v>
      </c>
      <c r="K5">
        <v>101689</v>
      </c>
      <c r="L5" t="s">
        <v>2269</v>
      </c>
      <c r="O5" t="str">
        <f>_xll.BDS("TFC US Equity","SUPPLY_CHAIN_CUSTOMERS_ALL_DATA","cols=12;rows=1")</f>
        <v>RENG IN Equity</v>
      </c>
      <c r="P5">
        <v>-2.4245362661989844E-14</v>
      </c>
      <c r="R5">
        <v>-2.4245362661989844E-14</v>
      </c>
      <c r="S5" t="s">
        <v>1745</v>
      </c>
      <c r="T5">
        <v>2025</v>
      </c>
      <c r="U5" t="s">
        <v>1952</v>
      </c>
      <c r="V5" s="6">
        <v>45901</v>
      </c>
      <c r="W5">
        <v>1</v>
      </c>
      <c r="X5">
        <v>-2.4245362661989844E-14</v>
      </c>
      <c r="Y5">
        <v>182734</v>
      </c>
      <c r="Z5" t="s">
        <v>1953</v>
      </c>
      <c r="AE5" t="str">
        <f>_xll.BDS("ZION US Equity","SUPPLY_CHAIN_SUPPLIERS_ALL_DATA","cols=12;rows=2")</f>
        <v>MUST SP Equity</v>
      </c>
      <c r="AG5">
        <v>-2.4245362661989844E-14</v>
      </c>
      <c r="AH5">
        <v>-2.4245362661989844E-14</v>
      </c>
      <c r="AI5" t="s">
        <v>1745</v>
      </c>
      <c r="AJ5">
        <v>2024</v>
      </c>
      <c r="AK5" t="s">
        <v>2839</v>
      </c>
      <c r="AL5" s="6">
        <v>45762</v>
      </c>
      <c r="AM5">
        <v>2</v>
      </c>
      <c r="AN5">
        <v>-2.4245362661989844E-14</v>
      </c>
      <c r="AO5">
        <v>46286147</v>
      </c>
      <c r="AP5" t="s">
        <v>2733</v>
      </c>
      <c r="AS5" t="str">
        <f>_xll.BDS("ZION US Equity","SUPPLY_CHAIN_CUSTOMERS_ALL_DATA")</f>
        <v>#N/A N/A</v>
      </c>
      <c r="BI5" t="str">
        <f>_xll.BDS("RRD US Equity","SUPPLY_CHAIN_SUPPLIERS_ALL_DATA","cols=12;rows=5")</f>
        <v>FNOVA17 MM Equity</v>
      </c>
      <c r="BK5">
        <v>1.2</v>
      </c>
      <c r="BL5">
        <v>-2.4245362661989844E-14</v>
      </c>
      <c r="BM5" t="s">
        <v>1745</v>
      </c>
      <c r="BN5">
        <v>2024</v>
      </c>
      <c r="BO5" t="s">
        <v>3430</v>
      </c>
      <c r="BP5" s="6">
        <v>45698</v>
      </c>
      <c r="BQ5">
        <v>5</v>
      </c>
      <c r="BR5">
        <v>218270.92</v>
      </c>
      <c r="BS5">
        <v>13706960</v>
      </c>
      <c r="BT5" t="s">
        <v>3431</v>
      </c>
      <c r="BW5" t="str">
        <f>_xll.BDS("RRD US Equity","SUPPLY_CHAIN_CUSTOMERS_ALL_DATA","cols=12;rows=5")</f>
        <v>1646058D US Equity</v>
      </c>
      <c r="BX5">
        <v>-2.4245362661989844E-14</v>
      </c>
      <c r="BZ5">
        <v>-2.4245362661989844E-14</v>
      </c>
      <c r="CA5" t="s">
        <v>1745</v>
      </c>
      <c r="CB5">
        <v>2024</v>
      </c>
      <c r="CC5" t="s">
        <v>2015</v>
      </c>
      <c r="CD5" s="6">
        <v>45348</v>
      </c>
      <c r="CE5">
        <v>5</v>
      </c>
      <c r="CF5">
        <v>-2.4245362661989844E-14</v>
      </c>
      <c r="CG5">
        <v>47365286</v>
      </c>
      <c r="CH5" t="s">
        <v>2016</v>
      </c>
      <c r="CM5" t="str">
        <f>_xll.BDS("ABBV US Equity","SUPPLY_CHAIN_SUPPLIERS_ALL_DATA","cols=12;rows=5")</f>
        <v>ROG SW Equity</v>
      </c>
      <c r="CN5" t="s">
        <v>1786</v>
      </c>
      <c r="CO5">
        <v>1.433017</v>
      </c>
      <c r="CP5">
        <v>5.8448690000000001</v>
      </c>
      <c r="CQ5" t="s">
        <v>1745</v>
      </c>
      <c r="CR5">
        <v>2025</v>
      </c>
      <c r="CS5" t="s">
        <v>4091</v>
      </c>
      <c r="CT5" s="6">
        <v>46073</v>
      </c>
      <c r="CU5">
        <v>5</v>
      </c>
      <c r="CV5">
        <v>265999984</v>
      </c>
      <c r="CW5">
        <v>115785</v>
      </c>
      <c r="CX5" t="s">
        <v>2419</v>
      </c>
      <c r="DA5" t="str">
        <f>_xll.BDS("ABBV US Equity","SUPPLY_CHAIN_CUSTOMERS_ALL_DATA","cols=12;rows=5")</f>
        <v>MCK US Equity</v>
      </c>
      <c r="DB5">
        <v>30.713249000000001</v>
      </c>
      <c r="DC5" t="s">
        <v>1786</v>
      </c>
      <c r="DD5">
        <v>6.8943349999999999</v>
      </c>
      <c r="DE5" t="s">
        <v>1845</v>
      </c>
      <c r="DF5">
        <v>2025</v>
      </c>
      <c r="DG5" t="s">
        <v>2798</v>
      </c>
      <c r="DH5" s="6">
        <v>46077</v>
      </c>
      <c r="DI5">
        <v>5</v>
      </c>
      <c r="DJ5">
        <v>5103927808</v>
      </c>
      <c r="DK5">
        <v>154936</v>
      </c>
      <c r="DL5" t="s">
        <v>2146</v>
      </c>
      <c r="DQ5" t="str">
        <f>_xll.BDS("0848680D US Equity","SUPPLY_CHAIN_SUPPLIERS_ALL_DATA")</f>
        <v>#N/A N/A</v>
      </c>
      <c r="EE5" t="str">
        <f>_xll.BDS("0848680D US Equity","SUPPLY_CHAIN_CUSTOMERS_ALL_DATA")</f>
        <v>#N/A N/A</v>
      </c>
      <c r="EU5" t="str">
        <f>_xll.BDS("3493202Q US Equity","SUPPLY_CHAIN_SUPPLIERS_ALL_DATA")</f>
        <v>#N/A N/A</v>
      </c>
      <c r="FI5" t="str">
        <f>_xll.BDS("3493202Q US Equity","SUPPLY_CHAIN_CUSTOMERS_ALL_DATA")</f>
        <v>#N/A N/A</v>
      </c>
      <c r="FY5" t="str">
        <f>_xll.BDS("NIC US Equity","SUPPLY_CHAIN_SUPPLIERS_ALL_DATA","cols=12;rows=1")</f>
        <v>VYX US Equity</v>
      </c>
      <c r="GA5">
        <v>-2.4245362661989844E-14</v>
      </c>
      <c r="GB5">
        <v>-2.4245362661989844E-14</v>
      </c>
      <c r="GC5" t="s">
        <v>1845</v>
      </c>
      <c r="GD5">
        <v>2023</v>
      </c>
      <c r="GE5" t="s">
        <v>2354</v>
      </c>
      <c r="GF5" s="6">
        <v>45730</v>
      </c>
      <c r="GG5">
        <v>1</v>
      </c>
      <c r="GH5">
        <v>-2.4245362661989844E-14</v>
      </c>
      <c r="GI5">
        <v>202476</v>
      </c>
      <c r="GJ5" t="s">
        <v>2355</v>
      </c>
      <c r="GM5" t="str">
        <f>_xll.BDS("NIC US Equity","SUPPLY_CHAIN_CUSTOMERS_ALL_DATA")</f>
        <v>#N/A N/A</v>
      </c>
      <c r="HC5" t="str">
        <f>_xll.BDS("FBRT US Equity","SUPPLY_CHAIN_SUPPLIERS_ALL_DATA")</f>
        <v>#N/A N/A</v>
      </c>
      <c r="HQ5" t="str">
        <f>_xll.BDS("FBRT US Equity","SUPPLY_CHAIN_CUSTOMERS_ALL_DATA")</f>
        <v>#N/A N/A</v>
      </c>
      <c r="IG5" t="str">
        <f>_xll.BDS("FGHLQ US Equity","SUPPLY_CHAIN_SUPPLIERS_ALL_DATA")</f>
        <v>#N/A N/A</v>
      </c>
      <c r="IU5" t="str">
        <f>_xll.BDS("FGHLQ US Equity","SUPPLY_CHAIN_CUSTOMERS_ALL_DATA")</f>
        <v>#N/A N/A</v>
      </c>
      <c r="JK5" t="str">
        <f>_xll.BDS("UBSI US Equity","SUPPLY_CHAIN_SUPPLIERS_ALL_DATA","cols=12;rows=1")</f>
        <v>FICO US Equity</v>
      </c>
      <c r="JM5">
        <v>-2.4245362661989844E-14</v>
      </c>
      <c r="JN5">
        <v>-2.4245362661989844E-14</v>
      </c>
      <c r="JO5" t="s">
        <v>1745</v>
      </c>
      <c r="JP5">
        <v>2024</v>
      </c>
      <c r="JQ5" t="s">
        <v>3931</v>
      </c>
      <c r="JR5" s="6">
        <v>45348</v>
      </c>
      <c r="JS5">
        <v>1</v>
      </c>
      <c r="JT5">
        <v>-2.4245362661989844E-14</v>
      </c>
      <c r="JU5">
        <v>103869</v>
      </c>
      <c r="JV5" t="s">
        <v>3932</v>
      </c>
      <c r="JY5" t="str">
        <f>_xll.BDS("UBSI US Equity","SUPPLY_CHAIN_CUSTOMERS_ALL_DATA")</f>
        <v>#N/A N/A</v>
      </c>
      <c r="KO5" t="str">
        <f>_xll.BDS("CHZ US Equity","SUPPLY_CHAIN_SUPPLIERS_ALL_DATA")</f>
        <v>#N/A N/A</v>
      </c>
      <c r="LC5" t="str">
        <f>_xll.BDS("CHZ US Equity","SUPPLY_CHAIN_CUSTOMERS_ALL_DATA")</f>
        <v>#N/A N/A</v>
      </c>
      <c r="LS5" t="str">
        <f>_xll.BDS("2326248D US Equity","SUPPLY_CHAIN_SUPPLIERS_ALL_DATA")</f>
        <v>#N/A N/A</v>
      </c>
      <c r="MG5" t="str">
        <f>_xll.BDS("2326248D US Equity","SUPPLY_CHAIN_CUSTOMERS_ALL_DATA")</f>
        <v>#N/A N/A</v>
      </c>
      <c r="MW5" t="str">
        <f>_xll.BDS("YUM US Equity","SUPPLY_CHAIN_SUPPLIERS_ALL_DATA","cols=12;rows=5")</f>
        <v>BRK/A US Equity</v>
      </c>
      <c r="MY5">
        <v>1.5294399999999999</v>
      </c>
      <c r="MZ5">
        <v>-2.4245362661989844E-14</v>
      </c>
      <c r="NA5" t="s">
        <v>1745</v>
      </c>
      <c r="NB5">
        <v>2024</v>
      </c>
      <c r="NC5" t="s">
        <v>3646</v>
      </c>
      <c r="ND5" s="6">
        <v>45712</v>
      </c>
      <c r="NE5">
        <v>5</v>
      </c>
      <c r="NF5">
        <v>1622093696</v>
      </c>
      <c r="NG5">
        <v>100193</v>
      </c>
      <c r="NH5" t="s">
        <v>1849</v>
      </c>
      <c r="NK5" t="str">
        <f>_xll.BDS("YUM US Equity","SUPPLY_CHAIN_CUSTOMERS_ALL_DATA","cols=12;rows=5")</f>
        <v>FAST IJ Equity</v>
      </c>
      <c r="NL5">
        <v>0.24354400000000001</v>
      </c>
      <c r="NM5" t="s">
        <v>1769</v>
      </c>
      <c r="NN5">
        <v>11.078858</v>
      </c>
      <c r="NO5" t="s">
        <v>1798</v>
      </c>
      <c r="NP5">
        <v>2025</v>
      </c>
      <c r="NQ5" t="s">
        <v>3565</v>
      </c>
      <c r="NR5" s="6">
        <v>45961</v>
      </c>
      <c r="NS5">
        <v>5</v>
      </c>
      <c r="NT5">
        <v>4864068.5999999996</v>
      </c>
      <c r="NU5">
        <v>128397</v>
      </c>
      <c r="NV5" t="s">
        <v>3566</v>
      </c>
      <c r="OA5" t="str">
        <f>_xll.BDS("9990822D US Equity","SUPPLY_CHAIN_SUPPLIERS_ALL_DATA","cols=12;rows=1")</f>
        <v>AMZN US Equity</v>
      </c>
      <c r="OC5">
        <v>-2.4245362661989844E-14</v>
      </c>
      <c r="OD5">
        <v>-2.4245362661989844E-14</v>
      </c>
      <c r="OE5" t="s">
        <v>1745</v>
      </c>
      <c r="OF5">
        <v>2025</v>
      </c>
      <c r="OG5" t="s">
        <v>3186</v>
      </c>
      <c r="OH5" s="6">
        <v>45993</v>
      </c>
      <c r="OI5">
        <v>1</v>
      </c>
      <c r="OJ5">
        <v>-2.4245362661989844E-14</v>
      </c>
      <c r="OK5">
        <v>216952</v>
      </c>
      <c r="OL5" t="s">
        <v>1886</v>
      </c>
      <c r="OO5" t="str">
        <f>_xll.BDS("9990822D US Equity","SUPPLY_CHAIN_CUSTOMERS_ALL_DATA","cols=12;rows=3")</f>
        <v>0759608D US Equity</v>
      </c>
      <c r="OP5">
        <v>-2.4245362661989844E-14</v>
      </c>
      <c r="OR5">
        <v>-2.4245362661989844E-14</v>
      </c>
      <c r="OS5" t="s">
        <v>1745</v>
      </c>
      <c r="OT5">
        <v>2023</v>
      </c>
      <c r="OU5" t="s">
        <v>3154</v>
      </c>
      <c r="OV5" s="6">
        <v>44972</v>
      </c>
      <c r="OW5">
        <v>3</v>
      </c>
      <c r="OX5">
        <v>-2.4245362661989844E-14</v>
      </c>
      <c r="OY5">
        <v>22120244</v>
      </c>
      <c r="OZ5" t="s">
        <v>3155</v>
      </c>
      <c r="PE5" t="str">
        <f>_xll.BDS("LNWO US Equity","SUPPLY_CHAIN_SUPPLIERS_ALL_DATA","cols=12;rows=5")</f>
        <v>HAS US Equity</v>
      </c>
      <c r="PF5" t="s">
        <v>1786</v>
      </c>
      <c r="PG5">
        <v>0.180285</v>
      </c>
      <c r="PH5">
        <v>0.863487</v>
      </c>
      <c r="PI5" t="s">
        <v>1845</v>
      </c>
      <c r="PJ5">
        <v>2024</v>
      </c>
      <c r="PK5" t="s">
        <v>2711</v>
      </c>
      <c r="PL5" s="6">
        <v>45769</v>
      </c>
      <c r="PM5">
        <v>5</v>
      </c>
      <c r="PN5">
        <v>1986020</v>
      </c>
      <c r="PO5">
        <v>104314</v>
      </c>
      <c r="PP5" t="s">
        <v>2712</v>
      </c>
      <c r="PS5" t="str">
        <f>_xll.BDS("LNWO US Equity","SUPPLY_CHAIN_CUSTOMERS_ALL_DATA","cols=12;rows=5")</f>
        <v>ENT LN Equity</v>
      </c>
      <c r="PT5">
        <v>-2.4245362661989844E-14</v>
      </c>
      <c r="PV5">
        <v>-2.4245362661989844E-14</v>
      </c>
      <c r="PW5" t="s">
        <v>1745</v>
      </c>
      <c r="PX5">
        <v>2022</v>
      </c>
      <c r="PY5" t="s">
        <v>2447</v>
      </c>
      <c r="PZ5" s="6">
        <v>44665</v>
      </c>
      <c r="QA5">
        <v>5</v>
      </c>
      <c r="QB5">
        <v>-2.4245362661989844E-14</v>
      </c>
      <c r="QC5">
        <v>9335259</v>
      </c>
      <c r="QD5" t="s">
        <v>2448</v>
      </c>
      <c r="QI5" t="str">
        <f>_xll.BDS("1504558D US Equity","SUPPLY_CHAIN_SUPPLIERS_ALL_DATA")</f>
        <v>#N/A N/A</v>
      </c>
      <c r="QW5" t="str">
        <f>_xll.BDS("1504558D US Equity","SUPPLY_CHAIN_CUSTOMERS_ALL_DATA")</f>
        <v>#N/A N/A</v>
      </c>
      <c r="RM5" t="str">
        <f>_xll.BDS("MRO US Equity","SUPPLY_CHAIN_SUPPLIERS_ALL_DATA","cols=12;rows=5")</f>
        <v>2629861D US Equity</v>
      </c>
      <c r="RO5">
        <v>-2.4245362661989844E-14</v>
      </c>
      <c r="RP5">
        <v>-2.4245362661989844E-14</v>
      </c>
      <c r="RQ5" t="s">
        <v>1745</v>
      </c>
      <c r="RR5">
        <v>2022</v>
      </c>
      <c r="RS5" t="s">
        <v>4934</v>
      </c>
      <c r="RT5" s="6">
        <v>44994</v>
      </c>
      <c r="RU5">
        <v>5</v>
      </c>
      <c r="RV5">
        <v>-2.4245362661989844E-14</v>
      </c>
      <c r="RW5">
        <v>69749112</v>
      </c>
      <c r="RX5" t="s">
        <v>4935</v>
      </c>
      <c r="SA5" t="str">
        <f>_xll.BDS("MRO US Equity","SUPPLY_CHAIN_CUSTOMERS_ALL_DATA","cols=12;rows=5")</f>
        <v>1188058D SP Equity</v>
      </c>
      <c r="SB5">
        <v>-2.4245362661989844E-14</v>
      </c>
      <c r="SD5">
        <v>-2.4245362661989844E-14</v>
      </c>
      <c r="SE5" t="s">
        <v>1745</v>
      </c>
      <c r="SF5">
        <v>2023</v>
      </c>
      <c r="SG5" t="s">
        <v>4730</v>
      </c>
      <c r="SH5" s="6">
        <v>45344</v>
      </c>
      <c r="SI5">
        <v>5</v>
      </c>
      <c r="SJ5">
        <v>-2.4245362661989844E-14</v>
      </c>
      <c r="SK5">
        <v>38748648</v>
      </c>
      <c r="SL5" t="s">
        <v>4731</v>
      </c>
      <c r="SQ5" t="str">
        <f>_xll.BDS("CATY US Equity","SUPPLY_CHAIN_SUPPLIERS_ALL_DATA")</f>
        <v>#N/A N/A</v>
      </c>
      <c r="TE5" t="str">
        <f>_xll.BDS("CATY US Equity","SUPPLY_CHAIN_CUSTOMERS_ALL_DATA")</f>
        <v>#N/A N/A</v>
      </c>
      <c r="TU5" t="str">
        <f>_xll.BDS("MXL US Equity","SUPPLY_CHAIN_SUPPLIERS_ALL_DATA","cols=12;rows=5")</f>
        <v>2330 TT Equity</v>
      </c>
      <c r="TV5" t="s">
        <v>1786</v>
      </c>
      <c r="TW5">
        <v>5.0029999999999998E-2</v>
      </c>
      <c r="TX5">
        <v>32.810012999999998</v>
      </c>
      <c r="TY5" t="s">
        <v>1845</v>
      </c>
      <c r="TZ5">
        <v>2024</v>
      </c>
      <c r="UA5" t="s">
        <v>3435</v>
      </c>
      <c r="UB5" s="6">
        <v>45741</v>
      </c>
      <c r="UC5">
        <v>5</v>
      </c>
      <c r="UD5">
        <v>13431003.23</v>
      </c>
      <c r="UE5">
        <v>153737</v>
      </c>
      <c r="UF5" t="s">
        <v>2171</v>
      </c>
      <c r="UI5" t="str">
        <f>_xll.BDS("MXL US Equity","SUPPLY_CHAIN_CUSTOMERS_ALL_DATA","cols=12;rows=5")</f>
        <v>3036 TT Equity</v>
      </c>
      <c r="UJ5">
        <v>9.5159710000000004</v>
      </c>
      <c r="UK5" t="s">
        <v>1786</v>
      </c>
      <c r="UL5">
        <v>0.122726</v>
      </c>
      <c r="UM5" t="s">
        <v>1845</v>
      </c>
      <c r="UN5">
        <v>2025</v>
      </c>
      <c r="UO5" t="s">
        <v>4119</v>
      </c>
      <c r="UP5" s="6">
        <v>46070</v>
      </c>
      <c r="UQ5">
        <v>5</v>
      </c>
      <c r="UR5">
        <v>12983210</v>
      </c>
      <c r="US5">
        <v>1459396</v>
      </c>
      <c r="UT5" t="s">
        <v>3626</v>
      </c>
      <c r="UY5" t="str">
        <f>_xll.BDS("WBA US Equity","SUPPLY_CHAIN_SUPPLIERS_ALL_DATA","cols=12;rows=5")</f>
        <v>COR US Equity</v>
      </c>
      <c r="UZ5" t="s">
        <v>1786</v>
      </c>
      <c r="VA5">
        <v>26.14452</v>
      </c>
      <c r="VB5">
        <v>60.735835999999999</v>
      </c>
      <c r="VC5" t="s">
        <v>1742</v>
      </c>
      <c r="VD5">
        <v>2025</v>
      </c>
      <c r="VE5" t="s">
        <v>3013</v>
      </c>
      <c r="VF5" s="6">
        <v>45834</v>
      </c>
      <c r="VG5">
        <v>5</v>
      </c>
      <c r="VH5">
        <v>19727000000</v>
      </c>
      <c r="VI5">
        <v>156969</v>
      </c>
      <c r="VJ5" t="s">
        <v>2148</v>
      </c>
      <c r="VM5" t="str">
        <f>_xll.BDS("WBA US Equity","SUPPLY_CHAIN_CUSTOMERS_ALL_DATA","cols=12;rows=5")</f>
        <v>1920799D US Equity</v>
      </c>
      <c r="VN5">
        <v>-2.4245362661989844E-14</v>
      </c>
      <c r="VP5">
        <v>-2.4245362661989844E-14</v>
      </c>
      <c r="VQ5" t="s">
        <v>1745</v>
      </c>
      <c r="VR5">
        <v>2023</v>
      </c>
      <c r="VS5" t="s">
        <v>3963</v>
      </c>
      <c r="VT5" s="6">
        <v>45181</v>
      </c>
      <c r="VU5">
        <v>5</v>
      </c>
      <c r="VV5">
        <v>-2.4245362661989844E-14</v>
      </c>
      <c r="VW5">
        <v>69747064</v>
      </c>
      <c r="VX5" t="s">
        <v>3964</v>
      </c>
    </row>
    <row r="6" spans="1:600" x14ac:dyDescent="0.25">
      <c r="A6" t="s">
        <v>2270</v>
      </c>
      <c r="B6" t="s">
        <v>1769</v>
      </c>
      <c r="C6">
        <v>1.151538</v>
      </c>
      <c r="D6">
        <v>7.7191999999999997E-2</v>
      </c>
      <c r="E6" t="s">
        <v>1745</v>
      </c>
      <c r="F6">
        <v>2024</v>
      </c>
      <c r="G6" t="s">
        <v>2271</v>
      </c>
      <c r="H6" s="6">
        <v>45716</v>
      </c>
      <c r="I6">
        <v>5</v>
      </c>
      <c r="J6">
        <v>2317499</v>
      </c>
      <c r="K6">
        <v>35300053</v>
      </c>
      <c r="L6" t="s">
        <v>2272</v>
      </c>
      <c r="AE6" t="s">
        <v>4627</v>
      </c>
      <c r="AG6">
        <v>-2.4245362661989844E-14</v>
      </c>
      <c r="AH6">
        <v>-2.4245362661989844E-14</v>
      </c>
      <c r="AI6" t="s">
        <v>1745</v>
      </c>
      <c r="AJ6">
        <v>2023</v>
      </c>
      <c r="AK6" t="s">
        <v>4628</v>
      </c>
      <c r="AL6" s="6">
        <v>45336</v>
      </c>
      <c r="AM6">
        <v>2</v>
      </c>
      <c r="AN6">
        <v>-2.4245362661989844E-14</v>
      </c>
      <c r="AO6">
        <v>20828779</v>
      </c>
      <c r="AP6" t="s">
        <v>4629</v>
      </c>
      <c r="BI6" t="s">
        <v>4210</v>
      </c>
      <c r="BK6">
        <v>-2.4245362661989844E-14</v>
      </c>
      <c r="BL6">
        <v>-2.4245362661989844E-14</v>
      </c>
      <c r="BM6" t="s">
        <v>1745</v>
      </c>
      <c r="BN6">
        <v>2022</v>
      </c>
      <c r="BO6" t="s">
        <v>4211</v>
      </c>
      <c r="BP6" s="6">
        <v>44693</v>
      </c>
      <c r="BQ6">
        <v>5</v>
      </c>
      <c r="BR6">
        <v>-2.4245362661989844E-14</v>
      </c>
      <c r="BS6">
        <v>113413</v>
      </c>
      <c r="BT6" t="s">
        <v>4212</v>
      </c>
      <c r="BW6" t="s">
        <v>2017</v>
      </c>
      <c r="BX6">
        <v>-2.4245362661989844E-14</v>
      </c>
      <c r="BZ6">
        <v>-2.4245362661989844E-14</v>
      </c>
      <c r="CA6" t="s">
        <v>1745</v>
      </c>
      <c r="CB6">
        <v>2025</v>
      </c>
      <c r="CC6" t="s">
        <v>2018</v>
      </c>
      <c r="CD6" s="6">
        <v>45777</v>
      </c>
      <c r="CE6">
        <v>5</v>
      </c>
      <c r="CF6">
        <v>-2.4245362661989844E-14</v>
      </c>
      <c r="CG6">
        <v>957754</v>
      </c>
      <c r="CH6" t="s">
        <v>2019</v>
      </c>
      <c r="CM6" t="s">
        <v>385</v>
      </c>
      <c r="CN6" t="s">
        <v>1786</v>
      </c>
      <c r="CO6">
        <v>1.0128140000000001</v>
      </c>
      <c r="CP6">
        <v>5.2406059999999997</v>
      </c>
      <c r="CQ6" t="s">
        <v>1745</v>
      </c>
      <c r="CR6">
        <v>2025</v>
      </c>
      <c r="CS6" t="s">
        <v>4091</v>
      </c>
      <c r="CT6" s="6">
        <v>46073</v>
      </c>
      <c r="CU6">
        <v>5</v>
      </c>
      <c r="CV6">
        <v>238499984</v>
      </c>
      <c r="CW6">
        <v>100828</v>
      </c>
      <c r="CX6" t="s">
        <v>2464</v>
      </c>
      <c r="DA6" t="s">
        <v>2147</v>
      </c>
      <c r="DB6">
        <v>22.158524</v>
      </c>
      <c r="DC6" t="s">
        <v>1786</v>
      </c>
      <c r="DD6">
        <v>4.4440090000000003</v>
      </c>
      <c r="DE6" t="s">
        <v>1845</v>
      </c>
      <c r="DF6">
        <v>2025</v>
      </c>
      <c r="DG6" t="s">
        <v>2798</v>
      </c>
      <c r="DH6" s="6">
        <v>46077</v>
      </c>
      <c r="DI6">
        <v>5</v>
      </c>
      <c r="DJ6">
        <v>3682303488</v>
      </c>
      <c r="DK6">
        <v>156969</v>
      </c>
      <c r="DL6" t="s">
        <v>2148</v>
      </c>
      <c r="MW6" t="s">
        <v>3877</v>
      </c>
      <c r="MX6" t="s">
        <v>1786</v>
      </c>
      <c r="MY6">
        <v>7.9219999999999999E-2</v>
      </c>
      <c r="MZ6">
        <v>3.4984009999999999</v>
      </c>
      <c r="NA6" t="s">
        <v>1762</v>
      </c>
      <c r="NB6">
        <v>2025</v>
      </c>
      <c r="NC6" t="s">
        <v>3878</v>
      </c>
      <c r="ND6" s="6">
        <v>45855</v>
      </c>
      <c r="NE6">
        <v>5</v>
      </c>
      <c r="NF6">
        <v>18191684</v>
      </c>
      <c r="NG6">
        <v>101158</v>
      </c>
      <c r="NH6" t="s">
        <v>3879</v>
      </c>
      <c r="NK6" t="s">
        <v>3567</v>
      </c>
      <c r="NL6">
        <v>-2.4245362661989844E-14</v>
      </c>
      <c r="NN6">
        <v>-2.4245362661989844E-14</v>
      </c>
      <c r="NO6" t="s">
        <v>1745</v>
      </c>
      <c r="NP6">
        <v>2024</v>
      </c>
      <c r="NQ6" t="s">
        <v>3568</v>
      </c>
      <c r="NR6" s="6">
        <v>45765</v>
      </c>
      <c r="NS6">
        <v>5</v>
      </c>
      <c r="NT6">
        <v>-2.4245362661989844E-14</v>
      </c>
      <c r="NU6">
        <v>193324</v>
      </c>
      <c r="NV6" t="s">
        <v>3569</v>
      </c>
      <c r="OO6" t="s">
        <v>246</v>
      </c>
      <c r="OP6">
        <v>-2.4245362661989844E-14</v>
      </c>
      <c r="OR6">
        <v>-2.4245362661989844E-14</v>
      </c>
      <c r="OS6" t="s">
        <v>1745</v>
      </c>
      <c r="OT6">
        <v>2023</v>
      </c>
      <c r="OU6" t="s">
        <v>3154</v>
      </c>
      <c r="OV6" s="6">
        <v>44943</v>
      </c>
      <c r="OW6">
        <v>3</v>
      </c>
      <c r="OX6">
        <v>-2.4245362661989844E-14</v>
      </c>
      <c r="OY6">
        <v>46946968</v>
      </c>
      <c r="OZ6" t="s">
        <v>1765</v>
      </c>
      <c r="PE6" t="s">
        <v>2713</v>
      </c>
      <c r="PF6" t="s">
        <v>1786</v>
      </c>
      <c r="PG6">
        <v>6</v>
      </c>
      <c r="PH6">
        <v>0.27959600000000001</v>
      </c>
      <c r="PI6" t="s">
        <v>1745</v>
      </c>
      <c r="PJ6">
        <v>2024</v>
      </c>
      <c r="PK6" t="s">
        <v>2714</v>
      </c>
      <c r="PL6" s="6">
        <v>45740</v>
      </c>
      <c r="PM6">
        <v>5</v>
      </c>
      <c r="PN6">
        <v>650760</v>
      </c>
      <c r="PO6">
        <v>194466</v>
      </c>
      <c r="PP6" t="s">
        <v>2715</v>
      </c>
      <c r="PS6" t="s">
        <v>2449</v>
      </c>
      <c r="PT6">
        <v>-2.4245362661989844E-14</v>
      </c>
      <c r="PV6">
        <v>-2.4245362661989844E-14</v>
      </c>
      <c r="PW6" t="s">
        <v>1745</v>
      </c>
      <c r="PX6">
        <v>2024</v>
      </c>
      <c r="PY6" t="s">
        <v>2450</v>
      </c>
      <c r="PZ6" s="6">
        <v>45776</v>
      </c>
      <c r="QA6">
        <v>5</v>
      </c>
      <c r="QB6">
        <v>-2.4245362661989844E-14</v>
      </c>
      <c r="QC6">
        <v>8540383</v>
      </c>
      <c r="QD6" t="s">
        <v>2451</v>
      </c>
      <c r="RM6" t="s">
        <v>4936</v>
      </c>
      <c r="RO6">
        <v>-2.4245362661989844E-14</v>
      </c>
      <c r="RP6">
        <v>-2.4245362661989844E-14</v>
      </c>
      <c r="RQ6" t="s">
        <v>1745</v>
      </c>
      <c r="RR6">
        <v>2023</v>
      </c>
      <c r="RS6" t="s">
        <v>4937</v>
      </c>
      <c r="RT6" s="6">
        <v>45359</v>
      </c>
      <c r="RU6">
        <v>5</v>
      </c>
      <c r="RV6">
        <v>-2.4245362661989844E-14</v>
      </c>
      <c r="RW6">
        <v>17237117</v>
      </c>
      <c r="RX6" t="s">
        <v>4938</v>
      </c>
      <c r="SA6" t="s">
        <v>4732</v>
      </c>
      <c r="SB6">
        <v>-2.4245362661989844E-14</v>
      </c>
      <c r="SD6">
        <v>-2.4245362661989844E-14</v>
      </c>
      <c r="SE6" t="s">
        <v>1745</v>
      </c>
      <c r="SF6">
        <v>2024</v>
      </c>
      <c r="SG6" t="s">
        <v>4733</v>
      </c>
      <c r="SH6" s="6">
        <v>45469</v>
      </c>
      <c r="SI6">
        <v>5</v>
      </c>
      <c r="SJ6">
        <v>-2.4245362661989844E-14</v>
      </c>
      <c r="SK6">
        <v>108241</v>
      </c>
      <c r="SL6" t="s">
        <v>4734</v>
      </c>
      <c r="TU6" t="s">
        <v>3990</v>
      </c>
      <c r="TV6" t="s">
        <v>1786</v>
      </c>
      <c r="TW6">
        <v>0.159777</v>
      </c>
      <c r="TX6">
        <v>6.015072</v>
      </c>
      <c r="TY6" t="s">
        <v>1809</v>
      </c>
      <c r="TZ6">
        <v>2025</v>
      </c>
      <c r="UA6" t="s">
        <v>3991</v>
      </c>
      <c r="UB6" s="6">
        <v>45792</v>
      </c>
      <c r="UC6">
        <v>5</v>
      </c>
      <c r="UD6">
        <v>2532465</v>
      </c>
      <c r="UE6">
        <v>15242973</v>
      </c>
      <c r="UF6" t="s">
        <v>3992</v>
      </c>
      <c r="UI6" t="s">
        <v>4120</v>
      </c>
      <c r="UJ6">
        <v>6.5244859999999996</v>
      </c>
      <c r="UK6" t="s">
        <v>1786</v>
      </c>
      <c r="UL6">
        <v>0.92543399999999998</v>
      </c>
      <c r="UM6" t="s">
        <v>1845</v>
      </c>
      <c r="UN6">
        <v>2025</v>
      </c>
      <c r="UO6" t="s">
        <v>4119</v>
      </c>
      <c r="UP6" s="6">
        <v>46070</v>
      </c>
      <c r="UQ6">
        <v>5</v>
      </c>
      <c r="UR6">
        <v>8901748</v>
      </c>
      <c r="US6">
        <v>35508256</v>
      </c>
      <c r="UT6" t="s">
        <v>4121</v>
      </c>
      <c r="UY6" t="s">
        <v>3014</v>
      </c>
      <c r="UZ6" t="s">
        <v>1786</v>
      </c>
      <c r="VA6">
        <v>3.3874590000000002</v>
      </c>
      <c r="VB6">
        <v>1.301194</v>
      </c>
      <c r="VC6" t="s">
        <v>1742</v>
      </c>
      <c r="VD6">
        <v>2025</v>
      </c>
      <c r="VE6" t="s">
        <v>3015</v>
      </c>
      <c r="VF6" s="6">
        <v>45981</v>
      </c>
      <c r="VG6">
        <v>5</v>
      </c>
      <c r="VH6">
        <v>444852322.47000003</v>
      </c>
      <c r="VI6">
        <v>115414</v>
      </c>
      <c r="VJ6" t="s">
        <v>3016</v>
      </c>
      <c r="VM6" t="s">
        <v>3965</v>
      </c>
      <c r="VN6">
        <v>-2.4245362661989844E-14</v>
      </c>
      <c r="VP6">
        <v>-2.4245362661989844E-14</v>
      </c>
      <c r="VQ6" t="s">
        <v>1745</v>
      </c>
      <c r="VR6">
        <v>2021</v>
      </c>
      <c r="VS6" t="s">
        <v>3966</v>
      </c>
      <c r="VT6" s="6">
        <v>44679</v>
      </c>
      <c r="VU6">
        <v>5</v>
      </c>
      <c r="VV6">
        <v>-2.4245362661989844E-14</v>
      </c>
      <c r="VW6">
        <v>7267989</v>
      </c>
      <c r="VX6" t="s">
        <v>3967</v>
      </c>
    </row>
    <row r="7" spans="1:600" x14ac:dyDescent="0.25">
      <c r="A7" t="s">
        <v>2273</v>
      </c>
      <c r="B7" t="s">
        <v>1769</v>
      </c>
      <c r="C7">
        <v>0.492811</v>
      </c>
      <c r="D7">
        <v>2.9784000000000001E-2</v>
      </c>
      <c r="E7" t="s">
        <v>1809</v>
      </c>
      <c r="F7">
        <v>2026</v>
      </c>
      <c r="G7" t="s">
        <v>2274</v>
      </c>
      <c r="H7" s="6">
        <v>45898</v>
      </c>
      <c r="I7">
        <v>5</v>
      </c>
      <c r="J7">
        <v>889383.69</v>
      </c>
      <c r="K7">
        <v>178651</v>
      </c>
      <c r="L7" t="s">
        <v>2275</v>
      </c>
      <c r="BI7" t="s">
        <v>195</v>
      </c>
      <c r="BK7">
        <v>-2.4245362661989844E-14</v>
      </c>
      <c r="BL7">
        <v>-2.4245362661989844E-14</v>
      </c>
      <c r="BM7" t="s">
        <v>1809</v>
      </c>
      <c r="BN7">
        <v>2024</v>
      </c>
      <c r="BO7" t="s">
        <v>4213</v>
      </c>
      <c r="BP7" s="6">
        <v>45365</v>
      </c>
      <c r="BQ7">
        <v>5</v>
      </c>
      <c r="BR7">
        <v>-2.4245362661989844E-14</v>
      </c>
      <c r="BS7">
        <v>101689</v>
      </c>
      <c r="BT7" t="s">
        <v>2269</v>
      </c>
      <c r="BW7" t="s">
        <v>2020</v>
      </c>
      <c r="BX7">
        <v>-2.4245362661989844E-14</v>
      </c>
      <c r="BZ7">
        <v>-2.4245362661989844E-14</v>
      </c>
      <c r="CA7" t="s">
        <v>1745</v>
      </c>
      <c r="CB7">
        <v>2025</v>
      </c>
      <c r="CC7" t="s">
        <v>2021</v>
      </c>
      <c r="CD7" s="6">
        <v>45833</v>
      </c>
      <c r="CE7">
        <v>5</v>
      </c>
      <c r="CF7">
        <v>-2.4245362661989844E-14</v>
      </c>
      <c r="CG7">
        <v>48550004</v>
      </c>
      <c r="CH7" t="s">
        <v>2022</v>
      </c>
      <c r="CM7" t="s">
        <v>4092</v>
      </c>
      <c r="CN7" t="s">
        <v>1786</v>
      </c>
      <c r="CO7">
        <v>26.6</v>
      </c>
      <c r="CP7">
        <v>3.6498819999999998</v>
      </c>
      <c r="CQ7" t="s">
        <v>1745</v>
      </c>
      <c r="CR7">
        <v>2024</v>
      </c>
      <c r="CS7" t="s">
        <v>4093</v>
      </c>
      <c r="CT7" s="6">
        <v>45776</v>
      </c>
      <c r="CU7">
        <v>5</v>
      </c>
      <c r="CV7">
        <v>156371186.99000001</v>
      </c>
      <c r="CW7">
        <v>159134</v>
      </c>
      <c r="CX7" t="s">
        <v>4094</v>
      </c>
      <c r="DA7" t="s">
        <v>236</v>
      </c>
      <c r="DB7">
        <v>18.560427000000001</v>
      </c>
      <c r="DC7" t="s">
        <v>1786</v>
      </c>
      <c r="DD7">
        <v>4.8780200000000002</v>
      </c>
      <c r="DE7" t="s">
        <v>1845</v>
      </c>
      <c r="DF7">
        <v>2025</v>
      </c>
      <c r="DG7" t="s">
        <v>2798</v>
      </c>
      <c r="DH7" s="6">
        <v>46077</v>
      </c>
      <c r="DI7">
        <v>5</v>
      </c>
      <c r="DJ7">
        <v>3084371712</v>
      </c>
      <c r="DK7">
        <v>102782</v>
      </c>
      <c r="DL7" t="s">
        <v>2149</v>
      </c>
      <c r="MW7" t="s">
        <v>3874</v>
      </c>
      <c r="MX7" t="s">
        <v>1786</v>
      </c>
      <c r="MY7">
        <v>0.53669500000000003</v>
      </c>
      <c r="MZ7">
        <v>1.384871</v>
      </c>
      <c r="NA7" t="s">
        <v>1845</v>
      </c>
      <c r="NB7">
        <v>2025</v>
      </c>
      <c r="NC7" t="s">
        <v>3875</v>
      </c>
      <c r="ND7" s="6">
        <v>46076</v>
      </c>
      <c r="NE7">
        <v>5</v>
      </c>
      <c r="NF7">
        <v>11286696</v>
      </c>
      <c r="NG7">
        <v>187274</v>
      </c>
      <c r="NH7" t="s">
        <v>3876</v>
      </c>
      <c r="NK7" t="s">
        <v>3570</v>
      </c>
      <c r="NL7">
        <v>-2.4245362661989844E-14</v>
      </c>
      <c r="NN7">
        <v>-2.4245362661989844E-14</v>
      </c>
      <c r="NO7" t="s">
        <v>1745</v>
      </c>
      <c r="NP7">
        <v>2022</v>
      </c>
      <c r="NQ7" t="s">
        <v>3571</v>
      </c>
      <c r="NR7" s="6">
        <v>44739</v>
      </c>
      <c r="NS7">
        <v>5</v>
      </c>
      <c r="NT7">
        <v>-2.4245362661989844E-14</v>
      </c>
      <c r="NU7">
        <v>11348533</v>
      </c>
      <c r="NV7" t="s">
        <v>3572</v>
      </c>
      <c r="OO7" t="s">
        <v>1044</v>
      </c>
      <c r="OP7">
        <v>-2.4245362661989844E-14</v>
      </c>
      <c r="OR7">
        <v>-2.4245362661989844E-14</v>
      </c>
      <c r="OS7" t="s">
        <v>1745</v>
      </c>
      <c r="OT7">
        <v>2025</v>
      </c>
      <c r="OU7" t="s">
        <v>3154</v>
      </c>
      <c r="OV7" s="6">
        <v>46007</v>
      </c>
      <c r="OW7">
        <v>3</v>
      </c>
      <c r="OX7">
        <v>-2.4245362661989844E-14</v>
      </c>
      <c r="OY7">
        <v>107071</v>
      </c>
      <c r="OZ7" t="s">
        <v>3156</v>
      </c>
      <c r="PE7" t="s">
        <v>2716</v>
      </c>
      <c r="PG7">
        <v>-2.4245362661989844E-14</v>
      </c>
      <c r="PH7">
        <v>-2.4245362661989844E-14</v>
      </c>
      <c r="PI7" t="s">
        <v>1745</v>
      </c>
      <c r="PJ7">
        <v>2024</v>
      </c>
      <c r="PK7" t="s">
        <v>2717</v>
      </c>
      <c r="PL7" s="6">
        <v>45765</v>
      </c>
      <c r="PM7">
        <v>5</v>
      </c>
      <c r="PN7">
        <v>-2.4245362661989844E-14</v>
      </c>
      <c r="PO7">
        <v>29636955</v>
      </c>
      <c r="PP7" t="s">
        <v>2718</v>
      </c>
      <c r="PS7" t="s">
        <v>2452</v>
      </c>
      <c r="PT7">
        <v>-2.4245362661989844E-14</v>
      </c>
      <c r="PV7">
        <v>-2.4245362661989844E-14</v>
      </c>
      <c r="PW7" t="s">
        <v>1745</v>
      </c>
      <c r="PX7">
        <v>2024</v>
      </c>
      <c r="PY7" t="s">
        <v>2453</v>
      </c>
      <c r="PZ7" s="6">
        <v>45760</v>
      </c>
      <c r="QA7">
        <v>5</v>
      </c>
      <c r="QB7">
        <v>-2.4245362661989844E-14</v>
      </c>
      <c r="QC7">
        <v>7855260</v>
      </c>
      <c r="QD7" t="s">
        <v>2454</v>
      </c>
      <c r="RM7" t="s">
        <v>4939</v>
      </c>
      <c r="RO7">
        <v>-2.4245362661989844E-14</v>
      </c>
      <c r="RP7">
        <v>-2.4245362661989844E-14</v>
      </c>
      <c r="RQ7" t="s">
        <v>1742</v>
      </c>
      <c r="RR7">
        <v>2024</v>
      </c>
      <c r="RS7" t="s">
        <v>4940</v>
      </c>
      <c r="RT7" s="6">
        <v>45602</v>
      </c>
      <c r="RU7">
        <v>5</v>
      </c>
      <c r="RV7">
        <v>-2.4245362661989844E-14</v>
      </c>
      <c r="RW7">
        <v>51987370</v>
      </c>
      <c r="RX7" t="s">
        <v>4941</v>
      </c>
      <c r="SA7" t="s">
        <v>4735</v>
      </c>
      <c r="SB7">
        <v>-2.4245362661989844E-14</v>
      </c>
      <c r="SD7">
        <v>-2.4245362661989844E-14</v>
      </c>
      <c r="SE7" t="s">
        <v>1745</v>
      </c>
      <c r="SF7">
        <v>2023</v>
      </c>
      <c r="SG7" t="s">
        <v>4736</v>
      </c>
      <c r="SH7" s="6">
        <v>45349</v>
      </c>
      <c r="SI7">
        <v>5</v>
      </c>
      <c r="SJ7">
        <v>-2.4245362661989844E-14</v>
      </c>
      <c r="SK7">
        <v>30541166</v>
      </c>
      <c r="SL7" t="s">
        <v>4737</v>
      </c>
      <c r="TU7" t="s">
        <v>3064</v>
      </c>
      <c r="TV7" t="s">
        <v>1786</v>
      </c>
      <c r="TW7">
        <v>5.0603000000000002E-2</v>
      </c>
      <c r="TX7">
        <v>2.7009430000000001</v>
      </c>
      <c r="TY7" t="s">
        <v>1809</v>
      </c>
      <c r="TZ7">
        <v>2025</v>
      </c>
      <c r="UA7" t="s">
        <v>3065</v>
      </c>
      <c r="UB7" s="6">
        <v>45846</v>
      </c>
      <c r="UC7">
        <v>5</v>
      </c>
      <c r="UD7">
        <v>1137151</v>
      </c>
      <c r="UE7">
        <v>7039692</v>
      </c>
      <c r="UF7" t="s">
        <v>3066</v>
      </c>
      <c r="UI7" t="s">
        <v>1808</v>
      </c>
      <c r="UJ7">
        <v>4.5680259999999997</v>
      </c>
      <c r="UK7" t="s">
        <v>1786</v>
      </c>
      <c r="UL7">
        <v>0.19293399999999999</v>
      </c>
      <c r="UM7" t="s">
        <v>1809</v>
      </c>
      <c r="UN7">
        <v>2025</v>
      </c>
      <c r="UO7" t="s">
        <v>1810</v>
      </c>
      <c r="UP7" s="6">
        <v>45866</v>
      </c>
      <c r="UQ7">
        <v>5</v>
      </c>
      <c r="UR7">
        <v>4662960.55</v>
      </c>
      <c r="US7">
        <v>7359591</v>
      </c>
      <c r="UT7" t="s">
        <v>1811</v>
      </c>
      <c r="UY7" t="s">
        <v>3017</v>
      </c>
      <c r="UZ7" t="s">
        <v>1786</v>
      </c>
      <c r="VA7">
        <v>1.269806</v>
      </c>
      <c r="VB7">
        <v>0.82377100000000003</v>
      </c>
      <c r="VC7" t="s">
        <v>1845</v>
      </c>
      <c r="VD7">
        <v>2025</v>
      </c>
      <c r="VE7" t="s">
        <v>3018</v>
      </c>
      <c r="VF7" s="6">
        <v>45883</v>
      </c>
      <c r="VG7">
        <v>5</v>
      </c>
      <c r="VH7">
        <v>267560816</v>
      </c>
      <c r="VI7">
        <v>101215</v>
      </c>
      <c r="VJ7" t="s">
        <v>3019</v>
      </c>
      <c r="VM7" t="s">
        <v>2147</v>
      </c>
      <c r="VN7">
        <v>-2.4245362661989844E-14</v>
      </c>
      <c r="VP7">
        <v>-2.4245362661989844E-14</v>
      </c>
      <c r="VQ7" t="s">
        <v>1742</v>
      </c>
      <c r="VR7">
        <v>2025</v>
      </c>
      <c r="VS7" t="s">
        <v>3013</v>
      </c>
      <c r="VT7" s="6">
        <v>45834</v>
      </c>
      <c r="VU7">
        <v>5</v>
      </c>
      <c r="VV7">
        <v>-2.4245362661989844E-14</v>
      </c>
      <c r="VW7">
        <v>156969</v>
      </c>
      <c r="VX7" t="s">
        <v>2148</v>
      </c>
    </row>
    <row r="8" spans="1:600" x14ac:dyDescent="0.25">
      <c r="A8" t="s">
        <v>2276</v>
      </c>
      <c r="C8">
        <v>0.44397199999999998</v>
      </c>
      <c r="D8">
        <v>-2.4245362661989844E-14</v>
      </c>
      <c r="E8" t="s">
        <v>1845</v>
      </c>
      <c r="F8">
        <v>2024</v>
      </c>
      <c r="G8" t="s">
        <v>2277</v>
      </c>
      <c r="H8" s="6">
        <v>45699</v>
      </c>
      <c r="I8">
        <v>5</v>
      </c>
      <c r="J8">
        <v>316250</v>
      </c>
      <c r="K8">
        <v>10086577</v>
      </c>
      <c r="L8" t="s">
        <v>2278</v>
      </c>
      <c r="BI8" t="s">
        <v>2280</v>
      </c>
      <c r="BK8">
        <v>-2.4245362661989844E-14</v>
      </c>
      <c r="BL8">
        <v>-2.4245362661989844E-14</v>
      </c>
      <c r="BM8" t="s">
        <v>1745</v>
      </c>
      <c r="BN8">
        <v>2021</v>
      </c>
      <c r="BO8" t="s">
        <v>2281</v>
      </c>
      <c r="BP8" s="6">
        <v>44693</v>
      </c>
      <c r="BQ8">
        <v>5</v>
      </c>
      <c r="BR8">
        <v>-2.4245362661989844E-14</v>
      </c>
      <c r="BS8">
        <v>313098</v>
      </c>
      <c r="BT8" t="s">
        <v>2282</v>
      </c>
      <c r="BW8" t="s">
        <v>1761</v>
      </c>
      <c r="BX8">
        <v>-2.4245362661989844E-14</v>
      </c>
      <c r="BZ8">
        <v>-2.4245362661989844E-14</v>
      </c>
      <c r="CA8" t="s">
        <v>1745</v>
      </c>
      <c r="CB8">
        <v>2023</v>
      </c>
      <c r="CC8" t="s">
        <v>2023</v>
      </c>
      <c r="CD8" s="6">
        <v>45404</v>
      </c>
      <c r="CE8">
        <v>5</v>
      </c>
      <c r="CF8">
        <v>-2.4245362661989844E-14</v>
      </c>
      <c r="CG8">
        <v>101695</v>
      </c>
      <c r="CH8" t="s">
        <v>1764</v>
      </c>
      <c r="CM8" t="s">
        <v>2776</v>
      </c>
      <c r="CN8" t="s">
        <v>1786</v>
      </c>
      <c r="CO8">
        <v>4.7842750000000001</v>
      </c>
      <c r="CP8">
        <v>1.8525640000000001</v>
      </c>
      <c r="CQ8" t="s">
        <v>1742</v>
      </c>
      <c r="CR8">
        <v>2025</v>
      </c>
      <c r="CS8" t="s">
        <v>2777</v>
      </c>
      <c r="CT8" s="6">
        <v>46073</v>
      </c>
      <c r="CU8">
        <v>5</v>
      </c>
      <c r="CV8">
        <v>98276993.629999995</v>
      </c>
      <c r="CW8">
        <v>156276</v>
      </c>
      <c r="CX8" t="s">
        <v>2778</v>
      </c>
      <c r="DA8" t="s">
        <v>385</v>
      </c>
      <c r="DB8">
        <v>1.3419449999999999</v>
      </c>
      <c r="DC8" t="s">
        <v>1786</v>
      </c>
      <c r="DD8">
        <v>2.7987500000000001</v>
      </c>
      <c r="DE8" t="s">
        <v>1845</v>
      </c>
      <c r="DF8">
        <v>2025</v>
      </c>
      <c r="DG8" t="s">
        <v>2798</v>
      </c>
      <c r="DH8" s="6">
        <v>46077</v>
      </c>
      <c r="DI8">
        <v>5</v>
      </c>
      <c r="DJ8">
        <v>223004416</v>
      </c>
      <c r="DK8">
        <v>100828</v>
      </c>
      <c r="DL8" t="s">
        <v>2464</v>
      </c>
      <c r="MW8" t="s">
        <v>3880</v>
      </c>
      <c r="MX8" t="s">
        <v>1786</v>
      </c>
      <c r="MY8">
        <v>9</v>
      </c>
      <c r="MZ8">
        <v>1.8064929999999999</v>
      </c>
      <c r="NA8" t="s">
        <v>1762</v>
      </c>
      <c r="NB8">
        <v>2025</v>
      </c>
      <c r="NC8" t="s">
        <v>3881</v>
      </c>
      <c r="ND8" s="6">
        <v>45877</v>
      </c>
      <c r="NE8">
        <v>5</v>
      </c>
      <c r="NF8">
        <v>10116360</v>
      </c>
      <c r="NG8">
        <v>101145</v>
      </c>
      <c r="NH8" t="s">
        <v>3882</v>
      </c>
      <c r="NK8" t="s">
        <v>3573</v>
      </c>
      <c r="NL8">
        <v>-2.4245362661989844E-14</v>
      </c>
      <c r="NN8">
        <v>-2.4245362661989844E-14</v>
      </c>
      <c r="NO8" t="s">
        <v>1745</v>
      </c>
      <c r="NP8">
        <v>2025</v>
      </c>
      <c r="NQ8" t="s">
        <v>3574</v>
      </c>
      <c r="NR8" s="6">
        <v>45828</v>
      </c>
      <c r="NS8">
        <v>5</v>
      </c>
      <c r="NT8">
        <v>-2.4245362661989844E-14</v>
      </c>
      <c r="NU8">
        <v>69589303</v>
      </c>
      <c r="NV8" t="s">
        <v>3575</v>
      </c>
      <c r="PE8" t="s">
        <v>1287</v>
      </c>
      <c r="PG8">
        <v>-2.4245362661989844E-14</v>
      </c>
      <c r="PH8">
        <v>-2.4245362661989844E-14</v>
      </c>
      <c r="PI8" t="s">
        <v>1745</v>
      </c>
      <c r="PJ8">
        <v>2023</v>
      </c>
      <c r="PK8" t="s">
        <v>2719</v>
      </c>
      <c r="PL8" s="6">
        <v>45350</v>
      </c>
      <c r="PM8">
        <v>5</v>
      </c>
      <c r="PN8">
        <v>-2.4245362661989844E-14</v>
      </c>
      <c r="PO8">
        <v>101376</v>
      </c>
      <c r="PP8" t="s">
        <v>1895</v>
      </c>
      <c r="PS8" t="s">
        <v>2455</v>
      </c>
      <c r="PT8">
        <v>-2.4245362661989844E-14</v>
      </c>
      <c r="PV8">
        <v>-2.4245362661989844E-14</v>
      </c>
      <c r="PW8" t="s">
        <v>1745</v>
      </c>
      <c r="PX8">
        <v>2024</v>
      </c>
      <c r="PY8" t="s">
        <v>2456</v>
      </c>
      <c r="PZ8" s="6">
        <v>45786</v>
      </c>
      <c r="QA8">
        <v>5</v>
      </c>
      <c r="QB8">
        <v>-2.4245362661989844E-14</v>
      </c>
      <c r="QC8">
        <v>7321067</v>
      </c>
      <c r="QD8" t="s">
        <v>2457</v>
      </c>
      <c r="RM8" t="s">
        <v>4942</v>
      </c>
      <c r="RO8">
        <v>-2.4245362661989844E-14</v>
      </c>
      <c r="RP8">
        <v>-2.4245362661989844E-14</v>
      </c>
      <c r="RQ8" t="s">
        <v>1745</v>
      </c>
      <c r="RR8">
        <v>2022</v>
      </c>
      <c r="RS8" t="s">
        <v>4943</v>
      </c>
      <c r="RT8" s="6">
        <v>45005</v>
      </c>
      <c r="RU8">
        <v>5</v>
      </c>
      <c r="RV8">
        <v>-2.4245362661989844E-14</v>
      </c>
      <c r="RW8">
        <v>1749903</v>
      </c>
      <c r="RX8" t="s">
        <v>4944</v>
      </c>
      <c r="SA8" t="s">
        <v>1985</v>
      </c>
      <c r="SB8">
        <v>-2.4245362661989844E-14</v>
      </c>
      <c r="SD8">
        <v>-2.4245362661989844E-14</v>
      </c>
      <c r="SE8" t="s">
        <v>1745</v>
      </c>
      <c r="SF8">
        <v>2023</v>
      </c>
      <c r="SG8" t="s">
        <v>4099</v>
      </c>
      <c r="SH8" s="6">
        <v>45352</v>
      </c>
      <c r="SI8">
        <v>5</v>
      </c>
      <c r="SJ8">
        <v>-2.4245362661989844E-14</v>
      </c>
      <c r="SK8">
        <v>36965288</v>
      </c>
      <c r="SL8" t="s">
        <v>1987</v>
      </c>
      <c r="TU8" t="s">
        <v>4214</v>
      </c>
      <c r="TV8" t="s">
        <v>1786</v>
      </c>
      <c r="TW8">
        <v>7.3457999999999996E-2</v>
      </c>
      <c r="TX8">
        <v>2.2387990000000002</v>
      </c>
      <c r="TY8" t="s">
        <v>1809</v>
      </c>
      <c r="TZ8">
        <v>2025</v>
      </c>
      <c r="UA8" t="s">
        <v>4215</v>
      </c>
      <c r="UB8" s="6">
        <v>45804</v>
      </c>
      <c r="UC8">
        <v>5</v>
      </c>
      <c r="UD8">
        <v>942541.48</v>
      </c>
      <c r="UE8">
        <v>8118223</v>
      </c>
      <c r="UF8" t="s">
        <v>4216</v>
      </c>
      <c r="UI8" t="s">
        <v>1778</v>
      </c>
      <c r="UJ8">
        <v>3.4284430000000001</v>
      </c>
      <c r="UK8" t="s">
        <v>1786</v>
      </c>
      <c r="UL8">
        <v>4.5392000000000002E-2</v>
      </c>
      <c r="UM8" t="s">
        <v>1845</v>
      </c>
      <c r="UN8">
        <v>2025</v>
      </c>
      <c r="UO8" t="s">
        <v>4119</v>
      </c>
      <c r="UP8" s="6">
        <v>46070</v>
      </c>
      <c r="UQ8">
        <v>5</v>
      </c>
      <c r="UR8">
        <v>4677630</v>
      </c>
      <c r="US8">
        <v>101712</v>
      </c>
      <c r="UT8" t="s">
        <v>1780</v>
      </c>
      <c r="UY8" t="s">
        <v>3020</v>
      </c>
      <c r="UZ8" t="s">
        <v>1786</v>
      </c>
      <c r="VA8">
        <v>8.0896969999999992</v>
      </c>
      <c r="VB8">
        <v>0.79452400000000001</v>
      </c>
      <c r="VC8" t="s">
        <v>1845</v>
      </c>
      <c r="VD8">
        <v>2025</v>
      </c>
      <c r="VE8" t="s">
        <v>3021</v>
      </c>
      <c r="VF8" s="6">
        <v>46077</v>
      </c>
      <c r="VG8">
        <v>5</v>
      </c>
      <c r="VH8">
        <v>258061328</v>
      </c>
      <c r="VI8">
        <v>107741</v>
      </c>
      <c r="VJ8" t="s">
        <v>3022</v>
      </c>
      <c r="VM8" t="s">
        <v>3968</v>
      </c>
      <c r="VN8">
        <v>-2.4245362661989844E-14</v>
      </c>
      <c r="VP8">
        <v>-2.4245362661989844E-14</v>
      </c>
      <c r="VQ8" t="s">
        <v>1762</v>
      </c>
      <c r="VR8">
        <v>2023</v>
      </c>
      <c r="VS8" t="s">
        <v>3969</v>
      </c>
      <c r="VT8" s="6">
        <v>45078</v>
      </c>
      <c r="VU8">
        <v>5</v>
      </c>
      <c r="VV8">
        <v>-2.4245362661989844E-14</v>
      </c>
      <c r="VW8">
        <v>25285671</v>
      </c>
      <c r="VX8" t="s">
        <v>3970</v>
      </c>
    </row>
    <row r="9" spans="1:600" x14ac:dyDescent="0.25">
      <c r="A9" t="s">
        <v>2043</v>
      </c>
      <c r="C9">
        <v>-2.4245362661989844E-14</v>
      </c>
      <c r="D9">
        <v>-2.4245362661989844E-14</v>
      </c>
      <c r="E9" t="s">
        <v>1798</v>
      </c>
      <c r="F9">
        <v>2025</v>
      </c>
      <c r="G9" t="s">
        <v>2279</v>
      </c>
      <c r="H9" s="6">
        <v>45974</v>
      </c>
      <c r="I9">
        <v>5</v>
      </c>
      <c r="J9">
        <v>-2.4245362661989844E-14</v>
      </c>
      <c r="K9">
        <v>118099</v>
      </c>
      <c r="L9" t="s">
        <v>2044</v>
      </c>
      <c r="BI9" t="s">
        <v>2283</v>
      </c>
      <c r="BK9">
        <v>-2.4245362661989844E-14</v>
      </c>
      <c r="BL9">
        <v>-2.4245362661989844E-14</v>
      </c>
      <c r="BM9" t="s">
        <v>1745</v>
      </c>
      <c r="BN9">
        <v>2021</v>
      </c>
      <c r="BO9" t="s">
        <v>2284</v>
      </c>
      <c r="BP9" s="6">
        <v>44693</v>
      </c>
      <c r="BQ9">
        <v>5</v>
      </c>
      <c r="BR9">
        <v>-2.4245362661989844E-14</v>
      </c>
      <c r="BS9">
        <v>100060</v>
      </c>
      <c r="BT9" t="s">
        <v>2285</v>
      </c>
      <c r="BW9" t="s">
        <v>2024</v>
      </c>
      <c r="BX9">
        <v>-2.4245362661989844E-14</v>
      </c>
      <c r="BZ9">
        <v>-2.4245362661989844E-14</v>
      </c>
      <c r="CA9" t="s">
        <v>1745</v>
      </c>
      <c r="CB9">
        <v>2024</v>
      </c>
      <c r="CC9" t="s">
        <v>2018</v>
      </c>
      <c r="CD9" s="6">
        <v>45348</v>
      </c>
      <c r="CE9">
        <v>5</v>
      </c>
      <c r="CF9">
        <v>-2.4245362661989844E-14</v>
      </c>
      <c r="CG9">
        <v>46386935</v>
      </c>
      <c r="CH9" t="s">
        <v>2025</v>
      </c>
      <c r="CM9" t="s">
        <v>3977</v>
      </c>
      <c r="CN9" t="s">
        <v>1786</v>
      </c>
      <c r="CO9">
        <v>99</v>
      </c>
      <c r="CP9">
        <v>2.0580690000000001</v>
      </c>
      <c r="CQ9" t="s">
        <v>1745</v>
      </c>
      <c r="CR9">
        <v>2024</v>
      </c>
      <c r="CS9" t="s">
        <v>3978</v>
      </c>
      <c r="CT9" s="6">
        <v>45747</v>
      </c>
      <c r="CU9">
        <v>5</v>
      </c>
      <c r="CV9">
        <v>86973976</v>
      </c>
      <c r="CW9">
        <v>1479519</v>
      </c>
      <c r="CX9" t="s">
        <v>3979</v>
      </c>
      <c r="DA9" t="s">
        <v>3977</v>
      </c>
      <c r="DB9">
        <v>1.3136E-2</v>
      </c>
      <c r="DC9" t="s">
        <v>2416</v>
      </c>
      <c r="DD9">
        <v>6.6414770000000001</v>
      </c>
      <c r="DE9" t="s">
        <v>1745</v>
      </c>
      <c r="DF9">
        <v>2024</v>
      </c>
      <c r="DG9" t="s">
        <v>3978</v>
      </c>
      <c r="DH9" s="6">
        <v>45747</v>
      </c>
      <c r="DI9">
        <v>5</v>
      </c>
      <c r="DJ9">
        <v>1850000</v>
      </c>
      <c r="DK9">
        <v>1479519</v>
      </c>
      <c r="DL9" t="s">
        <v>3979</v>
      </c>
      <c r="MW9" t="s">
        <v>3883</v>
      </c>
      <c r="MX9" t="s">
        <v>1786</v>
      </c>
      <c r="MY9">
        <v>0.89146000000000003</v>
      </c>
      <c r="MZ9">
        <v>1.2358560000000001</v>
      </c>
      <c r="NA9" t="s">
        <v>1742</v>
      </c>
      <c r="NB9">
        <v>2025</v>
      </c>
      <c r="NC9" t="s">
        <v>3884</v>
      </c>
      <c r="ND9" s="6">
        <v>46064</v>
      </c>
      <c r="NE9">
        <v>5</v>
      </c>
      <c r="NF9">
        <v>10112189.609999999</v>
      </c>
      <c r="NG9">
        <v>115787</v>
      </c>
      <c r="NH9" t="s">
        <v>3885</v>
      </c>
      <c r="NK9" t="s">
        <v>3576</v>
      </c>
      <c r="NL9">
        <v>-2.4245362661989844E-14</v>
      </c>
      <c r="NN9">
        <v>-2.4245362661989844E-14</v>
      </c>
      <c r="NO9" t="s">
        <v>1745</v>
      </c>
      <c r="NP9">
        <v>2024</v>
      </c>
      <c r="NQ9" t="s">
        <v>3577</v>
      </c>
      <c r="NR9" s="6">
        <v>45468</v>
      </c>
      <c r="NS9">
        <v>5</v>
      </c>
      <c r="NT9">
        <v>-2.4245362661989844E-14</v>
      </c>
      <c r="NU9">
        <v>113950</v>
      </c>
      <c r="NV9" t="s">
        <v>3578</v>
      </c>
      <c r="PE9" t="s">
        <v>1761</v>
      </c>
      <c r="PG9">
        <v>-2.4245362661989844E-14</v>
      </c>
      <c r="PH9">
        <v>-2.4245362661989844E-14</v>
      </c>
      <c r="PI9" t="s">
        <v>1745</v>
      </c>
      <c r="PJ9">
        <v>2024</v>
      </c>
      <c r="PK9" t="s">
        <v>2720</v>
      </c>
      <c r="PL9" s="6">
        <v>45713</v>
      </c>
      <c r="PM9">
        <v>5</v>
      </c>
      <c r="PN9">
        <v>-2.4245362661989844E-14</v>
      </c>
      <c r="PO9">
        <v>101695</v>
      </c>
      <c r="PP9" t="s">
        <v>1764</v>
      </c>
      <c r="PS9" t="s">
        <v>2458</v>
      </c>
      <c r="PT9">
        <v>-2.4245362661989844E-14</v>
      </c>
      <c r="PV9">
        <v>-2.4245362661989844E-14</v>
      </c>
      <c r="PW9" t="s">
        <v>1745</v>
      </c>
      <c r="PX9">
        <v>2025</v>
      </c>
      <c r="PY9" t="s">
        <v>2459</v>
      </c>
      <c r="PZ9" s="6">
        <v>46066</v>
      </c>
      <c r="QA9">
        <v>5</v>
      </c>
      <c r="QB9">
        <v>-2.4245362661989844E-14</v>
      </c>
      <c r="QC9">
        <v>69790650</v>
      </c>
      <c r="QD9" t="s">
        <v>2460</v>
      </c>
      <c r="RM9" t="s">
        <v>4945</v>
      </c>
      <c r="RO9">
        <v>-2.4245362661989844E-14</v>
      </c>
      <c r="RP9">
        <v>-2.4245362661989844E-14</v>
      </c>
      <c r="RQ9" t="s">
        <v>1745</v>
      </c>
      <c r="RR9">
        <v>2022</v>
      </c>
      <c r="RS9" t="s">
        <v>4946</v>
      </c>
      <c r="RT9" s="6">
        <v>44980</v>
      </c>
      <c r="RU9">
        <v>5</v>
      </c>
      <c r="RV9">
        <v>-2.4245362661989844E-14</v>
      </c>
      <c r="RW9">
        <v>8514868</v>
      </c>
      <c r="RX9" t="s">
        <v>4947</v>
      </c>
      <c r="SA9" t="s">
        <v>4738</v>
      </c>
      <c r="SB9">
        <v>-2.4245362661989844E-14</v>
      </c>
      <c r="SD9">
        <v>-2.4245362661989844E-14</v>
      </c>
      <c r="SE9" t="s">
        <v>1745</v>
      </c>
      <c r="SF9">
        <v>2023</v>
      </c>
      <c r="SG9" t="s">
        <v>4730</v>
      </c>
      <c r="SH9" s="6">
        <v>45344</v>
      </c>
      <c r="SI9">
        <v>5</v>
      </c>
      <c r="SJ9">
        <v>-2.4245362661989844E-14</v>
      </c>
      <c r="SK9">
        <v>23756399</v>
      </c>
      <c r="SL9" t="s">
        <v>4739</v>
      </c>
      <c r="TU9" t="s">
        <v>3771</v>
      </c>
      <c r="TV9" t="s">
        <v>1786</v>
      </c>
      <c r="TW9">
        <v>1.9408999999999999E-2</v>
      </c>
      <c r="TX9">
        <v>2.0761259999999999</v>
      </c>
      <c r="TY9" t="s">
        <v>1809</v>
      </c>
      <c r="TZ9">
        <v>2025</v>
      </c>
      <c r="UA9" t="s">
        <v>3772</v>
      </c>
      <c r="UB9" s="6">
        <v>45819</v>
      </c>
      <c r="UC9">
        <v>5</v>
      </c>
      <c r="UD9">
        <v>874148.57</v>
      </c>
      <c r="UE9">
        <v>58244711</v>
      </c>
      <c r="UF9" t="s">
        <v>3773</v>
      </c>
      <c r="UI9" t="s">
        <v>3507</v>
      </c>
      <c r="UJ9">
        <v>3.2717960000000001</v>
      </c>
      <c r="UK9" t="s">
        <v>1786</v>
      </c>
      <c r="UL9">
        <v>5.6950000000000001E-2</v>
      </c>
      <c r="UM9" t="s">
        <v>1845</v>
      </c>
      <c r="UN9">
        <v>2025</v>
      </c>
      <c r="UO9" t="s">
        <v>4119</v>
      </c>
      <c r="UP9" s="6">
        <v>46070</v>
      </c>
      <c r="UQ9">
        <v>5</v>
      </c>
      <c r="UR9">
        <v>4463908</v>
      </c>
      <c r="US9">
        <v>9568853</v>
      </c>
      <c r="UT9" t="s">
        <v>3509</v>
      </c>
      <c r="UY9" t="s">
        <v>3023</v>
      </c>
      <c r="UZ9" t="s">
        <v>1786</v>
      </c>
      <c r="VA9">
        <v>0.94841799999999998</v>
      </c>
      <c r="VB9">
        <v>0.49248599999999998</v>
      </c>
      <c r="VC9" t="s">
        <v>1742</v>
      </c>
      <c r="VD9">
        <v>2025</v>
      </c>
      <c r="VE9" t="s">
        <v>3024</v>
      </c>
      <c r="VF9" s="6">
        <v>46007</v>
      </c>
      <c r="VG9">
        <v>5</v>
      </c>
      <c r="VH9">
        <v>168371187.05000001</v>
      </c>
      <c r="VI9">
        <v>101534</v>
      </c>
      <c r="VJ9" t="s">
        <v>3025</v>
      </c>
      <c r="VM9" t="s">
        <v>3971</v>
      </c>
      <c r="VN9">
        <v>-2.4245362661989844E-14</v>
      </c>
      <c r="VP9">
        <v>-2.4245362661989844E-14</v>
      </c>
      <c r="VQ9" t="s">
        <v>1745</v>
      </c>
      <c r="VR9">
        <v>2024</v>
      </c>
      <c r="VS9" t="s">
        <v>3972</v>
      </c>
      <c r="VT9" s="6">
        <v>45763</v>
      </c>
      <c r="VU9">
        <v>5</v>
      </c>
      <c r="VV9">
        <v>-2.4245362661989844E-14</v>
      </c>
      <c r="VW9">
        <v>169806</v>
      </c>
      <c r="VX9" t="s">
        <v>3973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1711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1712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1713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1714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1715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1716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1717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1718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1719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1720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1721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1722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1723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1724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1725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1726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1727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1728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1729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1730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168</v>
      </c>
      <c r="AE2" s="3" t="s">
        <v>1418</v>
      </c>
      <c r="BI2" s="3" t="s">
        <v>1731</v>
      </c>
      <c r="CM2" s="3" t="s">
        <v>204</v>
      </c>
      <c r="DQ2" s="3" t="s">
        <v>1732</v>
      </c>
      <c r="EU2" s="3" t="s">
        <v>1733</v>
      </c>
      <c r="FY2" s="3" t="s">
        <v>1089</v>
      </c>
      <c r="HC2" s="3" t="s">
        <v>195</v>
      </c>
      <c r="IG2" s="3" t="s">
        <v>1734</v>
      </c>
      <c r="JK2" s="3" t="s">
        <v>768</v>
      </c>
      <c r="KO2" s="3" t="s">
        <v>1735</v>
      </c>
      <c r="LS2" s="3" t="s">
        <v>1736</v>
      </c>
      <c r="MW2" s="3" t="s">
        <v>1737</v>
      </c>
      <c r="OA2" s="3" t="s">
        <v>1738</v>
      </c>
      <c r="PE2" s="3" t="s">
        <v>35</v>
      </c>
      <c r="QI2" s="3" t="s">
        <v>1739</v>
      </c>
      <c r="RM2" s="3" t="s">
        <v>671</v>
      </c>
      <c r="SQ2" s="3" t="s">
        <v>1740</v>
      </c>
      <c r="TU2" s="3" t="s">
        <v>1741</v>
      </c>
      <c r="UY2" s="3" t="s">
        <v>535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_xll.BDS("INTC US Equity","SUPPLY_CHAIN_SUPPLIERS_ALL_DATA","cols=12;rows=5")</f>
        <v>ASML NA Equity</v>
      </c>
      <c r="B5" t="s">
        <v>1820</v>
      </c>
      <c r="C5">
        <v>9.5417889999999996</v>
      </c>
      <c r="D5">
        <v>34.554512000000003</v>
      </c>
      <c r="E5" t="s">
        <v>1762</v>
      </c>
      <c r="F5">
        <v>2025</v>
      </c>
      <c r="G5" t="s">
        <v>3003</v>
      </c>
      <c r="H5" s="6">
        <v>45979</v>
      </c>
      <c r="I5">
        <v>5</v>
      </c>
      <c r="J5">
        <v>812256358.32000005</v>
      </c>
      <c r="K5">
        <v>163205</v>
      </c>
      <c r="L5" t="s">
        <v>3004</v>
      </c>
      <c r="O5" t="str">
        <f>_xll.BDS("INTC US Equity","SUPPLY_CHAIN_CUSTOMERS_ALL_DATA","cols=12;rows=5")</f>
        <v>DELL US Equity</v>
      </c>
      <c r="P5">
        <v>19.035398000000001</v>
      </c>
      <c r="Q5" t="s">
        <v>1786</v>
      </c>
      <c r="R5">
        <v>12.156269</v>
      </c>
      <c r="S5" t="s">
        <v>1845</v>
      </c>
      <c r="T5">
        <v>2025</v>
      </c>
      <c r="U5" t="s">
        <v>2245</v>
      </c>
      <c r="V5" s="6">
        <v>46048</v>
      </c>
      <c r="W5">
        <v>5</v>
      </c>
      <c r="X5">
        <v>2602900224</v>
      </c>
      <c r="Y5">
        <v>50985605</v>
      </c>
      <c r="Z5" t="s">
        <v>3506</v>
      </c>
      <c r="AE5" t="str">
        <f>_xll.BDS("CBST US Equity","SUPPLY_CHAIN_SUPPLIERS_ALL_DATA")</f>
        <v>#N/A N/A</v>
      </c>
      <c r="AS5" t="str">
        <f>_xll.BDS("CBST US Equity","SUPPLY_CHAIN_CUSTOMERS_ALL_DATA")</f>
        <v>#N/A N/A</v>
      </c>
      <c r="BI5" t="str">
        <f>_xll.BDS("ISBC US Equity","SUPPLY_CHAIN_SUPPLIERS_ALL_DATA")</f>
        <v>#N/A N/A</v>
      </c>
      <c r="BW5" t="str">
        <f>_xll.BDS("ISBC US Equity","SUPPLY_CHAIN_CUSTOMERS_ALL_DATA")</f>
        <v>#N/A N/A</v>
      </c>
      <c r="CM5" t="str">
        <f>_xll.BDS("HPQ US Equity","SUPPLY_CHAIN_SUPPLIERS_ALL_DATA","cols=12;rows=5")</f>
        <v>2356 TT Equity</v>
      </c>
      <c r="CN5" t="s">
        <v>1786</v>
      </c>
      <c r="CO5">
        <v>36.343342</v>
      </c>
      <c r="CP5">
        <v>18.051394999999999</v>
      </c>
      <c r="CQ5" t="s">
        <v>1742</v>
      </c>
      <c r="CR5">
        <v>2025</v>
      </c>
      <c r="CS5" t="s">
        <v>2243</v>
      </c>
      <c r="CT5" s="6">
        <v>46035</v>
      </c>
      <c r="CU5">
        <v>5</v>
      </c>
      <c r="CV5">
        <v>2141270971.6500001</v>
      </c>
      <c r="CW5">
        <v>193712</v>
      </c>
      <c r="CX5" t="s">
        <v>2244</v>
      </c>
      <c r="DA5" t="str">
        <f>_xll.BDS("HPQ US Equity","SUPPLY_CHAIN_CUSTOMERS_ALL_DATA","cols=12;rows=5")</f>
        <v>SNX US Equity</v>
      </c>
      <c r="DB5">
        <v>12</v>
      </c>
      <c r="DC5" t="s">
        <v>1786</v>
      </c>
      <c r="DD5">
        <v>11.690618000000001</v>
      </c>
      <c r="DE5" t="s">
        <v>1745</v>
      </c>
      <c r="DF5">
        <v>2025</v>
      </c>
      <c r="DG5" t="s">
        <v>1863</v>
      </c>
      <c r="DH5" s="6">
        <v>46001</v>
      </c>
      <c r="DI5">
        <v>5</v>
      </c>
      <c r="DJ5">
        <v>1658850048</v>
      </c>
      <c r="DK5">
        <v>1499717</v>
      </c>
      <c r="DL5" t="s">
        <v>1864</v>
      </c>
      <c r="DQ5" t="str">
        <f>_xll.BDS("CNA US Equity","SUPPLY_CHAIN_SUPPLIERS_ALL_DATA","cols=12;rows=4")</f>
        <v>INFA US Equity</v>
      </c>
      <c r="DS5">
        <v>-2.4245362661989844E-14</v>
      </c>
      <c r="DT5">
        <v>-2.4245362661989844E-14</v>
      </c>
      <c r="DU5" t="s">
        <v>1809</v>
      </c>
      <c r="DV5">
        <v>2025</v>
      </c>
      <c r="DW5" t="s">
        <v>3787</v>
      </c>
      <c r="DX5" s="6">
        <v>45784</v>
      </c>
      <c r="DY5">
        <v>4</v>
      </c>
      <c r="DZ5">
        <v>-2.4245362661989844E-14</v>
      </c>
      <c r="EA5">
        <v>69762655</v>
      </c>
      <c r="EB5" t="s">
        <v>2991</v>
      </c>
      <c r="EE5" t="str">
        <f>_xll.BDS("CNA US Equity","SUPPLY_CHAIN_CUSTOMERS_ALL_DATA")</f>
        <v>#N/A N/A</v>
      </c>
      <c r="EU5" t="str">
        <f>_xll.BDS("1885525D US Equity","SUPPLY_CHAIN_SUPPLIERS_ALL_DATA","cols=12;rows=5")</f>
        <v>AOSL US Equity</v>
      </c>
      <c r="EW5">
        <v>-2.4245362661989844E-14</v>
      </c>
      <c r="EX5">
        <v>-2.4245362661989844E-14</v>
      </c>
      <c r="EY5" t="s">
        <v>1762</v>
      </c>
      <c r="EZ5">
        <v>2026</v>
      </c>
      <c r="FA5" t="s">
        <v>4618</v>
      </c>
      <c r="FB5" s="6">
        <v>46059</v>
      </c>
      <c r="FC5">
        <v>5</v>
      </c>
      <c r="FD5">
        <v>-2.4245362661989844E-14</v>
      </c>
      <c r="FE5">
        <v>17259682</v>
      </c>
      <c r="FF5" t="s">
        <v>4619</v>
      </c>
      <c r="FI5" t="str">
        <f>_xll.BDS("1885525D US Equity","SUPPLY_CHAIN_CUSTOMERS_ALL_DATA","cols=12;rows=5")</f>
        <v>1920336D US Equity</v>
      </c>
      <c r="FJ5">
        <v>-2.4245362661989844E-14</v>
      </c>
      <c r="FL5">
        <v>-2.4245362661989844E-14</v>
      </c>
      <c r="FM5" t="s">
        <v>1745</v>
      </c>
      <c r="FN5">
        <v>2025</v>
      </c>
      <c r="FO5" t="s">
        <v>4501</v>
      </c>
      <c r="FP5" s="6">
        <v>46030</v>
      </c>
      <c r="FQ5">
        <v>5</v>
      </c>
      <c r="FR5">
        <v>-2.4245362661989844E-14</v>
      </c>
      <c r="FS5">
        <v>69744938</v>
      </c>
      <c r="FT5" t="s">
        <v>4502</v>
      </c>
      <c r="FY5" t="str">
        <f>_xll.BDS("AUB US Equity","SUPPLY_CHAIN_SUPPLIERS_ALL_DATA","cols=12;rows=1")</f>
        <v>TEMN SW Equity</v>
      </c>
      <c r="FZ5" t="s">
        <v>1786</v>
      </c>
      <c r="GA5">
        <v>1.9966999999999999E-2</v>
      </c>
      <c r="GB5">
        <v>4.0731000000000003E-2</v>
      </c>
      <c r="GC5" t="s">
        <v>1845</v>
      </c>
      <c r="GD5">
        <v>2024</v>
      </c>
      <c r="GE5" t="s">
        <v>3340</v>
      </c>
      <c r="GF5" s="6">
        <v>45709</v>
      </c>
      <c r="GG5">
        <v>1</v>
      </c>
      <c r="GH5">
        <v>49929</v>
      </c>
      <c r="GI5">
        <v>1713474</v>
      </c>
      <c r="GJ5" t="s">
        <v>3341</v>
      </c>
      <c r="GM5" t="str">
        <f>_xll.BDS("AUB US Equity","SUPPLY_CHAIN_CUSTOMERS_ALL_DATA")</f>
        <v>#N/A N/A</v>
      </c>
      <c r="HC5" t="str">
        <f>_xll.BDS("ADBE US Equity","SUPPLY_CHAIN_SUPPLIERS_ALL_DATA","cols=12;rows=5")</f>
        <v>NVDA US Equity</v>
      </c>
      <c r="HD5" t="s">
        <v>1786</v>
      </c>
      <c r="HE5">
        <v>3.0667E-2</v>
      </c>
      <c r="HF5">
        <v>3.2191839999999998</v>
      </c>
      <c r="HG5" t="s">
        <v>1845</v>
      </c>
      <c r="HH5">
        <v>2026</v>
      </c>
      <c r="HI5" t="s">
        <v>2311</v>
      </c>
      <c r="HJ5" s="6">
        <v>46087</v>
      </c>
      <c r="HK5">
        <v>5</v>
      </c>
      <c r="HL5">
        <v>20892508</v>
      </c>
      <c r="HM5">
        <v>313657</v>
      </c>
      <c r="HN5" t="s">
        <v>2312</v>
      </c>
      <c r="HQ5" t="str">
        <f>_xll.BDS("ADBE US Equity","SUPPLY_CHAIN_CUSTOMERS_ALL_DATA","cols=12;rows=5")</f>
        <v>TSCO LN Equity</v>
      </c>
      <c r="HR5">
        <v>1.001385</v>
      </c>
      <c r="HS5" t="s">
        <v>1786</v>
      </c>
      <c r="HT5">
        <v>0.275866</v>
      </c>
      <c r="HU5" t="s">
        <v>1809</v>
      </c>
      <c r="HV5">
        <v>2026</v>
      </c>
      <c r="HW5" t="s">
        <v>1834</v>
      </c>
      <c r="HX5" s="6">
        <v>45898</v>
      </c>
      <c r="HY5">
        <v>5</v>
      </c>
      <c r="HZ5">
        <v>58534355.460000001</v>
      </c>
      <c r="IA5">
        <v>112370</v>
      </c>
      <c r="IB5" t="s">
        <v>1835</v>
      </c>
      <c r="IG5" t="str">
        <f>_xll.BDS("ENV US Equity","SUPPLY_CHAIN_SUPPLIERS_ALL_DATA","cols=12;rows=4")</f>
        <v>TCS IN Equity</v>
      </c>
      <c r="IH5" t="s">
        <v>1769</v>
      </c>
      <c r="II5">
        <v>4.006E-3</v>
      </c>
      <c r="IJ5">
        <v>0.505915</v>
      </c>
      <c r="IK5" t="s">
        <v>1742</v>
      </c>
      <c r="IL5">
        <v>2026</v>
      </c>
      <c r="IM5" t="s">
        <v>2851</v>
      </c>
      <c r="IN5" s="6">
        <v>46058</v>
      </c>
      <c r="IO5">
        <v>4</v>
      </c>
      <c r="IP5">
        <v>301639.26</v>
      </c>
      <c r="IQ5">
        <v>7259059</v>
      </c>
      <c r="IR5" t="s">
        <v>2852</v>
      </c>
      <c r="IU5" t="str">
        <f>_xll.BDS("ENV US Equity","SUPPLY_CHAIN_CUSTOMERS_ALL_DATA","cols=12;rows=2")</f>
        <v>1786285D US Equity</v>
      </c>
      <c r="IV5">
        <v>-2.4245362661989844E-14</v>
      </c>
      <c r="IX5">
        <v>-2.4245362661989844E-14</v>
      </c>
      <c r="IY5" t="s">
        <v>1745</v>
      </c>
      <c r="IZ5">
        <v>2023</v>
      </c>
      <c r="JA5" t="s">
        <v>3513</v>
      </c>
      <c r="JB5" s="6">
        <v>45189</v>
      </c>
      <c r="JC5">
        <v>2</v>
      </c>
      <c r="JD5">
        <v>-2.4245362661989844E-14</v>
      </c>
      <c r="JE5">
        <v>67293881</v>
      </c>
      <c r="JF5" t="s">
        <v>3514</v>
      </c>
      <c r="JK5" t="str">
        <f>_xll.BDS("ENTG US Equity","SUPPLY_CHAIN_SUPPLIERS_ALL_DATA","cols=12;rows=5")</f>
        <v>CBT US Equity</v>
      </c>
      <c r="JL5" t="s">
        <v>1786</v>
      </c>
      <c r="JM5">
        <v>0.35865000000000002</v>
      </c>
      <c r="JN5">
        <v>0.74043300000000001</v>
      </c>
      <c r="JO5" t="s">
        <v>1809</v>
      </c>
      <c r="JP5">
        <v>2025</v>
      </c>
      <c r="JQ5" t="s">
        <v>3167</v>
      </c>
      <c r="JR5" s="6">
        <v>45777</v>
      </c>
      <c r="JS5">
        <v>5</v>
      </c>
      <c r="JT5">
        <v>3425108</v>
      </c>
      <c r="JU5">
        <v>100252</v>
      </c>
      <c r="JV5" t="s">
        <v>3168</v>
      </c>
      <c r="JY5" t="str">
        <f>_xll.BDS("ENTG US Equity","SUPPLY_CHAIN_CUSTOMERS_ALL_DATA","cols=12;rows=5")</f>
        <v>2330 TT Equity</v>
      </c>
      <c r="JZ5">
        <v>16</v>
      </c>
      <c r="KA5" t="s">
        <v>1786</v>
      </c>
      <c r="KB5">
        <v>1.0404880000000001</v>
      </c>
      <c r="KC5" t="s">
        <v>1745</v>
      </c>
      <c r="KD5">
        <v>2025</v>
      </c>
      <c r="KE5" t="s">
        <v>3141</v>
      </c>
      <c r="KF5" s="6">
        <v>46064</v>
      </c>
      <c r="KG5">
        <v>5</v>
      </c>
      <c r="KH5">
        <v>127864000</v>
      </c>
      <c r="KI5">
        <v>153737</v>
      </c>
      <c r="KJ5" t="s">
        <v>2171</v>
      </c>
      <c r="KO5" t="str">
        <f>_xll.BDS("IONS US Equity","SUPPLY_CHAIN_SUPPLIERS_ALL_DATA","cols=12;rows=5")</f>
        <v>BCYC US Equity</v>
      </c>
      <c r="KP5" t="s">
        <v>2416</v>
      </c>
      <c r="KQ5">
        <v>25.176472</v>
      </c>
      <c r="KR5">
        <v>0.98559600000000003</v>
      </c>
      <c r="KS5" t="s">
        <v>1745</v>
      </c>
      <c r="KT5">
        <v>2024</v>
      </c>
      <c r="KU5" t="s">
        <v>2644</v>
      </c>
      <c r="KV5" s="6">
        <v>45713</v>
      </c>
      <c r="KW5">
        <v>5</v>
      </c>
      <c r="KX5">
        <v>2220250</v>
      </c>
      <c r="KY5">
        <v>27884578</v>
      </c>
      <c r="KZ5" t="s">
        <v>2645</v>
      </c>
      <c r="LC5" t="str">
        <f>_xll.BDS("IONS US Equity","SUPPLY_CHAIN_CUSTOMERS_ALL_DATA","cols=12;rows=5")</f>
        <v>BIIB US Equity</v>
      </c>
      <c r="LD5">
        <v>21.945872999999999</v>
      </c>
      <c r="LE5" t="s">
        <v>1786</v>
      </c>
      <c r="LF5">
        <v>8.8303799999999999</v>
      </c>
      <c r="LG5" t="s">
        <v>1745</v>
      </c>
      <c r="LH5">
        <v>2025</v>
      </c>
      <c r="LI5" t="s">
        <v>2410</v>
      </c>
      <c r="LJ5" s="6">
        <v>46059</v>
      </c>
      <c r="LK5">
        <v>5</v>
      </c>
      <c r="LL5">
        <v>53075000</v>
      </c>
      <c r="LM5">
        <v>104597</v>
      </c>
      <c r="LN5" t="s">
        <v>2411</v>
      </c>
      <c r="LS5" t="str">
        <f>_xll.BDS("DBI US Equity","SUPPLY_CHAIN_SUPPLIERS_ALL_DATA","cols=12;rows=5")</f>
        <v>NKE US Equity</v>
      </c>
      <c r="LT5" t="s">
        <v>1786</v>
      </c>
      <c r="LU5">
        <v>7.1996000000000004E-2</v>
      </c>
      <c r="LV5">
        <v>2.0441120000000002</v>
      </c>
      <c r="LW5" t="s">
        <v>1762</v>
      </c>
      <c r="LX5">
        <v>2025</v>
      </c>
      <c r="LY5" t="s">
        <v>2184</v>
      </c>
      <c r="LZ5" s="6">
        <v>46020</v>
      </c>
      <c r="MA5">
        <v>5</v>
      </c>
      <c r="MB5">
        <v>8437931</v>
      </c>
      <c r="MC5">
        <v>101073</v>
      </c>
      <c r="MD5" t="s">
        <v>2185</v>
      </c>
      <c r="MG5" t="str">
        <f>_xll.BDS("DBI US Equity","SUPPLY_CHAIN_CUSTOMERS_ALL_DATA","cols=12;rows=4")</f>
        <v>081660 KS Equity</v>
      </c>
      <c r="MH5">
        <v>-2.4245362661989844E-14</v>
      </c>
      <c r="MJ5">
        <v>-2.4245362661989844E-14</v>
      </c>
      <c r="MK5" t="s">
        <v>1798</v>
      </c>
      <c r="ML5">
        <v>2025</v>
      </c>
      <c r="MM5" t="s">
        <v>1852</v>
      </c>
      <c r="MN5" s="6">
        <v>45975</v>
      </c>
      <c r="MO5">
        <v>4</v>
      </c>
      <c r="MP5">
        <v>-2.4245362661989844E-14</v>
      </c>
      <c r="MQ5">
        <v>9495261</v>
      </c>
      <c r="MR5" t="s">
        <v>1853</v>
      </c>
      <c r="MW5" t="str">
        <f>_xll.BDS("LNTH US Equity","SUPPLY_CHAIN_SUPPLIERS_ALL_DATA","cols=12;rows=5")</f>
        <v>0007847D US Equity</v>
      </c>
      <c r="MY5">
        <v>-2.4245362661989844E-14</v>
      </c>
      <c r="MZ5">
        <v>-2.4245362661989844E-14</v>
      </c>
      <c r="NA5" t="s">
        <v>1809</v>
      </c>
      <c r="NB5">
        <v>2025</v>
      </c>
      <c r="NC5" t="s">
        <v>4903</v>
      </c>
      <c r="ND5" s="6">
        <v>45825</v>
      </c>
      <c r="NE5">
        <v>5</v>
      </c>
      <c r="NF5">
        <v>-2.4245362661989844E-14</v>
      </c>
      <c r="NG5">
        <v>18564614</v>
      </c>
      <c r="NH5" t="s">
        <v>4904</v>
      </c>
      <c r="NK5" t="str">
        <f>_xll.BDS("LNTH US Equity","SUPPLY_CHAIN_CUSTOMERS_ALL_DATA","cols=12;rows=5")</f>
        <v>0966772D US Equity</v>
      </c>
      <c r="NL5">
        <v>-2.4245362661989844E-14</v>
      </c>
      <c r="NN5">
        <v>-2.4245362661989844E-14</v>
      </c>
      <c r="NO5" t="s">
        <v>1745</v>
      </c>
      <c r="NP5">
        <v>2023</v>
      </c>
      <c r="NQ5" t="s">
        <v>4692</v>
      </c>
      <c r="NR5" s="6">
        <v>45189</v>
      </c>
      <c r="NS5">
        <v>5</v>
      </c>
      <c r="NT5">
        <v>-2.4245362661989844E-14</v>
      </c>
      <c r="NU5">
        <v>39857900</v>
      </c>
      <c r="NV5" t="s">
        <v>4693</v>
      </c>
      <c r="OA5" t="str">
        <f>_xll.BDS("1448021D US Equity","SUPPLY_CHAIN_SUPPLIERS_ALL_DATA")</f>
        <v>#N/A N/A</v>
      </c>
      <c r="OO5" t="str">
        <f>_xll.BDS("1448021D US Equity","SUPPLY_CHAIN_CUSTOMERS_ALL_DATA")</f>
        <v>#N/A N/A</v>
      </c>
      <c r="PE5" t="str">
        <f>_xll.BDS("nan Equity","SUPPLY_CHAIN_SUPPLIERS_ALL_DATA")</f>
        <v>#N/A N/A</v>
      </c>
      <c r="PS5" t="str">
        <f>_xll.BDS("nan Equity","SUPPLY_CHAIN_CUSTOMERS_ALL_DATA")</f>
        <v>#N/A N/A</v>
      </c>
      <c r="QI5" t="str">
        <f>_xll.BDS("ATHMQ US Equity","SUPPLY_CHAIN_SUPPLIERS_ALL_DATA","cols=12;rows=1")</f>
        <v>004410 KS Equity</v>
      </c>
      <c r="QK5">
        <v>-2.4245362661989844E-14</v>
      </c>
      <c r="QL5">
        <v>-2.4245362661989844E-14</v>
      </c>
      <c r="QM5" t="s">
        <v>1993</v>
      </c>
      <c r="QN5">
        <v>2022</v>
      </c>
      <c r="QO5" t="s">
        <v>4037</v>
      </c>
      <c r="QP5" s="6">
        <v>44785</v>
      </c>
      <c r="QQ5">
        <v>1</v>
      </c>
      <c r="QR5">
        <v>-2.4245362661989844E-14</v>
      </c>
      <c r="QS5">
        <v>129381</v>
      </c>
      <c r="QT5" t="s">
        <v>4038</v>
      </c>
      <c r="QW5" t="str">
        <f>_xll.BDS("ATHMQ US Equity","SUPPLY_CHAIN_CUSTOMERS_ALL_DATA")</f>
        <v>#N/A N/A</v>
      </c>
      <c r="RM5" t="str">
        <f>_xll.BDS("DCLK US Equity","SUPPLY_CHAIN_SUPPLIERS_ALL_DATA")</f>
        <v>#N/A N/A</v>
      </c>
      <c r="SA5" t="str">
        <f>_xll.BDS("DCLK US Equity","SUPPLY_CHAIN_CUSTOMERS_ALL_DATA")</f>
        <v>#N/A N/A</v>
      </c>
      <c r="SQ5" t="str">
        <f>_xll.BDS("ADP US Equity","SUPPLY_CHAIN_SUPPLIERS_ALL_DATA","cols=12;rows=5")</f>
        <v>CUZ US Equity</v>
      </c>
      <c r="SR5" t="s">
        <v>1769</v>
      </c>
      <c r="SS5">
        <v>0.81494</v>
      </c>
      <c r="ST5">
        <v>0.19314200000000001</v>
      </c>
      <c r="SU5" t="s">
        <v>1745</v>
      </c>
      <c r="SV5">
        <v>2025</v>
      </c>
      <c r="SW5" t="s">
        <v>2976</v>
      </c>
      <c r="SX5" s="6">
        <v>46058</v>
      </c>
      <c r="SY5">
        <v>5</v>
      </c>
      <c r="SZ5">
        <v>2024751</v>
      </c>
      <c r="TA5">
        <v>106045</v>
      </c>
      <c r="TB5" t="s">
        <v>2977</v>
      </c>
      <c r="TE5" t="str">
        <f>_xll.BDS("ADP US Equity","SUPPLY_CHAIN_CUSTOMERS_ALL_DATA","cols=12;rows=2")</f>
        <v>SGE LN Equity</v>
      </c>
      <c r="TF5">
        <v>-2.4245362661989844E-14</v>
      </c>
      <c r="TH5">
        <v>-2.4245362661989844E-14</v>
      </c>
      <c r="TI5" t="s">
        <v>1745</v>
      </c>
      <c r="TJ5">
        <v>2022</v>
      </c>
      <c r="TK5" t="s">
        <v>3097</v>
      </c>
      <c r="TL5" s="6">
        <v>44722</v>
      </c>
      <c r="TM5">
        <v>2</v>
      </c>
      <c r="TN5">
        <v>-2.4245362661989844E-14</v>
      </c>
      <c r="TO5">
        <v>112380</v>
      </c>
      <c r="TP5" t="s">
        <v>3098</v>
      </c>
      <c r="TU5" t="str">
        <f>_xll.BDS("GRBEQ US Equity","SUPPLY_CHAIN_SUPPLIERS_ALL_DATA")</f>
        <v>#N/A N/A</v>
      </c>
      <c r="UI5" t="str">
        <f>_xll.BDS("GRBEQ US Equity","SUPPLY_CHAIN_CUSTOMERS_ALL_DATA")</f>
        <v>#N/A N/A</v>
      </c>
      <c r="UY5" t="str">
        <f>_xll.BDS("TFC US Equity","SUPPLY_CHAIN_SUPPLIERS_ALL_DATA","cols=12;rows=5")</f>
        <v>ADBE US Equity</v>
      </c>
      <c r="UZ5" t="s">
        <v>1769</v>
      </c>
      <c r="VA5">
        <v>9.3438999999999994E-2</v>
      </c>
      <c r="VB5">
        <v>0.18883900000000001</v>
      </c>
      <c r="VC5" t="s">
        <v>1762</v>
      </c>
      <c r="VD5">
        <v>2025</v>
      </c>
      <c r="VE5" t="s">
        <v>2268</v>
      </c>
      <c r="VF5" s="6">
        <v>45838</v>
      </c>
      <c r="VG5">
        <v>5</v>
      </c>
      <c r="VH5">
        <v>5487672</v>
      </c>
      <c r="VI5">
        <v>101689</v>
      </c>
      <c r="VJ5" t="s">
        <v>2269</v>
      </c>
      <c r="VM5" t="str">
        <f>_xll.BDS("TFC US Equity","SUPPLY_CHAIN_CUSTOMERS_ALL_DATA","cols=12;rows=1")</f>
        <v>RENG IN Equity</v>
      </c>
      <c r="VN5">
        <v>-2.4245362661989844E-14</v>
      </c>
      <c r="VP5">
        <v>-2.4245362661989844E-14</v>
      </c>
      <c r="VQ5" t="s">
        <v>1745</v>
      </c>
      <c r="VR5">
        <v>2025</v>
      </c>
      <c r="VS5" t="s">
        <v>1952</v>
      </c>
      <c r="VT5" s="6">
        <v>45901</v>
      </c>
      <c r="VU5">
        <v>1</v>
      </c>
      <c r="VV5">
        <v>-2.4245362661989844E-14</v>
      </c>
      <c r="VW5">
        <v>182734</v>
      </c>
      <c r="VX5" t="s">
        <v>1953</v>
      </c>
    </row>
    <row r="6" spans="1:600" x14ac:dyDescent="0.25">
      <c r="A6" t="s">
        <v>2170</v>
      </c>
      <c r="B6" t="s">
        <v>1786</v>
      </c>
      <c r="C6">
        <v>2.9053209999999998</v>
      </c>
      <c r="D6">
        <v>8.9932630000000007</v>
      </c>
      <c r="E6" t="s">
        <v>1845</v>
      </c>
      <c r="F6">
        <v>2024</v>
      </c>
      <c r="G6" t="s">
        <v>3435</v>
      </c>
      <c r="H6" s="6">
        <v>45741</v>
      </c>
      <c r="I6">
        <v>5</v>
      </c>
      <c r="J6">
        <v>779959532.52999997</v>
      </c>
      <c r="K6">
        <v>153737</v>
      </c>
      <c r="L6" t="s">
        <v>2171</v>
      </c>
      <c r="O6" t="s">
        <v>204</v>
      </c>
      <c r="P6">
        <v>12.003353000000001</v>
      </c>
      <c r="Q6" t="s">
        <v>1786</v>
      </c>
      <c r="R6">
        <v>14.056165999999999</v>
      </c>
      <c r="S6" t="s">
        <v>1845</v>
      </c>
      <c r="T6">
        <v>2025</v>
      </c>
      <c r="U6" t="s">
        <v>2245</v>
      </c>
      <c r="V6" s="6">
        <v>46048</v>
      </c>
      <c r="W6">
        <v>5</v>
      </c>
      <c r="X6">
        <v>1641338496</v>
      </c>
      <c r="Y6">
        <v>100732</v>
      </c>
      <c r="Z6" t="s">
        <v>2825</v>
      </c>
      <c r="CM6" t="s">
        <v>168</v>
      </c>
      <c r="CN6" t="s">
        <v>1786</v>
      </c>
      <c r="CO6">
        <v>12.003353000000001</v>
      </c>
      <c r="CP6">
        <v>14.056165999999999</v>
      </c>
      <c r="CQ6" t="s">
        <v>1845</v>
      </c>
      <c r="CR6">
        <v>2025</v>
      </c>
      <c r="CS6" t="s">
        <v>2245</v>
      </c>
      <c r="CT6" s="6">
        <v>46048</v>
      </c>
      <c r="CU6">
        <v>5</v>
      </c>
      <c r="CV6">
        <v>1641338496</v>
      </c>
      <c r="CW6">
        <v>101729</v>
      </c>
      <c r="CX6" t="s">
        <v>2246</v>
      </c>
      <c r="DA6" t="s">
        <v>1350</v>
      </c>
      <c r="DB6">
        <v>1.5894710000000001</v>
      </c>
      <c r="DC6" t="s">
        <v>1786</v>
      </c>
      <c r="DD6">
        <v>2.6168589999999998</v>
      </c>
      <c r="DE6" t="s">
        <v>1762</v>
      </c>
      <c r="DF6">
        <v>2026</v>
      </c>
      <c r="DG6" t="s">
        <v>1865</v>
      </c>
      <c r="DH6" s="6">
        <v>45932</v>
      </c>
      <c r="DI6">
        <v>5</v>
      </c>
      <c r="DJ6">
        <v>221445152</v>
      </c>
      <c r="DK6">
        <v>100197</v>
      </c>
      <c r="DL6" t="s">
        <v>1866</v>
      </c>
      <c r="DQ6" t="s">
        <v>4987</v>
      </c>
      <c r="DS6">
        <v>-2.4245362661989844E-14</v>
      </c>
      <c r="DT6">
        <v>-2.4245362661989844E-14</v>
      </c>
      <c r="DU6" t="s">
        <v>1745</v>
      </c>
      <c r="DV6">
        <v>2024</v>
      </c>
      <c r="DW6" t="s">
        <v>4988</v>
      </c>
      <c r="DX6" s="6">
        <v>45511</v>
      </c>
      <c r="DY6">
        <v>4</v>
      </c>
      <c r="DZ6">
        <v>-2.4245362661989844E-14</v>
      </c>
      <c r="EA6">
        <v>68928535</v>
      </c>
      <c r="EB6" t="s">
        <v>4989</v>
      </c>
      <c r="EU6" t="s">
        <v>4088</v>
      </c>
      <c r="EW6">
        <v>-2.4245362661989844E-14</v>
      </c>
      <c r="EX6">
        <v>-2.4245362661989844E-14</v>
      </c>
      <c r="EY6" t="s">
        <v>1809</v>
      </c>
      <c r="EZ6">
        <v>2022</v>
      </c>
      <c r="FA6" t="s">
        <v>4620</v>
      </c>
      <c r="FB6" s="6">
        <v>44734</v>
      </c>
      <c r="FC6">
        <v>5</v>
      </c>
      <c r="FD6">
        <v>-2.4245362661989844E-14</v>
      </c>
      <c r="FE6">
        <v>48621208</v>
      </c>
      <c r="FF6" t="s">
        <v>4090</v>
      </c>
      <c r="FI6" t="s">
        <v>1870</v>
      </c>
      <c r="FJ6">
        <v>-2.4245362661989844E-14</v>
      </c>
      <c r="FL6">
        <v>-2.4245362661989844E-14</v>
      </c>
      <c r="FM6" t="s">
        <v>1742</v>
      </c>
      <c r="FN6">
        <v>2022</v>
      </c>
      <c r="FO6" t="s">
        <v>4503</v>
      </c>
      <c r="FP6" s="6">
        <v>44957</v>
      </c>
      <c r="FQ6">
        <v>5</v>
      </c>
      <c r="FR6">
        <v>-2.4245362661989844E-14</v>
      </c>
      <c r="FS6">
        <v>12129192</v>
      </c>
      <c r="FT6" t="s">
        <v>1872</v>
      </c>
      <c r="HC6" t="s">
        <v>2947</v>
      </c>
      <c r="HD6" t="s">
        <v>1769</v>
      </c>
      <c r="HE6">
        <v>2.5072190000000001</v>
      </c>
      <c r="HF6">
        <v>0.34607399999999999</v>
      </c>
      <c r="HG6" t="s">
        <v>1745</v>
      </c>
      <c r="HH6">
        <v>2025</v>
      </c>
      <c r="HI6" t="s">
        <v>2948</v>
      </c>
      <c r="HJ6" s="6">
        <v>46064</v>
      </c>
      <c r="HK6">
        <v>5</v>
      </c>
      <c r="HL6">
        <v>6974250</v>
      </c>
      <c r="HM6">
        <v>202222</v>
      </c>
      <c r="HN6" t="s">
        <v>2949</v>
      </c>
      <c r="HQ6" t="s">
        <v>357</v>
      </c>
      <c r="HR6">
        <v>0.72984499999999997</v>
      </c>
      <c r="HS6" t="s">
        <v>1786</v>
      </c>
      <c r="HT6">
        <v>0.30837399999999998</v>
      </c>
      <c r="HU6" t="s">
        <v>1762</v>
      </c>
      <c r="HV6">
        <v>2025</v>
      </c>
      <c r="HW6" t="s">
        <v>2268</v>
      </c>
      <c r="HX6" s="6">
        <v>45838</v>
      </c>
      <c r="HY6">
        <v>5</v>
      </c>
      <c r="HZ6">
        <v>42863796</v>
      </c>
      <c r="IA6">
        <v>1499717</v>
      </c>
      <c r="IB6" t="s">
        <v>1864</v>
      </c>
      <c r="IG6" t="s">
        <v>3690</v>
      </c>
      <c r="II6">
        <v>-2.4245362661989844E-14</v>
      </c>
      <c r="IJ6">
        <v>-2.4245362661989844E-14</v>
      </c>
      <c r="IK6" t="s">
        <v>1745</v>
      </c>
      <c r="IL6">
        <v>2023</v>
      </c>
      <c r="IM6" t="s">
        <v>3513</v>
      </c>
      <c r="IN6" s="6">
        <v>45215</v>
      </c>
      <c r="IO6">
        <v>4</v>
      </c>
      <c r="IP6">
        <v>-2.4245362661989844E-14</v>
      </c>
      <c r="IQ6">
        <v>31150011</v>
      </c>
      <c r="IR6" t="s">
        <v>3691</v>
      </c>
      <c r="IU6" t="s">
        <v>3515</v>
      </c>
      <c r="IV6">
        <v>-2.4245362661989844E-14</v>
      </c>
      <c r="IX6">
        <v>-2.4245362661989844E-14</v>
      </c>
      <c r="IY6" t="s">
        <v>1745</v>
      </c>
      <c r="IZ6">
        <v>2023</v>
      </c>
      <c r="JA6" t="s">
        <v>3516</v>
      </c>
      <c r="JB6" s="6">
        <v>45350</v>
      </c>
      <c r="JC6">
        <v>2</v>
      </c>
      <c r="JD6">
        <v>-2.4245362661989844E-14</v>
      </c>
      <c r="JE6">
        <v>852107</v>
      </c>
      <c r="JF6" t="s">
        <v>3517</v>
      </c>
      <c r="JK6" t="s">
        <v>3169</v>
      </c>
      <c r="JM6">
        <v>-2.4245362661989844E-14</v>
      </c>
      <c r="JN6">
        <v>-2.4245362661989844E-14</v>
      </c>
      <c r="JO6" t="s">
        <v>1745</v>
      </c>
      <c r="JP6">
        <v>2022</v>
      </c>
      <c r="JQ6" t="s">
        <v>3170</v>
      </c>
      <c r="JR6" s="6">
        <v>45006</v>
      </c>
      <c r="JS6">
        <v>5</v>
      </c>
      <c r="JT6">
        <v>-2.4245362661989844E-14</v>
      </c>
      <c r="JU6">
        <v>7595232</v>
      </c>
      <c r="JV6" t="s">
        <v>3171</v>
      </c>
      <c r="JY6" t="s">
        <v>1789</v>
      </c>
      <c r="JZ6">
        <v>6.3256480000000002</v>
      </c>
      <c r="KA6" t="s">
        <v>1786</v>
      </c>
      <c r="KB6">
        <v>0.13467499999999999</v>
      </c>
      <c r="KC6" t="s">
        <v>1742</v>
      </c>
      <c r="KD6">
        <v>2025</v>
      </c>
      <c r="KE6" t="s">
        <v>3142</v>
      </c>
      <c r="KF6" s="6">
        <v>45996</v>
      </c>
      <c r="KG6">
        <v>5</v>
      </c>
      <c r="KH6">
        <v>51054304</v>
      </c>
      <c r="KI6">
        <v>117929</v>
      </c>
      <c r="KJ6" t="s">
        <v>1791</v>
      </c>
      <c r="KO6" t="s">
        <v>2646</v>
      </c>
      <c r="KQ6">
        <v>-2.4245362661989844E-14</v>
      </c>
      <c r="KR6">
        <v>-2.4245362661989844E-14</v>
      </c>
      <c r="KS6" t="s">
        <v>1742</v>
      </c>
      <c r="KT6">
        <v>2025</v>
      </c>
      <c r="KU6" t="s">
        <v>2647</v>
      </c>
      <c r="KV6" s="6">
        <v>45937</v>
      </c>
      <c r="KW6">
        <v>5</v>
      </c>
      <c r="KX6">
        <v>-2.4245362661989844E-14</v>
      </c>
      <c r="KY6">
        <v>39860750</v>
      </c>
      <c r="KZ6" t="s">
        <v>2648</v>
      </c>
      <c r="LC6" t="s">
        <v>2412</v>
      </c>
      <c r="LD6">
        <v>18</v>
      </c>
      <c r="LE6" t="s">
        <v>1786</v>
      </c>
      <c r="LF6">
        <v>1.2712749999999999</v>
      </c>
      <c r="LG6" t="s">
        <v>1745</v>
      </c>
      <c r="LH6">
        <v>2024</v>
      </c>
      <c r="LI6" t="s">
        <v>2413</v>
      </c>
      <c r="LJ6" s="6">
        <v>45707</v>
      </c>
      <c r="LK6">
        <v>5</v>
      </c>
      <c r="LL6">
        <v>32439750</v>
      </c>
      <c r="LM6">
        <v>111093</v>
      </c>
      <c r="LN6" t="s">
        <v>2414</v>
      </c>
      <c r="LS6" t="s">
        <v>2186</v>
      </c>
      <c r="LT6" t="s">
        <v>1786</v>
      </c>
      <c r="LU6">
        <v>0.60333499999999995</v>
      </c>
      <c r="LV6">
        <v>1.8217369999999999</v>
      </c>
      <c r="LW6" t="s">
        <v>1762</v>
      </c>
      <c r="LX6">
        <v>2026</v>
      </c>
      <c r="LY6" t="s">
        <v>2187</v>
      </c>
      <c r="LZ6" s="6">
        <v>46055</v>
      </c>
      <c r="MA6">
        <v>5</v>
      </c>
      <c r="MB6">
        <v>7519986</v>
      </c>
      <c r="MC6">
        <v>126181</v>
      </c>
      <c r="MD6" t="s">
        <v>2188</v>
      </c>
      <c r="MG6" t="s">
        <v>1854</v>
      </c>
      <c r="MH6">
        <v>-2.4245362661989844E-14</v>
      </c>
      <c r="MJ6">
        <v>-2.4245362661989844E-14</v>
      </c>
      <c r="MK6" t="s">
        <v>1762</v>
      </c>
      <c r="ML6">
        <v>2024</v>
      </c>
      <c r="MM6" t="s">
        <v>1855</v>
      </c>
      <c r="MN6" s="6">
        <v>45359</v>
      </c>
      <c r="MO6">
        <v>4</v>
      </c>
      <c r="MP6">
        <v>-2.4245362661989844E-14</v>
      </c>
      <c r="MQ6">
        <v>101758</v>
      </c>
      <c r="MR6" t="s">
        <v>1856</v>
      </c>
      <c r="MW6" t="s">
        <v>4700</v>
      </c>
      <c r="MY6">
        <v>-2.4245362661989844E-14</v>
      </c>
      <c r="MZ6">
        <v>-2.4245362661989844E-14</v>
      </c>
      <c r="NA6" t="s">
        <v>1809</v>
      </c>
      <c r="NB6">
        <v>2025</v>
      </c>
      <c r="NC6" t="s">
        <v>4903</v>
      </c>
      <c r="ND6" s="6">
        <v>45825</v>
      </c>
      <c r="NE6">
        <v>5</v>
      </c>
      <c r="NF6">
        <v>-2.4245362661989844E-14</v>
      </c>
      <c r="NG6">
        <v>62095695</v>
      </c>
      <c r="NH6" t="s">
        <v>4701</v>
      </c>
      <c r="NK6" t="s">
        <v>4694</v>
      </c>
      <c r="NL6">
        <v>-2.4245362661989844E-14</v>
      </c>
      <c r="NN6">
        <v>-2.4245362661989844E-14</v>
      </c>
      <c r="NO6" t="s">
        <v>1745</v>
      </c>
      <c r="NP6">
        <v>2024</v>
      </c>
      <c r="NQ6" t="s">
        <v>4695</v>
      </c>
      <c r="NR6" s="6">
        <v>45714</v>
      </c>
      <c r="NS6">
        <v>5</v>
      </c>
      <c r="NT6">
        <v>-2.4245362661989844E-14</v>
      </c>
      <c r="NU6">
        <v>51350254</v>
      </c>
      <c r="NV6" t="s">
        <v>4696</v>
      </c>
      <c r="SQ6" t="s">
        <v>425</v>
      </c>
      <c r="SR6" t="s">
        <v>1769</v>
      </c>
      <c r="SS6">
        <v>1.6</v>
      </c>
      <c r="ST6">
        <v>0.166076</v>
      </c>
      <c r="SU6" t="s">
        <v>1762</v>
      </c>
      <c r="SV6">
        <v>2025</v>
      </c>
      <c r="SW6" t="s">
        <v>3224</v>
      </c>
      <c r="SX6" s="6">
        <v>45868</v>
      </c>
      <c r="SY6">
        <v>5</v>
      </c>
      <c r="SZ6">
        <v>1831984</v>
      </c>
      <c r="TA6">
        <v>15671511</v>
      </c>
      <c r="TB6" t="s">
        <v>3225</v>
      </c>
      <c r="TE6" t="s">
        <v>3099</v>
      </c>
      <c r="TF6">
        <v>-2.4245362661989844E-14</v>
      </c>
      <c r="TH6">
        <v>-2.4245362661989844E-14</v>
      </c>
      <c r="TI6" t="s">
        <v>1745</v>
      </c>
      <c r="TJ6">
        <v>2025</v>
      </c>
      <c r="TK6" t="s">
        <v>3100</v>
      </c>
      <c r="TL6" s="6">
        <v>45727</v>
      </c>
      <c r="TM6">
        <v>2</v>
      </c>
      <c r="TN6">
        <v>-2.4245362661989844E-14</v>
      </c>
      <c r="TO6">
        <v>14184925</v>
      </c>
      <c r="TP6" t="s">
        <v>3101</v>
      </c>
      <c r="UY6" t="s">
        <v>2270</v>
      </c>
      <c r="UZ6" t="s">
        <v>1769</v>
      </c>
      <c r="VA6">
        <v>1.151538</v>
      </c>
      <c r="VB6">
        <v>7.7191999999999997E-2</v>
      </c>
      <c r="VC6" t="s">
        <v>1745</v>
      </c>
      <c r="VD6">
        <v>2024</v>
      </c>
      <c r="VE6" t="s">
        <v>2271</v>
      </c>
      <c r="VF6" s="6">
        <v>45716</v>
      </c>
      <c r="VG6">
        <v>5</v>
      </c>
      <c r="VH6">
        <v>2317499</v>
      </c>
      <c r="VI6">
        <v>35300053</v>
      </c>
      <c r="VJ6" t="s">
        <v>2272</v>
      </c>
    </row>
    <row r="7" spans="1:600" x14ac:dyDescent="0.25">
      <c r="A7" t="s">
        <v>2944</v>
      </c>
      <c r="B7" t="s">
        <v>1786</v>
      </c>
      <c r="C7">
        <v>1.4676359999999999</v>
      </c>
      <c r="D7">
        <v>2.8381699999999999</v>
      </c>
      <c r="E7" t="s">
        <v>1742</v>
      </c>
      <c r="F7">
        <v>2025</v>
      </c>
      <c r="G7" t="s">
        <v>2945</v>
      </c>
      <c r="H7" s="6">
        <v>46080</v>
      </c>
      <c r="I7">
        <v>5</v>
      </c>
      <c r="J7">
        <v>258849259.34</v>
      </c>
      <c r="K7">
        <v>193974</v>
      </c>
      <c r="L7" t="s">
        <v>2946</v>
      </c>
      <c r="O7" t="s">
        <v>2512</v>
      </c>
      <c r="P7">
        <v>12.001497000000001</v>
      </c>
      <c r="Q7" t="s">
        <v>1786</v>
      </c>
      <c r="R7">
        <v>9.4830839999999998</v>
      </c>
      <c r="S7" t="s">
        <v>1845</v>
      </c>
      <c r="T7">
        <v>2025</v>
      </c>
      <c r="U7" t="s">
        <v>2245</v>
      </c>
      <c r="V7" s="6">
        <v>46048</v>
      </c>
      <c r="W7">
        <v>5</v>
      </c>
      <c r="X7">
        <v>1641084672</v>
      </c>
      <c r="Y7">
        <v>130929</v>
      </c>
      <c r="Z7" t="s">
        <v>2513</v>
      </c>
      <c r="CM7" t="s">
        <v>2247</v>
      </c>
      <c r="CN7" t="s">
        <v>1786</v>
      </c>
      <c r="CO7">
        <v>6.8536460000000003</v>
      </c>
      <c r="CP7">
        <v>9.6768190000000001</v>
      </c>
      <c r="CQ7" t="s">
        <v>1809</v>
      </c>
      <c r="CR7">
        <v>2025</v>
      </c>
      <c r="CS7" t="s">
        <v>2248</v>
      </c>
      <c r="CT7" s="6">
        <v>45812</v>
      </c>
      <c r="CU7">
        <v>5</v>
      </c>
      <c r="CV7">
        <v>1011895282.72</v>
      </c>
      <c r="CW7">
        <v>330541</v>
      </c>
      <c r="CX7" t="s">
        <v>2249</v>
      </c>
      <c r="DA7" t="s">
        <v>1867</v>
      </c>
      <c r="DB7">
        <v>1.3641749999999999</v>
      </c>
      <c r="DC7" t="s">
        <v>1786</v>
      </c>
      <c r="DD7">
        <v>0.69426200000000005</v>
      </c>
      <c r="DE7" t="s">
        <v>1809</v>
      </c>
      <c r="DF7">
        <v>2025</v>
      </c>
      <c r="DG7" t="s">
        <v>1868</v>
      </c>
      <c r="DH7" s="6">
        <v>45797</v>
      </c>
      <c r="DI7">
        <v>5</v>
      </c>
      <c r="DJ7">
        <v>183924678.06999999</v>
      </c>
      <c r="DK7">
        <v>223340</v>
      </c>
      <c r="DL7" t="s">
        <v>1869</v>
      </c>
      <c r="DQ7" t="s">
        <v>4990</v>
      </c>
      <c r="DS7">
        <v>-2.4245362661989844E-14</v>
      </c>
      <c r="DT7">
        <v>-2.4245362661989844E-14</v>
      </c>
      <c r="DU7" t="s">
        <v>1845</v>
      </c>
      <c r="DV7">
        <v>2023</v>
      </c>
      <c r="DW7" t="s">
        <v>4991</v>
      </c>
      <c r="DX7" s="6">
        <v>45141</v>
      </c>
      <c r="DY7">
        <v>4</v>
      </c>
      <c r="DZ7">
        <v>-2.4245362661989844E-14</v>
      </c>
      <c r="EA7">
        <v>171398</v>
      </c>
      <c r="EB7" t="s">
        <v>4992</v>
      </c>
      <c r="EU7" t="s">
        <v>2346</v>
      </c>
      <c r="EW7">
        <v>-2.4245362661989844E-14</v>
      </c>
      <c r="EX7">
        <v>-2.4245362661989844E-14</v>
      </c>
      <c r="EY7" t="s">
        <v>1745</v>
      </c>
      <c r="EZ7">
        <v>2021</v>
      </c>
      <c r="FA7" t="s">
        <v>2347</v>
      </c>
      <c r="FB7" s="6">
        <v>44693</v>
      </c>
      <c r="FC7">
        <v>5</v>
      </c>
      <c r="FD7">
        <v>-2.4245362661989844E-14</v>
      </c>
      <c r="FE7">
        <v>100481</v>
      </c>
      <c r="FF7" t="s">
        <v>2348</v>
      </c>
      <c r="FI7" t="s">
        <v>2139</v>
      </c>
      <c r="FJ7">
        <v>-2.4245362661989844E-14</v>
      </c>
      <c r="FL7">
        <v>-2.4245362661989844E-14</v>
      </c>
      <c r="FM7" t="s">
        <v>1809</v>
      </c>
      <c r="FN7">
        <v>2025</v>
      </c>
      <c r="FO7" t="s">
        <v>3146</v>
      </c>
      <c r="FP7" s="6">
        <v>45799</v>
      </c>
      <c r="FQ7">
        <v>5</v>
      </c>
      <c r="FR7">
        <v>-2.4245362661989844E-14</v>
      </c>
      <c r="FS7">
        <v>313021</v>
      </c>
      <c r="FT7" t="s">
        <v>2141</v>
      </c>
      <c r="HC7" t="s">
        <v>121</v>
      </c>
      <c r="HD7" t="s">
        <v>1786</v>
      </c>
      <c r="HE7">
        <v>4.1959999999999997E-2</v>
      </c>
      <c r="HF7">
        <v>0.98093300000000005</v>
      </c>
      <c r="HG7" t="s">
        <v>1809</v>
      </c>
      <c r="HH7">
        <v>2025</v>
      </c>
      <c r="HI7" t="s">
        <v>2035</v>
      </c>
      <c r="HJ7" s="6">
        <v>45797</v>
      </c>
      <c r="HK7">
        <v>5</v>
      </c>
      <c r="HL7">
        <v>6101404</v>
      </c>
      <c r="HM7">
        <v>100801</v>
      </c>
      <c r="HN7" t="s">
        <v>2095</v>
      </c>
      <c r="HQ7" t="s">
        <v>1885</v>
      </c>
      <c r="HR7">
        <v>0.70327099999999998</v>
      </c>
      <c r="HS7" t="s">
        <v>1786</v>
      </c>
      <c r="HT7">
        <v>5.3657000000000003E-2</v>
      </c>
      <c r="HU7" t="s">
        <v>1762</v>
      </c>
      <c r="HV7">
        <v>2025</v>
      </c>
      <c r="HW7" t="s">
        <v>2268</v>
      </c>
      <c r="HX7" s="6">
        <v>45838</v>
      </c>
      <c r="HY7">
        <v>5</v>
      </c>
      <c r="HZ7">
        <v>41303104</v>
      </c>
      <c r="IA7">
        <v>216952</v>
      </c>
      <c r="IB7" t="s">
        <v>1886</v>
      </c>
      <c r="IG7" t="s">
        <v>3692</v>
      </c>
      <c r="II7">
        <v>-2.4245362661989844E-14</v>
      </c>
      <c r="IJ7">
        <v>-2.4245362661989844E-14</v>
      </c>
      <c r="IK7" t="s">
        <v>1745</v>
      </c>
      <c r="IL7">
        <v>2024</v>
      </c>
      <c r="IM7" t="s">
        <v>3513</v>
      </c>
      <c r="IN7" s="6">
        <v>45356</v>
      </c>
      <c r="IO7">
        <v>4</v>
      </c>
      <c r="IP7">
        <v>-2.4245362661989844E-14</v>
      </c>
      <c r="IQ7">
        <v>59966161</v>
      </c>
      <c r="IR7" t="s">
        <v>3693</v>
      </c>
      <c r="JK7" t="s">
        <v>3172</v>
      </c>
      <c r="JM7">
        <v>-2.4245362661989844E-14</v>
      </c>
      <c r="JN7">
        <v>-2.4245362661989844E-14</v>
      </c>
      <c r="JO7" t="s">
        <v>1745</v>
      </c>
      <c r="JP7">
        <v>2023</v>
      </c>
      <c r="JQ7" t="s">
        <v>3173</v>
      </c>
      <c r="JR7" s="6">
        <v>45020</v>
      </c>
      <c r="JS7">
        <v>5</v>
      </c>
      <c r="JT7">
        <v>-2.4245362661989844E-14</v>
      </c>
      <c r="JU7">
        <v>70553029</v>
      </c>
      <c r="JV7" t="s">
        <v>3174</v>
      </c>
      <c r="JY7" t="s">
        <v>3002</v>
      </c>
      <c r="JZ7">
        <v>4.1531789999999997</v>
      </c>
      <c r="KA7" t="s">
        <v>1786</v>
      </c>
      <c r="KB7">
        <v>0.78904099999999999</v>
      </c>
      <c r="KC7" t="s">
        <v>1742</v>
      </c>
      <c r="KD7">
        <v>2025</v>
      </c>
      <c r="KE7" t="s">
        <v>3142</v>
      </c>
      <c r="KF7" s="6">
        <v>45996</v>
      </c>
      <c r="KG7">
        <v>5</v>
      </c>
      <c r="KH7">
        <v>33520308</v>
      </c>
      <c r="KI7">
        <v>163205</v>
      </c>
      <c r="KJ7" t="s">
        <v>3004</v>
      </c>
      <c r="KO7" t="s">
        <v>2649</v>
      </c>
      <c r="KQ7">
        <v>-2.4245362661989844E-14</v>
      </c>
      <c r="KR7">
        <v>-2.4245362661989844E-14</v>
      </c>
      <c r="KS7" t="s">
        <v>1745</v>
      </c>
      <c r="KT7">
        <v>2025</v>
      </c>
      <c r="KU7" t="s">
        <v>2650</v>
      </c>
      <c r="KV7" s="6">
        <v>46065</v>
      </c>
      <c r="KW7">
        <v>5</v>
      </c>
      <c r="KX7">
        <v>-2.4245362661989844E-14</v>
      </c>
      <c r="KY7">
        <v>8215130</v>
      </c>
      <c r="KZ7" t="s">
        <v>2651</v>
      </c>
      <c r="LC7" t="s">
        <v>2415</v>
      </c>
      <c r="LD7">
        <v>7</v>
      </c>
      <c r="LE7" t="s">
        <v>2416</v>
      </c>
      <c r="LF7">
        <v>2.3775270000000002</v>
      </c>
      <c r="LG7" t="s">
        <v>1745</v>
      </c>
      <c r="LH7">
        <v>2024</v>
      </c>
      <c r="LI7" t="s">
        <v>2413</v>
      </c>
      <c r="LJ7" s="6">
        <v>45707</v>
      </c>
      <c r="LK7">
        <v>5</v>
      </c>
      <c r="LL7">
        <v>12339915</v>
      </c>
      <c r="LM7">
        <v>15047869</v>
      </c>
      <c r="LN7" t="s">
        <v>2417</v>
      </c>
      <c r="LS7" t="s">
        <v>2189</v>
      </c>
      <c r="LT7" t="s">
        <v>1786</v>
      </c>
      <c r="LU7">
        <v>0.49377799999999999</v>
      </c>
      <c r="LV7">
        <v>1.1917660000000001</v>
      </c>
      <c r="LW7" t="s">
        <v>1742</v>
      </c>
      <c r="LX7">
        <v>2025</v>
      </c>
      <c r="LY7" t="s">
        <v>2190</v>
      </c>
      <c r="LZ7" s="6">
        <v>46014</v>
      </c>
      <c r="MA7">
        <v>5</v>
      </c>
      <c r="MB7">
        <v>4919515</v>
      </c>
      <c r="MC7">
        <v>9984112</v>
      </c>
      <c r="MD7" t="s">
        <v>2191</v>
      </c>
      <c r="MG7" t="s">
        <v>1857</v>
      </c>
      <c r="MH7">
        <v>-2.4245362661989844E-14</v>
      </c>
      <c r="MJ7">
        <v>-2.4245362661989844E-14</v>
      </c>
      <c r="MK7" t="s">
        <v>1742</v>
      </c>
      <c r="ML7">
        <v>2026</v>
      </c>
      <c r="MM7" t="s">
        <v>1858</v>
      </c>
      <c r="MN7" s="6">
        <v>46000</v>
      </c>
      <c r="MO7">
        <v>4</v>
      </c>
      <c r="MP7">
        <v>-2.4245362661989844E-14</v>
      </c>
      <c r="MQ7">
        <v>104159</v>
      </c>
      <c r="MR7" t="s">
        <v>1859</v>
      </c>
      <c r="MW7" t="s">
        <v>4905</v>
      </c>
      <c r="MY7">
        <v>-2.4245362661989844E-14</v>
      </c>
      <c r="MZ7">
        <v>-2.4245362661989844E-14</v>
      </c>
      <c r="NA7" t="s">
        <v>1745</v>
      </c>
      <c r="NB7">
        <v>2024</v>
      </c>
      <c r="NC7" t="s">
        <v>4695</v>
      </c>
      <c r="ND7" s="6">
        <v>45714</v>
      </c>
      <c r="NE7">
        <v>5</v>
      </c>
      <c r="NF7">
        <v>-2.4245362661989844E-14</v>
      </c>
      <c r="NG7">
        <v>11017059</v>
      </c>
      <c r="NH7" t="s">
        <v>4906</v>
      </c>
      <c r="NK7" t="s">
        <v>4697</v>
      </c>
      <c r="NL7">
        <v>-2.4245362661989844E-14</v>
      </c>
      <c r="NN7">
        <v>-2.4245362661989844E-14</v>
      </c>
      <c r="NO7" t="s">
        <v>1809</v>
      </c>
      <c r="NP7">
        <v>2022</v>
      </c>
      <c r="NQ7" t="s">
        <v>4698</v>
      </c>
      <c r="NR7" s="6">
        <v>44698</v>
      </c>
      <c r="NS7">
        <v>5</v>
      </c>
      <c r="NT7">
        <v>-2.4245362661989844E-14</v>
      </c>
      <c r="NU7">
        <v>54730565</v>
      </c>
      <c r="NV7" t="s">
        <v>4699</v>
      </c>
      <c r="SQ7" t="s">
        <v>3226</v>
      </c>
      <c r="SR7" t="s">
        <v>1769</v>
      </c>
      <c r="SS7">
        <v>2</v>
      </c>
      <c r="ST7">
        <v>7.1676000000000004E-2</v>
      </c>
      <c r="SU7" t="s">
        <v>1762</v>
      </c>
      <c r="SV7">
        <v>2025</v>
      </c>
      <c r="SW7" t="s">
        <v>3227</v>
      </c>
      <c r="SX7" s="6">
        <v>45875</v>
      </c>
      <c r="SY7">
        <v>5</v>
      </c>
      <c r="SZ7">
        <v>790660</v>
      </c>
      <c r="TA7">
        <v>8159946</v>
      </c>
      <c r="TB7" t="s">
        <v>3228</v>
      </c>
      <c r="UY7" t="s">
        <v>2273</v>
      </c>
      <c r="UZ7" t="s">
        <v>1769</v>
      </c>
      <c r="VA7">
        <v>0.492811</v>
      </c>
      <c r="VB7">
        <v>2.9784000000000001E-2</v>
      </c>
      <c r="VC7" t="s">
        <v>1809</v>
      </c>
      <c r="VD7">
        <v>2026</v>
      </c>
      <c r="VE7" t="s">
        <v>2274</v>
      </c>
      <c r="VF7" s="6">
        <v>45898</v>
      </c>
      <c r="VG7">
        <v>5</v>
      </c>
      <c r="VH7">
        <v>889383.69</v>
      </c>
      <c r="VI7">
        <v>178651</v>
      </c>
      <c r="VJ7" t="s">
        <v>2275</v>
      </c>
    </row>
    <row r="8" spans="1:600" x14ac:dyDescent="0.25">
      <c r="A8" t="s">
        <v>1789</v>
      </c>
      <c r="B8" t="s">
        <v>1786</v>
      </c>
      <c r="C8">
        <v>0.36901099999999998</v>
      </c>
      <c r="D8">
        <v>2.1074079999999999</v>
      </c>
      <c r="E8" t="s">
        <v>1762</v>
      </c>
      <c r="F8">
        <v>2025</v>
      </c>
      <c r="G8" t="s">
        <v>3436</v>
      </c>
      <c r="H8" s="6">
        <v>45952</v>
      </c>
      <c r="I8">
        <v>5</v>
      </c>
      <c r="J8">
        <v>196578595.78</v>
      </c>
      <c r="K8">
        <v>117929</v>
      </c>
      <c r="L8" t="s">
        <v>1791</v>
      </c>
      <c r="O8" t="s">
        <v>3507</v>
      </c>
      <c r="P8">
        <v>6.9003030000000001</v>
      </c>
      <c r="Q8" t="s">
        <v>1786</v>
      </c>
      <c r="R8">
        <v>13.993990999999999</v>
      </c>
      <c r="S8" t="s">
        <v>1745</v>
      </c>
      <c r="T8">
        <v>2024</v>
      </c>
      <c r="U8" t="s">
        <v>3508</v>
      </c>
      <c r="V8" s="6">
        <v>45786</v>
      </c>
      <c r="W8">
        <v>5</v>
      </c>
      <c r="X8">
        <v>924964005.08000004</v>
      </c>
      <c r="Y8">
        <v>9568853</v>
      </c>
      <c r="Z8" t="s">
        <v>3509</v>
      </c>
      <c r="CM8" t="s">
        <v>2250</v>
      </c>
      <c r="CN8" t="s">
        <v>1786</v>
      </c>
      <c r="CO8">
        <v>4.2738360000000002</v>
      </c>
      <c r="CP8">
        <v>6.6693020000000001</v>
      </c>
      <c r="CQ8" t="s">
        <v>1742</v>
      </c>
      <c r="CR8">
        <v>2025</v>
      </c>
      <c r="CS8" t="s">
        <v>2251</v>
      </c>
      <c r="CT8" s="6">
        <v>46087</v>
      </c>
      <c r="CU8">
        <v>5</v>
      </c>
      <c r="CV8">
        <v>811049598.16999996</v>
      </c>
      <c r="CW8">
        <v>7975354</v>
      </c>
      <c r="CX8" t="s">
        <v>2252</v>
      </c>
      <c r="DA8" t="s">
        <v>1870</v>
      </c>
      <c r="DB8">
        <v>0.59423499999999996</v>
      </c>
      <c r="DC8" t="s">
        <v>1786</v>
      </c>
      <c r="DD8">
        <v>1.9269499999999999</v>
      </c>
      <c r="DE8" t="s">
        <v>1809</v>
      </c>
      <c r="DF8">
        <v>2025</v>
      </c>
      <c r="DG8" t="s">
        <v>1871</v>
      </c>
      <c r="DH8" s="6">
        <v>45820</v>
      </c>
      <c r="DI8">
        <v>5</v>
      </c>
      <c r="DJ8">
        <v>78557896</v>
      </c>
      <c r="DK8">
        <v>12129192</v>
      </c>
      <c r="DL8" t="s">
        <v>1872</v>
      </c>
      <c r="DQ8" t="s">
        <v>4993</v>
      </c>
      <c r="DS8">
        <v>-2.4245362661989844E-14</v>
      </c>
      <c r="DT8">
        <v>-2.4245362661989844E-14</v>
      </c>
      <c r="DU8" t="s">
        <v>1845</v>
      </c>
      <c r="DV8">
        <v>2022</v>
      </c>
      <c r="DW8" t="s">
        <v>4994</v>
      </c>
      <c r="DX8" s="6">
        <v>45006</v>
      </c>
      <c r="DY8">
        <v>4</v>
      </c>
      <c r="DZ8">
        <v>-2.4245362661989844E-14</v>
      </c>
      <c r="EA8">
        <v>106583</v>
      </c>
      <c r="EB8" t="s">
        <v>4995</v>
      </c>
      <c r="EU8" t="s">
        <v>565</v>
      </c>
      <c r="EW8">
        <v>-2.4245362661989844E-14</v>
      </c>
      <c r="EX8">
        <v>-2.4245362661989844E-14</v>
      </c>
      <c r="EY8" t="s">
        <v>1745</v>
      </c>
      <c r="EZ8">
        <v>2021</v>
      </c>
      <c r="FA8" t="s">
        <v>4054</v>
      </c>
      <c r="FB8" s="6">
        <v>44693</v>
      </c>
      <c r="FC8">
        <v>5</v>
      </c>
      <c r="FD8">
        <v>-2.4245362661989844E-14</v>
      </c>
      <c r="FE8">
        <v>100382</v>
      </c>
      <c r="FF8" t="s">
        <v>4055</v>
      </c>
      <c r="FI8" t="s">
        <v>2012</v>
      </c>
      <c r="FJ8">
        <v>-2.4245362661989844E-14</v>
      </c>
      <c r="FL8">
        <v>-2.4245362661989844E-14</v>
      </c>
      <c r="FM8" t="s">
        <v>1745</v>
      </c>
      <c r="FN8">
        <v>2024</v>
      </c>
      <c r="FO8" t="s">
        <v>4504</v>
      </c>
      <c r="FP8" s="6">
        <v>45524</v>
      </c>
      <c r="FQ8">
        <v>5</v>
      </c>
      <c r="FR8">
        <v>-2.4245362661989844E-14</v>
      </c>
      <c r="FS8">
        <v>136424</v>
      </c>
      <c r="FT8" t="s">
        <v>2014</v>
      </c>
      <c r="HC8" t="s">
        <v>424</v>
      </c>
      <c r="HD8" t="s">
        <v>1786</v>
      </c>
      <c r="HE8">
        <v>8.6090000000000003E-3</v>
      </c>
      <c r="HF8">
        <v>0.94545199999999996</v>
      </c>
      <c r="HG8" t="s">
        <v>1742</v>
      </c>
      <c r="HH8">
        <v>2025</v>
      </c>
      <c r="HI8" t="s">
        <v>2528</v>
      </c>
      <c r="HJ8" s="6">
        <v>45843</v>
      </c>
      <c r="HK8">
        <v>5</v>
      </c>
      <c r="HL8">
        <v>6031982</v>
      </c>
      <c r="HM8">
        <v>101743</v>
      </c>
      <c r="HN8" t="s">
        <v>1891</v>
      </c>
      <c r="HQ8" t="s">
        <v>423</v>
      </c>
      <c r="HR8">
        <v>0.60699000000000003</v>
      </c>
      <c r="HS8" t="s">
        <v>1769</v>
      </c>
      <c r="HT8">
        <v>0.15107200000000001</v>
      </c>
      <c r="HU8" t="s">
        <v>1762</v>
      </c>
      <c r="HV8">
        <v>2025</v>
      </c>
      <c r="HW8" t="s">
        <v>2268</v>
      </c>
      <c r="HX8" s="6">
        <v>45838</v>
      </c>
      <c r="HY8">
        <v>5</v>
      </c>
      <c r="HZ8">
        <v>35648524</v>
      </c>
      <c r="IA8">
        <v>100312</v>
      </c>
      <c r="IB8" t="s">
        <v>3933</v>
      </c>
      <c r="IG8" t="s">
        <v>3694</v>
      </c>
      <c r="II8">
        <v>-2.4245362661989844E-14</v>
      </c>
      <c r="IJ8">
        <v>-2.4245362661989844E-14</v>
      </c>
      <c r="IK8" t="s">
        <v>1745</v>
      </c>
      <c r="IL8">
        <v>2023</v>
      </c>
      <c r="IM8" t="s">
        <v>3695</v>
      </c>
      <c r="IN8" s="6">
        <v>45295</v>
      </c>
      <c r="IO8">
        <v>4</v>
      </c>
      <c r="IP8">
        <v>-2.4245362661989844E-14</v>
      </c>
      <c r="IQ8">
        <v>103388</v>
      </c>
      <c r="IR8" t="s">
        <v>3696</v>
      </c>
      <c r="JK8" t="s">
        <v>3175</v>
      </c>
      <c r="JM8">
        <v>-2.4245362661989844E-14</v>
      </c>
      <c r="JN8">
        <v>-2.4245362661989844E-14</v>
      </c>
      <c r="JO8" t="s">
        <v>1805</v>
      </c>
      <c r="JP8">
        <v>2025</v>
      </c>
      <c r="JQ8" t="s">
        <v>3176</v>
      </c>
      <c r="JR8" s="6">
        <v>45856</v>
      </c>
      <c r="JS8">
        <v>5</v>
      </c>
      <c r="JT8">
        <v>-2.4245362661989844E-14</v>
      </c>
      <c r="JU8">
        <v>20507888</v>
      </c>
      <c r="JV8" t="s">
        <v>3177</v>
      </c>
      <c r="JY8" t="s">
        <v>117</v>
      </c>
      <c r="JZ8">
        <v>3.4559039999999999</v>
      </c>
      <c r="KA8" t="s">
        <v>1786</v>
      </c>
      <c r="KB8">
        <v>0.78904099999999999</v>
      </c>
      <c r="KC8" t="s">
        <v>1742</v>
      </c>
      <c r="KD8">
        <v>2025</v>
      </c>
      <c r="KE8" t="s">
        <v>3142</v>
      </c>
      <c r="KF8" s="6">
        <v>45996</v>
      </c>
      <c r="KG8">
        <v>5</v>
      </c>
      <c r="KH8">
        <v>27892600</v>
      </c>
      <c r="KI8">
        <v>102032</v>
      </c>
      <c r="KJ8" t="s">
        <v>3009</v>
      </c>
      <c r="KO8" t="s">
        <v>2652</v>
      </c>
      <c r="KQ8">
        <v>-2.4245362661989844E-14</v>
      </c>
      <c r="KR8">
        <v>-2.4245362661989844E-14</v>
      </c>
      <c r="KS8" t="s">
        <v>1745</v>
      </c>
      <c r="KT8">
        <v>2024</v>
      </c>
      <c r="KU8" t="s">
        <v>2413</v>
      </c>
      <c r="KV8" s="6">
        <v>45707</v>
      </c>
      <c r="KW8">
        <v>5</v>
      </c>
      <c r="KX8">
        <v>-2.4245362661989844E-14</v>
      </c>
      <c r="KY8">
        <v>69298961</v>
      </c>
      <c r="KZ8" t="s">
        <v>2653</v>
      </c>
      <c r="LC8" t="s">
        <v>2418</v>
      </c>
      <c r="LD8">
        <v>6</v>
      </c>
      <c r="LE8" t="s">
        <v>2416</v>
      </c>
      <c r="LF8">
        <v>0.22936699999999999</v>
      </c>
      <c r="LG8" t="s">
        <v>1745</v>
      </c>
      <c r="LH8">
        <v>2024</v>
      </c>
      <c r="LI8" t="s">
        <v>2413</v>
      </c>
      <c r="LJ8" s="6">
        <v>45707</v>
      </c>
      <c r="LK8">
        <v>5</v>
      </c>
      <c r="LL8">
        <v>9967750</v>
      </c>
      <c r="LM8">
        <v>115785</v>
      </c>
      <c r="LN8" t="s">
        <v>2419</v>
      </c>
      <c r="LS8" t="s">
        <v>2192</v>
      </c>
      <c r="LT8" t="s">
        <v>1786</v>
      </c>
      <c r="LU8">
        <v>4.7982999999999998E-2</v>
      </c>
      <c r="LV8">
        <v>0.78361700000000001</v>
      </c>
      <c r="LW8" t="s">
        <v>1762</v>
      </c>
      <c r="LX8">
        <v>2025</v>
      </c>
      <c r="LY8" t="s">
        <v>2193</v>
      </c>
      <c r="LZ8" s="6">
        <v>45939</v>
      </c>
      <c r="MA8">
        <v>5</v>
      </c>
      <c r="MB8">
        <v>3219652.03</v>
      </c>
      <c r="MC8">
        <v>180001</v>
      </c>
      <c r="MD8" t="s">
        <v>2194</v>
      </c>
      <c r="MG8" t="s">
        <v>1860</v>
      </c>
      <c r="MH8">
        <v>-2.4245362661989844E-14</v>
      </c>
      <c r="MJ8">
        <v>-2.4245362661989844E-14</v>
      </c>
      <c r="MK8" t="s">
        <v>1745</v>
      </c>
      <c r="ML8">
        <v>2022</v>
      </c>
      <c r="MM8" t="s">
        <v>1861</v>
      </c>
      <c r="MN8" s="6">
        <v>44986</v>
      </c>
      <c r="MO8">
        <v>4</v>
      </c>
      <c r="MP8">
        <v>-2.4245362661989844E-14</v>
      </c>
      <c r="MQ8">
        <v>173054</v>
      </c>
      <c r="MR8" t="s">
        <v>1862</v>
      </c>
      <c r="MW8" t="s">
        <v>4907</v>
      </c>
      <c r="MY8">
        <v>-2.4245362661989844E-14</v>
      </c>
      <c r="MZ8">
        <v>-2.4245362661989844E-14</v>
      </c>
      <c r="NA8" t="s">
        <v>1809</v>
      </c>
      <c r="NB8">
        <v>2025</v>
      </c>
      <c r="NC8" t="s">
        <v>4903</v>
      </c>
      <c r="ND8" s="6">
        <v>45825</v>
      </c>
      <c r="NE8">
        <v>5</v>
      </c>
      <c r="NF8">
        <v>-2.4245362661989844E-14</v>
      </c>
      <c r="NG8">
        <v>10001304</v>
      </c>
      <c r="NH8" t="s">
        <v>4908</v>
      </c>
      <c r="NK8" t="s">
        <v>4700</v>
      </c>
      <c r="NL8">
        <v>-2.4245362661989844E-14</v>
      </c>
      <c r="NN8">
        <v>-2.4245362661989844E-14</v>
      </c>
      <c r="NO8" t="s">
        <v>1745</v>
      </c>
      <c r="NP8">
        <v>2024</v>
      </c>
      <c r="NQ8" t="s">
        <v>4695</v>
      </c>
      <c r="NR8" s="6">
        <v>45714</v>
      </c>
      <c r="NS8">
        <v>5</v>
      </c>
      <c r="NT8">
        <v>-2.4245362661989844E-14</v>
      </c>
      <c r="NU8">
        <v>62095695</v>
      </c>
      <c r="NV8" t="s">
        <v>4701</v>
      </c>
      <c r="SQ8" t="s">
        <v>3229</v>
      </c>
      <c r="SR8" t="s">
        <v>1769</v>
      </c>
      <c r="SS8">
        <v>1.4</v>
      </c>
      <c r="ST8">
        <v>3.3172E-2</v>
      </c>
      <c r="SU8" t="s">
        <v>1745</v>
      </c>
      <c r="SV8">
        <v>2024</v>
      </c>
      <c r="SW8" t="s">
        <v>3230</v>
      </c>
      <c r="SX8" s="6">
        <v>45734</v>
      </c>
      <c r="SY8">
        <v>5</v>
      </c>
      <c r="SZ8">
        <v>324266.19</v>
      </c>
      <c r="TA8">
        <v>32162827</v>
      </c>
      <c r="TB8" t="s">
        <v>3231</v>
      </c>
      <c r="UY8" t="s">
        <v>2276</v>
      </c>
      <c r="VA8">
        <v>0.44397199999999998</v>
      </c>
      <c r="VB8">
        <v>-2.4245362661989844E-14</v>
      </c>
      <c r="VC8" t="s">
        <v>1845</v>
      </c>
      <c r="VD8">
        <v>2024</v>
      </c>
      <c r="VE8" t="s">
        <v>2277</v>
      </c>
      <c r="VF8" s="6">
        <v>45699</v>
      </c>
      <c r="VG8">
        <v>5</v>
      </c>
      <c r="VH8">
        <v>316250</v>
      </c>
      <c r="VI8">
        <v>10086577</v>
      </c>
      <c r="VJ8" t="s">
        <v>2278</v>
      </c>
    </row>
    <row r="9" spans="1:600" x14ac:dyDescent="0.25">
      <c r="A9" t="s">
        <v>117</v>
      </c>
      <c r="B9" t="s">
        <v>1820</v>
      </c>
      <c r="C9">
        <v>2.5439250000000002</v>
      </c>
      <c r="D9">
        <v>5.2326030000000001</v>
      </c>
      <c r="E9" t="s">
        <v>1742</v>
      </c>
      <c r="F9">
        <v>2025</v>
      </c>
      <c r="G9" t="s">
        <v>3008</v>
      </c>
      <c r="H9" s="6">
        <v>45931</v>
      </c>
      <c r="I9">
        <v>5</v>
      </c>
      <c r="J9">
        <v>185757408</v>
      </c>
      <c r="K9">
        <v>102032</v>
      </c>
      <c r="L9" t="s">
        <v>3009</v>
      </c>
      <c r="O9" t="s">
        <v>3510</v>
      </c>
      <c r="P9">
        <v>3.0830000000000002</v>
      </c>
      <c r="Q9" t="s">
        <v>1786</v>
      </c>
      <c r="R9">
        <v>9.6257199999999994</v>
      </c>
      <c r="S9" t="s">
        <v>1762</v>
      </c>
      <c r="T9">
        <v>2025</v>
      </c>
      <c r="U9" t="s">
        <v>3511</v>
      </c>
      <c r="V9" s="6">
        <v>45958</v>
      </c>
      <c r="W9">
        <v>5</v>
      </c>
      <c r="X9">
        <v>416758099.12</v>
      </c>
      <c r="Y9">
        <v>1456094</v>
      </c>
      <c r="Z9" t="s">
        <v>3512</v>
      </c>
      <c r="CM9" t="s">
        <v>2253</v>
      </c>
      <c r="CN9" t="s">
        <v>1786</v>
      </c>
      <c r="CO9">
        <v>10.5</v>
      </c>
      <c r="CP9">
        <v>7.349405</v>
      </c>
      <c r="CQ9" t="s">
        <v>1745</v>
      </c>
      <c r="CR9">
        <v>2024</v>
      </c>
      <c r="CS9" t="s">
        <v>2254</v>
      </c>
      <c r="CT9" s="6">
        <v>45744</v>
      </c>
      <c r="CU9">
        <v>5</v>
      </c>
      <c r="CV9">
        <v>778954139.5</v>
      </c>
      <c r="CW9">
        <v>113389</v>
      </c>
      <c r="CX9" t="s">
        <v>2255</v>
      </c>
      <c r="DA9" t="s">
        <v>1873</v>
      </c>
      <c r="DB9">
        <v>0.56558799999999998</v>
      </c>
      <c r="DC9" t="s">
        <v>1786</v>
      </c>
      <c r="DD9">
        <v>3.5370110000000001</v>
      </c>
      <c r="DE9" t="s">
        <v>1762</v>
      </c>
      <c r="DF9">
        <v>2025</v>
      </c>
      <c r="DG9" t="s">
        <v>1874</v>
      </c>
      <c r="DH9" s="6">
        <v>46008</v>
      </c>
      <c r="DI9">
        <v>5</v>
      </c>
      <c r="DJ9">
        <v>82257509.170000002</v>
      </c>
      <c r="DK9">
        <v>349049</v>
      </c>
      <c r="DL9" t="s">
        <v>1875</v>
      </c>
      <c r="EU9" t="s">
        <v>4621</v>
      </c>
      <c r="EW9">
        <v>-2.4245362661989844E-14</v>
      </c>
      <c r="EX9">
        <v>-2.4245362661989844E-14</v>
      </c>
      <c r="EY9" t="s">
        <v>1805</v>
      </c>
      <c r="EZ9">
        <v>2025</v>
      </c>
      <c r="FA9" t="s">
        <v>4622</v>
      </c>
      <c r="FB9" s="6">
        <v>45610</v>
      </c>
      <c r="FC9">
        <v>5</v>
      </c>
      <c r="FD9">
        <v>-2.4245362661989844E-14</v>
      </c>
      <c r="FE9">
        <v>8494807</v>
      </c>
      <c r="FF9" t="s">
        <v>4623</v>
      </c>
      <c r="FI9" t="s">
        <v>4505</v>
      </c>
      <c r="FJ9">
        <v>-2.4245362661989844E-14</v>
      </c>
      <c r="FL9">
        <v>-2.4245362661989844E-14</v>
      </c>
      <c r="FM9" t="s">
        <v>1745</v>
      </c>
      <c r="FN9">
        <v>2021</v>
      </c>
      <c r="FO9" t="s">
        <v>4506</v>
      </c>
      <c r="FP9" s="6">
        <v>44726</v>
      </c>
      <c r="FQ9">
        <v>5</v>
      </c>
      <c r="FR9">
        <v>-2.4245362661989844E-14</v>
      </c>
      <c r="FS9">
        <v>40867884</v>
      </c>
      <c r="FT9" t="s">
        <v>4507</v>
      </c>
      <c r="HC9" t="s">
        <v>1962</v>
      </c>
      <c r="HD9" t="s">
        <v>1786</v>
      </c>
      <c r="HE9">
        <v>0.27634599999999998</v>
      </c>
      <c r="HF9">
        <v>0.25924000000000003</v>
      </c>
      <c r="HG9" t="s">
        <v>1762</v>
      </c>
      <c r="HH9">
        <v>2026</v>
      </c>
      <c r="HI9" t="s">
        <v>2011</v>
      </c>
      <c r="HJ9" s="6">
        <v>46036</v>
      </c>
      <c r="HK9">
        <v>5</v>
      </c>
      <c r="HL9">
        <v>1682466</v>
      </c>
      <c r="HM9">
        <v>194585</v>
      </c>
      <c r="HN9" t="s">
        <v>1964</v>
      </c>
      <c r="HQ9" t="s">
        <v>204</v>
      </c>
      <c r="HR9">
        <v>0.587646</v>
      </c>
      <c r="HS9" t="s">
        <v>1786</v>
      </c>
      <c r="HT9">
        <v>0.32928600000000002</v>
      </c>
      <c r="HU9" t="s">
        <v>1762</v>
      </c>
      <c r="HV9">
        <v>2025</v>
      </c>
      <c r="HW9" t="s">
        <v>2268</v>
      </c>
      <c r="HX9" s="6">
        <v>45838</v>
      </c>
      <c r="HY9">
        <v>5</v>
      </c>
      <c r="HZ9">
        <v>34512448</v>
      </c>
      <c r="IA9">
        <v>100732</v>
      </c>
      <c r="IB9" t="s">
        <v>2825</v>
      </c>
      <c r="JK9" t="s">
        <v>3178</v>
      </c>
      <c r="JM9">
        <v>-2.4245362661989844E-14</v>
      </c>
      <c r="JN9">
        <v>-2.4245362661989844E-14</v>
      </c>
      <c r="JO9" t="s">
        <v>1805</v>
      </c>
      <c r="JP9">
        <v>2024</v>
      </c>
      <c r="JQ9" t="s">
        <v>3179</v>
      </c>
      <c r="JR9" s="6">
        <v>45660</v>
      </c>
      <c r="JS9">
        <v>5</v>
      </c>
      <c r="JT9">
        <v>-2.4245362661989844E-14</v>
      </c>
      <c r="JU9">
        <v>66939206</v>
      </c>
      <c r="JV9" t="s">
        <v>3180</v>
      </c>
      <c r="JY9" t="s">
        <v>168</v>
      </c>
      <c r="JZ9">
        <v>2.6170840000000002</v>
      </c>
      <c r="KA9" t="s">
        <v>1786</v>
      </c>
      <c r="KB9">
        <v>0.250415</v>
      </c>
      <c r="KC9" t="s">
        <v>1742</v>
      </c>
      <c r="KD9">
        <v>2025</v>
      </c>
      <c r="KE9" t="s">
        <v>3142</v>
      </c>
      <c r="KF9" s="6">
        <v>45996</v>
      </c>
      <c r="KG9">
        <v>5</v>
      </c>
      <c r="KH9">
        <v>21122484</v>
      </c>
      <c r="KI9">
        <v>101729</v>
      </c>
      <c r="KJ9" t="s">
        <v>2246</v>
      </c>
      <c r="KO9" t="s">
        <v>2654</v>
      </c>
      <c r="KQ9">
        <v>-2.4245362661989844E-14</v>
      </c>
      <c r="KR9">
        <v>-2.4245362661989844E-14</v>
      </c>
      <c r="KS9" t="s">
        <v>1745</v>
      </c>
      <c r="KT9">
        <v>2024</v>
      </c>
      <c r="KU9" t="s">
        <v>2655</v>
      </c>
      <c r="KV9" s="6">
        <v>45729</v>
      </c>
      <c r="KW9">
        <v>5</v>
      </c>
      <c r="KX9">
        <v>-2.4245362661989844E-14</v>
      </c>
      <c r="KY9">
        <v>15355647</v>
      </c>
      <c r="KZ9" t="s">
        <v>2656</v>
      </c>
      <c r="LC9" t="s">
        <v>2420</v>
      </c>
      <c r="LD9">
        <v>5</v>
      </c>
      <c r="LE9" t="s">
        <v>2416</v>
      </c>
      <c r="LF9">
        <v>0.37679099999999999</v>
      </c>
      <c r="LG9" t="s">
        <v>1745</v>
      </c>
      <c r="LH9">
        <v>2024</v>
      </c>
      <c r="LI9" t="s">
        <v>2413</v>
      </c>
      <c r="LJ9" s="6">
        <v>45707</v>
      </c>
      <c r="LK9">
        <v>5</v>
      </c>
      <c r="LL9">
        <v>9440500</v>
      </c>
      <c r="LM9">
        <v>180580</v>
      </c>
      <c r="LN9" t="s">
        <v>2421</v>
      </c>
      <c r="LS9" t="s">
        <v>2195</v>
      </c>
      <c r="LT9" t="s">
        <v>1786</v>
      </c>
      <c r="LU9">
        <v>0.18806800000000001</v>
      </c>
      <c r="LV9">
        <v>0.69146200000000002</v>
      </c>
      <c r="LW9" t="s">
        <v>1742</v>
      </c>
      <c r="LX9">
        <v>2025</v>
      </c>
      <c r="LY9" t="s">
        <v>2196</v>
      </c>
      <c r="LZ9" s="6">
        <v>45812</v>
      </c>
      <c r="MA9">
        <v>5</v>
      </c>
      <c r="MB9">
        <v>2980126</v>
      </c>
      <c r="MC9">
        <v>1182041</v>
      </c>
      <c r="MD9" t="s">
        <v>2197</v>
      </c>
      <c r="MW9" t="s">
        <v>4909</v>
      </c>
      <c r="MY9">
        <v>-2.4245362661989844E-14</v>
      </c>
      <c r="MZ9">
        <v>-2.4245362661989844E-14</v>
      </c>
      <c r="NA9" t="s">
        <v>1745</v>
      </c>
      <c r="NB9">
        <v>2024</v>
      </c>
      <c r="NC9" t="s">
        <v>4695</v>
      </c>
      <c r="ND9" s="6">
        <v>45714</v>
      </c>
      <c r="NE9">
        <v>5</v>
      </c>
      <c r="NF9">
        <v>-2.4245362661989844E-14</v>
      </c>
      <c r="NG9">
        <v>23483218</v>
      </c>
      <c r="NH9" t="s">
        <v>4910</v>
      </c>
      <c r="NK9" t="s">
        <v>4702</v>
      </c>
      <c r="NL9">
        <v>-2.4245362661989844E-14</v>
      </c>
      <c r="NN9">
        <v>-2.4245362661989844E-14</v>
      </c>
      <c r="NO9" t="s">
        <v>1745</v>
      </c>
      <c r="NP9">
        <v>2024</v>
      </c>
      <c r="NQ9" t="s">
        <v>4695</v>
      </c>
      <c r="NR9" s="6">
        <v>45714</v>
      </c>
      <c r="NS9">
        <v>5</v>
      </c>
      <c r="NT9">
        <v>-2.4245362661989844E-14</v>
      </c>
      <c r="NU9">
        <v>55175151</v>
      </c>
      <c r="NV9" t="s">
        <v>4703</v>
      </c>
      <c r="SQ9" t="s">
        <v>3232</v>
      </c>
      <c r="SS9">
        <v>-2.4245362661989844E-14</v>
      </c>
      <c r="ST9">
        <v>-2.4245362661989844E-14</v>
      </c>
      <c r="SU9" t="s">
        <v>1745</v>
      </c>
      <c r="SV9">
        <v>2022</v>
      </c>
      <c r="SW9" t="s">
        <v>3233</v>
      </c>
      <c r="SX9" s="6">
        <v>44693</v>
      </c>
      <c r="SY9">
        <v>5</v>
      </c>
      <c r="SZ9">
        <v>-2.4245362661989844E-14</v>
      </c>
      <c r="TA9">
        <v>42802932</v>
      </c>
      <c r="TB9" t="s">
        <v>3234</v>
      </c>
      <c r="UY9" t="s">
        <v>2043</v>
      </c>
      <c r="VA9">
        <v>-2.4245362661989844E-14</v>
      </c>
      <c r="VB9">
        <v>-2.4245362661989844E-14</v>
      </c>
      <c r="VC9" t="s">
        <v>1798</v>
      </c>
      <c r="VD9">
        <v>2025</v>
      </c>
      <c r="VE9" t="s">
        <v>2279</v>
      </c>
      <c r="VF9" s="6">
        <v>45974</v>
      </c>
      <c r="VG9">
        <v>5</v>
      </c>
      <c r="VH9">
        <v>-2.4245362661989844E-14</v>
      </c>
      <c r="VI9">
        <v>118099</v>
      </c>
      <c r="VJ9" t="s">
        <v>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SPLC_51</vt:lpstr>
      <vt:lpstr>SPLC_52</vt:lpstr>
      <vt:lpstr>SPLC_53</vt:lpstr>
      <vt:lpstr>SPLC_54</vt:lpstr>
      <vt:lpstr>SPLC_55</vt:lpstr>
      <vt:lpstr>SPLC_56</vt:lpstr>
      <vt:lpstr>SPLC_57</vt:lpstr>
      <vt:lpstr>SPLC_58</vt:lpstr>
      <vt:lpstr>SPLC_59</vt:lpstr>
      <vt:lpstr>SPLC_60</vt:lpstr>
      <vt:lpstr>SPLC_61</vt:lpstr>
      <vt:lpstr>SPLC_62</vt:lpstr>
      <vt:lpstr>SPLC_63</vt:lpstr>
      <vt:lpstr>SPLC_64</vt:lpstr>
      <vt:lpstr>SPLC_65</vt:lpstr>
      <vt:lpstr>SPLC_66</vt:lpstr>
      <vt:lpstr>SPLC_67</vt:lpstr>
      <vt:lpstr>SPLC_68</vt:lpstr>
      <vt:lpstr>SPLC_69</vt:lpstr>
      <vt:lpstr>SPLC_70</vt:lpstr>
      <vt:lpstr>SPLC_71</vt:lpstr>
      <vt:lpstr>SPLC_72</vt:lpstr>
      <vt:lpstr>SPLC_73</vt:lpstr>
      <vt:lpstr>SPLC_74</vt:lpstr>
      <vt:lpstr>SPLC_75</vt:lpstr>
      <vt:lpstr>SPLC_76</vt:lpstr>
      <vt:lpstr>SPLC_77</vt:lpstr>
      <vt:lpstr>SPLC_78</vt:lpstr>
      <vt:lpstr>SPLC_79</vt:lpstr>
      <vt:lpstr>SPLC_80</vt:lpstr>
      <vt:lpstr>SPLC_81</vt:lpstr>
      <vt:lpstr>SPLC_82</vt:lpstr>
      <vt:lpstr>SPLC_83</vt:lpstr>
      <vt:lpstr>SPLC_84</vt:lpstr>
      <vt:lpstr>SPLC_85</vt:lpstr>
      <vt:lpstr>SPLC_86</vt:lpstr>
      <vt:lpstr>SPLC_87</vt:lpstr>
      <vt:lpstr>SPLC_88</vt:lpstr>
      <vt:lpstr>SPLC_89</vt:lpstr>
      <vt:lpstr>SPLC_90</vt:lpstr>
      <vt:lpstr>SPLC_91</vt:lpstr>
      <vt:lpstr>SPLC_92</vt:lpstr>
      <vt:lpstr>SPLC_93</vt:lpstr>
      <vt:lpstr>SPLC_94</vt:lpstr>
      <vt:lpstr>SPLC_95</vt:lpstr>
      <vt:lpstr>SPLC_96</vt:lpstr>
      <vt:lpstr>SPLC_97</vt:lpstr>
      <vt:lpstr>SPLC_98</vt:lpstr>
      <vt:lpstr>SPLC_99</vt:lpstr>
      <vt:lpstr>SPLC_100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 Brijeshkumar JOSHI</cp:lastModifiedBy>
  <dcterms:created xsi:type="dcterms:W3CDTF">2026-03-10T17:21:03Z</dcterms:created>
  <dcterms:modified xsi:type="dcterms:W3CDTF">2026-03-10T17:23:57Z</dcterms:modified>
</cp:coreProperties>
</file>